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2780" tabRatio="901" activeTab="2"/>
  </bookViews>
  <sheets>
    <sheet name="History" sheetId="59" r:id="rId1"/>
    <sheet name="RegisterSetting(Mode)" sheetId="65" r:id="rId2"/>
    <sheet name="Mode List" sheetId="60" r:id="rId3"/>
    <sheet name="&lt;reference&gt;Gain_Table" sheetId="17" r:id="rId4"/>
    <sheet name="&lt;reference&gt;GlobalTiming" sheetId="4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作成者</author>
  </authors>
  <commentList>
    <comment ref="AN8" authorId="0">
      <text>
        <r>
          <rPr>
            <sz val="9"/>
            <rFont val="MS PGothic"/>
            <charset val="128"/>
          </rPr>
          <t>included FS/FE</t>
        </r>
      </text>
    </comment>
    <comment ref="AU8" authorId="0">
      <text>
        <r>
          <rPr>
            <sz val="9"/>
            <rFont val="MS PGothic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<sst xmlns="http://schemas.openxmlformats.org/spreadsheetml/2006/main" count="10351" uniqueCount="1153">
  <si>
    <t>*</t>
  </si>
  <si>
    <t>Date</t>
  </si>
  <si>
    <t>Ver.</t>
  </si>
  <si>
    <t>Template Ver.</t>
  </si>
  <si>
    <t>Sheet</t>
  </si>
  <si>
    <t>Comment</t>
  </si>
  <si>
    <t>1.00</t>
  </si>
  <si>
    <t>2.00_MP
(MP)</t>
  </si>
  <si>
    <t>-</t>
  </si>
  <si>
    <t>- First version
    reg_0_ 0    Full resolution (RMSC) w/ All-PD
    reg_1       2x2 Adjacent Pixel Binning (Vbin) w/ All-PD
    reg_2       Full resolution (RMSC) w/ All-PD
    reg_3       DAG(4:1)2x2 Adjacent Pixel Binning DAG-HDR w/ Partial-PD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reg_10      2x2 Adjacent Pixel Binning Fine12AD w/ Partial-PD
    reg_11      2x2 Adjacent Pixel Binning (Vbin) w/ All-PD</t>
  </si>
  <si>
    <t>2.00</t>
  </si>
  <si>
    <t>-Add Mode
   reg_12    2x2 Adjacent Pixel Binning (Vbin) V2H2 w/ All-PD</t>
  </si>
  <si>
    <t>2.10</t>
  </si>
  <si>
    <t>-Mode Correction
    reg_5       2x2 Adjacent Pixel Binning w/Partial PD
    reg_8       2x2 Adjacent Pixel Binning (Vbin) V2H2 w/ All-PD
    reg_10    2x2 Adjacent Pixel Binning Fine12AD w/ Partial-PD</t>
  </si>
  <si>
    <t>2.20</t>
  </si>
  <si>
    <t>-Mode Correction
    reg_12    2x2 Adjacent Pixel Binning (Vbin) V2H2 w/ All-PD</t>
  </si>
  <si>
    <t>3.00</t>
  </si>
  <si>
    <t>-ModeAdd
    reg_13    2x2 Adjacent Pixel Binning w/ Partial-PD
    reg_14    2x2 Adjacent Pixel Binning (Vbin) V2H2 w/ All-PD</t>
  </si>
  <si>
    <t>3.10</t>
  </si>
  <si>
    <t>-Mode Modify
    reg_3    DAG(4:1)2x2 Adjacent Pixel Binning DAG-HDR w/ Partial-PD
    reg_4    2x2 Adjacent Pixel Binning (Vbin) w/ All-PD
    reg_10   2x2 Adjacent Pixel Binning Fine12AD w/ Partial-PD
    reg_11   2x2 Adjacent Pixel Binning (Vbin) w/ All-PD</t>
  </si>
  <si>
    <t>3.20</t>
  </si>
  <si>
    <t>-Mode Modify
    reg_3    DAG(4:1)2x2 Adjacent Pixel Binning DAG-HDR w/ Partial-PD
               Output Control for PDAF Data : HSG-&gt; LSG
    reg_10   2x2 Adjacent Pixel Binning Fine12AD w/ Partial-PD
               -&gt; 2x2 Adjacent Pixel Binning DAG-HDR w/ Partial-PD</t>
  </si>
  <si>
    <t>4.00</t>
  </si>
  <si>
    <t xml:space="preserve">-Mode Modify( Pedestarl Value=64d -&gt; 256d)
    reg_3    DAG(4:1)2x2 Adjacent Pixel Binning DAG-HDR w/ Partial-PD
    reg_10  2x2 Adjacent Pixel Binning DAG-HDR w/ Partial-PD
</t>
  </si>
  <si>
    <t>4.01</t>
  </si>
  <si>
    <t>-Mode Modify(PEDESTAL_OFFSET_EN=0x00)
    reg_0_ 0    Full resolution (RMSC) w/ All-PD
    reg_1       2x2 Adjacent Pixel Binning (Vbin) w/ All-PD
    reg_2       Full resolution (RMSC) w/ All-PD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reg_11      2x2 Adjacent Pixel Binning (Vbin) w/ All-PD</t>
  </si>
  <si>
    <t>5.00</t>
  </si>
  <si>
    <t>-Mode Add
   reg1-1   2x2 Adjacent Pixel Binning (Vbin) w/ All-PD
       reg1 with HFPN tuned setting for S1A5052A and L917S00 modules</t>
  </si>
  <si>
    <t>2.00-4.00</t>
  </si>
  <si>
    <t>- Parameter update(2.00-4.00)</t>
  </si>
  <si>
    <t>Please refer to Software Reference Manual about the command sequence.</t>
  </si>
  <si>
    <t>Stand-by OFF Sequence</t>
  </si>
  <si>
    <t>Power ON</t>
  </si>
  <si>
    <t>Input EXTCLK</t>
  </si>
  <si>
    <t>XCLR OFF</t>
  </si>
  <si>
    <t>External Clock Setting</t>
  </si>
  <si>
    <t>Register Name</t>
  </si>
  <si>
    <t>Initial value</t>
  </si>
  <si>
    <t>Group</t>
  </si>
  <si>
    <t>Address</t>
  </si>
  <si>
    <t>value</t>
  </si>
  <si>
    <t>EXCK_FREQ[15:8]</t>
  </si>
  <si>
    <t>0x18</t>
  </si>
  <si>
    <t>A-1</t>
  </si>
  <si>
    <t>0x0136</t>
  </si>
  <si>
    <t>EXCK_FREQ[7:0]</t>
  </si>
  <si>
    <t>0x00</t>
  </si>
  <si>
    <t>0x0137</t>
  </si>
  <si>
    <t>Global Setting 0</t>
  </si>
  <si>
    <t>0xF800</t>
  </si>
  <si>
    <t>0xFD</t>
  </si>
  <si>
    <t>0xF801</t>
  </si>
  <si>
    <t>0xF802</t>
  </si>
  <si>
    <t>0xD7</t>
  </si>
  <si>
    <t>0xF803</t>
  </si>
  <si>
    <t>0xE3</t>
  </si>
  <si>
    <t>0xF804</t>
  </si>
  <si>
    <t>0x55</t>
  </si>
  <si>
    <t>0xF805</t>
  </si>
  <si>
    <t>0xC0</t>
  </si>
  <si>
    <t>0xF806</t>
  </si>
  <si>
    <t>0x03</t>
  </si>
  <si>
    <t>0xF807</t>
  </si>
  <si>
    <t>0x01</t>
  </si>
  <si>
    <t>0xF808</t>
  </si>
  <si>
    <t>0x16</t>
  </si>
  <si>
    <t>0xF809</t>
  </si>
  <si>
    <t>0xFA</t>
  </si>
  <si>
    <t>0xF80A</t>
  </si>
  <si>
    <t>0x82</t>
  </si>
  <si>
    <t>0xF80B</t>
  </si>
  <si>
    <t>0xF80C</t>
  </si>
  <si>
    <t>0xF80D</t>
  </si>
  <si>
    <t>0xC4</t>
  </si>
  <si>
    <t>0xF80E</t>
  </si>
  <si>
    <t>0xF80F</t>
  </si>
  <si>
    <t>0xF810</t>
  </si>
  <si>
    <t>0x1B</t>
  </si>
  <si>
    <t>0xF811</t>
  </si>
  <si>
    <t>0x24</t>
  </si>
  <si>
    <t>0xF812</t>
  </si>
  <si>
    <t>0xC2</t>
  </si>
  <si>
    <t>0xF813</t>
  </si>
  <si>
    <t>0xFC</t>
  </si>
  <si>
    <t>0xF814</t>
  </si>
  <si>
    <t>0xF815</t>
  </si>
  <si>
    <t>0x90</t>
  </si>
  <si>
    <t>0xF816</t>
  </si>
  <si>
    <t>0x11</t>
  </si>
  <si>
    <t>0xF817</t>
  </si>
  <si>
    <t>0xF818</t>
  </si>
  <si>
    <t>0xF819</t>
  </si>
  <si>
    <t>0xF81A</t>
  </si>
  <si>
    <t>0x51</t>
  </si>
  <si>
    <t>0xF81B</t>
  </si>
  <si>
    <t>0xF81C</t>
  </si>
  <si>
    <t>0xF81D</t>
  </si>
  <si>
    <t>0x94</t>
  </si>
  <si>
    <t>0xF81E</t>
  </si>
  <si>
    <t>0xF81F</t>
  </si>
  <si>
    <t>0xF820</t>
  </si>
  <si>
    <t>0xF821</t>
  </si>
  <si>
    <t>0xF822</t>
  </si>
  <si>
    <t>0xF823</t>
  </si>
  <si>
    <t>0xF824</t>
  </si>
  <si>
    <t>0xF825</t>
  </si>
  <si>
    <t>0x98</t>
  </si>
  <si>
    <t>0xF826</t>
  </si>
  <si>
    <t>0xF827</t>
  </si>
  <si>
    <t>0xF828</t>
  </si>
  <si>
    <t>0xB4</t>
  </si>
  <si>
    <t>0xF829</t>
  </si>
  <si>
    <t>0xF82A</t>
  </si>
  <si>
    <t>0x20</t>
  </si>
  <si>
    <t>0xF82B</t>
  </si>
  <si>
    <t>0xEF</t>
  </si>
  <si>
    <t>0xF82C</t>
  </si>
  <si>
    <t>0xF82D</t>
  </si>
  <si>
    <t>0x64</t>
  </si>
  <si>
    <t>0xF82E</t>
  </si>
  <si>
    <t>0x39</t>
  </si>
  <si>
    <t>0xF82F</t>
  </si>
  <si>
    <t>0xF830</t>
  </si>
  <si>
    <t>0x32</t>
  </si>
  <si>
    <t>0xF831</t>
  </si>
  <si>
    <t>0xC8</t>
  </si>
  <si>
    <t>0xF832</t>
  </si>
  <si>
    <t>0x17</t>
  </si>
  <si>
    <t>0xF833</t>
  </si>
  <si>
    <t>0xF884</t>
  </si>
  <si>
    <t>0x4F</t>
  </si>
  <si>
    <t>0xF885</t>
  </si>
  <si>
    <t>0x06</t>
  </si>
  <si>
    <t>0xF886</t>
  </si>
  <si>
    <t>0xAC</t>
  </si>
  <si>
    <t>0xF887</t>
  </si>
  <si>
    <t>0x27</t>
  </si>
  <si>
    <t>0xF888</t>
  </si>
  <si>
    <t>0xF889</t>
  </si>
  <si>
    <t>0x1D</t>
  </si>
  <si>
    <t>0xF88A</t>
  </si>
  <si>
    <t>0xF88B</t>
  </si>
  <si>
    <t>0x14</t>
  </si>
  <si>
    <t>0xF88C</t>
  </si>
  <si>
    <t>0xD4</t>
  </si>
  <si>
    <t>0xF88D</t>
  </si>
  <si>
    <t>0xF88E</t>
  </si>
  <si>
    <t>0x08</t>
  </si>
  <si>
    <t>0xF88F</t>
  </si>
  <si>
    <t>0xF890</t>
  </si>
  <si>
    <t>0xF0</t>
  </si>
  <si>
    <t>0xF891</t>
  </si>
  <si>
    <t>0x45</t>
  </si>
  <si>
    <t>0xF892</t>
  </si>
  <si>
    <t>0xF893</t>
  </si>
  <si>
    <t>0xD8</t>
  </si>
  <si>
    <t>0xF894</t>
  </si>
  <si>
    <t>0xF895</t>
  </si>
  <si>
    <t>0x21</t>
  </si>
  <si>
    <t>0xF896</t>
  </si>
  <si>
    <t>0x42</t>
  </si>
  <si>
    <t>0xF897</t>
  </si>
  <si>
    <t>0x84</t>
  </si>
  <si>
    <t>0xF898</t>
  </si>
  <si>
    <t>0x1E</t>
  </si>
  <si>
    <t>0xF899</t>
  </si>
  <si>
    <t>0x44</t>
  </si>
  <si>
    <t>0xF89A</t>
  </si>
  <si>
    <t>0x29</t>
  </si>
  <si>
    <t>0xF89B</t>
  </si>
  <si>
    <t>0xF89C</t>
  </si>
  <si>
    <t>0xF89D</t>
  </si>
  <si>
    <t>0x0C</t>
  </si>
  <si>
    <t>0xF89E</t>
  </si>
  <si>
    <t>0xF89F</t>
  </si>
  <si>
    <t>0xF8A0</t>
  </si>
  <si>
    <t>0xF8A1</t>
  </si>
  <si>
    <t>0x86</t>
  </si>
  <si>
    <t>0xF8A2</t>
  </si>
  <si>
    <t>0xF8A3</t>
  </si>
  <si>
    <t>0xF8A4</t>
  </si>
  <si>
    <t>0x0F</t>
  </si>
  <si>
    <t>0xF8A5</t>
  </si>
  <si>
    <t>0xF8A6</t>
  </si>
  <si>
    <t>0x80</t>
  </si>
  <si>
    <t>0xF8A7</t>
  </si>
  <si>
    <t>0x04</t>
  </si>
  <si>
    <t>0xF8A8</t>
  </si>
  <si>
    <t>0xF8A9</t>
  </si>
  <si>
    <t>0xF8AA</t>
  </si>
  <si>
    <t>0xF8AB</t>
  </si>
  <si>
    <t>0x41</t>
  </si>
  <si>
    <t>0xF8AC</t>
  </si>
  <si>
    <t>0xA1</t>
  </si>
  <si>
    <t>0xF8AD</t>
  </si>
  <si>
    <t>0x50</t>
  </si>
  <si>
    <t>0xF8AE</t>
  </si>
  <si>
    <t>0xA8</t>
  </si>
  <si>
    <t>0xF8AF</t>
  </si>
  <si>
    <t>0xF8B0</t>
  </si>
  <si>
    <t>0xF8B1</t>
  </si>
  <si>
    <t>0xF8B2</t>
  </si>
  <si>
    <t>0xF8B3</t>
  </si>
  <si>
    <t>0xF8B4</t>
  </si>
  <si>
    <t>0xA0</t>
  </si>
  <si>
    <t>0xF8B5</t>
  </si>
  <si>
    <t>0x09</t>
  </si>
  <si>
    <t>0xF8B6</t>
  </si>
  <si>
    <t>0xF8B7</t>
  </si>
  <si>
    <t>0xF8B8</t>
  </si>
  <si>
    <t>0xF8B9</t>
  </si>
  <si>
    <t>0xF8BA</t>
  </si>
  <si>
    <t>0xF8BB</t>
  </si>
  <si>
    <t>0xF8BC</t>
  </si>
  <si>
    <t>0xF8BD</t>
  </si>
  <si>
    <t>0xF8BE</t>
  </si>
  <si>
    <t>0xD0</t>
  </si>
  <si>
    <t>0xF8BF</t>
  </si>
  <si>
    <t>0xF8C0</t>
  </si>
  <si>
    <t>0xF8C1</t>
  </si>
  <si>
    <t>0xF8C2</t>
  </si>
  <si>
    <t>0xF8C3</t>
  </si>
  <si>
    <t>0xF8C4</t>
  </si>
  <si>
    <t>0xBE</t>
  </si>
  <si>
    <t>0xF8C5</t>
  </si>
  <si>
    <t>0x54</t>
  </si>
  <si>
    <t>0xF8C6</t>
  </si>
  <si>
    <t>0xF8C7</t>
  </si>
  <si>
    <t>0xF8C8</t>
  </si>
  <si>
    <t>0xF8C9</t>
  </si>
  <si>
    <t>0xF8CA</t>
  </si>
  <si>
    <t>0xF8CB</t>
  </si>
  <si>
    <t>0x05</t>
  </si>
  <si>
    <t>0xF8CC</t>
  </si>
  <si>
    <t>0xF8CD</t>
  </si>
  <si>
    <t>0xF8CE</t>
  </si>
  <si>
    <t>0xF8CF</t>
  </si>
  <si>
    <t>0xF8</t>
  </si>
  <si>
    <t>0xF8D0</t>
  </si>
  <si>
    <t>0xF1</t>
  </si>
  <si>
    <t>0xF8D1</t>
  </si>
  <si>
    <t>0xF8D2</t>
  </si>
  <si>
    <t>0xF8D3</t>
  </si>
  <si>
    <t>0x02</t>
  </si>
  <si>
    <t>0xF8D4</t>
  </si>
  <si>
    <t>0x1A</t>
  </si>
  <si>
    <t>0xF8D5</t>
  </si>
  <si>
    <t>0x40</t>
  </si>
  <si>
    <t>0xF8D6</t>
  </si>
  <si>
    <t>0xD2</t>
  </si>
  <si>
    <t>0xF8D7</t>
  </si>
  <si>
    <t>0xF8D8</t>
  </si>
  <si>
    <t>0xF8D9</t>
  </si>
  <si>
    <t>0xF8DA</t>
  </si>
  <si>
    <t>0xF8DB</t>
  </si>
  <si>
    <t>0x22</t>
  </si>
  <si>
    <t>0xF8DC</t>
  </si>
  <si>
    <t>0xF8DD</t>
  </si>
  <si>
    <t>0xF8DE</t>
  </si>
  <si>
    <t>0xF8DF</t>
  </si>
  <si>
    <t>0xF8E0</t>
  </si>
  <si>
    <t>0xF8E1</t>
  </si>
  <si>
    <t>0x0E</t>
  </si>
  <si>
    <t>0xF8E2</t>
  </si>
  <si>
    <t>0xF8E3</t>
  </si>
  <si>
    <t>0xF8E4</t>
  </si>
  <si>
    <t>0x7F</t>
  </si>
  <si>
    <t>0xF8E5</t>
  </si>
  <si>
    <t>0xFF</t>
  </si>
  <si>
    <t>0xF8E6</t>
  </si>
  <si>
    <t>0xF8E7</t>
  </si>
  <si>
    <t>0x31</t>
  </si>
  <si>
    <t>0xF8E8</t>
  </si>
  <si>
    <t>0xF8E9</t>
  </si>
  <si>
    <t>0xF8EA</t>
  </si>
  <si>
    <t>0xF8EB</t>
  </si>
  <si>
    <t>0xF8EC</t>
  </si>
  <si>
    <t>0xF8ED</t>
  </si>
  <si>
    <t>0xF8EE</t>
  </si>
  <si>
    <t>0xF8EF</t>
  </si>
  <si>
    <t>0xF8F0</t>
  </si>
  <si>
    <t>0xF8F1</t>
  </si>
  <si>
    <t>0xF8F2</t>
  </si>
  <si>
    <t>0xF8F3</t>
  </si>
  <si>
    <t>0xE8</t>
  </si>
  <si>
    <t>0xF8F4</t>
  </si>
  <si>
    <t>0x07</t>
  </si>
  <si>
    <t>0xF8F5</t>
  </si>
  <si>
    <t>0xF8F6</t>
  </si>
  <si>
    <t>0xF8F7</t>
  </si>
  <si>
    <t>0xF8F8</t>
  </si>
  <si>
    <t>0x15</t>
  </si>
  <si>
    <t>0xF8F9</t>
  </si>
  <si>
    <t>0xF8FA</t>
  </si>
  <si>
    <t>0x6F</t>
  </si>
  <si>
    <t>0xF8FB</t>
  </si>
  <si>
    <t>0xF5</t>
  </si>
  <si>
    <t>0xF8FC</t>
  </si>
  <si>
    <t>0x28</t>
  </si>
  <si>
    <t>0xF8FD</t>
  </si>
  <si>
    <t>0xF8FE</t>
  </si>
  <si>
    <t>0xA6</t>
  </si>
  <si>
    <t>0xF8FF</t>
  </si>
  <si>
    <t>0x13</t>
  </si>
  <si>
    <t>0xF900</t>
  </si>
  <si>
    <t>0xA5</t>
  </si>
  <si>
    <t>0xF901</t>
  </si>
  <si>
    <t>0x53</t>
  </si>
  <si>
    <t>0xF902</t>
  </si>
  <si>
    <t>0xF903</t>
  </si>
  <si>
    <t>0xF904</t>
  </si>
  <si>
    <t>0xF905</t>
  </si>
  <si>
    <t>0xE9</t>
  </si>
  <si>
    <t>0xF906</t>
  </si>
  <si>
    <t>0xF907</t>
  </si>
  <si>
    <t>0xF908</t>
  </si>
  <si>
    <t>0xF909</t>
  </si>
  <si>
    <t>0xF90A</t>
  </si>
  <si>
    <t>0xF90B</t>
  </si>
  <si>
    <t>0xF90C</t>
  </si>
  <si>
    <t>0xF90D</t>
  </si>
  <si>
    <t>0x30</t>
  </si>
  <si>
    <t>0xF90E</t>
  </si>
  <si>
    <t>0xF90F</t>
  </si>
  <si>
    <t>0xF910</t>
  </si>
  <si>
    <t>0xB8</t>
  </si>
  <si>
    <t>0xF911</t>
  </si>
  <si>
    <t>0xF912</t>
  </si>
  <si>
    <t>0x19</t>
  </si>
  <si>
    <t>0xF913</t>
  </si>
  <si>
    <t>0xF914</t>
  </si>
  <si>
    <t>0xF915</t>
  </si>
  <si>
    <t>0xF916</t>
  </si>
  <si>
    <t>0xF917</t>
  </si>
  <si>
    <t>0xF918</t>
  </si>
  <si>
    <t>0xF919</t>
  </si>
  <si>
    <t>0xF91A</t>
  </si>
  <si>
    <t>0xF91B</t>
  </si>
  <si>
    <t>0x10</t>
  </si>
  <si>
    <t>0xF91C</t>
  </si>
  <si>
    <t>0xF91D</t>
  </si>
  <si>
    <t>0xF91E</t>
  </si>
  <si>
    <t>0x5F</t>
  </si>
  <si>
    <t>0xF91F</t>
  </si>
  <si>
    <t>0xF920</t>
  </si>
  <si>
    <t>0xD1</t>
  </si>
  <si>
    <t>0xF921</t>
  </si>
  <si>
    <t>0xF922</t>
  </si>
  <si>
    <t>0x26</t>
  </si>
  <si>
    <t>0xF923</t>
  </si>
  <si>
    <t>0x58</t>
  </si>
  <si>
    <t>0xF924</t>
  </si>
  <si>
    <t>0xF925</t>
  </si>
  <si>
    <t>0x12</t>
  </si>
  <si>
    <t>0xF926</t>
  </si>
  <si>
    <t>0xF927</t>
  </si>
  <si>
    <t>0xF928</t>
  </si>
  <si>
    <t>0xF929</t>
  </si>
  <si>
    <t>0xF92A</t>
  </si>
  <si>
    <t>0xF6</t>
  </si>
  <si>
    <t>0xF92B</t>
  </si>
  <si>
    <t>0xF92C</t>
  </si>
  <si>
    <t>0xF92D</t>
  </si>
  <si>
    <t>0x3A</t>
  </si>
  <si>
    <t>0xF92E</t>
  </si>
  <si>
    <t>0xF92F</t>
  </si>
  <si>
    <t>0xF930</t>
  </si>
  <si>
    <t>0xF931</t>
  </si>
  <si>
    <t>0xF932</t>
  </si>
  <si>
    <t>0xF933</t>
  </si>
  <si>
    <t>0xF934</t>
  </si>
  <si>
    <t>0xF935</t>
  </si>
  <si>
    <t>0xF936</t>
  </si>
  <si>
    <t>0xF937</t>
  </si>
  <si>
    <t>0xF938</t>
  </si>
  <si>
    <t>0xF939</t>
  </si>
  <si>
    <t>0xF93A</t>
  </si>
  <si>
    <t>0xA4</t>
  </si>
  <si>
    <t>0xF93B</t>
  </si>
  <si>
    <t>0xF93C</t>
  </si>
  <si>
    <t>0xF93D</t>
  </si>
  <si>
    <t>0x23</t>
  </si>
  <si>
    <t>0xF93E</t>
  </si>
  <si>
    <t>0xF93F</t>
  </si>
  <si>
    <t>0xF940</t>
  </si>
  <si>
    <t>0xF941</t>
  </si>
  <si>
    <t>0xFE</t>
  </si>
  <si>
    <t>0xF942</t>
  </si>
  <si>
    <t>0xF943</t>
  </si>
  <si>
    <t>0xF944</t>
  </si>
  <si>
    <t>0xF945</t>
  </si>
  <si>
    <t>0xF946</t>
  </si>
  <si>
    <t>0xF947</t>
  </si>
  <si>
    <t>0xF948</t>
  </si>
  <si>
    <t>0xF949</t>
  </si>
  <si>
    <t>0xF94A</t>
  </si>
  <si>
    <t>0xF94B</t>
  </si>
  <si>
    <t>0xF94C</t>
  </si>
  <si>
    <t>0xF94D</t>
  </si>
  <si>
    <t>0xF94E</t>
  </si>
  <si>
    <t>0xF94F</t>
  </si>
  <si>
    <t>0xF950</t>
  </si>
  <si>
    <t>0xF951</t>
  </si>
  <si>
    <t>0xF952</t>
  </si>
  <si>
    <t>0x2A</t>
  </si>
  <si>
    <t>0xF953</t>
  </si>
  <si>
    <t>0xF954</t>
  </si>
  <si>
    <t>0xF955</t>
  </si>
  <si>
    <t>0xF956</t>
  </si>
  <si>
    <t>0xF957</t>
  </si>
  <si>
    <t>0xF958</t>
  </si>
  <si>
    <t>0xF959</t>
  </si>
  <si>
    <t>0xF95A</t>
  </si>
  <si>
    <t>0x3F</t>
  </si>
  <si>
    <t>0xF95B</t>
  </si>
  <si>
    <t>0xF95C</t>
  </si>
  <si>
    <t>0xF95D</t>
  </si>
  <si>
    <t>0xF95E</t>
  </si>
  <si>
    <t>0xF95F</t>
  </si>
  <si>
    <t>0xF960</t>
  </si>
  <si>
    <t>0xF961</t>
  </si>
  <si>
    <t>0xF962</t>
  </si>
  <si>
    <t>0xF963</t>
  </si>
  <si>
    <t>0xF964</t>
  </si>
  <si>
    <t>0xF965</t>
  </si>
  <si>
    <t>0xF966</t>
  </si>
  <si>
    <t>0xF967</t>
  </si>
  <si>
    <t>0xF968</t>
  </si>
  <si>
    <t>0xF969</t>
  </si>
  <si>
    <t>0xF96A</t>
  </si>
  <si>
    <t>0xF96B</t>
  </si>
  <si>
    <t>0xF96C</t>
  </si>
  <si>
    <t>0xF96D</t>
  </si>
  <si>
    <t>0xF96E</t>
  </si>
  <si>
    <t>0xF96F</t>
  </si>
  <si>
    <t>0x76</t>
  </si>
  <si>
    <t>0xF970</t>
  </si>
  <si>
    <t>0xF971</t>
  </si>
  <si>
    <t>0xF972</t>
  </si>
  <si>
    <t>0xF973</t>
  </si>
  <si>
    <t>0xF974</t>
  </si>
  <si>
    <t>0xF975</t>
  </si>
  <si>
    <t>0xF976</t>
  </si>
  <si>
    <t>0xF977</t>
  </si>
  <si>
    <t>0xF978</t>
  </si>
  <si>
    <t>0xF979</t>
  </si>
  <si>
    <t>0xF97A</t>
  </si>
  <si>
    <t>0xF97B</t>
  </si>
  <si>
    <t>0xF97C</t>
  </si>
  <si>
    <t>0xF97D</t>
  </si>
  <si>
    <t>0xF97E</t>
  </si>
  <si>
    <t>0xF97F</t>
  </si>
  <si>
    <t>0xF980</t>
  </si>
  <si>
    <t>0xF981</t>
  </si>
  <si>
    <t>0xF982</t>
  </si>
  <si>
    <t>0xF983</t>
  </si>
  <si>
    <t>0xF984</t>
  </si>
  <si>
    <t>0xF985</t>
  </si>
  <si>
    <t>0xF986</t>
  </si>
  <si>
    <t>0xF987</t>
  </si>
  <si>
    <t>0xF988</t>
  </si>
  <si>
    <t>0xF989</t>
  </si>
  <si>
    <t>0xF98A</t>
  </si>
  <si>
    <t>0xF98B</t>
  </si>
  <si>
    <t>0xF98C</t>
  </si>
  <si>
    <t>0xF98D</t>
  </si>
  <si>
    <t>0xF98E</t>
  </si>
  <si>
    <t>0xF98F</t>
  </si>
  <si>
    <t>0xF990</t>
  </si>
  <si>
    <t>0xF991</t>
  </si>
  <si>
    <t>0xF992</t>
  </si>
  <si>
    <t>0xF993</t>
  </si>
  <si>
    <t>0xF994</t>
  </si>
  <si>
    <t>0xF995</t>
  </si>
  <si>
    <t>0xF996</t>
  </si>
  <si>
    <t>0xF997</t>
  </si>
  <si>
    <t>0xF998</t>
  </si>
  <si>
    <t>0xF999</t>
  </si>
  <si>
    <t>0xF99A</t>
  </si>
  <si>
    <t>0xF99B</t>
  </si>
  <si>
    <t>0xF99C</t>
  </si>
  <si>
    <t>0xF99D</t>
  </si>
  <si>
    <t>0xF99E</t>
  </si>
  <si>
    <t>0xF99F</t>
  </si>
  <si>
    <t>0xF9A0</t>
  </si>
  <si>
    <t>0xF9A1</t>
  </si>
  <si>
    <t>0x2C</t>
  </si>
  <si>
    <t>0xF9A2</t>
  </si>
  <si>
    <t>0xF9A3</t>
  </si>
  <si>
    <t>0xF9A4</t>
  </si>
  <si>
    <t>0xF9A5</t>
  </si>
  <si>
    <t>0xF9A6</t>
  </si>
  <si>
    <t>0xF9A7</t>
  </si>
  <si>
    <t>0xF9A8</t>
  </si>
  <si>
    <t>0xF9A9</t>
  </si>
  <si>
    <t>0xF9AA</t>
  </si>
  <si>
    <t>0xF9AB</t>
  </si>
  <si>
    <t>0xF9AC</t>
  </si>
  <si>
    <t>0xF9AD</t>
  </si>
  <si>
    <t>0xF9AE</t>
  </si>
  <si>
    <t>0xF9AF</t>
  </si>
  <si>
    <t>0xE7</t>
  </si>
  <si>
    <t>0xF9B0</t>
  </si>
  <si>
    <t>0xF9B1</t>
  </si>
  <si>
    <t>0xF9B2</t>
  </si>
  <si>
    <t>0xF9B3</t>
  </si>
  <si>
    <t>0xF9B4</t>
  </si>
  <si>
    <t>0xF9B5</t>
  </si>
  <si>
    <t>0xF9B6</t>
  </si>
  <si>
    <t>0xF9B7</t>
  </si>
  <si>
    <t>0x25</t>
  </si>
  <si>
    <t>0xF9B8</t>
  </si>
  <si>
    <t>0xF9B9</t>
  </si>
  <si>
    <t>0xF9BA</t>
  </si>
  <si>
    <t>0xF9BB</t>
  </si>
  <si>
    <t>0xF9BC</t>
  </si>
  <si>
    <t>0xF9BD</t>
  </si>
  <si>
    <t>0xF9BE</t>
  </si>
  <si>
    <t>0xF9BF</t>
  </si>
  <si>
    <t>0x1C</t>
  </si>
  <si>
    <t>0xF9C0</t>
  </si>
  <si>
    <t>0xF9C1</t>
  </si>
  <si>
    <t>0x8B</t>
  </si>
  <si>
    <t>0xF9C2</t>
  </si>
  <si>
    <t>0xF9C3</t>
  </si>
  <si>
    <t>0xF9C4</t>
  </si>
  <si>
    <t>0xF9C5</t>
  </si>
  <si>
    <t>0xF9C6</t>
  </si>
  <si>
    <t>0xF9C7</t>
  </si>
  <si>
    <t>0xF9C8</t>
  </si>
  <si>
    <t>0xF9C9</t>
  </si>
  <si>
    <t>0x74</t>
  </si>
  <si>
    <t>0xF9CA</t>
  </si>
  <si>
    <t>0xF9CB</t>
  </si>
  <si>
    <t>0xF9CC</t>
  </si>
  <si>
    <t>0xF9CD</t>
  </si>
  <si>
    <t>0xF9CE</t>
  </si>
  <si>
    <t>0xF9CF</t>
  </si>
  <si>
    <t>0xF9D0</t>
  </si>
  <si>
    <t>0xF9D1</t>
  </si>
  <si>
    <t>0xF9D2</t>
  </si>
  <si>
    <t>0xF9D3</t>
  </si>
  <si>
    <t>0xF4</t>
  </si>
  <si>
    <t>0xF9D4</t>
  </si>
  <si>
    <t>0xF9D5</t>
  </si>
  <si>
    <t>0xF9D6</t>
  </si>
  <si>
    <t>0xF9D7</t>
  </si>
  <si>
    <t>0xF9D8</t>
  </si>
  <si>
    <t>0xF9D9</t>
  </si>
  <si>
    <t>0xF9DA</t>
  </si>
  <si>
    <t>0xF9DB</t>
  </si>
  <si>
    <t>0x0A</t>
  </si>
  <si>
    <t>0xF9DC</t>
  </si>
  <si>
    <t>0xF9DD</t>
  </si>
  <si>
    <t>0xF9DE</t>
  </si>
  <si>
    <t>0xF9DF</t>
  </si>
  <si>
    <t>0xF9E0</t>
  </si>
  <si>
    <t>0xF9E1</t>
  </si>
  <si>
    <t>0xE6</t>
  </si>
  <si>
    <t>0xF9E2</t>
  </si>
  <si>
    <t>0xF9E3</t>
  </si>
  <si>
    <t>0xF9E4</t>
  </si>
  <si>
    <t>0xF9E5</t>
  </si>
  <si>
    <t>0xF9E6</t>
  </si>
  <si>
    <t>0xF9E7</t>
  </si>
  <si>
    <t>0xF9E8</t>
  </si>
  <si>
    <t>0xF9E9</t>
  </si>
  <si>
    <t>0xEC</t>
  </si>
  <si>
    <t>0xF9EA</t>
  </si>
  <si>
    <t>0xF9EB</t>
  </si>
  <si>
    <t>0xF9EC</t>
  </si>
  <si>
    <t>0xF9ED</t>
  </si>
  <si>
    <t>0xF9EE</t>
  </si>
  <si>
    <t>0xF9EF</t>
  </si>
  <si>
    <t>0xF9F0</t>
  </si>
  <si>
    <t>0xF9F1</t>
  </si>
  <si>
    <t>0xF9F2</t>
  </si>
  <si>
    <t>0xF9F3</t>
  </si>
  <si>
    <t>0xF9F4</t>
  </si>
  <si>
    <t>0xF9F5</t>
  </si>
  <si>
    <t>0xF9F6</t>
  </si>
  <si>
    <t>0xF9F7</t>
  </si>
  <si>
    <t>0xF9F8</t>
  </si>
  <si>
    <t>0xF9F9</t>
  </si>
  <si>
    <t>0xF9FA</t>
  </si>
  <si>
    <t>0xF9FB</t>
  </si>
  <si>
    <t>0x97D8</t>
  </si>
  <si>
    <t>0x97D9</t>
  </si>
  <si>
    <t>0x97DA</t>
  </si>
  <si>
    <t>0x0B</t>
  </si>
  <si>
    <t>0x97DB</t>
  </si>
  <si>
    <t>0x38</t>
  </si>
  <si>
    <t>0x4331</t>
  </si>
  <si>
    <t>PHY_VIF Setting</t>
  </si>
  <si>
    <t>0x3304</t>
  </si>
  <si>
    <t>Register version</t>
  </si>
  <si>
    <t>C_VERSION</t>
  </si>
  <si>
    <t>A-2</t>
  </si>
  <si>
    <t>0x33F0</t>
  </si>
  <si>
    <t>T_VERSION</t>
  </si>
  <si>
    <t>0x33F1</t>
  </si>
  <si>
    <t>Signaling mode setting</t>
  </si>
  <si>
    <t>CSI_SIG_MODE</t>
  </si>
  <si>
    <t>0x0111</t>
  </si>
  <si>
    <t>Flip Mirror Setting</t>
  </si>
  <si>
    <t>IMG_ORIENTATION_V,IMG_ORIENTATION_H</t>
  </si>
  <si>
    <t>B-1</t>
  </si>
  <si>
    <t>0x0101</t>
  </si>
  <si>
    <t>Global Setting</t>
  </si>
  <si>
    <t>0x920C</t>
  </si>
  <si>
    <t>0x920E</t>
  </si>
  <si>
    <t>0x6C</t>
  </si>
  <si>
    <t>0x920F</t>
  </si>
  <si>
    <t>0x9210</t>
  </si>
  <si>
    <t>0x9212</t>
  </si>
  <si>
    <t>0x9213</t>
  </si>
  <si>
    <t>0xD9</t>
  </si>
  <si>
    <t>0x9214</t>
  </si>
  <si>
    <t>0x9216</t>
  </si>
  <si>
    <t>0x62</t>
  </si>
  <si>
    <t>0x9217</t>
  </si>
  <si>
    <t>0x9B</t>
  </si>
  <si>
    <t>0x9218</t>
  </si>
  <si>
    <t>0x921A</t>
  </si>
  <si>
    <t>0x7D</t>
  </si>
  <si>
    <t>0x921B</t>
  </si>
  <si>
    <t>0x68</t>
  </si>
  <si>
    <t>0x921C</t>
  </si>
  <si>
    <t>0x921E</t>
  </si>
  <si>
    <t>0x921F</t>
  </si>
  <si>
    <t>0x7B</t>
  </si>
  <si>
    <t>0x9220</t>
  </si>
  <si>
    <t>0x9222</t>
  </si>
  <si>
    <t>0x9223</t>
  </si>
  <si>
    <t>0x8E</t>
  </si>
  <si>
    <t>0x9224</t>
  </si>
  <si>
    <t>0x9226</t>
  </si>
  <si>
    <t>0x9227</t>
  </si>
  <si>
    <t>0x9228</t>
  </si>
  <si>
    <t>0x922A</t>
  </si>
  <si>
    <t>0x922B</t>
  </si>
  <si>
    <t>0x922C</t>
  </si>
  <si>
    <t>0x922E</t>
  </si>
  <si>
    <t>0x922F</t>
  </si>
  <si>
    <t>0x9230</t>
  </si>
  <si>
    <t>0x9232</t>
  </si>
  <si>
    <t>0x9233</t>
  </si>
  <si>
    <t>0x9234</t>
  </si>
  <si>
    <t>0x9236</t>
  </si>
  <si>
    <t>0x9237</t>
  </si>
  <si>
    <t>0x9238</t>
  </si>
  <si>
    <t>0x923A</t>
  </si>
  <si>
    <t>0x923B</t>
  </si>
  <si>
    <t>0x923C</t>
  </si>
  <si>
    <t>0x923E</t>
  </si>
  <si>
    <t>0x923F</t>
  </si>
  <si>
    <t>0x9240</t>
  </si>
  <si>
    <t>0x9242</t>
  </si>
  <si>
    <t>0x9243</t>
  </si>
  <si>
    <t>0x9244</t>
  </si>
  <si>
    <t>0x9246</t>
  </si>
  <si>
    <t>0x9247</t>
  </si>
  <si>
    <t>0x6D</t>
  </si>
  <si>
    <t>0x9248</t>
  </si>
  <si>
    <t>0x924A</t>
  </si>
  <si>
    <t>0x924B</t>
  </si>
  <si>
    <t>0xA71E</t>
  </si>
  <si>
    <t>0xA722</t>
  </si>
  <si>
    <t>0x0D</t>
  </si>
  <si>
    <t>0xAD01</t>
  </si>
  <si>
    <t>0xAD02</t>
  </si>
  <si>
    <t>0xAD0E</t>
  </si>
  <si>
    <t>0xAE48</t>
  </si>
  <si>
    <t>0xAE49</t>
  </si>
  <si>
    <t>0x61</t>
  </si>
  <si>
    <t>0xAE4A</t>
  </si>
  <si>
    <t>0xAE4B</t>
  </si>
  <si>
    <t>0xDF</t>
  </si>
  <si>
    <t>0xAE4C</t>
  </si>
  <si>
    <t>0xAE4D</t>
  </si>
  <si>
    <t>0xAE4E</t>
  </si>
  <si>
    <t>0xAE4F</t>
  </si>
  <si>
    <t>0xAE50</t>
  </si>
  <si>
    <t>0xAE51</t>
  </si>
  <si>
    <t>0xAE52</t>
  </si>
  <si>
    <t>0xAE53</t>
  </si>
  <si>
    <t>0xAEA3</t>
  </si>
  <si>
    <t>0xAEA9</t>
  </si>
  <si>
    <t>0xAEBB</t>
  </si>
  <si>
    <t>0xAA</t>
  </si>
  <si>
    <t>0xAEBD</t>
  </si>
  <si>
    <t>0xAEC1</t>
  </si>
  <si>
    <t>0xAEC3</t>
  </si>
  <si>
    <t>0x2E</t>
  </si>
  <si>
    <t>0xAEC9</t>
  </si>
  <si>
    <t>0x78</t>
  </si>
  <si>
    <t>0xAECF</t>
  </si>
  <si>
    <t>0xAED3</t>
  </si>
  <si>
    <t>0xAED5</t>
  </si>
  <si>
    <t>0xAED9</t>
  </si>
  <si>
    <t>0xAEDB</t>
  </si>
  <si>
    <t>0xAEF7</t>
  </si>
  <si>
    <t>0xAEF9</t>
  </si>
  <si>
    <t>0xAF5B</t>
  </si>
  <si>
    <t>0xAF5D</t>
  </si>
  <si>
    <t>3Lane</t>
  </si>
  <si>
    <t>reg_0_0</t>
  </si>
  <si>
    <t>reg_1</t>
  </si>
  <si>
    <t>reg_2</t>
  </si>
  <si>
    <t>reg_3</t>
  </si>
  <si>
    <t>reg_4</t>
  </si>
  <si>
    <t>reg_5</t>
  </si>
  <si>
    <t>reg_6</t>
  </si>
  <si>
    <t>reg_7</t>
  </si>
  <si>
    <t>reg_8</t>
  </si>
  <si>
    <t>reg_9</t>
  </si>
  <si>
    <t>reg_10</t>
  </si>
  <si>
    <t>reg_11</t>
  </si>
  <si>
    <t>reg_12</t>
  </si>
  <si>
    <t>reg_13</t>
  </si>
  <si>
    <t>reg_14</t>
  </si>
  <si>
    <t>reg_1_1</t>
  </si>
  <si>
    <t>Full resolution (RMSC) w/ All-PD</t>
  </si>
  <si>
    <t>2x2 Adjacent Pixel Binning (Vbin) w/ All-PD</t>
  </si>
  <si>
    <t>DAG(4:1)2x2 Adjacent Pixel Binning DAG-HDR w/ Partial-PD, HSG</t>
  </si>
  <si>
    <t>2x2 Adjacent Pixel Binning w/Partial PD</t>
  </si>
  <si>
    <t xml:space="preserve">2x2 Adjacent Pixel Binning V2H2 </t>
  </si>
  <si>
    <t>2x2 Adjacent Pixel Binning (Vbin) V2H2 w/ All-PD</t>
  </si>
  <si>
    <t>Full resolution (RAW) w/ All-PD</t>
  </si>
  <si>
    <t>2x2 Adjacent Pixel Binning DAG-HDR w/ Partial-PD, HSG</t>
  </si>
  <si>
    <t>H: 8192</t>
  </si>
  <si>
    <t>H: 4096</t>
  </si>
  <si>
    <t>H: 2048</t>
  </si>
  <si>
    <t>H: 3840</t>
  </si>
  <si>
    <t>V: 6144</t>
  </si>
  <si>
    <t>V: 3072</t>
  </si>
  <si>
    <t>V: 2304</t>
  </si>
  <si>
    <t>V: 1152</t>
  </si>
  <si>
    <t>V: 1536</t>
  </si>
  <si>
    <t>V: 2160</t>
  </si>
  <si>
    <t>MIPI output setting</t>
  </si>
  <si>
    <t>CSI_DT_FMT_H</t>
  </si>
  <si>
    <t>0x0112</t>
  </si>
  <si>
    <t>CSI_DT_FMT_L</t>
  </si>
  <si>
    <t>0x0113</t>
  </si>
  <si>
    <t>CSI_LANE_MODE</t>
  </si>
  <si>
    <t>0x0114</t>
  </si>
  <si>
    <t>0x319A</t>
  </si>
  <si>
    <t>0x319B</t>
  </si>
  <si>
    <t>0x3239</t>
  </si>
  <si>
    <t>Line Length PCK Setting</t>
  </si>
  <si>
    <t>LINE_LENGTH_PCK[15:8]</t>
  </si>
  <si>
    <t>0x48</t>
  </si>
  <si>
    <t>0x0342</t>
  </si>
  <si>
    <t>0x36</t>
  </si>
  <si>
    <t>0x37</t>
  </si>
  <si>
    <t>LINE_LENGTH_PCK[7:0]</t>
  </si>
  <si>
    <t>0x0343</t>
  </si>
  <si>
    <t>0xB0</t>
  </si>
  <si>
    <t>0xE0</t>
  </si>
  <si>
    <t>0x3850</t>
  </si>
  <si>
    <t>0x3851</t>
  </si>
  <si>
    <t>0xD3</t>
  </si>
  <si>
    <t>0x7E</t>
  </si>
  <si>
    <t>0x4C</t>
  </si>
  <si>
    <t>0x77</t>
  </si>
  <si>
    <t>Frame Length Lines Setting</t>
  </si>
  <si>
    <t>FRM_LENGTH_LINES[15:8]</t>
  </si>
  <si>
    <t>0x0340</t>
  </si>
  <si>
    <t>FRM_LENGTH_LINES[7:0]</t>
  </si>
  <si>
    <t>0xAF</t>
  </si>
  <si>
    <t>0x0341</t>
  </si>
  <si>
    <t>0x33</t>
  </si>
  <si>
    <t>0xCF</t>
  </si>
  <si>
    <t>0x99</t>
  </si>
  <si>
    <t>0x66</t>
  </si>
  <si>
    <t>0x46</t>
  </si>
  <si>
    <t>ROI Setting</t>
  </si>
  <si>
    <t>X_ADD_STA[13:8]</t>
  </si>
  <si>
    <t>0x0344</t>
  </si>
  <si>
    <t>X_ADD_STA[7:0]</t>
  </si>
  <si>
    <t>0x0345</t>
  </si>
  <si>
    <t>Y_ADD_STA[12:8]</t>
  </si>
  <si>
    <t>0x0346</t>
  </si>
  <si>
    <t>Y_ADD_STA[7:0]</t>
  </si>
  <si>
    <t>0x0347</t>
  </si>
  <si>
    <t>X_ADD_END[13:8]</t>
  </si>
  <si>
    <t>0x1F</t>
  </si>
  <si>
    <t>0x0348</t>
  </si>
  <si>
    <t>X_ADD_END[7:0]</t>
  </si>
  <si>
    <t>0x0349</t>
  </si>
  <si>
    <t>Y_ADD_END[12:8]</t>
  </si>
  <si>
    <t>0x034A</t>
  </si>
  <si>
    <t>Y_ADD_END[7:0]</t>
  </si>
  <si>
    <t>0x034B</t>
  </si>
  <si>
    <t>Mode Setting</t>
  </si>
  <si>
    <t>BINNING_MODE</t>
  </si>
  <si>
    <t>0x0900</t>
  </si>
  <si>
    <t>BINNING_TYPE_H,BINNING_TYPE_V</t>
  </si>
  <si>
    <t>0x0901</t>
  </si>
  <si>
    <t>BINNING_WEIGHTING</t>
  </si>
  <si>
    <t>0x0902</t>
  </si>
  <si>
    <t>0x3005</t>
  </si>
  <si>
    <t>0x3006</t>
  </si>
  <si>
    <t>0x3140</t>
  </si>
  <si>
    <t>0x3144</t>
  </si>
  <si>
    <t>0x3148</t>
  </si>
  <si>
    <t>0x31C0</t>
  </si>
  <si>
    <t>0x43</t>
  </si>
  <si>
    <t>0x31C1</t>
  </si>
  <si>
    <t>0x3205</t>
  </si>
  <si>
    <t>0x323C</t>
  </si>
  <si>
    <t>Digital Crop &amp; Scaling</t>
  </si>
  <si>
    <t>DIG_CROP_X_OFFSET[13:8]</t>
  </si>
  <si>
    <t>0x0408</t>
  </si>
  <si>
    <t>DIG_CROP_X_OFFSET[7:0]</t>
  </si>
  <si>
    <t>0x0409</t>
  </si>
  <si>
    <t>DIG_CROP_Y_OFFSET[12:8]</t>
  </si>
  <si>
    <t>0x040A</t>
  </si>
  <si>
    <t>DIG_CROP_Y_OFFSET[7:0]</t>
  </si>
  <si>
    <t>0x040B</t>
  </si>
  <si>
    <t>DIG_CROP_IMAGE_WIDTH[13:8]</t>
  </si>
  <si>
    <t>0x040C</t>
  </si>
  <si>
    <t>DIG_CROP_IMAGE_WIDTH[7:0]</t>
  </si>
  <si>
    <t>0x040D</t>
  </si>
  <si>
    <t>DIG_CROP_IMAGE_HEIGHT[12:8]</t>
  </si>
  <si>
    <t>0x040E</t>
  </si>
  <si>
    <t>DIG_CROP_IMAGE_HEIGHT[7:0]</t>
  </si>
  <si>
    <t>0x040F</t>
  </si>
  <si>
    <t>0x70</t>
  </si>
  <si>
    <t>Output Size Setting</t>
  </si>
  <si>
    <t>X_OUT_SIZE[13:8]</t>
  </si>
  <si>
    <t>0x034C</t>
  </si>
  <si>
    <t>X_OUT_SIZE[7:0]</t>
  </si>
  <si>
    <t>0x034D</t>
  </si>
  <si>
    <t>Y_OUT_SIZE[12:8]</t>
  </si>
  <si>
    <t>0x034E</t>
  </si>
  <si>
    <t>Y_OUT_SIZE[7:0]</t>
  </si>
  <si>
    <t>0x034F</t>
  </si>
  <si>
    <t>Clock Setting</t>
  </si>
  <si>
    <t>IVT_PXCK_DIV</t>
  </si>
  <si>
    <t>0x0301</t>
  </si>
  <si>
    <t>IVT_SYCK_DIV</t>
  </si>
  <si>
    <t>0x0303</t>
  </si>
  <si>
    <t>IVT_PREPLLCK_DIV</t>
  </si>
  <si>
    <t>0x0305</t>
  </si>
  <si>
    <t>IVT_PLL_MPY[10:8]</t>
  </si>
  <si>
    <t>0x0306</t>
  </si>
  <si>
    <t>IVT_PLL_MPY[7:0]</t>
  </si>
  <si>
    <t>0x6E</t>
  </si>
  <si>
    <t>0x0307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</si>
  <si>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</si>
  <si>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</si>
  <si>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</si>
  <si>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</si>
  <si>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</si>
  <si>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</si>
  <si>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</si>
  <si>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</si>
  <si>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</si>
  <si>
    <t>0x3104</t>
  </si>
  <si>
    <t>0x324C</t>
  </si>
  <si>
    <t>0x3800</t>
  </si>
  <si>
    <t>0x3801</t>
  </si>
  <si>
    <t>0x3802</t>
  </si>
  <si>
    <t>0x3803</t>
  </si>
  <si>
    <t>0x3804</t>
  </si>
  <si>
    <t>0x3805</t>
  </si>
  <si>
    <t>0xEA</t>
  </si>
  <si>
    <t>0x3806</t>
  </si>
  <si>
    <t>0x3807</t>
  </si>
  <si>
    <t>0x3808</t>
  </si>
  <si>
    <t>0x3809</t>
  </si>
  <si>
    <t>0x380A</t>
  </si>
  <si>
    <t>0x380B</t>
  </si>
  <si>
    <t>0x380C</t>
  </si>
  <si>
    <t>0x380D</t>
  </si>
  <si>
    <t>0x380E</t>
  </si>
  <si>
    <t>0x380F</t>
  </si>
  <si>
    <t>0x3810</t>
  </si>
  <si>
    <t>0x3811</t>
  </si>
  <si>
    <t>0x3812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</si>
  <si>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</si>
  <si>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</si>
  <si>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</si>
  <si>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</si>
  <si>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</si>
  <si>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</si>
  <si>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</si>
  <si>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</si>
  <si>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</si>
  <si>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</si>
  <si>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</si>
  <si>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</si>
  <si>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</si>
  <si>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</si>
  <si>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</si>
  <si>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</si>
  <si>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</si>
  <si>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</si>
  <si>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</si>
  <si>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</si>
  <si>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0x38E8</t>
  </si>
  <si>
    <t>0x38E9</t>
  </si>
  <si>
    <t>0x39AC</t>
  </si>
  <si>
    <t>0x3B00</t>
  </si>
  <si>
    <t>0x3B01</t>
  </si>
  <si>
    <t>0x3B04</t>
  </si>
  <si>
    <t>0x3B05</t>
  </si>
  <si>
    <t>0x3B06</t>
  </si>
  <si>
    <t>0x3B07</t>
  </si>
  <si>
    <t>0x3B0A</t>
  </si>
  <si>
    <t>0x3B0B</t>
  </si>
  <si>
    <t>0x5EFC</t>
  </si>
  <si>
    <t>0x5EFD</t>
  </si>
  <si>
    <t>0x5EFE</t>
  </si>
  <si>
    <t>0x5EFF</t>
  </si>
  <si>
    <t>0x5F0C</t>
  </si>
  <si>
    <t>0x5F0D</t>
  </si>
  <si>
    <t>0x5F0E</t>
  </si>
  <si>
    <t>0x5F0F</t>
  </si>
  <si>
    <t>0x5F14</t>
  </si>
  <si>
    <t>0x5F15</t>
  </si>
  <si>
    <t>0x5F1A</t>
  </si>
  <si>
    <t>0x5F1B</t>
  </si>
  <si>
    <t>0x5F28</t>
  </si>
  <si>
    <t>0x81</t>
  </si>
  <si>
    <t>0x5F29</t>
  </si>
  <si>
    <t>0x5F2C</t>
  </si>
  <si>
    <t>0x5F2D</t>
  </si>
  <si>
    <t>0x5F3A</t>
  </si>
  <si>
    <t>0x5F3B</t>
  </si>
  <si>
    <t>0x5F3E</t>
  </si>
  <si>
    <t>0x5F3F</t>
  </si>
  <si>
    <t>0x5F8C</t>
  </si>
  <si>
    <t>0x5F8D</t>
  </si>
  <si>
    <t>0x5FAE</t>
  </si>
  <si>
    <t>0x5FAF</t>
  </si>
  <si>
    <t>0x5FD4</t>
  </si>
  <si>
    <t>0x5FD5</t>
  </si>
  <si>
    <t>0x6012</t>
  </si>
  <si>
    <t>0x6013</t>
  </si>
  <si>
    <t>0x716A</t>
  </si>
  <si>
    <t>0x716B</t>
  </si>
  <si>
    <t>0x716C</t>
  </si>
  <si>
    <t>0x716D</t>
  </si>
  <si>
    <t>0x718C</t>
  </si>
  <si>
    <t>0x718D</t>
  </si>
  <si>
    <t>0x71C8</t>
  </si>
  <si>
    <t>0x71C9</t>
  </si>
  <si>
    <t>0x740E</t>
  </si>
  <si>
    <t>0x740F</t>
  </si>
  <si>
    <t>0x7410</t>
  </si>
  <si>
    <t>0x7411</t>
  </si>
  <si>
    <t>0x7422</t>
  </si>
  <si>
    <t>0x7423</t>
  </si>
  <si>
    <t>0x7424</t>
  </si>
  <si>
    <t>0x7425</t>
  </si>
  <si>
    <t>0x7F78</t>
  </si>
  <si>
    <t>0x7F7B</t>
  </si>
  <si>
    <t>0x7F87</t>
  </si>
  <si>
    <t>0x8258</t>
  </si>
  <si>
    <t>0x8321</t>
  </si>
  <si>
    <t>0x833B</t>
  </si>
  <si>
    <t>Integration Setting</t>
  </si>
  <si>
    <t>COARSE_INTEG_TIME[15:8]</t>
  </si>
  <si>
    <t>0x0202</t>
  </si>
  <si>
    <t>COARSE_INTEG_TIME[7:0]</t>
  </si>
  <si>
    <t>0x0203</t>
  </si>
  <si>
    <t>Gain Setting</t>
  </si>
  <si>
    <t>ANA_GAIN_GLOBAL[13:8]</t>
  </si>
  <si>
    <t>0x0204</t>
  </si>
  <si>
    <t>ANA_GAIN_GLOBAL[7:0]</t>
  </si>
  <si>
    <t>0x0205</t>
  </si>
  <si>
    <t>DIG_GAIN_GLOBAL[15:8]</t>
  </si>
  <si>
    <t>0x020E</t>
  </si>
  <si>
    <t>DIG_GAIN_GLOBAL[7:0]</t>
  </si>
  <si>
    <t>0x020F</t>
  </si>
  <si>
    <t>DAG-HDR Setting</t>
  </si>
  <si>
    <t>0x3184</t>
  </si>
  <si>
    <t>0x3186</t>
  </si>
  <si>
    <t>0x320B</t>
  </si>
  <si>
    <t>Flicker Setting</t>
  </si>
  <si>
    <t>0x3107</t>
  </si>
  <si>
    <t>0x3264</t>
  </si>
  <si>
    <t>0x3265</t>
  </si>
  <si>
    <t>0x3266</t>
  </si>
  <si>
    <t>0x3267</t>
  </si>
  <si>
    <t>0x3268</t>
  </si>
  <si>
    <t>PDAF TYPE2 Setting</t>
  </si>
  <si>
    <t>0x3103</t>
  </si>
  <si>
    <t>0x3422</t>
  </si>
  <si>
    <t>0x3423</t>
  </si>
  <si>
    <t>PDAF TYPE2 Output Data Setting</t>
  </si>
  <si>
    <t>0x3978</t>
  </si>
  <si>
    <t>Gain Setting2</t>
  </si>
  <si>
    <t>ST_ANA_GAIN_GLOBAL[13:8]</t>
  </si>
  <si>
    <t>0x0216</t>
  </si>
  <si>
    <t>ST_ANA_GAIN_GLOBAL[7:0]</t>
  </si>
  <si>
    <t>0x0217</t>
  </si>
  <si>
    <t>ST_DIG_GAIN_GLOBAL[15:8]</t>
  </si>
  <si>
    <t>0x0218</t>
  </si>
  <si>
    <t>ST_DIG_GAIN_GLOBAL[7:0]</t>
  </si>
  <si>
    <t>0x0219</t>
  </si>
  <si>
    <t>Flicker VCID Setting</t>
  </si>
  <si>
    <t>0x30AC</t>
  </si>
  <si>
    <t>0x30F6</t>
  </si>
  <si>
    <t>Flicker data type Setting</t>
  </si>
  <si>
    <t>0x30AD</t>
  </si>
  <si>
    <t>PHASE PIX VCID Setting</t>
  </si>
  <si>
    <t>0x30A4</t>
  </si>
  <si>
    <t>0x30A6</t>
  </si>
  <si>
    <t>0x30F2</t>
  </si>
  <si>
    <t>0x30F3</t>
  </si>
  <si>
    <t>PHASE PIX data type Setting</t>
  </si>
  <si>
    <t>0x30A5</t>
  </si>
  <si>
    <t>0x30A7</t>
  </si>
  <si>
    <t>PDAF TYPE2 VCID Setting</t>
  </si>
  <si>
    <t>0x30A2</t>
  </si>
  <si>
    <t>0x30F1</t>
  </si>
  <si>
    <t>PDAF TYPE2 data type Setting</t>
  </si>
  <si>
    <t>0x30A3</t>
  </si>
  <si>
    <t>Additional Mode Setting2</t>
  </si>
  <si>
    <t>0x3953</t>
  </si>
  <si>
    <t>0x3954</t>
  </si>
  <si>
    <t>0x3955</t>
  </si>
  <si>
    <t>0x320D</t>
  </si>
  <si>
    <t>0x34F0</t>
  </si>
  <si>
    <t>0x34F1</t>
  </si>
  <si>
    <t>Streaming setting</t>
  </si>
  <si>
    <t>0x0100</t>
  </si>
  <si>
    <t>PLL Lock Up Time + Wake-Up Time -&gt; Init. Time</t>
  </si>
  <si>
    <t>Streaming</t>
  </si>
  <si>
    <t>Software Standby settings</t>
  </si>
  <si>
    <t>PDAF Setting</t>
  </si>
  <si>
    <t>Streaming settings</t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</si>
  <si>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</si>
  <si>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</si>
  <si>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</si>
  <si>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</si>
  <si>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</si>
  <si>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</si>
  <si>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</si>
  <si>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</si>
  <si>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</si>
  <si>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DT_FMT</t>
  </si>
  <si>
    <t>INCK
[MHz]</t>
  </si>
  <si>
    <t>OPSYCK system</t>
  </si>
  <si>
    <t>VTPXCK system</t>
  </si>
  <si>
    <t>FPS</t>
  </si>
  <si>
    <t>max.
FPS</t>
  </si>
  <si>
    <t>Ana Gain
min.
(code value)</t>
  </si>
  <si>
    <t>Ana Gain
max.
(code value)</t>
  </si>
  <si>
    <t>Vertical direction [unit:line]</t>
  </si>
  <si>
    <t>Horizontal direction [unit:pix]</t>
  </si>
  <si>
    <t>Sub-sampling</t>
  </si>
  <si>
    <t>Binning</t>
  </si>
  <si>
    <t>Scaler</t>
  </si>
  <si>
    <t>OPSYCK</t>
  </si>
  <si>
    <t>VTPXCK</t>
  </si>
  <si>
    <t>ADCK</t>
  </si>
  <si>
    <t>CPCK</t>
  </si>
  <si>
    <t>PCLK</t>
  </si>
  <si>
    <t>MDBCK</t>
  </si>
  <si>
    <t>Horizontal</t>
  </si>
  <si>
    <t>Vertical</t>
  </si>
  <si>
    <t>H</t>
  </si>
  <si>
    <t>V</t>
  </si>
  <si>
    <t>preDiv</t>
  </si>
  <si>
    <t>PLL Multiply</t>
  </si>
  <si>
    <t>PLL
[MHz]</t>
  </si>
  <si>
    <t>Pixel rate
[Mpps]</t>
  </si>
  <si>
    <t xml:space="preserve">Data rate
[Msps/Trio] </t>
  </si>
  <si>
    <t>min.FLL</t>
  </si>
  <si>
    <t>Emb</t>
  </si>
  <si>
    <t>Active 
Pixels</t>
  </si>
  <si>
    <t>Flicker</t>
  </si>
  <si>
    <t>Phase difference pixel</t>
  </si>
  <si>
    <t>LR sensitivity data</t>
  </si>
  <si>
    <t>LR sensitivity data (HG)</t>
  </si>
  <si>
    <t>LR sensitivity data (LG)</t>
  </si>
  <si>
    <t>Blanking</t>
  </si>
  <si>
    <t>OPB-PVSTA</t>
  </si>
  <si>
    <t>frame_length
_lines</t>
  </si>
  <si>
    <t>NUM_DOL</t>
  </si>
  <si>
    <t>line_length_
pck</t>
  </si>
  <si>
    <t>line_length_
inck</t>
  </si>
  <si>
    <t>Tline</t>
  </si>
  <si>
    <t>FLL for VBLK calc.</t>
  </si>
  <si>
    <t>System
Div</t>
  </si>
  <si>
    <t>OPSYCK
[MHz]</t>
  </si>
  <si>
    <t>Pixel
Div</t>
  </si>
  <si>
    <t>VTPXCK
[MHz]</t>
  </si>
  <si>
    <t>div</t>
  </si>
  <si>
    <t>[MHz]</t>
  </si>
  <si>
    <t>PHASE_PIX_COUNT</t>
  </si>
  <si>
    <t>PLL mode</t>
  </si>
  <si>
    <t>x_add_sta</t>
  </si>
  <si>
    <t>x_add_end</t>
  </si>
  <si>
    <t>y_add_sta</t>
  </si>
  <si>
    <t>y_add_end</t>
  </si>
  <si>
    <t>DIG_CROP_IMAGE_WIDTH</t>
  </si>
  <si>
    <t>DIG_CROP_IMAGE_HEIGHT</t>
  </si>
  <si>
    <t>Ratio of CIT
in DOL</t>
  </si>
  <si>
    <t>Ratio of GAIN
in Dual Gain HDR</t>
  </si>
  <si>
    <t>0_0</t>
  </si>
  <si>
    <t>Normal</t>
  </si>
  <si>
    <t>RAW10</t>
  </si>
  <si>
    <t>0dB(0)</t>
  </si>
  <si>
    <t>24dB(15359)</t>
  </si>
  <si>
    <t>Dual</t>
  </si>
  <si>
    <t>Analog addition average</t>
  </si>
  <si>
    <t>36dB(16128)</t>
  </si>
  <si>
    <t>DAG-HDR</t>
  </si>
  <si>
    <t>RAW12</t>
  </si>
  <si>
    <t>12dB(0)</t>
  </si>
  <si>
    <t>36dB(15359)</t>
  </si>
  <si>
    <t>DAG(4:1)2x2 Adjacent Pixel Binning DAG-HDR w/ Partial-PD, LSG</t>
  </si>
  <si>
    <t>2x2 Adjacent Pixel Binning DAG-HDR w/ Partial-PD, LSG</t>
  </si>
  <si>
    <t>1_1</t>
  </si>
  <si>
    <t>res1</t>
  </si>
  <si>
    <t>pre</t>
  </si>
  <si>
    <t>cap</t>
  </si>
  <si>
    <t>slim_video</t>
  </si>
  <si>
    <t>Gain Table</t>
  </si>
  <si>
    <t xml:space="preserve">ana_gain_global
</t>
  </si>
  <si>
    <t>Normalized 
Gain[dB]</t>
  </si>
  <si>
    <t>Normalized
 Gain[x]</t>
  </si>
  <si>
    <t>Please set up "Global Timing" according to a data rate.</t>
  </si>
  <si>
    <t>Register Setting Value for Global Timing(Register Setting Value is displayed in decimal.)</t>
  </si>
  <si>
    <t>settable Global Timing</t>
  </si>
  <si>
    <t>symbol rate / trio
(=Rate)</t>
  </si>
  <si>
    <t>300 [Msps/trio] &lt;= Rate &lt; 448 [Msps/trio]</t>
  </si>
  <si>
    <t>448 [Msps/trio] &lt;= Rate &lt; 672 [Msps/trio]</t>
  </si>
  <si>
    <t>672 [Msps/trio] &lt;= Rate &lt; 896 [Msps/trio]</t>
  </si>
  <si>
    <t>896 [Msps/trio] &lt;= Rate &lt; 1120 [Msps/trio]</t>
  </si>
  <si>
    <t>1120 [Msps/trio] &lt;= Rate &lt; 1344 [Msps/trio]</t>
  </si>
  <si>
    <t>1344 [Msps/trio] &lt;= Rate &lt; 1568 [Msps/trio]</t>
  </si>
  <si>
    <t>1568 [Msps/trio] &lt;= Rate &lt; 1792 [Msps/trio]</t>
  </si>
  <si>
    <t>1792 [Msps/trio] &lt;= Rate &lt; 2016 [Msps/trio]</t>
  </si>
  <si>
    <t>2016 [Msps/trio] &lt;= Rate &lt; 2240 [Msps/trio]</t>
  </si>
  <si>
    <t>2240 [Msps/trio] &lt;= Rate &lt;= 2400 [Msps/trio]</t>
  </si>
  <si>
    <t>Table No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</si>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</sst>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0.00_ "/>
    <numFmt numFmtId="177" formatCode="0.00_);[Red]\(0.00\)"/>
    <numFmt numFmtId="178" formatCode="0_ "/>
    <numFmt numFmtId="179" formatCode="0.00&quot;ms&quot;"/>
    <numFmt numFmtId="180" formatCode="0.00&quot;us&quot;"/>
    <numFmt numFmtId="181" formatCode="0.0_ "/>
    <numFmt numFmtId="182" formatCode="&quot;Ver&quot;0.0"/>
    <numFmt numFmtId="183" formatCode="yyyy/mm/dd"/>
  </numFmts>
  <fonts count="47">
    <font>
      <sz val="11"/>
      <name val="ＭＳ Ｐゴシック"/>
      <charset val="128"/>
    </font>
    <font>
      <sz val="11"/>
      <name val="Calibri"/>
      <charset val="134"/>
    </font>
    <font>
      <b/>
      <sz val="11"/>
      <color theme="0"/>
      <name val="Calibri"/>
      <charset val="134"/>
    </font>
    <font>
      <b/>
      <sz val="10"/>
      <color theme="0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sz val="10"/>
      <color indexed="8"/>
      <name val="Calibri"/>
      <charset val="134"/>
    </font>
    <font>
      <b/>
      <u/>
      <sz val="28"/>
      <color theme="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b/>
      <sz val="11"/>
      <color theme="3" tint="0.599993896298105"/>
      <name val="Calibri"/>
      <charset val="134"/>
    </font>
    <font>
      <sz val="8"/>
      <name val="メイリオ"/>
      <charset val="128"/>
    </font>
    <font>
      <sz val="10"/>
      <name val="メイリオ"/>
      <charset val="128"/>
    </font>
    <font>
      <sz val="9"/>
      <name val="メイリオ"/>
      <charset val="128"/>
    </font>
    <font>
      <b/>
      <sz val="10"/>
      <color theme="0"/>
      <name val="メイリオ"/>
      <charset val="128"/>
    </font>
    <font>
      <sz val="11"/>
      <color indexed="12"/>
      <name val="メイリオ"/>
      <charset val="128"/>
    </font>
    <font>
      <sz val="11"/>
      <name val="メイリオ"/>
      <charset val="128"/>
    </font>
    <font>
      <sz val="18"/>
      <name val="メイリオ"/>
      <charset val="128"/>
    </font>
    <font>
      <sz val="9"/>
      <color indexed="12"/>
      <name val="メイリオ"/>
      <charset val="128"/>
    </font>
    <font>
      <b/>
      <sz val="9"/>
      <color indexed="9"/>
      <name val="メイリオ"/>
      <charset val="128"/>
    </font>
    <font>
      <b/>
      <sz val="10"/>
      <color indexed="9"/>
      <name val="メイリオ"/>
      <charset val="128"/>
    </font>
    <font>
      <sz val="10"/>
      <color indexed="8"/>
      <name val="メイリオ"/>
      <charset val="128"/>
    </font>
    <font>
      <sz val="10"/>
      <color theme="0"/>
      <name val="メイリオ"/>
      <charset val="128"/>
    </font>
    <font>
      <sz val="10"/>
      <color theme="1"/>
      <name val="メイリオ"/>
      <charset val="128"/>
    </font>
    <font>
      <sz val="8"/>
      <color indexed="12"/>
      <name val="Calibri"/>
      <charset val="134"/>
    </font>
    <font>
      <b/>
      <sz val="12"/>
      <color theme="0"/>
      <name val="Calibri"/>
      <charset val="134"/>
    </font>
    <font>
      <b/>
      <sz val="11.5"/>
      <color rgb="FFFF0000"/>
      <name val="Calibri"/>
      <charset val="134"/>
    </font>
    <font>
      <b/>
      <sz val="8"/>
      <color indexed="12"/>
      <name val="Calibri"/>
      <charset val="134"/>
    </font>
    <font>
      <b/>
      <sz val="10"/>
      <name val="Calibri"/>
      <charset val="134"/>
    </font>
    <font>
      <sz val="10"/>
      <color theme="1"/>
      <name val="ＭＳ Ｐゴシック"/>
      <charset val="128"/>
    </font>
    <font>
      <sz val="8"/>
      <color rgb="FF0000FF"/>
      <name val="メイリオ"/>
      <charset val="128"/>
    </font>
    <font>
      <sz val="10"/>
      <color rgb="FF0000FF"/>
      <name val="ＭＳ Ｐゴシック"/>
      <charset val="128"/>
    </font>
    <font>
      <sz val="9"/>
      <color theme="1"/>
      <name val="Calibri"/>
      <charset val="134"/>
    </font>
    <font>
      <sz val="8"/>
      <color rgb="FF0000FF"/>
      <name val="Calibri"/>
      <charset val="134"/>
    </font>
    <font>
      <sz val="10"/>
      <name val="ＭＳ Ｐゴシック"/>
      <charset val="128"/>
    </font>
    <font>
      <sz val="10"/>
      <color indexed="10"/>
      <name val="Calibri"/>
      <charset val="134"/>
    </font>
    <font>
      <sz val="10"/>
      <color rgb="FF0000FF"/>
      <name val="Calibri"/>
      <charset val="134"/>
    </font>
    <font>
      <sz val="8"/>
      <name val="Calibri"/>
      <charset val="134"/>
    </font>
    <font>
      <sz val="8"/>
      <color theme="1"/>
      <name val="Calibri"/>
      <charset val="134"/>
    </font>
    <font>
      <sz val="8"/>
      <color indexed="8"/>
      <name val="Calibri"/>
      <charset val="134"/>
    </font>
    <font>
      <sz val="10"/>
      <color indexed="12"/>
      <name val="Calibri"/>
      <charset val="134"/>
    </font>
    <font>
      <sz val="10"/>
      <color rgb="FFFF0000"/>
      <name val="Calibri"/>
      <charset val="134"/>
    </font>
    <font>
      <b/>
      <sz val="11"/>
      <name val="メイリオ"/>
      <charset val="128"/>
    </font>
    <font>
      <b/>
      <sz val="11"/>
      <color theme="0"/>
      <name val="メイリオ"/>
      <charset val="128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MS PGothic"/>
      <charset val="128"/>
    </font>
  </fonts>
  <fills count="21">
    <fill>
      <patternFill patternType="none"/>
    </fill>
    <fill>
      <patternFill patternType="gray125"/>
    </fill>
    <fill>
      <patternFill patternType="solid">
        <fgColor rgb="FF3E7DB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17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</cellStyleXfs>
  <cellXfs count="320">
    <xf numFmtId="0" fontId="0" fillId="0" borderId="0" xfId="0">
      <alignment vertical="center"/>
    </xf>
    <xf numFmtId="0" fontId="1" fillId="0" borderId="0" xfId="0" applyFont="1" applyAlignment="1">
      <alignment vertical="center" textRotation="180"/>
    </xf>
    <xf numFmtId="0" fontId="1" fillId="0" borderId="0" xfId="0" applyFont="1" applyAlignment="1"/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textRotation="180" wrapText="1"/>
    </xf>
    <xf numFmtId="0" fontId="3" fillId="3" borderId="3" xfId="0" applyFont="1" applyFill="1" applyBorder="1" applyAlignment="1">
      <alignment horizontal="center" textRotation="180"/>
    </xf>
    <xf numFmtId="0" fontId="3" fillId="3" borderId="4" xfId="0" applyFont="1" applyFill="1" applyBorder="1" applyAlignment="1">
      <alignment horizontal="center" textRotation="180" wrapText="1"/>
    </xf>
    <xf numFmtId="0" fontId="3" fillId="3" borderId="4" xfId="0" applyFont="1" applyFill="1" applyBorder="1" applyAlignment="1">
      <alignment horizontal="center" textRotation="180"/>
    </xf>
    <xf numFmtId="0" fontId="4" fillId="4" borderId="5" xfId="0" applyFont="1" applyFill="1" applyBorder="1" applyAlignment="1">
      <alignment horizontal="center"/>
    </xf>
    <xf numFmtId="49" fontId="4" fillId="5" borderId="5" xfId="0" applyNumberFormat="1" applyFont="1" applyFill="1" applyBorder="1" applyAlignment="1"/>
    <xf numFmtId="0" fontId="4" fillId="6" borderId="1" xfId="0" applyFont="1" applyFill="1" applyBorder="1" applyAlignment="1">
      <alignment horizontal="right"/>
    </xf>
    <xf numFmtId="0" fontId="5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right"/>
    </xf>
    <xf numFmtId="0" fontId="5" fillId="7" borderId="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/>
    </xf>
    <xf numFmtId="0" fontId="7" fillId="0" borderId="0" xfId="0" applyFo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6" borderId="0" xfId="0" applyFont="1" applyFill="1">
      <alignment vertical="center"/>
    </xf>
    <xf numFmtId="0" fontId="14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15" fillId="6" borderId="0" xfId="0" applyFont="1" applyFill="1" applyAlignment="1">
      <alignment horizontal="center" vertical="center"/>
    </xf>
    <xf numFmtId="0" fontId="16" fillId="0" borderId="0" xfId="0" applyFont="1">
      <alignment vertical="center"/>
    </xf>
    <xf numFmtId="0" fontId="16" fillId="6" borderId="0" xfId="0" applyFont="1" applyFill="1">
      <alignment vertical="center"/>
    </xf>
    <xf numFmtId="0" fontId="16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6" borderId="0" xfId="0" applyFont="1" applyFill="1">
      <alignment vertical="center"/>
    </xf>
    <xf numFmtId="0" fontId="18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left" vertical="center"/>
    </xf>
    <xf numFmtId="0" fontId="19" fillId="8" borderId="6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8" borderId="2" xfId="0" applyFont="1" applyFill="1" applyBorder="1">
      <alignment vertical="center"/>
    </xf>
    <xf numFmtId="0" fontId="19" fillId="8" borderId="6" xfId="0" applyFont="1" applyFill="1" applyBorder="1">
      <alignment vertical="center"/>
    </xf>
    <xf numFmtId="0" fontId="20" fillId="8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left" vertical="center"/>
    </xf>
    <xf numFmtId="0" fontId="20" fillId="8" borderId="6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0" fontId="20" fillId="8" borderId="4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4" fillId="7" borderId="0" xfId="0" applyFont="1" applyFill="1">
      <alignment vertical="center"/>
    </xf>
    <xf numFmtId="0" fontId="20" fillId="8" borderId="5" xfId="0" applyFont="1" applyFill="1" applyBorder="1" applyAlignment="1">
      <alignment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176" fontId="12" fillId="10" borderId="5" xfId="0" applyNumberFormat="1" applyFont="1" applyFill="1" applyBorder="1" applyAlignment="1">
      <alignment horizontal="center" vertical="center" wrapText="1"/>
    </xf>
    <xf numFmtId="177" fontId="12" fillId="10" borderId="5" xfId="0" applyNumberFormat="1" applyFont="1" applyFill="1" applyBorder="1" applyAlignment="1">
      <alignment horizontal="right"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5" xfId="0" applyFont="1" applyBorder="1" applyAlignment="1">
      <alignment horizontal="center" vertical="center"/>
    </xf>
    <xf numFmtId="178" fontId="12" fillId="10" borderId="5" xfId="0" applyNumberFormat="1" applyFont="1" applyFill="1" applyBorder="1" applyAlignment="1">
      <alignment horizontal="center" vertical="center"/>
    </xf>
    <xf numFmtId="179" fontId="12" fillId="10" borderId="5" xfId="0" applyNumberFormat="1" applyFont="1" applyFill="1" applyBorder="1" applyAlignment="1">
      <alignment horizontal="center" vertical="center"/>
    </xf>
    <xf numFmtId="180" fontId="12" fillId="10" borderId="5" xfId="0" applyNumberFormat="1" applyFont="1" applyFill="1" applyBorder="1" applyAlignment="1">
      <alignment horizontal="center" vertical="center"/>
    </xf>
    <xf numFmtId="181" fontId="12" fillId="0" borderId="5" xfId="0" applyNumberFormat="1" applyFont="1" applyBorder="1" applyAlignment="1">
      <alignment horizontal="center" vertical="center"/>
    </xf>
    <xf numFmtId="0" fontId="22" fillId="7" borderId="0" xfId="0" applyFont="1" applyFill="1">
      <alignment vertical="center"/>
    </xf>
    <xf numFmtId="176" fontId="12" fillId="10" borderId="5" xfId="0" applyNumberFormat="1" applyFont="1" applyFill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178" fontId="12" fillId="0" borderId="5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left" vertical="center"/>
    </xf>
    <xf numFmtId="177" fontId="12" fillId="10" borderId="3" xfId="0" applyNumberFormat="1" applyFont="1" applyFill="1" applyBorder="1" applyAlignment="1">
      <alignment horizontal="right" vertical="center" wrapText="1"/>
    </xf>
    <xf numFmtId="178" fontId="12" fillId="10" borderId="3" xfId="0" applyNumberFormat="1" applyFont="1" applyFill="1" applyBorder="1" applyAlignment="1">
      <alignment horizontal="center" vertical="center"/>
    </xf>
    <xf numFmtId="179" fontId="12" fillId="10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49" fontId="21" fillId="0" borderId="4" xfId="0" applyNumberFormat="1" applyFont="1" applyBorder="1" applyAlignment="1">
      <alignment horizontal="left" vertical="center"/>
    </xf>
    <xf numFmtId="177" fontId="12" fillId="10" borderId="4" xfId="0" applyNumberFormat="1" applyFont="1" applyFill="1" applyBorder="1" applyAlignment="1">
      <alignment horizontal="right" vertical="center" wrapText="1"/>
    </xf>
    <xf numFmtId="178" fontId="12" fillId="10" borderId="4" xfId="0" applyNumberFormat="1" applyFont="1" applyFill="1" applyBorder="1" applyAlignment="1">
      <alignment horizontal="center" vertical="center"/>
    </xf>
    <xf numFmtId="179" fontId="12" fillId="10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7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6" borderId="0" xfId="0" applyFont="1" applyFill="1" applyAlignment="1">
      <alignment vertical="center" wrapText="1"/>
    </xf>
    <xf numFmtId="0" fontId="4" fillId="7" borderId="0" xfId="0" applyFont="1" applyFill="1">
      <alignment vertical="center"/>
    </xf>
    <xf numFmtId="0" fontId="4" fillId="0" borderId="0" xfId="0" applyFont="1">
      <alignment vertical="center"/>
    </xf>
    <xf numFmtId="0" fontId="4" fillId="6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>
      <alignment vertical="center"/>
    </xf>
    <xf numFmtId="49" fontId="24" fillId="6" borderId="0" xfId="0" applyNumberFormat="1" applyFont="1" applyFill="1" applyAlignment="1">
      <alignment horizontal="center" vertical="center"/>
    </xf>
    <xf numFmtId="182" fontId="25" fillId="7" borderId="0" xfId="0" applyNumberFormat="1" applyFont="1" applyFill="1">
      <alignment vertical="center"/>
    </xf>
    <xf numFmtId="0" fontId="26" fillId="6" borderId="0" xfId="0" applyFont="1" applyFill="1" applyAlignment="1">
      <alignment horizontal="left" vertical="center"/>
    </xf>
    <xf numFmtId="49" fontId="27" fillId="6" borderId="0" xfId="0" applyNumberFormat="1" applyFont="1" applyFill="1" applyAlignment="1">
      <alignment horizontal="center" vertical="center"/>
    </xf>
    <xf numFmtId="0" fontId="28" fillId="6" borderId="10" xfId="0" applyFont="1" applyFill="1" applyBorder="1">
      <alignment vertical="center"/>
    </xf>
    <xf numFmtId="0" fontId="4" fillId="6" borderId="11" xfId="0" applyFont="1" applyFill="1" applyBorder="1">
      <alignment vertical="center"/>
    </xf>
    <xf numFmtId="0" fontId="4" fillId="6" borderId="12" xfId="0" applyFont="1" applyFill="1" applyBorder="1">
      <alignment vertical="center"/>
    </xf>
    <xf numFmtId="0" fontId="29" fillId="7" borderId="0" xfId="0" applyFont="1" applyFill="1" applyAlignment="1">
      <alignment horizontal="right" vertical="center"/>
    </xf>
    <xf numFmtId="0" fontId="28" fillId="6" borderId="13" xfId="0" applyFont="1" applyFill="1" applyBorder="1">
      <alignment vertical="center"/>
    </xf>
    <xf numFmtId="0" fontId="4" fillId="11" borderId="8" xfId="0" applyFont="1" applyFill="1" applyBorder="1">
      <alignment vertical="center"/>
    </xf>
    <xf numFmtId="0" fontId="4" fillId="11" borderId="0" xfId="0" applyFont="1" applyFill="1">
      <alignment vertical="center"/>
    </xf>
    <xf numFmtId="0" fontId="4" fillId="11" borderId="14" xfId="0" applyFont="1" applyFill="1" applyBorder="1">
      <alignment vertical="center"/>
    </xf>
    <xf numFmtId="0" fontId="29" fillId="6" borderId="0" xfId="0" applyFont="1" applyFill="1" applyAlignment="1">
      <alignment horizontal="right" vertical="center"/>
    </xf>
    <xf numFmtId="0" fontId="30" fillId="6" borderId="0" xfId="0" applyFont="1" applyFill="1" applyAlignment="1">
      <alignment horizontal="left" vertical="center"/>
    </xf>
    <xf numFmtId="0" fontId="31" fillId="6" borderId="0" xfId="0" applyFont="1" applyFill="1" applyAlignment="1">
      <alignment horizontal="left" vertical="center"/>
    </xf>
    <xf numFmtId="0" fontId="4" fillId="11" borderId="1" xfId="0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4" fillId="11" borderId="15" xfId="0" applyFont="1" applyFill="1" applyBorder="1">
      <alignment vertical="center"/>
    </xf>
    <xf numFmtId="49" fontId="32" fillId="6" borderId="0" xfId="0" applyNumberFormat="1" applyFont="1" applyFill="1" applyAlignment="1">
      <alignment horizontal="right" vertical="center"/>
    </xf>
    <xf numFmtId="0" fontId="24" fillId="6" borderId="0" xfId="0" applyFont="1" applyFill="1" applyAlignment="1">
      <alignment horizontal="left" vertical="center"/>
    </xf>
    <xf numFmtId="0" fontId="28" fillId="7" borderId="13" xfId="0" applyFont="1" applyFill="1" applyBorder="1">
      <alignment vertical="center"/>
    </xf>
    <xf numFmtId="0" fontId="33" fillId="7" borderId="0" xfId="0" applyFont="1" applyFill="1" applyAlignment="1">
      <alignment horizontal="right" vertical="center"/>
    </xf>
    <xf numFmtId="0" fontId="4" fillId="7" borderId="13" xfId="0" applyFont="1" applyFill="1" applyBorder="1">
      <alignment vertical="center"/>
    </xf>
    <xf numFmtId="0" fontId="4" fillId="6" borderId="8" xfId="0" applyFont="1" applyFill="1" applyBorder="1">
      <alignment vertical="center"/>
    </xf>
    <xf numFmtId="0" fontId="4" fillId="6" borderId="16" xfId="0" applyFont="1" applyFill="1" applyBorder="1">
      <alignment vertical="center"/>
    </xf>
    <xf numFmtId="0" fontId="4" fillId="6" borderId="17" xfId="0" applyFont="1" applyFill="1" applyBorder="1">
      <alignment vertical="center"/>
    </xf>
    <xf numFmtId="49" fontId="4" fillId="12" borderId="5" xfId="0" applyNumberFormat="1" applyFont="1" applyFill="1" applyBorder="1" applyAlignment="1">
      <alignment horizontal="right" vertical="center"/>
    </xf>
    <xf numFmtId="49" fontId="4" fillId="12" borderId="5" xfId="0" applyNumberFormat="1" applyFont="1" applyFill="1" applyBorder="1" applyAlignment="1">
      <alignment horizontal="left" vertical="center"/>
    </xf>
    <xf numFmtId="0" fontId="4" fillId="6" borderId="18" xfId="0" applyFont="1" applyFill="1" applyBorder="1">
      <alignment vertical="center"/>
    </xf>
    <xf numFmtId="0" fontId="4" fillId="13" borderId="5" xfId="0" applyFont="1" applyFill="1" applyBorder="1" applyAlignment="1">
      <alignment horizontal="left" vertical="center" wrapText="1"/>
    </xf>
    <xf numFmtId="0" fontId="4" fillId="13" borderId="19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left" vertical="center"/>
    </xf>
    <xf numFmtId="0" fontId="4" fillId="7" borderId="5" xfId="0" applyFont="1" applyFill="1" applyBorder="1">
      <alignment vertical="center"/>
    </xf>
    <xf numFmtId="0" fontId="4" fillId="7" borderId="19" xfId="0" applyFont="1" applyFill="1" applyBorder="1" applyAlignment="1">
      <alignment horizontal="left" vertical="center"/>
    </xf>
    <xf numFmtId="0" fontId="24" fillId="6" borderId="0" xfId="0" applyFont="1" applyFill="1" applyAlignment="1">
      <alignment horizontal="center" vertical="center"/>
    </xf>
    <xf numFmtId="0" fontId="34" fillId="6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left" vertical="center"/>
    </xf>
    <xf numFmtId="0" fontId="4" fillId="7" borderId="5" xfId="0" applyFont="1" applyFill="1" applyBorder="1" applyAlignment="1">
      <alignment horizontal="left" vertical="center" wrapText="1"/>
    </xf>
    <xf numFmtId="49" fontId="24" fillId="7" borderId="0" xfId="0" applyNumberFormat="1" applyFont="1" applyFill="1" applyAlignment="1">
      <alignment horizontal="center" vertical="center"/>
    </xf>
    <xf numFmtId="49" fontId="24" fillId="7" borderId="0" xfId="0" applyNumberFormat="1" applyFont="1" applyFill="1">
      <alignment vertical="center"/>
    </xf>
    <xf numFmtId="0" fontId="33" fillId="6" borderId="0" xfId="0" applyFont="1" applyFill="1">
      <alignment vertical="center"/>
    </xf>
    <xf numFmtId="0" fontId="5" fillId="6" borderId="5" xfId="0" applyFont="1" applyFill="1" applyBorder="1" applyAlignment="1">
      <alignment horizontal="right" vertical="center"/>
    </xf>
    <xf numFmtId="0" fontId="4" fillId="7" borderId="20" xfId="0" applyFont="1" applyFill="1" applyBorder="1" applyAlignment="1">
      <alignment vertical="center" textRotation="90"/>
    </xf>
    <xf numFmtId="0" fontId="35" fillId="7" borderId="19" xfId="0" applyFont="1" applyFill="1" applyBorder="1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0" fontId="6" fillId="7" borderId="19" xfId="0" applyFont="1" applyFill="1" applyBorder="1" applyAlignment="1">
      <alignment horizontal="left" vertical="center"/>
    </xf>
    <xf numFmtId="0" fontId="4" fillId="6" borderId="21" xfId="0" applyFont="1" applyFill="1" applyBorder="1">
      <alignment vertical="center"/>
    </xf>
    <xf numFmtId="0" fontId="36" fillId="7" borderId="0" xfId="0" applyFont="1" applyFill="1" applyAlignment="1">
      <alignment horizontal="left" vertical="center"/>
    </xf>
    <xf numFmtId="0" fontId="34" fillId="6" borderId="0" xfId="0" applyFont="1" applyFill="1" applyAlignment="1">
      <alignment horizontal="center" vertical="center"/>
    </xf>
    <xf numFmtId="0" fontId="4" fillId="6" borderId="16" xfId="0" applyFont="1" applyFill="1" applyBorder="1" applyAlignment="1">
      <alignment horizontal="left" vertical="center"/>
    </xf>
    <xf numFmtId="0" fontId="6" fillId="6" borderId="17" xfId="0" applyFont="1" applyFill="1" applyBorder="1" applyAlignment="1">
      <alignment horizontal="center" vertical="center" textRotation="180" wrapText="1"/>
    </xf>
    <xf numFmtId="0" fontId="4" fillId="6" borderId="5" xfId="0" applyFont="1" applyFill="1" applyBorder="1" applyAlignment="1">
      <alignment horizontal="left" vertical="center"/>
    </xf>
    <xf numFmtId="0" fontId="35" fillId="7" borderId="19" xfId="0" applyFont="1" applyFill="1" applyBorder="1" applyAlignment="1">
      <alignment vertical="center" wrapText="1"/>
    </xf>
    <xf numFmtId="0" fontId="5" fillId="7" borderId="0" xfId="0" applyFont="1" applyFill="1" applyAlignment="1">
      <alignment horizontal="right" vertical="center" wrapText="1"/>
    </xf>
    <xf numFmtId="0" fontId="5" fillId="7" borderId="0" xfId="0" applyFont="1" applyFill="1" applyAlignment="1">
      <alignment horizontal="left" vertical="center" wrapText="1"/>
    </xf>
    <xf numFmtId="0" fontId="4" fillId="7" borderId="19" xfId="0" applyFont="1" applyFill="1" applyBorder="1" applyAlignment="1">
      <alignment vertical="center" wrapText="1"/>
    </xf>
    <xf numFmtId="0" fontId="36" fillId="7" borderId="0" xfId="0" applyFont="1" applyFill="1">
      <alignment vertical="center"/>
    </xf>
    <xf numFmtId="49" fontId="4" fillId="6" borderId="5" xfId="0" applyNumberFormat="1" applyFont="1" applyFill="1" applyBorder="1" applyAlignment="1">
      <alignment horizontal="right" vertical="center"/>
    </xf>
    <xf numFmtId="49" fontId="4" fillId="0" borderId="5" xfId="0" applyNumberFormat="1" applyFont="1" applyBorder="1" applyAlignment="1">
      <alignment horizontal="left" vertical="center"/>
    </xf>
    <xf numFmtId="0" fontId="4" fillId="0" borderId="13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5" xfId="0" applyFont="1" applyBorder="1" applyAlignment="1">
      <alignment horizontal="left" vertical="center" wrapText="1"/>
    </xf>
    <xf numFmtId="0" fontId="35" fillId="0" borderId="19" xfId="0" applyFont="1" applyBorder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0" fontId="5" fillId="7" borderId="5" xfId="0" applyFont="1" applyFill="1" applyBorder="1">
      <alignment vertical="center"/>
    </xf>
    <xf numFmtId="0" fontId="24" fillId="14" borderId="0" xfId="0" applyFont="1" applyFill="1" applyAlignment="1">
      <alignment horizontal="left" vertical="center"/>
    </xf>
    <xf numFmtId="0" fontId="4" fillId="14" borderId="0" xfId="0" applyFont="1" applyFill="1">
      <alignment vertical="center"/>
    </xf>
    <xf numFmtId="0" fontId="5" fillId="14" borderId="0" xfId="0" applyFont="1" applyFill="1" applyAlignment="1">
      <alignment horizontal="center" vertical="center"/>
    </xf>
    <xf numFmtId="0" fontId="28" fillId="6" borderId="22" xfId="0" applyFont="1" applyFill="1" applyBorder="1" applyAlignment="1">
      <alignment horizontal="left" vertical="center"/>
    </xf>
    <xf numFmtId="0" fontId="28" fillId="6" borderId="23" xfId="0" applyFont="1" applyFill="1" applyBorder="1" applyAlignment="1">
      <alignment horizontal="left" vertical="center"/>
    </xf>
    <xf numFmtId="0" fontId="4" fillId="6" borderId="13" xfId="0" applyFont="1" applyFill="1" applyBorder="1">
      <alignment vertical="center"/>
    </xf>
    <xf numFmtId="0" fontId="4" fillId="6" borderId="5" xfId="0" applyFont="1" applyFill="1" applyBorder="1" applyAlignment="1">
      <alignment horizontal="left" vertical="center" wrapText="1"/>
    </xf>
    <xf numFmtId="0" fontId="4" fillId="6" borderId="19" xfId="0" applyFont="1" applyFill="1" applyBorder="1" applyAlignment="1">
      <alignment horizontal="left" vertical="center"/>
    </xf>
    <xf numFmtId="0" fontId="4" fillId="1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right" vertic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4" fillId="16" borderId="0" xfId="0" applyFont="1" applyFill="1" applyAlignment="1">
      <alignment horizontal="left" vertical="center"/>
    </xf>
    <xf numFmtId="0" fontId="5" fillId="6" borderId="18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4" fillId="17" borderId="0" xfId="0" applyFont="1" applyFill="1" applyAlignment="1">
      <alignment horizontal="left" vertical="center"/>
    </xf>
    <xf numFmtId="0" fontId="4" fillId="6" borderId="26" xfId="0" applyFont="1" applyFill="1" applyBorder="1">
      <alignment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left" vertical="center"/>
    </xf>
    <xf numFmtId="0" fontId="6" fillId="6" borderId="17" xfId="0" applyFont="1" applyFill="1" applyBorder="1" applyAlignment="1">
      <alignment horizontal="center" vertical="center" wrapText="1"/>
    </xf>
    <xf numFmtId="0" fontId="24" fillId="14" borderId="0" xfId="0" applyFont="1" applyFill="1" applyAlignment="1">
      <alignment horizontal="center" vertical="center"/>
    </xf>
    <xf numFmtId="0" fontId="4" fillId="14" borderId="8" xfId="0" applyFont="1" applyFill="1" applyBorder="1">
      <alignment vertical="center"/>
    </xf>
    <xf numFmtId="0" fontId="4" fillId="14" borderId="16" xfId="0" applyFont="1" applyFill="1" applyBorder="1" applyAlignment="1">
      <alignment horizontal="left" vertical="center"/>
    </xf>
    <xf numFmtId="0" fontId="6" fillId="14" borderId="7" xfId="0" applyFont="1" applyFill="1" applyBorder="1" applyAlignment="1">
      <alignment horizontal="center" vertical="center" wrapText="1"/>
    </xf>
    <xf numFmtId="0" fontId="37" fillId="6" borderId="0" xfId="0" applyFont="1" applyFill="1">
      <alignment vertical="center"/>
    </xf>
    <xf numFmtId="0" fontId="4" fillId="13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right" vertical="top"/>
    </xf>
    <xf numFmtId="0" fontId="6" fillId="6" borderId="5" xfId="0" applyFont="1" applyFill="1" applyBorder="1" applyAlignment="1">
      <alignment vertical="center" wrapText="1"/>
    </xf>
    <xf numFmtId="0" fontId="6" fillId="7" borderId="6" xfId="0" applyFont="1" applyFill="1" applyBorder="1" applyAlignment="1">
      <alignment horizontal="left" vertical="center"/>
    </xf>
    <xf numFmtId="0" fontId="33" fillId="7" borderId="0" xfId="0" applyFont="1" applyFill="1">
      <alignment vertical="center"/>
    </xf>
    <xf numFmtId="0" fontId="4" fillId="7" borderId="18" xfId="0" applyFont="1" applyFill="1" applyBorder="1">
      <alignment vertical="center"/>
    </xf>
    <xf numFmtId="0" fontId="6" fillId="6" borderId="19" xfId="0" applyFont="1" applyFill="1" applyBorder="1" applyAlignment="1">
      <alignment vertical="center" wrapText="1"/>
    </xf>
    <xf numFmtId="0" fontId="4" fillId="14" borderId="18" xfId="0" applyFont="1" applyFill="1" applyBorder="1">
      <alignment vertical="center"/>
    </xf>
    <xf numFmtId="0" fontId="4" fillId="14" borderId="5" xfId="0" applyFont="1" applyFill="1" applyBorder="1">
      <alignment vertical="center"/>
    </xf>
    <xf numFmtId="0" fontId="35" fillId="14" borderId="5" xfId="0" applyFont="1" applyFill="1" applyBorder="1" applyAlignment="1">
      <alignment vertical="center" wrapText="1"/>
    </xf>
    <xf numFmtId="0" fontId="4" fillId="14" borderId="5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horizontal="left" vertical="center"/>
    </xf>
    <xf numFmtId="0" fontId="37" fillId="7" borderId="0" xfId="0" applyFont="1" applyFill="1">
      <alignment vertical="center"/>
    </xf>
    <xf numFmtId="0" fontId="4" fillId="7" borderId="20" xfId="0" applyFont="1" applyFill="1" applyBorder="1">
      <alignment vertical="center"/>
    </xf>
    <xf numFmtId="0" fontId="4" fillId="14" borderId="20" xfId="0" applyFont="1" applyFill="1" applyBorder="1">
      <alignment vertical="center"/>
    </xf>
    <xf numFmtId="0" fontId="4" fillId="7" borderId="4" xfId="0" applyFont="1" applyFill="1" applyBorder="1">
      <alignment vertical="center"/>
    </xf>
    <xf numFmtId="0" fontId="4" fillId="14" borderId="4" xfId="0" applyFont="1" applyFill="1" applyBorder="1">
      <alignment vertical="center"/>
    </xf>
    <xf numFmtId="0" fontId="4" fillId="14" borderId="0" xfId="0" applyFont="1" applyFill="1" applyAlignment="1">
      <alignment horizontal="left" vertical="center"/>
    </xf>
    <xf numFmtId="0" fontId="5" fillId="6" borderId="5" xfId="0" applyFont="1" applyFill="1" applyBorder="1" applyAlignment="1">
      <alignment horizontal="right" vertical="top"/>
    </xf>
    <xf numFmtId="0" fontId="6" fillId="14" borderId="5" xfId="0" applyFont="1" applyFill="1" applyBorder="1" applyAlignment="1">
      <alignment vertical="center" wrapText="1"/>
    </xf>
    <xf numFmtId="0" fontId="5" fillId="6" borderId="0" xfId="0" applyFont="1" applyFill="1" applyAlignment="1">
      <alignment horizontal="left" vertical="top"/>
    </xf>
    <xf numFmtId="0" fontId="38" fillId="6" borderId="0" xfId="0" applyFont="1" applyFill="1" applyAlignment="1">
      <alignment horizontal="right" vertical="top"/>
    </xf>
    <xf numFmtId="0" fontId="6" fillId="6" borderId="14" xfId="0" applyFont="1" applyFill="1" applyBorder="1" applyAlignment="1">
      <alignment horizontal="center" vertical="center" wrapText="1"/>
    </xf>
    <xf numFmtId="0" fontId="6" fillId="14" borderId="30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right" vertical="center" wrapText="1"/>
    </xf>
    <xf numFmtId="0" fontId="4" fillId="14" borderId="5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/>
    </xf>
    <xf numFmtId="0" fontId="24" fillId="7" borderId="0" xfId="0" applyFont="1" applyFill="1" applyAlignment="1">
      <alignment horizontal="center" vertical="center"/>
    </xf>
    <xf numFmtId="0" fontId="39" fillId="0" borderId="0" xfId="0" applyFont="1">
      <alignment vertical="center"/>
    </xf>
    <xf numFmtId="0" fontId="6" fillId="0" borderId="13" xfId="0" applyFont="1" applyBorder="1">
      <alignment vertical="center"/>
    </xf>
    <xf numFmtId="0" fontId="6" fillId="0" borderId="18" xfId="0" applyFont="1" applyBorder="1" applyAlignment="1">
      <alignment vertical="center" textRotation="90"/>
    </xf>
    <xf numFmtId="0" fontId="6" fillId="0" borderId="5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39" fillId="14" borderId="0" xfId="0" applyFont="1" applyFill="1" applyAlignment="1">
      <alignment horizontal="center" vertical="center"/>
    </xf>
    <xf numFmtId="0" fontId="6" fillId="14" borderId="18" xfId="0" applyFont="1" applyFill="1" applyBorder="1" applyAlignment="1">
      <alignment vertical="center" textRotation="90"/>
    </xf>
    <xf numFmtId="0" fontId="6" fillId="14" borderId="5" xfId="0" applyFont="1" applyFill="1" applyBorder="1" applyAlignment="1">
      <alignment horizontal="left" vertical="center" wrapText="1"/>
    </xf>
    <xf numFmtId="0" fontId="6" fillId="14" borderId="5" xfId="0" applyFont="1" applyFill="1" applyBorder="1" applyAlignment="1">
      <alignment horizontal="left" vertical="center"/>
    </xf>
    <xf numFmtId="0" fontId="4" fillId="7" borderId="19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7" borderId="1" xfId="0" applyFont="1" applyFill="1" applyBorder="1">
      <alignment vertical="center"/>
    </xf>
    <xf numFmtId="0" fontId="4" fillId="14" borderId="1" xfId="0" applyFont="1" applyFill="1" applyBorder="1">
      <alignment vertical="center"/>
    </xf>
    <xf numFmtId="49" fontId="24" fillId="14" borderId="0" xfId="0" applyNumberFormat="1" applyFont="1" applyFill="1" applyAlignment="1">
      <alignment horizontal="center" vertical="center"/>
    </xf>
    <xf numFmtId="0" fontId="6" fillId="14" borderId="7" xfId="0" applyFont="1" applyFill="1" applyBorder="1" applyAlignment="1">
      <alignment horizontal="center" vertical="center" textRotation="180" wrapText="1"/>
    </xf>
    <xf numFmtId="0" fontId="4" fillId="14" borderId="21" xfId="0" applyFont="1" applyFill="1" applyBorder="1">
      <alignment vertical="center"/>
    </xf>
    <xf numFmtId="0" fontId="4" fillId="6" borderId="4" xfId="0" applyFont="1" applyFill="1" applyBorder="1">
      <alignment vertical="center"/>
    </xf>
    <xf numFmtId="0" fontId="5" fillId="14" borderId="5" xfId="0" applyFont="1" applyFill="1" applyBorder="1" applyAlignment="1">
      <alignment horizontal="right" vertical="top"/>
    </xf>
    <xf numFmtId="0" fontId="5" fillId="14" borderId="0" xfId="0" applyFont="1" applyFill="1" applyAlignment="1">
      <alignment horizontal="left" vertical="center"/>
    </xf>
    <xf numFmtId="0" fontId="4" fillId="7" borderId="3" xfId="0" applyFont="1" applyFill="1" applyBorder="1" applyAlignment="1">
      <alignment horizontal="left" vertical="center" wrapText="1"/>
    </xf>
    <xf numFmtId="0" fontId="4" fillId="7" borderId="24" xfId="0" applyFont="1" applyFill="1" applyBorder="1" applyAlignment="1">
      <alignment vertical="center" wrapText="1"/>
    </xf>
    <xf numFmtId="0" fontId="4" fillId="13" borderId="2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6" borderId="24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horizontal="left" vertical="center"/>
    </xf>
    <xf numFmtId="0" fontId="40" fillId="14" borderId="0" xfId="0" applyFont="1" applyFill="1">
      <alignment vertical="center"/>
    </xf>
    <xf numFmtId="0" fontId="4" fillId="0" borderId="5" xfId="0" applyFont="1" applyBorder="1" applyAlignment="1">
      <alignment horizontal="left" vertical="center"/>
    </xf>
    <xf numFmtId="0" fontId="41" fillId="0" borderId="19" xfId="0" applyFont="1" applyBorder="1" applyAlignment="1">
      <alignment horizontal="left" vertical="center"/>
    </xf>
    <xf numFmtId="0" fontId="36" fillId="6" borderId="0" xfId="0" applyFont="1" applyFill="1" applyAlignment="1">
      <alignment horizontal="left" vertical="center"/>
    </xf>
    <xf numFmtId="0" fontId="4" fillId="18" borderId="18" xfId="0" applyFont="1" applyFill="1" applyBorder="1">
      <alignment vertical="center"/>
    </xf>
    <xf numFmtId="0" fontId="4" fillId="18" borderId="0" xfId="0" applyFont="1" applyFill="1" applyAlignment="1">
      <alignment horizontal="left" vertical="center"/>
    </xf>
    <xf numFmtId="0" fontId="4" fillId="18" borderId="14" xfId="0" applyFont="1" applyFill="1" applyBorder="1" applyAlignment="1">
      <alignment horizontal="left" vertical="center"/>
    </xf>
    <xf numFmtId="0" fontId="4" fillId="18" borderId="0" xfId="0" applyFont="1" applyFill="1" applyAlignment="1">
      <alignment horizontal="left" vertical="center" wrapText="1"/>
    </xf>
    <xf numFmtId="0" fontId="4" fillId="18" borderId="21" xfId="0" applyFont="1" applyFill="1" applyBorder="1">
      <alignment vertical="center"/>
    </xf>
    <xf numFmtId="0" fontId="4" fillId="18" borderId="29" xfId="0" applyFont="1" applyFill="1" applyBorder="1" applyAlignment="1">
      <alignment horizontal="left" vertical="center"/>
    </xf>
    <xf numFmtId="0" fontId="4" fillId="18" borderId="31" xfId="0" applyFont="1" applyFill="1" applyBorder="1" applyAlignment="1">
      <alignment horizontal="left" vertical="center"/>
    </xf>
    <xf numFmtId="0" fontId="4" fillId="7" borderId="8" xfId="0" applyFont="1" applyFill="1" applyBorder="1">
      <alignment vertical="center"/>
    </xf>
    <xf numFmtId="0" fontId="4" fillId="7" borderId="16" xfId="0" applyFont="1" applyFill="1" applyBorder="1" applyAlignment="1">
      <alignment horizontal="left" vertical="center"/>
    </xf>
    <xf numFmtId="0" fontId="4" fillId="7" borderId="17" xfId="0" applyFont="1" applyFill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14" borderId="0" xfId="0" applyFont="1" applyFill="1" applyAlignment="1">
      <alignment horizontal="right" vertical="center"/>
    </xf>
    <xf numFmtId="0" fontId="4" fillId="7" borderId="32" xfId="0" applyFont="1" applyFill="1" applyBorder="1">
      <alignment vertical="center"/>
    </xf>
    <xf numFmtId="0" fontId="4" fillId="19" borderId="18" xfId="0" applyFont="1" applyFill="1" applyBorder="1">
      <alignment vertical="center"/>
    </xf>
    <xf numFmtId="0" fontId="4" fillId="19" borderId="16" xfId="0" applyFont="1" applyFill="1" applyBorder="1" applyAlignment="1">
      <alignment horizontal="left" vertical="center"/>
    </xf>
    <xf numFmtId="0" fontId="4" fillId="19" borderId="17" xfId="0" applyFont="1" applyFill="1" applyBorder="1" applyAlignment="1">
      <alignment horizontal="left" vertical="center"/>
    </xf>
    <xf numFmtId="0" fontId="4" fillId="19" borderId="4" xfId="0" applyFont="1" applyFill="1" applyBorder="1">
      <alignment vertical="center"/>
    </xf>
    <xf numFmtId="0" fontId="4" fillId="19" borderId="0" xfId="0" applyFont="1" applyFill="1" applyAlignment="1">
      <alignment horizontal="left" vertical="center"/>
    </xf>
    <xf numFmtId="0" fontId="4" fillId="19" borderId="14" xfId="0" applyFont="1" applyFill="1" applyBorder="1" applyAlignment="1">
      <alignment horizontal="left" vertical="center"/>
    </xf>
    <xf numFmtId="0" fontId="4" fillId="19" borderId="29" xfId="0" applyFont="1" applyFill="1" applyBorder="1" applyAlignment="1">
      <alignment horizontal="left" vertical="center"/>
    </xf>
    <xf numFmtId="0" fontId="4" fillId="19" borderId="31" xfId="0" applyFont="1" applyFill="1" applyBorder="1" applyAlignment="1">
      <alignment horizontal="left" vertical="center"/>
    </xf>
    <xf numFmtId="0" fontId="4" fillId="19" borderId="21" xfId="0" applyFont="1" applyFill="1" applyBorder="1">
      <alignment vertical="center"/>
    </xf>
    <xf numFmtId="0" fontId="4" fillId="6" borderId="33" xfId="0" applyFont="1" applyFill="1" applyBorder="1">
      <alignment vertical="center"/>
    </xf>
    <xf numFmtId="0" fontId="4" fillId="11" borderId="34" xfId="0" applyFont="1" applyFill="1" applyBorder="1">
      <alignment vertical="center"/>
    </xf>
    <xf numFmtId="0" fontId="4" fillId="11" borderId="35" xfId="0" applyFont="1" applyFill="1" applyBorder="1">
      <alignment vertical="center"/>
    </xf>
    <xf numFmtId="0" fontId="4" fillId="11" borderId="36" xfId="0" applyFont="1" applyFill="1" applyBorder="1">
      <alignment vertical="center"/>
    </xf>
    <xf numFmtId="49" fontId="4" fillId="6" borderId="0" xfId="0" applyNumberFormat="1" applyFont="1" applyFill="1" applyAlignment="1">
      <alignment horizontal="right" vertical="center"/>
    </xf>
    <xf numFmtId="0" fontId="42" fillId="6" borderId="0" xfId="0" applyFont="1" applyFill="1">
      <alignment vertical="center"/>
    </xf>
    <xf numFmtId="0" fontId="12" fillId="6" borderId="0" xfId="0" applyFont="1" applyFill="1" applyAlignment="1">
      <alignment horizontal="center" vertical="center"/>
    </xf>
    <xf numFmtId="49" fontId="12" fillId="6" borderId="0" xfId="0" applyNumberFormat="1" applyFont="1" applyFill="1" applyAlignment="1">
      <alignment horizontal="center" vertical="center"/>
    </xf>
    <xf numFmtId="0" fontId="22" fillId="6" borderId="0" xfId="0" applyFont="1" applyFill="1">
      <alignment vertical="center"/>
    </xf>
    <xf numFmtId="0" fontId="20" fillId="20" borderId="37" xfId="0" applyFont="1" applyFill="1" applyBorder="1" applyAlignment="1">
      <alignment horizontal="center" vertical="center"/>
    </xf>
    <xf numFmtId="49" fontId="20" fillId="20" borderId="38" xfId="0" applyNumberFormat="1" applyFont="1" applyFill="1" applyBorder="1" applyAlignment="1">
      <alignment horizontal="center" vertical="center"/>
    </xf>
    <xf numFmtId="0" fontId="20" fillId="20" borderId="39" xfId="0" applyFont="1" applyFill="1" applyBorder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183" fontId="12" fillId="6" borderId="40" xfId="0" applyNumberFormat="1" applyFont="1" applyFill="1" applyBorder="1" applyAlignment="1">
      <alignment horizontal="center" vertical="top"/>
    </xf>
    <xf numFmtId="49" fontId="12" fillId="6" borderId="41" xfId="0" applyNumberFormat="1" applyFont="1" applyFill="1" applyBorder="1" applyAlignment="1">
      <alignment horizontal="center" vertical="top"/>
    </xf>
    <xf numFmtId="49" fontId="12" fillId="6" borderId="5" xfId="0" applyNumberFormat="1" applyFont="1" applyFill="1" applyBorder="1" applyAlignment="1">
      <alignment horizontal="center" vertical="top" wrapText="1"/>
    </xf>
    <xf numFmtId="0" fontId="12" fillId="6" borderId="41" xfId="0" applyFont="1" applyFill="1" applyBorder="1" applyAlignment="1">
      <alignment horizontal="center" vertical="top"/>
    </xf>
    <xf numFmtId="0" fontId="12" fillId="6" borderId="42" xfId="0" applyFont="1" applyFill="1" applyBorder="1" applyAlignment="1">
      <alignment horizontal="left" vertical="top" wrapText="1"/>
    </xf>
    <xf numFmtId="183" fontId="12" fillId="6" borderId="43" xfId="0" applyNumberFormat="1" applyFont="1" applyFill="1" applyBorder="1" applyAlignment="1">
      <alignment horizontal="center" vertical="top"/>
    </xf>
    <xf numFmtId="49" fontId="12" fillId="6" borderId="5" xfId="0" applyNumberFormat="1" applyFont="1" applyFill="1" applyBorder="1" applyAlignment="1">
      <alignment horizontal="center" vertical="top"/>
    </xf>
    <xf numFmtId="0" fontId="12" fillId="6" borderId="5" xfId="0" applyFont="1" applyFill="1" applyBorder="1" applyAlignment="1">
      <alignment horizontal="center" vertical="top"/>
    </xf>
    <xf numFmtId="0" fontId="12" fillId="6" borderId="19" xfId="0" applyFont="1" applyFill="1" applyBorder="1" applyAlignment="1">
      <alignment horizontal="left" vertical="top" wrapText="1"/>
    </xf>
    <xf numFmtId="0" fontId="12" fillId="6" borderId="3" xfId="0" applyFont="1" applyFill="1" applyBorder="1" applyAlignment="1">
      <alignment horizontal="center" vertical="top"/>
    </xf>
    <xf numFmtId="0" fontId="12" fillId="6" borderId="24" xfId="0" applyFont="1" applyFill="1" applyBorder="1" applyAlignment="1">
      <alignment horizontal="left" vertical="top" wrapText="1"/>
    </xf>
    <xf numFmtId="183" fontId="12" fillId="6" borderId="44" xfId="0" applyNumberFormat="1" applyFont="1" applyFill="1" applyBorder="1" applyAlignment="1">
      <alignment horizontal="center" vertical="top"/>
    </xf>
    <xf numFmtId="49" fontId="12" fillId="6" borderId="3" xfId="0" applyNumberFormat="1" applyFont="1" applyFill="1" applyBorder="1" applyAlignment="1">
      <alignment horizontal="center" vertical="top"/>
    </xf>
    <xf numFmtId="183" fontId="12" fillId="6" borderId="45" xfId="0" applyNumberFormat="1" applyFont="1" applyFill="1" applyBorder="1" applyAlignment="1">
      <alignment horizontal="center" vertical="top"/>
    </xf>
    <xf numFmtId="49" fontId="12" fillId="6" borderId="46" xfId="0" applyNumberFormat="1" applyFont="1" applyFill="1" applyBorder="1" applyAlignment="1">
      <alignment horizontal="center" vertical="top"/>
    </xf>
    <xf numFmtId="49" fontId="12" fillId="6" borderId="46" xfId="0" applyNumberFormat="1" applyFont="1" applyFill="1" applyBorder="1" applyAlignment="1">
      <alignment horizontal="center" vertical="top" wrapText="1"/>
    </xf>
    <xf numFmtId="0" fontId="12" fillId="6" borderId="46" xfId="0" applyFont="1" applyFill="1" applyBorder="1" applyAlignment="1">
      <alignment horizontal="center" vertical="top"/>
    </xf>
    <xf numFmtId="0" fontId="12" fillId="6" borderId="47" xfId="0" applyFont="1" applyFill="1" applyBorder="1" applyAlignment="1">
      <alignment horizontal="left" vertical="top" wrapText="1"/>
    </xf>
    <xf numFmtId="183" fontId="12" fillId="6" borderId="0" xfId="0" applyNumberFormat="1" applyFont="1" applyFill="1" applyAlignment="1">
      <alignment horizontal="center" vertical="top"/>
    </xf>
    <xf numFmtId="49" fontId="12" fillId="6" borderId="0" xfId="0" applyNumberFormat="1" applyFont="1" applyFill="1" applyAlignment="1">
      <alignment horizontal="center" vertical="top"/>
    </xf>
    <xf numFmtId="49" fontId="12" fillId="6" borderId="0" xfId="0" applyNumberFormat="1" applyFont="1" applyFill="1" applyAlignment="1">
      <alignment horizontal="center" vertical="top" wrapText="1"/>
    </xf>
    <xf numFmtId="0" fontId="12" fillId="6" borderId="0" xfId="0" applyFont="1" applyFill="1" applyAlignment="1">
      <alignment horizontal="center" vertical="top"/>
    </xf>
    <xf numFmtId="0" fontId="12" fillId="6" borderId="0" xfId="0" applyFont="1" applyFill="1" applyAlignment="1">
      <alignment horizontal="left" vertical="top" wrapText="1"/>
    </xf>
    <xf numFmtId="0" fontId="12" fillId="6" borderId="42" xfId="0" applyFont="1" applyFill="1" applyBorder="1" applyAlignment="1" quotePrefix="1">
      <alignment horizontal="left" vertical="top" wrapText="1"/>
    </xf>
    <xf numFmtId="0" fontId="12" fillId="6" borderId="19" xfId="0" applyFont="1" applyFill="1" applyBorder="1" applyAlignment="1" quotePrefix="1">
      <alignment horizontal="left" vertical="top" wrapText="1"/>
    </xf>
    <xf numFmtId="0" fontId="12" fillId="6" borderId="24" xfId="0" applyFont="1" applyFill="1" applyBorder="1" applyAlignment="1" quotePrefix="1">
      <alignment horizontal="left" vertical="top" wrapText="1"/>
    </xf>
  </cellXfs>
  <cellStyles count="3">
    <cellStyle name="常规" xfId="0" builtinId="0"/>
    <cellStyle name="超链接" xfId="1" builtinId="8"/>
    <cellStyle name="已访问的超链接" xfId="2" builtinId="9"/>
  </cellStyles>
  <tableStyles count="0" defaultTableStyle="TableStyleMedium2" defaultPivotStyle="PivotStyleLight16"/>
  <colors>
    <mruColors>
      <color rgb="00808080"/>
      <color rgb="00336699"/>
      <color rgb="00969696"/>
      <color rgb="00FFFF99"/>
      <color rgb="00FFD9D9"/>
      <color rgb="000000FF"/>
      <color rgb="00FFFF66"/>
      <color rgb="00F79646"/>
      <color rgb="00DAEEF3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045845" cy="249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4724400</xdr:colOff>
      <xdr:row>12</xdr:row>
      <xdr:rowOff>119549</xdr:rowOff>
    </xdr:from>
    <xdr:to>
      <xdr:col>5</xdr:col>
      <xdr:colOff>7210425</xdr:colOff>
      <xdr:row>12</xdr:row>
      <xdr:rowOff>2026081</xdr:rowOff>
    </xdr:to>
    <xdr:pic>
      <xdr:nvPicPr>
        <xdr:cNvPr id="3" name="図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25280" y="8198485"/>
          <a:ext cx="2486025" cy="1906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795"/>
          <a:ext cx="1295400" cy="391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2" name="図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68425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3" name="図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68425" cy="2768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027430" cy="318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>
      <xdr:nvSpPr>
        <xdr:cNvPr id="6" name="テキスト ボックス 5"/>
        <xdr:cNvSpPr txBox="1"/>
      </xdr:nvSpPr>
      <xdr:spPr>
        <a:xfrm>
          <a:off x="636270" y="819150"/>
          <a:ext cx="7677150" cy="2005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  <a:endParaRPr kumimoji="1" lang="en-US" altLang="ja-JP" sz="1200" baseline="0"/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  <a:endParaRPr kumimoji="1" lang="en-US" altLang="ja-JP" sz="1200" baseline="0">
            <a:solidFill>
              <a:sysClr val="windowText" lastClr="000000"/>
            </a:solidFill>
          </a:endParaRP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  <a:endParaRPr kumimoji="1" lang="en-US" altLang="ja-JP" sz="1200" baseline="0"/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  <a:endParaRPr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0d to 15360d [0dB to 24dB] or 0d to 16128d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525"/>
          <a:ext cx="1072515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20"/>
  <sheetViews>
    <sheetView showGridLines="0" workbookViewId="0">
      <pane ySplit="3" topLeftCell="A9" activePane="bottomLeft" state="frozen"/>
      <selection/>
      <selection pane="bottomLeft" activeCell="F13" sqref="F13"/>
    </sheetView>
  </sheetViews>
  <sheetFormatPr defaultColWidth="9" defaultRowHeight="13.2" outlineLevelCol="6"/>
  <cols>
    <col min="1" max="1" width="4.5" style="30" customWidth="1"/>
    <col min="2" max="2" width="13.75" style="290" customWidth="1"/>
    <col min="3" max="3" width="10" style="291" customWidth="1"/>
    <col min="4" max="4" width="16.1296296296296" style="291" customWidth="1"/>
    <col min="5" max="5" width="21.25" style="291" customWidth="1"/>
    <col min="6" max="6" width="115.75" style="27" customWidth="1"/>
    <col min="7" max="7" width="7.87962962962963" style="30" customWidth="1"/>
    <col min="8" max="16384" width="9" style="30"/>
  </cols>
  <sheetData>
    <row r="1" spans="1:7">
      <c r="C1" s="292" t="s">
        <v>0</v>
      </c>
      <c r="D1" s="292" t="s">
        <v>0</v>
      </c>
      <c r="E1" s="292" t="s">
        <v>0</v>
      </c>
      <c r="F1" s="292" t="s">
        <v>0</v>
      </c>
    </row>
    <row r="2" ht="13.95" spans="1:7">
      <c r="C2" s="292" t="s">
        <v>0</v>
      </c>
      <c r="D2" s="292" t="s">
        <v>0</v>
      </c>
      <c r="E2" s="292" t="s">
        <v>0</v>
      </c>
      <c r="F2" s="292" t="s">
        <v>0</v>
      </c>
    </row>
    <row r="3" s="289" customFormat="1" ht="21" customHeight="1" spans="1:7">
      <c r="B3" s="293" t="s">
        <v>1</v>
      </c>
      <c r="C3" s="294" t="s">
        <v>2</v>
      </c>
      <c r="D3" s="294" t="s">
        <v>3</v>
      </c>
      <c r="E3" s="294" t="s">
        <v>4</v>
      </c>
      <c r="F3" s="295" t="s">
        <v>5</v>
      </c>
      <c r="G3" s="30"/>
    </row>
    <row r="4" ht="156" spans="1:7">
      <c r="A4" s="296"/>
      <c r="B4" s="297">
        <v>45896</v>
      </c>
      <c r="C4" s="298" t="s">
        <v>6</v>
      </c>
      <c r="D4" s="299" t="s">
        <v>7</v>
      </c>
      <c r="E4" s="300" t="s">
        <v>8</v>
      </c>
      <c r="F4" s="320" t="s">
        <v>9</v>
      </c>
    </row>
    <row r="5" ht="24" spans="1:7">
      <c r="A5" s="296"/>
      <c r="B5" s="302">
        <v>45924</v>
      </c>
      <c r="C5" s="303" t="s">
        <v>10</v>
      </c>
      <c r="D5" s="299" t="s">
        <v>7</v>
      </c>
      <c r="E5" s="304"/>
      <c r="F5" s="321" t="s">
        <v>11</v>
      </c>
    </row>
    <row r="6" ht="48" spans="1:7">
      <c r="A6" s="296"/>
      <c r="B6" s="302">
        <v>45931</v>
      </c>
      <c r="C6" s="303" t="s">
        <v>12</v>
      </c>
      <c r="D6" s="299" t="s">
        <v>7</v>
      </c>
      <c r="E6" s="304"/>
      <c r="F6" s="321" t="s">
        <v>13</v>
      </c>
    </row>
    <row r="7" ht="24" spans="1:7">
      <c r="A7" s="296"/>
      <c r="B7" s="302">
        <v>45931</v>
      </c>
      <c r="C7" s="303" t="s">
        <v>14</v>
      </c>
      <c r="D7" s="299" t="s">
        <v>7</v>
      </c>
      <c r="E7" s="304"/>
      <c r="F7" s="321" t="s">
        <v>15</v>
      </c>
    </row>
    <row r="8" ht="36" spans="1:7">
      <c r="A8" s="296"/>
      <c r="B8" s="302">
        <v>45946</v>
      </c>
      <c r="C8" s="303" t="s">
        <v>16</v>
      </c>
      <c r="D8" s="299" t="s">
        <v>7</v>
      </c>
      <c r="E8" s="304"/>
      <c r="F8" s="321" t="s">
        <v>17</v>
      </c>
    </row>
    <row r="9" ht="60" spans="1:7">
      <c r="A9" s="296"/>
      <c r="B9" s="302">
        <v>45946</v>
      </c>
      <c r="C9" s="303" t="s">
        <v>18</v>
      </c>
      <c r="D9" s="299" t="s">
        <v>7</v>
      </c>
      <c r="E9" s="304"/>
      <c r="F9" s="321" t="s">
        <v>19</v>
      </c>
    </row>
    <row r="10" ht="60" spans="1:7">
      <c r="A10" s="296"/>
      <c r="B10" s="302">
        <v>45950</v>
      </c>
      <c r="C10" s="303" t="s">
        <v>20</v>
      </c>
      <c r="D10" s="299" t="s">
        <v>7</v>
      </c>
      <c r="E10" s="304"/>
      <c r="F10" s="321" t="s">
        <v>21</v>
      </c>
    </row>
    <row r="11" ht="48" spans="1:7">
      <c r="A11" s="296"/>
      <c r="B11" s="302">
        <v>45954</v>
      </c>
      <c r="C11" s="303" t="s">
        <v>22</v>
      </c>
      <c r="D11" s="299" t="s">
        <v>7</v>
      </c>
      <c r="E11" s="304"/>
      <c r="F11" s="321" t="s">
        <v>23</v>
      </c>
    </row>
    <row r="12" ht="132" spans="1:7">
      <c r="A12" s="296"/>
      <c r="B12" s="302">
        <v>45957</v>
      </c>
      <c r="C12" s="303" t="s">
        <v>24</v>
      </c>
      <c r="D12" s="299" t="s">
        <v>7</v>
      </c>
      <c r="E12" s="306"/>
      <c r="F12" s="322" t="s">
        <v>25</v>
      </c>
    </row>
    <row r="13" ht="178.5" customHeight="1" spans="1:7">
      <c r="A13" s="296"/>
      <c r="B13" s="308">
        <v>46028</v>
      </c>
      <c r="C13" s="309" t="s">
        <v>26</v>
      </c>
      <c r="D13" s="299" t="s">
        <v>7</v>
      </c>
      <c r="E13" s="306"/>
      <c r="F13" s="322" t="s">
        <v>27</v>
      </c>
    </row>
    <row r="14" spans="1:7">
      <c r="A14" s="296"/>
      <c r="B14" s="302">
        <v>46028</v>
      </c>
      <c r="C14" s="303" t="s">
        <v>26</v>
      </c>
      <c r="D14" s="299" t="s">
        <v>28</v>
      </c>
      <c r="E14" s="304"/>
      <c r="F14" s="321" t="s">
        <v>29</v>
      </c>
    </row>
    <row r="15" ht="13.95" spans="1:7">
      <c r="A15" s="296"/>
      <c r="B15" s="310"/>
      <c r="C15" s="311"/>
      <c r="D15" s="312"/>
      <c r="E15" s="313"/>
      <c r="F15" s="314"/>
    </row>
    <row r="16" spans="1:7">
      <c r="A16" s="296"/>
      <c r="B16" s="315"/>
      <c r="C16" s="316"/>
      <c r="D16" s="317"/>
      <c r="E16" s="318"/>
      <c r="F16" s="319"/>
    </row>
    <row r="20" ht="19.5" customHeight="1"/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907"/>
  <sheetViews>
    <sheetView showGridLines="0" topLeftCell="A820" workbookViewId="0">
      <pane xSplit="8" topLeftCell="BC1" activePane="topRight" state="frozen"/>
      <selection/>
      <selection pane="topRight" activeCell="BS568" sqref="BS568:BT854"/>
    </sheetView>
  </sheetViews>
  <sheetFormatPr defaultColWidth="9" defaultRowHeight="13.8"/>
  <cols>
    <col min="1" max="1" width="37.8796296296296" style="107" customWidth="1"/>
    <col min="2" max="2" width="9.87962962962963" style="108" customWidth="1"/>
    <col min="3" max="3" width="6.87962962962963" style="108" customWidth="1"/>
    <col min="4" max="4" width="2.75" style="109" customWidth="1"/>
    <col min="5" max="5" width="9" style="109"/>
    <col min="6" max="6" width="5.37962962962963" style="109" customWidth="1"/>
    <col min="7" max="7" width="8.37962962962963" style="109" customWidth="1"/>
    <col min="8" max="8" width="5.37962962962963" style="109" customWidth="1"/>
    <col min="9" max="9" width="3.62962962962963" style="110" customWidth="1"/>
    <col min="10" max="72" width="9.5" style="109" customWidth="1"/>
    <col min="73" max="73" width="9" style="109"/>
    <col min="74" max="85" width="9" style="109" customWidth="1"/>
    <col min="86" max="16384" width="9" style="109"/>
  </cols>
  <sheetData>
    <row r="1" ht="15.75" customHeight="1" spans="1:12">
      <c r="B1" s="111"/>
    </row>
    <row r="2" ht="12.75" customHeight="1" spans="1:12">
      <c r="B2" s="111"/>
    </row>
    <row r="4" ht="15" spans="1:12">
      <c r="A4" s="112" t="s">
        <v>30</v>
      </c>
    </row>
    <row r="5" ht="13.95" spans="1:12">
      <c r="I5" s="113"/>
    </row>
    <row r="6" spans="1:12">
      <c r="E6" s="114" t="s">
        <v>31</v>
      </c>
      <c r="F6" s="115"/>
      <c r="G6" s="115"/>
      <c r="H6" s="116"/>
    </row>
    <row r="7" spans="1:12">
      <c r="A7" s="117"/>
      <c r="E7" s="118"/>
      <c r="F7" s="119" t="s">
        <v>32</v>
      </c>
      <c r="G7" s="120"/>
      <c r="H7" s="121"/>
    </row>
    <row r="8" spans="1:12">
      <c r="A8" s="122"/>
      <c r="B8" s="123"/>
      <c r="C8" s="124"/>
      <c r="E8" s="118"/>
      <c r="F8" s="125" t="s">
        <v>33</v>
      </c>
      <c r="G8" s="126"/>
      <c r="H8" s="127"/>
    </row>
    <row r="9" spans="1:12">
      <c r="A9" s="128"/>
      <c r="B9" s="129"/>
      <c r="C9" s="129"/>
      <c r="E9" s="130"/>
      <c r="F9" s="125" t="s">
        <v>34</v>
      </c>
      <c r="G9" s="126"/>
      <c r="H9" s="127"/>
    </row>
    <row r="10" spans="1:12">
      <c r="A10" s="131"/>
      <c r="E10" s="132"/>
      <c r="F10" s="133" t="s">
        <v>35</v>
      </c>
      <c r="G10" s="134"/>
      <c r="H10" s="135"/>
    </row>
    <row r="11" spans="1:12">
      <c r="A11" s="136" t="s">
        <v>36</v>
      </c>
      <c r="B11" s="137" t="s">
        <v>37</v>
      </c>
      <c r="C11" s="137" t="s">
        <v>38</v>
      </c>
      <c r="E11" s="132"/>
      <c r="F11" s="138"/>
      <c r="G11" s="139" t="s">
        <v>39</v>
      </c>
      <c r="H11" s="140" t="s">
        <v>40</v>
      </c>
    </row>
    <row r="12" spans="1:12">
      <c r="A12" s="141" t="s">
        <v>41</v>
      </c>
      <c r="B12" s="142" t="s">
        <v>42</v>
      </c>
      <c r="C12" s="142" t="s">
        <v>43</v>
      </c>
      <c r="E12" s="132"/>
      <c r="F12" s="138"/>
      <c r="G12" s="143" t="s">
        <v>44</v>
      </c>
      <c r="H12" s="144" t="s">
        <v>42</v>
      </c>
      <c r="I12" s="145"/>
      <c r="L12" s="146"/>
    </row>
    <row r="13" spans="1:12">
      <c r="A13" s="141" t="s">
        <v>45</v>
      </c>
      <c r="B13" s="142" t="s">
        <v>46</v>
      </c>
      <c r="C13" s="142" t="s">
        <v>43</v>
      </c>
      <c r="E13" s="132"/>
      <c r="F13" s="138"/>
      <c r="G13" s="143" t="s">
        <v>47</v>
      </c>
      <c r="H13" s="144" t="s">
        <v>46</v>
      </c>
      <c r="I13" s="145"/>
      <c r="L13" s="146"/>
    </row>
    <row r="14" spans="1:12">
      <c r="A14" s="147"/>
      <c r="B14" s="148"/>
      <c r="C14" s="148"/>
      <c r="D14" s="147"/>
      <c r="E14" s="132"/>
      <c r="F14" s="138"/>
      <c r="G14" s="149"/>
      <c r="H14" s="144"/>
      <c r="I14" s="150"/>
    </row>
    <row r="15" spans="1:12">
      <c r="A15" s="147"/>
      <c r="B15" s="148"/>
      <c r="C15" s="148"/>
      <c r="D15" s="147"/>
      <c r="E15" s="132"/>
      <c r="F15" s="138"/>
      <c r="G15" s="149"/>
      <c r="H15" s="144"/>
      <c r="I15" s="150"/>
    </row>
    <row r="16" spans="1:12">
      <c r="A16" s="147"/>
      <c r="B16" s="148"/>
      <c r="C16" s="148"/>
      <c r="D16" s="131"/>
      <c r="E16" s="132"/>
      <c r="F16" s="133" t="s">
        <v>48</v>
      </c>
      <c r="G16" s="134"/>
      <c r="H16" s="135"/>
      <c r="I16" s="151"/>
    </row>
    <row r="17" spans="1:9">
      <c r="A17" s="136" t="s">
        <v>36</v>
      </c>
      <c r="B17" s="137" t="s">
        <v>37</v>
      </c>
      <c r="C17" s="137" t="s">
        <v>38</v>
      </c>
      <c r="D17" s="152"/>
      <c r="E17" s="132"/>
      <c r="F17" s="138"/>
      <c r="G17" s="139" t="s">
        <v>39</v>
      </c>
      <c r="H17" s="140" t="s">
        <v>40</v>
      </c>
    </row>
    <row r="18" spans="1:9">
      <c r="A18" s="153"/>
      <c r="B18" s="142" t="s">
        <v>46</v>
      </c>
      <c r="C18" s="142"/>
      <c r="E18" s="132"/>
      <c r="F18" s="154"/>
      <c r="G18" s="143" t="s">
        <v>49</v>
      </c>
      <c r="H18" s="155" t="s">
        <v>50</v>
      </c>
      <c r="I18" s="156"/>
    </row>
    <row r="19" spans="1:9">
      <c r="A19" s="153"/>
      <c r="B19" s="142" t="s">
        <v>46</v>
      </c>
      <c r="C19" s="142"/>
      <c r="E19" s="132"/>
      <c r="F19" s="154"/>
      <c r="G19" s="143" t="s">
        <v>51</v>
      </c>
      <c r="H19" s="155" t="s">
        <v>50</v>
      </c>
      <c r="I19" s="156"/>
    </row>
    <row r="20" spans="1:9">
      <c r="A20" s="153"/>
      <c r="B20" s="142" t="s">
        <v>46</v>
      </c>
      <c r="C20" s="142"/>
      <c r="E20" s="132"/>
      <c r="F20" s="154"/>
      <c r="G20" s="143" t="s">
        <v>52</v>
      </c>
      <c r="H20" s="155" t="s">
        <v>53</v>
      </c>
      <c r="I20" s="156"/>
    </row>
    <row r="21" spans="1:9">
      <c r="A21" s="153"/>
      <c r="B21" s="142" t="s">
        <v>46</v>
      </c>
      <c r="C21" s="142"/>
      <c r="E21" s="132"/>
      <c r="F21" s="154"/>
      <c r="G21" s="143" t="s">
        <v>54</v>
      </c>
      <c r="H21" s="155" t="s">
        <v>55</v>
      </c>
      <c r="I21" s="156"/>
    </row>
    <row r="22" spans="1:9">
      <c r="A22" s="153"/>
      <c r="B22" s="142" t="s">
        <v>46</v>
      </c>
      <c r="C22" s="142"/>
      <c r="E22" s="132"/>
      <c r="F22" s="154"/>
      <c r="G22" s="143" t="s">
        <v>56</v>
      </c>
      <c r="H22" s="155" t="s">
        <v>57</v>
      </c>
      <c r="I22" s="156"/>
    </row>
    <row r="23" spans="1:9">
      <c r="A23" s="153"/>
      <c r="B23" s="142" t="s">
        <v>46</v>
      </c>
      <c r="C23" s="142"/>
      <c r="E23" s="132"/>
      <c r="F23" s="154"/>
      <c r="G23" s="143" t="s">
        <v>58</v>
      </c>
      <c r="H23" s="155" t="s">
        <v>59</v>
      </c>
      <c r="I23" s="156"/>
    </row>
    <row r="24" spans="1:9">
      <c r="A24" s="153"/>
      <c r="B24" s="142" t="s">
        <v>46</v>
      </c>
      <c r="C24" s="142"/>
      <c r="E24" s="132"/>
      <c r="F24" s="154"/>
      <c r="G24" s="143" t="s">
        <v>60</v>
      </c>
      <c r="H24" s="155" t="s">
        <v>61</v>
      </c>
      <c r="I24" s="156"/>
    </row>
    <row r="25" spans="1:9">
      <c r="A25" s="153"/>
      <c r="B25" s="142" t="s">
        <v>46</v>
      </c>
      <c r="C25" s="142"/>
      <c r="E25" s="132"/>
      <c r="F25" s="154"/>
      <c r="G25" s="143" t="s">
        <v>62</v>
      </c>
      <c r="H25" s="155" t="s">
        <v>63</v>
      </c>
      <c r="I25" s="156"/>
    </row>
    <row r="26" spans="1:9">
      <c r="A26" s="153"/>
      <c r="B26" s="142" t="s">
        <v>46</v>
      </c>
      <c r="C26" s="142"/>
      <c r="E26" s="132"/>
      <c r="F26" s="154"/>
      <c r="G26" s="143" t="s">
        <v>64</v>
      </c>
      <c r="H26" s="155" t="s">
        <v>65</v>
      </c>
      <c r="I26" s="156"/>
    </row>
    <row r="27" spans="1:9">
      <c r="A27" s="153"/>
      <c r="B27" s="142" t="s">
        <v>46</v>
      </c>
      <c r="C27" s="142"/>
      <c r="E27" s="132"/>
      <c r="F27" s="154"/>
      <c r="G27" s="143" t="s">
        <v>66</v>
      </c>
      <c r="H27" s="155" t="s">
        <v>67</v>
      </c>
      <c r="I27" s="156"/>
    </row>
    <row r="28" spans="1:9">
      <c r="A28" s="153"/>
      <c r="B28" s="142" t="s">
        <v>46</v>
      </c>
      <c r="C28" s="142"/>
      <c r="E28" s="132"/>
      <c r="F28" s="154"/>
      <c r="G28" s="143" t="s">
        <v>68</v>
      </c>
      <c r="H28" s="155" t="s">
        <v>69</v>
      </c>
      <c r="I28" s="156"/>
    </row>
    <row r="29" spans="1:9">
      <c r="A29" s="153"/>
      <c r="B29" s="142" t="s">
        <v>46</v>
      </c>
      <c r="C29" s="142"/>
      <c r="E29" s="132"/>
      <c r="F29" s="154"/>
      <c r="G29" s="143" t="s">
        <v>70</v>
      </c>
      <c r="H29" s="144" t="s">
        <v>46</v>
      </c>
      <c r="I29" s="156"/>
    </row>
    <row r="30" spans="1:9">
      <c r="A30" s="153"/>
      <c r="B30" s="142" t="s">
        <v>46</v>
      </c>
      <c r="C30" s="142"/>
      <c r="E30" s="132"/>
      <c r="F30" s="154"/>
      <c r="G30" s="143" t="s">
        <v>71</v>
      </c>
      <c r="H30" s="155" t="s">
        <v>57</v>
      </c>
      <c r="I30" s="156"/>
    </row>
    <row r="31" spans="1:9">
      <c r="A31" s="153"/>
      <c r="B31" s="142" t="s">
        <v>46</v>
      </c>
      <c r="C31" s="142"/>
      <c r="E31" s="132"/>
      <c r="F31" s="154"/>
      <c r="G31" s="143" t="s">
        <v>72</v>
      </c>
      <c r="H31" s="155" t="s">
        <v>73</v>
      </c>
      <c r="I31" s="156"/>
    </row>
    <row r="32" spans="1:9">
      <c r="A32" s="153"/>
      <c r="B32" s="142" t="s">
        <v>46</v>
      </c>
      <c r="C32" s="142"/>
      <c r="E32" s="132"/>
      <c r="F32" s="154"/>
      <c r="G32" s="143" t="s">
        <v>74</v>
      </c>
      <c r="H32" s="155" t="s">
        <v>61</v>
      </c>
      <c r="I32" s="156"/>
    </row>
    <row r="33" spans="1:9">
      <c r="A33" s="153"/>
      <c r="B33" s="142" t="s">
        <v>46</v>
      </c>
      <c r="C33" s="142"/>
      <c r="E33" s="132"/>
      <c r="F33" s="154"/>
      <c r="G33" s="143" t="s">
        <v>75</v>
      </c>
      <c r="H33" s="155" t="s">
        <v>63</v>
      </c>
      <c r="I33" s="156"/>
    </row>
    <row r="34" spans="1:9">
      <c r="A34" s="153"/>
      <c r="B34" s="142" t="s">
        <v>46</v>
      </c>
      <c r="C34" s="142"/>
      <c r="E34" s="132"/>
      <c r="F34" s="154"/>
      <c r="G34" s="143" t="s">
        <v>76</v>
      </c>
      <c r="H34" s="155" t="s">
        <v>77</v>
      </c>
      <c r="I34" s="156"/>
    </row>
    <row r="35" spans="1:9">
      <c r="A35" s="153"/>
      <c r="B35" s="142" t="s">
        <v>46</v>
      </c>
      <c r="C35" s="142"/>
      <c r="E35" s="132"/>
      <c r="F35" s="154"/>
      <c r="G35" s="143" t="s">
        <v>78</v>
      </c>
      <c r="H35" s="155" t="s">
        <v>79</v>
      </c>
      <c r="I35" s="156"/>
    </row>
    <row r="36" spans="1:9">
      <c r="A36" s="153"/>
      <c r="B36" s="142" t="s">
        <v>46</v>
      </c>
      <c r="C36" s="142"/>
      <c r="E36" s="132"/>
      <c r="F36" s="154"/>
      <c r="G36" s="143" t="s">
        <v>80</v>
      </c>
      <c r="H36" s="155" t="s">
        <v>81</v>
      </c>
      <c r="I36" s="156"/>
    </row>
    <row r="37" spans="1:9">
      <c r="A37" s="153"/>
      <c r="B37" s="142" t="s">
        <v>46</v>
      </c>
      <c r="C37" s="142"/>
      <c r="E37" s="132"/>
      <c r="F37" s="154"/>
      <c r="G37" s="143" t="s">
        <v>82</v>
      </c>
      <c r="H37" s="155" t="s">
        <v>83</v>
      </c>
      <c r="I37" s="156"/>
    </row>
    <row r="38" spans="1:9">
      <c r="A38" s="153"/>
      <c r="B38" s="142" t="s">
        <v>46</v>
      </c>
      <c r="C38" s="142"/>
      <c r="E38" s="132"/>
      <c r="F38" s="154"/>
      <c r="G38" s="143" t="s">
        <v>84</v>
      </c>
      <c r="H38" s="155" t="s">
        <v>57</v>
      </c>
      <c r="I38" s="156"/>
    </row>
    <row r="39" spans="1:9">
      <c r="A39" s="153"/>
      <c r="B39" s="142" t="s">
        <v>46</v>
      </c>
      <c r="C39" s="142"/>
      <c r="E39" s="132"/>
      <c r="F39" s="154"/>
      <c r="G39" s="143" t="s">
        <v>85</v>
      </c>
      <c r="H39" s="155" t="s">
        <v>86</v>
      </c>
      <c r="I39" s="156"/>
    </row>
    <row r="40" spans="1:9">
      <c r="A40" s="153"/>
      <c r="B40" s="142" t="s">
        <v>46</v>
      </c>
      <c r="C40" s="142"/>
      <c r="E40" s="132"/>
      <c r="F40" s="154"/>
      <c r="G40" s="143" t="s">
        <v>87</v>
      </c>
      <c r="H40" s="155" t="s">
        <v>88</v>
      </c>
      <c r="I40" s="156"/>
    </row>
    <row r="41" spans="1:9">
      <c r="A41" s="153"/>
      <c r="B41" s="142" t="s">
        <v>46</v>
      </c>
      <c r="C41" s="142"/>
      <c r="E41" s="132"/>
      <c r="F41" s="154"/>
      <c r="G41" s="143" t="s">
        <v>89</v>
      </c>
      <c r="H41" s="155" t="s">
        <v>63</v>
      </c>
      <c r="I41" s="156"/>
    </row>
    <row r="42" spans="1:9">
      <c r="A42" s="153"/>
      <c r="B42" s="142" t="s">
        <v>46</v>
      </c>
      <c r="C42" s="142"/>
      <c r="E42" s="132"/>
      <c r="F42" s="154"/>
      <c r="G42" s="143" t="s">
        <v>90</v>
      </c>
      <c r="H42" s="144" t="s">
        <v>46</v>
      </c>
      <c r="I42" s="156"/>
    </row>
    <row r="43" spans="1:9">
      <c r="A43" s="153"/>
      <c r="B43" s="142" t="s">
        <v>46</v>
      </c>
      <c r="C43" s="142"/>
      <c r="E43" s="132"/>
      <c r="F43" s="154"/>
      <c r="G43" s="143" t="s">
        <v>91</v>
      </c>
      <c r="H43" s="144" t="s">
        <v>46</v>
      </c>
      <c r="I43" s="156"/>
    </row>
    <row r="44" spans="1:9">
      <c r="A44" s="153"/>
      <c r="B44" s="142" t="s">
        <v>46</v>
      </c>
      <c r="C44" s="142"/>
      <c r="E44" s="132"/>
      <c r="F44" s="154"/>
      <c r="G44" s="143" t="s">
        <v>92</v>
      </c>
      <c r="H44" s="155" t="s">
        <v>93</v>
      </c>
      <c r="I44" s="156"/>
    </row>
    <row r="45" spans="1:9">
      <c r="A45" s="153"/>
      <c r="B45" s="142" t="s">
        <v>46</v>
      </c>
      <c r="C45" s="142"/>
      <c r="E45" s="132"/>
      <c r="F45" s="154"/>
      <c r="G45" s="143" t="s">
        <v>94</v>
      </c>
      <c r="H45" s="144" t="s">
        <v>46</v>
      </c>
      <c r="I45" s="156"/>
    </row>
    <row r="46" spans="1:9">
      <c r="A46" s="153"/>
      <c r="B46" s="142" t="s">
        <v>46</v>
      </c>
      <c r="C46" s="142"/>
      <c r="E46" s="132"/>
      <c r="F46" s="154"/>
      <c r="G46" s="143" t="s">
        <v>95</v>
      </c>
      <c r="H46" s="155" t="s">
        <v>57</v>
      </c>
      <c r="I46" s="156"/>
    </row>
    <row r="47" spans="1:9">
      <c r="A47" s="153"/>
      <c r="B47" s="142" t="s">
        <v>46</v>
      </c>
      <c r="C47" s="142"/>
      <c r="E47" s="132"/>
      <c r="F47" s="154"/>
      <c r="G47" s="143" t="s">
        <v>96</v>
      </c>
      <c r="H47" s="155" t="s">
        <v>97</v>
      </c>
      <c r="I47" s="156"/>
    </row>
    <row r="48" spans="1:9">
      <c r="A48" s="153"/>
      <c r="B48" s="142" t="s">
        <v>46</v>
      </c>
      <c r="C48" s="142"/>
      <c r="E48" s="132"/>
      <c r="F48" s="154"/>
      <c r="G48" s="143" t="s">
        <v>98</v>
      </c>
      <c r="H48" s="155" t="s">
        <v>88</v>
      </c>
      <c r="I48" s="156"/>
    </row>
    <row r="49" spans="1:9">
      <c r="A49" s="153"/>
      <c r="B49" s="142" t="s">
        <v>46</v>
      </c>
      <c r="C49" s="142"/>
      <c r="E49" s="132"/>
      <c r="F49" s="154"/>
      <c r="G49" s="143" t="s">
        <v>99</v>
      </c>
      <c r="H49" s="155" t="s">
        <v>63</v>
      </c>
      <c r="I49" s="156"/>
    </row>
    <row r="50" spans="1:9">
      <c r="A50" s="153"/>
      <c r="B50" s="142" t="s">
        <v>46</v>
      </c>
      <c r="C50" s="142"/>
      <c r="E50" s="132"/>
      <c r="F50" s="154"/>
      <c r="G50" s="143" t="s">
        <v>100</v>
      </c>
      <c r="H50" s="155" t="s">
        <v>65</v>
      </c>
      <c r="I50" s="156"/>
    </row>
    <row r="51" spans="1:9">
      <c r="A51" s="153"/>
      <c r="B51" s="142" t="s">
        <v>46</v>
      </c>
      <c r="C51" s="142"/>
      <c r="E51" s="132"/>
      <c r="F51" s="154"/>
      <c r="G51" s="143" t="s">
        <v>101</v>
      </c>
      <c r="H51" s="155" t="s">
        <v>67</v>
      </c>
      <c r="I51" s="156"/>
    </row>
    <row r="52" spans="1:9">
      <c r="A52" s="153"/>
      <c r="B52" s="142" t="s">
        <v>46</v>
      </c>
      <c r="C52" s="142"/>
      <c r="E52" s="132"/>
      <c r="F52" s="154"/>
      <c r="G52" s="143" t="s">
        <v>102</v>
      </c>
      <c r="H52" s="144" t="s">
        <v>46</v>
      </c>
      <c r="I52" s="156"/>
    </row>
    <row r="53" spans="1:9">
      <c r="A53" s="153"/>
      <c r="B53" s="142" t="s">
        <v>46</v>
      </c>
      <c r="C53" s="142"/>
      <c r="E53" s="132"/>
      <c r="F53" s="154"/>
      <c r="G53" s="143" t="s">
        <v>103</v>
      </c>
      <c r="H53" s="144" t="s">
        <v>46</v>
      </c>
      <c r="I53" s="156"/>
    </row>
    <row r="54" spans="1:9">
      <c r="A54" s="153"/>
      <c r="B54" s="142" t="s">
        <v>46</v>
      </c>
      <c r="C54" s="142"/>
      <c r="E54" s="132"/>
      <c r="F54" s="154"/>
      <c r="G54" s="143" t="s">
        <v>104</v>
      </c>
      <c r="H54" s="155" t="s">
        <v>57</v>
      </c>
      <c r="I54" s="156"/>
    </row>
    <row r="55" spans="1:9">
      <c r="A55" s="153"/>
      <c r="B55" s="142" t="s">
        <v>46</v>
      </c>
      <c r="C55" s="142"/>
      <c r="E55" s="132"/>
      <c r="F55" s="154"/>
      <c r="G55" s="143" t="s">
        <v>105</v>
      </c>
      <c r="H55" s="155" t="s">
        <v>106</v>
      </c>
      <c r="I55" s="156"/>
    </row>
    <row r="56" spans="1:9">
      <c r="A56" s="153"/>
      <c r="B56" s="142" t="s">
        <v>46</v>
      </c>
      <c r="C56" s="142"/>
      <c r="E56" s="132"/>
      <c r="F56" s="154"/>
      <c r="G56" s="143" t="s">
        <v>107</v>
      </c>
      <c r="H56" s="155" t="s">
        <v>88</v>
      </c>
      <c r="I56" s="156"/>
    </row>
    <row r="57" spans="1:9">
      <c r="A57" s="153"/>
      <c r="B57" s="142" t="s">
        <v>46</v>
      </c>
      <c r="C57" s="142"/>
      <c r="E57" s="132"/>
      <c r="F57" s="154"/>
      <c r="G57" s="143" t="s">
        <v>108</v>
      </c>
      <c r="H57" s="155" t="s">
        <v>63</v>
      </c>
      <c r="I57" s="156"/>
    </row>
    <row r="58" spans="1:9">
      <c r="A58" s="153"/>
      <c r="B58" s="142" t="s">
        <v>46</v>
      </c>
      <c r="C58" s="142"/>
      <c r="E58" s="132"/>
      <c r="F58" s="154"/>
      <c r="G58" s="143" t="s">
        <v>109</v>
      </c>
      <c r="H58" s="155" t="s">
        <v>110</v>
      </c>
      <c r="I58" s="156"/>
    </row>
    <row r="59" spans="1:9">
      <c r="A59" s="153"/>
      <c r="B59" s="142" t="s">
        <v>46</v>
      </c>
      <c r="C59" s="142"/>
      <c r="E59" s="132"/>
      <c r="F59" s="154"/>
      <c r="G59" s="143" t="s">
        <v>111</v>
      </c>
      <c r="H59" s="144" t="s">
        <v>46</v>
      </c>
      <c r="I59" s="156"/>
    </row>
    <row r="60" spans="1:9">
      <c r="A60" s="153"/>
      <c r="B60" s="142" t="s">
        <v>46</v>
      </c>
      <c r="C60" s="142"/>
      <c r="E60" s="132"/>
      <c r="F60" s="154"/>
      <c r="G60" s="143" t="s">
        <v>112</v>
      </c>
      <c r="H60" s="155" t="s">
        <v>113</v>
      </c>
      <c r="I60" s="156"/>
    </row>
    <row r="61" spans="1:9">
      <c r="A61" s="153"/>
      <c r="B61" s="142" t="s">
        <v>46</v>
      </c>
      <c r="C61" s="142"/>
      <c r="E61" s="132"/>
      <c r="F61" s="154"/>
      <c r="G61" s="143" t="s">
        <v>114</v>
      </c>
      <c r="H61" s="155" t="s">
        <v>115</v>
      </c>
      <c r="I61" s="156"/>
    </row>
    <row r="62" spans="1:9">
      <c r="A62" s="153"/>
      <c r="B62" s="142" t="s">
        <v>46</v>
      </c>
      <c r="C62" s="142"/>
      <c r="E62" s="132"/>
      <c r="F62" s="154"/>
      <c r="G62" s="143" t="s">
        <v>116</v>
      </c>
      <c r="H62" s="155" t="s">
        <v>57</v>
      </c>
      <c r="I62" s="156"/>
    </row>
    <row r="63" spans="1:9">
      <c r="A63" s="153"/>
      <c r="B63" s="142" t="s">
        <v>46</v>
      </c>
      <c r="C63" s="142"/>
      <c r="E63" s="132"/>
      <c r="F63" s="154"/>
      <c r="G63" s="143" t="s">
        <v>117</v>
      </c>
      <c r="H63" s="155" t="s">
        <v>118</v>
      </c>
      <c r="I63" s="156"/>
    </row>
    <row r="64" spans="1:9">
      <c r="A64" s="153"/>
      <c r="B64" s="142" t="s">
        <v>46</v>
      </c>
      <c r="C64" s="142"/>
      <c r="E64" s="132"/>
      <c r="F64" s="154"/>
      <c r="G64" s="143" t="s">
        <v>119</v>
      </c>
      <c r="H64" s="155" t="s">
        <v>120</v>
      </c>
      <c r="I64" s="156"/>
    </row>
    <row r="65" spans="1:9">
      <c r="A65" s="153"/>
      <c r="B65" s="142" t="s">
        <v>46</v>
      </c>
      <c r="C65" s="142"/>
      <c r="E65" s="132"/>
      <c r="F65" s="154"/>
      <c r="G65" s="143" t="s">
        <v>121</v>
      </c>
      <c r="H65" s="144" t="s">
        <v>46</v>
      </c>
      <c r="I65" s="156"/>
    </row>
    <row r="66" spans="1:9">
      <c r="A66" s="153"/>
      <c r="B66" s="142" t="s">
        <v>46</v>
      </c>
      <c r="C66" s="142"/>
      <c r="E66" s="132"/>
      <c r="F66" s="154"/>
      <c r="G66" s="143" t="s">
        <v>122</v>
      </c>
      <c r="H66" s="155" t="s">
        <v>123</v>
      </c>
      <c r="I66" s="156"/>
    </row>
    <row r="67" spans="1:9">
      <c r="A67" s="153"/>
      <c r="B67" s="142" t="s">
        <v>46</v>
      </c>
      <c r="C67" s="142"/>
      <c r="E67" s="132"/>
      <c r="F67" s="154"/>
      <c r="G67" s="143" t="s">
        <v>124</v>
      </c>
      <c r="H67" s="155" t="s">
        <v>125</v>
      </c>
      <c r="I67" s="156"/>
    </row>
    <row r="68" spans="1:9">
      <c r="A68" s="153"/>
      <c r="B68" s="142" t="s">
        <v>46</v>
      </c>
      <c r="C68" s="142"/>
      <c r="E68" s="132"/>
      <c r="F68" s="154"/>
      <c r="G68" s="143" t="s">
        <v>126</v>
      </c>
      <c r="H68" s="155" t="s">
        <v>127</v>
      </c>
      <c r="I68" s="156"/>
    </row>
    <row r="69" spans="1:9">
      <c r="A69" s="153"/>
      <c r="B69" s="142" t="s">
        <v>46</v>
      </c>
      <c r="C69" s="142"/>
      <c r="E69" s="132"/>
      <c r="F69" s="154"/>
      <c r="G69" s="143" t="s">
        <v>128</v>
      </c>
      <c r="H69" s="155" t="s">
        <v>67</v>
      </c>
      <c r="I69" s="156"/>
    </row>
    <row r="70" spans="1:9">
      <c r="A70" s="153"/>
      <c r="B70" s="142" t="s">
        <v>46</v>
      </c>
      <c r="C70" s="142"/>
      <c r="E70" s="132"/>
      <c r="F70" s="154"/>
      <c r="G70" s="143" t="s">
        <v>129</v>
      </c>
      <c r="H70" s="155" t="s">
        <v>130</v>
      </c>
      <c r="I70" s="156"/>
    </row>
    <row r="71" spans="1:9">
      <c r="A71" s="153"/>
      <c r="B71" s="142" t="s">
        <v>46</v>
      </c>
      <c r="C71" s="142"/>
      <c r="E71" s="132"/>
      <c r="F71" s="154"/>
      <c r="G71" s="143" t="s">
        <v>131</v>
      </c>
      <c r="H71" s="155" t="s">
        <v>132</v>
      </c>
      <c r="I71" s="156"/>
    </row>
    <row r="72" spans="1:9">
      <c r="A72" s="153"/>
      <c r="B72" s="142" t="s">
        <v>46</v>
      </c>
      <c r="C72" s="142"/>
      <c r="E72" s="132"/>
      <c r="F72" s="154"/>
      <c r="G72" s="143" t="s">
        <v>133</v>
      </c>
      <c r="H72" s="155" t="s">
        <v>134</v>
      </c>
      <c r="I72" s="156"/>
    </row>
    <row r="73" spans="1:9">
      <c r="A73" s="153"/>
      <c r="B73" s="142" t="s">
        <v>46</v>
      </c>
      <c r="C73" s="142"/>
      <c r="E73" s="132"/>
      <c r="F73" s="154"/>
      <c r="G73" s="143" t="s">
        <v>135</v>
      </c>
      <c r="H73" s="155" t="s">
        <v>136</v>
      </c>
      <c r="I73" s="156"/>
    </row>
    <row r="74" spans="1:9">
      <c r="A74" s="153"/>
      <c r="B74" s="142" t="s">
        <v>46</v>
      </c>
      <c r="C74" s="142"/>
      <c r="E74" s="132"/>
      <c r="F74" s="154"/>
      <c r="G74" s="143" t="s">
        <v>137</v>
      </c>
      <c r="H74" s="155" t="s">
        <v>134</v>
      </c>
      <c r="I74" s="156"/>
    </row>
    <row r="75" spans="1:9">
      <c r="A75" s="153"/>
      <c r="B75" s="142" t="s">
        <v>46</v>
      </c>
      <c r="C75" s="142"/>
      <c r="E75" s="132"/>
      <c r="F75" s="154"/>
      <c r="G75" s="143" t="s">
        <v>138</v>
      </c>
      <c r="H75" s="155" t="s">
        <v>139</v>
      </c>
      <c r="I75" s="156"/>
    </row>
    <row r="76" spans="1:9">
      <c r="A76" s="153"/>
      <c r="B76" s="142" t="s">
        <v>46</v>
      </c>
      <c r="C76" s="142"/>
      <c r="E76" s="132"/>
      <c r="F76" s="154"/>
      <c r="G76" s="143" t="s">
        <v>140</v>
      </c>
      <c r="H76" s="155" t="s">
        <v>134</v>
      </c>
      <c r="I76" s="156"/>
    </row>
    <row r="77" spans="1:9">
      <c r="A77" s="153"/>
      <c r="B77" s="142" t="s">
        <v>46</v>
      </c>
      <c r="C77" s="142"/>
      <c r="E77" s="132"/>
      <c r="F77" s="154"/>
      <c r="G77" s="143" t="s">
        <v>141</v>
      </c>
      <c r="H77" s="155" t="s">
        <v>142</v>
      </c>
      <c r="I77" s="156"/>
    </row>
    <row r="78" spans="1:9">
      <c r="A78" s="153"/>
      <c r="B78" s="142" t="s">
        <v>46</v>
      </c>
      <c r="C78" s="142"/>
      <c r="E78" s="132"/>
      <c r="F78" s="154"/>
      <c r="G78" s="143" t="s">
        <v>143</v>
      </c>
      <c r="H78" s="155" t="s">
        <v>144</v>
      </c>
      <c r="I78" s="156"/>
    </row>
    <row r="79" spans="1:9">
      <c r="A79" s="153"/>
      <c r="B79" s="142" t="s">
        <v>46</v>
      </c>
      <c r="C79" s="142"/>
      <c r="E79" s="132"/>
      <c r="F79" s="154"/>
      <c r="G79" s="143" t="s">
        <v>145</v>
      </c>
      <c r="H79" s="155" t="s">
        <v>42</v>
      </c>
      <c r="I79" s="156"/>
    </row>
    <row r="80" spans="1:9">
      <c r="A80" s="153"/>
      <c r="B80" s="142" t="s">
        <v>46</v>
      </c>
      <c r="C80" s="142"/>
      <c r="E80" s="132"/>
      <c r="F80" s="154"/>
      <c r="G80" s="143" t="s">
        <v>146</v>
      </c>
      <c r="H80" s="155" t="s">
        <v>147</v>
      </c>
      <c r="I80" s="156"/>
    </row>
    <row r="81" spans="1:9">
      <c r="A81" s="153"/>
      <c r="B81" s="142" t="s">
        <v>46</v>
      </c>
      <c r="C81" s="142"/>
      <c r="E81" s="132"/>
      <c r="F81" s="154"/>
      <c r="G81" s="143" t="s">
        <v>148</v>
      </c>
      <c r="H81" s="144" t="s">
        <v>46</v>
      </c>
      <c r="I81" s="156"/>
    </row>
    <row r="82" spans="1:9">
      <c r="A82" s="153"/>
      <c r="B82" s="142" t="s">
        <v>46</v>
      </c>
      <c r="C82" s="142"/>
      <c r="E82" s="132"/>
      <c r="F82" s="154"/>
      <c r="G82" s="143" t="s">
        <v>149</v>
      </c>
      <c r="H82" s="155" t="s">
        <v>150</v>
      </c>
      <c r="I82" s="156"/>
    </row>
    <row r="83" spans="1:9">
      <c r="A83" s="153"/>
      <c r="B83" s="142" t="s">
        <v>46</v>
      </c>
      <c r="C83" s="142"/>
      <c r="E83" s="132"/>
      <c r="F83" s="154"/>
      <c r="G83" s="143" t="s">
        <v>151</v>
      </c>
      <c r="H83" s="155" t="s">
        <v>152</v>
      </c>
      <c r="I83" s="156"/>
    </row>
    <row r="84" spans="1:9">
      <c r="A84" s="153"/>
      <c r="B84" s="142" t="s">
        <v>46</v>
      </c>
      <c r="C84" s="142"/>
      <c r="E84" s="132"/>
      <c r="F84" s="154"/>
      <c r="G84" s="143" t="s">
        <v>153</v>
      </c>
      <c r="H84" s="155" t="s">
        <v>132</v>
      </c>
      <c r="I84" s="156"/>
    </row>
    <row r="85" spans="1:9">
      <c r="A85" s="153"/>
      <c r="B85" s="142" t="s">
        <v>46</v>
      </c>
      <c r="C85" s="142"/>
      <c r="E85" s="132"/>
      <c r="F85" s="154"/>
      <c r="G85" s="143" t="s">
        <v>154</v>
      </c>
      <c r="H85" s="155" t="s">
        <v>155</v>
      </c>
      <c r="I85" s="156"/>
    </row>
    <row r="86" spans="1:9">
      <c r="A86" s="153"/>
      <c r="B86" s="142" t="s">
        <v>46</v>
      </c>
      <c r="C86" s="142"/>
      <c r="E86" s="132"/>
      <c r="F86" s="154"/>
      <c r="G86" s="143" t="s">
        <v>156</v>
      </c>
      <c r="H86" s="155" t="s">
        <v>144</v>
      </c>
      <c r="I86" s="156"/>
    </row>
    <row r="87" spans="1:9">
      <c r="A87" s="153"/>
      <c r="B87" s="142" t="s">
        <v>46</v>
      </c>
      <c r="C87" s="142"/>
      <c r="E87" s="132"/>
      <c r="F87" s="154"/>
      <c r="G87" s="143" t="s">
        <v>157</v>
      </c>
      <c r="H87" s="155" t="s">
        <v>158</v>
      </c>
      <c r="I87" s="156"/>
    </row>
    <row r="88" spans="1:9">
      <c r="A88" s="153"/>
      <c r="B88" s="142" t="s">
        <v>46</v>
      </c>
      <c r="C88" s="142"/>
      <c r="E88" s="132"/>
      <c r="F88" s="154"/>
      <c r="G88" s="143" t="s">
        <v>159</v>
      </c>
      <c r="H88" s="155" t="s">
        <v>160</v>
      </c>
      <c r="I88" s="156"/>
    </row>
    <row r="89" spans="1:9">
      <c r="A89" s="153"/>
      <c r="B89" s="142" t="s">
        <v>46</v>
      </c>
      <c r="C89" s="142"/>
      <c r="E89" s="132"/>
      <c r="F89" s="154"/>
      <c r="G89" s="143" t="s">
        <v>161</v>
      </c>
      <c r="H89" s="155" t="s">
        <v>162</v>
      </c>
      <c r="I89" s="156"/>
    </row>
    <row r="90" spans="1:9">
      <c r="A90" s="153"/>
      <c r="B90" s="142" t="s">
        <v>46</v>
      </c>
      <c r="C90" s="142"/>
      <c r="E90" s="132"/>
      <c r="F90" s="154"/>
      <c r="G90" s="143" t="s">
        <v>163</v>
      </c>
      <c r="H90" s="155" t="s">
        <v>164</v>
      </c>
      <c r="I90" s="156"/>
    </row>
    <row r="91" spans="1:9">
      <c r="A91" s="153"/>
      <c r="B91" s="142" t="s">
        <v>46</v>
      </c>
      <c r="C91" s="142"/>
      <c r="E91" s="132"/>
      <c r="F91" s="154"/>
      <c r="G91" s="143" t="s">
        <v>165</v>
      </c>
      <c r="H91" s="155" t="s">
        <v>166</v>
      </c>
      <c r="I91" s="156"/>
    </row>
    <row r="92" spans="1:9">
      <c r="A92" s="153"/>
      <c r="B92" s="142" t="s">
        <v>46</v>
      </c>
      <c r="C92" s="142"/>
      <c r="E92" s="132"/>
      <c r="F92" s="154"/>
      <c r="G92" s="143" t="s">
        <v>167</v>
      </c>
      <c r="H92" s="155" t="s">
        <v>168</v>
      </c>
      <c r="I92" s="156"/>
    </row>
    <row r="93" spans="1:9">
      <c r="A93" s="153"/>
      <c r="B93" s="142" t="s">
        <v>46</v>
      </c>
      <c r="C93" s="142"/>
      <c r="E93" s="132"/>
      <c r="F93" s="154"/>
      <c r="G93" s="143" t="s">
        <v>169</v>
      </c>
      <c r="H93" s="155" t="s">
        <v>142</v>
      </c>
      <c r="I93" s="156"/>
    </row>
    <row r="94" spans="1:9">
      <c r="A94" s="153"/>
      <c r="B94" s="142" t="s">
        <v>46</v>
      </c>
      <c r="C94" s="142"/>
      <c r="E94" s="132"/>
      <c r="F94" s="154"/>
      <c r="G94" s="143" t="s">
        <v>170</v>
      </c>
      <c r="H94" s="155" t="s">
        <v>86</v>
      </c>
      <c r="I94" s="156"/>
    </row>
    <row r="95" spans="1:9">
      <c r="A95" s="153"/>
      <c r="B95" s="142" t="s">
        <v>46</v>
      </c>
      <c r="C95" s="142"/>
      <c r="E95" s="132"/>
      <c r="F95" s="154"/>
      <c r="G95" s="143" t="s">
        <v>171</v>
      </c>
      <c r="H95" s="155" t="s">
        <v>172</v>
      </c>
      <c r="I95" s="156"/>
    </row>
    <row r="96" spans="1:9">
      <c r="A96" s="153"/>
      <c r="B96" s="142" t="s">
        <v>46</v>
      </c>
      <c r="C96" s="142"/>
      <c r="E96" s="132"/>
      <c r="F96" s="154"/>
      <c r="G96" s="143" t="s">
        <v>173</v>
      </c>
      <c r="H96" s="155" t="s">
        <v>144</v>
      </c>
      <c r="I96" s="156"/>
    </row>
    <row r="97" spans="1:9">
      <c r="A97" s="153"/>
      <c r="B97" s="142" t="s">
        <v>46</v>
      </c>
      <c r="C97" s="142"/>
      <c r="E97" s="132"/>
      <c r="F97" s="154"/>
      <c r="G97" s="143" t="s">
        <v>174</v>
      </c>
      <c r="H97" s="155" t="s">
        <v>158</v>
      </c>
      <c r="I97" s="156"/>
    </row>
    <row r="98" spans="1:9">
      <c r="A98" s="153"/>
      <c r="B98" s="142" t="s">
        <v>46</v>
      </c>
      <c r="C98" s="142"/>
      <c r="E98" s="132"/>
      <c r="F98" s="154"/>
      <c r="G98" s="143" t="s">
        <v>175</v>
      </c>
      <c r="H98" s="155" t="s">
        <v>160</v>
      </c>
      <c r="I98" s="156"/>
    </row>
    <row r="99" spans="1:9">
      <c r="A99" s="153"/>
      <c r="B99" s="142" t="s">
        <v>46</v>
      </c>
      <c r="C99" s="142"/>
      <c r="E99" s="132"/>
      <c r="F99" s="154"/>
      <c r="G99" s="143" t="s">
        <v>176</v>
      </c>
      <c r="H99" s="155" t="s">
        <v>177</v>
      </c>
      <c r="I99" s="156"/>
    </row>
    <row r="100" spans="1:9">
      <c r="A100" s="153"/>
      <c r="B100" s="142" t="s">
        <v>46</v>
      </c>
      <c r="C100" s="142"/>
      <c r="E100" s="132"/>
      <c r="F100" s="154"/>
      <c r="G100" s="143" t="s">
        <v>178</v>
      </c>
      <c r="H100" s="155" t="s">
        <v>164</v>
      </c>
      <c r="I100" s="156"/>
    </row>
    <row r="101" spans="1:9">
      <c r="A101" s="153"/>
      <c r="B101" s="142" t="s">
        <v>46</v>
      </c>
      <c r="C101" s="142"/>
      <c r="E101" s="132"/>
      <c r="F101" s="154"/>
      <c r="G101" s="143" t="s">
        <v>179</v>
      </c>
      <c r="H101" s="155" t="s">
        <v>166</v>
      </c>
      <c r="I101" s="156"/>
    </row>
    <row r="102" spans="1:9">
      <c r="A102" s="153"/>
      <c r="B102" s="142" t="s">
        <v>46</v>
      </c>
      <c r="C102" s="142"/>
      <c r="E102" s="132"/>
      <c r="F102" s="154"/>
      <c r="G102" s="143" t="s">
        <v>180</v>
      </c>
      <c r="H102" s="155" t="s">
        <v>181</v>
      </c>
      <c r="I102" s="156"/>
    </row>
    <row r="103" spans="1:9">
      <c r="A103" s="153"/>
      <c r="B103" s="142" t="s">
        <v>46</v>
      </c>
      <c r="C103" s="142"/>
      <c r="E103" s="132"/>
      <c r="F103" s="154"/>
      <c r="G103" s="143" t="s">
        <v>182</v>
      </c>
      <c r="H103" s="155" t="s">
        <v>142</v>
      </c>
      <c r="I103" s="156"/>
    </row>
    <row r="104" spans="1:9">
      <c r="A104" s="153"/>
      <c r="B104" s="142" t="s">
        <v>46</v>
      </c>
      <c r="C104" s="142"/>
      <c r="E104" s="132"/>
      <c r="F104" s="154"/>
      <c r="G104" s="143" t="s">
        <v>183</v>
      </c>
      <c r="H104" s="155" t="s">
        <v>184</v>
      </c>
      <c r="I104" s="156"/>
    </row>
    <row r="105" spans="1:9">
      <c r="A105" s="153"/>
      <c r="B105" s="142" t="s">
        <v>46</v>
      </c>
      <c r="C105" s="142"/>
      <c r="E105" s="132"/>
      <c r="F105" s="154"/>
      <c r="G105" s="143" t="s">
        <v>185</v>
      </c>
      <c r="H105" s="155" t="s">
        <v>186</v>
      </c>
      <c r="I105" s="156"/>
    </row>
    <row r="106" spans="1:9">
      <c r="A106" s="153"/>
      <c r="B106" s="142" t="s">
        <v>46</v>
      </c>
      <c r="C106" s="142"/>
      <c r="E106" s="132"/>
      <c r="F106" s="154"/>
      <c r="G106" s="143" t="s">
        <v>187</v>
      </c>
      <c r="H106" s="144" t="s">
        <v>46</v>
      </c>
      <c r="I106" s="156"/>
    </row>
    <row r="107" spans="1:9">
      <c r="A107" s="153"/>
      <c r="B107" s="142" t="s">
        <v>46</v>
      </c>
      <c r="C107" s="142"/>
      <c r="E107" s="132"/>
      <c r="F107" s="154"/>
      <c r="G107" s="143" t="s">
        <v>188</v>
      </c>
      <c r="H107" s="155" t="s">
        <v>142</v>
      </c>
      <c r="I107" s="156"/>
    </row>
    <row r="108" spans="1:9">
      <c r="A108" s="153"/>
      <c r="B108" s="142" t="s">
        <v>46</v>
      </c>
      <c r="C108" s="142"/>
      <c r="E108" s="132"/>
      <c r="F108" s="154"/>
      <c r="G108" s="143" t="s">
        <v>189</v>
      </c>
      <c r="H108" s="144" t="s">
        <v>46</v>
      </c>
      <c r="I108" s="156"/>
    </row>
    <row r="109" spans="1:9">
      <c r="A109" s="153"/>
      <c r="B109" s="142" t="s">
        <v>46</v>
      </c>
      <c r="C109" s="142"/>
      <c r="E109" s="132"/>
      <c r="F109" s="154"/>
      <c r="G109" s="143" t="s">
        <v>190</v>
      </c>
      <c r="H109" s="155" t="s">
        <v>191</v>
      </c>
      <c r="I109" s="156"/>
    </row>
    <row r="110" spans="1:9">
      <c r="A110" s="153"/>
      <c r="B110" s="142" t="s">
        <v>46</v>
      </c>
      <c r="C110" s="142"/>
      <c r="E110" s="132"/>
      <c r="F110" s="154"/>
      <c r="G110" s="143" t="s">
        <v>192</v>
      </c>
      <c r="H110" s="155" t="s">
        <v>193</v>
      </c>
      <c r="I110" s="156"/>
    </row>
    <row r="111" spans="1:9">
      <c r="A111" s="153"/>
      <c r="B111" s="142" t="s">
        <v>46</v>
      </c>
      <c r="C111" s="142"/>
      <c r="E111" s="132"/>
      <c r="F111" s="154"/>
      <c r="G111" s="143" t="s">
        <v>194</v>
      </c>
      <c r="H111" s="155" t="s">
        <v>195</v>
      </c>
      <c r="I111" s="156"/>
    </row>
    <row r="112" spans="1:9">
      <c r="A112" s="153"/>
      <c r="B112" s="142" t="s">
        <v>46</v>
      </c>
      <c r="C112" s="142"/>
      <c r="E112" s="132"/>
      <c r="F112" s="154"/>
      <c r="G112" s="143" t="s">
        <v>196</v>
      </c>
      <c r="H112" s="155" t="s">
        <v>197</v>
      </c>
      <c r="I112" s="156"/>
    </row>
    <row r="113" spans="1:9">
      <c r="A113" s="153"/>
      <c r="B113" s="142" t="s">
        <v>46</v>
      </c>
      <c r="C113" s="142"/>
      <c r="E113" s="132"/>
      <c r="F113" s="154"/>
      <c r="G113" s="143" t="s">
        <v>198</v>
      </c>
      <c r="H113" s="155" t="s">
        <v>142</v>
      </c>
      <c r="I113" s="156"/>
    </row>
    <row r="114" spans="1:9">
      <c r="A114" s="153"/>
      <c r="B114" s="142" t="s">
        <v>46</v>
      </c>
      <c r="C114" s="142"/>
      <c r="E114" s="132"/>
      <c r="F114" s="154"/>
      <c r="G114" s="143" t="s">
        <v>199</v>
      </c>
      <c r="H114" s="155" t="s">
        <v>197</v>
      </c>
      <c r="I114" s="156"/>
    </row>
    <row r="115" spans="1:9">
      <c r="A115" s="153"/>
      <c r="B115" s="142" t="s">
        <v>46</v>
      </c>
      <c r="C115" s="142"/>
      <c r="E115" s="132"/>
      <c r="F115" s="154"/>
      <c r="G115" s="143" t="s">
        <v>200</v>
      </c>
      <c r="H115" s="155" t="s">
        <v>139</v>
      </c>
      <c r="I115" s="156"/>
    </row>
    <row r="116" spans="1:9">
      <c r="A116" s="153"/>
      <c r="B116" s="142" t="s">
        <v>46</v>
      </c>
      <c r="C116" s="142"/>
      <c r="E116" s="132"/>
      <c r="F116" s="154"/>
      <c r="G116" s="143" t="s">
        <v>201</v>
      </c>
      <c r="H116" s="155" t="s">
        <v>197</v>
      </c>
      <c r="I116" s="156"/>
    </row>
    <row r="117" spans="1:9">
      <c r="A117" s="153"/>
      <c r="B117" s="142" t="s">
        <v>46</v>
      </c>
      <c r="C117" s="142"/>
      <c r="E117" s="132"/>
      <c r="F117" s="154"/>
      <c r="G117" s="143" t="s">
        <v>202</v>
      </c>
      <c r="H117" s="155" t="s">
        <v>136</v>
      </c>
      <c r="I117" s="156"/>
    </row>
    <row r="118" spans="1:9">
      <c r="A118" s="153"/>
      <c r="B118" s="142" t="s">
        <v>46</v>
      </c>
      <c r="C118" s="142"/>
      <c r="E118" s="132"/>
      <c r="F118" s="154"/>
      <c r="G118" s="143" t="s">
        <v>203</v>
      </c>
      <c r="H118" s="155" t="s">
        <v>204</v>
      </c>
      <c r="I118" s="156"/>
    </row>
    <row r="119" spans="1:9">
      <c r="A119" s="153"/>
      <c r="B119" s="142" t="s">
        <v>46</v>
      </c>
      <c r="C119" s="142"/>
      <c r="E119" s="132"/>
      <c r="F119" s="154"/>
      <c r="G119" s="143" t="s">
        <v>205</v>
      </c>
      <c r="H119" s="155" t="s">
        <v>206</v>
      </c>
      <c r="I119" s="156"/>
    </row>
    <row r="120" spans="1:9">
      <c r="A120" s="153"/>
      <c r="B120" s="142" t="s">
        <v>46</v>
      </c>
      <c r="C120" s="142"/>
      <c r="E120" s="132"/>
      <c r="F120" s="154"/>
      <c r="G120" s="143" t="s">
        <v>207</v>
      </c>
      <c r="H120" s="155" t="s">
        <v>130</v>
      </c>
      <c r="I120" s="156"/>
    </row>
    <row r="121" spans="1:9">
      <c r="A121" s="153"/>
      <c r="B121" s="142" t="s">
        <v>46</v>
      </c>
      <c r="C121" s="142"/>
      <c r="E121" s="132"/>
      <c r="F121" s="154"/>
      <c r="G121" s="143" t="s">
        <v>208</v>
      </c>
      <c r="H121" s="155" t="s">
        <v>132</v>
      </c>
      <c r="I121" s="156"/>
    </row>
    <row r="122" spans="1:9">
      <c r="A122" s="153"/>
      <c r="B122" s="142" t="s">
        <v>46</v>
      </c>
      <c r="C122" s="142"/>
      <c r="E122" s="132"/>
      <c r="F122" s="154"/>
      <c r="G122" s="143" t="s">
        <v>209</v>
      </c>
      <c r="H122" s="155" t="s">
        <v>134</v>
      </c>
      <c r="I122" s="156"/>
    </row>
    <row r="123" spans="1:9">
      <c r="A123" s="153"/>
      <c r="B123" s="142" t="s">
        <v>46</v>
      </c>
      <c r="C123" s="142"/>
      <c r="E123" s="132"/>
      <c r="F123" s="154"/>
      <c r="G123" s="143" t="s">
        <v>210</v>
      </c>
      <c r="H123" s="155" t="s">
        <v>136</v>
      </c>
      <c r="I123" s="156"/>
    </row>
    <row r="124" spans="1:9">
      <c r="A124" s="153"/>
      <c r="B124" s="142" t="s">
        <v>46</v>
      </c>
      <c r="C124" s="142"/>
      <c r="E124" s="132"/>
      <c r="F124" s="154"/>
      <c r="G124" s="143" t="s">
        <v>211</v>
      </c>
      <c r="H124" s="155" t="s">
        <v>134</v>
      </c>
      <c r="I124" s="156"/>
    </row>
    <row r="125" spans="1:9">
      <c r="A125" s="153"/>
      <c r="B125" s="142" t="s">
        <v>46</v>
      </c>
      <c r="C125" s="142"/>
      <c r="E125" s="132"/>
      <c r="F125" s="154"/>
      <c r="G125" s="143" t="s">
        <v>212</v>
      </c>
      <c r="H125" s="155" t="s">
        <v>139</v>
      </c>
      <c r="I125" s="156"/>
    </row>
    <row r="126" spans="1:9">
      <c r="A126" s="153"/>
      <c r="B126" s="142" t="s">
        <v>46</v>
      </c>
      <c r="C126" s="142"/>
      <c r="E126" s="132"/>
      <c r="F126" s="154"/>
      <c r="G126" s="143" t="s">
        <v>213</v>
      </c>
      <c r="H126" s="155" t="s">
        <v>134</v>
      </c>
      <c r="I126" s="156"/>
    </row>
    <row r="127" spans="1:9">
      <c r="A127" s="153"/>
      <c r="B127" s="142" t="s">
        <v>46</v>
      </c>
      <c r="C127" s="142"/>
      <c r="E127" s="132"/>
      <c r="F127" s="154"/>
      <c r="G127" s="143" t="s">
        <v>214</v>
      </c>
      <c r="H127" s="155" t="s">
        <v>142</v>
      </c>
      <c r="I127" s="156"/>
    </row>
    <row r="128" spans="1:9">
      <c r="A128" s="153"/>
      <c r="B128" s="142" t="s">
        <v>46</v>
      </c>
      <c r="C128" s="142"/>
      <c r="E128" s="132"/>
      <c r="F128" s="154"/>
      <c r="G128" s="143" t="s">
        <v>215</v>
      </c>
      <c r="H128" s="155" t="s">
        <v>216</v>
      </c>
      <c r="I128" s="156"/>
    </row>
    <row r="129" spans="1:9">
      <c r="A129" s="153"/>
      <c r="B129" s="142" t="s">
        <v>46</v>
      </c>
      <c r="C129" s="142"/>
      <c r="E129" s="132"/>
      <c r="F129" s="154"/>
      <c r="G129" s="143" t="s">
        <v>217</v>
      </c>
      <c r="H129" s="155" t="s">
        <v>158</v>
      </c>
      <c r="I129" s="156"/>
    </row>
    <row r="130" spans="1:9">
      <c r="A130" s="153"/>
      <c r="B130" s="142" t="s">
        <v>46</v>
      </c>
      <c r="C130" s="142"/>
      <c r="E130" s="132"/>
      <c r="F130" s="154"/>
      <c r="G130" s="143" t="s">
        <v>218</v>
      </c>
      <c r="H130" s="155" t="s">
        <v>160</v>
      </c>
      <c r="I130" s="156"/>
    </row>
    <row r="131" spans="1:9">
      <c r="A131" s="153"/>
      <c r="B131" s="142" t="s">
        <v>46</v>
      </c>
      <c r="C131" s="142"/>
      <c r="E131" s="132"/>
      <c r="F131" s="154"/>
      <c r="G131" s="143" t="s">
        <v>219</v>
      </c>
      <c r="H131" s="155" t="s">
        <v>162</v>
      </c>
      <c r="I131" s="156"/>
    </row>
    <row r="132" spans="1:9">
      <c r="A132" s="153"/>
      <c r="B132" s="142" t="s">
        <v>46</v>
      </c>
      <c r="C132" s="142"/>
      <c r="E132" s="132"/>
      <c r="F132" s="154"/>
      <c r="G132" s="143" t="s">
        <v>220</v>
      </c>
      <c r="H132" s="155" t="s">
        <v>164</v>
      </c>
      <c r="I132" s="156"/>
    </row>
    <row r="133" spans="1:9">
      <c r="A133" s="153"/>
      <c r="B133" s="142" t="s">
        <v>46</v>
      </c>
      <c r="C133" s="142"/>
      <c r="E133" s="132"/>
      <c r="F133" s="154"/>
      <c r="G133" s="143" t="s">
        <v>221</v>
      </c>
      <c r="H133" s="144" t="s">
        <v>46</v>
      </c>
      <c r="I133" s="156"/>
    </row>
    <row r="134" spans="1:9">
      <c r="A134" s="153"/>
      <c r="B134" s="142" t="s">
        <v>46</v>
      </c>
      <c r="C134" s="142"/>
      <c r="E134" s="132"/>
      <c r="F134" s="154"/>
      <c r="G134" s="143" t="s">
        <v>222</v>
      </c>
      <c r="H134" s="155" t="s">
        <v>223</v>
      </c>
      <c r="I134" s="156"/>
    </row>
    <row r="135" spans="1:9">
      <c r="A135" s="153"/>
      <c r="B135" s="142" t="s">
        <v>46</v>
      </c>
      <c r="C135" s="142"/>
      <c r="E135" s="132"/>
      <c r="F135" s="154"/>
      <c r="G135" s="143" t="s">
        <v>224</v>
      </c>
      <c r="H135" s="155" t="s">
        <v>225</v>
      </c>
      <c r="I135" s="156"/>
    </row>
    <row r="136" spans="1:9">
      <c r="A136" s="153"/>
      <c r="B136" s="142" t="s">
        <v>46</v>
      </c>
      <c r="C136" s="142"/>
      <c r="E136" s="132"/>
      <c r="F136" s="154"/>
      <c r="G136" s="143" t="s">
        <v>226</v>
      </c>
      <c r="H136" s="155" t="s">
        <v>216</v>
      </c>
      <c r="I136" s="156"/>
    </row>
    <row r="137" spans="1:9">
      <c r="A137" s="153"/>
      <c r="B137" s="142" t="s">
        <v>46</v>
      </c>
      <c r="C137" s="142"/>
      <c r="E137" s="132"/>
      <c r="F137" s="154"/>
      <c r="G137" s="143" t="s">
        <v>227</v>
      </c>
      <c r="H137" s="155" t="s">
        <v>158</v>
      </c>
      <c r="I137" s="156"/>
    </row>
    <row r="138" spans="1:9">
      <c r="A138" s="153"/>
      <c r="B138" s="142" t="s">
        <v>46</v>
      </c>
      <c r="C138" s="142"/>
      <c r="E138" s="132"/>
      <c r="F138" s="154"/>
      <c r="G138" s="143" t="s">
        <v>228</v>
      </c>
      <c r="H138" s="155" t="s">
        <v>160</v>
      </c>
      <c r="I138" s="156"/>
    </row>
    <row r="139" spans="1:9">
      <c r="A139" s="153"/>
      <c r="B139" s="142" t="s">
        <v>46</v>
      </c>
      <c r="C139" s="142"/>
      <c r="E139" s="132"/>
      <c r="F139" s="154"/>
      <c r="G139" s="143" t="s">
        <v>229</v>
      </c>
      <c r="H139" s="155" t="s">
        <v>177</v>
      </c>
      <c r="I139" s="156"/>
    </row>
    <row r="140" spans="1:9">
      <c r="A140" s="153"/>
      <c r="B140" s="142" t="s">
        <v>46</v>
      </c>
      <c r="C140" s="142"/>
      <c r="E140" s="132"/>
      <c r="F140" s="154"/>
      <c r="G140" s="143" t="s">
        <v>230</v>
      </c>
      <c r="H140" s="155" t="s">
        <v>164</v>
      </c>
      <c r="I140" s="156"/>
    </row>
    <row r="141" spans="1:9">
      <c r="A141" s="153"/>
      <c r="B141" s="142" t="s">
        <v>46</v>
      </c>
      <c r="C141" s="142"/>
      <c r="E141" s="132"/>
      <c r="F141" s="154"/>
      <c r="G141" s="143" t="s">
        <v>231</v>
      </c>
      <c r="H141" s="155" t="s">
        <v>232</v>
      </c>
      <c r="I141" s="156"/>
    </row>
    <row r="142" spans="1:9">
      <c r="A142" s="153"/>
      <c r="B142" s="142" t="s">
        <v>46</v>
      </c>
      <c r="C142" s="142"/>
      <c r="E142" s="132"/>
      <c r="F142" s="154"/>
      <c r="G142" s="143" t="s">
        <v>233</v>
      </c>
      <c r="H142" s="155" t="s">
        <v>144</v>
      </c>
      <c r="I142" s="156"/>
    </row>
    <row r="143" spans="1:9">
      <c r="A143" s="153"/>
      <c r="B143" s="142" t="s">
        <v>46</v>
      </c>
      <c r="C143" s="142"/>
      <c r="E143" s="132"/>
      <c r="F143" s="154"/>
      <c r="G143" s="143" t="s">
        <v>234</v>
      </c>
      <c r="H143" s="155" t="s">
        <v>42</v>
      </c>
      <c r="I143" s="156"/>
    </row>
    <row r="144" spans="1:9">
      <c r="A144" s="153"/>
      <c r="B144" s="142" t="s">
        <v>46</v>
      </c>
      <c r="C144" s="142"/>
      <c r="E144" s="132"/>
      <c r="F144" s="154"/>
      <c r="G144" s="143" t="s">
        <v>235</v>
      </c>
      <c r="H144" s="155" t="s">
        <v>136</v>
      </c>
      <c r="I144" s="156"/>
    </row>
    <row r="145" spans="1:9">
      <c r="A145" s="153"/>
      <c r="B145" s="142" t="s">
        <v>46</v>
      </c>
      <c r="C145" s="142"/>
      <c r="E145" s="132"/>
      <c r="F145" s="154"/>
      <c r="G145" s="143" t="s">
        <v>236</v>
      </c>
      <c r="H145" s="155" t="s">
        <v>237</v>
      </c>
      <c r="I145" s="156"/>
    </row>
    <row r="146" spans="1:9">
      <c r="A146" s="153"/>
      <c r="B146" s="142" t="s">
        <v>46</v>
      </c>
      <c r="C146" s="142"/>
      <c r="E146" s="132"/>
      <c r="F146" s="154"/>
      <c r="G146" s="143" t="s">
        <v>238</v>
      </c>
      <c r="H146" s="155" t="s">
        <v>239</v>
      </c>
      <c r="I146" s="156"/>
    </row>
    <row r="147" spans="1:9">
      <c r="A147" s="153"/>
      <c r="B147" s="142" t="s">
        <v>46</v>
      </c>
      <c r="C147" s="142"/>
      <c r="E147" s="132"/>
      <c r="F147" s="154"/>
      <c r="G147" s="143" t="s">
        <v>240</v>
      </c>
      <c r="H147" s="155" t="s">
        <v>191</v>
      </c>
      <c r="I147" s="156"/>
    </row>
    <row r="148" spans="1:9">
      <c r="A148" s="153"/>
      <c r="B148" s="142" t="s">
        <v>46</v>
      </c>
      <c r="C148" s="142"/>
      <c r="E148" s="132"/>
      <c r="F148" s="154"/>
      <c r="G148" s="143" t="s">
        <v>241</v>
      </c>
      <c r="H148" s="144" t="s">
        <v>46</v>
      </c>
      <c r="I148" s="156"/>
    </row>
    <row r="149" spans="1:9">
      <c r="A149" s="153"/>
      <c r="B149" s="142" t="s">
        <v>46</v>
      </c>
      <c r="C149" s="142"/>
      <c r="E149" s="132"/>
      <c r="F149" s="154"/>
      <c r="G149" s="143" t="s">
        <v>242</v>
      </c>
      <c r="H149" s="155" t="s">
        <v>243</v>
      </c>
      <c r="I149" s="156"/>
    </row>
    <row r="150" spans="1:9">
      <c r="A150" s="153"/>
      <c r="B150" s="142" t="s">
        <v>46</v>
      </c>
      <c r="C150" s="142"/>
      <c r="E150" s="132"/>
      <c r="F150" s="154"/>
      <c r="G150" s="143" t="s">
        <v>244</v>
      </c>
      <c r="H150" s="155" t="s">
        <v>245</v>
      </c>
      <c r="I150" s="156"/>
    </row>
    <row r="151" spans="1:9">
      <c r="A151" s="153"/>
      <c r="B151" s="142" t="s">
        <v>46</v>
      </c>
      <c r="C151" s="142"/>
      <c r="E151" s="132"/>
      <c r="F151" s="154"/>
      <c r="G151" s="143" t="s">
        <v>246</v>
      </c>
      <c r="H151" s="155" t="s">
        <v>247</v>
      </c>
      <c r="I151" s="156"/>
    </row>
    <row r="152" spans="1:9">
      <c r="A152" s="153"/>
      <c r="B152" s="142" t="s">
        <v>46</v>
      </c>
      <c r="C152" s="142"/>
      <c r="E152" s="132"/>
      <c r="F152" s="154"/>
      <c r="G152" s="143" t="s">
        <v>248</v>
      </c>
      <c r="H152" s="155" t="s">
        <v>249</v>
      </c>
      <c r="I152" s="156"/>
    </row>
    <row r="153" spans="1:9">
      <c r="A153" s="153"/>
      <c r="B153" s="142" t="s">
        <v>46</v>
      </c>
      <c r="C153" s="142"/>
      <c r="E153" s="132"/>
      <c r="F153" s="154"/>
      <c r="G153" s="143" t="s">
        <v>250</v>
      </c>
      <c r="H153" s="155" t="s">
        <v>113</v>
      </c>
      <c r="I153" s="156"/>
    </row>
    <row r="154" spans="1:9">
      <c r="A154" s="153"/>
      <c r="B154" s="142" t="s">
        <v>46</v>
      </c>
      <c r="C154" s="142"/>
      <c r="E154" s="132"/>
      <c r="F154" s="154"/>
      <c r="G154" s="143" t="s">
        <v>251</v>
      </c>
      <c r="H154" s="155" t="s">
        <v>166</v>
      </c>
      <c r="I154" s="156"/>
    </row>
    <row r="155" spans="1:9">
      <c r="A155" s="153"/>
      <c r="B155" s="142" t="s">
        <v>46</v>
      </c>
      <c r="C155" s="142"/>
      <c r="E155" s="132"/>
      <c r="F155" s="154"/>
      <c r="G155" s="143" t="s">
        <v>252</v>
      </c>
      <c r="H155" s="144" t="s">
        <v>46</v>
      </c>
      <c r="I155" s="156"/>
    </row>
    <row r="156" spans="1:9">
      <c r="A156" s="153"/>
      <c r="B156" s="142" t="s">
        <v>46</v>
      </c>
      <c r="C156" s="142"/>
      <c r="E156" s="132"/>
      <c r="F156" s="154"/>
      <c r="G156" s="143" t="s">
        <v>253</v>
      </c>
      <c r="H156" s="155" t="s">
        <v>245</v>
      </c>
      <c r="I156" s="156"/>
    </row>
    <row r="157" spans="1:9">
      <c r="A157" s="153"/>
      <c r="B157" s="142" t="s">
        <v>46</v>
      </c>
      <c r="C157" s="142"/>
      <c r="E157" s="132"/>
      <c r="F157" s="154"/>
      <c r="G157" s="143" t="s">
        <v>254</v>
      </c>
      <c r="H157" s="155" t="s">
        <v>255</v>
      </c>
      <c r="I157" s="156"/>
    </row>
    <row r="158" spans="1:9">
      <c r="A158" s="153"/>
      <c r="B158" s="142" t="s">
        <v>46</v>
      </c>
      <c r="C158" s="142"/>
      <c r="E158" s="132"/>
      <c r="F158" s="154"/>
      <c r="G158" s="143" t="s">
        <v>256</v>
      </c>
      <c r="H158" s="155" t="s">
        <v>113</v>
      </c>
      <c r="I158" s="156"/>
    </row>
    <row r="159" spans="1:9">
      <c r="A159" s="153"/>
      <c r="B159" s="142" t="s">
        <v>46</v>
      </c>
      <c r="C159" s="142"/>
      <c r="E159" s="132"/>
      <c r="F159" s="154"/>
      <c r="G159" s="143" t="s">
        <v>257</v>
      </c>
      <c r="H159" s="155" t="s">
        <v>158</v>
      </c>
      <c r="I159" s="156"/>
    </row>
    <row r="160" spans="1:9">
      <c r="A160" s="153"/>
      <c r="B160" s="142" t="s">
        <v>46</v>
      </c>
      <c r="C160" s="142"/>
      <c r="E160" s="132"/>
      <c r="F160" s="154"/>
      <c r="G160" s="143" t="s">
        <v>258</v>
      </c>
      <c r="H160" s="155" t="s">
        <v>86</v>
      </c>
      <c r="I160" s="156"/>
    </row>
    <row r="161" spans="1:9">
      <c r="A161" s="153"/>
      <c r="B161" s="142" t="s">
        <v>46</v>
      </c>
      <c r="C161" s="142"/>
      <c r="E161" s="132"/>
      <c r="F161" s="154"/>
      <c r="G161" s="143" t="s">
        <v>259</v>
      </c>
      <c r="H161" s="155" t="s">
        <v>186</v>
      </c>
      <c r="I161" s="156"/>
    </row>
    <row r="162" spans="1:9">
      <c r="A162" s="153"/>
      <c r="B162" s="142" t="s">
        <v>46</v>
      </c>
      <c r="C162" s="142"/>
      <c r="E162" s="132"/>
      <c r="F162" s="154"/>
      <c r="G162" s="143" t="s">
        <v>260</v>
      </c>
      <c r="H162" s="155" t="s">
        <v>184</v>
      </c>
      <c r="I162" s="156"/>
    </row>
    <row r="163" spans="1:9">
      <c r="A163" s="153"/>
      <c r="B163" s="142" t="s">
        <v>46</v>
      </c>
      <c r="C163" s="142"/>
      <c r="E163" s="132"/>
      <c r="F163" s="154"/>
      <c r="G163" s="143" t="s">
        <v>261</v>
      </c>
      <c r="H163" s="155" t="s">
        <v>262</v>
      </c>
      <c r="I163" s="156"/>
    </row>
    <row r="164" spans="1:9">
      <c r="A164" s="153"/>
      <c r="B164" s="142" t="s">
        <v>46</v>
      </c>
      <c r="C164" s="142"/>
      <c r="E164" s="132"/>
      <c r="F164" s="154"/>
      <c r="G164" s="143" t="s">
        <v>263</v>
      </c>
      <c r="H164" s="155" t="s">
        <v>83</v>
      </c>
      <c r="I164" s="156"/>
    </row>
    <row r="165" spans="1:9">
      <c r="A165" s="153"/>
      <c r="B165" s="142" t="s">
        <v>46</v>
      </c>
      <c r="C165" s="142"/>
      <c r="E165" s="132"/>
      <c r="F165" s="154"/>
      <c r="G165" s="143" t="s">
        <v>264</v>
      </c>
      <c r="H165" s="155" t="s">
        <v>191</v>
      </c>
      <c r="I165" s="156"/>
    </row>
    <row r="166" spans="1:9">
      <c r="A166" s="153"/>
      <c r="B166" s="142" t="s">
        <v>46</v>
      </c>
      <c r="C166" s="142"/>
      <c r="E166" s="132"/>
      <c r="F166" s="154"/>
      <c r="G166" s="143" t="s">
        <v>265</v>
      </c>
      <c r="H166" s="155" t="s">
        <v>266</v>
      </c>
      <c r="I166" s="156"/>
    </row>
    <row r="167" spans="1:9">
      <c r="A167" s="153"/>
      <c r="B167" s="142" t="s">
        <v>46</v>
      </c>
      <c r="C167" s="142"/>
      <c r="E167" s="132"/>
      <c r="F167" s="154"/>
      <c r="G167" s="143" t="s">
        <v>267</v>
      </c>
      <c r="H167" s="155" t="s">
        <v>268</v>
      </c>
      <c r="I167" s="156"/>
    </row>
    <row r="168" spans="1:9">
      <c r="A168" s="153"/>
      <c r="B168" s="142" t="s">
        <v>46</v>
      </c>
      <c r="C168" s="142"/>
      <c r="E168" s="132"/>
      <c r="F168" s="154"/>
      <c r="G168" s="143" t="s">
        <v>269</v>
      </c>
      <c r="H168" s="155" t="s">
        <v>83</v>
      </c>
      <c r="I168" s="156"/>
    </row>
    <row r="169" spans="1:9">
      <c r="A169" s="153"/>
      <c r="B169" s="142" t="s">
        <v>46</v>
      </c>
      <c r="C169" s="142"/>
      <c r="E169" s="132"/>
      <c r="F169" s="154"/>
      <c r="G169" s="143" t="s">
        <v>270</v>
      </c>
      <c r="H169" s="155" t="s">
        <v>271</v>
      </c>
      <c r="I169" s="156"/>
    </row>
    <row r="170" spans="1:9">
      <c r="A170" s="153"/>
      <c r="B170" s="142" t="s">
        <v>46</v>
      </c>
      <c r="C170" s="142"/>
      <c r="E170" s="132"/>
      <c r="F170" s="154"/>
      <c r="G170" s="143" t="s">
        <v>272</v>
      </c>
      <c r="H170" s="155" t="s">
        <v>268</v>
      </c>
      <c r="I170" s="156"/>
    </row>
    <row r="171" spans="1:9">
      <c r="A171" s="153"/>
      <c r="B171" s="142" t="s">
        <v>46</v>
      </c>
      <c r="C171" s="142"/>
      <c r="E171" s="132"/>
      <c r="F171" s="154"/>
      <c r="G171" s="143" t="s">
        <v>273</v>
      </c>
      <c r="H171" s="155" t="s">
        <v>268</v>
      </c>
      <c r="I171" s="156"/>
    </row>
    <row r="172" spans="1:9">
      <c r="A172" s="153"/>
      <c r="B172" s="142" t="s">
        <v>46</v>
      </c>
      <c r="C172" s="142"/>
      <c r="E172" s="132"/>
      <c r="F172" s="154"/>
      <c r="G172" s="143" t="s">
        <v>274</v>
      </c>
      <c r="H172" s="155" t="s">
        <v>195</v>
      </c>
      <c r="I172" s="156"/>
    </row>
    <row r="173" spans="1:9">
      <c r="A173" s="153"/>
      <c r="B173" s="142" t="s">
        <v>46</v>
      </c>
      <c r="C173" s="142"/>
      <c r="E173" s="132"/>
      <c r="F173" s="154"/>
      <c r="G173" s="143" t="s">
        <v>275</v>
      </c>
      <c r="H173" s="144" t="s">
        <v>46</v>
      </c>
      <c r="I173" s="156"/>
    </row>
    <row r="174" spans="1:9">
      <c r="A174" s="153"/>
      <c r="B174" s="142" t="s">
        <v>46</v>
      </c>
      <c r="C174" s="142"/>
      <c r="E174" s="132"/>
      <c r="F174" s="154"/>
      <c r="G174" s="143" t="s">
        <v>276</v>
      </c>
      <c r="H174" s="155" t="s">
        <v>184</v>
      </c>
      <c r="I174" s="156"/>
    </row>
    <row r="175" spans="1:9">
      <c r="A175" s="153"/>
      <c r="B175" s="142" t="s">
        <v>46</v>
      </c>
      <c r="C175" s="142"/>
      <c r="E175" s="132"/>
      <c r="F175" s="154"/>
      <c r="G175" s="143" t="s">
        <v>277</v>
      </c>
      <c r="H175" s="155" t="s">
        <v>262</v>
      </c>
      <c r="I175" s="156"/>
    </row>
    <row r="176" spans="1:9">
      <c r="A176" s="153"/>
      <c r="B176" s="142" t="s">
        <v>46</v>
      </c>
      <c r="C176" s="142"/>
      <c r="E176" s="132"/>
      <c r="F176" s="154"/>
      <c r="G176" s="143" t="s">
        <v>278</v>
      </c>
      <c r="H176" s="155" t="s">
        <v>243</v>
      </c>
      <c r="I176" s="156"/>
    </row>
    <row r="177" spans="1:9">
      <c r="A177" s="153"/>
      <c r="B177" s="142" t="s">
        <v>46</v>
      </c>
      <c r="C177" s="142"/>
      <c r="E177" s="132"/>
      <c r="F177" s="154"/>
      <c r="G177" s="143" t="s">
        <v>279</v>
      </c>
      <c r="H177" s="155" t="s">
        <v>158</v>
      </c>
      <c r="I177" s="156"/>
    </row>
    <row r="178" spans="1:9">
      <c r="A178" s="153"/>
      <c r="B178" s="142" t="s">
        <v>46</v>
      </c>
      <c r="C178" s="142"/>
      <c r="E178" s="132"/>
      <c r="F178" s="154"/>
      <c r="G178" s="143" t="s">
        <v>280</v>
      </c>
      <c r="H178" s="155" t="s">
        <v>88</v>
      </c>
      <c r="I178" s="156"/>
    </row>
    <row r="179" spans="1:9">
      <c r="A179" s="153"/>
      <c r="B179" s="142" t="s">
        <v>46</v>
      </c>
      <c r="C179" s="142"/>
      <c r="E179" s="132"/>
      <c r="F179" s="154"/>
      <c r="G179" s="143" t="s">
        <v>281</v>
      </c>
      <c r="H179" s="144" t="s">
        <v>46</v>
      </c>
      <c r="I179" s="156"/>
    </row>
    <row r="180" spans="1:9">
      <c r="A180" s="153"/>
      <c r="B180" s="142" t="s">
        <v>46</v>
      </c>
      <c r="C180" s="142"/>
      <c r="E180" s="132"/>
      <c r="F180" s="154"/>
      <c r="G180" s="143" t="s">
        <v>282</v>
      </c>
      <c r="H180" s="155" t="s">
        <v>67</v>
      </c>
      <c r="I180" s="156"/>
    </row>
    <row r="181" spans="1:9">
      <c r="A181" s="153"/>
      <c r="B181" s="142" t="s">
        <v>46</v>
      </c>
      <c r="C181" s="142"/>
      <c r="E181" s="132"/>
      <c r="F181" s="154"/>
      <c r="G181" s="143" t="s">
        <v>283</v>
      </c>
      <c r="H181" s="155" t="s">
        <v>284</v>
      </c>
      <c r="I181" s="156"/>
    </row>
    <row r="182" spans="1:9">
      <c r="A182" s="153"/>
      <c r="B182" s="142" t="s">
        <v>46</v>
      </c>
      <c r="C182" s="142"/>
      <c r="E182" s="132"/>
      <c r="F182" s="154"/>
      <c r="G182" s="143" t="s">
        <v>285</v>
      </c>
      <c r="H182" s="155" t="s">
        <v>286</v>
      </c>
      <c r="I182" s="156"/>
    </row>
    <row r="183" spans="1:9">
      <c r="A183" s="153"/>
      <c r="B183" s="142" t="s">
        <v>46</v>
      </c>
      <c r="C183" s="142"/>
      <c r="E183" s="132"/>
      <c r="F183" s="154"/>
      <c r="G183" s="143" t="s">
        <v>287</v>
      </c>
      <c r="H183" s="155" t="s">
        <v>142</v>
      </c>
      <c r="I183" s="156"/>
    </row>
    <row r="184" spans="1:9">
      <c r="A184" s="153"/>
      <c r="B184" s="142" t="s">
        <v>46</v>
      </c>
      <c r="C184" s="142"/>
      <c r="E184" s="132"/>
      <c r="F184" s="154"/>
      <c r="G184" s="143" t="s">
        <v>288</v>
      </c>
      <c r="H184" s="144" t="s">
        <v>46</v>
      </c>
      <c r="I184" s="156"/>
    </row>
    <row r="185" spans="1:9">
      <c r="A185" s="153"/>
      <c r="B185" s="142" t="s">
        <v>46</v>
      </c>
      <c r="C185" s="142"/>
      <c r="E185" s="132"/>
      <c r="F185" s="154"/>
      <c r="G185" s="143" t="s">
        <v>289</v>
      </c>
      <c r="H185" s="155" t="s">
        <v>63</v>
      </c>
      <c r="I185" s="156"/>
    </row>
    <row r="186" spans="1:9">
      <c r="A186" s="153"/>
      <c r="B186" s="142" t="s">
        <v>46</v>
      </c>
      <c r="C186" s="142"/>
      <c r="E186" s="132"/>
      <c r="F186" s="154"/>
      <c r="G186" s="143" t="s">
        <v>290</v>
      </c>
      <c r="H186" s="155" t="s">
        <v>291</v>
      </c>
      <c r="I186" s="156"/>
    </row>
    <row r="187" spans="1:9">
      <c r="A187" s="153"/>
      <c r="B187" s="142" t="s">
        <v>46</v>
      </c>
      <c r="C187" s="142"/>
      <c r="E187" s="132"/>
      <c r="F187" s="154"/>
      <c r="G187" s="143" t="s">
        <v>292</v>
      </c>
      <c r="H187" s="155" t="s">
        <v>150</v>
      </c>
      <c r="I187" s="156"/>
    </row>
    <row r="188" spans="1:9">
      <c r="A188" s="153"/>
      <c r="B188" s="142" t="s">
        <v>46</v>
      </c>
      <c r="C188" s="142"/>
      <c r="E188" s="132"/>
      <c r="F188" s="154"/>
      <c r="G188" s="143" t="s">
        <v>293</v>
      </c>
      <c r="H188" s="155" t="s">
        <v>294</v>
      </c>
      <c r="I188" s="156"/>
    </row>
    <row r="189" spans="1:9">
      <c r="A189" s="153"/>
      <c r="B189" s="142" t="s">
        <v>46</v>
      </c>
      <c r="C189" s="142"/>
      <c r="E189" s="132"/>
      <c r="F189" s="154"/>
      <c r="G189" s="143" t="s">
        <v>295</v>
      </c>
      <c r="H189" s="155" t="s">
        <v>296</v>
      </c>
      <c r="I189" s="156"/>
    </row>
    <row r="190" spans="1:9">
      <c r="A190" s="153"/>
      <c r="B190" s="142" t="s">
        <v>46</v>
      </c>
      <c r="C190" s="142"/>
      <c r="E190" s="132"/>
      <c r="F190" s="154"/>
      <c r="G190" s="143" t="s">
        <v>297</v>
      </c>
      <c r="H190" s="155" t="s">
        <v>298</v>
      </c>
      <c r="I190" s="156"/>
    </row>
    <row r="191" spans="1:9">
      <c r="A191" s="153"/>
      <c r="B191" s="142" t="s">
        <v>46</v>
      </c>
      <c r="C191" s="142"/>
      <c r="E191" s="132"/>
      <c r="F191" s="154"/>
      <c r="G191" s="143" t="s">
        <v>299</v>
      </c>
      <c r="H191" s="155" t="s">
        <v>232</v>
      </c>
      <c r="I191" s="156"/>
    </row>
    <row r="192" spans="1:9">
      <c r="A192" s="153"/>
      <c r="B192" s="142" t="s">
        <v>46</v>
      </c>
      <c r="C192" s="142"/>
      <c r="E192" s="132"/>
      <c r="F192" s="154"/>
      <c r="G192" s="143" t="s">
        <v>300</v>
      </c>
      <c r="H192" s="155" t="s">
        <v>301</v>
      </c>
      <c r="I192" s="156"/>
    </row>
    <row r="193" spans="1:9">
      <c r="A193" s="153"/>
      <c r="B193" s="142" t="s">
        <v>46</v>
      </c>
      <c r="C193" s="142"/>
      <c r="E193" s="132"/>
      <c r="F193" s="154"/>
      <c r="G193" s="143" t="s">
        <v>302</v>
      </c>
      <c r="H193" s="155" t="s">
        <v>303</v>
      </c>
      <c r="I193" s="156"/>
    </row>
    <row r="194" spans="1:9">
      <c r="A194" s="153"/>
      <c r="B194" s="142" t="s">
        <v>46</v>
      </c>
      <c r="C194" s="142"/>
      <c r="E194" s="132"/>
      <c r="F194" s="154"/>
      <c r="G194" s="143" t="s">
        <v>304</v>
      </c>
      <c r="H194" s="155" t="s">
        <v>305</v>
      </c>
      <c r="I194" s="156"/>
    </row>
    <row r="195" spans="1:9">
      <c r="A195" s="153"/>
      <c r="B195" s="142" t="s">
        <v>46</v>
      </c>
      <c r="C195" s="142"/>
      <c r="E195" s="132"/>
      <c r="F195" s="154"/>
      <c r="G195" s="143" t="s">
        <v>306</v>
      </c>
      <c r="H195" s="155" t="s">
        <v>307</v>
      </c>
      <c r="I195" s="156"/>
    </row>
    <row r="196" spans="1:9">
      <c r="A196" s="153"/>
      <c r="B196" s="142" t="s">
        <v>46</v>
      </c>
      <c r="C196" s="142"/>
      <c r="E196" s="132"/>
      <c r="F196" s="154"/>
      <c r="G196" s="143" t="s">
        <v>308</v>
      </c>
      <c r="H196" s="155" t="s">
        <v>195</v>
      </c>
      <c r="I196" s="156"/>
    </row>
    <row r="197" spans="1:9">
      <c r="A197" s="153"/>
      <c r="B197" s="142" t="s">
        <v>46</v>
      </c>
      <c r="C197" s="142"/>
      <c r="E197" s="132"/>
      <c r="F197" s="154"/>
      <c r="G197" s="143" t="s">
        <v>309</v>
      </c>
      <c r="H197" s="155" t="s">
        <v>243</v>
      </c>
      <c r="I197" s="156"/>
    </row>
    <row r="198" spans="1:9">
      <c r="A198" s="153"/>
      <c r="B198" s="142" t="s">
        <v>46</v>
      </c>
      <c r="C198" s="142"/>
      <c r="E198" s="132"/>
      <c r="F198" s="154"/>
      <c r="G198" s="143" t="s">
        <v>310</v>
      </c>
      <c r="H198" s="155" t="s">
        <v>67</v>
      </c>
      <c r="I198" s="156"/>
    </row>
    <row r="199" spans="1:9">
      <c r="A199" s="153"/>
      <c r="B199" s="142" t="s">
        <v>46</v>
      </c>
      <c r="C199" s="142"/>
      <c r="E199" s="132"/>
      <c r="F199" s="154"/>
      <c r="G199" s="143" t="s">
        <v>311</v>
      </c>
      <c r="H199" s="155" t="s">
        <v>312</v>
      </c>
      <c r="I199" s="156"/>
    </row>
    <row r="200" spans="1:9">
      <c r="A200" s="153"/>
      <c r="B200" s="142" t="s">
        <v>46</v>
      </c>
      <c r="C200" s="142"/>
      <c r="E200" s="132"/>
      <c r="F200" s="154"/>
      <c r="G200" s="143" t="s">
        <v>313</v>
      </c>
      <c r="H200" s="155" t="s">
        <v>216</v>
      </c>
      <c r="I200" s="156"/>
    </row>
    <row r="201" spans="1:9">
      <c r="A201" s="153"/>
      <c r="B201" s="142" t="s">
        <v>46</v>
      </c>
      <c r="C201" s="142"/>
      <c r="E201" s="132"/>
      <c r="F201" s="154"/>
      <c r="G201" s="143" t="s">
        <v>314</v>
      </c>
      <c r="H201" s="155" t="s">
        <v>113</v>
      </c>
      <c r="I201" s="156"/>
    </row>
    <row r="202" spans="1:9">
      <c r="A202" s="153"/>
      <c r="B202" s="142" t="s">
        <v>46</v>
      </c>
      <c r="C202" s="142"/>
      <c r="E202" s="132"/>
      <c r="F202" s="154"/>
      <c r="G202" s="143" t="s">
        <v>315</v>
      </c>
      <c r="H202" s="144" t="s">
        <v>46</v>
      </c>
      <c r="I202" s="156"/>
    </row>
    <row r="203" spans="1:9">
      <c r="A203" s="153"/>
      <c r="B203" s="142" t="s">
        <v>46</v>
      </c>
      <c r="C203" s="142"/>
      <c r="E203" s="132"/>
      <c r="F203" s="154"/>
      <c r="G203" s="143" t="s">
        <v>316</v>
      </c>
      <c r="H203" s="155" t="s">
        <v>243</v>
      </c>
      <c r="I203" s="156"/>
    </row>
    <row r="204" spans="1:9">
      <c r="A204" s="153"/>
      <c r="B204" s="142" t="s">
        <v>46</v>
      </c>
      <c r="C204" s="142"/>
      <c r="E204" s="132"/>
      <c r="F204" s="154"/>
      <c r="G204" s="143" t="s">
        <v>317</v>
      </c>
      <c r="H204" s="144" t="s">
        <v>46</v>
      </c>
      <c r="I204" s="156"/>
    </row>
    <row r="205" spans="1:9">
      <c r="A205" s="153"/>
      <c r="B205" s="142" t="s">
        <v>46</v>
      </c>
      <c r="C205" s="142"/>
      <c r="E205" s="132"/>
      <c r="F205" s="154"/>
      <c r="G205" s="143" t="s">
        <v>318</v>
      </c>
      <c r="H205" s="155" t="s">
        <v>303</v>
      </c>
      <c r="I205" s="156"/>
    </row>
    <row r="206" spans="1:9">
      <c r="A206" s="153"/>
      <c r="B206" s="142" t="s">
        <v>46</v>
      </c>
      <c r="C206" s="142"/>
      <c r="E206" s="132"/>
      <c r="F206" s="154"/>
      <c r="G206" s="143" t="s">
        <v>319</v>
      </c>
      <c r="H206" s="144" t="s">
        <v>46</v>
      </c>
      <c r="I206" s="156"/>
    </row>
    <row r="207" spans="1:9">
      <c r="A207" s="153"/>
      <c r="B207" s="142" t="s">
        <v>46</v>
      </c>
      <c r="C207" s="142"/>
      <c r="E207" s="132"/>
      <c r="F207" s="154"/>
      <c r="G207" s="143" t="s">
        <v>320</v>
      </c>
      <c r="H207" s="155" t="s">
        <v>321</v>
      </c>
      <c r="I207" s="156"/>
    </row>
    <row r="208" spans="1:9">
      <c r="A208" s="153"/>
      <c r="B208" s="142" t="s">
        <v>46</v>
      </c>
      <c r="C208" s="142"/>
      <c r="E208" s="132"/>
      <c r="F208" s="154"/>
      <c r="G208" s="143" t="s">
        <v>322</v>
      </c>
      <c r="H208" s="155" t="s">
        <v>232</v>
      </c>
      <c r="I208" s="156"/>
    </row>
    <row r="209" spans="1:9">
      <c r="A209" s="153"/>
      <c r="B209" s="142" t="s">
        <v>46</v>
      </c>
      <c r="C209" s="142"/>
      <c r="E209" s="132"/>
      <c r="F209" s="154"/>
      <c r="G209" s="143" t="s">
        <v>323</v>
      </c>
      <c r="H209" s="155" t="s">
        <v>113</v>
      </c>
      <c r="I209" s="156"/>
    </row>
    <row r="210" spans="1:9">
      <c r="A210" s="153"/>
      <c r="B210" s="142" t="s">
        <v>46</v>
      </c>
      <c r="C210" s="142"/>
      <c r="E210" s="132"/>
      <c r="F210" s="154"/>
      <c r="G210" s="143" t="s">
        <v>324</v>
      </c>
      <c r="H210" s="155" t="s">
        <v>325</v>
      </c>
      <c r="I210" s="156"/>
    </row>
    <row r="211" spans="1:9">
      <c r="A211" s="153"/>
      <c r="B211" s="142" t="s">
        <v>46</v>
      </c>
      <c r="C211" s="142"/>
      <c r="E211" s="132"/>
      <c r="F211" s="154"/>
      <c r="G211" s="143" t="s">
        <v>326</v>
      </c>
      <c r="H211" s="155" t="s">
        <v>286</v>
      </c>
      <c r="I211" s="156"/>
    </row>
    <row r="212" spans="1:9">
      <c r="A212" s="153"/>
      <c r="B212" s="142" t="s">
        <v>46</v>
      </c>
      <c r="C212" s="142"/>
      <c r="E212" s="132"/>
      <c r="F212" s="154"/>
      <c r="G212" s="143" t="s">
        <v>327</v>
      </c>
      <c r="H212" s="155" t="s">
        <v>328</v>
      </c>
      <c r="I212" s="156"/>
    </row>
    <row r="213" spans="1:9">
      <c r="A213" s="153"/>
      <c r="B213" s="142" t="s">
        <v>46</v>
      </c>
      <c r="C213" s="142"/>
      <c r="E213" s="132"/>
      <c r="F213" s="154"/>
      <c r="G213" s="143" t="s">
        <v>329</v>
      </c>
      <c r="H213" s="155" t="s">
        <v>247</v>
      </c>
      <c r="I213" s="156"/>
    </row>
    <row r="214" spans="1:9">
      <c r="A214" s="153"/>
      <c r="B214" s="142" t="s">
        <v>46</v>
      </c>
      <c r="C214" s="142"/>
      <c r="E214" s="132"/>
      <c r="F214" s="154"/>
      <c r="G214" s="143" t="s">
        <v>330</v>
      </c>
      <c r="H214" s="155" t="s">
        <v>195</v>
      </c>
      <c r="I214" s="156"/>
    </row>
    <row r="215" spans="1:9">
      <c r="A215" s="153"/>
      <c r="B215" s="142" t="s">
        <v>46</v>
      </c>
      <c r="C215" s="142"/>
      <c r="E215" s="132"/>
      <c r="F215" s="154"/>
      <c r="G215" s="143" t="s">
        <v>331</v>
      </c>
      <c r="H215" s="155" t="s">
        <v>63</v>
      </c>
      <c r="I215" s="156"/>
    </row>
    <row r="216" spans="1:9">
      <c r="A216" s="153"/>
      <c r="B216" s="142" t="s">
        <v>46</v>
      </c>
      <c r="C216" s="142"/>
      <c r="E216" s="132"/>
      <c r="F216" s="154"/>
      <c r="G216" s="143" t="s">
        <v>332</v>
      </c>
      <c r="H216" s="155" t="s">
        <v>67</v>
      </c>
      <c r="I216" s="156"/>
    </row>
    <row r="217" spans="1:9">
      <c r="A217" s="153"/>
      <c r="B217" s="142" t="s">
        <v>46</v>
      </c>
      <c r="C217" s="142"/>
      <c r="E217" s="132"/>
      <c r="F217" s="154"/>
      <c r="G217" s="143" t="s">
        <v>333</v>
      </c>
      <c r="H217" s="155" t="s">
        <v>284</v>
      </c>
      <c r="I217" s="156"/>
    </row>
    <row r="218" spans="1:9">
      <c r="A218" s="153"/>
      <c r="B218" s="142" t="s">
        <v>46</v>
      </c>
      <c r="C218" s="142"/>
      <c r="E218" s="132"/>
      <c r="F218" s="154"/>
      <c r="G218" s="143" t="s">
        <v>334</v>
      </c>
      <c r="H218" s="155" t="s">
        <v>286</v>
      </c>
      <c r="I218" s="156"/>
    </row>
    <row r="219" spans="1:9">
      <c r="A219" s="153"/>
      <c r="B219" s="142" t="s">
        <v>46</v>
      </c>
      <c r="C219" s="142"/>
      <c r="E219" s="132"/>
      <c r="F219" s="154"/>
      <c r="G219" s="143" t="s">
        <v>335</v>
      </c>
      <c r="H219" s="155" t="s">
        <v>177</v>
      </c>
      <c r="I219" s="156"/>
    </row>
    <row r="220" spans="1:9">
      <c r="A220" s="153"/>
      <c r="B220" s="142" t="s">
        <v>46</v>
      </c>
      <c r="C220" s="142"/>
      <c r="E220" s="132"/>
      <c r="F220" s="154"/>
      <c r="G220" s="143" t="s">
        <v>336</v>
      </c>
      <c r="H220" s="144" t="s">
        <v>46</v>
      </c>
      <c r="I220" s="156"/>
    </row>
    <row r="221" spans="1:9">
      <c r="A221" s="153"/>
      <c r="B221" s="142" t="s">
        <v>46</v>
      </c>
      <c r="C221" s="142"/>
      <c r="E221" s="132"/>
      <c r="F221" s="154"/>
      <c r="G221" s="143" t="s">
        <v>337</v>
      </c>
      <c r="H221" s="155" t="s">
        <v>338</v>
      </c>
      <c r="I221" s="156"/>
    </row>
    <row r="222" spans="1:9">
      <c r="A222" s="153"/>
      <c r="B222" s="142" t="s">
        <v>46</v>
      </c>
      <c r="C222" s="142"/>
      <c r="E222" s="132"/>
      <c r="F222" s="154"/>
      <c r="G222" s="143" t="s">
        <v>339</v>
      </c>
      <c r="H222" s="155" t="s">
        <v>184</v>
      </c>
      <c r="I222" s="156"/>
    </row>
    <row r="223" spans="1:9">
      <c r="A223" s="153"/>
      <c r="B223" s="142" t="s">
        <v>46</v>
      </c>
      <c r="C223" s="142"/>
      <c r="E223" s="132"/>
      <c r="F223" s="154"/>
      <c r="G223" s="143" t="s">
        <v>340</v>
      </c>
      <c r="H223" s="155" t="s">
        <v>186</v>
      </c>
      <c r="I223" s="156"/>
    </row>
    <row r="224" spans="1:9">
      <c r="A224" s="153"/>
      <c r="B224" s="142" t="s">
        <v>46</v>
      </c>
      <c r="C224" s="142"/>
      <c r="E224" s="132"/>
      <c r="F224" s="154"/>
      <c r="G224" s="143" t="s">
        <v>341</v>
      </c>
      <c r="H224" s="155" t="s">
        <v>342</v>
      </c>
      <c r="I224" s="156"/>
    </row>
    <row r="225" spans="1:9">
      <c r="A225" s="153"/>
      <c r="B225" s="142" t="s">
        <v>46</v>
      </c>
      <c r="C225" s="142"/>
      <c r="E225" s="132"/>
      <c r="F225" s="154"/>
      <c r="G225" s="143" t="s">
        <v>343</v>
      </c>
      <c r="H225" s="155" t="s">
        <v>150</v>
      </c>
      <c r="I225" s="156"/>
    </row>
    <row r="226" spans="1:9">
      <c r="A226" s="153"/>
      <c r="B226" s="142" t="s">
        <v>46</v>
      </c>
      <c r="C226" s="142"/>
      <c r="E226" s="132"/>
      <c r="F226" s="154"/>
      <c r="G226" s="143" t="s">
        <v>344</v>
      </c>
      <c r="H226" s="155" t="s">
        <v>345</v>
      </c>
      <c r="I226" s="156"/>
    </row>
    <row r="227" spans="1:9">
      <c r="A227" s="153"/>
      <c r="B227" s="142" t="s">
        <v>46</v>
      </c>
      <c r="C227" s="142"/>
      <c r="E227" s="132"/>
      <c r="F227" s="154"/>
      <c r="G227" s="143" t="s">
        <v>346</v>
      </c>
      <c r="H227" s="155" t="s">
        <v>42</v>
      </c>
      <c r="I227" s="156"/>
    </row>
    <row r="228" spans="1:9">
      <c r="A228" s="153"/>
      <c r="B228" s="142" t="s">
        <v>46</v>
      </c>
      <c r="C228" s="142"/>
      <c r="E228" s="132"/>
      <c r="F228" s="154"/>
      <c r="G228" s="143" t="s">
        <v>347</v>
      </c>
      <c r="H228" s="155" t="s">
        <v>348</v>
      </c>
      <c r="I228" s="156"/>
    </row>
    <row r="229" spans="1:9">
      <c r="A229" s="153"/>
      <c r="B229" s="142" t="s">
        <v>46</v>
      </c>
      <c r="C229" s="142"/>
      <c r="E229" s="132"/>
      <c r="F229" s="154"/>
      <c r="G229" s="143" t="s">
        <v>349</v>
      </c>
      <c r="H229" s="155" t="s">
        <v>350</v>
      </c>
      <c r="I229" s="156"/>
    </row>
    <row r="230" spans="1:9">
      <c r="A230" s="153"/>
      <c r="B230" s="142" t="s">
        <v>46</v>
      </c>
      <c r="C230" s="142"/>
      <c r="E230" s="132"/>
      <c r="F230" s="154"/>
      <c r="G230" s="143" t="s">
        <v>351</v>
      </c>
      <c r="H230" s="155" t="s">
        <v>245</v>
      </c>
      <c r="I230" s="156"/>
    </row>
    <row r="231" spans="1:9">
      <c r="A231" s="153"/>
      <c r="B231" s="142" t="s">
        <v>46</v>
      </c>
      <c r="C231" s="142"/>
      <c r="E231" s="132"/>
      <c r="F231" s="154"/>
      <c r="G231" s="143" t="s">
        <v>352</v>
      </c>
      <c r="H231" s="155" t="s">
        <v>353</v>
      </c>
      <c r="I231" s="156"/>
    </row>
    <row r="232" spans="1:9">
      <c r="A232" s="153"/>
      <c r="B232" s="142" t="s">
        <v>46</v>
      </c>
      <c r="C232" s="142"/>
      <c r="E232" s="132"/>
      <c r="F232" s="154"/>
      <c r="G232" s="143" t="s">
        <v>354</v>
      </c>
      <c r="H232" s="155" t="s">
        <v>345</v>
      </c>
      <c r="I232" s="156"/>
    </row>
    <row r="233" spans="1:9">
      <c r="A233" s="153"/>
      <c r="B233" s="142" t="s">
        <v>46</v>
      </c>
      <c r="C233" s="142"/>
      <c r="E233" s="132"/>
      <c r="F233" s="154"/>
      <c r="G233" s="143" t="s">
        <v>355</v>
      </c>
      <c r="H233" s="155" t="s">
        <v>42</v>
      </c>
      <c r="I233" s="156"/>
    </row>
    <row r="234" spans="1:9">
      <c r="A234" s="153"/>
      <c r="B234" s="142" t="s">
        <v>46</v>
      </c>
      <c r="C234" s="142"/>
      <c r="E234" s="132"/>
      <c r="F234" s="154"/>
      <c r="G234" s="143" t="s">
        <v>356</v>
      </c>
      <c r="H234" s="155" t="s">
        <v>298</v>
      </c>
      <c r="I234" s="156"/>
    </row>
    <row r="235" spans="1:9">
      <c r="A235" s="153"/>
      <c r="B235" s="142" t="s">
        <v>46</v>
      </c>
      <c r="C235" s="142"/>
      <c r="E235" s="132"/>
      <c r="F235" s="154"/>
      <c r="G235" s="143" t="s">
        <v>357</v>
      </c>
      <c r="H235" s="155" t="s">
        <v>247</v>
      </c>
      <c r="I235" s="156"/>
    </row>
    <row r="236" spans="1:9">
      <c r="A236" s="153"/>
      <c r="B236" s="142" t="s">
        <v>46</v>
      </c>
      <c r="C236" s="142"/>
      <c r="E236" s="132"/>
      <c r="F236" s="154"/>
      <c r="G236" s="143" t="s">
        <v>358</v>
      </c>
      <c r="H236" s="155" t="s">
        <v>359</v>
      </c>
      <c r="I236" s="156"/>
    </row>
    <row r="237" spans="1:9">
      <c r="A237" s="153"/>
      <c r="B237" s="142" t="s">
        <v>46</v>
      </c>
      <c r="C237" s="142"/>
      <c r="E237" s="132"/>
      <c r="F237" s="154"/>
      <c r="G237" s="143" t="s">
        <v>360</v>
      </c>
      <c r="H237" s="155" t="s">
        <v>88</v>
      </c>
      <c r="I237" s="156"/>
    </row>
    <row r="238" spans="1:9">
      <c r="A238" s="153"/>
      <c r="B238" s="142" t="s">
        <v>46</v>
      </c>
      <c r="C238" s="142"/>
      <c r="E238" s="132"/>
      <c r="F238" s="154"/>
      <c r="G238" s="143" t="s">
        <v>361</v>
      </c>
      <c r="H238" s="155" t="s">
        <v>147</v>
      </c>
      <c r="I238" s="156"/>
    </row>
    <row r="239" spans="1:9">
      <c r="A239" s="153"/>
      <c r="B239" s="142" t="s">
        <v>46</v>
      </c>
      <c r="C239" s="142"/>
      <c r="E239" s="132"/>
      <c r="F239" s="154"/>
      <c r="G239" s="143" t="s">
        <v>362</v>
      </c>
      <c r="H239" s="155" t="s">
        <v>363</v>
      </c>
      <c r="I239" s="156"/>
    </row>
    <row r="240" spans="1:9">
      <c r="A240" s="153"/>
      <c r="B240" s="142" t="s">
        <v>46</v>
      </c>
      <c r="C240" s="142"/>
      <c r="E240" s="132"/>
      <c r="F240" s="154"/>
      <c r="G240" s="143" t="s">
        <v>364</v>
      </c>
      <c r="H240" s="155" t="s">
        <v>181</v>
      </c>
      <c r="I240" s="156"/>
    </row>
    <row r="241" spans="1:9">
      <c r="A241" s="153"/>
      <c r="B241" s="142" t="s">
        <v>46</v>
      </c>
      <c r="C241" s="142"/>
      <c r="E241" s="132"/>
      <c r="F241" s="154"/>
      <c r="G241" s="143" t="s">
        <v>365</v>
      </c>
      <c r="H241" s="155" t="s">
        <v>158</v>
      </c>
      <c r="I241" s="156"/>
    </row>
    <row r="242" spans="1:9">
      <c r="A242" s="153"/>
      <c r="B242" s="142" t="s">
        <v>46</v>
      </c>
      <c r="C242" s="142"/>
      <c r="E242" s="132"/>
      <c r="F242" s="154"/>
      <c r="G242" s="143" t="s">
        <v>366</v>
      </c>
      <c r="H242" s="155" t="s">
        <v>249</v>
      </c>
      <c r="I242" s="156"/>
    </row>
    <row r="243" spans="1:9">
      <c r="A243" s="153"/>
      <c r="B243" s="142" t="s">
        <v>46</v>
      </c>
      <c r="C243" s="142"/>
      <c r="E243" s="132"/>
      <c r="F243" s="154"/>
      <c r="G243" s="143" t="s">
        <v>367</v>
      </c>
      <c r="H243" s="155" t="s">
        <v>63</v>
      </c>
      <c r="I243" s="156"/>
    </row>
    <row r="244" spans="1:9">
      <c r="A244" s="153"/>
      <c r="B244" s="142" t="s">
        <v>46</v>
      </c>
      <c r="C244" s="142"/>
      <c r="E244" s="132"/>
      <c r="F244" s="154"/>
      <c r="G244" s="143" t="s">
        <v>368</v>
      </c>
      <c r="H244" s="144" t="s">
        <v>46</v>
      </c>
      <c r="I244" s="156"/>
    </row>
    <row r="245" spans="1:9">
      <c r="A245" s="153"/>
      <c r="B245" s="142" t="s">
        <v>46</v>
      </c>
      <c r="C245" s="142"/>
      <c r="E245" s="132"/>
      <c r="F245" s="154"/>
      <c r="G245" s="143" t="s">
        <v>369</v>
      </c>
      <c r="H245" s="144" t="s">
        <v>46</v>
      </c>
      <c r="I245" s="156"/>
    </row>
    <row r="246" spans="1:9">
      <c r="A246" s="153"/>
      <c r="B246" s="142" t="s">
        <v>46</v>
      </c>
      <c r="C246" s="142"/>
      <c r="E246" s="132"/>
      <c r="F246" s="154"/>
      <c r="G246" s="143" t="s">
        <v>370</v>
      </c>
      <c r="H246" s="155" t="s">
        <v>63</v>
      </c>
      <c r="I246" s="156"/>
    </row>
    <row r="247" spans="1:9">
      <c r="A247" s="153"/>
      <c r="B247" s="142" t="s">
        <v>46</v>
      </c>
      <c r="C247" s="142"/>
      <c r="E247" s="132"/>
      <c r="F247" s="154"/>
      <c r="G247" s="143" t="s">
        <v>371</v>
      </c>
      <c r="H247" s="155" t="s">
        <v>243</v>
      </c>
      <c r="I247" s="156"/>
    </row>
    <row r="248" spans="1:9">
      <c r="A248" s="153"/>
      <c r="B248" s="142" t="s">
        <v>46</v>
      </c>
      <c r="C248" s="142"/>
      <c r="E248" s="132"/>
      <c r="F248" s="154"/>
      <c r="G248" s="143" t="s">
        <v>372</v>
      </c>
      <c r="H248" s="155" t="s">
        <v>262</v>
      </c>
      <c r="I248" s="156"/>
    </row>
    <row r="249" spans="1:9">
      <c r="A249" s="153"/>
      <c r="B249" s="142" t="s">
        <v>46</v>
      </c>
      <c r="C249" s="142"/>
      <c r="E249" s="132"/>
      <c r="F249" s="154"/>
      <c r="G249" s="143" t="s">
        <v>373</v>
      </c>
      <c r="H249" s="155" t="s">
        <v>61</v>
      </c>
      <c r="I249" s="156"/>
    </row>
    <row r="250" spans="1:9">
      <c r="A250" s="153"/>
      <c r="B250" s="142" t="s">
        <v>46</v>
      </c>
      <c r="C250" s="142"/>
      <c r="E250" s="132"/>
      <c r="F250" s="154"/>
      <c r="G250" s="143" t="s">
        <v>374</v>
      </c>
      <c r="H250" s="155" t="s">
        <v>298</v>
      </c>
      <c r="I250" s="156"/>
    </row>
    <row r="251" spans="1:9">
      <c r="A251" s="153"/>
      <c r="B251" s="142" t="s">
        <v>46</v>
      </c>
      <c r="C251" s="142"/>
      <c r="E251" s="132"/>
      <c r="F251" s="154"/>
      <c r="G251" s="143" t="s">
        <v>375</v>
      </c>
      <c r="H251" s="155" t="s">
        <v>61</v>
      </c>
      <c r="I251" s="156"/>
    </row>
    <row r="252" spans="1:9">
      <c r="A252" s="153"/>
      <c r="B252" s="142" t="s">
        <v>46</v>
      </c>
      <c r="C252" s="142"/>
      <c r="E252" s="132"/>
      <c r="F252" s="154"/>
      <c r="G252" s="143" t="s">
        <v>376</v>
      </c>
      <c r="H252" s="155" t="s">
        <v>377</v>
      </c>
      <c r="I252" s="156"/>
    </row>
    <row r="253" spans="1:9">
      <c r="A253" s="153"/>
      <c r="B253" s="142" t="s">
        <v>46</v>
      </c>
      <c r="C253" s="142"/>
      <c r="E253" s="132"/>
      <c r="F253" s="154"/>
      <c r="G253" s="143" t="s">
        <v>378</v>
      </c>
      <c r="H253" s="155" t="s">
        <v>61</v>
      </c>
      <c r="I253" s="156"/>
    </row>
    <row r="254" spans="1:9">
      <c r="A254" s="153"/>
      <c r="B254" s="142" t="s">
        <v>46</v>
      </c>
      <c r="C254" s="142"/>
      <c r="E254" s="132"/>
      <c r="F254" s="154"/>
      <c r="G254" s="143" t="s">
        <v>379</v>
      </c>
      <c r="H254" s="155" t="s">
        <v>305</v>
      </c>
      <c r="I254" s="156"/>
    </row>
    <row r="255" spans="1:9">
      <c r="A255" s="153"/>
      <c r="B255" s="142" t="s">
        <v>46</v>
      </c>
      <c r="C255" s="142"/>
      <c r="E255" s="132"/>
      <c r="F255" s="154"/>
      <c r="G255" s="143" t="s">
        <v>380</v>
      </c>
      <c r="H255" s="155" t="s">
        <v>381</v>
      </c>
      <c r="I255" s="156"/>
    </row>
    <row r="256" spans="1:9">
      <c r="A256" s="153"/>
      <c r="B256" s="142" t="s">
        <v>46</v>
      </c>
      <c r="C256" s="142"/>
      <c r="E256" s="132"/>
      <c r="F256" s="154"/>
      <c r="G256" s="143" t="s">
        <v>382</v>
      </c>
      <c r="H256" s="155" t="s">
        <v>83</v>
      </c>
      <c r="I256" s="156"/>
    </row>
    <row r="257" spans="1:9">
      <c r="A257" s="153"/>
      <c r="B257" s="142" t="s">
        <v>46</v>
      </c>
      <c r="C257" s="142"/>
      <c r="E257" s="132"/>
      <c r="F257" s="154"/>
      <c r="G257" s="143" t="s">
        <v>383</v>
      </c>
      <c r="H257" s="155" t="s">
        <v>160</v>
      </c>
      <c r="I257" s="156"/>
    </row>
    <row r="258" spans="1:9">
      <c r="A258" s="153"/>
      <c r="B258" s="142" t="s">
        <v>46</v>
      </c>
      <c r="C258" s="142"/>
      <c r="E258" s="132"/>
      <c r="F258" s="154"/>
      <c r="G258" s="143" t="s">
        <v>384</v>
      </c>
      <c r="H258" s="155" t="s">
        <v>268</v>
      </c>
      <c r="I258" s="156"/>
    </row>
    <row r="259" spans="1:9">
      <c r="A259" s="153"/>
      <c r="B259" s="142" t="s">
        <v>46</v>
      </c>
      <c r="C259" s="142"/>
      <c r="E259" s="132"/>
      <c r="F259" s="154"/>
      <c r="G259" s="143" t="s">
        <v>385</v>
      </c>
      <c r="H259" s="155" t="s">
        <v>386</v>
      </c>
      <c r="I259" s="156"/>
    </row>
    <row r="260" spans="1:9">
      <c r="A260" s="153"/>
      <c r="B260" s="142" t="s">
        <v>46</v>
      </c>
      <c r="C260" s="142"/>
      <c r="E260" s="132"/>
      <c r="F260" s="154"/>
      <c r="G260" s="143" t="s">
        <v>387</v>
      </c>
      <c r="H260" s="155" t="s">
        <v>83</v>
      </c>
      <c r="I260" s="156"/>
    </row>
    <row r="261" spans="1:9">
      <c r="A261" s="153"/>
      <c r="B261" s="142" t="s">
        <v>46</v>
      </c>
      <c r="C261" s="142"/>
      <c r="E261" s="132"/>
      <c r="F261" s="154"/>
      <c r="G261" s="143" t="s">
        <v>388</v>
      </c>
      <c r="H261" s="155" t="s">
        <v>123</v>
      </c>
      <c r="I261" s="156"/>
    </row>
    <row r="262" spans="1:9">
      <c r="A262" s="153"/>
      <c r="B262" s="142" t="s">
        <v>46</v>
      </c>
      <c r="C262" s="142"/>
      <c r="E262" s="132"/>
      <c r="F262" s="154"/>
      <c r="G262" s="143" t="s">
        <v>389</v>
      </c>
      <c r="H262" s="155" t="s">
        <v>268</v>
      </c>
      <c r="I262" s="156"/>
    </row>
    <row r="263" spans="1:9">
      <c r="A263" s="153"/>
      <c r="B263" s="142" t="s">
        <v>46</v>
      </c>
      <c r="C263" s="142"/>
      <c r="E263" s="132"/>
      <c r="F263" s="154"/>
      <c r="G263" s="143" t="s">
        <v>390</v>
      </c>
      <c r="H263" s="155" t="s">
        <v>268</v>
      </c>
      <c r="I263" s="156"/>
    </row>
    <row r="264" spans="1:9">
      <c r="A264" s="153"/>
      <c r="B264" s="142" t="s">
        <v>46</v>
      </c>
      <c r="C264" s="142"/>
      <c r="E264" s="132"/>
      <c r="F264" s="154"/>
      <c r="G264" s="143" t="s">
        <v>391</v>
      </c>
      <c r="H264" s="155" t="s">
        <v>79</v>
      </c>
      <c r="I264" s="156"/>
    </row>
    <row r="265" spans="1:9">
      <c r="A265" s="153"/>
      <c r="B265" s="142" t="s">
        <v>46</v>
      </c>
      <c r="C265" s="142"/>
      <c r="E265" s="132"/>
      <c r="F265" s="154"/>
      <c r="G265" s="143" t="s">
        <v>392</v>
      </c>
      <c r="H265" s="155" t="s">
        <v>243</v>
      </c>
      <c r="I265" s="156"/>
    </row>
    <row r="266" spans="1:9">
      <c r="A266" s="153"/>
      <c r="B266" s="142" t="s">
        <v>46</v>
      </c>
      <c r="C266" s="142"/>
      <c r="E266" s="132"/>
      <c r="F266" s="154"/>
      <c r="G266" s="143" t="s">
        <v>393</v>
      </c>
      <c r="H266" s="155" t="s">
        <v>305</v>
      </c>
      <c r="I266" s="156"/>
    </row>
    <row r="267" spans="1:9">
      <c r="A267" s="153"/>
      <c r="B267" s="142" t="s">
        <v>46</v>
      </c>
      <c r="C267" s="142"/>
      <c r="E267" s="132"/>
      <c r="F267" s="154"/>
      <c r="G267" s="143" t="s">
        <v>394</v>
      </c>
      <c r="H267" s="155" t="s">
        <v>321</v>
      </c>
      <c r="I267" s="156"/>
    </row>
    <row r="268" spans="1:9">
      <c r="A268" s="153"/>
      <c r="B268" s="142" t="s">
        <v>46</v>
      </c>
      <c r="C268" s="142"/>
      <c r="E268" s="132"/>
      <c r="F268" s="154"/>
      <c r="G268" s="143" t="s">
        <v>395</v>
      </c>
      <c r="H268" s="155" t="s">
        <v>303</v>
      </c>
      <c r="I268" s="156"/>
    </row>
    <row r="269" spans="1:9">
      <c r="A269" s="153"/>
      <c r="B269" s="142" t="s">
        <v>46</v>
      </c>
      <c r="C269" s="142"/>
      <c r="E269" s="132"/>
      <c r="F269" s="154"/>
      <c r="G269" s="143" t="s">
        <v>396</v>
      </c>
      <c r="H269" s="144" t="s">
        <v>46</v>
      </c>
      <c r="I269" s="156"/>
    </row>
    <row r="270" spans="1:9">
      <c r="A270" s="153"/>
      <c r="B270" s="142" t="s">
        <v>46</v>
      </c>
      <c r="C270" s="142"/>
      <c r="E270" s="132"/>
      <c r="F270" s="154"/>
      <c r="G270" s="143" t="s">
        <v>397</v>
      </c>
      <c r="H270" s="155" t="s">
        <v>239</v>
      </c>
      <c r="I270" s="156"/>
    </row>
    <row r="271" spans="1:9">
      <c r="A271" s="153"/>
      <c r="B271" s="142" t="s">
        <v>46</v>
      </c>
      <c r="C271" s="142"/>
      <c r="E271" s="132"/>
      <c r="F271" s="154"/>
      <c r="G271" s="143" t="s">
        <v>398</v>
      </c>
      <c r="H271" s="155" t="s">
        <v>160</v>
      </c>
      <c r="I271" s="156"/>
    </row>
    <row r="272" spans="1:9">
      <c r="A272" s="153"/>
      <c r="B272" s="142" t="s">
        <v>46</v>
      </c>
      <c r="C272" s="142"/>
      <c r="E272" s="132"/>
      <c r="F272" s="154"/>
      <c r="G272" s="143" t="s">
        <v>399</v>
      </c>
      <c r="H272" s="144" t="s">
        <v>46</v>
      </c>
      <c r="I272" s="156"/>
    </row>
    <row r="273" spans="1:9">
      <c r="A273" s="153"/>
      <c r="B273" s="142" t="s">
        <v>46</v>
      </c>
      <c r="C273" s="142"/>
      <c r="E273" s="132"/>
      <c r="F273" s="154"/>
      <c r="G273" s="143" t="s">
        <v>400</v>
      </c>
      <c r="H273" s="155" t="s">
        <v>243</v>
      </c>
      <c r="I273" s="156"/>
    </row>
    <row r="274" spans="1:9">
      <c r="A274" s="153"/>
      <c r="B274" s="142" t="s">
        <v>46</v>
      </c>
      <c r="C274" s="142"/>
      <c r="E274" s="132"/>
      <c r="F274" s="154"/>
      <c r="G274" s="143" t="s">
        <v>401</v>
      </c>
      <c r="H274" s="155" t="s">
        <v>243</v>
      </c>
      <c r="I274" s="156"/>
    </row>
    <row r="275" spans="1:9">
      <c r="A275" s="153"/>
      <c r="B275" s="142" t="s">
        <v>46</v>
      </c>
      <c r="C275" s="142"/>
      <c r="E275" s="132"/>
      <c r="F275" s="154"/>
      <c r="G275" s="143" t="s">
        <v>402</v>
      </c>
      <c r="H275" s="155" t="s">
        <v>243</v>
      </c>
      <c r="I275" s="156"/>
    </row>
    <row r="276" spans="1:9">
      <c r="A276" s="153"/>
      <c r="B276" s="142" t="s">
        <v>46</v>
      </c>
      <c r="C276" s="142"/>
      <c r="E276" s="132"/>
      <c r="F276" s="154"/>
      <c r="G276" s="143" t="s">
        <v>403</v>
      </c>
      <c r="H276" s="155" t="s">
        <v>404</v>
      </c>
      <c r="I276" s="156"/>
    </row>
    <row r="277" spans="1:9">
      <c r="A277" s="153"/>
      <c r="B277" s="142" t="s">
        <v>46</v>
      </c>
      <c r="C277" s="142"/>
      <c r="E277" s="132"/>
      <c r="F277" s="154"/>
      <c r="G277" s="143" t="s">
        <v>405</v>
      </c>
      <c r="H277" s="155" t="s">
        <v>243</v>
      </c>
      <c r="I277" s="156"/>
    </row>
    <row r="278" spans="1:9">
      <c r="A278" s="153"/>
      <c r="B278" s="142" t="s">
        <v>46</v>
      </c>
      <c r="C278" s="142"/>
      <c r="E278" s="132"/>
      <c r="F278" s="154"/>
      <c r="G278" s="143" t="s">
        <v>406</v>
      </c>
      <c r="H278" s="155" t="s">
        <v>301</v>
      </c>
      <c r="I278" s="156"/>
    </row>
    <row r="279" spans="1:9">
      <c r="A279" s="153"/>
      <c r="B279" s="142" t="s">
        <v>46</v>
      </c>
      <c r="C279" s="142"/>
      <c r="E279" s="132"/>
      <c r="F279" s="154"/>
      <c r="G279" s="143" t="s">
        <v>407</v>
      </c>
      <c r="H279" s="144" t="s">
        <v>46</v>
      </c>
      <c r="I279" s="156"/>
    </row>
    <row r="280" spans="1:9">
      <c r="A280" s="153"/>
      <c r="B280" s="142" t="s">
        <v>46</v>
      </c>
      <c r="C280" s="142"/>
      <c r="E280" s="132"/>
      <c r="F280" s="154"/>
      <c r="G280" s="143" t="s">
        <v>408</v>
      </c>
      <c r="H280" s="155" t="s">
        <v>305</v>
      </c>
      <c r="I280" s="156"/>
    </row>
    <row r="281" spans="1:9">
      <c r="A281" s="153"/>
      <c r="B281" s="142" t="s">
        <v>46</v>
      </c>
      <c r="C281" s="142"/>
      <c r="E281" s="132"/>
      <c r="F281" s="154"/>
      <c r="G281" s="143" t="s">
        <v>409</v>
      </c>
      <c r="H281" s="155" t="s">
        <v>113</v>
      </c>
      <c r="I281" s="156"/>
    </row>
    <row r="282" spans="1:9">
      <c r="A282" s="153"/>
      <c r="B282" s="142" t="s">
        <v>46</v>
      </c>
      <c r="C282" s="142"/>
      <c r="E282" s="132"/>
      <c r="F282" s="154"/>
      <c r="G282" s="143" t="s">
        <v>410</v>
      </c>
      <c r="H282" s="155" t="s">
        <v>83</v>
      </c>
      <c r="I282" s="156"/>
    </row>
    <row r="283" spans="1:9">
      <c r="A283" s="153"/>
      <c r="B283" s="142" t="s">
        <v>46</v>
      </c>
      <c r="C283" s="142"/>
      <c r="E283" s="132"/>
      <c r="F283" s="154"/>
      <c r="G283" s="143" t="s">
        <v>411</v>
      </c>
      <c r="H283" s="155" t="s">
        <v>353</v>
      </c>
      <c r="I283" s="156"/>
    </row>
    <row r="284" spans="1:9">
      <c r="A284" s="153"/>
      <c r="B284" s="142" t="s">
        <v>46</v>
      </c>
      <c r="C284" s="142"/>
      <c r="E284" s="132"/>
      <c r="F284" s="154"/>
      <c r="G284" s="143" t="s">
        <v>412</v>
      </c>
      <c r="H284" s="155" t="s">
        <v>413</v>
      </c>
      <c r="I284" s="156"/>
    </row>
    <row r="285" spans="1:9">
      <c r="A285" s="153"/>
      <c r="B285" s="142" t="s">
        <v>46</v>
      </c>
      <c r="C285" s="142"/>
      <c r="E285" s="132"/>
      <c r="F285" s="154"/>
      <c r="G285" s="143" t="s">
        <v>414</v>
      </c>
      <c r="H285" s="155" t="s">
        <v>268</v>
      </c>
      <c r="I285" s="156"/>
    </row>
    <row r="286" spans="1:9">
      <c r="A286" s="153"/>
      <c r="B286" s="142" t="s">
        <v>46</v>
      </c>
      <c r="C286" s="142"/>
      <c r="E286" s="132"/>
      <c r="F286" s="154"/>
      <c r="G286" s="143" t="s">
        <v>415</v>
      </c>
      <c r="H286" s="155" t="s">
        <v>255</v>
      </c>
      <c r="I286" s="156"/>
    </row>
    <row r="287" spans="1:9">
      <c r="A287" s="153"/>
      <c r="B287" s="142" t="s">
        <v>46</v>
      </c>
      <c r="C287" s="142"/>
      <c r="E287" s="132"/>
      <c r="F287" s="154"/>
      <c r="G287" s="143" t="s">
        <v>416</v>
      </c>
      <c r="H287" s="155" t="s">
        <v>243</v>
      </c>
      <c r="I287" s="156"/>
    </row>
    <row r="288" spans="1:9">
      <c r="A288" s="153"/>
      <c r="B288" s="142" t="s">
        <v>46</v>
      </c>
      <c r="C288" s="142"/>
      <c r="E288" s="132"/>
      <c r="F288" s="154"/>
      <c r="G288" s="143" t="s">
        <v>417</v>
      </c>
      <c r="H288" s="155" t="s">
        <v>305</v>
      </c>
      <c r="I288" s="156"/>
    </row>
    <row r="289" spans="1:9">
      <c r="A289" s="153"/>
      <c r="B289" s="142" t="s">
        <v>46</v>
      </c>
      <c r="C289" s="142"/>
      <c r="E289" s="132"/>
      <c r="F289" s="154"/>
      <c r="G289" s="143" t="s">
        <v>418</v>
      </c>
      <c r="H289" s="155" t="s">
        <v>243</v>
      </c>
      <c r="I289" s="156"/>
    </row>
    <row r="290" spans="1:9">
      <c r="A290" s="153"/>
      <c r="B290" s="142" t="s">
        <v>46</v>
      </c>
      <c r="C290" s="142"/>
      <c r="E290" s="132"/>
      <c r="F290" s="154"/>
      <c r="G290" s="143" t="s">
        <v>419</v>
      </c>
      <c r="H290" s="155" t="s">
        <v>262</v>
      </c>
      <c r="I290" s="156"/>
    </row>
    <row r="291" spans="1:9">
      <c r="A291" s="153"/>
      <c r="B291" s="142" t="s">
        <v>46</v>
      </c>
      <c r="C291" s="142"/>
      <c r="E291" s="132"/>
      <c r="F291" s="154"/>
      <c r="G291" s="143" t="s">
        <v>420</v>
      </c>
      <c r="H291" s="155" t="s">
        <v>113</v>
      </c>
      <c r="I291" s="156"/>
    </row>
    <row r="292" spans="1:9">
      <c r="A292" s="153"/>
      <c r="B292" s="142" t="s">
        <v>46</v>
      </c>
      <c r="C292" s="142"/>
      <c r="E292" s="132"/>
      <c r="F292" s="154"/>
      <c r="G292" s="143" t="s">
        <v>421</v>
      </c>
      <c r="H292" s="155" t="s">
        <v>67</v>
      </c>
      <c r="I292" s="156"/>
    </row>
    <row r="293" spans="1:9">
      <c r="A293" s="153"/>
      <c r="B293" s="142" t="s">
        <v>46</v>
      </c>
      <c r="C293" s="142"/>
      <c r="E293" s="132"/>
      <c r="F293" s="154"/>
      <c r="G293" s="143" t="s">
        <v>422</v>
      </c>
      <c r="H293" s="144" t="s">
        <v>46</v>
      </c>
      <c r="I293" s="156"/>
    </row>
    <row r="294" spans="1:9">
      <c r="A294" s="153"/>
      <c r="B294" s="142" t="s">
        <v>46</v>
      </c>
      <c r="C294" s="142"/>
      <c r="E294" s="132"/>
      <c r="F294" s="154"/>
      <c r="G294" s="143" t="s">
        <v>423</v>
      </c>
      <c r="H294" s="144" t="s">
        <v>46</v>
      </c>
      <c r="I294" s="156"/>
    </row>
    <row r="295" spans="1:9">
      <c r="A295" s="153"/>
      <c r="B295" s="142" t="s">
        <v>46</v>
      </c>
      <c r="C295" s="142"/>
      <c r="E295" s="132"/>
      <c r="F295" s="154"/>
      <c r="G295" s="143" t="s">
        <v>424</v>
      </c>
      <c r="H295" s="155" t="s">
        <v>79</v>
      </c>
      <c r="I295" s="156"/>
    </row>
    <row r="296" spans="1:9">
      <c r="A296" s="153"/>
      <c r="B296" s="142" t="s">
        <v>46</v>
      </c>
      <c r="C296" s="142"/>
      <c r="E296" s="132"/>
      <c r="F296" s="154"/>
      <c r="G296" s="143" t="s">
        <v>425</v>
      </c>
      <c r="H296" s="155" t="s">
        <v>345</v>
      </c>
      <c r="I296" s="156"/>
    </row>
    <row r="297" spans="1:9">
      <c r="A297" s="153"/>
      <c r="B297" s="142" t="s">
        <v>46</v>
      </c>
      <c r="C297" s="142"/>
      <c r="E297" s="132"/>
      <c r="F297" s="154"/>
      <c r="G297" s="143" t="s">
        <v>426</v>
      </c>
      <c r="H297" s="155" t="s">
        <v>42</v>
      </c>
      <c r="I297" s="156"/>
    </row>
    <row r="298" spans="1:9">
      <c r="A298" s="153"/>
      <c r="B298" s="142" t="s">
        <v>46</v>
      </c>
      <c r="C298" s="142"/>
      <c r="E298" s="132"/>
      <c r="F298" s="154"/>
      <c r="G298" s="143" t="s">
        <v>427</v>
      </c>
      <c r="H298" s="155" t="s">
        <v>298</v>
      </c>
      <c r="I298" s="156"/>
    </row>
    <row r="299" spans="1:9">
      <c r="A299" s="153"/>
      <c r="B299" s="142" t="s">
        <v>46</v>
      </c>
      <c r="C299" s="142"/>
      <c r="E299" s="132"/>
      <c r="F299" s="154"/>
      <c r="G299" s="143" t="s">
        <v>428</v>
      </c>
      <c r="H299" s="155" t="s">
        <v>172</v>
      </c>
      <c r="I299" s="156"/>
    </row>
    <row r="300" spans="1:9">
      <c r="A300" s="153"/>
      <c r="B300" s="142" t="s">
        <v>46</v>
      </c>
      <c r="C300" s="142"/>
      <c r="E300" s="132"/>
      <c r="F300" s="154"/>
      <c r="G300" s="143" t="s">
        <v>429</v>
      </c>
      <c r="H300" s="155" t="s">
        <v>363</v>
      </c>
      <c r="I300" s="156"/>
    </row>
    <row r="301" spans="1:9">
      <c r="A301" s="153"/>
      <c r="B301" s="142" t="s">
        <v>46</v>
      </c>
      <c r="C301" s="142"/>
      <c r="E301" s="132"/>
      <c r="F301" s="154"/>
      <c r="G301" s="143" t="s">
        <v>430</v>
      </c>
      <c r="H301" s="155" t="s">
        <v>42</v>
      </c>
      <c r="I301" s="156"/>
    </row>
    <row r="302" spans="1:9">
      <c r="A302" s="153"/>
      <c r="B302" s="142" t="s">
        <v>46</v>
      </c>
      <c r="C302" s="142"/>
      <c r="E302" s="132"/>
      <c r="F302" s="154"/>
      <c r="G302" s="143" t="s">
        <v>431</v>
      </c>
      <c r="H302" s="155" t="s">
        <v>216</v>
      </c>
      <c r="I302" s="156"/>
    </row>
    <row r="303" spans="1:9">
      <c r="A303" s="153"/>
      <c r="B303" s="142" t="s">
        <v>46</v>
      </c>
      <c r="C303" s="142"/>
      <c r="E303" s="132"/>
      <c r="F303" s="154"/>
      <c r="G303" s="143" t="s">
        <v>432</v>
      </c>
      <c r="H303" s="155" t="s">
        <v>42</v>
      </c>
      <c r="I303" s="156"/>
    </row>
    <row r="304" spans="1:9">
      <c r="A304" s="153"/>
      <c r="B304" s="142" t="s">
        <v>46</v>
      </c>
      <c r="C304" s="142"/>
      <c r="E304" s="132"/>
      <c r="F304" s="154"/>
      <c r="G304" s="143" t="s">
        <v>433</v>
      </c>
      <c r="H304" s="155" t="s">
        <v>348</v>
      </c>
      <c r="I304" s="156"/>
    </row>
    <row r="305" spans="1:9">
      <c r="A305" s="153"/>
      <c r="B305" s="142" t="s">
        <v>46</v>
      </c>
      <c r="C305" s="142"/>
      <c r="E305" s="132"/>
      <c r="F305" s="154"/>
      <c r="G305" s="143" t="s">
        <v>434</v>
      </c>
      <c r="H305" s="155" t="s">
        <v>435</v>
      </c>
      <c r="I305" s="156"/>
    </row>
    <row r="306" spans="1:9">
      <c r="A306" s="153"/>
      <c r="B306" s="142" t="s">
        <v>46</v>
      </c>
      <c r="C306" s="142"/>
      <c r="E306" s="132"/>
      <c r="F306" s="154"/>
      <c r="G306" s="143" t="s">
        <v>436</v>
      </c>
      <c r="H306" s="155" t="s">
        <v>245</v>
      </c>
      <c r="I306" s="156"/>
    </row>
    <row r="307" spans="1:9">
      <c r="A307" s="153"/>
      <c r="B307" s="142" t="s">
        <v>46</v>
      </c>
      <c r="C307" s="142"/>
      <c r="E307" s="132"/>
      <c r="F307" s="154"/>
      <c r="G307" s="143" t="s">
        <v>437</v>
      </c>
      <c r="H307" s="144" t="s">
        <v>46</v>
      </c>
      <c r="I307" s="156"/>
    </row>
    <row r="308" spans="1:9">
      <c r="A308" s="153"/>
      <c r="B308" s="142" t="s">
        <v>46</v>
      </c>
      <c r="C308" s="142"/>
      <c r="E308" s="132"/>
      <c r="F308" s="154"/>
      <c r="G308" s="143" t="s">
        <v>438</v>
      </c>
      <c r="H308" s="155" t="s">
        <v>195</v>
      </c>
      <c r="I308" s="156"/>
    </row>
    <row r="309" spans="1:9">
      <c r="A309" s="153"/>
      <c r="B309" s="142" t="s">
        <v>46</v>
      </c>
      <c r="C309" s="142"/>
      <c r="E309" s="132"/>
      <c r="F309" s="154"/>
      <c r="G309" s="143" t="s">
        <v>439</v>
      </c>
      <c r="H309" s="155" t="s">
        <v>63</v>
      </c>
      <c r="I309" s="156"/>
    </row>
    <row r="310" spans="1:9">
      <c r="A310" s="153"/>
      <c r="B310" s="142" t="s">
        <v>46</v>
      </c>
      <c r="C310" s="142"/>
      <c r="E310" s="132"/>
      <c r="F310" s="154"/>
      <c r="G310" s="143" t="s">
        <v>440</v>
      </c>
      <c r="H310" s="155" t="s">
        <v>67</v>
      </c>
      <c r="I310" s="156"/>
    </row>
    <row r="311" spans="1:9">
      <c r="A311" s="153"/>
      <c r="B311" s="142" t="s">
        <v>46</v>
      </c>
      <c r="C311" s="142"/>
      <c r="E311" s="132"/>
      <c r="F311" s="154"/>
      <c r="G311" s="143" t="s">
        <v>441</v>
      </c>
      <c r="H311" s="144" t="s">
        <v>46</v>
      </c>
      <c r="I311" s="156"/>
    </row>
    <row r="312" spans="1:9">
      <c r="A312" s="153"/>
      <c r="B312" s="142" t="s">
        <v>46</v>
      </c>
      <c r="C312" s="142"/>
      <c r="E312" s="132"/>
      <c r="F312" s="154"/>
      <c r="G312" s="143" t="s">
        <v>442</v>
      </c>
      <c r="H312" s="144" t="s">
        <v>46</v>
      </c>
      <c r="I312" s="156"/>
    </row>
    <row r="313" spans="1:9">
      <c r="A313" s="153"/>
      <c r="B313" s="142" t="s">
        <v>46</v>
      </c>
      <c r="C313" s="142"/>
      <c r="E313" s="132"/>
      <c r="F313" s="154"/>
      <c r="G313" s="143" t="s">
        <v>443</v>
      </c>
      <c r="H313" s="155" t="s">
        <v>353</v>
      </c>
      <c r="I313" s="156"/>
    </row>
    <row r="314" spans="1:9">
      <c r="A314" s="153"/>
      <c r="B314" s="142" t="s">
        <v>46</v>
      </c>
      <c r="C314" s="142"/>
      <c r="E314" s="132"/>
      <c r="F314" s="154"/>
      <c r="G314" s="143" t="s">
        <v>444</v>
      </c>
      <c r="H314" s="155" t="s">
        <v>345</v>
      </c>
      <c r="I314" s="156"/>
    </row>
    <row r="315" spans="1:9">
      <c r="A315" s="153"/>
      <c r="B315" s="142" t="s">
        <v>46</v>
      </c>
      <c r="C315" s="142"/>
      <c r="E315" s="132"/>
      <c r="F315" s="154"/>
      <c r="G315" s="143" t="s">
        <v>445</v>
      </c>
      <c r="H315" s="155" t="s">
        <v>42</v>
      </c>
      <c r="I315" s="156"/>
    </row>
    <row r="316" spans="1:9">
      <c r="A316" s="153"/>
      <c r="B316" s="142" t="s">
        <v>46</v>
      </c>
      <c r="C316" s="142"/>
      <c r="E316" s="132"/>
      <c r="F316" s="154"/>
      <c r="G316" s="143" t="s">
        <v>446</v>
      </c>
      <c r="H316" s="155" t="s">
        <v>298</v>
      </c>
      <c r="I316" s="156"/>
    </row>
    <row r="317" spans="1:9">
      <c r="A317" s="153"/>
      <c r="B317" s="142" t="s">
        <v>46</v>
      </c>
      <c r="C317" s="142"/>
      <c r="E317" s="132"/>
      <c r="F317" s="154"/>
      <c r="G317" s="143" t="s">
        <v>447</v>
      </c>
      <c r="H317" s="155" t="s">
        <v>172</v>
      </c>
      <c r="I317" s="156"/>
    </row>
    <row r="318" spans="1:9">
      <c r="A318" s="153"/>
      <c r="B318" s="142" t="s">
        <v>46</v>
      </c>
      <c r="C318" s="142"/>
      <c r="E318" s="132"/>
      <c r="F318" s="154"/>
      <c r="G318" s="143" t="s">
        <v>448</v>
      </c>
      <c r="H318" s="155" t="s">
        <v>363</v>
      </c>
      <c r="I318" s="156"/>
    </row>
    <row r="319" spans="1:9">
      <c r="A319" s="153"/>
      <c r="B319" s="142" t="s">
        <v>46</v>
      </c>
      <c r="C319" s="142"/>
      <c r="E319" s="132"/>
      <c r="F319" s="154"/>
      <c r="G319" s="143" t="s">
        <v>449</v>
      </c>
      <c r="H319" s="155" t="s">
        <v>77</v>
      </c>
      <c r="I319" s="156"/>
    </row>
    <row r="320" spans="1:9">
      <c r="A320" s="153"/>
      <c r="B320" s="142" t="s">
        <v>46</v>
      </c>
      <c r="C320" s="142"/>
      <c r="E320" s="132"/>
      <c r="F320" s="154"/>
      <c r="G320" s="143" t="s">
        <v>450</v>
      </c>
      <c r="H320" s="155" t="s">
        <v>197</v>
      </c>
      <c r="I320" s="156"/>
    </row>
    <row r="321" spans="1:9">
      <c r="A321" s="153"/>
      <c r="B321" s="142" t="s">
        <v>46</v>
      </c>
      <c r="C321" s="142"/>
      <c r="E321" s="132"/>
      <c r="F321" s="154"/>
      <c r="G321" s="143" t="s">
        <v>451</v>
      </c>
      <c r="H321" s="155" t="s">
        <v>142</v>
      </c>
      <c r="I321" s="156"/>
    </row>
    <row r="322" spans="1:9">
      <c r="A322" s="153"/>
      <c r="B322" s="142" t="s">
        <v>46</v>
      </c>
      <c r="C322" s="142"/>
      <c r="E322" s="132"/>
      <c r="F322" s="154"/>
      <c r="G322" s="143" t="s">
        <v>452</v>
      </c>
      <c r="H322" s="155" t="s">
        <v>197</v>
      </c>
      <c r="I322" s="156"/>
    </row>
    <row r="323" spans="1:9">
      <c r="A323" s="153"/>
      <c r="B323" s="142" t="s">
        <v>46</v>
      </c>
      <c r="C323" s="142"/>
      <c r="E323" s="132"/>
      <c r="F323" s="154"/>
      <c r="G323" s="143" t="s">
        <v>453</v>
      </c>
      <c r="H323" s="155" t="s">
        <v>139</v>
      </c>
      <c r="I323" s="156"/>
    </row>
    <row r="324" spans="1:9">
      <c r="A324" s="153"/>
      <c r="B324" s="142" t="s">
        <v>46</v>
      </c>
      <c r="C324" s="142"/>
      <c r="E324" s="132"/>
      <c r="F324" s="154"/>
      <c r="G324" s="143" t="s">
        <v>454</v>
      </c>
      <c r="H324" s="155" t="s">
        <v>197</v>
      </c>
      <c r="I324" s="156"/>
    </row>
    <row r="325" spans="1:9">
      <c r="A325" s="153"/>
      <c r="B325" s="142" t="s">
        <v>46</v>
      </c>
      <c r="C325" s="142"/>
      <c r="E325" s="132"/>
      <c r="F325" s="154"/>
      <c r="G325" s="143" t="s">
        <v>455</v>
      </c>
      <c r="H325" s="155" t="s">
        <v>136</v>
      </c>
      <c r="I325" s="156"/>
    </row>
    <row r="326" spans="1:9">
      <c r="A326" s="153"/>
      <c r="B326" s="142" t="s">
        <v>46</v>
      </c>
      <c r="C326" s="142"/>
      <c r="E326" s="132"/>
      <c r="F326" s="154"/>
      <c r="G326" s="143" t="s">
        <v>456</v>
      </c>
      <c r="H326" s="155" t="s">
        <v>204</v>
      </c>
      <c r="I326" s="156"/>
    </row>
    <row r="327" spans="1:9">
      <c r="A327" s="153"/>
      <c r="B327" s="142" t="s">
        <v>46</v>
      </c>
      <c r="C327" s="142"/>
      <c r="E327" s="132"/>
      <c r="F327" s="154"/>
      <c r="G327" s="143" t="s">
        <v>457</v>
      </c>
      <c r="H327" s="155" t="s">
        <v>206</v>
      </c>
      <c r="I327" s="156"/>
    </row>
    <row r="328" spans="1:9">
      <c r="A328" s="153"/>
      <c r="B328" s="142" t="s">
        <v>46</v>
      </c>
      <c r="C328" s="142"/>
      <c r="E328" s="132"/>
      <c r="F328" s="154"/>
      <c r="G328" s="143" t="s">
        <v>458</v>
      </c>
      <c r="H328" s="155" t="s">
        <v>130</v>
      </c>
      <c r="I328" s="156"/>
    </row>
    <row r="329" spans="1:9">
      <c r="A329" s="153"/>
      <c r="B329" s="142" t="s">
        <v>46</v>
      </c>
      <c r="C329" s="142"/>
      <c r="E329" s="132"/>
      <c r="F329" s="154"/>
      <c r="G329" s="143" t="s">
        <v>459</v>
      </c>
      <c r="H329" s="155" t="s">
        <v>177</v>
      </c>
      <c r="I329" s="156"/>
    </row>
    <row r="330" spans="1:9">
      <c r="A330" s="153"/>
      <c r="B330" s="142" t="s">
        <v>46</v>
      </c>
      <c r="C330" s="142"/>
      <c r="E330" s="132"/>
      <c r="F330" s="154"/>
      <c r="G330" s="143" t="s">
        <v>460</v>
      </c>
      <c r="H330" s="155" t="s">
        <v>134</v>
      </c>
      <c r="I330" s="156"/>
    </row>
    <row r="331" spans="1:9">
      <c r="A331" s="153"/>
      <c r="B331" s="142" t="s">
        <v>46</v>
      </c>
      <c r="C331" s="142"/>
      <c r="E331" s="132"/>
      <c r="F331" s="154"/>
      <c r="G331" s="143" t="s">
        <v>461</v>
      </c>
      <c r="H331" s="155" t="s">
        <v>127</v>
      </c>
      <c r="I331" s="156"/>
    </row>
    <row r="332" spans="1:9">
      <c r="A332" s="153"/>
      <c r="B332" s="142" t="s">
        <v>46</v>
      </c>
      <c r="C332" s="142"/>
      <c r="E332" s="132"/>
      <c r="F332" s="154"/>
      <c r="G332" s="143" t="s">
        <v>462</v>
      </c>
      <c r="H332" s="155" t="s">
        <v>195</v>
      </c>
      <c r="I332" s="156"/>
    </row>
    <row r="333" spans="1:9">
      <c r="A333" s="153"/>
      <c r="B333" s="142" t="s">
        <v>46</v>
      </c>
      <c r="C333" s="142"/>
      <c r="E333" s="132"/>
      <c r="F333" s="154"/>
      <c r="G333" s="143" t="s">
        <v>463</v>
      </c>
      <c r="H333" s="155" t="s">
        <v>353</v>
      </c>
      <c r="I333" s="156"/>
    </row>
    <row r="334" spans="1:9">
      <c r="A334" s="153"/>
      <c r="B334" s="142" t="s">
        <v>46</v>
      </c>
      <c r="C334" s="142"/>
      <c r="E334" s="132"/>
      <c r="F334" s="154"/>
      <c r="G334" s="143" t="s">
        <v>464</v>
      </c>
      <c r="H334" s="155" t="s">
        <v>195</v>
      </c>
      <c r="I334" s="156"/>
    </row>
    <row r="335" spans="1:9">
      <c r="A335" s="153"/>
      <c r="B335" s="142" t="s">
        <v>46</v>
      </c>
      <c r="C335" s="142"/>
      <c r="E335" s="132"/>
      <c r="F335" s="154"/>
      <c r="G335" s="143" t="s">
        <v>465</v>
      </c>
      <c r="H335" s="155" t="s">
        <v>61</v>
      </c>
      <c r="I335" s="156"/>
    </row>
    <row r="336" spans="1:9">
      <c r="A336" s="153"/>
      <c r="B336" s="142" t="s">
        <v>46</v>
      </c>
      <c r="C336" s="142"/>
      <c r="E336" s="132"/>
      <c r="F336" s="154"/>
      <c r="G336" s="143" t="s">
        <v>466</v>
      </c>
      <c r="H336" s="155" t="s">
        <v>67</v>
      </c>
      <c r="I336" s="156"/>
    </row>
    <row r="337" spans="1:9">
      <c r="A337" s="153"/>
      <c r="B337" s="142" t="s">
        <v>46</v>
      </c>
      <c r="C337" s="142"/>
      <c r="E337" s="132"/>
      <c r="F337" s="154"/>
      <c r="G337" s="143" t="s">
        <v>467</v>
      </c>
      <c r="H337" s="155" t="s">
        <v>312</v>
      </c>
      <c r="I337" s="156"/>
    </row>
    <row r="338" spans="1:9">
      <c r="A338" s="153"/>
      <c r="B338" s="142" t="s">
        <v>46</v>
      </c>
      <c r="C338" s="142"/>
      <c r="E338" s="132"/>
      <c r="F338" s="154"/>
      <c r="G338" s="143" t="s">
        <v>468</v>
      </c>
      <c r="H338" s="155" t="s">
        <v>42</v>
      </c>
      <c r="I338" s="156"/>
    </row>
    <row r="339" spans="1:9">
      <c r="A339" s="153"/>
      <c r="B339" s="142" t="s">
        <v>46</v>
      </c>
      <c r="C339" s="142"/>
      <c r="E339" s="132"/>
      <c r="F339" s="154"/>
      <c r="G339" s="143" t="s">
        <v>469</v>
      </c>
      <c r="H339" s="155" t="s">
        <v>435</v>
      </c>
      <c r="I339" s="156"/>
    </row>
    <row r="340" spans="1:9">
      <c r="A340" s="153"/>
      <c r="B340" s="142" t="s">
        <v>46</v>
      </c>
      <c r="C340" s="142"/>
      <c r="E340" s="132"/>
      <c r="F340" s="154"/>
      <c r="G340" s="143" t="s">
        <v>470</v>
      </c>
      <c r="H340" s="155" t="s">
        <v>197</v>
      </c>
      <c r="I340" s="156"/>
    </row>
    <row r="341" spans="1:9">
      <c r="A341" s="153"/>
      <c r="B341" s="142" t="s">
        <v>46</v>
      </c>
      <c r="C341" s="142"/>
      <c r="E341" s="132"/>
      <c r="F341" s="154"/>
      <c r="G341" s="143" t="s">
        <v>471</v>
      </c>
      <c r="H341" s="155" t="s">
        <v>127</v>
      </c>
      <c r="I341" s="156"/>
    </row>
    <row r="342" spans="1:9">
      <c r="A342" s="153"/>
      <c r="B342" s="142" t="s">
        <v>46</v>
      </c>
      <c r="C342" s="142"/>
      <c r="E342" s="132"/>
      <c r="F342" s="154"/>
      <c r="G342" s="143" t="s">
        <v>472</v>
      </c>
      <c r="H342" s="155" t="s">
        <v>204</v>
      </c>
      <c r="I342" s="156"/>
    </row>
    <row r="343" spans="1:9">
      <c r="A343" s="153"/>
      <c r="B343" s="142" t="s">
        <v>46</v>
      </c>
      <c r="C343" s="142"/>
      <c r="E343" s="132"/>
      <c r="F343" s="154"/>
      <c r="G343" s="143" t="s">
        <v>473</v>
      </c>
      <c r="H343" s="155" t="s">
        <v>232</v>
      </c>
      <c r="I343" s="156"/>
    </row>
    <row r="344" spans="1:9">
      <c r="A344" s="153"/>
      <c r="B344" s="142" t="s">
        <v>46</v>
      </c>
      <c r="C344" s="142"/>
      <c r="E344" s="132"/>
      <c r="F344" s="154"/>
      <c r="G344" s="143" t="s">
        <v>474</v>
      </c>
      <c r="H344" s="155" t="s">
        <v>130</v>
      </c>
      <c r="I344" s="156"/>
    </row>
    <row r="345" spans="1:9">
      <c r="A345" s="153"/>
      <c r="B345" s="142" t="s">
        <v>46</v>
      </c>
      <c r="C345" s="142"/>
      <c r="E345" s="132"/>
      <c r="F345" s="154"/>
      <c r="G345" s="143" t="s">
        <v>475</v>
      </c>
      <c r="H345" s="155" t="s">
        <v>132</v>
      </c>
      <c r="I345" s="156"/>
    </row>
    <row r="346" spans="1:9">
      <c r="A346" s="153"/>
      <c r="B346" s="142" t="s">
        <v>46</v>
      </c>
      <c r="C346" s="142"/>
      <c r="E346" s="132"/>
      <c r="F346" s="154"/>
      <c r="G346" s="143" t="s">
        <v>476</v>
      </c>
      <c r="H346" s="155" t="s">
        <v>134</v>
      </c>
      <c r="I346" s="156"/>
    </row>
    <row r="347" spans="1:9">
      <c r="A347" s="153"/>
      <c r="B347" s="142" t="s">
        <v>46</v>
      </c>
      <c r="C347" s="142"/>
      <c r="E347" s="132"/>
      <c r="F347" s="154"/>
      <c r="G347" s="143" t="s">
        <v>477</v>
      </c>
      <c r="H347" s="155" t="s">
        <v>136</v>
      </c>
      <c r="I347" s="156"/>
    </row>
    <row r="348" spans="1:9">
      <c r="A348" s="153"/>
      <c r="B348" s="142" t="s">
        <v>46</v>
      </c>
      <c r="C348" s="142"/>
      <c r="E348" s="132"/>
      <c r="F348" s="154"/>
      <c r="G348" s="143" t="s">
        <v>478</v>
      </c>
      <c r="H348" s="155" t="s">
        <v>134</v>
      </c>
      <c r="I348" s="156"/>
    </row>
    <row r="349" spans="1:9">
      <c r="A349" s="153"/>
      <c r="B349" s="142" t="s">
        <v>46</v>
      </c>
      <c r="C349" s="142"/>
      <c r="E349" s="132"/>
      <c r="F349" s="154"/>
      <c r="G349" s="143" t="s">
        <v>479</v>
      </c>
      <c r="H349" s="155" t="s">
        <v>139</v>
      </c>
      <c r="I349" s="156"/>
    </row>
    <row r="350" spans="1:9">
      <c r="A350" s="153"/>
      <c r="B350" s="142" t="s">
        <v>46</v>
      </c>
      <c r="C350" s="142"/>
      <c r="E350" s="132"/>
      <c r="F350" s="154"/>
      <c r="G350" s="143" t="s">
        <v>480</v>
      </c>
      <c r="H350" s="155" t="s">
        <v>134</v>
      </c>
      <c r="I350" s="156"/>
    </row>
    <row r="351" spans="1:9">
      <c r="A351" s="153"/>
      <c r="B351" s="142" t="s">
        <v>46</v>
      </c>
      <c r="C351" s="142"/>
      <c r="E351" s="132"/>
      <c r="F351" s="154"/>
      <c r="G351" s="143" t="s">
        <v>481</v>
      </c>
      <c r="H351" s="155" t="s">
        <v>142</v>
      </c>
      <c r="I351" s="156"/>
    </row>
    <row r="352" spans="1:9">
      <c r="A352" s="153"/>
      <c r="B352" s="142" t="s">
        <v>46</v>
      </c>
      <c r="C352" s="142"/>
      <c r="E352" s="132"/>
      <c r="F352" s="154"/>
      <c r="G352" s="143" t="s">
        <v>482</v>
      </c>
      <c r="H352" s="155" t="s">
        <v>67</v>
      </c>
      <c r="I352" s="156"/>
    </row>
    <row r="353" spans="1:9">
      <c r="A353" s="153"/>
      <c r="B353" s="142" t="s">
        <v>46</v>
      </c>
      <c r="C353" s="142"/>
      <c r="E353" s="132"/>
      <c r="F353" s="154"/>
      <c r="G353" s="143" t="s">
        <v>483</v>
      </c>
      <c r="H353" s="155" t="s">
        <v>284</v>
      </c>
      <c r="I353" s="156"/>
    </row>
    <row r="354" spans="1:9">
      <c r="A354" s="153"/>
      <c r="B354" s="142" t="s">
        <v>46</v>
      </c>
      <c r="C354" s="142"/>
      <c r="E354" s="132"/>
      <c r="F354" s="154"/>
      <c r="G354" s="143" t="s">
        <v>484</v>
      </c>
      <c r="H354" s="155" t="s">
        <v>359</v>
      </c>
      <c r="I354" s="156"/>
    </row>
    <row r="355" spans="1:9">
      <c r="A355" s="153"/>
      <c r="B355" s="142" t="s">
        <v>46</v>
      </c>
      <c r="C355" s="142"/>
      <c r="E355" s="132"/>
      <c r="F355" s="154"/>
      <c r="G355" s="143" t="s">
        <v>485</v>
      </c>
      <c r="H355" s="155" t="s">
        <v>486</v>
      </c>
      <c r="I355" s="156"/>
    </row>
    <row r="356" spans="1:9">
      <c r="A356" s="153"/>
      <c r="B356" s="142" t="s">
        <v>46</v>
      </c>
      <c r="C356" s="142"/>
      <c r="E356" s="132"/>
      <c r="F356" s="154"/>
      <c r="G356" s="143" t="s">
        <v>487</v>
      </c>
      <c r="H356" s="155" t="s">
        <v>216</v>
      </c>
      <c r="I356" s="156"/>
    </row>
    <row r="357" spans="1:9">
      <c r="A357" s="153"/>
      <c r="B357" s="142" t="s">
        <v>46</v>
      </c>
      <c r="C357" s="142"/>
      <c r="E357" s="132"/>
      <c r="F357" s="154"/>
      <c r="G357" s="143" t="s">
        <v>488</v>
      </c>
      <c r="H357" s="155" t="s">
        <v>113</v>
      </c>
      <c r="I357" s="156"/>
    </row>
    <row r="358" spans="1:9">
      <c r="A358" s="153"/>
      <c r="B358" s="142" t="s">
        <v>46</v>
      </c>
      <c r="C358" s="142"/>
      <c r="E358" s="132"/>
      <c r="F358" s="154"/>
      <c r="G358" s="143" t="s">
        <v>489</v>
      </c>
      <c r="H358" s="155" t="s">
        <v>247</v>
      </c>
      <c r="I358" s="156"/>
    </row>
    <row r="359" spans="1:9">
      <c r="A359" s="153"/>
      <c r="B359" s="142" t="s">
        <v>46</v>
      </c>
      <c r="C359" s="142"/>
      <c r="E359" s="132"/>
      <c r="F359" s="154"/>
      <c r="G359" s="143" t="s">
        <v>490</v>
      </c>
      <c r="H359" s="155" t="s">
        <v>130</v>
      </c>
      <c r="I359" s="156"/>
    </row>
    <row r="360" spans="1:9">
      <c r="A360" s="153"/>
      <c r="B360" s="142" t="s">
        <v>46</v>
      </c>
      <c r="C360" s="142"/>
      <c r="E360" s="132"/>
      <c r="F360" s="154"/>
      <c r="G360" s="143" t="s">
        <v>491</v>
      </c>
      <c r="H360" s="155" t="s">
        <v>164</v>
      </c>
      <c r="I360" s="156"/>
    </row>
    <row r="361" spans="1:9">
      <c r="A361" s="153"/>
      <c r="B361" s="142" t="s">
        <v>46</v>
      </c>
      <c r="C361" s="142"/>
      <c r="E361" s="132"/>
      <c r="F361" s="154"/>
      <c r="G361" s="143" t="s">
        <v>492</v>
      </c>
      <c r="H361" s="155" t="s">
        <v>232</v>
      </c>
      <c r="I361" s="156"/>
    </row>
    <row r="362" spans="1:9">
      <c r="A362" s="153"/>
      <c r="B362" s="142" t="s">
        <v>46</v>
      </c>
      <c r="C362" s="142"/>
      <c r="E362" s="132"/>
      <c r="F362" s="154"/>
      <c r="G362" s="143" t="s">
        <v>493</v>
      </c>
      <c r="H362" s="155" t="s">
        <v>144</v>
      </c>
      <c r="I362" s="156"/>
    </row>
    <row r="363" spans="1:9">
      <c r="A363" s="153"/>
      <c r="B363" s="142" t="s">
        <v>46</v>
      </c>
      <c r="C363" s="142"/>
      <c r="E363" s="132"/>
      <c r="F363" s="154"/>
      <c r="G363" s="143" t="s">
        <v>494</v>
      </c>
      <c r="H363" s="155" t="s">
        <v>42</v>
      </c>
      <c r="I363" s="156"/>
    </row>
    <row r="364" spans="1:9">
      <c r="A364" s="153"/>
      <c r="B364" s="142" t="s">
        <v>46</v>
      </c>
      <c r="C364" s="142"/>
      <c r="E364" s="132"/>
      <c r="F364" s="154"/>
      <c r="G364" s="143" t="s">
        <v>495</v>
      </c>
      <c r="H364" s="155" t="s">
        <v>147</v>
      </c>
      <c r="I364" s="156"/>
    </row>
    <row r="365" spans="1:9">
      <c r="A365" s="153"/>
      <c r="B365" s="142" t="s">
        <v>46</v>
      </c>
      <c r="C365" s="142"/>
      <c r="E365" s="132"/>
      <c r="F365" s="154"/>
      <c r="G365" s="143" t="s">
        <v>496</v>
      </c>
      <c r="H365" s="144" t="s">
        <v>46</v>
      </c>
      <c r="I365" s="156"/>
    </row>
    <row r="366" spans="1:9">
      <c r="A366" s="153"/>
      <c r="B366" s="142" t="s">
        <v>46</v>
      </c>
      <c r="C366" s="142"/>
      <c r="E366" s="132"/>
      <c r="F366" s="154"/>
      <c r="G366" s="143" t="s">
        <v>497</v>
      </c>
      <c r="H366" s="155" t="s">
        <v>359</v>
      </c>
      <c r="I366" s="156"/>
    </row>
    <row r="367" spans="1:9">
      <c r="A367" s="153"/>
      <c r="B367" s="142" t="s">
        <v>46</v>
      </c>
      <c r="C367" s="142"/>
      <c r="E367" s="132"/>
      <c r="F367" s="154"/>
      <c r="G367" s="143" t="s">
        <v>498</v>
      </c>
      <c r="H367" s="155" t="s">
        <v>247</v>
      </c>
      <c r="I367" s="156"/>
    </row>
    <row r="368" spans="1:9">
      <c r="A368" s="153"/>
      <c r="B368" s="142" t="s">
        <v>46</v>
      </c>
      <c r="C368" s="142"/>
      <c r="E368" s="132"/>
      <c r="F368" s="154"/>
      <c r="G368" s="143" t="s">
        <v>499</v>
      </c>
      <c r="H368" s="155" t="s">
        <v>132</v>
      </c>
      <c r="I368" s="156"/>
    </row>
    <row r="369" spans="1:9">
      <c r="A369" s="153"/>
      <c r="B369" s="142" t="s">
        <v>46</v>
      </c>
      <c r="C369" s="142"/>
      <c r="E369" s="132"/>
      <c r="F369" s="154"/>
      <c r="G369" s="143" t="s">
        <v>500</v>
      </c>
      <c r="H369" s="155" t="s">
        <v>501</v>
      </c>
      <c r="I369" s="156"/>
    </row>
    <row r="370" spans="1:9">
      <c r="A370" s="153"/>
      <c r="B370" s="142" t="s">
        <v>46</v>
      </c>
      <c r="C370" s="142"/>
      <c r="E370" s="132"/>
      <c r="F370" s="154"/>
      <c r="G370" s="143" t="s">
        <v>502</v>
      </c>
      <c r="H370" s="155" t="s">
        <v>223</v>
      </c>
      <c r="I370" s="156"/>
    </row>
    <row r="371" spans="1:9">
      <c r="A371" s="153"/>
      <c r="B371" s="142" t="s">
        <v>46</v>
      </c>
      <c r="C371" s="142"/>
      <c r="E371" s="132"/>
      <c r="F371" s="154"/>
      <c r="G371" s="143" t="s">
        <v>503</v>
      </c>
      <c r="H371" s="155" t="s">
        <v>132</v>
      </c>
      <c r="I371" s="156"/>
    </row>
    <row r="372" spans="1:9">
      <c r="A372" s="153"/>
      <c r="B372" s="142" t="s">
        <v>46</v>
      </c>
      <c r="C372" s="142"/>
      <c r="E372" s="132"/>
      <c r="F372" s="154"/>
      <c r="G372" s="143" t="s">
        <v>504</v>
      </c>
      <c r="H372" s="155" t="s">
        <v>150</v>
      </c>
      <c r="I372" s="156"/>
    </row>
    <row r="373" spans="1:9">
      <c r="A373" s="153"/>
      <c r="B373" s="142" t="s">
        <v>46</v>
      </c>
      <c r="C373" s="142"/>
      <c r="E373" s="132"/>
      <c r="F373" s="154"/>
      <c r="G373" s="143" t="s">
        <v>505</v>
      </c>
      <c r="H373" s="155" t="s">
        <v>247</v>
      </c>
      <c r="I373" s="156"/>
    </row>
    <row r="374" spans="1:9">
      <c r="A374" s="153"/>
      <c r="B374" s="142" t="s">
        <v>46</v>
      </c>
      <c r="C374" s="142"/>
      <c r="E374" s="132"/>
      <c r="F374" s="154"/>
      <c r="G374" s="143" t="s">
        <v>506</v>
      </c>
      <c r="H374" s="155" t="s">
        <v>132</v>
      </c>
      <c r="I374" s="156"/>
    </row>
    <row r="375" spans="1:9">
      <c r="A375" s="153"/>
      <c r="B375" s="142" t="s">
        <v>46</v>
      </c>
      <c r="C375" s="142"/>
      <c r="E375" s="132"/>
      <c r="F375" s="154"/>
      <c r="G375" s="143" t="s">
        <v>507</v>
      </c>
      <c r="H375" s="155" t="s">
        <v>284</v>
      </c>
      <c r="I375" s="156"/>
    </row>
    <row r="376" spans="1:9">
      <c r="A376" s="153"/>
      <c r="B376" s="142" t="s">
        <v>46</v>
      </c>
      <c r="C376" s="142"/>
      <c r="E376" s="132"/>
      <c r="F376" s="154"/>
      <c r="G376" s="143" t="s">
        <v>508</v>
      </c>
      <c r="H376" s="155" t="s">
        <v>168</v>
      </c>
      <c r="I376" s="156"/>
    </row>
    <row r="377" spans="1:9">
      <c r="A377" s="153"/>
      <c r="B377" s="142" t="s">
        <v>46</v>
      </c>
      <c r="C377" s="142"/>
      <c r="E377" s="132"/>
      <c r="F377" s="154"/>
      <c r="G377" s="143" t="s">
        <v>509</v>
      </c>
      <c r="H377" s="155" t="s">
        <v>510</v>
      </c>
      <c r="I377" s="156"/>
    </row>
    <row r="378" spans="1:9">
      <c r="A378" s="153"/>
      <c r="B378" s="142" t="s">
        <v>46</v>
      </c>
      <c r="C378" s="142"/>
      <c r="E378" s="132"/>
      <c r="F378" s="154"/>
      <c r="G378" s="143" t="s">
        <v>511</v>
      </c>
      <c r="H378" s="155" t="s">
        <v>86</v>
      </c>
      <c r="I378" s="156"/>
    </row>
    <row r="379" spans="1:9">
      <c r="A379" s="153"/>
      <c r="B379" s="142" t="s">
        <v>46</v>
      </c>
      <c r="C379" s="142"/>
      <c r="E379" s="132"/>
      <c r="F379" s="154"/>
      <c r="G379" s="143" t="s">
        <v>512</v>
      </c>
      <c r="H379" s="155" t="s">
        <v>486</v>
      </c>
      <c r="I379" s="156"/>
    </row>
    <row r="380" spans="1:9">
      <c r="A380" s="153"/>
      <c r="B380" s="142" t="s">
        <v>46</v>
      </c>
      <c r="C380" s="142"/>
      <c r="E380" s="132"/>
      <c r="F380" s="154"/>
      <c r="G380" s="143" t="s">
        <v>513</v>
      </c>
      <c r="H380" s="155" t="s">
        <v>184</v>
      </c>
      <c r="I380" s="156"/>
    </row>
    <row r="381" spans="1:9">
      <c r="A381" s="153"/>
      <c r="B381" s="142" t="s">
        <v>46</v>
      </c>
      <c r="C381" s="142"/>
      <c r="E381" s="132"/>
      <c r="F381" s="154"/>
      <c r="G381" s="143" t="s">
        <v>514</v>
      </c>
      <c r="H381" s="155" t="s">
        <v>255</v>
      </c>
      <c r="I381" s="156"/>
    </row>
    <row r="382" spans="1:9">
      <c r="A382" s="153"/>
      <c r="B382" s="142" t="s">
        <v>46</v>
      </c>
      <c r="C382" s="142"/>
      <c r="E382" s="132"/>
      <c r="F382" s="154"/>
      <c r="G382" s="143" t="s">
        <v>515</v>
      </c>
      <c r="H382" s="155" t="s">
        <v>359</v>
      </c>
      <c r="I382" s="156"/>
    </row>
    <row r="383" spans="1:9">
      <c r="A383" s="153"/>
      <c r="B383" s="142" t="s">
        <v>46</v>
      </c>
      <c r="C383" s="142"/>
      <c r="E383" s="132"/>
      <c r="F383" s="154"/>
      <c r="G383" s="143" t="s">
        <v>516</v>
      </c>
      <c r="H383" s="155" t="s">
        <v>191</v>
      </c>
      <c r="I383" s="156"/>
    </row>
    <row r="384" spans="1:9">
      <c r="A384" s="153"/>
      <c r="B384" s="142" t="s">
        <v>46</v>
      </c>
      <c r="C384" s="142"/>
      <c r="E384" s="132"/>
      <c r="F384" s="154"/>
      <c r="G384" s="143" t="s">
        <v>517</v>
      </c>
      <c r="H384" s="155" t="s">
        <v>232</v>
      </c>
      <c r="I384" s="156"/>
    </row>
    <row r="385" spans="1:9">
      <c r="A385" s="153"/>
      <c r="B385" s="142" t="s">
        <v>46</v>
      </c>
      <c r="C385" s="142"/>
      <c r="E385" s="132"/>
      <c r="F385" s="154"/>
      <c r="G385" s="143" t="s">
        <v>518</v>
      </c>
      <c r="H385" s="155" t="s">
        <v>519</v>
      </c>
      <c r="I385" s="156"/>
    </row>
    <row r="386" spans="1:9">
      <c r="A386" s="153"/>
      <c r="B386" s="142" t="s">
        <v>46</v>
      </c>
      <c r="C386" s="142"/>
      <c r="E386" s="132"/>
      <c r="F386" s="154"/>
      <c r="G386" s="143" t="s">
        <v>520</v>
      </c>
      <c r="H386" s="155" t="s">
        <v>325</v>
      </c>
      <c r="I386" s="156"/>
    </row>
    <row r="387" spans="1:9">
      <c r="A387" s="153"/>
      <c r="B387" s="142" t="s">
        <v>46</v>
      </c>
      <c r="C387" s="142"/>
      <c r="E387" s="132"/>
      <c r="F387" s="154"/>
      <c r="G387" s="143" t="s">
        <v>521</v>
      </c>
      <c r="H387" s="155" t="s">
        <v>522</v>
      </c>
      <c r="I387" s="156"/>
    </row>
    <row r="388" spans="1:9">
      <c r="A388" s="153"/>
      <c r="B388" s="142" t="s">
        <v>46</v>
      </c>
      <c r="C388" s="142"/>
      <c r="E388" s="132"/>
      <c r="F388" s="154"/>
      <c r="G388" s="143" t="s">
        <v>523</v>
      </c>
      <c r="H388" s="155" t="s">
        <v>216</v>
      </c>
      <c r="I388" s="156"/>
    </row>
    <row r="389" spans="1:9">
      <c r="A389" s="153"/>
      <c r="B389" s="142" t="s">
        <v>46</v>
      </c>
      <c r="C389" s="142"/>
      <c r="E389" s="132"/>
      <c r="F389" s="154"/>
      <c r="G389" s="143" t="s">
        <v>524</v>
      </c>
      <c r="H389" s="155" t="s">
        <v>42</v>
      </c>
      <c r="I389" s="156"/>
    </row>
    <row r="390" spans="1:9">
      <c r="A390" s="153"/>
      <c r="B390" s="142" t="s">
        <v>46</v>
      </c>
      <c r="C390" s="142"/>
      <c r="E390" s="132"/>
      <c r="F390" s="154"/>
      <c r="G390" s="143" t="s">
        <v>525</v>
      </c>
      <c r="H390" s="155" t="s">
        <v>298</v>
      </c>
      <c r="I390" s="156"/>
    </row>
    <row r="391" spans="1:9">
      <c r="A391" s="153"/>
      <c r="B391" s="142" t="s">
        <v>46</v>
      </c>
      <c r="C391" s="142"/>
      <c r="E391" s="132"/>
      <c r="F391" s="154"/>
      <c r="G391" s="143" t="s">
        <v>526</v>
      </c>
      <c r="H391" s="155" t="s">
        <v>247</v>
      </c>
      <c r="I391" s="156"/>
    </row>
    <row r="392" spans="1:9">
      <c r="A392" s="153"/>
      <c r="B392" s="142" t="s">
        <v>46</v>
      </c>
      <c r="C392" s="142"/>
      <c r="E392" s="132"/>
      <c r="F392" s="154"/>
      <c r="G392" s="143" t="s">
        <v>527</v>
      </c>
      <c r="H392" s="155" t="s">
        <v>150</v>
      </c>
      <c r="I392" s="156"/>
    </row>
    <row r="393" spans="1:9">
      <c r="A393" s="153"/>
      <c r="B393" s="142" t="s">
        <v>46</v>
      </c>
      <c r="C393" s="142"/>
      <c r="E393" s="132"/>
      <c r="F393" s="154"/>
      <c r="G393" s="143" t="s">
        <v>528</v>
      </c>
      <c r="H393" s="155" t="s">
        <v>243</v>
      </c>
      <c r="I393" s="156"/>
    </row>
    <row r="394" spans="1:9">
      <c r="A394" s="153"/>
      <c r="B394" s="142" t="s">
        <v>46</v>
      </c>
      <c r="C394" s="142"/>
      <c r="E394" s="132"/>
      <c r="F394" s="154"/>
      <c r="G394" s="143" t="s">
        <v>529</v>
      </c>
      <c r="H394" s="155" t="s">
        <v>243</v>
      </c>
      <c r="I394" s="156"/>
    </row>
    <row r="395" spans="1:9">
      <c r="A395" s="153"/>
      <c r="B395" s="142" t="s">
        <v>46</v>
      </c>
      <c r="C395" s="142"/>
      <c r="E395" s="132"/>
      <c r="F395" s="154"/>
      <c r="G395" s="143" t="s">
        <v>530</v>
      </c>
      <c r="H395" s="155" t="s">
        <v>531</v>
      </c>
      <c r="I395" s="156"/>
    </row>
    <row r="396" spans="1:9">
      <c r="A396" s="153"/>
      <c r="B396" s="142" t="s">
        <v>46</v>
      </c>
      <c r="C396" s="142"/>
      <c r="E396" s="132"/>
      <c r="F396" s="154"/>
      <c r="G396" s="143" t="s">
        <v>532</v>
      </c>
      <c r="H396" s="155" t="s">
        <v>359</v>
      </c>
      <c r="I396" s="156"/>
    </row>
    <row r="397" spans="1:9">
      <c r="A397" s="153"/>
      <c r="B397" s="142" t="s">
        <v>46</v>
      </c>
      <c r="C397" s="142"/>
      <c r="E397" s="132"/>
      <c r="F397" s="154"/>
      <c r="G397" s="143" t="s">
        <v>533</v>
      </c>
      <c r="H397" s="155" t="s">
        <v>247</v>
      </c>
      <c r="I397" s="156"/>
    </row>
    <row r="398" spans="1:9">
      <c r="A398" s="153"/>
      <c r="B398" s="142" t="s">
        <v>46</v>
      </c>
      <c r="C398" s="142"/>
      <c r="E398" s="132"/>
      <c r="F398" s="154"/>
      <c r="G398" s="143" t="s">
        <v>534</v>
      </c>
      <c r="H398" s="155" t="s">
        <v>286</v>
      </c>
      <c r="I398" s="156"/>
    </row>
    <row r="399" spans="1:9">
      <c r="A399" s="153"/>
      <c r="B399" s="142" t="s">
        <v>46</v>
      </c>
      <c r="C399" s="142"/>
      <c r="E399" s="132"/>
      <c r="F399" s="154"/>
      <c r="G399" s="143" t="s">
        <v>535</v>
      </c>
      <c r="H399" s="155" t="s">
        <v>338</v>
      </c>
      <c r="I399" s="156"/>
    </row>
    <row r="400" spans="1:9">
      <c r="A400" s="153"/>
      <c r="B400" s="142" t="s">
        <v>46</v>
      </c>
      <c r="C400" s="142"/>
      <c r="E400" s="132"/>
      <c r="F400" s="154"/>
      <c r="G400" s="143" t="s">
        <v>536</v>
      </c>
      <c r="H400" s="155" t="s">
        <v>181</v>
      </c>
      <c r="I400" s="156"/>
    </row>
    <row r="401" spans="1:9">
      <c r="A401" s="153"/>
      <c r="B401" s="142" t="s">
        <v>46</v>
      </c>
      <c r="C401" s="142"/>
      <c r="E401" s="132"/>
      <c r="F401" s="154"/>
      <c r="G401" s="143" t="s">
        <v>537</v>
      </c>
      <c r="H401" s="155" t="s">
        <v>113</v>
      </c>
      <c r="I401" s="156"/>
    </row>
    <row r="402" spans="1:9">
      <c r="A402" s="153"/>
      <c r="B402" s="142" t="s">
        <v>46</v>
      </c>
      <c r="C402" s="142"/>
      <c r="E402" s="132"/>
      <c r="F402" s="154"/>
      <c r="G402" s="143" t="s">
        <v>538</v>
      </c>
      <c r="H402" s="155" t="s">
        <v>67</v>
      </c>
      <c r="I402" s="156"/>
    </row>
    <row r="403" spans="1:9">
      <c r="A403" s="153"/>
      <c r="B403" s="142" t="s">
        <v>46</v>
      </c>
      <c r="C403" s="142"/>
      <c r="E403" s="132"/>
      <c r="F403" s="154"/>
      <c r="G403" s="143" t="s">
        <v>539</v>
      </c>
      <c r="H403" s="155" t="s">
        <v>284</v>
      </c>
      <c r="I403" s="156"/>
    </row>
    <row r="404" spans="1:9">
      <c r="A404" s="153"/>
      <c r="B404" s="142" t="s">
        <v>46</v>
      </c>
      <c r="C404" s="142"/>
      <c r="E404" s="132"/>
      <c r="F404" s="154"/>
      <c r="G404" s="143" t="s">
        <v>540</v>
      </c>
      <c r="H404" s="155" t="s">
        <v>232</v>
      </c>
      <c r="I404" s="156"/>
    </row>
    <row r="405" spans="1:9">
      <c r="A405" s="153"/>
      <c r="B405" s="142" t="s">
        <v>46</v>
      </c>
      <c r="C405" s="142"/>
      <c r="E405" s="132"/>
      <c r="F405" s="154"/>
      <c r="G405" s="143" t="s">
        <v>541</v>
      </c>
      <c r="H405" s="155" t="s">
        <v>542</v>
      </c>
      <c r="I405" s="156"/>
    </row>
    <row r="406" spans="1:9">
      <c r="A406" s="153"/>
      <c r="B406" s="142" t="s">
        <v>46</v>
      </c>
      <c r="C406" s="142"/>
      <c r="E406" s="132"/>
      <c r="F406" s="154"/>
      <c r="G406" s="143" t="s">
        <v>543</v>
      </c>
      <c r="H406" s="155" t="s">
        <v>184</v>
      </c>
      <c r="I406" s="156"/>
    </row>
    <row r="407" spans="1:9">
      <c r="A407" s="153"/>
      <c r="B407" s="142" t="s">
        <v>46</v>
      </c>
      <c r="C407" s="142"/>
      <c r="E407" s="132"/>
      <c r="F407" s="154"/>
      <c r="G407" s="143" t="s">
        <v>544</v>
      </c>
      <c r="H407" s="155" t="s">
        <v>186</v>
      </c>
      <c r="I407" s="156"/>
    </row>
    <row r="408" spans="1:9">
      <c r="A408" s="153"/>
      <c r="B408" s="142" t="s">
        <v>46</v>
      </c>
      <c r="C408" s="142"/>
      <c r="E408" s="132"/>
      <c r="F408" s="154"/>
      <c r="G408" s="143" t="s">
        <v>545</v>
      </c>
      <c r="H408" s="155" t="s">
        <v>342</v>
      </c>
      <c r="I408" s="156"/>
    </row>
    <row r="409" spans="1:9">
      <c r="A409" s="153"/>
      <c r="B409" s="142" t="s">
        <v>46</v>
      </c>
      <c r="C409" s="142"/>
      <c r="E409" s="132"/>
      <c r="F409" s="154"/>
      <c r="G409" s="143" t="s">
        <v>546</v>
      </c>
      <c r="H409" s="155" t="s">
        <v>150</v>
      </c>
      <c r="I409" s="156"/>
    </row>
    <row r="410" spans="1:9">
      <c r="A410" s="153"/>
      <c r="B410" s="142" t="s">
        <v>46</v>
      </c>
      <c r="C410" s="142"/>
      <c r="E410" s="132"/>
      <c r="F410" s="154"/>
      <c r="G410" s="143" t="s">
        <v>547</v>
      </c>
      <c r="H410" s="155" t="s">
        <v>168</v>
      </c>
      <c r="I410" s="156"/>
    </row>
    <row r="411" spans="1:9">
      <c r="A411" s="153"/>
      <c r="B411" s="142" t="s">
        <v>46</v>
      </c>
      <c r="C411" s="142"/>
      <c r="E411" s="132"/>
      <c r="F411" s="154"/>
      <c r="G411" s="143" t="s">
        <v>548</v>
      </c>
      <c r="H411" s="155" t="s">
        <v>510</v>
      </c>
      <c r="I411" s="156"/>
    </row>
    <row r="412" spans="1:9">
      <c r="A412" s="153"/>
      <c r="B412" s="142" t="s">
        <v>46</v>
      </c>
      <c r="C412" s="142"/>
      <c r="E412" s="132"/>
      <c r="F412" s="154"/>
      <c r="G412" s="143" t="s">
        <v>549</v>
      </c>
      <c r="H412" s="155" t="s">
        <v>86</v>
      </c>
      <c r="I412" s="156"/>
    </row>
    <row r="413" spans="1:9">
      <c r="A413" s="153"/>
      <c r="B413" s="142" t="s">
        <v>46</v>
      </c>
      <c r="C413" s="142"/>
      <c r="E413" s="132"/>
      <c r="F413" s="154"/>
      <c r="G413" s="143" t="s">
        <v>550</v>
      </c>
      <c r="H413" s="155" t="s">
        <v>551</v>
      </c>
      <c r="I413" s="156"/>
    </row>
    <row r="414" spans="1:9">
      <c r="A414" s="153"/>
      <c r="B414" s="142" t="s">
        <v>46</v>
      </c>
      <c r="C414" s="142"/>
      <c r="E414" s="132"/>
      <c r="F414" s="154"/>
      <c r="G414" s="143" t="s">
        <v>552</v>
      </c>
      <c r="H414" s="155" t="s">
        <v>195</v>
      </c>
      <c r="I414" s="156"/>
    </row>
    <row r="415" spans="1:9">
      <c r="A415" s="153"/>
      <c r="B415" s="142" t="s">
        <v>46</v>
      </c>
      <c r="C415" s="142"/>
      <c r="E415" s="132"/>
      <c r="F415" s="154"/>
      <c r="G415" s="143" t="s">
        <v>553</v>
      </c>
      <c r="H415" s="155" t="s">
        <v>271</v>
      </c>
      <c r="I415" s="156"/>
    </row>
    <row r="416" spans="1:9">
      <c r="A416" s="153"/>
      <c r="B416" s="142" t="s">
        <v>46</v>
      </c>
      <c r="C416" s="142"/>
      <c r="E416" s="132"/>
      <c r="F416" s="154"/>
      <c r="G416" s="143" t="s">
        <v>554</v>
      </c>
      <c r="H416" s="155" t="s">
        <v>67</v>
      </c>
      <c r="I416" s="156"/>
    </row>
    <row r="417" spans="1:9">
      <c r="A417" s="153"/>
      <c r="B417" s="142" t="s">
        <v>46</v>
      </c>
      <c r="C417" s="142"/>
      <c r="E417" s="132"/>
      <c r="F417" s="154"/>
      <c r="G417" s="143" t="s">
        <v>555</v>
      </c>
      <c r="H417" s="155" t="s">
        <v>284</v>
      </c>
      <c r="I417" s="156"/>
    </row>
    <row r="418" spans="1:9">
      <c r="A418" s="153"/>
      <c r="B418" s="142" t="s">
        <v>46</v>
      </c>
      <c r="C418" s="142"/>
      <c r="E418" s="132"/>
      <c r="F418" s="154"/>
      <c r="G418" s="143" t="s">
        <v>556</v>
      </c>
      <c r="H418" s="155" t="s">
        <v>232</v>
      </c>
      <c r="I418" s="156"/>
    </row>
    <row r="419" spans="1:9">
      <c r="A419" s="153"/>
      <c r="B419" s="142" t="s">
        <v>46</v>
      </c>
      <c r="C419" s="142"/>
      <c r="E419" s="132"/>
      <c r="F419" s="154"/>
      <c r="G419" s="143" t="s">
        <v>557</v>
      </c>
      <c r="H419" s="155" t="s">
        <v>558</v>
      </c>
      <c r="I419" s="156"/>
    </row>
    <row r="420" spans="1:9">
      <c r="A420" s="153"/>
      <c r="B420" s="142" t="s">
        <v>46</v>
      </c>
      <c r="C420" s="142"/>
      <c r="E420" s="132"/>
      <c r="F420" s="154"/>
      <c r="G420" s="143" t="s">
        <v>559</v>
      </c>
      <c r="H420" s="155" t="s">
        <v>184</v>
      </c>
      <c r="I420" s="156"/>
    </row>
    <row r="421" spans="1:9">
      <c r="A421" s="153"/>
      <c r="B421" s="142" t="s">
        <v>46</v>
      </c>
      <c r="C421" s="142"/>
      <c r="E421" s="132"/>
      <c r="F421" s="154"/>
      <c r="G421" s="143" t="s">
        <v>560</v>
      </c>
      <c r="H421" s="155" t="s">
        <v>186</v>
      </c>
      <c r="I421" s="156"/>
    </row>
    <row r="422" spans="1:9">
      <c r="A422" s="153"/>
      <c r="B422" s="142" t="s">
        <v>46</v>
      </c>
      <c r="C422" s="142"/>
      <c r="E422" s="132"/>
      <c r="F422" s="154"/>
      <c r="G422" s="143" t="s">
        <v>561</v>
      </c>
      <c r="H422" s="155" t="s">
        <v>206</v>
      </c>
      <c r="I422" s="156"/>
    </row>
    <row r="423" spans="1:9">
      <c r="A423" s="153"/>
      <c r="B423" s="142" t="s">
        <v>46</v>
      </c>
      <c r="C423" s="142"/>
      <c r="E423" s="132"/>
      <c r="F423" s="154"/>
      <c r="G423" s="143" t="s">
        <v>562</v>
      </c>
      <c r="H423" s="155" t="s">
        <v>195</v>
      </c>
      <c r="I423" s="156"/>
    </row>
    <row r="424" spans="1:9">
      <c r="A424" s="153"/>
      <c r="B424" s="142" t="s">
        <v>46</v>
      </c>
      <c r="C424" s="142"/>
      <c r="E424" s="132"/>
      <c r="F424" s="154"/>
      <c r="G424" s="143" t="s">
        <v>563</v>
      </c>
      <c r="H424" s="155" t="s">
        <v>542</v>
      </c>
      <c r="I424" s="156"/>
    </row>
    <row r="425" spans="1:9">
      <c r="A425" s="153"/>
      <c r="B425" s="142" t="s">
        <v>46</v>
      </c>
      <c r="C425" s="142"/>
      <c r="E425" s="132"/>
      <c r="F425" s="154"/>
      <c r="G425" s="143" t="s">
        <v>564</v>
      </c>
      <c r="H425" s="155" t="s">
        <v>247</v>
      </c>
      <c r="I425" s="156"/>
    </row>
    <row r="426" spans="1:9">
      <c r="A426" s="153"/>
      <c r="B426" s="142" t="s">
        <v>46</v>
      </c>
      <c r="C426" s="142"/>
      <c r="E426" s="132"/>
      <c r="F426" s="154"/>
      <c r="G426" s="143" t="s">
        <v>565</v>
      </c>
      <c r="H426" s="155" t="s">
        <v>132</v>
      </c>
      <c r="I426" s="156"/>
    </row>
    <row r="427" spans="1:9">
      <c r="A427" s="153"/>
      <c r="B427" s="142" t="s">
        <v>46</v>
      </c>
      <c r="C427" s="142"/>
      <c r="E427" s="132"/>
      <c r="F427" s="154"/>
      <c r="G427" s="143" t="s">
        <v>566</v>
      </c>
      <c r="H427" s="155" t="s">
        <v>567</v>
      </c>
      <c r="I427" s="156"/>
    </row>
    <row r="428" spans="1:9">
      <c r="A428" s="153"/>
      <c r="B428" s="142" t="s">
        <v>46</v>
      </c>
      <c r="C428" s="142"/>
      <c r="E428" s="132"/>
      <c r="F428" s="154"/>
      <c r="G428" s="143" t="s">
        <v>568</v>
      </c>
      <c r="H428" s="155" t="s">
        <v>195</v>
      </c>
      <c r="I428" s="156"/>
    </row>
    <row r="429" spans="1:9">
      <c r="A429" s="153"/>
      <c r="B429" s="142" t="s">
        <v>46</v>
      </c>
      <c r="C429" s="142"/>
      <c r="E429" s="132"/>
      <c r="F429" s="154"/>
      <c r="G429" s="143" t="s">
        <v>569</v>
      </c>
      <c r="H429" s="155" t="s">
        <v>193</v>
      </c>
      <c r="I429" s="156"/>
    </row>
    <row r="430" spans="1:9">
      <c r="A430" s="153"/>
      <c r="B430" s="142" t="s">
        <v>46</v>
      </c>
      <c r="C430" s="142"/>
      <c r="E430" s="132"/>
      <c r="F430" s="154"/>
      <c r="G430" s="143" t="s">
        <v>570</v>
      </c>
      <c r="H430" s="155" t="s">
        <v>67</v>
      </c>
      <c r="I430" s="156"/>
    </row>
    <row r="431" spans="1:9">
      <c r="A431" s="153"/>
      <c r="B431" s="142" t="s">
        <v>46</v>
      </c>
      <c r="C431" s="142"/>
      <c r="E431" s="132"/>
      <c r="F431" s="154"/>
      <c r="G431" s="143" t="s">
        <v>571</v>
      </c>
      <c r="H431" s="155" t="s">
        <v>284</v>
      </c>
      <c r="I431" s="156"/>
    </row>
    <row r="432" spans="1:9">
      <c r="A432" s="153"/>
      <c r="B432" s="142" t="s">
        <v>46</v>
      </c>
      <c r="C432" s="142"/>
      <c r="E432" s="132"/>
      <c r="F432" s="154"/>
      <c r="G432" s="143" t="s">
        <v>572</v>
      </c>
      <c r="H432" s="155" t="s">
        <v>232</v>
      </c>
      <c r="I432" s="156"/>
    </row>
    <row r="433" spans="1:9">
      <c r="A433" s="153"/>
      <c r="B433" s="142" t="s">
        <v>46</v>
      </c>
      <c r="C433" s="142"/>
      <c r="E433" s="132"/>
      <c r="F433" s="154"/>
      <c r="G433" s="143" t="s">
        <v>573</v>
      </c>
      <c r="H433" s="155" t="s">
        <v>155</v>
      </c>
      <c r="I433" s="156"/>
    </row>
    <row r="434" spans="1:9">
      <c r="A434" s="153"/>
      <c r="B434" s="142" t="s">
        <v>46</v>
      </c>
      <c r="C434" s="142"/>
      <c r="E434" s="132"/>
      <c r="F434" s="154"/>
      <c r="G434" s="143" t="s">
        <v>574</v>
      </c>
      <c r="H434" s="155" t="s">
        <v>67</v>
      </c>
      <c r="I434" s="156"/>
    </row>
    <row r="435" spans="1:9">
      <c r="A435" s="153"/>
      <c r="B435" s="142" t="s">
        <v>46</v>
      </c>
      <c r="C435" s="142"/>
      <c r="E435" s="132"/>
      <c r="F435" s="154"/>
      <c r="G435" s="143" t="s">
        <v>575</v>
      </c>
      <c r="H435" s="155" t="s">
        <v>284</v>
      </c>
      <c r="I435" s="156"/>
    </row>
    <row r="436" spans="1:9">
      <c r="A436" s="153"/>
      <c r="B436" s="142" t="s">
        <v>46</v>
      </c>
      <c r="C436" s="142"/>
      <c r="E436" s="132"/>
      <c r="F436" s="154"/>
      <c r="G436" s="143" t="s">
        <v>576</v>
      </c>
      <c r="H436" s="155" t="s">
        <v>232</v>
      </c>
      <c r="I436" s="156"/>
    </row>
    <row r="437" spans="1:9">
      <c r="A437" s="153"/>
      <c r="B437" s="142" t="s">
        <v>46</v>
      </c>
      <c r="C437" s="142"/>
      <c r="E437" s="132"/>
      <c r="F437" s="154"/>
      <c r="G437" s="143" t="s">
        <v>577</v>
      </c>
      <c r="H437" s="155" t="s">
        <v>147</v>
      </c>
      <c r="I437" s="156"/>
    </row>
    <row r="438" spans="1:9">
      <c r="A438" s="153"/>
      <c r="B438" s="142" t="s">
        <v>46</v>
      </c>
      <c r="C438" s="142"/>
      <c r="E438" s="132"/>
      <c r="F438" s="154"/>
      <c r="G438" s="143" t="s">
        <v>578</v>
      </c>
      <c r="H438" s="155" t="s">
        <v>197</v>
      </c>
      <c r="I438" s="156"/>
    </row>
    <row r="439" spans="1:9">
      <c r="A439" s="153"/>
      <c r="B439" s="142" t="s">
        <v>46</v>
      </c>
      <c r="C439" s="142"/>
      <c r="E439" s="132"/>
      <c r="F439" s="154"/>
      <c r="G439" s="143" t="s">
        <v>579</v>
      </c>
      <c r="H439" s="155" t="s">
        <v>142</v>
      </c>
      <c r="I439" s="156"/>
    </row>
    <row r="440" spans="1:9">
      <c r="A440" s="153"/>
      <c r="B440" s="142" t="s">
        <v>46</v>
      </c>
      <c r="C440" s="142"/>
      <c r="E440" s="132"/>
      <c r="F440" s="154"/>
      <c r="G440" s="143" t="s">
        <v>580</v>
      </c>
      <c r="H440" s="155" t="s">
        <v>197</v>
      </c>
      <c r="I440" s="156"/>
    </row>
    <row r="441" spans="1:9">
      <c r="A441" s="153"/>
      <c r="B441" s="142" t="s">
        <v>46</v>
      </c>
      <c r="C441" s="142"/>
      <c r="E441" s="132"/>
      <c r="F441" s="154"/>
      <c r="G441" s="143" t="s">
        <v>581</v>
      </c>
      <c r="H441" s="155" t="s">
        <v>139</v>
      </c>
      <c r="I441" s="156"/>
    </row>
    <row r="442" spans="1:9">
      <c r="A442" s="153"/>
      <c r="B442" s="142" t="s">
        <v>46</v>
      </c>
      <c r="C442" s="142"/>
      <c r="E442" s="132"/>
      <c r="F442" s="154"/>
      <c r="G442" s="143" t="s">
        <v>582</v>
      </c>
      <c r="H442" s="155" t="s">
        <v>197</v>
      </c>
      <c r="I442" s="156"/>
    </row>
    <row r="443" spans="1:9">
      <c r="A443" s="153"/>
      <c r="B443" s="142" t="s">
        <v>46</v>
      </c>
      <c r="C443" s="142"/>
      <c r="E443" s="132"/>
      <c r="F443" s="154"/>
      <c r="G443" s="143" t="s">
        <v>583</v>
      </c>
      <c r="H443" s="155" t="s">
        <v>136</v>
      </c>
      <c r="I443" s="156"/>
    </row>
    <row r="444" spans="1:9">
      <c r="A444" s="153"/>
      <c r="B444" s="142" t="s">
        <v>46</v>
      </c>
      <c r="C444" s="142"/>
      <c r="E444" s="132"/>
      <c r="F444" s="154"/>
      <c r="G444" s="143" t="s">
        <v>584</v>
      </c>
      <c r="H444" s="155" t="s">
        <v>204</v>
      </c>
      <c r="I444" s="156"/>
    </row>
    <row r="445" spans="1:9">
      <c r="A445" s="153"/>
      <c r="B445" s="142" t="s">
        <v>46</v>
      </c>
      <c r="C445" s="142"/>
      <c r="E445" s="132"/>
      <c r="F445" s="154"/>
      <c r="G445" s="143" t="s">
        <v>585</v>
      </c>
      <c r="H445" s="155" t="s">
        <v>206</v>
      </c>
      <c r="I445" s="156"/>
    </row>
    <row r="446" spans="1:9">
      <c r="A446" s="153"/>
      <c r="B446" s="142" t="s">
        <v>46</v>
      </c>
      <c r="C446" s="142"/>
      <c r="E446" s="132"/>
      <c r="F446" s="154"/>
      <c r="G446" s="143" t="s">
        <v>586</v>
      </c>
      <c r="H446" s="144" t="s">
        <v>46</v>
      </c>
      <c r="I446" s="156"/>
    </row>
    <row r="447" spans="1:9">
      <c r="A447" s="153"/>
      <c r="B447" s="142" t="s">
        <v>46</v>
      </c>
      <c r="C447" s="142"/>
      <c r="E447" s="132"/>
      <c r="F447" s="154"/>
      <c r="G447" s="143" t="s">
        <v>587</v>
      </c>
      <c r="H447" s="155" t="s">
        <v>63</v>
      </c>
      <c r="I447" s="156"/>
    </row>
    <row r="448" spans="1:9">
      <c r="A448" s="153"/>
      <c r="B448" s="142" t="s">
        <v>46</v>
      </c>
      <c r="C448" s="142"/>
      <c r="E448" s="132"/>
      <c r="F448" s="154"/>
      <c r="G448" s="143" t="s">
        <v>588</v>
      </c>
      <c r="H448" s="155" t="s">
        <v>589</v>
      </c>
      <c r="I448" s="156"/>
    </row>
    <row r="449" spans="1:9">
      <c r="A449" s="153"/>
      <c r="B449" s="142" t="s">
        <v>46</v>
      </c>
      <c r="C449" s="142"/>
      <c r="E449" s="132"/>
      <c r="F449" s="154"/>
      <c r="G449" s="143" t="s">
        <v>590</v>
      </c>
      <c r="H449" s="155" t="s">
        <v>591</v>
      </c>
      <c r="I449" s="156"/>
    </row>
    <row r="450" spans="1:9">
      <c r="A450" s="153"/>
      <c r="B450" s="142" t="s">
        <v>46</v>
      </c>
      <c r="C450" s="142"/>
      <c r="E450" s="132"/>
      <c r="F450" s="154"/>
      <c r="G450" s="143" t="s">
        <v>592</v>
      </c>
      <c r="H450" s="155" t="s">
        <v>63</v>
      </c>
      <c r="I450" s="156"/>
    </row>
    <row r="451" spans="1:9">
      <c r="A451" s="148"/>
      <c r="B451" s="148"/>
      <c r="C451" s="148"/>
      <c r="E451" s="132"/>
      <c r="F451" s="154"/>
      <c r="G451" s="143"/>
      <c r="H451" s="157"/>
      <c r="I451" s="151"/>
    </row>
    <row r="452" spans="1:9">
      <c r="A452" s="147"/>
      <c r="B452" s="148"/>
      <c r="C452" s="148"/>
      <c r="E452" s="132"/>
      <c r="F452" s="154"/>
      <c r="G452" s="143"/>
      <c r="H452" s="157"/>
      <c r="I452" s="151"/>
    </row>
    <row r="453" spans="1:9">
      <c r="A453" s="147"/>
      <c r="B453" s="148"/>
      <c r="C453" s="148"/>
      <c r="D453" s="131"/>
      <c r="E453" s="132"/>
      <c r="F453" s="133" t="s">
        <v>593</v>
      </c>
      <c r="G453" s="134"/>
      <c r="H453" s="135"/>
      <c r="I453" s="150"/>
    </row>
    <row r="454" spans="1:9">
      <c r="A454" s="136" t="s">
        <v>36</v>
      </c>
      <c r="B454" s="137" t="s">
        <v>37</v>
      </c>
      <c r="C454" s="137" t="s">
        <v>38</v>
      </c>
      <c r="D454" s="152"/>
      <c r="E454" s="132"/>
      <c r="F454" s="138"/>
      <c r="G454" s="139" t="s">
        <v>39</v>
      </c>
      <c r="H454" s="140" t="s">
        <v>40</v>
      </c>
    </row>
    <row r="455" spans="1:9">
      <c r="A455" s="153"/>
      <c r="B455" s="142" t="s">
        <v>46</v>
      </c>
      <c r="C455" s="142"/>
      <c r="D455" s="152"/>
      <c r="E455" s="132"/>
      <c r="F455" s="154"/>
      <c r="G455" s="143" t="s">
        <v>594</v>
      </c>
      <c r="H455" s="144" t="s">
        <v>46</v>
      </c>
      <c r="I455" s="145"/>
    </row>
    <row r="456" spans="1:9">
      <c r="A456" s="147"/>
      <c r="B456" s="148"/>
      <c r="C456" s="148"/>
      <c r="D456" s="131"/>
      <c r="E456" s="132"/>
      <c r="F456" s="138"/>
      <c r="G456" s="149"/>
      <c r="H456" s="144"/>
      <c r="I456" s="150"/>
    </row>
    <row r="457" spans="1:9">
      <c r="A457" s="147"/>
      <c r="B457" s="148"/>
      <c r="C457" s="148"/>
      <c r="D457" s="131"/>
      <c r="E457" s="132"/>
      <c r="F457" s="158"/>
      <c r="G457" s="149"/>
      <c r="H457" s="144"/>
      <c r="I457" s="150"/>
    </row>
    <row r="458" spans="1:9">
      <c r="A458" s="147"/>
      <c r="B458" s="148"/>
      <c r="C458" s="148"/>
      <c r="D458" s="131"/>
      <c r="E458" s="132"/>
      <c r="F458" s="133" t="s">
        <v>595</v>
      </c>
      <c r="G458" s="134"/>
      <c r="H458" s="135"/>
      <c r="I458" s="150"/>
    </row>
    <row r="459" spans="1:9">
      <c r="A459" s="136" t="s">
        <v>36</v>
      </c>
      <c r="B459" s="137" t="s">
        <v>37</v>
      </c>
      <c r="C459" s="137" t="s">
        <v>38</v>
      </c>
      <c r="D459" s="152"/>
      <c r="E459" s="132"/>
      <c r="F459" s="138"/>
      <c r="G459" s="139" t="s">
        <v>39</v>
      </c>
      <c r="H459" s="140" t="s">
        <v>40</v>
      </c>
    </row>
    <row r="460" spans="1:9">
      <c r="A460" s="141" t="s">
        <v>596</v>
      </c>
      <c r="B460" s="142" t="s">
        <v>46</v>
      </c>
      <c r="C460" s="142" t="s">
        <v>597</v>
      </c>
      <c r="D460" s="152"/>
      <c r="E460" s="132"/>
      <c r="F460" s="154"/>
      <c r="G460" s="143" t="s">
        <v>598</v>
      </c>
      <c r="H460" s="155" t="s">
        <v>232</v>
      </c>
      <c r="I460" s="145"/>
    </row>
    <row r="461" spans="1:9">
      <c r="A461" s="141" t="s">
        <v>599</v>
      </c>
      <c r="B461" s="142" t="s">
        <v>46</v>
      </c>
      <c r="C461" s="142" t="s">
        <v>597</v>
      </c>
      <c r="D461" s="152"/>
      <c r="E461" s="132"/>
      <c r="F461" s="154"/>
      <c r="G461" s="143" t="s">
        <v>600</v>
      </c>
      <c r="H461" s="155" t="s">
        <v>243</v>
      </c>
      <c r="I461" s="145"/>
    </row>
    <row r="462" spans="1:9">
      <c r="A462" s="147"/>
      <c r="B462" s="148"/>
      <c r="C462" s="148"/>
      <c r="D462" s="131"/>
      <c r="E462" s="132"/>
      <c r="F462" s="138"/>
      <c r="G462" s="149"/>
      <c r="H462" s="144"/>
      <c r="I462" s="150"/>
    </row>
    <row r="463" spans="1:9">
      <c r="A463" s="147"/>
      <c r="B463" s="148"/>
      <c r="C463" s="148"/>
      <c r="D463" s="131"/>
      <c r="E463" s="132"/>
      <c r="F463" s="158"/>
      <c r="G463" s="149"/>
      <c r="H463" s="144"/>
      <c r="I463" s="150"/>
    </row>
    <row r="464" spans="1:9">
      <c r="A464" s="147"/>
      <c r="B464" s="148"/>
      <c r="C464" s="148"/>
      <c r="D464" s="131"/>
      <c r="E464" s="132"/>
      <c r="F464" s="133" t="s">
        <v>601</v>
      </c>
      <c r="G464" s="134"/>
      <c r="H464" s="135"/>
      <c r="I464" s="150"/>
    </row>
    <row r="465" spans="1:9">
      <c r="A465" s="136" t="s">
        <v>36</v>
      </c>
      <c r="B465" s="137" t="s">
        <v>37</v>
      </c>
      <c r="C465" s="137" t="s">
        <v>38</v>
      </c>
      <c r="D465" s="152"/>
      <c r="E465" s="132"/>
      <c r="F465" s="138"/>
      <c r="G465" s="139" t="s">
        <v>39</v>
      </c>
      <c r="H465" s="140" t="s">
        <v>40</v>
      </c>
    </row>
    <row r="466" spans="1:9">
      <c r="A466" s="141" t="s">
        <v>602</v>
      </c>
      <c r="B466" s="142" t="s">
        <v>61</v>
      </c>
      <c r="C466" s="142"/>
      <c r="D466" s="152"/>
      <c r="E466" s="132"/>
      <c r="F466" s="154"/>
      <c r="G466" s="143" t="s">
        <v>603</v>
      </c>
      <c r="H466" s="144" t="s">
        <v>61</v>
      </c>
      <c r="I466" s="145"/>
    </row>
    <row r="467" spans="1:9">
      <c r="A467" s="147"/>
      <c r="B467" s="148"/>
      <c r="C467" s="148"/>
      <c r="D467" s="131"/>
      <c r="E467" s="132"/>
      <c r="F467" s="138"/>
      <c r="G467" s="149"/>
      <c r="H467" s="144"/>
      <c r="I467" s="150"/>
    </row>
    <row r="468" spans="1:9">
      <c r="A468" s="147"/>
      <c r="B468" s="148"/>
      <c r="C468" s="148"/>
      <c r="D468" s="131"/>
      <c r="E468" s="132"/>
      <c r="F468" s="158"/>
      <c r="G468" s="149"/>
      <c r="H468" s="144"/>
      <c r="I468" s="150"/>
    </row>
    <row r="469" spans="1:9">
      <c r="A469" s="159"/>
      <c r="B469" s="148"/>
      <c r="C469" s="159"/>
      <c r="D469" s="160"/>
      <c r="E469" s="130"/>
      <c r="F469" s="138" t="s">
        <v>604</v>
      </c>
      <c r="G469" s="161"/>
      <c r="H469" s="162"/>
      <c r="I469" s="109"/>
    </row>
    <row r="470" spans="1:9">
      <c r="A470" s="136" t="s">
        <v>36</v>
      </c>
      <c r="B470" s="137" t="s">
        <v>37</v>
      </c>
      <c r="C470" s="137" t="s">
        <v>38</v>
      </c>
      <c r="D470" s="160"/>
      <c r="E470" s="130"/>
      <c r="F470" s="138"/>
      <c r="G470" s="139" t="s">
        <v>39</v>
      </c>
      <c r="H470" s="140" t="s">
        <v>40</v>
      </c>
      <c r="I470" s="109"/>
    </row>
    <row r="471" s="105" customFormat="1" spans="1:9">
      <c r="A471" s="141" t="s">
        <v>605</v>
      </c>
      <c r="B471" s="142" t="s">
        <v>46</v>
      </c>
      <c r="C471" s="142" t="s">
        <v>606</v>
      </c>
      <c r="D471" s="160"/>
      <c r="E471" s="130"/>
      <c r="F471" s="138"/>
      <c r="G471" s="163" t="s">
        <v>607</v>
      </c>
      <c r="H471" s="164" t="s">
        <v>61</v>
      </c>
    </row>
    <row r="472" s="105" customFormat="1" spans="1:9">
      <c r="A472" s="165"/>
      <c r="B472" s="166"/>
      <c r="C472" s="166"/>
      <c r="D472" s="160"/>
      <c r="E472" s="130"/>
      <c r="F472" s="138"/>
      <c r="G472" s="149"/>
      <c r="H472" s="167"/>
    </row>
    <row r="473" s="105" customFormat="1" spans="1:9">
      <c r="A473" s="166"/>
      <c r="B473" s="166"/>
      <c r="C473" s="166"/>
      <c r="D473" s="160"/>
      <c r="E473" s="130"/>
      <c r="F473" s="158"/>
      <c r="G473" s="149"/>
      <c r="H473" s="167"/>
      <c r="I473" s="168"/>
    </row>
    <row r="474" spans="1:9">
      <c r="A474" s="147"/>
      <c r="B474" s="148"/>
      <c r="C474" s="148"/>
      <c r="D474" s="147"/>
      <c r="E474" s="132"/>
      <c r="F474" s="133" t="s">
        <v>608</v>
      </c>
      <c r="G474" s="134"/>
      <c r="H474" s="135"/>
      <c r="I474" s="150"/>
    </row>
    <row r="475" spans="1:9">
      <c r="A475" s="136" t="s">
        <v>36</v>
      </c>
      <c r="B475" s="137" t="s">
        <v>37</v>
      </c>
      <c r="C475" s="137" t="s">
        <v>38</v>
      </c>
      <c r="E475" s="132"/>
      <c r="F475" s="138"/>
      <c r="G475" s="139" t="s">
        <v>39</v>
      </c>
      <c r="H475" s="140" t="s">
        <v>40</v>
      </c>
      <c r="I475" s="150"/>
    </row>
    <row r="476" s="106" customFormat="1" spans="1:9">
      <c r="A476" s="169"/>
      <c r="B476" s="170" t="s">
        <v>46</v>
      </c>
      <c r="C476" s="170" t="s">
        <v>597</v>
      </c>
      <c r="E476" s="171"/>
      <c r="F476" s="172"/>
      <c r="G476" s="173" t="s">
        <v>609</v>
      </c>
      <c r="H476" s="174" t="s">
        <v>86</v>
      </c>
      <c r="I476" s="175"/>
    </row>
    <row r="477" s="106" customFormat="1" spans="1:9">
      <c r="A477" s="169"/>
      <c r="B477" s="170" t="s">
        <v>268</v>
      </c>
      <c r="C477" s="170" t="s">
        <v>597</v>
      </c>
      <c r="E477" s="171"/>
      <c r="F477" s="172"/>
      <c r="G477" s="173" t="s">
        <v>610</v>
      </c>
      <c r="H477" s="174" t="s">
        <v>611</v>
      </c>
      <c r="I477" s="175"/>
    </row>
    <row r="478" s="106" customFormat="1" spans="1:9">
      <c r="A478" s="169"/>
      <c r="B478" s="170" t="s">
        <v>268</v>
      </c>
      <c r="C478" s="170" t="s">
        <v>597</v>
      </c>
      <c r="E478" s="171"/>
      <c r="F478" s="172"/>
      <c r="G478" s="173" t="s">
        <v>612</v>
      </c>
      <c r="H478" s="174" t="s">
        <v>155</v>
      </c>
      <c r="I478" s="175"/>
    </row>
    <row r="479" s="106" customFormat="1" spans="1:9">
      <c r="A479" s="169"/>
      <c r="B479" s="170" t="s">
        <v>46</v>
      </c>
      <c r="C479" s="170" t="s">
        <v>597</v>
      </c>
      <c r="E479" s="171"/>
      <c r="F479" s="172"/>
      <c r="G479" s="173" t="s">
        <v>613</v>
      </c>
      <c r="H479" s="174" t="s">
        <v>86</v>
      </c>
      <c r="I479" s="175"/>
    </row>
    <row r="480" s="106" customFormat="1" spans="1:9">
      <c r="A480" s="169"/>
      <c r="B480" s="170" t="s">
        <v>268</v>
      </c>
      <c r="C480" s="170" t="s">
        <v>597</v>
      </c>
      <c r="E480" s="171"/>
      <c r="F480" s="172"/>
      <c r="G480" s="173" t="s">
        <v>614</v>
      </c>
      <c r="H480" s="174" t="s">
        <v>611</v>
      </c>
      <c r="I480" s="175"/>
    </row>
    <row r="481" s="106" customFormat="1" spans="1:9">
      <c r="A481" s="169"/>
      <c r="B481" s="170" t="s">
        <v>268</v>
      </c>
      <c r="C481" s="170" t="s">
        <v>597</v>
      </c>
      <c r="E481" s="171"/>
      <c r="F481" s="172"/>
      <c r="G481" s="173" t="s">
        <v>615</v>
      </c>
      <c r="H481" s="174" t="s">
        <v>616</v>
      </c>
      <c r="I481" s="175"/>
    </row>
    <row r="482" s="106" customFormat="1" spans="1:9">
      <c r="A482" s="169"/>
      <c r="B482" s="170" t="s">
        <v>46</v>
      </c>
      <c r="C482" s="170" t="s">
        <v>597</v>
      </c>
      <c r="E482" s="171"/>
      <c r="F482" s="172"/>
      <c r="G482" s="173" t="s">
        <v>617</v>
      </c>
      <c r="H482" s="174" t="s">
        <v>86</v>
      </c>
      <c r="I482" s="175"/>
    </row>
    <row r="483" s="106" customFormat="1" spans="1:9">
      <c r="A483" s="169"/>
      <c r="B483" s="170" t="s">
        <v>268</v>
      </c>
      <c r="C483" s="170" t="s">
        <v>597</v>
      </c>
      <c r="E483" s="171"/>
      <c r="F483" s="172"/>
      <c r="G483" s="173" t="s">
        <v>618</v>
      </c>
      <c r="H483" s="174" t="s">
        <v>619</v>
      </c>
      <c r="I483" s="175"/>
    </row>
    <row r="484" s="106" customFormat="1" spans="1:9">
      <c r="A484" s="169"/>
      <c r="B484" s="170" t="s">
        <v>268</v>
      </c>
      <c r="C484" s="170" t="s">
        <v>597</v>
      </c>
      <c r="E484" s="171"/>
      <c r="F484" s="172"/>
      <c r="G484" s="173" t="s">
        <v>620</v>
      </c>
      <c r="H484" s="174" t="s">
        <v>621</v>
      </c>
      <c r="I484" s="175"/>
    </row>
    <row r="485" s="106" customFormat="1" spans="1:9">
      <c r="A485" s="169"/>
      <c r="B485" s="170" t="s">
        <v>46</v>
      </c>
      <c r="C485" s="170" t="s">
        <v>597</v>
      </c>
      <c r="E485" s="171"/>
      <c r="F485" s="172"/>
      <c r="G485" s="173" t="s">
        <v>622</v>
      </c>
      <c r="H485" s="174" t="s">
        <v>86</v>
      </c>
      <c r="I485" s="175"/>
    </row>
    <row r="486" s="106" customFormat="1" spans="1:9">
      <c r="A486" s="169"/>
      <c r="B486" s="170" t="s">
        <v>268</v>
      </c>
      <c r="C486" s="170" t="s">
        <v>597</v>
      </c>
      <c r="E486" s="171"/>
      <c r="F486" s="172"/>
      <c r="G486" s="173" t="s">
        <v>623</v>
      </c>
      <c r="H486" s="174" t="s">
        <v>624</v>
      </c>
      <c r="I486" s="175"/>
    </row>
    <row r="487" s="106" customFormat="1" spans="1:9">
      <c r="A487" s="169"/>
      <c r="B487" s="170" t="s">
        <v>268</v>
      </c>
      <c r="C487" s="170" t="s">
        <v>597</v>
      </c>
      <c r="E487" s="171"/>
      <c r="F487" s="172"/>
      <c r="G487" s="173" t="s">
        <v>625</v>
      </c>
      <c r="H487" s="174" t="s">
        <v>626</v>
      </c>
      <c r="I487" s="175"/>
    </row>
    <row r="488" s="106" customFormat="1" spans="1:9">
      <c r="A488" s="169"/>
      <c r="B488" s="170" t="s">
        <v>46</v>
      </c>
      <c r="C488" s="170" t="s">
        <v>597</v>
      </c>
      <c r="E488" s="171"/>
      <c r="F488" s="172"/>
      <c r="G488" s="173" t="s">
        <v>627</v>
      </c>
      <c r="H488" s="174" t="s">
        <v>86</v>
      </c>
      <c r="I488" s="175"/>
    </row>
    <row r="489" s="106" customFormat="1" spans="1:9">
      <c r="A489" s="169"/>
      <c r="B489" s="170" t="s">
        <v>268</v>
      </c>
      <c r="C489" s="170" t="s">
        <v>597</v>
      </c>
      <c r="E489" s="171"/>
      <c r="F489" s="172"/>
      <c r="G489" s="173" t="s">
        <v>628</v>
      </c>
      <c r="H489" s="174" t="s">
        <v>624</v>
      </c>
      <c r="I489" s="175"/>
    </row>
    <row r="490" s="106" customFormat="1" spans="1:9">
      <c r="A490" s="169"/>
      <c r="B490" s="170" t="s">
        <v>268</v>
      </c>
      <c r="C490" s="170" t="s">
        <v>597</v>
      </c>
      <c r="E490" s="171"/>
      <c r="F490" s="172"/>
      <c r="G490" s="173" t="s">
        <v>629</v>
      </c>
      <c r="H490" s="174" t="s">
        <v>630</v>
      </c>
      <c r="I490" s="175"/>
    </row>
    <row r="491" s="106" customFormat="1" spans="1:9">
      <c r="A491" s="169"/>
      <c r="B491" s="170" t="s">
        <v>46</v>
      </c>
      <c r="C491" s="170" t="s">
        <v>597</v>
      </c>
      <c r="E491" s="171"/>
      <c r="F491" s="172"/>
      <c r="G491" s="173" t="s">
        <v>631</v>
      </c>
      <c r="H491" s="174" t="s">
        <v>86</v>
      </c>
      <c r="I491" s="175"/>
    </row>
    <row r="492" s="106" customFormat="1" spans="1:9">
      <c r="A492" s="169"/>
      <c r="B492" s="170" t="s">
        <v>268</v>
      </c>
      <c r="C492" s="170" t="s">
        <v>597</v>
      </c>
      <c r="E492" s="171"/>
      <c r="F492" s="172"/>
      <c r="G492" s="173" t="s">
        <v>632</v>
      </c>
      <c r="H492" s="174" t="s">
        <v>624</v>
      </c>
      <c r="I492" s="175"/>
    </row>
    <row r="493" s="106" customFormat="1" spans="1:9">
      <c r="A493" s="169"/>
      <c r="B493" s="170" t="s">
        <v>268</v>
      </c>
      <c r="C493" s="170" t="s">
        <v>597</v>
      </c>
      <c r="E493" s="171"/>
      <c r="F493" s="172"/>
      <c r="G493" s="173" t="s">
        <v>633</v>
      </c>
      <c r="H493" s="174" t="s">
        <v>634</v>
      </c>
      <c r="I493" s="175"/>
    </row>
    <row r="494" s="106" customFormat="1" spans="1:9">
      <c r="A494" s="169"/>
      <c r="B494" s="170" t="s">
        <v>46</v>
      </c>
      <c r="C494" s="170" t="s">
        <v>597</v>
      </c>
      <c r="E494" s="171"/>
      <c r="F494" s="172"/>
      <c r="G494" s="173" t="s">
        <v>635</v>
      </c>
      <c r="H494" s="174" t="s">
        <v>86</v>
      </c>
      <c r="I494" s="175"/>
    </row>
    <row r="495" s="106" customFormat="1" spans="1:9">
      <c r="A495" s="169"/>
      <c r="B495" s="170" t="s">
        <v>268</v>
      </c>
      <c r="C495" s="170" t="s">
        <v>597</v>
      </c>
      <c r="E495" s="171"/>
      <c r="F495" s="172"/>
      <c r="G495" s="173" t="s">
        <v>636</v>
      </c>
      <c r="H495" s="174" t="s">
        <v>624</v>
      </c>
      <c r="I495" s="175"/>
    </row>
    <row r="496" s="106" customFormat="1" spans="1:9">
      <c r="A496" s="169"/>
      <c r="B496" s="170" t="s">
        <v>268</v>
      </c>
      <c r="C496" s="170" t="s">
        <v>597</v>
      </c>
      <c r="E496" s="171"/>
      <c r="F496" s="172"/>
      <c r="G496" s="173" t="s">
        <v>637</v>
      </c>
      <c r="H496" s="174" t="s">
        <v>193</v>
      </c>
      <c r="I496" s="175"/>
    </row>
    <row r="497" s="106" customFormat="1" spans="1:9">
      <c r="A497" s="169"/>
      <c r="B497" s="170" t="s">
        <v>46</v>
      </c>
      <c r="C497" s="170" t="s">
        <v>597</v>
      </c>
      <c r="E497" s="171"/>
      <c r="F497" s="172"/>
      <c r="G497" s="173" t="s">
        <v>638</v>
      </c>
      <c r="H497" s="174" t="s">
        <v>204</v>
      </c>
      <c r="I497" s="175"/>
    </row>
    <row r="498" s="106" customFormat="1" spans="1:9">
      <c r="A498" s="169"/>
      <c r="B498" s="170" t="s">
        <v>268</v>
      </c>
      <c r="C498" s="170" t="s">
        <v>597</v>
      </c>
      <c r="E498" s="171"/>
      <c r="F498" s="172"/>
      <c r="G498" s="173" t="s">
        <v>639</v>
      </c>
      <c r="H498" s="174" t="s">
        <v>591</v>
      </c>
      <c r="I498" s="175"/>
    </row>
    <row r="499" s="106" customFormat="1" spans="1:9">
      <c r="A499" s="169"/>
      <c r="B499" s="170" t="s">
        <v>268</v>
      </c>
      <c r="C499" s="170" t="s">
        <v>597</v>
      </c>
      <c r="E499" s="171"/>
      <c r="F499" s="172"/>
      <c r="G499" s="173" t="s">
        <v>640</v>
      </c>
      <c r="H499" s="174" t="s">
        <v>61</v>
      </c>
      <c r="I499" s="175"/>
    </row>
    <row r="500" s="106" customFormat="1" spans="1:9">
      <c r="A500" s="169"/>
      <c r="B500" s="170" t="s">
        <v>46</v>
      </c>
      <c r="C500" s="170" t="s">
        <v>597</v>
      </c>
      <c r="E500" s="171"/>
      <c r="F500" s="172"/>
      <c r="G500" s="173" t="s">
        <v>641</v>
      </c>
      <c r="H500" s="174" t="s">
        <v>204</v>
      </c>
      <c r="I500" s="175"/>
    </row>
    <row r="501" s="106" customFormat="1" spans="1:9">
      <c r="A501" s="169"/>
      <c r="B501" s="170" t="s">
        <v>268</v>
      </c>
      <c r="C501" s="170" t="s">
        <v>597</v>
      </c>
      <c r="E501" s="171"/>
      <c r="F501" s="172"/>
      <c r="G501" s="173" t="s">
        <v>642</v>
      </c>
      <c r="H501" s="174" t="s">
        <v>591</v>
      </c>
      <c r="I501" s="175"/>
    </row>
    <row r="502" s="106" customFormat="1" spans="1:9">
      <c r="A502" s="169"/>
      <c r="B502" s="170" t="s">
        <v>268</v>
      </c>
      <c r="C502" s="170" t="s">
        <v>597</v>
      </c>
      <c r="E502" s="171"/>
      <c r="F502" s="172"/>
      <c r="G502" s="173" t="s">
        <v>643</v>
      </c>
      <c r="H502" s="174" t="s">
        <v>186</v>
      </c>
      <c r="I502" s="175"/>
    </row>
    <row r="503" s="106" customFormat="1" spans="1:9">
      <c r="A503" s="169"/>
      <c r="B503" s="170" t="s">
        <v>46</v>
      </c>
      <c r="C503" s="170" t="s">
        <v>597</v>
      </c>
      <c r="E503" s="171"/>
      <c r="F503" s="172"/>
      <c r="G503" s="173" t="s">
        <v>644</v>
      </c>
      <c r="H503" s="174" t="s">
        <v>204</v>
      </c>
      <c r="I503" s="175"/>
    </row>
    <row r="504" s="106" customFormat="1" spans="1:9">
      <c r="A504" s="169"/>
      <c r="B504" s="170" t="s">
        <v>268</v>
      </c>
      <c r="C504" s="170" t="s">
        <v>597</v>
      </c>
      <c r="E504" s="171"/>
      <c r="F504" s="172"/>
      <c r="G504" s="173" t="s">
        <v>645</v>
      </c>
      <c r="H504" s="174" t="s">
        <v>591</v>
      </c>
      <c r="I504" s="175"/>
    </row>
    <row r="505" s="106" customFormat="1" spans="1:9">
      <c r="A505" s="169"/>
      <c r="B505" s="170" t="s">
        <v>268</v>
      </c>
      <c r="C505" s="170" t="s">
        <v>597</v>
      </c>
      <c r="E505" s="171"/>
      <c r="F505" s="172"/>
      <c r="G505" s="173" t="s">
        <v>646</v>
      </c>
      <c r="H505" s="174" t="s">
        <v>232</v>
      </c>
      <c r="I505" s="175"/>
    </row>
    <row r="506" s="106" customFormat="1" spans="1:9">
      <c r="A506" s="169"/>
      <c r="B506" s="170" t="s">
        <v>46</v>
      </c>
      <c r="C506" s="170" t="s">
        <v>597</v>
      </c>
      <c r="E506" s="171"/>
      <c r="F506" s="172"/>
      <c r="G506" s="173" t="s">
        <v>647</v>
      </c>
      <c r="H506" s="174" t="s">
        <v>204</v>
      </c>
      <c r="I506" s="175"/>
    </row>
    <row r="507" s="106" customFormat="1" spans="1:9">
      <c r="A507" s="169"/>
      <c r="B507" s="170" t="s">
        <v>268</v>
      </c>
      <c r="C507" s="170" t="s">
        <v>597</v>
      </c>
      <c r="E507" s="171"/>
      <c r="F507" s="172"/>
      <c r="G507" s="173" t="s">
        <v>648</v>
      </c>
      <c r="H507" s="174" t="s">
        <v>591</v>
      </c>
      <c r="I507" s="175"/>
    </row>
    <row r="508" s="106" customFormat="1" spans="1:9">
      <c r="A508" s="169"/>
      <c r="B508" s="170" t="s">
        <v>268</v>
      </c>
      <c r="C508" s="170" t="s">
        <v>597</v>
      </c>
      <c r="E508" s="171"/>
      <c r="F508" s="172"/>
      <c r="G508" s="173" t="s">
        <v>649</v>
      </c>
      <c r="H508" s="174" t="s">
        <v>132</v>
      </c>
      <c r="I508" s="175"/>
    </row>
    <row r="509" s="106" customFormat="1" spans="1:9">
      <c r="A509" s="169"/>
      <c r="B509" s="170" t="s">
        <v>46</v>
      </c>
      <c r="C509" s="170" t="s">
        <v>597</v>
      </c>
      <c r="E509" s="171"/>
      <c r="F509" s="172"/>
      <c r="G509" s="173" t="s">
        <v>650</v>
      </c>
      <c r="H509" s="174" t="s">
        <v>204</v>
      </c>
      <c r="I509" s="175"/>
    </row>
    <row r="510" s="106" customFormat="1" spans="1:9">
      <c r="A510" s="169"/>
      <c r="B510" s="170" t="s">
        <v>268</v>
      </c>
      <c r="C510" s="170" t="s">
        <v>597</v>
      </c>
      <c r="E510" s="171"/>
      <c r="F510" s="172"/>
      <c r="G510" s="173" t="s">
        <v>651</v>
      </c>
      <c r="H510" s="174" t="s">
        <v>591</v>
      </c>
      <c r="I510" s="175"/>
    </row>
    <row r="511" s="106" customFormat="1" spans="1:9">
      <c r="A511" s="169"/>
      <c r="B511" s="170" t="s">
        <v>268</v>
      </c>
      <c r="C511" s="170" t="s">
        <v>597</v>
      </c>
      <c r="E511" s="171"/>
      <c r="F511" s="172"/>
      <c r="G511" s="173" t="s">
        <v>652</v>
      </c>
      <c r="H511" s="174" t="s">
        <v>286</v>
      </c>
      <c r="I511" s="175"/>
    </row>
    <row r="512" s="106" customFormat="1" spans="1:9">
      <c r="A512" s="169"/>
      <c r="B512" s="170" t="s">
        <v>46</v>
      </c>
      <c r="C512" s="170" t="s">
        <v>597</v>
      </c>
      <c r="E512" s="171"/>
      <c r="F512" s="172"/>
      <c r="G512" s="173" t="s">
        <v>653</v>
      </c>
      <c r="H512" s="174" t="s">
        <v>204</v>
      </c>
      <c r="I512" s="175"/>
    </row>
    <row r="513" s="106" customFormat="1" spans="1:9">
      <c r="A513" s="169"/>
      <c r="B513" s="170" t="s">
        <v>268</v>
      </c>
      <c r="C513" s="170" t="s">
        <v>597</v>
      </c>
      <c r="E513" s="171"/>
      <c r="F513" s="172"/>
      <c r="G513" s="173" t="s">
        <v>654</v>
      </c>
      <c r="H513" s="174" t="s">
        <v>591</v>
      </c>
      <c r="I513" s="175"/>
    </row>
    <row r="514" s="106" customFormat="1" spans="1:9">
      <c r="A514" s="169"/>
      <c r="B514" s="170" t="s">
        <v>268</v>
      </c>
      <c r="C514" s="170" t="s">
        <v>597</v>
      </c>
      <c r="E514" s="171"/>
      <c r="F514" s="172"/>
      <c r="G514" s="173" t="s">
        <v>655</v>
      </c>
      <c r="H514" s="174" t="s">
        <v>147</v>
      </c>
      <c r="I514" s="175"/>
    </row>
    <row r="515" s="106" customFormat="1" spans="1:9">
      <c r="A515" s="169"/>
      <c r="B515" s="170" t="s">
        <v>46</v>
      </c>
      <c r="C515" s="170" t="s">
        <v>597</v>
      </c>
      <c r="E515" s="171"/>
      <c r="F515" s="172"/>
      <c r="G515" s="173" t="s">
        <v>656</v>
      </c>
      <c r="H515" s="174" t="s">
        <v>204</v>
      </c>
      <c r="I515" s="175"/>
    </row>
    <row r="516" s="106" customFormat="1" spans="1:9">
      <c r="A516" s="169"/>
      <c r="B516" s="170" t="s">
        <v>268</v>
      </c>
      <c r="C516" s="170" t="s">
        <v>597</v>
      </c>
      <c r="E516" s="171"/>
      <c r="F516" s="172"/>
      <c r="G516" s="173" t="s">
        <v>657</v>
      </c>
      <c r="H516" s="174" t="s">
        <v>591</v>
      </c>
      <c r="I516" s="175"/>
    </row>
    <row r="517" s="106" customFormat="1" spans="1:9">
      <c r="A517" s="169"/>
      <c r="B517" s="170" t="s">
        <v>268</v>
      </c>
      <c r="C517" s="170" t="s">
        <v>597</v>
      </c>
      <c r="E517" s="171"/>
      <c r="F517" s="172"/>
      <c r="G517" s="173" t="s">
        <v>658</v>
      </c>
      <c r="H517" s="174" t="s">
        <v>206</v>
      </c>
      <c r="I517" s="175"/>
    </row>
    <row r="518" s="106" customFormat="1" spans="1:9">
      <c r="A518" s="169"/>
      <c r="B518" s="170" t="s">
        <v>46</v>
      </c>
      <c r="C518" s="170" t="s">
        <v>597</v>
      </c>
      <c r="E518" s="171"/>
      <c r="F518" s="172"/>
      <c r="G518" s="173" t="s">
        <v>659</v>
      </c>
      <c r="H518" s="174" t="s">
        <v>86</v>
      </c>
      <c r="I518" s="175"/>
    </row>
    <row r="519" s="106" customFormat="1" spans="1:9">
      <c r="A519" s="169"/>
      <c r="B519" s="170" t="s">
        <v>268</v>
      </c>
      <c r="C519" s="170" t="s">
        <v>597</v>
      </c>
      <c r="E519" s="171"/>
      <c r="F519" s="172"/>
      <c r="G519" s="173" t="s">
        <v>660</v>
      </c>
      <c r="H519" s="174" t="s">
        <v>624</v>
      </c>
      <c r="I519" s="175"/>
    </row>
    <row r="520" s="106" customFormat="1" spans="1:9">
      <c r="A520" s="169"/>
      <c r="B520" s="170" t="s">
        <v>268</v>
      </c>
      <c r="C520" s="170" t="s">
        <v>597</v>
      </c>
      <c r="E520" s="171"/>
      <c r="F520" s="172"/>
      <c r="G520" s="173" t="s">
        <v>661</v>
      </c>
      <c r="H520" s="174" t="s">
        <v>662</v>
      </c>
      <c r="I520" s="175"/>
    </row>
    <row r="521" s="106" customFormat="1" spans="1:9">
      <c r="A521" s="169"/>
      <c r="B521" s="170" t="s">
        <v>46</v>
      </c>
      <c r="C521" s="170" t="s">
        <v>597</v>
      </c>
      <c r="E521" s="171"/>
      <c r="F521" s="172"/>
      <c r="G521" s="173" t="s">
        <v>663</v>
      </c>
      <c r="H521" s="174" t="s">
        <v>204</v>
      </c>
      <c r="I521" s="175"/>
    </row>
    <row r="522" s="106" customFormat="1" spans="1:9">
      <c r="A522" s="169"/>
      <c r="B522" s="170" t="s">
        <v>268</v>
      </c>
      <c r="C522" s="170" t="s">
        <v>597</v>
      </c>
      <c r="E522" s="171"/>
      <c r="F522" s="172"/>
      <c r="G522" s="173" t="s">
        <v>664</v>
      </c>
      <c r="H522" s="174" t="s">
        <v>591</v>
      </c>
      <c r="I522" s="175"/>
    </row>
    <row r="523" s="106" customFormat="1" spans="1:9">
      <c r="A523" s="169"/>
      <c r="B523" s="170" t="s">
        <v>268</v>
      </c>
      <c r="C523" s="170" t="s">
        <v>597</v>
      </c>
      <c r="E523" s="171"/>
      <c r="F523" s="172"/>
      <c r="G523" s="173" t="s">
        <v>665</v>
      </c>
      <c r="H523" s="174" t="s">
        <v>88</v>
      </c>
      <c r="I523" s="175"/>
    </row>
    <row r="524" s="106" customFormat="1" spans="1:9">
      <c r="A524" s="169"/>
      <c r="B524" s="170" t="s">
        <v>63</v>
      </c>
      <c r="C524" s="170" t="s">
        <v>597</v>
      </c>
      <c r="E524" s="171"/>
      <c r="F524" s="172"/>
      <c r="G524" s="173" t="s">
        <v>666</v>
      </c>
      <c r="H524" s="174" t="s">
        <v>46</v>
      </c>
      <c r="I524" s="175"/>
    </row>
    <row r="525" s="106" customFormat="1" spans="1:9">
      <c r="A525" s="169"/>
      <c r="B525" s="170" t="s">
        <v>63</v>
      </c>
      <c r="C525" s="170" t="s">
        <v>597</v>
      </c>
      <c r="E525" s="171"/>
      <c r="F525" s="172"/>
      <c r="G525" s="173" t="s">
        <v>667</v>
      </c>
      <c r="H525" s="174" t="s">
        <v>46</v>
      </c>
      <c r="I525" s="175"/>
    </row>
    <row r="526" s="106" customFormat="1" spans="1:9">
      <c r="A526" s="169"/>
      <c r="B526" s="170" t="s">
        <v>668</v>
      </c>
      <c r="C526" s="170" t="s">
        <v>597</v>
      </c>
      <c r="E526" s="171"/>
      <c r="F526" s="172"/>
      <c r="G526" s="173" t="s">
        <v>669</v>
      </c>
      <c r="H526" s="174" t="s">
        <v>551</v>
      </c>
      <c r="I526" s="175"/>
    </row>
    <row r="527" s="106" customFormat="1" spans="1:9">
      <c r="A527" s="169"/>
      <c r="B527" s="170" t="s">
        <v>303</v>
      </c>
      <c r="C527" s="170" t="s">
        <v>597</v>
      </c>
      <c r="E527" s="171"/>
      <c r="F527" s="172"/>
      <c r="G527" s="173" t="s">
        <v>670</v>
      </c>
      <c r="H527" s="174" t="s">
        <v>551</v>
      </c>
      <c r="I527" s="175"/>
    </row>
    <row r="528" s="106" customFormat="1" spans="1:9">
      <c r="A528" s="169"/>
      <c r="B528" s="170" t="s">
        <v>186</v>
      </c>
      <c r="C528" s="170" t="s">
        <v>597</v>
      </c>
      <c r="E528" s="171"/>
      <c r="F528" s="172"/>
      <c r="G528" s="173" t="s">
        <v>671</v>
      </c>
      <c r="H528" s="174" t="s">
        <v>243</v>
      </c>
      <c r="I528" s="175"/>
    </row>
    <row r="529" s="106" customFormat="1" spans="1:9">
      <c r="A529" s="169"/>
      <c r="B529" s="170" t="s">
        <v>46</v>
      </c>
      <c r="C529" s="170" t="s">
        <v>597</v>
      </c>
      <c r="E529" s="171"/>
      <c r="F529" s="172"/>
      <c r="G529" s="173" t="s">
        <v>672</v>
      </c>
      <c r="H529" s="174" t="s">
        <v>63</v>
      </c>
      <c r="I529" s="175"/>
    </row>
    <row r="530" s="106" customFormat="1" spans="1:9">
      <c r="A530" s="169"/>
      <c r="B530" s="170" t="s">
        <v>88</v>
      </c>
      <c r="C530" s="170" t="s">
        <v>597</v>
      </c>
      <c r="E530" s="171"/>
      <c r="F530" s="172"/>
      <c r="G530" s="173" t="s">
        <v>673</v>
      </c>
      <c r="H530" s="174" t="s">
        <v>674</v>
      </c>
      <c r="I530" s="175"/>
    </row>
    <row r="531" s="106" customFormat="1" spans="1:9">
      <c r="A531" s="169"/>
      <c r="B531" s="170" t="s">
        <v>46</v>
      </c>
      <c r="C531" s="170" t="s">
        <v>597</v>
      </c>
      <c r="E531" s="171"/>
      <c r="F531" s="172"/>
      <c r="G531" s="173" t="s">
        <v>675</v>
      </c>
      <c r="H531" s="174" t="s">
        <v>63</v>
      </c>
      <c r="I531" s="175"/>
    </row>
    <row r="532" s="106" customFormat="1" spans="1:9">
      <c r="A532" s="169"/>
      <c r="B532" s="170" t="s">
        <v>160</v>
      </c>
      <c r="C532" s="170" t="s">
        <v>597</v>
      </c>
      <c r="E532" s="171"/>
      <c r="F532" s="172"/>
      <c r="G532" s="173" t="s">
        <v>676</v>
      </c>
      <c r="H532" s="174" t="s">
        <v>677</v>
      </c>
      <c r="I532" s="175"/>
    </row>
    <row r="533" s="106" customFormat="1" spans="1:9">
      <c r="A533" s="169"/>
      <c r="B533" s="170" t="s">
        <v>46</v>
      </c>
      <c r="C533" s="170" t="s">
        <v>597</v>
      </c>
      <c r="E533" s="171"/>
      <c r="F533" s="172"/>
      <c r="G533" s="173" t="s">
        <v>678</v>
      </c>
      <c r="H533" s="174" t="s">
        <v>243</v>
      </c>
      <c r="I533" s="175"/>
    </row>
    <row r="534" s="106" customFormat="1" spans="1:9">
      <c r="A534" s="169"/>
      <c r="B534" s="170" t="s">
        <v>501</v>
      </c>
      <c r="C534" s="170" t="s">
        <v>597</v>
      </c>
      <c r="E534" s="171"/>
      <c r="F534" s="172"/>
      <c r="G534" s="173" t="s">
        <v>679</v>
      </c>
      <c r="H534" s="174" t="s">
        <v>216</v>
      </c>
      <c r="I534" s="175"/>
    </row>
    <row r="535" s="106" customFormat="1" spans="1:9">
      <c r="A535" s="169"/>
      <c r="B535" s="170" t="s">
        <v>46</v>
      </c>
      <c r="C535" s="170" t="s">
        <v>597</v>
      </c>
      <c r="E535" s="171"/>
      <c r="F535" s="172"/>
      <c r="G535" s="173" t="s">
        <v>680</v>
      </c>
      <c r="H535" s="174" t="s">
        <v>63</v>
      </c>
      <c r="I535" s="175"/>
    </row>
    <row r="536" s="106" customFormat="1" spans="1:9">
      <c r="A536" s="169"/>
      <c r="B536" s="170" t="s">
        <v>88</v>
      </c>
      <c r="C536" s="170" t="s">
        <v>597</v>
      </c>
      <c r="E536" s="171"/>
      <c r="F536" s="172"/>
      <c r="G536" s="173" t="s">
        <v>681</v>
      </c>
      <c r="H536" s="174" t="s">
        <v>674</v>
      </c>
      <c r="I536" s="175"/>
    </row>
    <row r="537" s="106" customFormat="1" spans="1:9">
      <c r="A537" s="169"/>
      <c r="B537" s="170" t="s">
        <v>46</v>
      </c>
      <c r="C537" s="170" t="s">
        <v>597</v>
      </c>
      <c r="E537" s="171"/>
      <c r="F537" s="172"/>
      <c r="G537" s="173" t="s">
        <v>682</v>
      </c>
      <c r="H537" s="174" t="s">
        <v>63</v>
      </c>
      <c r="I537" s="175"/>
    </row>
    <row r="538" s="106" customFormat="1" spans="1:9">
      <c r="A538" s="169"/>
      <c r="B538" s="170" t="s">
        <v>160</v>
      </c>
      <c r="C538" s="170" t="s">
        <v>597</v>
      </c>
      <c r="E538" s="171"/>
      <c r="F538" s="172"/>
      <c r="G538" s="173" t="s">
        <v>683</v>
      </c>
      <c r="H538" s="174" t="s">
        <v>677</v>
      </c>
      <c r="I538" s="175"/>
    </row>
    <row r="539" s="106" customFormat="1" spans="1:9">
      <c r="A539" s="169"/>
      <c r="B539" s="170" t="s">
        <v>46</v>
      </c>
      <c r="C539" s="170" t="s">
        <v>597</v>
      </c>
      <c r="E539" s="171"/>
      <c r="F539" s="172"/>
      <c r="G539" s="173" t="s">
        <v>684</v>
      </c>
      <c r="H539" s="174" t="s">
        <v>243</v>
      </c>
      <c r="I539" s="175"/>
    </row>
    <row r="540" s="106" customFormat="1" spans="1:9">
      <c r="A540" s="169"/>
      <c r="B540" s="170" t="s">
        <v>501</v>
      </c>
      <c r="C540" s="170" t="s">
        <v>597</v>
      </c>
      <c r="E540" s="171"/>
      <c r="F540" s="172"/>
      <c r="G540" s="173" t="s">
        <v>685</v>
      </c>
      <c r="H540" s="174" t="s">
        <v>216</v>
      </c>
      <c r="I540" s="175"/>
    </row>
    <row r="541" s="106" customFormat="1" spans="1:9">
      <c r="A541" s="169"/>
      <c r="B541" s="170" t="s">
        <v>591</v>
      </c>
      <c r="C541" s="170" t="s">
        <v>597</v>
      </c>
      <c r="E541" s="171"/>
      <c r="F541" s="172"/>
      <c r="G541" s="173" t="s">
        <v>686</v>
      </c>
      <c r="H541" s="174" t="s">
        <v>298</v>
      </c>
      <c r="I541" s="175"/>
    </row>
    <row r="542" s="106" customFormat="1" spans="1:9">
      <c r="A542" s="169"/>
      <c r="B542" s="170" t="s">
        <v>591</v>
      </c>
      <c r="C542" s="170" t="s">
        <v>597</v>
      </c>
      <c r="E542" s="171"/>
      <c r="F542" s="172"/>
      <c r="G542" s="173" t="s">
        <v>687</v>
      </c>
      <c r="H542" s="174" t="s">
        <v>298</v>
      </c>
      <c r="I542" s="175"/>
    </row>
    <row r="543" s="106" customFormat="1" spans="1:9">
      <c r="A543" s="169"/>
      <c r="B543" s="170" t="s">
        <v>132</v>
      </c>
      <c r="C543" s="170" t="s">
        <v>597</v>
      </c>
      <c r="E543" s="171"/>
      <c r="F543" s="172"/>
      <c r="G543" s="173" t="s">
        <v>688</v>
      </c>
      <c r="H543" s="174" t="s">
        <v>689</v>
      </c>
      <c r="I543" s="175"/>
    </row>
    <row r="544" s="106" customFormat="1" spans="1:9">
      <c r="A544" s="169"/>
      <c r="B544" s="170" t="s">
        <v>328</v>
      </c>
      <c r="C544" s="170" t="s">
        <v>597</v>
      </c>
      <c r="E544" s="171"/>
      <c r="F544" s="172"/>
      <c r="G544" s="173" t="s">
        <v>690</v>
      </c>
      <c r="H544" s="174" t="s">
        <v>312</v>
      </c>
      <c r="I544" s="175"/>
    </row>
    <row r="545" s="106" customFormat="1" spans="1:73">
      <c r="A545" s="169"/>
      <c r="B545" s="170" t="s">
        <v>132</v>
      </c>
      <c r="C545" s="170" t="s">
        <v>597</v>
      </c>
      <c r="E545" s="171"/>
      <c r="F545" s="172"/>
      <c r="G545" s="173" t="s">
        <v>691</v>
      </c>
      <c r="H545" s="174" t="s">
        <v>689</v>
      </c>
      <c r="I545" s="175"/>
    </row>
    <row r="546" s="106" customFormat="1" spans="1:73">
      <c r="A546" s="169"/>
      <c r="B546" s="170" t="s">
        <v>328</v>
      </c>
      <c r="C546" s="170" t="s">
        <v>597</v>
      </c>
      <c r="E546" s="171"/>
      <c r="F546" s="172"/>
      <c r="G546" s="173" t="s">
        <v>692</v>
      </c>
      <c r="H546" s="174" t="s">
        <v>312</v>
      </c>
      <c r="I546" s="175"/>
    </row>
    <row r="547" s="106" customFormat="1" spans="1:73">
      <c r="A547" s="169"/>
      <c r="B547" s="170" t="s">
        <v>693</v>
      </c>
      <c r="C547" s="170" t="s">
        <v>597</v>
      </c>
      <c r="E547" s="171"/>
      <c r="F547" s="172"/>
      <c r="G547" s="173" t="s">
        <v>694</v>
      </c>
      <c r="H547" s="174" t="s">
        <v>695</v>
      </c>
      <c r="I547" s="175"/>
    </row>
    <row r="548" s="106" customFormat="1" spans="1:73">
      <c r="A548" s="169"/>
      <c r="B548" s="170" t="s">
        <v>693</v>
      </c>
      <c r="C548" s="170" t="s">
        <v>597</v>
      </c>
      <c r="E548" s="171"/>
      <c r="F548" s="172"/>
      <c r="G548" s="173" t="s">
        <v>696</v>
      </c>
      <c r="H548" s="174" t="s">
        <v>695</v>
      </c>
      <c r="I548" s="175"/>
    </row>
    <row r="549" s="106" customFormat="1" spans="1:73">
      <c r="A549" s="169"/>
      <c r="B549" s="170" t="s">
        <v>286</v>
      </c>
      <c r="C549" s="170" t="s">
        <v>597</v>
      </c>
      <c r="E549" s="171"/>
      <c r="F549" s="172"/>
      <c r="G549" s="173" t="s">
        <v>697</v>
      </c>
      <c r="H549" s="174" t="s">
        <v>172</v>
      </c>
      <c r="I549" s="175"/>
    </row>
    <row r="550" s="106" customFormat="1" spans="1:73">
      <c r="A550" s="169"/>
      <c r="B550" s="170" t="s">
        <v>164</v>
      </c>
      <c r="C550" s="170" t="s">
        <v>597</v>
      </c>
      <c r="E550" s="171"/>
      <c r="F550" s="172"/>
      <c r="G550" s="173" t="s">
        <v>698</v>
      </c>
      <c r="H550" s="174" t="s">
        <v>160</v>
      </c>
      <c r="I550" s="175"/>
    </row>
    <row r="551" s="106" customFormat="1" spans="1:73">
      <c r="A551" s="169"/>
      <c r="B551" s="170" t="s">
        <v>286</v>
      </c>
      <c r="C551" s="170" t="s">
        <v>597</v>
      </c>
      <c r="E551" s="171"/>
      <c r="F551" s="172"/>
      <c r="G551" s="173" t="s">
        <v>699</v>
      </c>
      <c r="H551" s="174" t="s">
        <v>172</v>
      </c>
      <c r="I551" s="175"/>
    </row>
    <row r="552" s="106" customFormat="1" spans="1:73">
      <c r="A552" s="169"/>
      <c r="B552" s="170" t="s">
        <v>164</v>
      </c>
      <c r="C552" s="170" t="s">
        <v>597</v>
      </c>
      <c r="E552" s="171"/>
      <c r="F552" s="172"/>
      <c r="G552" s="173" t="s">
        <v>700</v>
      </c>
      <c r="H552" s="174" t="s">
        <v>160</v>
      </c>
      <c r="I552" s="175"/>
    </row>
    <row r="553" s="106" customFormat="1" spans="1:73">
      <c r="A553" s="169"/>
      <c r="B553" s="170" t="s">
        <v>186</v>
      </c>
      <c r="C553" s="170" t="s">
        <v>597</v>
      </c>
      <c r="E553" s="171"/>
      <c r="F553" s="172"/>
      <c r="G553" s="173" t="s">
        <v>701</v>
      </c>
      <c r="H553" s="174" t="s">
        <v>195</v>
      </c>
      <c r="I553" s="175"/>
    </row>
    <row r="554" s="106" customFormat="1" spans="1:73">
      <c r="A554" s="169"/>
      <c r="B554" s="170" t="s">
        <v>338</v>
      </c>
      <c r="C554" s="170" t="s">
        <v>597</v>
      </c>
      <c r="E554" s="171"/>
      <c r="F554" s="172"/>
      <c r="G554" s="173" t="s">
        <v>702</v>
      </c>
      <c r="H554" s="174" t="s">
        <v>195</v>
      </c>
      <c r="I554" s="175"/>
    </row>
    <row r="555" s="106" customFormat="1" spans="1:73">
      <c r="A555" s="169"/>
      <c r="B555" s="170" t="s">
        <v>186</v>
      </c>
      <c r="C555" s="170" t="s">
        <v>597</v>
      </c>
      <c r="E555" s="171"/>
      <c r="F555" s="172"/>
      <c r="G555" s="173" t="s">
        <v>703</v>
      </c>
      <c r="H555" s="174" t="s">
        <v>195</v>
      </c>
      <c r="I555" s="175"/>
    </row>
    <row r="556" s="106" customFormat="1" spans="1:73">
      <c r="A556" s="169"/>
      <c r="B556" s="170" t="s">
        <v>338</v>
      </c>
      <c r="C556" s="170" t="s">
        <v>597</v>
      </c>
      <c r="E556" s="171"/>
      <c r="F556" s="172"/>
      <c r="G556" s="173" t="s">
        <v>704</v>
      </c>
      <c r="H556" s="174" t="s">
        <v>195</v>
      </c>
      <c r="I556" s="175"/>
    </row>
    <row r="557" spans="1:73">
      <c r="A557" s="147"/>
      <c r="B557" s="148"/>
      <c r="C557" s="148"/>
      <c r="D557" s="147"/>
      <c r="E557" s="132"/>
      <c r="F557" s="154"/>
      <c r="G557" s="176"/>
      <c r="H557" s="157"/>
      <c r="I557" s="156"/>
    </row>
    <row r="558" spans="1:73">
      <c r="A558" s="147"/>
      <c r="B558" s="148"/>
      <c r="C558" s="148"/>
      <c r="D558" s="147"/>
      <c r="E558" s="132"/>
      <c r="F558" s="154"/>
      <c r="G558" s="176"/>
      <c r="H558" s="157"/>
      <c r="I558" s="156"/>
    </row>
    <row r="559" spans="1:73">
      <c r="A559" s="147"/>
      <c r="B559" s="148"/>
      <c r="C559" s="148"/>
      <c r="D559" s="147"/>
      <c r="E559" s="132"/>
      <c r="F559" s="154"/>
      <c r="G559" s="176"/>
      <c r="H559" s="157"/>
      <c r="I559" s="177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78"/>
      <c r="AI559" s="178"/>
      <c r="AJ559" s="178"/>
      <c r="AK559" s="178"/>
      <c r="AL559" s="178"/>
      <c r="AM559" s="178"/>
      <c r="AN559" s="178"/>
      <c r="AO559" s="178"/>
      <c r="AP559" s="178"/>
      <c r="AQ559" s="178"/>
      <c r="AR559" s="178"/>
      <c r="AS559" s="178"/>
      <c r="AT559" s="178"/>
      <c r="AU559" s="178"/>
      <c r="AV559" s="178"/>
      <c r="AW559" s="178"/>
      <c r="AX559" s="178"/>
      <c r="AY559" s="178"/>
      <c r="AZ559" s="178"/>
      <c r="BA559" s="178"/>
      <c r="BB559" s="178"/>
      <c r="BC559" s="178"/>
      <c r="BD559" s="178"/>
      <c r="BE559" s="178"/>
      <c r="BF559" s="178"/>
      <c r="BG559" s="178"/>
      <c r="BH559" s="178"/>
      <c r="BI559" s="178"/>
      <c r="BJ559" s="178"/>
      <c r="BK559" s="178"/>
      <c r="BL559" s="178"/>
      <c r="BM559" s="178"/>
      <c r="BN559" s="178"/>
      <c r="BO559" s="178"/>
      <c r="BP559" s="178"/>
      <c r="BQ559" s="178"/>
      <c r="BR559" s="178"/>
      <c r="BS559" s="178"/>
      <c r="BT559" s="178"/>
      <c r="BU559" s="178"/>
    </row>
    <row r="560" ht="14.55" spans="1:73">
      <c r="A560" s="147"/>
      <c r="B560" s="148"/>
      <c r="C560" s="148"/>
      <c r="D560" s="147"/>
      <c r="E560" s="132"/>
      <c r="F560" s="154"/>
      <c r="G560" s="176"/>
      <c r="H560" s="157"/>
      <c r="I560" s="177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78"/>
      <c r="AI560" s="178"/>
      <c r="AJ560" s="178"/>
      <c r="AK560" s="178"/>
      <c r="AL560" s="178"/>
      <c r="AM560" s="178"/>
      <c r="AN560" s="178"/>
      <c r="AO560" s="178"/>
      <c r="AP560" s="178"/>
      <c r="AQ560" s="178"/>
      <c r="AR560" s="178"/>
      <c r="AS560" s="178"/>
      <c r="AT560" s="178"/>
      <c r="AU560" s="178"/>
      <c r="AV560" s="178"/>
      <c r="AW560" s="178"/>
      <c r="AX560" s="178"/>
      <c r="AY560" s="178"/>
      <c r="AZ560" s="178"/>
      <c r="BA560" s="178"/>
      <c r="BB560" s="178"/>
      <c r="BC560" s="178"/>
      <c r="BD560" s="178"/>
      <c r="BE560" s="178"/>
      <c r="BF560" s="178"/>
      <c r="BG560" s="178"/>
      <c r="BH560" s="178"/>
      <c r="BI560" s="178"/>
      <c r="BJ560" s="178"/>
      <c r="BK560" s="178"/>
      <c r="BL560" s="178"/>
      <c r="BM560" s="178"/>
      <c r="BN560" s="178"/>
      <c r="BO560" s="178"/>
      <c r="BP560" s="178"/>
      <c r="BQ560" s="178"/>
      <c r="BR560" s="178"/>
      <c r="BS560" s="178"/>
      <c r="BT560" s="178"/>
      <c r="BU560" s="178"/>
    </row>
    <row r="561" spans="1:73">
      <c r="A561" s="131"/>
      <c r="B561" s="147"/>
      <c r="C561" s="179"/>
      <c r="E561" s="132"/>
      <c r="F561" s="114"/>
      <c r="G561" s="180"/>
      <c r="H561" s="181"/>
    </row>
    <row r="562" spans="1:73">
      <c r="A562" s="109"/>
      <c r="B562" s="147"/>
      <c r="C562" s="179"/>
      <c r="E562" s="132"/>
      <c r="F562" s="182"/>
      <c r="G562" s="183"/>
      <c r="H562" s="184"/>
      <c r="J562" s="185" t="s">
        <v>705</v>
      </c>
      <c r="K562" s="185"/>
      <c r="L562" s="185"/>
      <c r="N562" s="185" t="s">
        <v>705</v>
      </c>
      <c r="O562" s="185"/>
      <c r="P562" s="185"/>
      <c r="R562" s="185" t="s">
        <v>705</v>
      </c>
      <c r="S562" s="185"/>
      <c r="T562" s="185"/>
      <c r="V562" s="185" t="s">
        <v>705</v>
      </c>
      <c r="W562" s="185"/>
      <c r="X562" s="185"/>
      <c r="Z562" s="185" t="s">
        <v>705</v>
      </c>
      <c r="AA562" s="185"/>
      <c r="AB562" s="185"/>
      <c r="AD562" s="185" t="s">
        <v>705</v>
      </c>
      <c r="AE562" s="185"/>
      <c r="AF562" s="185"/>
      <c r="AH562" s="185" t="s">
        <v>705</v>
      </c>
      <c r="AI562" s="185"/>
      <c r="AJ562" s="185"/>
      <c r="AL562" s="185" t="s">
        <v>705</v>
      </c>
      <c r="AM562" s="185"/>
      <c r="AN562" s="185"/>
      <c r="AP562" s="185" t="s">
        <v>705</v>
      </c>
      <c r="AQ562" s="185"/>
      <c r="AR562" s="185"/>
      <c r="AT562" s="185" t="s">
        <v>705</v>
      </c>
      <c r="AU562" s="185"/>
      <c r="AV562" s="185"/>
      <c r="AX562" s="185" t="s">
        <v>705</v>
      </c>
      <c r="AY562" s="185"/>
      <c r="AZ562" s="185"/>
      <c r="BB562" s="185" t="s">
        <v>705</v>
      </c>
      <c r="BC562" s="185"/>
      <c r="BD562" s="185"/>
      <c r="BF562" s="185" t="s">
        <v>705</v>
      </c>
      <c r="BG562" s="185"/>
      <c r="BH562" s="185"/>
      <c r="BJ562" s="185" t="s">
        <v>705</v>
      </c>
      <c r="BK562" s="185"/>
      <c r="BL562" s="185"/>
      <c r="BN562" s="185" t="s">
        <v>705</v>
      </c>
      <c r="BO562" s="185"/>
      <c r="BP562" s="185"/>
      <c r="BR562" s="185" t="s">
        <v>705</v>
      </c>
      <c r="BS562" s="185"/>
      <c r="BT562" s="185"/>
    </row>
    <row r="563" spans="1:73">
      <c r="A563" s="186"/>
      <c r="B563" s="148"/>
      <c r="C563" s="148"/>
      <c r="E563" s="132"/>
      <c r="F563" s="182"/>
      <c r="G563" s="187"/>
      <c r="H563" s="188"/>
      <c r="J563" s="189" t="s">
        <v>706</v>
      </c>
      <c r="K563" s="189"/>
      <c r="L563" s="189"/>
      <c r="N563" s="189" t="s">
        <v>707</v>
      </c>
      <c r="O563" s="189"/>
      <c r="P563" s="189"/>
      <c r="R563" s="189" t="s">
        <v>708</v>
      </c>
      <c r="S563" s="189"/>
      <c r="T563" s="189"/>
      <c r="V563" s="189" t="s">
        <v>709</v>
      </c>
      <c r="W563" s="189"/>
      <c r="X563" s="189"/>
      <c r="Z563" s="189" t="s">
        <v>710</v>
      </c>
      <c r="AA563" s="189"/>
      <c r="AB563" s="189"/>
      <c r="AD563" s="189" t="s">
        <v>711</v>
      </c>
      <c r="AE563" s="189"/>
      <c r="AF563" s="189"/>
      <c r="AH563" s="189" t="s">
        <v>712</v>
      </c>
      <c r="AI563" s="189"/>
      <c r="AJ563" s="189"/>
      <c r="AL563" s="189" t="s">
        <v>713</v>
      </c>
      <c r="AM563" s="189"/>
      <c r="AN563" s="189"/>
      <c r="AP563" s="189" t="s">
        <v>714</v>
      </c>
      <c r="AQ563" s="189"/>
      <c r="AR563" s="189"/>
      <c r="AT563" s="189" t="s">
        <v>715</v>
      </c>
      <c r="AU563" s="189"/>
      <c r="AV563" s="189"/>
      <c r="AX563" s="189" t="s">
        <v>716</v>
      </c>
      <c r="AY563" s="189"/>
      <c r="AZ563" s="189"/>
      <c r="BB563" s="189" t="s">
        <v>717</v>
      </c>
      <c r="BC563" s="189"/>
      <c r="BD563" s="189"/>
      <c r="BF563" s="189" t="s">
        <v>718</v>
      </c>
      <c r="BG563" s="189"/>
      <c r="BH563" s="189"/>
      <c r="BJ563" s="189" t="s">
        <v>719</v>
      </c>
      <c r="BK563" s="189"/>
      <c r="BL563" s="189"/>
      <c r="BN563" s="189" t="s">
        <v>720</v>
      </c>
      <c r="BO563" s="189"/>
      <c r="BP563" s="189"/>
      <c r="BR563" s="189" t="s">
        <v>721</v>
      </c>
      <c r="BS563" s="189"/>
      <c r="BT563" s="189"/>
    </row>
    <row r="564" spans="1:73">
      <c r="A564" s="186"/>
      <c r="B564" s="148"/>
      <c r="C564" s="148"/>
      <c r="E564" s="132"/>
      <c r="F564" s="182"/>
      <c r="G564" s="190"/>
      <c r="H564" s="191"/>
      <c r="J564" s="192" t="s">
        <v>722</v>
      </c>
      <c r="K564" s="192"/>
      <c r="L564" s="192"/>
      <c r="N564" s="192" t="s">
        <v>723</v>
      </c>
      <c r="O564" s="192"/>
      <c r="P564" s="192"/>
      <c r="R564" s="192" t="s">
        <v>722</v>
      </c>
      <c r="S564" s="192"/>
      <c r="T564" s="192"/>
      <c r="V564" s="192" t="s">
        <v>724</v>
      </c>
      <c r="W564" s="192"/>
      <c r="X564" s="192"/>
      <c r="Z564" s="192" t="s">
        <v>723</v>
      </c>
      <c r="AA564" s="192"/>
      <c r="AB564" s="192"/>
      <c r="AD564" s="192" t="s">
        <v>725</v>
      </c>
      <c r="AE564" s="192"/>
      <c r="AF564" s="192"/>
      <c r="AH564" s="192" t="s">
        <v>726</v>
      </c>
      <c r="AI564" s="192"/>
      <c r="AJ564" s="192"/>
      <c r="AL564" s="192" t="s">
        <v>726</v>
      </c>
      <c r="AM564" s="192"/>
      <c r="AN564" s="192"/>
      <c r="AP564" s="192" t="s">
        <v>727</v>
      </c>
      <c r="AQ564" s="192"/>
      <c r="AR564" s="192"/>
      <c r="AT564" s="192" t="s">
        <v>728</v>
      </c>
      <c r="AU564" s="192"/>
      <c r="AV564" s="192"/>
      <c r="AX564" s="192" t="s">
        <v>729</v>
      </c>
      <c r="AY564" s="192"/>
      <c r="AZ564" s="192"/>
      <c r="BB564" s="192" t="s">
        <v>723</v>
      </c>
      <c r="BC564" s="192"/>
      <c r="BD564" s="192"/>
      <c r="BF564" s="192" t="s">
        <v>727</v>
      </c>
      <c r="BG564" s="192"/>
      <c r="BH564" s="192"/>
      <c r="BJ564" s="192" t="s">
        <v>725</v>
      </c>
      <c r="BK564" s="192"/>
      <c r="BL564" s="192"/>
      <c r="BN564" s="192" t="s">
        <v>727</v>
      </c>
      <c r="BO564" s="192"/>
      <c r="BP564" s="192"/>
      <c r="BR564" s="192" t="s">
        <v>723</v>
      </c>
      <c r="BS564" s="192"/>
      <c r="BT564" s="192"/>
    </row>
    <row r="565" ht="12.75" customHeight="1" spans="1:73">
      <c r="A565" s="186"/>
      <c r="B565" s="148"/>
      <c r="C565" s="148"/>
      <c r="E565" s="132"/>
      <c r="F565" s="182"/>
      <c r="G565" s="190"/>
      <c r="H565" s="191"/>
      <c r="J565" s="108" t="s">
        <v>730</v>
      </c>
      <c r="K565" s="108"/>
      <c r="L565" s="108"/>
      <c r="N565" s="108" t="s">
        <v>731</v>
      </c>
      <c r="O565" s="108"/>
      <c r="P565" s="108"/>
      <c r="R565" s="108" t="s">
        <v>731</v>
      </c>
      <c r="S565" s="108"/>
      <c r="T565" s="108"/>
      <c r="V565" s="108" t="s">
        <v>731</v>
      </c>
      <c r="W565" s="108"/>
      <c r="X565" s="108"/>
      <c r="Z565" s="108" t="s">
        <v>731</v>
      </c>
      <c r="AA565" s="108"/>
      <c r="AB565" s="108"/>
      <c r="AD565" s="108" t="s">
        <v>731</v>
      </c>
      <c r="AE565" s="108"/>
      <c r="AF565" s="108"/>
      <c r="AH565" s="108" t="s">
        <v>732</v>
      </c>
      <c r="AI565" s="108"/>
      <c r="AJ565" s="108"/>
      <c r="AL565" s="108" t="s">
        <v>732</v>
      </c>
      <c r="AM565" s="108"/>
      <c r="AN565" s="108"/>
      <c r="AP565" s="108" t="s">
        <v>732</v>
      </c>
      <c r="AQ565" s="108"/>
      <c r="AR565" s="108"/>
      <c r="AT565" s="108" t="s">
        <v>731</v>
      </c>
      <c r="AU565" s="108"/>
      <c r="AV565" s="108"/>
      <c r="AX565" s="108" t="s">
        <v>731</v>
      </c>
      <c r="AY565" s="108"/>
      <c r="AZ565" s="108"/>
      <c r="BB565" s="108" t="s">
        <v>731</v>
      </c>
      <c r="BC565" s="108"/>
      <c r="BD565" s="108"/>
      <c r="BF565" s="108" t="s">
        <v>732</v>
      </c>
      <c r="BG565" s="108"/>
      <c r="BH565" s="108"/>
      <c r="BJ565" s="108" t="s">
        <v>733</v>
      </c>
      <c r="BK565" s="108"/>
      <c r="BL565" s="108"/>
      <c r="BN565" s="108" t="s">
        <v>732</v>
      </c>
      <c r="BO565" s="108"/>
      <c r="BP565" s="108"/>
      <c r="BR565" s="108" t="s">
        <v>731</v>
      </c>
      <c r="BS565" s="108"/>
      <c r="BT565" s="108"/>
    </row>
    <row r="566" ht="14.55" spans="1:73">
      <c r="A566" s="109"/>
      <c r="B566" s="148"/>
      <c r="C566" s="148"/>
      <c r="E566" s="132"/>
      <c r="F566" s="193"/>
      <c r="G566" s="194"/>
      <c r="H566" s="195"/>
      <c r="J566" s="196" t="s">
        <v>734</v>
      </c>
      <c r="K566" s="196"/>
      <c r="L566" s="196"/>
      <c r="N566" s="196" t="s">
        <v>735</v>
      </c>
      <c r="O566" s="196"/>
      <c r="P566" s="196"/>
      <c r="R566" s="196" t="s">
        <v>735</v>
      </c>
      <c r="S566" s="196"/>
      <c r="T566" s="196"/>
      <c r="V566" s="196" t="s">
        <v>735</v>
      </c>
      <c r="W566" s="196"/>
      <c r="X566" s="196"/>
      <c r="Z566" s="196" t="s">
        <v>735</v>
      </c>
      <c r="AA566" s="196"/>
      <c r="AB566" s="196"/>
      <c r="AD566" s="196" t="s">
        <v>736</v>
      </c>
      <c r="AE566" s="196"/>
      <c r="AF566" s="196"/>
      <c r="AH566" s="196" t="s">
        <v>737</v>
      </c>
      <c r="AI566" s="196"/>
      <c r="AJ566" s="196"/>
      <c r="AL566" s="196" t="s">
        <v>737</v>
      </c>
      <c r="AM566" s="196"/>
      <c r="AN566" s="196"/>
      <c r="AP566" s="196" t="s">
        <v>738</v>
      </c>
      <c r="AQ566" s="196"/>
      <c r="AR566" s="196"/>
      <c r="AT566" s="196" t="s">
        <v>735</v>
      </c>
      <c r="AU566" s="196"/>
      <c r="AV566" s="196"/>
      <c r="AX566" s="196" t="s">
        <v>736</v>
      </c>
      <c r="AY566" s="196"/>
      <c r="AZ566" s="196"/>
      <c r="BB566" s="196" t="s">
        <v>736</v>
      </c>
      <c r="BC566" s="196"/>
      <c r="BD566" s="196"/>
      <c r="BF566" s="196" t="s">
        <v>737</v>
      </c>
      <c r="BG566" s="196"/>
      <c r="BH566" s="196"/>
      <c r="BJ566" s="196" t="s">
        <v>739</v>
      </c>
      <c r="BK566" s="196"/>
      <c r="BL566" s="196"/>
      <c r="BN566" s="196" t="s">
        <v>737</v>
      </c>
      <c r="BO566" s="196"/>
      <c r="BP566" s="196"/>
      <c r="BR566" s="196" t="s">
        <v>735</v>
      </c>
      <c r="BS566" s="196"/>
      <c r="BT566" s="196"/>
    </row>
    <row r="567" spans="1:73">
      <c r="A567" s="186"/>
      <c r="B567" s="131"/>
      <c r="C567" s="148"/>
      <c r="E567" s="130"/>
      <c r="F567" s="133" t="s">
        <v>740</v>
      </c>
      <c r="G567" s="108"/>
      <c r="H567" s="197"/>
      <c r="I567" s="198"/>
      <c r="J567" s="199" t="s">
        <v>740</v>
      </c>
      <c r="K567" s="200"/>
      <c r="L567" s="201"/>
      <c r="M567" s="178"/>
      <c r="N567" s="199" t="s">
        <v>740</v>
      </c>
      <c r="O567" s="200"/>
      <c r="P567" s="201"/>
      <c r="Q567" s="178"/>
      <c r="R567" s="199" t="s">
        <v>740</v>
      </c>
      <c r="S567" s="200"/>
      <c r="T567" s="201"/>
      <c r="U567" s="178"/>
      <c r="V567" s="199" t="s">
        <v>740</v>
      </c>
      <c r="W567" s="200"/>
      <c r="X567" s="201"/>
      <c r="Y567" s="178"/>
      <c r="Z567" s="199" t="s">
        <v>740</v>
      </c>
      <c r="AA567" s="200"/>
      <c r="AB567" s="201"/>
      <c r="AC567" s="178"/>
      <c r="AD567" s="199" t="s">
        <v>740</v>
      </c>
      <c r="AE567" s="200"/>
      <c r="AF567" s="201"/>
      <c r="AG567" s="178"/>
      <c r="AH567" s="199" t="s">
        <v>740</v>
      </c>
      <c r="AI567" s="200"/>
      <c r="AJ567" s="201"/>
      <c r="AK567" s="178"/>
      <c r="AL567" s="199" t="s">
        <v>740</v>
      </c>
      <c r="AM567" s="200"/>
      <c r="AN567" s="201"/>
      <c r="AO567" s="178"/>
      <c r="AP567" s="199" t="s">
        <v>740</v>
      </c>
      <c r="AQ567" s="200"/>
      <c r="AR567" s="201"/>
      <c r="AS567" s="178"/>
      <c r="AT567" s="199" t="s">
        <v>740</v>
      </c>
      <c r="AU567" s="200"/>
      <c r="AV567" s="201"/>
      <c r="AW567" s="178"/>
      <c r="AX567" s="199" t="s">
        <v>740</v>
      </c>
      <c r="AY567" s="200"/>
      <c r="AZ567" s="201"/>
      <c r="BA567" s="178"/>
      <c r="BB567" s="199" t="s">
        <v>740</v>
      </c>
      <c r="BC567" s="200"/>
      <c r="BD567" s="201"/>
      <c r="BE567" s="178"/>
      <c r="BF567" s="199" t="s">
        <v>740</v>
      </c>
      <c r="BG567" s="200"/>
      <c r="BH567" s="201"/>
      <c r="BI567" s="178"/>
      <c r="BJ567" s="199" t="s">
        <v>740</v>
      </c>
      <c r="BK567" s="200"/>
      <c r="BL567" s="201"/>
      <c r="BM567" s="178"/>
      <c r="BN567" s="199" t="s">
        <v>740</v>
      </c>
      <c r="BO567" s="200"/>
      <c r="BP567" s="201"/>
      <c r="BQ567" s="178"/>
      <c r="BR567" s="199" t="s">
        <v>740</v>
      </c>
      <c r="BS567" s="200"/>
      <c r="BT567" s="201"/>
      <c r="BU567" s="178"/>
    </row>
    <row r="568" spans="1:73">
      <c r="A568" s="136" t="s">
        <v>36</v>
      </c>
      <c r="B568" s="137" t="s">
        <v>37</v>
      </c>
      <c r="C568" s="137" t="s">
        <v>38</v>
      </c>
      <c r="D568" s="202"/>
      <c r="E568" s="130"/>
      <c r="F568" s="138"/>
      <c r="G568" s="139" t="s">
        <v>39</v>
      </c>
      <c r="H568" s="140" t="s">
        <v>40</v>
      </c>
      <c r="I568" s="145"/>
      <c r="J568" s="138"/>
      <c r="K568" s="139" t="s">
        <v>39</v>
      </c>
      <c r="L568" s="203" t="s">
        <v>40</v>
      </c>
      <c r="N568" s="138"/>
      <c r="O568" s="139" t="s">
        <v>39</v>
      </c>
      <c r="P568" s="203" t="s">
        <v>40</v>
      </c>
      <c r="R568" s="138"/>
      <c r="S568" s="139" t="s">
        <v>39</v>
      </c>
      <c r="T568" s="203" t="s">
        <v>40</v>
      </c>
      <c r="V568" s="138"/>
      <c r="W568" s="139" t="s">
        <v>39</v>
      </c>
      <c r="X568" s="203" t="s">
        <v>40</v>
      </c>
      <c r="Z568" s="138"/>
      <c r="AA568" s="139" t="s">
        <v>39</v>
      </c>
      <c r="AB568" s="203" t="s">
        <v>40</v>
      </c>
      <c r="AD568" s="138"/>
      <c r="AE568" s="139" t="s">
        <v>39</v>
      </c>
      <c r="AF568" s="203" t="s">
        <v>40</v>
      </c>
      <c r="AH568" s="138"/>
      <c r="AI568" s="139" t="s">
        <v>39</v>
      </c>
      <c r="AJ568" s="203" t="s">
        <v>40</v>
      </c>
      <c r="AL568" s="138"/>
      <c r="AM568" s="139" t="s">
        <v>39</v>
      </c>
      <c r="AN568" s="203" t="s">
        <v>40</v>
      </c>
      <c r="AP568" s="138"/>
      <c r="AQ568" s="139" t="s">
        <v>39</v>
      </c>
      <c r="AR568" s="203" t="s">
        <v>40</v>
      </c>
      <c r="AT568" s="138"/>
      <c r="AU568" s="139" t="s">
        <v>39</v>
      </c>
      <c r="AV568" s="203" t="s">
        <v>40</v>
      </c>
      <c r="AX568" s="138"/>
      <c r="AY568" s="139" t="s">
        <v>39</v>
      </c>
      <c r="AZ568" s="203" t="s">
        <v>40</v>
      </c>
      <c r="BB568" s="138"/>
      <c r="BC568" s="139" t="s">
        <v>39</v>
      </c>
      <c r="BD568" s="203" t="s">
        <v>40</v>
      </c>
      <c r="BF568" s="138"/>
      <c r="BG568" s="139" t="s">
        <v>39</v>
      </c>
      <c r="BH568" s="203" t="s">
        <v>40</v>
      </c>
      <c r="BJ568" s="138"/>
      <c r="BK568" s="139" t="s">
        <v>39</v>
      </c>
      <c r="BL568" s="203" t="s">
        <v>40</v>
      </c>
      <c r="BN568" s="138"/>
      <c r="BO568" s="139" t="s">
        <v>39</v>
      </c>
      <c r="BP568" s="203" t="s">
        <v>40</v>
      </c>
      <c r="BR568" s="138"/>
      <c r="BS568" s="139" t="s">
        <v>39</v>
      </c>
      <c r="BT568" s="203" t="s">
        <v>40</v>
      </c>
    </row>
    <row r="569" ht="12.75" customHeight="1" spans="1:73">
      <c r="A569" s="204" t="s">
        <v>741</v>
      </c>
      <c r="B569" s="205" t="s">
        <v>172</v>
      </c>
      <c r="C569" s="206"/>
      <c r="D569" s="207"/>
      <c r="E569" s="130"/>
      <c r="F569" s="208"/>
      <c r="G569" s="143" t="s">
        <v>742</v>
      </c>
      <c r="H569" s="209"/>
      <c r="I569" s="198"/>
      <c r="J569" s="210"/>
      <c r="K569" s="211" t="s">
        <v>742</v>
      </c>
      <c r="L569" s="212" t="s">
        <v>551</v>
      </c>
      <c r="M569" s="178"/>
      <c r="N569" s="210"/>
      <c r="O569" s="211" t="s">
        <v>742</v>
      </c>
      <c r="P569" s="212" t="s">
        <v>551</v>
      </c>
      <c r="Q569" s="178"/>
      <c r="R569" s="210"/>
      <c r="S569" s="211" t="s">
        <v>742</v>
      </c>
      <c r="T569" s="212" t="s">
        <v>551</v>
      </c>
      <c r="U569" s="178"/>
      <c r="V569" s="210"/>
      <c r="W569" s="211" t="s">
        <v>742</v>
      </c>
      <c r="X569" s="213" t="s">
        <v>172</v>
      </c>
      <c r="Y569" s="178"/>
      <c r="Z569" s="210"/>
      <c r="AA569" s="211" t="s">
        <v>742</v>
      </c>
      <c r="AB569" s="213" t="s">
        <v>172</v>
      </c>
      <c r="AC569" s="178"/>
      <c r="AD569" s="210"/>
      <c r="AE569" s="211" t="s">
        <v>742</v>
      </c>
      <c r="AF569" s="212" t="s">
        <v>551</v>
      </c>
      <c r="AG569" s="178"/>
      <c r="AH569" s="210"/>
      <c r="AI569" s="211" t="s">
        <v>742</v>
      </c>
      <c r="AJ569" s="212" t="s">
        <v>551</v>
      </c>
      <c r="AK569" s="178"/>
      <c r="AL569" s="210"/>
      <c r="AM569" s="211" t="s">
        <v>742</v>
      </c>
      <c r="AN569" s="212" t="s">
        <v>551</v>
      </c>
      <c r="AO569" s="178"/>
      <c r="AP569" s="210"/>
      <c r="AQ569" s="211" t="s">
        <v>742</v>
      </c>
      <c r="AR569" s="212" t="s">
        <v>551</v>
      </c>
      <c r="AS569" s="178"/>
      <c r="AT569" s="210"/>
      <c r="AU569" s="211" t="s">
        <v>742</v>
      </c>
      <c r="AV569" s="212" t="s">
        <v>551</v>
      </c>
      <c r="AW569" s="178"/>
      <c r="AX569" s="210"/>
      <c r="AY569" s="211" t="s">
        <v>742</v>
      </c>
      <c r="AZ569" s="213" t="s">
        <v>172</v>
      </c>
      <c r="BA569" s="178"/>
      <c r="BB569" s="210"/>
      <c r="BC569" s="211" t="s">
        <v>742</v>
      </c>
      <c r="BD569" s="213" t="s">
        <v>172</v>
      </c>
      <c r="BE569" s="178"/>
      <c r="BF569" s="210"/>
      <c r="BG569" s="211" t="s">
        <v>742</v>
      </c>
      <c r="BH569" s="212" t="s">
        <v>551</v>
      </c>
      <c r="BI569" s="178"/>
      <c r="BJ569" s="210"/>
      <c r="BK569" s="211" t="s">
        <v>742</v>
      </c>
      <c r="BL569" s="212" t="s">
        <v>551</v>
      </c>
      <c r="BM569" s="178"/>
      <c r="BN569" s="210"/>
      <c r="BO569" s="211" t="s">
        <v>742</v>
      </c>
      <c r="BP569" s="212" t="s">
        <v>551</v>
      </c>
      <c r="BQ569" s="178"/>
      <c r="BR569" s="210"/>
      <c r="BS569" s="211" t="s">
        <v>742</v>
      </c>
      <c r="BT569" s="212" t="s">
        <v>551</v>
      </c>
      <c r="BU569" s="178"/>
    </row>
    <row r="570" ht="12.75" customHeight="1" spans="1:73">
      <c r="A570" s="204" t="s">
        <v>743</v>
      </c>
      <c r="B570" s="205" t="s">
        <v>172</v>
      </c>
      <c r="C570" s="206"/>
      <c r="D570" s="207"/>
      <c r="E570" s="130"/>
      <c r="F570" s="208"/>
      <c r="G570" s="143" t="s">
        <v>744</v>
      </c>
      <c r="H570" s="209"/>
      <c r="I570" s="198"/>
      <c r="J570" s="210"/>
      <c r="K570" s="211" t="s">
        <v>744</v>
      </c>
      <c r="L570" s="212" t="s">
        <v>551</v>
      </c>
      <c r="M570" s="178"/>
      <c r="N570" s="210"/>
      <c r="O570" s="211" t="s">
        <v>744</v>
      </c>
      <c r="P570" s="212" t="s">
        <v>551</v>
      </c>
      <c r="Q570" s="178"/>
      <c r="R570" s="210"/>
      <c r="S570" s="211" t="s">
        <v>744</v>
      </c>
      <c r="T570" s="212" t="s">
        <v>551</v>
      </c>
      <c r="U570" s="178"/>
      <c r="V570" s="210"/>
      <c r="W570" s="211" t="s">
        <v>744</v>
      </c>
      <c r="X570" s="213" t="s">
        <v>172</v>
      </c>
      <c r="Y570" s="178"/>
      <c r="Z570" s="210"/>
      <c r="AA570" s="211" t="s">
        <v>744</v>
      </c>
      <c r="AB570" s="213" t="s">
        <v>172</v>
      </c>
      <c r="AC570" s="178"/>
      <c r="AD570" s="210"/>
      <c r="AE570" s="211" t="s">
        <v>744</v>
      </c>
      <c r="AF570" s="212" t="s">
        <v>551</v>
      </c>
      <c r="AG570" s="178"/>
      <c r="AH570" s="210"/>
      <c r="AI570" s="211" t="s">
        <v>744</v>
      </c>
      <c r="AJ570" s="212" t="s">
        <v>551</v>
      </c>
      <c r="AK570" s="178"/>
      <c r="AL570" s="210"/>
      <c r="AM570" s="211" t="s">
        <v>744</v>
      </c>
      <c r="AN570" s="212" t="s">
        <v>551</v>
      </c>
      <c r="AO570" s="178"/>
      <c r="AP570" s="210"/>
      <c r="AQ570" s="211" t="s">
        <v>744</v>
      </c>
      <c r="AR570" s="212" t="s">
        <v>551</v>
      </c>
      <c r="AS570" s="178"/>
      <c r="AT570" s="210"/>
      <c r="AU570" s="211" t="s">
        <v>744</v>
      </c>
      <c r="AV570" s="212" t="s">
        <v>551</v>
      </c>
      <c r="AW570" s="178"/>
      <c r="AX570" s="210"/>
      <c r="AY570" s="211" t="s">
        <v>744</v>
      </c>
      <c r="AZ570" s="213" t="s">
        <v>172</v>
      </c>
      <c r="BA570" s="178"/>
      <c r="BB570" s="210"/>
      <c r="BC570" s="211" t="s">
        <v>744</v>
      </c>
      <c r="BD570" s="213" t="s">
        <v>172</v>
      </c>
      <c r="BE570" s="178"/>
      <c r="BF570" s="210"/>
      <c r="BG570" s="211" t="s">
        <v>744</v>
      </c>
      <c r="BH570" s="212" t="s">
        <v>551</v>
      </c>
      <c r="BI570" s="178"/>
      <c r="BJ570" s="210"/>
      <c r="BK570" s="211" t="s">
        <v>744</v>
      </c>
      <c r="BL570" s="212" t="s">
        <v>551</v>
      </c>
      <c r="BM570" s="178"/>
      <c r="BN570" s="210"/>
      <c r="BO570" s="211" t="s">
        <v>744</v>
      </c>
      <c r="BP570" s="212" t="s">
        <v>551</v>
      </c>
      <c r="BQ570" s="178"/>
      <c r="BR570" s="210"/>
      <c r="BS570" s="211" t="s">
        <v>744</v>
      </c>
      <c r="BT570" s="212" t="s">
        <v>551</v>
      </c>
      <c r="BU570" s="178"/>
    </row>
    <row r="571" ht="12.75" customHeight="1" spans="1:73">
      <c r="A571" s="204" t="s">
        <v>745</v>
      </c>
      <c r="B571" s="205" t="s">
        <v>243</v>
      </c>
      <c r="C571" s="206"/>
      <c r="D571" s="207"/>
      <c r="E571" s="130"/>
      <c r="F571" s="208"/>
      <c r="G571" s="143" t="s">
        <v>746</v>
      </c>
      <c r="H571" s="209"/>
      <c r="I571" s="198"/>
      <c r="J571" s="210"/>
      <c r="K571" s="211" t="s">
        <v>746</v>
      </c>
      <c r="L571" s="213" t="s">
        <v>243</v>
      </c>
      <c r="M571" s="178"/>
      <c r="N571" s="210"/>
      <c r="O571" s="211" t="s">
        <v>746</v>
      </c>
      <c r="P571" s="213" t="s">
        <v>243</v>
      </c>
      <c r="Q571" s="178"/>
      <c r="R571" s="210"/>
      <c r="S571" s="211" t="s">
        <v>746</v>
      </c>
      <c r="T571" s="213" t="s">
        <v>243</v>
      </c>
      <c r="U571" s="178"/>
      <c r="V571" s="210"/>
      <c r="W571" s="211" t="s">
        <v>746</v>
      </c>
      <c r="X571" s="213" t="s">
        <v>243</v>
      </c>
      <c r="Y571" s="178"/>
      <c r="Z571" s="210"/>
      <c r="AA571" s="211" t="s">
        <v>746</v>
      </c>
      <c r="AB571" s="213" t="s">
        <v>243</v>
      </c>
      <c r="AC571" s="178"/>
      <c r="AD571" s="210"/>
      <c r="AE571" s="211" t="s">
        <v>746</v>
      </c>
      <c r="AF571" s="213" t="s">
        <v>243</v>
      </c>
      <c r="AG571" s="178"/>
      <c r="AH571" s="210"/>
      <c r="AI571" s="211" t="s">
        <v>746</v>
      </c>
      <c r="AJ571" s="213" t="s">
        <v>243</v>
      </c>
      <c r="AK571" s="178"/>
      <c r="AL571" s="210"/>
      <c r="AM571" s="211" t="s">
        <v>746</v>
      </c>
      <c r="AN571" s="213" t="s">
        <v>243</v>
      </c>
      <c r="AO571" s="178"/>
      <c r="AP571" s="210"/>
      <c r="AQ571" s="211" t="s">
        <v>746</v>
      </c>
      <c r="AR571" s="213" t="s">
        <v>243</v>
      </c>
      <c r="AS571" s="178"/>
      <c r="AT571" s="210"/>
      <c r="AU571" s="211" t="s">
        <v>746</v>
      </c>
      <c r="AV571" s="213" t="s">
        <v>243</v>
      </c>
      <c r="AW571" s="178"/>
      <c r="AX571" s="210"/>
      <c r="AY571" s="211" t="s">
        <v>746</v>
      </c>
      <c r="AZ571" s="213" t="s">
        <v>243</v>
      </c>
      <c r="BA571" s="178"/>
      <c r="BB571" s="210"/>
      <c r="BC571" s="211" t="s">
        <v>746</v>
      </c>
      <c r="BD571" s="213" t="s">
        <v>243</v>
      </c>
      <c r="BE571" s="178"/>
      <c r="BF571" s="210"/>
      <c r="BG571" s="211" t="s">
        <v>746</v>
      </c>
      <c r="BH571" s="213" t="s">
        <v>243</v>
      </c>
      <c r="BI571" s="178"/>
      <c r="BJ571" s="210"/>
      <c r="BK571" s="211" t="s">
        <v>746</v>
      </c>
      <c r="BL571" s="213" t="s">
        <v>243</v>
      </c>
      <c r="BM571" s="178"/>
      <c r="BN571" s="210"/>
      <c r="BO571" s="211" t="s">
        <v>746</v>
      </c>
      <c r="BP571" s="213" t="s">
        <v>243</v>
      </c>
      <c r="BQ571" s="178"/>
      <c r="BR571" s="210"/>
      <c r="BS571" s="211" t="s">
        <v>746</v>
      </c>
      <c r="BT571" s="213" t="s">
        <v>243</v>
      </c>
      <c r="BU571" s="178"/>
    </row>
    <row r="572" s="105" customFormat="1" spans="1:73">
      <c r="A572" s="153"/>
      <c r="B572" s="205" t="s">
        <v>172</v>
      </c>
      <c r="C572" s="214"/>
      <c r="D572" s="207"/>
      <c r="E572" s="130"/>
      <c r="F572" s="208"/>
      <c r="G572" s="143" t="s">
        <v>747</v>
      </c>
      <c r="H572" s="209"/>
      <c r="I572" s="198"/>
      <c r="J572" s="210"/>
      <c r="K572" s="211" t="s">
        <v>747</v>
      </c>
      <c r="L572" s="212" t="s">
        <v>8</v>
      </c>
      <c r="M572" s="178"/>
      <c r="N572" s="210"/>
      <c r="O572" s="211" t="s">
        <v>747</v>
      </c>
      <c r="P572" s="212" t="s">
        <v>8</v>
      </c>
      <c r="Q572" s="178"/>
      <c r="R572" s="210"/>
      <c r="S572" s="211" t="s">
        <v>747</v>
      </c>
      <c r="T572" s="212" t="s">
        <v>8</v>
      </c>
      <c r="U572" s="178"/>
      <c r="V572" s="210"/>
      <c r="W572" s="211" t="s">
        <v>747</v>
      </c>
      <c r="X572" s="212" t="s">
        <v>8</v>
      </c>
      <c r="Y572" s="178"/>
      <c r="Z572" s="210"/>
      <c r="AA572" s="211" t="s">
        <v>747</v>
      </c>
      <c r="AB572" s="212" t="s">
        <v>8</v>
      </c>
      <c r="AC572" s="178"/>
      <c r="AD572" s="210"/>
      <c r="AE572" s="211" t="s">
        <v>747</v>
      </c>
      <c r="AF572" s="212" t="s">
        <v>8</v>
      </c>
      <c r="AG572" s="178"/>
      <c r="AH572" s="210"/>
      <c r="AI572" s="211" t="s">
        <v>747</v>
      </c>
      <c r="AJ572" s="212" t="s">
        <v>8</v>
      </c>
      <c r="AK572" s="178"/>
      <c r="AL572" s="210"/>
      <c r="AM572" s="211" t="s">
        <v>747</v>
      </c>
      <c r="AN572" s="212" t="s">
        <v>8</v>
      </c>
      <c r="AO572" s="178"/>
      <c r="AP572" s="210"/>
      <c r="AQ572" s="211" t="s">
        <v>747</v>
      </c>
      <c r="AR572" s="212" t="s">
        <v>8</v>
      </c>
      <c r="AS572" s="178"/>
      <c r="AT572" s="210"/>
      <c r="AU572" s="211" t="s">
        <v>747</v>
      </c>
      <c r="AV572" s="212" t="s">
        <v>8</v>
      </c>
      <c r="AW572" s="178"/>
      <c r="AX572" s="210"/>
      <c r="AY572" s="211" t="s">
        <v>747</v>
      </c>
      <c r="AZ572" s="212" t="s">
        <v>8</v>
      </c>
      <c r="BA572" s="178"/>
      <c r="BB572" s="210"/>
      <c r="BC572" s="211" t="s">
        <v>747</v>
      </c>
      <c r="BD572" s="212" t="s">
        <v>8</v>
      </c>
      <c r="BE572" s="178"/>
      <c r="BF572" s="210"/>
      <c r="BG572" s="211" t="s">
        <v>747</v>
      </c>
      <c r="BH572" s="212" t="s">
        <v>8</v>
      </c>
      <c r="BI572" s="178"/>
      <c r="BJ572" s="210"/>
      <c r="BK572" s="211" t="s">
        <v>747</v>
      </c>
      <c r="BL572" s="212" t="s">
        <v>8</v>
      </c>
      <c r="BM572" s="178"/>
      <c r="BN572" s="210"/>
      <c r="BO572" s="211" t="s">
        <v>747</v>
      </c>
      <c r="BP572" s="212" t="s">
        <v>8</v>
      </c>
      <c r="BQ572" s="178"/>
      <c r="BR572" s="210"/>
      <c r="BS572" s="211" t="s">
        <v>747</v>
      </c>
      <c r="BT572" s="212" t="s">
        <v>8</v>
      </c>
      <c r="BU572" s="178"/>
    </row>
    <row r="573" s="105" customFormat="1" spans="1:73">
      <c r="A573" s="153"/>
      <c r="B573" s="205" t="s">
        <v>172</v>
      </c>
      <c r="C573" s="214"/>
      <c r="D573" s="207"/>
      <c r="E573" s="130"/>
      <c r="F573" s="208"/>
      <c r="G573" s="143" t="s">
        <v>748</v>
      </c>
      <c r="H573" s="209"/>
      <c r="I573" s="198"/>
      <c r="J573" s="210"/>
      <c r="K573" s="211" t="s">
        <v>748</v>
      </c>
      <c r="L573" s="212" t="s">
        <v>8</v>
      </c>
      <c r="M573" s="178"/>
      <c r="N573" s="210"/>
      <c r="O573" s="211" t="s">
        <v>748</v>
      </c>
      <c r="P573" s="212" t="s">
        <v>8</v>
      </c>
      <c r="Q573" s="178"/>
      <c r="R573" s="210"/>
      <c r="S573" s="211" t="s">
        <v>748</v>
      </c>
      <c r="T573" s="212" t="s">
        <v>8</v>
      </c>
      <c r="U573" s="178"/>
      <c r="V573" s="210"/>
      <c r="W573" s="211" t="s">
        <v>748</v>
      </c>
      <c r="X573" s="212" t="s">
        <v>8</v>
      </c>
      <c r="Y573" s="178"/>
      <c r="Z573" s="210"/>
      <c r="AA573" s="211" t="s">
        <v>748</v>
      </c>
      <c r="AB573" s="212" t="s">
        <v>8</v>
      </c>
      <c r="AC573" s="178"/>
      <c r="AD573" s="210"/>
      <c r="AE573" s="211" t="s">
        <v>748</v>
      </c>
      <c r="AF573" s="212" t="s">
        <v>8</v>
      </c>
      <c r="AG573" s="178"/>
      <c r="AH573" s="210"/>
      <c r="AI573" s="211" t="s">
        <v>748</v>
      </c>
      <c r="AJ573" s="212" t="s">
        <v>8</v>
      </c>
      <c r="AK573" s="178"/>
      <c r="AL573" s="210"/>
      <c r="AM573" s="211" t="s">
        <v>748</v>
      </c>
      <c r="AN573" s="212" t="s">
        <v>8</v>
      </c>
      <c r="AO573" s="178"/>
      <c r="AP573" s="210"/>
      <c r="AQ573" s="211" t="s">
        <v>748</v>
      </c>
      <c r="AR573" s="212" t="s">
        <v>8</v>
      </c>
      <c r="AS573" s="178"/>
      <c r="AT573" s="210"/>
      <c r="AU573" s="211" t="s">
        <v>748</v>
      </c>
      <c r="AV573" s="212" t="s">
        <v>8</v>
      </c>
      <c r="AW573" s="178"/>
      <c r="AX573" s="210"/>
      <c r="AY573" s="211" t="s">
        <v>748</v>
      </c>
      <c r="AZ573" s="212" t="s">
        <v>8</v>
      </c>
      <c r="BA573" s="178"/>
      <c r="BB573" s="210"/>
      <c r="BC573" s="211" t="s">
        <v>748</v>
      </c>
      <c r="BD573" s="212" t="s">
        <v>8</v>
      </c>
      <c r="BE573" s="178"/>
      <c r="BF573" s="210"/>
      <c r="BG573" s="211" t="s">
        <v>748</v>
      </c>
      <c r="BH573" s="212" t="s">
        <v>8</v>
      </c>
      <c r="BI573" s="178"/>
      <c r="BJ573" s="210"/>
      <c r="BK573" s="211" t="s">
        <v>748</v>
      </c>
      <c r="BL573" s="212" t="s">
        <v>8</v>
      </c>
      <c r="BM573" s="178"/>
      <c r="BN573" s="210"/>
      <c r="BO573" s="211" t="s">
        <v>748</v>
      </c>
      <c r="BP573" s="212" t="s">
        <v>8</v>
      </c>
      <c r="BQ573" s="178"/>
      <c r="BR573" s="210"/>
      <c r="BS573" s="211" t="s">
        <v>748</v>
      </c>
      <c r="BT573" s="212" t="s">
        <v>8</v>
      </c>
      <c r="BU573" s="178"/>
    </row>
    <row r="574" s="105" customFormat="1" spans="1:73">
      <c r="A574" s="153"/>
      <c r="B574" s="205" t="s">
        <v>46</v>
      </c>
      <c r="C574" s="214"/>
      <c r="D574" s="207"/>
      <c r="E574" s="130"/>
      <c r="F574" s="208"/>
      <c r="G574" s="143" t="s">
        <v>749</v>
      </c>
      <c r="H574" s="209"/>
      <c r="I574" s="198"/>
      <c r="J574" s="210"/>
      <c r="K574" s="211" t="s">
        <v>749</v>
      </c>
      <c r="L574" s="213" t="s">
        <v>46</v>
      </c>
      <c r="M574" s="178"/>
      <c r="N574" s="210"/>
      <c r="O574" s="211" t="s">
        <v>749</v>
      </c>
      <c r="P574" s="213" t="s">
        <v>46</v>
      </c>
      <c r="Q574" s="178"/>
      <c r="R574" s="210"/>
      <c r="S574" s="211" t="s">
        <v>749</v>
      </c>
      <c r="T574" s="213" t="s">
        <v>46</v>
      </c>
      <c r="U574" s="178"/>
      <c r="V574" s="210"/>
      <c r="W574" s="211" t="s">
        <v>749</v>
      </c>
      <c r="X574" s="212" t="s">
        <v>63</v>
      </c>
      <c r="Y574" s="178"/>
      <c r="Z574" s="210"/>
      <c r="AA574" s="211" t="s">
        <v>749</v>
      </c>
      <c r="AB574" s="212" t="s">
        <v>63</v>
      </c>
      <c r="AC574" s="178"/>
      <c r="AD574" s="210"/>
      <c r="AE574" s="211" t="s">
        <v>749</v>
      </c>
      <c r="AF574" s="213" t="s">
        <v>46</v>
      </c>
      <c r="AG574" s="178"/>
      <c r="AH574" s="210"/>
      <c r="AI574" s="211" t="s">
        <v>749</v>
      </c>
      <c r="AJ574" s="213" t="s">
        <v>46</v>
      </c>
      <c r="AK574" s="178"/>
      <c r="AL574" s="210"/>
      <c r="AM574" s="211" t="s">
        <v>749</v>
      </c>
      <c r="AN574" s="213" t="s">
        <v>46</v>
      </c>
      <c r="AO574" s="178"/>
      <c r="AP574" s="210"/>
      <c r="AQ574" s="211" t="s">
        <v>749</v>
      </c>
      <c r="AR574" s="213" t="s">
        <v>46</v>
      </c>
      <c r="AS574" s="178"/>
      <c r="AT574" s="210"/>
      <c r="AU574" s="211" t="s">
        <v>749</v>
      </c>
      <c r="AV574" s="213" t="s">
        <v>46</v>
      </c>
      <c r="AW574" s="178"/>
      <c r="AX574" s="210"/>
      <c r="AY574" s="211" t="s">
        <v>749</v>
      </c>
      <c r="AZ574" s="212" t="s">
        <v>63</v>
      </c>
      <c r="BA574" s="178"/>
      <c r="BB574" s="210"/>
      <c r="BC574" s="211" t="s">
        <v>749</v>
      </c>
      <c r="BD574" s="212" t="s">
        <v>63</v>
      </c>
      <c r="BE574" s="178"/>
      <c r="BF574" s="210"/>
      <c r="BG574" s="211" t="s">
        <v>749</v>
      </c>
      <c r="BH574" s="213" t="s">
        <v>46</v>
      </c>
      <c r="BI574" s="178"/>
      <c r="BJ574" s="210"/>
      <c r="BK574" s="211" t="s">
        <v>749</v>
      </c>
      <c r="BL574" s="213" t="s">
        <v>46</v>
      </c>
      <c r="BM574" s="178"/>
      <c r="BN574" s="210"/>
      <c r="BO574" s="211" t="s">
        <v>749</v>
      </c>
      <c r="BP574" s="213" t="s">
        <v>46</v>
      </c>
      <c r="BQ574" s="178"/>
      <c r="BR574" s="210"/>
      <c r="BS574" s="211" t="s">
        <v>749</v>
      </c>
      <c r="BT574" s="213" t="s">
        <v>46</v>
      </c>
      <c r="BU574" s="178"/>
    </row>
    <row r="575" s="105" customFormat="1" ht="12.75" customHeight="1" spans="1:73">
      <c r="A575" s="165"/>
      <c r="B575" s="166"/>
      <c r="C575" s="166"/>
      <c r="D575" s="215"/>
      <c r="E575" s="132"/>
      <c r="F575" s="216"/>
      <c r="G575" s="143"/>
      <c r="H575" s="167"/>
      <c r="I575" s="198"/>
      <c r="J575" s="217"/>
      <c r="K575" s="211"/>
      <c r="L575" s="213"/>
      <c r="M575" s="178"/>
      <c r="N575" s="217"/>
      <c r="O575" s="211"/>
      <c r="P575" s="213"/>
      <c r="Q575" s="178"/>
      <c r="R575" s="217"/>
      <c r="S575" s="211"/>
      <c r="T575" s="213"/>
      <c r="U575" s="178"/>
      <c r="V575" s="217"/>
      <c r="W575" s="211"/>
      <c r="X575" s="213"/>
      <c r="Y575" s="178"/>
      <c r="Z575" s="217"/>
      <c r="AA575" s="211"/>
      <c r="AB575" s="213"/>
      <c r="AC575" s="178"/>
      <c r="AD575" s="217"/>
      <c r="AE575" s="211"/>
      <c r="AF575" s="213"/>
      <c r="AG575" s="178"/>
      <c r="AH575" s="217"/>
      <c r="AI575" s="211"/>
      <c r="AJ575" s="213"/>
      <c r="AK575" s="178"/>
      <c r="AL575" s="217"/>
      <c r="AM575" s="211"/>
      <c r="AN575" s="213"/>
      <c r="AO575" s="178"/>
      <c r="AP575" s="217"/>
      <c r="AQ575" s="211"/>
      <c r="AR575" s="213"/>
      <c r="AS575" s="178"/>
      <c r="AT575" s="217"/>
      <c r="AU575" s="211"/>
      <c r="AV575" s="213"/>
      <c r="AW575" s="178"/>
      <c r="AX575" s="217"/>
      <c r="AY575" s="211"/>
      <c r="AZ575" s="213"/>
      <c r="BA575" s="178"/>
      <c r="BB575" s="217"/>
      <c r="BC575" s="211"/>
      <c r="BD575" s="213"/>
      <c r="BE575" s="178"/>
      <c r="BF575" s="217"/>
      <c r="BG575" s="211"/>
      <c r="BH575" s="213"/>
      <c r="BI575" s="178"/>
      <c r="BJ575" s="217"/>
      <c r="BK575" s="211"/>
      <c r="BL575" s="213"/>
      <c r="BM575" s="178"/>
      <c r="BN575" s="217"/>
      <c r="BO575" s="211"/>
      <c r="BP575" s="213"/>
      <c r="BQ575" s="178"/>
      <c r="BR575" s="217"/>
      <c r="BS575" s="211"/>
      <c r="BT575" s="213"/>
      <c r="BU575" s="178"/>
    </row>
    <row r="576" spans="1:73">
      <c r="A576" s="165"/>
      <c r="B576" s="166"/>
      <c r="C576" s="166"/>
      <c r="D576" s="202"/>
      <c r="E576" s="132"/>
      <c r="F576" s="218"/>
      <c r="G576" s="143"/>
      <c r="H576" s="167"/>
      <c r="I576" s="198"/>
      <c r="J576" s="219"/>
      <c r="K576" s="211"/>
      <c r="L576" s="213"/>
      <c r="M576" s="178"/>
      <c r="N576" s="219"/>
      <c r="O576" s="211"/>
      <c r="P576" s="213"/>
      <c r="Q576" s="178"/>
      <c r="R576" s="219"/>
      <c r="S576" s="211"/>
      <c r="T576" s="213"/>
      <c r="U576" s="178"/>
      <c r="V576" s="219"/>
      <c r="W576" s="211"/>
      <c r="X576" s="213"/>
      <c r="Y576" s="178"/>
      <c r="Z576" s="219"/>
      <c r="AA576" s="211"/>
      <c r="AB576" s="213"/>
      <c r="AC576" s="178"/>
      <c r="AD576" s="219"/>
      <c r="AE576" s="211"/>
      <c r="AF576" s="213"/>
      <c r="AG576" s="178"/>
      <c r="AH576" s="219"/>
      <c r="AI576" s="211"/>
      <c r="AJ576" s="213"/>
      <c r="AK576" s="178"/>
      <c r="AL576" s="219"/>
      <c r="AM576" s="211"/>
      <c r="AN576" s="213"/>
      <c r="AO576" s="178"/>
      <c r="AP576" s="219"/>
      <c r="AQ576" s="211"/>
      <c r="AR576" s="213"/>
      <c r="AS576" s="178"/>
      <c r="AT576" s="219"/>
      <c r="AU576" s="211"/>
      <c r="AV576" s="213"/>
      <c r="AW576" s="178"/>
      <c r="AX576" s="219"/>
      <c r="AY576" s="211"/>
      <c r="AZ576" s="213"/>
      <c r="BA576" s="178"/>
      <c r="BB576" s="219"/>
      <c r="BC576" s="211"/>
      <c r="BD576" s="213"/>
      <c r="BE576" s="178"/>
      <c r="BF576" s="219"/>
      <c r="BG576" s="211"/>
      <c r="BH576" s="213"/>
      <c r="BI576" s="178"/>
      <c r="BJ576" s="219"/>
      <c r="BK576" s="211"/>
      <c r="BL576" s="213"/>
      <c r="BM576" s="178"/>
      <c r="BN576" s="219"/>
      <c r="BO576" s="211"/>
      <c r="BP576" s="213"/>
      <c r="BQ576" s="178"/>
      <c r="BR576" s="219"/>
      <c r="BS576" s="211"/>
      <c r="BT576" s="213"/>
      <c r="BU576" s="178"/>
    </row>
    <row r="577" ht="12.75" customHeight="1" spans="1:73">
      <c r="A577" s="165"/>
      <c r="B577" s="131"/>
      <c r="C577" s="148"/>
      <c r="D577" s="202"/>
      <c r="E577" s="130"/>
      <c r="F577" s="133" t="s">
        <v>750</v>
      </c>
      <c r="G577" s="108"/>
      <c r="H577" s="197"/>
      <c r="I577" s="198"/>
      <c r="J577" s="199" t="s">
        <v>750</v>
      </c>
      <c r="K577" s="220"/>
      <c r="L577" s="201"/>
      <c r="M577" s="178"/>
      <c r="N577" s="199" t="s">
        <v>750</v>
      </c>
      <c r="O577" s="220"/>
      <c r="P577" s="201"/>
      <c r="Q577" s="178"/>
      <c r="R577" s="199" t="s">
        <v>750</v>
      </c>
      <c r="S577" s="220"/>
      <c r="T577" s="201"/>
      <c r="U577" s="178"/>
      <c r="V577" s="199" t="s">
        <v>750</v>
      </c>
      <c r="W577" s="220"/>
      <c r="X577" s="201"/>
      <c r="Y577" s="178"/>
      <c r="Z577" s="199" t="s">
        <v>750</v>
      </c>
      <c r="AA577" s="220"/>
      <c r="AB577" s="201"/>
      <c r="AC577" s="178"/>
      <c r="AD577" s="199" t="s">
        <v>750</v>
      </c>
      <c r="AE577" s="220"/>
      <c r="AF577" s="201"/>
      <c r="AG577" s="178"/>
      <c r="AH577" s="199" t="s">
        <v>750</v>
      </c>
      <c r="AI577" s="220"/>
      <c r="AJ577" s="201"/>
      <c r="AK577" s="178"/>
      <c r="AL577" s="199" t="s">
        <v>750</v>
      </c>
      <c r="AM577" s="220"/>
      <c r="AN577" s="201"/>
      <c r="AO577" s="178"/>
      <c r="AP577" s="199" t="s">
        <v>750</v>
      </c>
      <c r="AQ577" s="220"/>
      <c r="AR577" s="201"/>
      <c r="AS577" s="178"/>
      <c r="AT577" s="199" t="s">
        <v>750</v>
      </c>
      <c r="AU577" s="220"/>
      <c r="AV577" s="201"/>
      <c r="AW577" s="178"/>
      <c r="AX577" s="199" t="s">
        <v>750</v>
      </c>
      <c r="AY577" s="220"/>
      <c r="AZ577" s="201"/>
      <c r="BA577" s="178"/>
      <c r="BB577" s="199" t="s">
        <v>750</v>
      </c>
      <c r="BC577" s="220"/>
      <c r="BD577" s="201"/>
      <c r="BE577" s="178"/>
      <c r="BF577" s="199" t="s">
        <v>750</v>
      </c>
      <c r="BG577" s="220"/>
      <c r="BH577" s="201"/>
      <c r="BI577" s="178"/>
      <c r="BJ577" s="199" t="s">
        <v>750</v>
      </c>
      <c r="BK577" s="220"/>
      <c r="BL577" s="201"/>
      <c r="BM577" s="178"/>
      <c r="BN577" s="199" t="s">
        <v>750</v>
      </c>
      <c r="BO577" s="220"/>
      <c r="BP577" s="201"/>
      <c r="BQ577" s="178"/>
      <c r="BR577" s="199" t="s">
        <v>750</v>
      </c>
      <c r="BS577" s="220"/>
      <c r="BT577" s="201"/>
      <c r="BU577" s="178"/>
    </row>
    <row r="578" spans="1:73">
      <c r="A578" s="136" t="s">
        <v>36</v>
      </c>
      <c r="B578" s="137" t="s">
        <v>37</v>
      </c>
      <c r="C578" s="137" t="s">
        <v>38</v>
      </c>
      <c r="D578" s="202"/>
      <c r="E578" s="130"/>
      <c r="F578" s="138"/>
      <c r="G578" s="139" t="s">
        <v>39</v>
      </c>
      <c r="H578" s="140" t="s">
        <v>40</v>
      </c>
      <c r="I578" s="145"/>
      <c r="J578" s="138"/>
      <c r="K578" s="139" t="s">
        <v>39</v>
      </c>
      <c r="L578" s="203" t="s">
        <v>40</v>
      </c>
      <c r="N578" s="138"/>
      <c r="O578" s="139" t="s">
        <v>39</v>
      </c>
      <c r="P578" s="203" t="s">
        <v>40</v>
      </c>
      <c r="R578" s="138"/>
      <c r="S578" s="139" t="s">
        <v>39</v>
      </c>
      <c r="T578" s="203" t="s">
        <v>40</v>
      </c>
      <c r="V578" s="138"/>
      <c r="W578" s="139" t="s">
        <v>39</v>
      </c>
      <c r="X578" s="203" t="s">
        <v>40</v>
      </c>
      <c r="Z578" s="138"/>
      <c r="AA578" s="139" t="s">
        <v>39</v>
      </c>
      <c r="AB578" s="203" t="s">
        <v>40</v>
      </c>
      <c r="AD578" s="138"/>
      <c r="AE578" s="139" t="s">
        <v>39</v>
      </c>
      <c r="AF578" s="203" t="s">
        <v>40</v>
      </c>
      <c r="AH578" s="138"/>
      <c r="AI578" s="139" t="s">
        <v>39</v>
      </c>
      <c r="AJ578" s="203" t="s">
        <v>40</v>
      </c>
      <c r="AL578" s="138"/>
      <c r="AM578" s="139" t="s">
        <v>39</v>
      </c>
      <c r="AN578" s="203" t="s">
        <v>40</v>
      </c>
      <c r="AP578" s="138"/>
      <c r="AQ578" s="139" t="s">
        <v>39</v>
      </c>
      <c r="AR578" s="203" t="s">
        <v>40</v>
      </c>
      <c r="AT578" s="138"/>
      <c r="AU578" s="139" t="s">
        <v>39</v>
      </c>
      <c r="AV578" s="203" t="s">
        <v>40</v>
      </c>
      <c r="AX578" s="138"/>
      <c r="AY578" s="139" t="s">
        <v>39</v>
      </c>
      <c r="AZ578" s="203" t="s">
        <v>40</v>
      </c>
      <c r="BB578" s="138"/>
      <c r="BC578" s="139" t="s">
        <v>39</v>
      </c>
      <c r="BD578" s="203" t="s">
        <v>40</v>
      </c>
      <c r="BF578" s="138"/>
      <c r="BG578" s="139" t="s">
        <v>39</v>
      </c>
      <c r="BH578" s="203" t="s">
        <v>40</v>
      </c>
      <c r="BJ578" s="138"/>
      <c r="BK578" s="139" t="s">
        <v>39</v>
      </c>
      <c r="BL578" s="203" t="s">
        <v>40</v>
      </c>
      <c r="BN578" s="138"/>
      <c r="BO578" s="139" t="s">
        <v>39</v>
      </c>
      <c r="BP578" s="203" t="s">
        <v>40</v>
      </c>
      <c r="BR578" s="138"/>
      <c r="BS578" s="139" t="s">
        <v>39</v>
      </c>
      <c r="BT578" s="203" t="s">
        <v>40</v>
      </c>
    </row>
    <row r="579" s="105" customFormat="1" spans="1:73">
      <c r="A579" s="204" t="s">
        <v>751</v>
      </c>
      <c r="B579" s="205" t="s">
        <v>752</v>
      </c>
      <c r="C579" s="206"/>
      <c r="D579" s="207"/>
      <c r="E579" s="130"/>
      <c r="F579" s="208"/>
      <c r="G579" s="143" t="s">
        <v>753</v>
      </c>
      <c r="H579" s="209"/>
      <c r="I579" s="198"/>
      <c r="J579" s="210"/>
      <c r="K579" s="211" t="s">
        <v>753</v>
      </c>
      <c r="L579" s="212" t="s">
        <v>754</v>
      </c>
      <c r="M579" s="178"/>
      <c r="N579" s="210"/>
      <c r="O579" s="211" t="s">
        <v>753</v>
      </c>
      <c r="P579" s="212" t="s">
        <v>693</v>
      </c>
      <c r="Q579" s="178"/>
      <c r="R579" s="210"/>
      <c r="S579" s="211" t="s">
        <v>753</v>
      </c>
      <c r="T579" s="212" t="s">
        <v>754</v>
      </c>
      <c r="U579" s="178"/>
      <c r="V579" s="210"/>
      <c r="W579" s="211" t="s">
        <v>753</v>
      </c>
      <c r="X579" s="212" t="s">
        <v>755</v>
      </c>
      <c r="Y579" s="178"/>
      <c r="Z579" s="210"/>
      <c r="AA579" s="211" t="s">
        <v>753</v>
      </c>
      <c r="AB579" s="212" t="s">
        <v>693</v>
      </c>
      <c r="AC579" s="178"/>
      <c r="AD579" s="210"/>
      <c r="AE579" s="211" t="s">
        <v>753</v>
      </c>
      <c r="AF579" s="212" t="s">
        <v>77</v>
      </c>
      <c r="AG579" s="178"/>
      <c r="AH579" s="210"/>
      <c r="AI579" s="211" t="s">
        <v>753</v>
      </c>
      <c r="AJ579" s="212" t="s">
        <v>338</v>
      </c>
      <c r="AK579" s="178"/>
      <c r="AL579" s="210"/>
      <c r="AM579" s="211" t="s">
        <v>753</v>
      </c>
      <c r="AN579" s="212" t="s">
        <v>338</v>
      </c>
      <c r="AO579" s="178"/>
      <c r="AP579" s="210"/>
      <c r="AQ579" s="211" t="s">
        <v>753</v>
      </c>
      <c r="AR579" s="212" t="s">
        <v>245</v>
      </c>
      <c r="AS579" s="178"/>
      <c r="AT579" s="210"/>
      <c r="AU579" s="211" t="s">
        <v>753</v>
      </c>
      <c r="AV579" s="212" t="s">
        <v>754</v>
      </c>
      <c r="AW579" s="178"/>
      <c r="AX579" s="210"/>
      <c r="AY579" s="211" t="s">
        <v>753</v>
      </c>
      <c r="AZ579" s="212" t="s">
        <v>755</v>
      </c>
      <c r="BA579" s="178"/>
      <c r="BB579" s="210"/>
      <c r="BC579" s="211" t="s">
        <v>753</v>
      </c>
      <c r="BD579" s="212" t="s">
        <v>693</v>
      </c>
      <c r="BE579" s="178"/>
      <c r="BF579" s="210"/>
      <c r="BG579" s="211" t="s">
        <v>753</v>
      </c>
      <c r="BH579" s="212" t="s">
        <v>245</v>
      </c>
      <c r="BI579" s="178"/>
      <c r="BJ579" s="210"/>
      <c r="BK579" s="211" t="s">
        <v>753</v>
      </c>
      <c r="BL579" s="212" t="s">
        <v>77</v>
      </c>
      <c r="BM579" s="178"/>
      <c r="BN579" s="210"/>
      <c r="BO579" s="211" t="s">
        <v>753</v>
      </c>
      <c r="BP579" s="212" t="s">
        <v>245</v>
      </c>
      <c r="BQ579" s="178"/>
      <c r="BR579" s="210"/>
      <c r="BS579" s="211" t="s">
        <v>753</v>
      </c>
      <c r="BT579" s="212" t="s">
        <v>693</v>
      </c>
      <c r="BU579" s="178"/>
    </row>
    <row r="580" s="105" customFormat="1" spans="1:73">
      <c r="A580" s="204" t="s">
        <v>756</v>
      </c>
      <c r="B580" s="205" t="s">
        <v>46</v>
      </c>
      <c r="C580" s="206"/>
      <c r="D580" s="207"/>
      <c r="E580" s="130"/>
      <c r="F580" s="208"/>
      <c r="G580" s="143" t="s">
        <v>757</v>
      </c>
      <c r="H580" s="209"/>
      <c r="I580" s="198"/>
      <c r="J580" s="210"/>
      <c r="K580" s="211" t="s">
        <v>757</v>
      </c>
      <c r="L580" s="212" t="s">
        <v>216</v>
      </c>
      <c r="M580" s="178"/>
      <c r="N580" s="210"/>
      <c r="O580" s="211" t="s">
        <v>757</v>
      </c>
      <c r="P580" s="212" t="s">
        <v>184</v>
      </c>
      <c r="Q580" s="178"/>
      <c r="R580" s="210"/>
      <c r="S580" s="211" t="s">
        <v>757</v>
      </c>
      <c r="T580" s="212" t="s">
        <v>216</v>
      </c>
      <c r="U580" s="178"/>
      <c r="V580" s="210"/>
      <c r="W580" s="211" t="s">
        <v>757</v>
      </c>
      <c r="X580" s="212" t="s">
        <v>758</v>
      </c>
      <c r="Y580" s="178"/>
      <c r="Z580" s="210"/>
      <c r="AA580" s="211" t="s">
        <v>757</v>
      </c>
      <c r="AB580" s="212" t="s">
        <v>184</v>
      </c>
      <c r="AC580" s="178"/>
      <c r="AD580" s="210"/>
      <c r="AE580" s="211" t="s">
        <v>757</v>
      </c>
      <c r="AF580" s="212" t="s">
        <v>759</v>
      </c>
      <c r="AG580" s="178"/>
      <c r="AH580" s="210"/>
      <c r="AI580" s="211" t="s">
        <v>757</v>
      </c>
      <c r="AJ580" s="212" t="s">
        <v>197</v>
      </c>
      <c r="AK580" s="178"/>
      <c r="AL580" s="210"/>
      <c r="AM580" s="211" t="s">
        <v>757</v>
      </c>
      <c r="AN580" s="212" t="s">
        <v>197</v>
      </c>
      <c r="AO580" s="178"/>
      <c r="AP580" s="210"/>
      <c r="AQ580" s="211" t="s">
        <v>757</v>
      </c>
      <c r="AR580" s="212" t="s">
        <v>752</v>
      </c>
      <c r="AS580" s="178"/>
      <c r="AT580" s="210"/>
      <c r="AU580" s="211" t="s">
        <v>757</v>
      </c>
      <c r="AV580" s="212" t="s">
        <v>216</v>
      </c>
      <c r="AW580" s="178"/>
      <c r="AX580" s="210"/>
      <c r="AY580" s="211" t="s">
        <v>757</v>
      </c>
      <c r="AZ580" s="212" t="s">
        <v>758</v>
      </c>
      <c r="BA580" s="178"/>
      <c r="BB580" s="210"/>
      <c r="BC580" s="211" t="s">
        <v>757</v>
      </c>
      <c r="BD580" s="212" t="s">
        <v>184</v>
      </c>
      <c r="BE580" s="178"/>
      <c r="BF580" s="210"/>
      <c r="BG580" s="211" t="s">
        <v>757</v>
      </c>
      <c r="BH580" s="212" t="s">
        <v>752</v>
      </c>
      <c r="BI580" s="178"/>
      <c r="BJ580" s="210"/>
      <c r="BK580" s="211" t="s">
        <v>757</v>
      </c>
      <c r="BL580" s="212" t="s">
        <v>759</v>
      </c>
      <c r="BM580" s="178"/>
      <c r="BN580" s="210"/>
      <c r="BO580" s="211" t="s">
        <v>757</v>
      </c>
      <c r="BP580" s="212" t="s">
        <v>752</v>
      </c>
      <c r="BQ580" s="178"/>
      <c r="BR580" s="210"/>
      <c r="BS580" s="211" t="s">
        <v>757</v>
      </c>
      <c r="BT580" s="212" t="s">
        <v>184</v>
      </c>
      <c r="BU580" s="178"/>
    </row>
    <row r="581" s="105" customFormat="1" spans="1:73">
      <c r="A581" s="221"/>
      <c r="B581" s="205" t="s">
        <v>46</v>
      </c>
      <c r="C581" s="206"/>
      <c r="D581" s="207"/>
      <c r="E581" s="130"/>
      <c r="F581" s="208"/>
      <c r="G581" s="143" t="s">
        <v>760</v>
      </c>
      <c r="H581" s="209"/>
      <c r="I581" s="198"/>
      <c r="J581" s="210"/>
      <c r="K581" s="211" t="s">
        <v>760</v>
      </c>
      <c r="L581" s="213" t="s">
        <v>46</v>
      </c>
      <c r="M581" s="178"/>
      <c r="N581" s="210"/>
      <c r="O581" s="211" t="s">
        <v>760</v>
      </c>
      <c r="P581" s="213" t="s">
        <v>46</v>
      </c>
      <c r="Q581" s="178"/>
      <c r="R581" s="210"/>
      <c r="S581" s="211" t="s">
        <v>760</v>
      </c>
      <c r="T581" s="213" t="s">
        <v>46</v>
      </c>
      <c r="U581" s="178"/>
      <c r="V581" s="210"/>
      <c r="W581" s="211" t="s">
        <v>760</v>
      </c>
      <c r="X581" s="213" t="s">
        <v>46</v>
      </c>
      <c r="Y581" s="178"/>
      <c r="Z581" s="210"/>
      <c r="AA581" s="211" t="s">
        <v>760</v>
      </c>
      <c r="AB581" s="213" t="s">
        <v>46</v>
      </c>
      <c r="AC581" s="178"/>
      <c r="AD581" s="210"/>
      <c r="AE581" s="211" t="s">
        <v>760</v>
      </c>
      <c r="AF581" s="213" t="s">
        <v>46</v>
      </c>
      <c r="AG581" s="178"/>
      <c r="AH581" s="210"/>
      <c r="AI581" s="211" t="s">
        <v>760</v>
      </c>
      <c r="AJ581" s="213" t="s">
        <v>46</v>
      </c>
      <c r="AK581" s="178"/>
      <c r="AL581" s="210"/>
      <c r="AM581" s="211" t="s">
        <v>760</v>
      </c>
      <c r="AN581" s="213" t="s">
        <v>46</v>
      </c>
      <c r="AO581" s="178"/>
      <c r="AP581" s="210"/>
      <c r="AQ581" s="211" t="s">
        <v>760</v>
      </c>
      <c r="AR581" s="213" t="s">
        <v>46</v>
      </c>
      <c r="AS581" s="178"/>
      <c r="AT581" s="210"/>
      <c r="AU581" s="211" t="s">
        <v>760</v>
      </c>
      <c r="AV581" s="213" t="s">
        <v>46</v>
      </c>
      <c r="AW581" s="178"/>
      <c r="AX581" s="210"/>
      <c r="AY581" s="211" t="s">
        <v>760</v>
      </c>
      <c r="AZ581" s="213" t="s">
        <v>46</v>
      </c>
      <c r="BA581" s="178"/>
      <c r="BB581" s="210"/>
      <c r="BC581" s="211" t="s">
        <v>760</v>
      </c>
      <c r="BD581" s="213" t="s">
        <v>46</v>
      </c>
      <c r="BE581" s="178"/>
      <c r="BF581" s="210"/>
      <c r="BG581" s="211" t="s">
        <v>760</v>
      </c>
      <c r="BH581" s="213" t="s">
        <v>46</v>
      </c>
      <c r="BI581" s="178"/>
      <c r="BJ581" s="210"/>
      <c r="BK581" s="211" t="s">
        <v>760</v>
      </c>
      <c r="BL581" s="213" t="s">
        <v>46</v>
      </c>
      <c r="BM581" s="178"/>
      <c r="BN581" s="210"/>
      <c r="BO581" s="211" t="s">
        <v>760</v>
      </c>
      <c r="BP581" s="213" t="s">
        <v>46</v>
      </c>
      <c r="BQ581" s="178"/>
      <c r="BR581" s="210"/>
      <c r="BS581" s="211" t="s">
        <v>760</v>
      </c>
      <c r="BT581" s="213" t="s">
        <v>46</v>
      </c>
      <c r="BU581" s="178"/>
    </row>
    <row r="582" s="105" customFormat="1" spans="1:73">
      <c r="A582" s="221"/>
      <c r="B582" s="205" t="s">
        <v>83</v>
      </c>
      <c r="C582" s="206"/>
      <c r="D582" s="207"/>
      <c r="E582" s="130"/>
      <c r="F582" s="208"/>
      <c r="G582" s="143" t="s">
        <v>761</v>
      </c>
      <c r="H582" s="209"/>
      <c r="I582" s="198"/>
      <c r="J582" s="210"/>
      <c r="K582" s="211" t="s">
        <v>761</v>
      </c>
      <c r="L582" s="212" t="s">
        <v>237</v>
      </c>
      <c r="M582" s="178"/>
      <c r="N582" s="210"/>
      <c r="O582" s="211" t="s">
        <v>761</v>
      </c>
      <c r="P582" s="212" t="s">
        <v>762</v>
      </c>
      <c r="Q582" s="178"/>
      <c r="R582" s="210"/>
      <c r="S582" s="211" t="s">
        <v>761</v>
      </c>
      <c r="T582" s="212" t="s">
        <v>237</v>
      </c>
      <c r="U582" s="178"/>
      <c r="V582" s="210"/>
      <c r="W582" s="211" t="s">
        <v>761</v>
      </c>
      <c r="X582" s="213" t="s">
        <v>83</v>
      </c>
      <c r="Y582" s="178"/>
      <c r="Z582" s="210"/>
      <c r="AA582" s="211" t="s">
        <v>761</v>
      </c>
      <c r="AB582" s="212" t="s">
        <v>762</v>
      </c>
      <c r="AC582" s="178"/>
      <c r="AD582" s="210"/>
      <c r="AE582" s="211" t="s">
        <v>761</v>
      </c>
      <c r="AF582" s="212" t="s">
        <v>763</v>
      </c>
      <c r="AG582" s="178"/>
      <c r="AH582" s="210"/>
      <c r="AI582" s="211" t="s">
        <v>761</v>
      </c>
      <c r="AJ582" s="212" t="s">
        <v>764</v>
      </c>
      <c r="AK582" s="178"/>
      <c r="AL582" s="210"/>
      <c r="AM582" s="211" t="s">
        <v>761</v>
      </c>
      <c r="AN582" s="212" t="s">
        <v>764</v>
      </c>
      <c r="AO582" s="178"/>
      <c r="AP582" s="210"/>
      <c r="AQ582" s="211" t="s">
        <v>761</v>
      </c>
      <c r="AR582" s="212" t="s">
        <v>765</v>
      </c>
      <c r="AS582" s="178"/>
      <c r="AT582" s="210"/>
      <c r="AU582" s="211" t="s">
        <v>761</v>
      </c>
      <c r="AV582" s="212" t="s">
        <v>237</v>
      </c>
      <c r="AW582" s="178"/>
      <c r="AX582" s="210"/>
      <c r="AY582" s="211" t="s">
        <v>761</v>
      </c>
      <c r="AZ582" s="213" t="s">
        <v>83</v>
      </c>
      <c r="BA582" s="178"/>
      <c r="BB582" s="210"/>
      <c r="BC582" s="211" t="s">
        <v>761</v>
      </c>
      <c r="BD582" s="212" t="s">
        <v>762</v>
      </c>
      <c r="BE582" s="178"/>
      <c r="BF582" s="210"/>
      <c r="BG582" s="211" t="s">
        <v>761</v>
      </c>
      <c r="BH582" s="212" t="s">
        <v>765</v>
      </c>
      <c r="BI582" s="178"/>
      <c r="BJ582" s="210"/>
      <c r="BK582" s="211" t="s">
        <v>761</v>
      </c>
      <c r="BL582" s="212" t="s">
        <v>763</v>
      </c>
      <c r="BM582" s="178"/>
      <c r="BN582" s="210"/>
      <c r="BO582" s="211" t="s">
        <v>761</v>
      </c>
      <c r="BP582" s="212" t="s">
        <v>765</v>
      </c>
      <c r="BQ582" s="178"/>
      <c r="BR582" s="210"/>
      <c r="BS582" s="211" t="s">
        <v>761</v>
      </c>
      <c r="BT582" s="212" t="s">
        <v>762</v>
      </c>
      <c r="BU582" s="178"/>
    </row>
    <row r="583" s="105" customFormat="1" spans="1:73">
      <c r="A583" s="165"/>
      <c r="B583" s="166"/>
      <c r="C583" s="166"/>
      <c r="D583" s="215"/>
      <c r="E583" s="132"/>
      <c r="F583" s="216"/>
      <c r="G583" s="143"/>
      <c r="H583" s="167"/>
      <c r="I583" s="198"/>
      <c r="J583" s="217"/>
      <c r="K583" s="211"/>
      <c r="L583" s="213"/>
      <c r="M583" s="178"/>
      <c r="N583" s="217"/>
      <c r="O583" s="211"/>
      <c r="P583" s="213"/>
      <c r="Q583" s="178"/>
      <c r="R583" s="217"/>
      <c r="S583" s="211"/>
      <c r="T583" s="213"/>
      <c r="U583" s="178"/>
      <c r="V583" s="217"/>
      <c r="W583" s="211"/>
      <c r="X583" s="213"/>
      <c r="Y583" s="178"/>
      <c r="Z583" s="217"/>
      <c r="AA583" s="211"/>
      <c r="AB583" s="213"/>
      <c r="AC583" s="178"/>
      <c r="AD583" s="217"/>
      <c r="AE583" s="211"/>
      <c r="AF583" s="213"/>
      <c r="AG583" s="178"/>
      <c r="AH583" s="217"/>
      <c r="AI583" s="211"/>
      <c r="AJ583" s="213"/>
      <c r="AK583" s="178"/>
      <c r="AL583" s="217"/>
      <c r="AM583" s="211"/>
      <c r="AN583" s="213"/>
      <c r="AO583" s="178"/>
      <c r="AP583" s="217"/>
      <c r="AQ583" s="211"/>
      <c r="AR583" s="213"/>
      <c r="AS583" s="178"/>
      <c r="AT583" s="217"/>
      <c r="AU583" s="211"/>
      <c r="AV583" s="213"/>
      <c r="AW583" s="178"/>
      <c r="AX583" s="217"/>
      <c r="AY583" s="211"/>
      <c r="AZ583" s="213"/>
      <c r="BA583" s="178"/>
      <c r="BB583" s="217"/>
      <c r="BC583" s="211"/>
      <c r="BD583" s="213"/>
      <c r="BE583" s="178"/>
      <c r="BF583" s="217"/>
      <c r="BG583" s="211"/>
      <c r="BH583" s="213"/>
      <c r="BI583" s="178"/>
      <c r="BJ583" s="217"/>
      <c r="BK583" s="211"/>
      <c r="BL583" s="213"/>
      <c r="BM583" s="178"/>
      <c r="BN583" s="217"/>
      <c r="BO583" s="211"/>
      <c r="BP583" s="213"/>
      <c r="BQ583" s="178"/>
      <c r="BR583" s="217"/>
      <c r="BS583" s="211"/>
      <c r="BT583" s="213"/>
      <c r="BU583" s="178"/>
    </row>
    <row r="584" s="105" customFormat="1" spans="1:73">
      <c r="A584" s="165"/>
      <c r="B584" s="166"/>
      <c r="C584" s="166"/>
      <c r="D584" s="202"/>
      <c r="E584" s="132"/>
      <c r="F584" s="218"/>
      <c r="G584" s="143"/>
      <c r="H584" s="167"/>
      <c r="I584" s="198"/>
      <c r="J584" s="219"/>
      <c r="K584" s="211"/>
      <c r="L584" s="213"/>
      <c r="M584" s="178"/>
      <c r="N584" s="219"/>
      <c r="O584" s="211"/>
      <c r="P584" s="213"/>
      <c r="Q584" s="178"/>
      <c r="R584" s="219"/>
      <c r="S584" s="211"/>
      <c r="T584" s="213"/>
      <c r="U584" s="178"/>
      <c r="V584" s="219"/>
      <c r="W584" s="211"/>
      <c r="X584" s="213"/>
      <c r="Y584" s="178"/>
      <c r="Z584" s="219"/>
      <c r="AA584" s="211"/>
      <c r="AB584" s="213"/>
      <c r="AC584" s="178"/>
      <c r="AD584" s="219"/>
      <c r="AE584" s="211"/>
      <c r="AF584" s="213"/>
      <c r="AG584" s="178"/>
      <c r="AH584" s="219"/>
      <c r="AI584" s="211"/>
      <c r="AJ584" s="213"/>
      <c r="AK584" s="178"/>
      <c r="AL584" s="219"/>
      <c r="AM584" s="211"/>
      <c r="AN584" s="213"/>
      <c r="AO584" s="178"/>
      <c r="AP584" s="219"/>
      <c r="AQ584" s="211"/>
      <c r="AR584" s="213"/>
      <c r="AS584" s="178"/>
      <c r="AT584" s="219"/>
      <c r="AU584" s="211"/>
      <c r="AV584" s="213"/>
      <c r="AW584" s="178"/>
      <c r="AX584" s="219"/>
      <c r="AY584" s="211"/>
      <c r="AZ584" s="213"/>
      <c r="BA584" s="178"/>
      <c r="BB584" s="219"/>
      <c r="BC584" s="211"/>
      <c r="BD584" s="213"/>
      <c r="BE584" s="178"/>
      <c r="BF584" s="219"/>
      <c r="BG584" s="211"/>
      <c r="BH584" s="213"/>
      <c r="BI584" s="178"/>
      <c r="BJ584" s="219"/>
      <c r="BK584" s="211"/>
      <c r="BL584" s="213"/>
      <c r="BM584" s="178"/>
      <c r="BN584" s="219"/>
      <c r="BO584" s="211"/>
      <c r="BP584" s="213"/>
      <c r="BQ584" s="178"/>
      <c r="BR584" s="219"/>
      <c r="BS584" s="211"/>
      <c r="BT584" s="213"/>
      <c r="BU584" s="178"/>
    </row>
    <row r="585" s="105" customFormat="1" spans="1:73">
      <c r="A585" s="165"/>
      <c r="B585" s="131"/>
      <c r="C585" s="148"/>
      <c r="D585" s="202"/>
      <c r="E585" s="130"/>
      <c r="F585" s="133" t="s">
        <v>766</v>
      </c>
      <c r="G585" s="108"/>
      <c r="H585" s="197"/>
      <c r="I585" s="198"/>
      <c r="J585" s="199" t="s">
        <v>766</v>
      </c>
      <c r="K585" s="220"/>
      <c r="L585" s="201"/>
      <c r="M585" s="178"/>
      <c r="N585" s="199" t="s">
        <v>766</v>
      </c>
      <c r="O585" s="220"/>
      <c r="P585" s="201"/>
      <c r="Q585" s="178"/>
      <c r="R585" s="199" t="s">
        <v>766</v>
      </c>
      <c r="S585" s="220"/>
      <c r="T585" s="201"/>
      <c r="U585" s="178"/>
      <c r="V585" s="199" t="s">
        <v>766</v>
      </c>
      <c r="W585" s="220"/>
      <c r="X585" s="201"/>
      <c r="Y585" s="178"/>
      <c r="Z585" s="199" t="s">
        <v>766</v>
      </c>
      <c r="AA585" s="220"/>
      <c r="AB585" s="201"/>
      <c r="AC585" s="178"/>
      <c r="AD585" s="199" t="s">
        <v>766</v>
      </c>
      <c r="AE585" s="220"/>
      <c r="AF585" s="201"/>
      <c r="AG585" s="178"/>
      <c r="AH585" s="199" t="s">
        <v>766</v>
      </c>
      <c r="AI585" s="220"/>
      <c r="AJ585" s="201"/>
      <c r="AK585" s="178"/>
      <c r="AL585" s="199" t="s">
        <v>766</v>
      </c>
      <c r="AM585" s="220"/>
      <c r="AN585" s="201"/>
      <c r="AO585" s="178"/>
      <c r="AP585" s="199" t="s">
        <v>766</v>
      </c>
      <c r="AQ585" s="220"/>
      <c r="AR585" s="201"/>
      <c r="AS585" s="178"/>
      <c r="AT585" s="199" t="s">
        <v>766</v>
      </c>
      <c r="AU585" s="220"/>
      <c r="AV585" s="201"/>
      <c r="AW585" s="178"/>
      <c r="AX585" s="199" t="s">
        <v>766</v>
      </c>
      <c r="AY585" s="220"/>
      <c r="AZ585" s="201"/>
      <c r="BA585" s="178"/>
      <c r="BB585" s="199" t="s">
        <v>766</v>
      </c>
      <c r="BC585" s="220"/>
      <c r="BD585" s="201"/>
      <c r="BE585" s="178"/>
      <c r="BF585" s="199" t="s">
        <v>766</v>
      </c>
      <c r="BG585" s="220"/>
      <c r="BH585" s="201"/>
      <c r="BI585" s="178"/>
      <c r="BJ585" s="199" t="s">
        <v>766</v>
      </c>
      <c r="BK585" s="220"/>
      <c r="BL585" s="201"/>
      <c r="BM585" s="178"/>
      <c r="BN585" s="199" t="s">
        <v>766</v>
      </c>
      <c r="BO585" s="220"/>
      <c r="BP585" s="201"/>
      <c r="BQ585" s="178"/>
      <c r="BR585" s="199" t="s">
        <v>766</v>
      </c>
      <c r="BS585" s="220"/>
      <c r="BT585" s="201"/>
      <c r="BU585" s="178"/>
    </row>
    <row r="586" s="105" customFormat="1" spans="1:73">
      <c r="A586" s="136" t="s">
        <v>36</v>
      </c>
      <c r="B586" s="137" t="s">
        <v>37</v>
      </c>
      <c r="C586" s="137" t="s">
        <v>38</v>
      </c>
      <c r="D586" s="202"/>
      <c r="E586" s="130"/>
      <c r="F586" s="138"/>
      <c r="G586" s="139" t="s">
        <v>39</v>
      </c>
      <c r="H586" s="140" t="s">
        <v>40</v>
      </c>
      <c r="I586" s="145"/>
      <c r="J586" s="138"/>
      <c r="K586" s="139" t="s">
        <v>39</v>
      </c>
      <c r="L586" s="203" t="s">
        <v>40</v>
      </c>
      <c r="N586" s="138"/>
      <c r="O586" s="139" t="s">
        <v>39</v>
      </c>
      <c r="P586" s="203" t="s">
        <v>40</v>
      </c>
      <c r="R586" s="138"/>
      <c r="S586" s="139" t="s">
        <v>39</v>
      </c>
      <c r="T586" s="203" t="s">
        <v>40</v>
      </c>
      <c r="U586" s="109"/>
      <c r="V586" s="138"/>
      <c r="W586" s="139" t="s">
        <v>39</v>
      </c>
      <c r="X586" s="203" t="s">
        <v>40</v>
      </c>
      <c r="Z586" s="138"/>
      <c r="AA586" s="139" t="s">
        <v>39</v>
      </c>
      <c r="AB586" s="203" t="s">
        <v>40</v>
      </c>
      <c r="AD586" s="138"/>
      <c r="AE586" s="139" t="s">
        <v>39</v>
      </c>
      <c r="AF586" s="203" t="s">
        <v>40</v>
      </c>
      <c r="AH586" s="138"/>
      <c r="AI586" s="139" t="s">
        <v>39</v>
      </c>
      <c r="AJ586" s="203" t="s">
        <v>40</v>
      </c>
      <c r="AL586" s="138"/>
      <c r="AM586" s="139" t="s">
        <v>39</v>
      </c>
      <c r="AN586" s="203" t="s">
        <v>40</v>
      </c>
      <c r="AP586" s="138"/>
      <c r="AQ586" s="139" t="s">
        <v>39</v>
      </c>
      <c r="AR586" s="203" t="s">
        <v>40</v>
      </c>
      <c r="AT586" s="138"/>
      <c r="AU586" s="139" t="s">
        <v>39</v>
      </c>
      <c r="AV586" s="203" t="s">
        <v>40</v>
      </c>
      <c r="AX586" s="138"/>
      <c r="AY586" s="139" t="s">
        <v>39</v>
      </c>
      <c r="AZ586" s="203" t="s">
        <v>40</v>
      </c>
      <c r="BB586" s="138"/>
      <c r="BC586" s="139" t="s">
        <v>39</v>
      </c>
      <c r="BD586" s="203" t="s">
        <v>40</v>
      </c>
      <c r="BF586" s="138"/>
      <c r="BG586" s="139" t="s">
        <v>39</v>
      </c>
      <c r="BH586" s="203" t="s">
        <v>40</v>
      </c>
      <c r="BJ586" s="138"/>
      <c r="BK586" s="139" t="s">
        <v>39</v>
      </c>
      <c r="BL586" s="203" t="s">
        <v>40</v>
      </c>
      <c r="BN586" s="138"/>
      <c r="BO586" s="139" t="s">
        <v>39</v>
      </c>
      <c r="BP586" s="203" t="s">
        <v>40</v>
      </c>
      <c r="BR586" s="138"/>
      <c r="BS586" s="139" t="s">
        <v>39</v>
      </c>
      <c r="BT586" s="203" t="s">
        <v>40</v>
      </c>
    </row>
    <row r="587" s="105" customFormat="1" spans="1:73">
      <c r="A587" s="204" t="s">
        <v>767</v>
      </c>
      <c r="B587" s="205" t="s">
        <v>42</v>
      </c>
      <c r="C587" s="206"/>
      <c r="D587" s="207"/>
      <c r="E587" s="130"/>
      <c r="F587" s="208"/>
      <c r="G587" s="143" t="s">
        <v>768</v>
      </c>
      <c r="H587" s="209"/>
      <c r="I587" s="198"/>
      <c r="J587" s="210"/>
      <c r="K587" s="211" t="s">
        <v>768</v>
      </c>
      <c r="L587" s="212" t="s">
        <v>328</v>
      </c>
      <c r="M587" s="178"/>
      <c r="N587" s="210"/>
      <c r="O587" s="211" t="s">
        <v>768</v>
      </c>
      <c r="P587" s="212" t="s">
        <v>262</v>
      </c>
      <c r="Q587" s="178"/>
      <c r="R587" s="210"/>
      <c r="S587" s="211" t="s">
        <v>768</v>
      </c>
      <c r="T587" s="212" t="s">
        <v>172</v>
      </c>
      <c r="U587" s="178"/>
      <c r="V587" s="210"/>
      <c r="W587" s="211" t="s">
        <v>768</v>
      </c>
      <c r="X587" s="212" t="s">
        <v>172</v>
      </c>
      <c r="Y587" s="178"/>
      <c r="Z587" s="210"/>
      <c r="AA587" s="211" t="s">
        <v>768</v>
      </c>
      <c r="AB587" s="212" t="s">
        <v>262</v>
      </c>
      <c r="AC587" s="178"/>
      <c r="AD587" s="210"/>
      <c r="AE587" s="211" t="s">
        <v>768</v>
      </c>
      <c r="AF587" s="212" t="s">
        <v>172</v>
      </c>
      <c r="AG587" s="178"/>
      <c r="AH587" s="210"/>
      <c r="AI587" s="211" t="s">
        <v>768</v>
      </c>
      <c r="AJ587" s="212" t="s">
        <v>551</v>
      </c>
      <c r="AK587" s="178"/>
      <c r="AL587" s="210"/>
      <c r="AM587" s="211" t="s">
        <v>768</v>
      </c>
      <c r="AN587" s="212" t="s">
        <v>232</v>
      </c>
      <c r="AO587" s="178"/>
      <c r="AP587" s="210"/>
      <c r="AQ587" s="211" t="s">
        <v>768</v>
      </c>
      <c r="AR587" s="212" t="s">
        <v>245</v>
      </c>
      <c r="AS587" s="178"/>
      <c r="AT587" s="210"/>
      <c r="AU587" s="211" t="s">
        <v>768</v>
      </c>
      <c r="AV587" s="212" t="s">
        <v>172</v>
      </c>
      <c r="AW587" s="178"/>
      <c r="AX587" s="210"/>
      <c r="AY587" s="211" t="s">
        <v>768</v>
      </c>
      <c r="AZ587" s="212" t="s">
        <v>172</v>
      </c>
      <c r="BA587" s="178"/>
      <c r="BB587" s="210"/>
      <c r="BC587" s="211" t="s">
        <v>768</v>
      </c>
      <c r="BD587" s="212" t="s">
        <v>262</v>
      </c>
      <c r="BE587" s="178"/>
      <c r="BF587" s="210"/>
      <c r="BG587" s="211" t="s">
        <v>768</v>
      </c>
      <c r="BH587" s="212" t="s">
        <v>132</v>
      </c>
      <c r="BI587" s="178"/>
      <c r="BJ587" s="210"/>
      <c r="BK587" s="211" t="s">
        <v>768</v>
      </c>
      <c r="BL587" s="212" t="s">
        <v>172</v>
      </c>
      <c r="BM587" s="178"/>
      <c r="BN587" s="210"/>
      <c r="BO587" s="211" t="s">
        <v>768</v>
      </c>
      <c r="BP587" s="212" t="s">
        <v>245</v>
      </c>
      <c r="BQ587" s="178"/>
      <c r="BR587" s="210"/>
      <c r="BS587" s="211" t="s">
        <v>768</v>
      </c>
      <c r="BT587" s="212" t="s">
        <v>262</v>
      </c>
      <c r="BU587" s="178"/>
    </row>
    <row r="588" s="105" customFormat="1" spans="1:73">
      <c r="A588" s="204" t="s">
        <v>769</v>
      </c>
      <c r="B588" s="205" t="s">
        <v>770</v>
      </c>
      <c r="C588" s="206"/>
      <c r="D588" s="207"/>
      <c r="E588" s="130"/>
      <c r="F588" s="208"/>
      <c r="G588" s="143" t="s">
        <v>771</v>
      </c>
      <c r="H588" s="209"/>
      <c r="I588" s="198"/>
      <c r="J588" s="210"/>
      <c r="K588" s="211" t="s">
        <v>771</v>
      </c>
      <c r="L588" s="212" t="s">
        <v>772</v>
      </c>
      <c r="M588" s="178"/>
      <c r="N588" s="210"/>
      <c r="O588" s="211" t="s">
        <v>771</v>
      </c>
      <c r="P588" s="212" t="s">
        <v>773</v>
      </c>
      <c r="Q588" s="178"/>
      <c r="R588" s="210"/>
      <c r="S588" s="211" t="s">
        <v>771</v>
      </c>
      <c r="T588" s="212" t="s">
        <v>774</v>
      </c>
      <c r="U588" s="178"/>
      <c r="V588" s="210"/>
      <c r="W588" s="211" t="s">
        <v>771</v>
      </c>
      <c r="X588" s="212" t="s">
        <v>775</v>
      </c>
      <c r="Y588" s="178"/>
      <c r="Z588" s="210"/>
      <c r="AA588" s="211" t="s">
        <v>771</v>
      </c>
      <c r="AB588" s="212" t="s">
        <v>773</v>
      </c>
      <c r="AC588" s="178"/>
      <c r="AD588" s="210"/>
      <c r="AE588" s="211" t="s">
        <v>771</v>
      </c>
      <c r="AF588" s="212" t="s">
        <v>775</v>
      </c>
      <c r="AG588" s="178"/>
      <c r="AH588" s="210"/>
      <c r="AI588" s="211" t="s">
        <v>771</v>
      </c>
      <c r="AJ588" s="212" t="s">
        <v>776</v>
      </c>
      <c r="AK588" s="178"/>
      <c r="AL588" s="210"/>
      <c r="AM588" s="211" t="s">
        <v>771</v>
      </c>
      <c r="AN588" s="212" t="s">
        <v>255</v>
      </c>
      <c r="AO588" s="178"/>
      <c r="AP588" s="210"/>
      <c r="AQ588" s="211" t="s">
        <v>771</v>
      </c>
      <c r="AR588" s="212" t="s">
        <v>160</v>
      </c>
      <c r="AS588" s="178"/>
      <c r="AT588" s="210"/>
      <c r="AU588" s="211" t="s">
        <v>771</v>
      </c>
      <c r="AV588" s="212" t="s">
        <v>774</v>
      </c>
      <c r="AW588" s="178"/>
      <c r="AX588" s="210"/>
      <c r="AY588" s="211" t="s">
        <v>771</v>
      </c>
      <c r="AZ588" s="212" t="s">
        <v>775</v>
      </c>
      <c r="BA588" s="178"/>
      <c r="BB588" s="210"/>
      <c r="BC588" s="211" t="s">
        <v>771</v>
      </c>
      <c r="BD588" s="212" t="s">
        <v>773</v>
      </c>
      <c r="BE588" s="178"/>
      <c r="BF588" s="210"/>
      <c r="BG588" s="211" t="s">
        <v>771</v>
      </c>
      <c r="BH588" s="212" t="s">
        <v>86</v>
      </c>
      <c r="BI588" s="178"/>
      <c r="BJ588" s="210"/>
      <c r="BK588" s="211" t="s">
        <v>771</v>
      </c>
      <c r="BL588" s="212" t="s">
        <v>775</v>
      </c>
      <c r="BM588" s="178"/>
      <c r="BN588" s="210"/>
      <c r="BO588" s="211" t="s">
        <v>771</v>
      </c>
      <c r="BP588" s="212" t="s">
        <v>160</v>
      </c>
      <c r="BQ588" s="178"/>
      <c r="BR588" s="210"/>
      <c r="BS588" s="211" t="s">
        <v>771</v>
      </c>
      <c r="BT588" s="212" t="s">
        <v>773</v>
      </c>
      <c r="BU588" s="178"/>
    </row>
    <row r="589" s="105" customFormat="1" spans="1:73">
      <c r="A589" s="165"/>
      <c r="B589" s="166"/>
      <c r="C589" s="166"/>
      <c r="D589" s="215"/>
      <c r="E589" s="132"/>
      <c r="F589" s="216"/>
      <c r="G589" s="143"/>
      <c r="H589" s="167"/>
      <c r="I589" s="198"/>
      <c r="J589" s="217"/>
      <c r="K589" s="211"/>
      <c r="L589" s="213"/>
      <c r="M589" s="178"/>
      <c r="N589" s="217"/>
      <c r="O589" s="211"/>
      <c r="P589" s="213"/>
      <c r="Q589" s="178"/>
      <c r="R589" s="217"/>
      <c r="S589" s="211"/>
      <c r="T589" s="213"/>
      <c r="U589" s="178"/>
      <c r="V589" s="217"/>
      <c r="W589" s="211"/>
      <c r="X589" s="213"/>
      <c r="Y589" s="178"/>
      <c r="Z589" s="217"/>
      <c r="AA589" s="211"/>
      <c r="AB589" s="213"/>
      <c r="AC589" s="178"/>
      <c r="AD589" s="217"/>
      <c r="AE589" s="211"/>
      <c r="AF589" s="213"/>
      <c r="AG589" s="178"/>
      <c r="AH589" s="217"/>
      <c r="AI589" s="211"/>
      <c r="AJ589" s="213"/>
      <c r="AK589" s="178"/>
      <c r="AL589" s="217"/>
      <c r="AM589" s="211"/>
      <c r="AN589" s="213"/>
      <c r="AO589" s="178"/>
      <c r="AP589" s="217"/>
      <c r="AQ589" s="211"/>
      <c r="AR589" s="213"/>
      <c r="AS589" s="178"/>
      <c r="AT589" s="217"/>
      <c r="AU589" s="211"/>
      <c r="AV589" s="213"/>
      <c r="AW589" s="178"/>
      <c r="AX589" s="217"/>
      <c r="AY589" s="211"/>
      <c r="AZ589" s="213"/>
      <c r="BA589" s="178"/>
      <c r="BB589" s="217"/>
      <c r="BC589" s="211"/>
      <c r="BD589" s="213"/>
      <c r="BE589" s="178"/>
      <c r="BF589" s="217"/>
      <c r="BG589" s="211"/>
      <c r="BH589" s="213"/>
      <c r="BI589" s="178"/>
      <c r="BJ589" s="217"/>
      <c r="BK589" s="211"/>
      <c r="BL589" s="213"/>
      <c r="BM589" s="178"/>
      <c r="BN589" s="217"/>
      <c r="BO589" s="211"/>
      <c r="BP589" s="213"/>
      <c r="BQ589" s="178"/>
      <c r="BR589" s="217"/>
      <c r="BS589" s="211"/>
      <c r="BT589" s="213"/>
      <c r="BU589" s="178"/>
    </row>
    <row r="590" s="105" customFormat="1" spans="1:73">
      <c r="A590" s="165"/>
      <c r="B590" s="166"/>
      <c r="C590" s="166"/>
      <c r="D590" s="202"/>
      <c r="E590" s="132"/>
      <c r="F590" s="218"/>
      <c r="G590" s="143"/>
      <c r="H590" s="167"/>
      <c r="I590" s="198"/>
      <c r="J590" s="219"/>
      <c r="K590" s="211"/>
      <c r="L590" s="213"/>
      <c r="M590" s="178"/>
      <c r="N590" s="219"/>
      <c r="O590" s="211"/>
      <c r="P590" s="213"/>
      <c r="Q590" s="178"/>
      <c r="R590" s="219"/>
      <c r="S590" s="211"/>
      <c r="T590" s="213"/>
      <c r="U590" s="178"/>
      <c r="V590" s="219"/>
      <c r="W590" s="211"/>
      <c r="X590" s="213"/>
      <c r="Y590" s="178"/>
      <c r="Z590" s="219"/>
      <c r="AA590" s="211"/>
      <c r="AB590" s="213"/>
      <c r="AC590" s="178"/>
      <c r="AD590" s="219"/>
      <c r="AE590" s="211"/>
      <c r="AF590" s="213"/>
      <c r="AG590" s="178"/>
      <c r="AH590" s="219"/>
      <c r="AI590" s="211"/>
      <c r="AJ590" s="213"/>
      <c r="AK590" s="178"/>
      <c r="AL590" s="219"/>
      <c r="AM590" s="211"/>
      <c r="AN590" s="213"/>
      <c r="AO590" s="178"/>
      <c r="AP590" s="219"/>
      <c r="AQ590" s="211"/>
      <c r="AR590" s="213"/>
      <c r="AS590" s="178"/>
      <c r="AT590" s="219"/>
      <c r="AU590" s="211"/>
      <c r="AV590" s="213"/>
      <c r="AW590" s="178"/>
      <c r="AX590" s="219"/>
      <c r="AY590" s="211"/>
      <c r="AZ590" s="213"/>
      <c r="BA590" s="178"/>
      <c r="BB590" s="219"/>
      <c r="BC590" s="211"/>
      <c r="BD590" s="213"/>
      <c r="BE590" s="178"/>
      <c r="BF590" s="219"/>
      <c r="BG590" s="211"/>
      <c r="BH590" s="213"/>
      <c r="BI590" s="178"/>
      <c r="BJ590" s="219"/>
      <c r="BK590" s="211"/>
      <c r="BL590" s="213"/>
      <c r="BM590" s="178"/>
      <c r="BN590" s="219"/>
      <c r="BO590" s="211"/>
      <c r="BP590" s="213"/>
      <c r="BQ590" s="178"/>
      <c r="BR590" s="219"/>
      <c r="BS590" s="211"/>
      <c r="BT590" s="213"/>
      <c r="BU590" s="178"/>
    </row>
    <row r="591" s="105" customFormat="1" spans="1:73">
      <c r="A591" s="165"/>
      <c r="B591" s="131"/>
      <c r="C591" s="148"/>
      <c r="D591" s="202"/>
      <c r="E591" s="130"/>
      <c r="F591" s="133" t="s">
        <v>777</v>
      </c>
      <c r="G591" s="108"/>
      <c r="H591" s="197"/>
      <c r="I591" s="198"/>
      <c r="J591" s="199" t="s">
        <v>777</v>
      </c>
      <c r="K591" s="220"/>
      <c r="L591" s="201"/>
      <c r="M591" s="178"/>
      <c r="N591" s="199" t="s">
        <v>777</v>
      </c>
      <c r="O591" s="220"/>
      <c r="P591" s="201"/>
      <c r="Q591" s="178"/>
      <c r="R591" s="199" t="s">
        <v>777</v>
      </c>
      <c r="S591" s="220"/>
      <c r="T591" s="201"/>
      <c r="U591" s="178"/>
      <c r="V591" s="199" t="s">
        <v>777</v>
      </c>
      <c r="W591" s="220"/>
      <c r="X591" s="201"/>
      <c r="Y591" s="178"/>
      <c r="Z591" s="199" t="s">
        <v>777</v>
      </c>
      <c r="AA591" s="220"/>
      <c r="AB591" s="201"/>
      <c r="AC591" s="178"/>
      <c r="AD591" s="199" t="s">
        <v>777</v>
      </c>
      <c r="AE591" s="220"/>
      <c r="AF591" s="201"/>
      <c r="AG591" s="178"/>
      <c r="AH591" s="199" t="s">
        <v>777</v>
      </c>
      <c r="AI591" s="220"/>
      <c r="AJ591" s="201"/>
      <c r="AK591" s="178"/>
      <c r="AL591" s="199" t="s">
        <v>777</v>
      </c>
      <c r="AM591" s="220"/>
      <c r="AN591" s="201"/>
      <c r="AO591" s="178"/>
      <c r="AP591" s="199" t="s">
        <v>777</v>
      </c>
      <c r="AQ591" s="220"/>
      <c r="AR591" s="201"/>
      <c r="AS591" s="178"/>
      <c r="AT591" s="199" t="s">
        <v>777</v>
      </c>
      <c r="AU591" s="220"/>
      <c r="AV591" s="201"/>
      <c r="AW591" s="178"/>
      <c r="AX591" s="199" t="s">
        <v>777</v>
      </c>
      <c r="AY591" s="220"/>
      <c r="AZ591" s="201"/>
      <c r="BA591" s="178"/>
      <c r="BB591" s="199" t="s">
        <v>777</v>
      </c>
      <c r="BC591" s="220"/>
      <c r="BD591" s="201"/>
      <c r="BE591" s="178"/>
      <c r="BF591" s="199" t="s">
        <v>777</v>
      </c>
      <c r="BG591" s="220"/>
      <c r="BH591" s="201"/>
      <c r="BI591" s="178"/>
      <c r="BJ591" s="199" t="s">
        <v>777</v>
      </c>
      <c r="BK591" s="220"/>
      <c r="BL591" s="201"/>
      <c r="BM591" s="178"/>
      <c r="BN591" s="199" t="s">
        <v>777</v>
      </c>
      <c r="BO591" s="220"/>
      <c r="BP591" s="201"/>
      <c r="BQ591" s="178"/>
      <c r="BR591" s="199" t="s">
        <v>777</v>
      </c>
      <c r="BS591" s="220"/>
      <c r="BT591" s="201"/>
      <c r="BU591" s="178"/>
    </row>
    <row r="592" s="105" customFormat="1" spans="1:73">
      <c r="A592" s="136" t="s">
        <v>36</v>
      </c>
      <c r="B592" s="137" t="s">
        <v>37</v>
      </c>
      <c r="C592" s="137" t="s">
        <v>38</v>
      </c>
      <c r="D592" s="202"/>
      <c r="E592" s="130"/>
      <c r="F592" s="138"/>
      <c r="G592" s="139" t="s">
        <v>39</v>
      </c>
      <c r="H592" s="140" t="s">
        <v>40</v>
      </c>
      <c r="I592" s="145"/>
      <c r="J592" s="138"/>
      <c r="K592" s="139" t="s">
        <v>39</v>
      </c>
      <c r="L592" s="203" t="s">
        <v>40</v>
      </c>
      <c r="N592" s="138"/>
      <c r="O592" s="139" t="s">
        <v>39</v>
      </c>
      <c r="P592" s="203" t="s">
        <v>40</v>
      </c>
      <c r="R592" s="138"/>
      <c r="S592" s="139" t="s">
        <v>39</v>
      </c>
      <c r="T592" s="203" t="s">
        <v>40</v>
      </c>
      <c r="U592" s="109"/>
      <c r="V592" s="138"/>
      <c r="W592" s="139" t="s">
        <v>39</v>
      </c>
      <c r="X592" s="203" t="s">
        <v>40</v>
      </c>
      <c r="Z592" s="138"/>
      <c r="AA592" s="139" t="s">
        <v>39</v>
      </c>
      <c r="AB592" s="203" t="s">
        <v>40</v>
      </c>
      <c r="AD592" s="138"/>
      <c r="AE592" s="139" t="s">
        <v>39</v>
      </c>
      <c r="AF592" s="203" t="s">
        <v>40</v>
      </c>
      <c r="AH592" s="138"/>
      <c r="AI592" s="139" t="s">
        <v>39</v>
      </c>
      <c r="AJ592" s="203" t="s">
        <v>40</v>
      </c>
      <c r="AL592" s="138"/>
      <c r="AM592" s="139" t="s">
        <v>39</v>
      </c>
      <c r="AN592" s="203" t="s">
        <v>40</v>
      </c>
      <c r="AP592" s="138"/>
      <c r="AQ592" s="139" t="s">
        <v>39</v>
      </c>
      <c r="AR592" s="203" t="s">
        <v>40</v>
      </c>
      <c r="AT592" s="138"/>
      <c r="AU592" s="139" t="s">
        <v>39</v>
      </c>
      <c r="AV592" s="203" t="s">
        <v>40</v>
      </c>
      <c r="AX592" s="138"/>
      <c r="AY592" s="139" t="s">
        <v>39</v>
      </c>
      <c r="AZ592" s="203" t="s">
        <v>40</v>
      </c>
      <c r="BB592" s="138"/>
      <c r="BC592" s="139" t="s">
        <v>39</v>
      </c>
      <c r="BD592" s="203" t="s">
        <v>40</v>
      </c>
      <c r="BF592" s="138"/>
      <c r="BG592" s="139" t="s">
        <v>39</v>
      </c>
      <c r="BH592" s="203" t="s">
        <v>40</v>
      </c>
      <c r="BJ592" s="138"/>
      <c r="BK592" s="139" t="s">
        <v>39</v>
      </c>
      <c r="BL592" s="203" t="s">
        <v>40</v>
      </c>
      <c r="BN592" s="138"/>
      <c r="BO592" s="139" t="s">
        <v>39</v>
      </c>
      <c r="BP592" s="203" t="s">
        <v>40</v>
      </c>
      <c r="BR592" s="138"/>
      <c r="BS592" s="139" t="s">
        <v>39</v>
      </c>
      <c r="BT592" s="203" t="s">
        <v>40</v>
      </c>
    </row>
    <row r="593" s="105" customFormat="1" spans="1:73">
      <c r="A593" s="141" t="s">
        <v>778</v>
      </c>
      <c r="B593" s="205" t="s">
        <v>46</v>
      </c>
      <c r="C593" s="214"/>
      <c r="D593" s="207"/>
      <c r="E593" s="130"/>
      <c r="F593" s="208"/>
      <c r="G593" s="143" t="s">
        <v>779</v>
      </c>
      <c r="H593" s="209"/>
      <c r="I593" s="198"/>
      <c r="J593" s="210"/>
      <c r="K593" s="211" t="s">
        <v>779</v>
      </c>
      <c r="L593" s="213" t="s">
        <v>46</v>
      </c>
      <c r="M593" s="178"/>
      <c r="N593" s="210"/>
      <c r="O593" s="211" t="s">
        <v>779</v>
      </c>
      <c r="P593" s="213" t="s">
        <v>46</v>
      </c>
      <c r="Q593" s="178"/>
      <c r="R593" s="210"/>
      <c r="S593" s="211" t="s">
        <v>779</v>
      </c>
      <c r="T593" s="212" t="s">
        <v>147</v>
      </c>
      <c r="U593" s="178"/>
      <c r="V593" s="210"/>
      <c r="W593" s="211" t="s">
        <v>779</v>
      </c>
      <c r="X593" s="213" t="s">
        <v>46</v>
      </c>
      <c r="Y593" s="178"/>
      <c r="Z593" s="210"/>
      <c r="AA593" s="211" t="s">
        <v>779</v>
      </c>
      <c r="AB593" s="213" t="s">
        <v>46</v>
      </c>
      <c r="AC593" s="178"/>
      <c r="AD593" s="210"/>
      <c r="AE593" s="211" t="s">
        <v>779</v>
      </c>
      <c r="AF593" s="213" t="s">
        <v>46</v>
      </c>
      <c r="AG593" s="178"/>
      <c r="AH593" s="210"/>
      <c r="AI593" s="211" t="s">
        <v>779</v>
      </c>
      <c r="AJ593" s="213" t="s">
        <v>46</v>
      </c>
      <c r="AK593" s="178"/>
      <c r="AL593" s="210"/>
      <c r="AM593" s="211" t="s">
        <v>779</v>
      </c>
      <c r="AN593" s="213" t="s">
        <v>46</v>
      </c>
      <c r="AO593" s="178"/>
      <c r="AP593" s="210"/>
      <c r="AQ593" s="211" t="s">
        <v>779</v>
      </c>
      <c r="AR593" s="213" t="s">
        <v>46</v>
      </c>
      <c r="AS593" s="178"/>
      <c r="AT593" s="210"/>
      <c r="AU593" s="211" t="s">
        <v>779</v>
      </c>
      <c r="AV593" s="212" t="s">
        <v>147</v>
      </c>
      <c r="AW593" s="178"/>
      <c r="AX593" s="210"/>
      <c r="AY593" s="211" t="s">
        <v>779</v>
      </c>
      <c r="AZ593" s="213" t="s">
        <v>46</v>
      </c>
      <c r="BA593" s="178"/>
      <c r="BB593" s="210"/>
      <c r="BC593" s="211" t="s">
        <v>779</v>
      </c>
      <c r="BD593" s="213" t="s">
        <v>46</v>
      </c>
      <c r="BE593" s="178"/>
      <c r="BF593" s="210"/>
      <c r="BG593" s="211" t="s">
        <v>779</v>
      </c>
      <c r="BH593" s="213" t="s">
        <v>46</v>
      </c>
      <c r="BI593" s="178"/>
      <c r="BJ593" s="210"/>
      <c r="BK593" s="211" t="s">
        <v>779</v>
      </c>
      <c r="BL593" s="213" t="s">
        <v>46</v>
      </c>
      <c r="BM593" s="178"/>
      <c r="BN593" s="210"/>
      <c r="BO593" s="211" t="s">
        <v>779</v>
      </c>
      <c r="BP593" s="213" t="s">
        <v>46</v>
      </c>
      <c r="BQ593" s="178"/>
      <c r="BR593" s="210"/>
      <c r="BS593" s="211" t="s">
        <v>779</v>
      </c>
      <c r="BT593" s="213" t="s">
        <v>46</v>
      </c>
      <c r="BU593" s="178"/>
    </row>
    <row r="594" s="105" customFormat="1" spans="1:73">
      <c r="A594" s="141" t="s">
        <v>780</v>
      </c>
      <c r="B594" s="205" t="s">
        <v>46</v>
      </c>
      <c r="C594" s="214"/>
      <c r="D594" s="207"/>
      <c r="E594" s="130"/>
      <c r="F594" s="208"/>
      <c r="G594" s="143" t="s">
        <v>781</v>
      </c>
      <c r="H594" s="209"/>
      <c r="I594" s="198"/>
      <c r="J594" s="210"/>
      <c r="K594" s="211" t="s">
        <v>781</v>
      </c>
      <c r="L594" s="213" t="s">
        <v>46</v>
      </c>
      <c r="M594" s="178"/>
      <c r="N594" s="210"/>
      <c r="O594" s="211" t="s">
        <v>781</v>
      </c>
      <c r="P594" s="213" t="s">
        <v>46</v>
      </c>
      <c r="Q594" s="178"/>
      <c r="R594" s="210"/>
      <c r="S594" s="211" t="s">
        <v>781</v>
      </c>
      <c r="T594" s="213" t="s">
        <v>46</v>
      </c>
      <c r="U594" s="178"/>
      <c r="V594" s="210"/>
      <c r="W594" s="211" t="s">
        <v>781</v>
      </c>
      <c r="X594" s="213" t="s">
        <v>46</v>
      </c>
      <c r="Y594" s="178"/>
      <c r="Z594" s="210"/>
      <c r="AA594" s="211" t="s">
        <v>781</v>
      </c>
      <c r="AB594" s="213" t="s">
        <v>46</v>
      </c>
      <c r="AC594" s="178"/>
      <c r="AD594" s="210"/>
      <c r="AE594" s="211" t="s">
        <v>781</v>
      </c>
      <c r="AF594" s="213" t="s">
        <v>46</v>
      </c>
      <c r="AG594" s="178"/>
      <c r="AH594" s="210"/>
      <c r="AI594" s="211" t="s">
        <v>781</v>
      </c>
      <c r="AJ594" s="213" t="s">
        <v>46</v>
      </c>
      <c r="AK594" s="178"/>
      <c r="AL594" s="210"/>
      <c r="AM594" s="211" t="s">
        <v>781</v>
      </c>
      <c r="AN594" s="213" t="s">
        <v>46</v>
      </c>
      <c r="AO594" s="178"/>
      <c r="AP594" s="210"/>
      <c r="AQ594" s="211" t="s">
        <v>781</v>
      </c>
      <c r="AR594" s="213" t="s">
        <v>46</v>
      </c>
      <c r="AS594" s="178"/>
      <c r="AT594" s="210"/>
      <c r="AU594" s="211" t="s">
        <v>781</v>
      </c>
      <c r="AV594" s="213" t="s">
        <v>46</v>
      </c>
      <c r="AW594" s="178"/>
      <c r="AX594" s="210"/>
      <c r="AY594" s="211" t="s">
        <v>781</v>
      </c>
      <c r="AZ594" s="213" t="s">
        <v>46</v>
      </c>
      <c r="BA594" s="178"/>
      <c r="BB594" s="210"/>
      <c r="BC594" s="211" t="s">
        <v>781</v>
      </c>
      <c r="BD594" s="213" t="s">
        <v>46</v>
      </c>
      <c r="BE594" s="178"/>
      <c r="BF594" s="210"/>
      <c r="BG594" s="211" t="s">
        <v>781</v>
      </c>
      <c r="BH594" s="213" t="s">
        <v>46</v>
      </c>
      <c r="BI594" s="178"/>
      <c r="BJ594" s="210"/>
      <c r="BK594" s="211" t="s">
        <v>781</v>
      </c>
      <c r="BL594" s="213" t="s">
        <v>46</v>
      </c>
      <c r="BM594" s="178"/>
      <c r="BN594" s="210"/>
      <c r="BO594" s="211" t="s">
        <v>781</v>
      </c>
      <c r="BP594" s="213" t="s">
        <v>46</v>
      </c>
      <c r="BQ594" s="178"/>
      <c r="BR594" s="210"/>
      <c r="BS594" s="211" t="s">
        <v>781</v>
      </c>
      <c r="BT594" s="213" t="s">
        <v>46</v>
      </c>
      <c r="BU594" s="178"/>
    </row>
    <row r="595" s="105" customFormat="1" spans="1:73">
      <c r="A595" s="204" t="s">
        <v>782</v>
      </c>
      <c r="B595" s="205" t="s">
        <v>46</v>
      </c>
      <c r="C595" s="206"/>
      <c r="D595" s="207"/>
      <c r="E595" s="130"/>
      <c r="F595" s="208"/>
      <c r="G595" s="143" t="s">
        <v>783</v>
      </c>
      <c r="H595" s="209"/>
      <c r="I595" s="198"/>
      <c r="J595" s="210"/>
      <c r="K595" s="211" t="s">
        <v>783</v>
      </c>
      <c r="L595" s="213" t="s">
        <v>46</v>
      </c>
      <c r="M595" s="178"/>
      <c r="N595" s="210"/>
      <c r="O595" s="211" t="s">
        <v>783</v>
      </c>
      <c r="P595" s="213" t="s">
        <v>46</v>
      </c>
      <c r="Q595" s="178"/>
      <c r="R595" s="210"/>
      <c r="S595" s="211" t="s">
        <v>783</v>
      </c>
      <c r="T595" s="212" t="s">
        <v>132</v>
      </c>
      <c r="U595" s="178"/>
      <c r="V595" s="210"/>
      <c r="W595" s="211" t="s">
        <v>783</v>
      </c>
      <c r="X595" s="213" t="s">
        <v>46</v>
      </c>
      <c r="Y595" s="178"/>
      <c r="Z595" s="210"/>
      <c r="AA595" s="211" t="s">
        <v>783</v>
      </c>
      <c r="AB595" s="213" t="s">
        <v>46</v>
      </c>
      <c r="AC595" s="178"/>
      <c r="AD595" s="210"/>
      <c r="AE595" s="211" t="s">
        <v>783</v>
      </c>
      <c r="AF595" s="212" t="s">
        <v>61</v>
      </c>
      <c r="AG595" s="178"/>
      <c r="AH595" s="210"/>
      <c r="AI595" s="211" t="s">
        <v>783</v>
      </c>
      <c r="AJ595" s="212" t="s">
        <v>61</v>
      </c>
      <c r="AK595" s="178"/>
      <c r="AL595" s="210"/>
      <c r="AM595" s="211" t="s">
        <v>783</v>
      </c>
      <c r="AN595" s="212" t="s">
        <v>61</v>
      </c>
      <c r="AO595" s="178"/>
      <c r="AP595" s="210"/>
      <c r="AQ595" s="211" t="s">
        <v>783</v>
      </c>
      <c r="AR595" s="213" t="s">
        <v>46</v>
      </c>
      <c r="AS595" s="178"/>
      <c r="AT595" s="210"/>
      <c r="AU595" s="211" t="s">
        <v>783</v>
      </c>
      <c r="AV595" s="212" t="s">
        <v>132</v>
      </c>
      <c r="AW595" s="178"/>
      <c r="AX595" s="210"/>
      <c r="AY595" s="211" t="s">
        <v>783</v>
      </c>
      <c r="AZ595" s="212" t="s">
        <v>61</v>
      </c>
      <c r="BA595" s="178"/>
      <c r="BB595" s="210"/>
      <c r="BC595" s="211" t="s">
        <v>783</v>
      </c>
      <c r="BD595" s="212" t="s">
        <v>61</v>
      </c>
      <c r="BE595" s="178"/>
      <c r="BF595" s="210"/>
      <c r="BG595" s="211" t="s">
        <v>783</v>
      </c>
      <c r="BH595" s="212" t="s">
        <v>61</v>
      </c>
      <c r="BI595" s="178"/>
      <c r="BJ595" s="210"/>
      <c r="BK595" s="211" t="s">
        <v>783</v>
      </c>
      <c r="BL595" s="212" t="s">
        <v>61</v>
      </c>
      <c r="BM595" s="178"/>
      <c r="BN595" s="210"/>
      <c r="BO595" s="211" t="s">
        <v>783</v>
      </c>
      <c r="BP595" s="212" t="s">
        <v>61</v>
      </c>
      <c r="BQ595" s="178"/>
      <c r="BR595" s="210"/>
      <c r="BS595" s="211" t="s">
        <v>783</v>
      </c>
      <c r="BT595" s="213" t="s">
        <v>46</v>
      </c>
      <c r="BU595" s="178"/>
    </row>
    <row r="596" s="105" customFormat="1" spans="1:73">
      <c r="A596" s="204" t="s">
        <v>784</v>
      </c>
      <c r="B596" s="205" t="s">
        <v>46</v>
      </c>
      <c r="C596" s="206"/>
      <c r="D596" s="207"/>
      <c r="E596" s="132"/>
      <c r="F596" s="208"/>
      <c r="G596" s="143" t="s">
        <v>785</v>
      </c>
      <c r="H596" s="209"/>
      <c r="I596" s="198"/>
      <c r="J596" s="210"/>
      <c r="K596" s="211" t="s">
        <v>785</v>
      </c>
      <c r="L596" s="213" t="s">
        <v>46</v>
      </c>
      <c r="M596" s="178"/>
      <c r="N596" s="210"/>
      <c r="O596" s="211" t="s">
        <v>785</v>
      </c>
      <c r="P596" s="213" t="s">
        <v>46</v>
      </c>
      <c r="Q596" s="178"/>
      <c r="R596" s="210"/>
      <c r="S596" s="211" t="s">
        <v>785</v>
      </c>
      <c r="T596" s="213" t="s">
        <v>46</v>
      </c>
      <c r="U596" s="178"/>
      <c r="V596" s="210"/>
      <c r="W596" s="211" t="s">
        <v>785</v>
      </c>
      <c r="X596" s="213" t="s">
        <v>46</v>
      </c>
      <c r="Y596" s="178"/>
      <c r="Z596" s="210"/>
      <c r="AA596" s="211" t="s">
        <v>785</v>
      </c>
      <c r="AB596" s="213" t="s">
        <v>46</v>
      </c>
      <c r="AC596" s="178"/>
      <c r="AD596" s="210"/>
      <c r="AE596" s="211" t="s">
        <v>785</v>
      </c>
      <c r="AF596" s="213" t="s">
        <v>46</v>
      </c>
      <c r="AG596" s="178"/>
      <c r="AH596" s="210"/>
      <c r="AI596" s="211" t="s">
        <v>785</v>
      </c>
      <c r="AJ596" s="213" t="s">
        <v>46</v>
      </c>
      <c r="AK596" s="178"/>
      <c r="AL596" s="210"/>
      <c r="AM596" s="211" t="s">
        <v>785</v>
      </c>
      <c r="AN596" s="213" t="s">
        <v>46</v>
      </c>
      <c r="AO596" s="178"/>
      <c r="AP596" s="210"/>
      <c r="AQ596" s="211" t="s">
        <v>785</v>
      </c>
      <c r="AR596" s="213" t="s">
        <v>46</v>
      </c>
      <c r="AS596" s="178"/>
      <c r="AT596" s="210"/>
      <c r="AU596" s="211" t="s">
        <v>785</v>
      </c>
      <c r="AV596" s="213" t="s">
        <v>46</v>
      </c>
      <c r="AW596" s="178"/>
      <c r="AX596" s="210"/>
      <c r="AY596" s="211" t="s">
        <v>785</v>
      </c>
      <c r="AZ596" s="213" t="s">
        <v>46</v>
      </c>
      <c r="BA596" s="178"/>
      <c r="BB596" s="210"/>
      <c r="BC596" s="211" t="s">
        <v>785</v>
      </c>
      <c r="BD596" s="213" t="s">
        <v>46</v>
      </c>
      <c r="BE596" s="178"/>
      <c r="BF596" s="210"/>
      <c r="BG596" s="211" t="s">
        <v>785</v>
      </c>
      <c r="BH596" s="213" t="s">
        <v>46</v>
      </c>
      <c r="BI596" s="178"/>
      <c r="BJ596" s="210"/>
      <c r="BK596" s="211" t="s">
        <v>785</v>
      </c>
      <c r="BL596" s="212" t="s">
        <v>86</v>
      </c>
      <c r="BM596" s="178"/>
      <c r="BN596" s="210"/>
      <c r="BO596" s="211" t="s">
        <v>785</v>
      </c>
      <c r="BP596" s="213" t="s">
        <v>46</v>
      </c>
      <c r="BQ596" s="178"/>
      <c r="BR596" s="210"/>
      <c r="BS596" s="211" t="s">
        <v>785</v>
      </c>
      <c r="BT596" s="213" t="s">
        <v>46</v>
      </c>
      <c r="BU596" s="178"/>
    </row>
    <row r="597" ht="12.75" customHeight="1" spans="1:73">
      <c r="A597" s="141" t="s">
        <v>786</v>
      </c>
      <c r="B597" s="205" t="s">
        <v>787</v>
      </c>
      <c r="C597" s="214"/>
      <c r="D597" s="207"/>
      <c r="E597" s="132"/>
      <c r="F597" s="208"/>
      <c r="G597" s="143" t="s">
        <v>788</v>
      </c>
      <c r="H597" s="209"/>
      <c r="I597" s="198"/>
      <c r="J597" s="210"/>
      <c r="K597" s="211" t="s">
        <v>788</v>
      </c>
      <c r="L597" s="213" t="s">
        <v>787</v>
      </c>
      <c r="M597" s="178"/>
      <c r="N597" s="210"/>
      <c r="O597" s="211" t="s">
        <v>788</v>
      </c>
      <c r="P597" s="213" t="s">
        <v>787</v>
      </c>
      <c r="Q597" s="178"/>
      <c r="R597" s="210"/>
      <c r="S597" s="211" t="s">
        <v>788</v>
      </c>
      <c r="T597" s="212" t="s">
        <v>127</v>
      </c>
      <c r="U597" s="178"/>
      <c r="V597" s="210"/>
      <c r="W597" s="211" t="s">
        <v>788</v>
      </c>
      <c r="X597" s="213" t="s">
        <v>787</v>
      </c>
      <c r="Y597" s="178"/>
      <c r="Z597" s="210"/>
      <c r="AA597" s="211" t="s">
        <v>788</v>
      </c>
      <c r="AB597" s="213" t="s">
        <v>787</v>
      </c>
      <c r="AC597" s="178"/>
      <c r="AD597" s="210"/>
      <c r="AE597" s="211" t="s">
        <v>788</v>
      </c>
      <c r="AF597" s="213" t="s">
        <v>787</v>
      </c>
      <c r="AG597" s="178"/>
      <c r="AH597" s="210"/>
      <c r="AI597" s="211" t="s">
        <v>788</v>
      </c>
      <c r="AJ597" s="213" t="s">
        <v>787</v>
      </c>
      <c r="AK597" s="178"/>
      <c r="AL597" s="210"/>
      <c r="AM597" s="211" t="s">
        <v>788</v>
      </c>
      <c r="AN597" s="213" t="s">
        <v>787</v>
      </c>
      <c r="AO597" s="178"/>
      <c r="AP597" s="210"/>
      <c r="AQ597" s="211" t="s">
        <v>788</v>
      </c>
      <c r="AR597" s="213" t="s">
        <v>787</v>
      </c>
      <c r="AS597" s="178"/>
      <c r="AT597" s="210"/>
      <c r="AU597" s="211" t="s">
        <v>788</v>
      </c>
      <c r="AV597" s="212" t="s">
        <v>127</v>
      </c>
      <c r="AW597" s="178"/>
      <c r="AX597" s="210"/>
      <c r="AY597" s="211" t="s">
        <v>788</v>
      </c>
      <c r="AZ597" s="213" t="s">
        <v>787</v>
      </c>
      <c r="BA597" s="178"/>
      <c r="BB597" s="210"/>
      <c r="BC597" s="211" t="s">
        <v>788</v>
      </c>
      <c r="BD597" s="213" t="s">
        <v>787</v>
      </c>
      <c r="BE597" s="178"/>
      <c r="BF597" s="210"/>
      <c r="BG597" s="211" t="s">
        <v>788</v>
      </c>
      <c r="BH597" s="213" t="s">
        <v>787</v>
      </c>
      <c r="BI597" s="178"/>
      <c r="BJ597" s="210"/>
      <c r="BK597" s="211" t="s">
        <v>788</v>
      </c>
      <c r="BL597" s="213" t="s">
        <v>787</v>
      </c>
      <c r="BM597" s="178"/>
      <c r="BN597" s="210"/>
      <c r="BO597" s="211" t="s">
        <v>788</v>
      </c>
      <c r="BP597" s="213" t="s">
        <v>787</v>
      </c>
      <c r="BQ597" s="178"/>
      <c r="BR597" s="210"/>
      <c r="BS597" s="211" t="s">
        <v>788</v>
      </c>
      <c r="BT597" s="213" t="s">
        <v>787</v>
      </c>
      <c r="BU597" s="178"/>
    </row>
    <row r="598" s="105" customFormat="1" spans="1:73">
      <c r="A598" s="141" t="s">
        <v>789</v>
      </c>
      <c r="B598" s="205" t="s">
        <v>268</v>
      </c>
      <c r="C598" s="214"/>
      <c r="D598" s="207"/>
      <c r="E598" s="130"/>
      <c r="F598" s="208"/>
      <c r="G598" s="143" t="s">
        <v>790</v>
      </c>
      <c r="H598" s="209"/>
      <c r="I598" s="198"/>
      <c r="J598" s="210"/>
      <c r="K598" s="211" t="s">
        <v>790</v>
      </c>
      <c r="L598" s="213" t="s">
        <v>268</v>
      </c>
      <c r="M598" s="178"/>
      <c r="N598" s="210"/>
      <c r="O598" s="211" t="s">
        <v>790</v>
      </c>
      <c r="P598" s="213" t="s">
        <v>268</v>
      </c>
      <c r="Q598" s="178"/>
      <c r="R598" s="210"/>
      <c r="S598" s="211" t="s">
        <v>790</v>
      </c>
      <c r="T598" s="213" t="s">
        <v>268</v>
      </c>
      <c r="U598" s="178"/>
      <c r="V598" s="210"/>
      <c r="W598" s="211" t="s">
        <v>790</v>
      </c>
      <c r="X598" s="213" t="s">
        <v>268</v>
      </c>
      <c r="Y598" s="178"/>
      <c r="Z598" s="210"/>
      <c r="AA598" s="211" t="s">
        <v>790</v>
      </c>
      <c r="AB598" s="213" t="s">
        <v>268</v>
      </c>
      <c r="AC598" s="178"/>
      <c r="AD598" s="210"/>
      <c r="AE598" s="211" t="s">
        <v>790</v>
      </c>
      <c r="AF598" s="213" t="s">
        <v>268</v>
      </c>
      <c r="AG598" s="178"/>
      <c r="AH598" s="210"/>
      <c r="AI598" s="211" t="s">
        <v>790</v>
      </c>
      <c r="AJ598" s="213" t="s">
        <v>268</v>
      </c>
      <c r="AK598" s="178"/>
      <c r="AL598" s="210"/>
      <c r="AM598" s="211" t="s">
        <v>790</v>
      </c>
      <c r="AN598" s="213" t="s">
        <v>268</v>
      </c>
      <c r="AO598" s="178"/>
      <c r="AP598" s="210"/>
      <c r="AQ598" s="211" t="s">
        <v>790</v>
      </c>
      <c r="AR598" s="213" t="s">
        <v>268</v>
      </c>
      <c r="AS598" s="178"/>
      <c r="AT598" s="210"/>
      <c r="AU598" s="211" t="s">
        <v>790</v>
      </c>
      <c r="AV598" s="213" t="s">
        <v>268</v>
      </c>
      <c r="AW598" s="178"/>
      <c r="AX598" s="210"/>
      <c r="AY598" s="211" t="s">
        <v>790</v>
      </c>
      <c r="AZ598" s="213" t="s">
        <v>268</v>
      </c>
      <c r="BA598" s="178"/>
      <c r="BB598" s="210"/>
      <c r="BC598" s="211" t="s">
        <v>790</v>
      </c>
      <c r="BD598" s="213" t="s">
        <v>268</v>
      </c>
      <c r="BE598" s="178"/>
      <c r="BF598" s="210"/>
      <c r="BG598" s="211" t="s">
        <v>790</v>
      </c>
      <c r="BH598" s="213" t="s">
        <v>268</v>
      </c>
      <c r="BI598" s="178"/>
      <c r="BJ598" s="210"/>
      <c r="BK598" s="211" t="s">
        <v>790</v>
      </c>
      <c r="BL598" s="213" t="s">
        <v>268</v>
      </c>
      <c r="BM598" s="178"/>
      <c r="BN598" s="210"/>
      <c r="BO598" s="211" t="s">
        <v>790</v>
      </c>
      <c r="BP598" s="213" t="s">
        <v>268</v>
      </c>
      <c r="BQ598" s="178"/>
      <c r="BR598" s="210"/>
      <c r="BS598" s="211" t="s">
        <v>790</v>
      </c>
      <c r="BT598" s="213" t="s">
        <v>268</v>
      </c>
      <c r="BU598" s="178"/>
    </row>
    <row r="599" s="105" customFormat="1" spans="1:73">
      <c r="A599" s="204" t="s">
        <v>791</v>
      </c>
      <c r="B599" s="205" t="s">
        <v>127</v>
      </c>
      <c r="C599" s="206"/>
      <c r="D599" s="207"/>
      <c r="E599" s="130"/>
      <c r="F599" s="208"/>
      <c r="G599" s="143" t="s">
        <v>792</v>
      </c>
      <c r="H599" s="209"/>
      <c r="I599" s="198"/>
      <c r="J599" s="210"/>
      <c r="K599" s="211" t="s">
        <v>792</v>
      </c>
      <c r="L599" s="213" t="s">
        <v>127</v>
      </c>
      <c r="M599" s="178"/>
      <c r="N599" s="210"/>
      <c r="O599" s="211" t="s">
        <v>792</v>
      </c>
      <c r="P599" s="213" t="s">
        <v>127</v>
      </c>
      <c r="Q599" s="178"/>
      <c r="R599" s="210"/>
      <c r="S599" s="211" t="s">
        <v>792</v>
      </c>
      <c r="T599" s="212" t="s">
        <v>88</v>
      </c>
      <c r="U599" s="178"/>
      <c r="V599" s="210"/>
      <c r="W599" s="211" t="s">
        <v>792</v>
      </c>
      <c r="X599" s="213" t="s">
        <v>127</v>
      </c>
      <c r="Y599" s="178"/>
      <c r="Z599" s="210"/>
      <c r="AA599" s="211" t="s">
        <v>792</v>
      </c>
      <c r="AB599" s="213" t="s">
        <v>127</v>
      </c>
      <c r="AC599" s="178"/>
      <c r="AD599" s="210"/>
      <c r="AE599" s="211" t="s">
        <v>792</v>
      </c>
      <c r="AF599" s="212" t="s">
        <v>142</v>
      </c>
      <c r="AG599" s="178"/>
      <c r="AH599" s="210"/>
      <c r="AI599" s="211" t="s">
        <v>792</v>
      </c>
      <c r="AJ599" s="212" t="s">
        <v>142</v>
      </c>
      <c r="AK599" s="178"/>
      <c r="AL599" s="210"/>
      <c r="AM599" s="211" t="s">
        <v>792</v>
      </c>
      <c r="AN599" s="212" t="s">
        <v>142</v>
      </c>
      <c r="AO599" s="178"/>
      <c r="AP599" s="210"/>
      <c r="AQ599" s="211" t="s">
        <v>792</v>
      </c>
      <c r="AR599" s="213" t="s">
        <v>127</v>
      </c>
      <c r="AS599" s="178"/>
      <c r="AT599" s="210"/>
      <c r="AU599" s="211" t="s">
        <v>792</v>
      </c>
      <c r="AV599" s="212" t="s">
        <v>88</v>
      </c>
      <c r="AW599" s="178"/>
      <c r="AX599" s="210"/>
      <c r="AY599" s="211" t="s">
        <v>792</v>
      </c>
      <c r="AZ599" s="212" t="s">
        <v>142</v>
      </c>
      <c r="BA599" s="178"/>
      <c r="BB599" s="210"/>
      <c r="BC599" s="211" t="s">
        <v>792</v>
      </c>
      <c r="BD599" s="212" t="s">
        <v>142</v>
      </c>
      <c r="BE599" s="178"/>
      <c r="BF599" s="210"/>
      <c r="BG599" s="211" t="s">
        <v>792</v>
      </c>
      <c r="BH599" s="212" t="s">
        <v>142</v>
      </c>
      <c r="BI599" s="178"/>
      <c r="BJ599" s="210"/>
      <c r="BK599" s="211" t="s">
        <v>792</v>
      </c>
      <c r="BL599" s="212" t="s">
        <v>142</v>
      </c>
      <c r="BM599" s="178"/>
      <c r="BN599" s="210"/>
      <c r="BO599" s="211" t="s">
        <v>792</v>
      </c>
      <c r="BP599" s="212" t="s">
        <v>142</v>
      </c>
      <c r="BQ599" s="178"/>
      <c r="BR599" s="210"/>
      <c r="BS599" s="211" t="s">
        <v>792</v>
      </c>
      <c r="BT599" s="213" t="s">
        <v>127</v>
      </c>
      <c r="BU599" s="178"/>
    </row>
    <row r="600" s="105" customFormat="1" spans="1:73">
      <c r="A600" s="204" t="s">
        <v>793</v>
      </c>
      <c r="B600" s="205" t="s">
        <v>268</v>
      </c>
      <c r="C600" s="206"/>
      <c r="D600" s="207"/>
      <c r="E600" s="130"/>
      <c r="F600" s="208"/>
      <c r="G600" s="143" t="s">
        <v>794</v>
      </c>
      <c r="H600" s="209"/>
      <c r="I600" s="198"/>
      <c r="J600" s="210"/>
      <c r="K600" s="211" t="s">
        <v>794</v>
      </c>
      <c r="L600" s="213" t="s">
        <v>268</v>
      </c>
      <c r="M600" s="178"/>
      <c r="N600" s="210"/>
      <c r="O600" s="211" t="s">
        <v>794</v>
      </c>
      <c r="P600" s="213" t="s">
        <v>268</v>
      </c>
      <c r="Q600" s="178"/>
      <c r="R600" s="210"/>
      <c r="S600" s="211" t="s">
        <v>794</v>
      </c>
      <c r="T600" s="213" t="s">
        <v>268</v>
      </c>
      <c r="U600" s="178"/>
      <c r="V600" s="210"/>
      <c r="W600" s="211" t="s">
        <v>794</v>
      </c>
      <c r="X600" s="213" t="s">
        <v>268</v>
      </c>
      <c r="Y600" s="178"/>
      <c r="Z600" s="210"/>
      <c r="AA600" s="211" t="s">
        <v>794</v>
      </c>
      <c r="AB600" s="213" t="s">
        <v>268</v>
      </c>
      <c r="AC600" s="178"/>
      <c r="AD600" s="210"/>
      <c r="AE600" s="211" t="s">
        <v>794</v>
      </c>
      <c r="AF600" s="213" t="s">
        <v>268</v>
      </c>
      <c r="AG600" s="178"/>
      <c r="AH600" s="210"/>
      <c r="AI600" s="211" t="s">
        <v>794</v>
      </c>
      <c r="AJ600" s="213" t="s">
        <v>268</v>
      </c>
      <c r="AK600" s="178"/>
      <c r="AL600" s="210"/>
      <c r="AM600" s="211" t="s">
        <v>794</v>
      </c>
      <c r="AN600" s="213" t="s">
        <v>268</v>
      </c>
      <c r="AO600" s="178"/>
      <c r="AP600" s="210"/>
      <c r="AQ600" s="211" t="s">
        <v>794</v>
      </c>
      <c r="AR600" s="213" t="s">
        <v>268</v>
      </c>
      <c r="AS600" s="178"/>
      <c r="AT600" s="210"/>
      <c r="AU600" s="211" t="s">
        <v>794</v>
      </c>
      <c r="AV600" s="213" t="s">
        <v>268</v>
      </c>
      <c r="AW600" s="178"/>
      <c r="AX600" s="210"/>
      <c r="AY600" s="211" t="s">
        <v>794</v>
      </c>
      <c r="AZ600" s="213" t="s">
        <v>268</v>
      </c>
      <c r="BA600" s="178"/>
      <c r="BB600" s="210"/>
      <c r="BC600" s="211" t="s">
        <v>794</v>
      </c>
      <c r="BD600" s="213" t="s">
        <v>268</v>
      </c>
      <c r="BE600" s="178"/>
      <c r="BF600" s="210"/>
      <c r="BG600" s="211" t="s">
        <v>794</v>
      </c>
      <c r="BH600" s="213" t="s">
        <v>268</v>
      </c>
      <c r="BI600" s="178"/>
      <c r="BJ600" s="210"/>
      <c r="BK600" s="211" t="s">
        <v>794</v>
      </c>
      <c r="BL600" s="212" t="s">
        <v>294</v>
      </c>
      <c r="BM600" s="178"/>
      <c r="BN600" s="210"/>
      <c r="BO600" s="211" t="s">
        <v>794</v>
      </c>
      <c r="BP600" s="213" t="s">
        <v>268</v>
      </c>
      <c r="BQ600" s="178"/>
      <c r="BR600" s="210"/>
      <c r="BS600" s="211" t="s">
        <v>794</v>
      </c>
      <c r="BT600" s="213" t="s">
        <v>268</v>
      </c>
      <c r="BU600" s="178"/>
    </row>
    <row r="601" spans="1:73">
      <c r="A601" s="165"/>
      <c r="B601" s="166"/>
      <c r="C601" s="166"/>
      <c r="D601" s="215"/>
      <c r="E601" s="132"/>
      <c r="F601" s="216"/>
      <c r="G601" s="143"/>
      <c r="H601" s="167"/>
      <c r="I601" s="198"/>
      <c r="J601" s="217"/>
      <c r="K601" s="211"/>
      <c r="L601" s="213"/>
      <c r="M601" s="178"/>
      <c r="N601" s="217"/>
      <c r="O601" s="211"/>
      <c r="P601" s="213"/>
      <c r="Q601" s="178"/>
      <c r="R601" s="217"/>
      <c r="S601" s="211"/>
      <c r="T601" s="213"/>
      <c r="U601" s="178"/>
      <c r="V601" s="217"/>
      <c r="W601" s="211"/>
      <c r="X601" s="213"/>
      <c r="Y601" s="178"/>
      <c r="Z601" s="217"/>
      <c r="AA601" s="211"/>
      <c r="AB601" s="213"/>
      <c r="AC601" s="178"/>
      <c r="AD601" s="217"/>
      <c r="AE601" s="211"/>
      <c r="AF601" s="213"/>
      <c r="AG601" s="178"/>
      <c r="AH601" s="217"/>
      <c r="AI601" s="211"/>
      <c r="AJ601" s="213"/>
      <c r="AK601" s="178"/>
      <c r="AL601" s="217"/>
      <c r="AM601" s="211"/>
      <c r="AN601" s="213"/>
      <c r="AO601" s="178"/>
      <c r="AP601" s="217"/>
      <c r="AQ601" s="211"/>
      <c r="AR601" s="213"/>
      <c r="AS601" s="178"/>
      <c r="AT601" s="217"/>
      <c r="AU601" s="211"/>
      <c r="AV601" s="213"/>
      <c r="AW601" s="178"/>
      <c r="AX601" s="217"/>
      <c r="AY601" s="211"/>
      <c r="AZ601" s="213"/>
      <c r="BA601" s="178"/>
      <c r="BB601" s="217"/>
      <c r="BC601" s="211"/>
      <c r="BD601" s="213"/>
      <c r="BE601" s="178"/>
      <c r="BF601" s="217"/>
      <c r="BG601" s="211"/>
      <c r="BH601" s="213"/>
      <c r="BI601" s="178"/>
      <c r="BJ601" s="217"/>
      <c r="BK601" s="211"/>
      <c r="BL601" s="213"/>
      <c r="BM601" s="178"/>
      <c r="BN601" s="217"/>
      <c r="BO601" s="211"/>
      <c r="BP601" s="213"/>
      <c r="BQ601" s="178"/>
      <c r="BR601" s="217"/>
      <c r="BS601" s="211"/>
      <c r="BT601" s="213"/>
      <c r="BU601" s="178"/>
    </row>
    <row r="602" s="105" customFormat="1" spans="1:73">
      <c r="A602" s="165"/>
      <c r="B602" s="166"/>
      <c r="C602" s="166"/>
      <c r="D602" s="202"/>
      <c r="E602" s="132"/>
      <c r="F602" s="218"/>
      <c r="G602" s="143"/>
      <c r="H602" s="167"/>
      <c r="I602" s="198"/>
      <c r="J602" s="219"/>
      <c r="K602" s="211"/>
      <c r="L602" s="213"/>
      <c r="M602" s="178"/>
      <c r="N602" s="219"/>
      <c r="O602" s="211"/>
      <c r="P602" s="213"/>
      <c r="Q602" s="178"/>
      <c r="R602" s="219"/>
      <c r="S602" s="211"/>
      <c r="T602" s="213"/>
      <c r="U602" s="178"/>
      <c r="V602" s="219"/>
      <c r="W602" s="211"/>
      <c r="X602" s="213"/>
      <c r="Y602" s="178"/>
      <c r="Z602" s="219"/>
      <c r="AA602" s="211"/>
      <c r="AB602" s="213"/>
      <c r="AC602" s="178"/>
      <c r="AD602" s="219"/>
      <c r="AE602" s="211"/>
      <c r="AF602" s="213"/>
      <c r="AG602" s="178"/>
      <c r="AH602" s="219"/>
      <c r="AI602" s="211"/>
      <c r="AJ602" s="213"/>
      <c r="AK602" s="178"/>
      <c r="AL602" s="219"/>
      <c r="AM602" s="211"/>
      <c r="AN602" s="213"/>
      <c r="AO602" s="178"/>
      <c r="AP602" s="219"/>
      <c r="AQ602" s="211"/>
      <c r="AR602" s="213"/>
      <c r="AS602" s="178"/>
      <c r="AT602" s="219"/>
      <c r="AU602" s="211"/>
      <c r="AV602" s="213"/>
      <c r="AW602" s="178"/>
      <c r="AX602" s="219"/>
      <c r="AY602" s="211"/>
      <c r="AZ602" s="213"/>
      <c r="BA602" s="178"/>
      <c r="BB602" s="219"/>
      <c r="BC602" s="211"/>
      <c r="BD602" s="213"/>
      <c r="BE602" s="178"/>
      <c r="BF602" s="219"/>
      <c r="BG602" s="211"/>
      <c r="BH602" s="213"/>
      <c r="BI602" s="178"/>
      <c r="BJ602" s="219"/>
      <c r="BK602" s="211"/>
      <c r="BL602" s="213"/>
      <c r="BM602" s="178"/>
      <c r="BN602" s="219"/>
      <c r="BO602" s="211"/>
      <c r="BP602" s="213"/>
      <c r="BQ602" s="178"/>
      <c r="BR602" s="219"/>
      <c r="BS602" s="211"/>
      <c r="BT602" s="213"/>
      <c r="BU602" s="178"/>
    </row>
    <row r="603" spans="1:73">
      <c r="A603" s="165"/>
      <c r="B603" s="131"/>
      <c r="C603" s="148"/>
      <c r="D603" s="202"/>
      <c r="E603" s="130"/>
      <c r="F603" s="133" t="s">
        <v>795</v>
      </c>
      <c r="G603" s="108"/>
      <c r="H603" s="197"/>
      <c r="I603" s="198"/>
      <c r="J603" s="199" t="s">
        <v>795</v>
      </c>
      <c r="K603" s="220"/>
      <c r="L603" s="201"/>
      <c r="M603" s="178"/>
      <c r="N603" s="199" t="s">
        <v>795</v>
      </c>
      <c r="O603" s="220"/>
      <c r="P603" s="201"/>
      <c r="Q603" s="178"/>
      <c r="R603" s="199" t="s">
        <v>795</v>
      </c>
      <c r="S603" s="220"/>
      <c r="T603" s="201"/>
      <c r="U603" s="178"/>
      <c r="V603" s="199" t="s">
        <v>795</v>
      </c>
      <c r="W603" s="220"/>
      <c r="X603" s="201"/>
      <c r="Y603" s="178"/>
      <c r="Z603" s="199" t="s">
        <v>795</v>
      </c>
      <c r="AA603" s="220"/>
      <c r="AB603" s="201"/>
      <c r="AC603" s="178"/>
      <c r="AD603" s="199" t="s">
        <v>795</v>
      </c>
      <c r="AE603" s="220"/>
      <c r="AF603" s="201"/>
      <c r="AG603" s="178"/>
      <c r="AH603" s="199" t="s">
        <v>795</v>
      </c>
      <c r="AI603" s="220"/>
      <c r="AJ603" s="201"/>
      <c r="AK603" s="178"/>
      <c r="AL603" s="199" t="s">
        <v>795</v>
      </c>
      <c r="AM603" s="220"/>
      <c r="AN603" s="201"/>
      <c r="AO603" s="178"/>
      <c r="AP603" s="199" t="s">
        <v>795</v>
      </c>
      <c r="AQ603" s="220"/>
      <c r="AR603" s="201"/>
      <c r="AS603" s="178"/>
      <c r="AT603" s="199" t="s">
        <v>795</v>
      </c>
      <c r="AU603" s="220"/>
      <c r="AV603" s="201"/>
      <c r="AW603" s="178"/>
      <c r="AX603" s="199" t="s">
        <v>795</v>
      </c>
      <c r="AY603" s="220"/>
      <c r="AZ603" s="201"/>
      <c r="BA603" s="178"/>
      <c r="BB603" s="199" t="s">
        <v>795</v>
      </c>
      <c r="BC603" s="220"/>
      <c r="BD603" s="201"/>
      <c r="BE603" s="178"/>
      <c r="BF603" s="199" t="s">
        <v>795</v>
      </c>
      <c r="BG603" s="220"/>
      <c r="BH603" s="201"/>
      <c r="BI603" s="178"/>
      <c r="BJ603" s="199" t="s">
        <v>795</v>
      </c>
      <c r="BK603" s="220"/>
      <c r="BL603" s="201"/>
      <c r="BM603" s="178"/>
      <c r="BN603" s="199" t="s">
        <v>795</v>
      </c>
      <c r="BO603" s="220"/>
      <c r="BP603" s="201"/>
      <c r="BQ603" s="178"/>
      <c r="BR603" s="199" t="s">
        <v>795</v>
      </c>
      <c r="BS603" s="220"/>
      <c r="BT603" s="201"/>
      <c r="BU603" s="178"/>
    </row>
    <row r="604" spans="1:73">
      <c r="A604" s="136" t="s">
        <v>36</v>
      </c>
      <c r="B604" s="137" t="s">
        <v>37</v>
      </c>
      <c r="C604" s="137" t="s">
        <v>38</v>
      </c>
      <c r="D604" s="202"/>
      <c r="E604" s="130"/>
      <c r="F604" s="138"/>
      <c r="G604" s="139" t="s">
        <v>39</v>
      </c>
      <c r="H604" s="140" t="s">
        <v>40</v>
      </c>
      <c r="I604" s="145"/>
      <c r="J604" s="138"/>
      <c r="K604" s="139" t="s">
        <v>39</v>
      </c>
      <c r="L604" s="203" t="s">
        <v>40</v>
      </c>
      <c r="N604" s="138"/>
      <c r="O604" s="139" t="s">
        <v>39</v>
      </c>
      <c r="P604" s="203" t="s">
        <v>40</v>
      </c>
      <c r="R604" s="138"/>
      <c r="S604" s="139" t="s">
        <v>39</v>
      </c>
      <c r="T604" s="203" t="s">
        <v>40</v>
      </c>
      <c r="V604" s="138"/>
      <c r="W604" s="139" t="s">
        <v>39</v>
      </c>
      <c r="X604" s="203" t="s">
        <v>40</v>
      </c>
      <c r="Z604" s="138"/>
      <c r="AA604" s="139" t="s">
        <v>39</v>
      </c>
      <c r="AB604" s="203" t="s">
        <v>40</v>
      </c>
      <c r="AD604" s="138"/>
      <c r="AE604" s="139" t="s">
        <v>39</v>
      </c>
      <c r="AF604" s="203" t="s">
        <v>40</v>
      </c>
      <c r="AH604" s="138"/>
      <c r="AI604" s="139" t="s">
        <v>39</v>
      </c>
      <c r="AJ604" s="203" t="s">
        <v>40</v>
      </c>
      <c r="AL604" s="138"/>
      <c r="AM604" s="139" t="s">
        <v>39</v>
      </c>
      <c r="AN604" s="203" t="s">
        <v>40</v>
      </c>
      <c r="AP604" s="138"/>
      <c r="AQ604" s="139" t="s">
        <v>39</v>
      </c>
      <c r="AR604" s="203" t="s">
        <v>40</v>
      </c>
      <c r="AT604" s="138"/>
      <c r="AU604" s="139" t="s">
        <v>39</v>
      </c>
      <c r="AV604" s="203" t="s">
        <v>40</v>
      </c>
      <c r="AX604" s="138"/>
      <c r="AY604" s="139" t="s">
        <v>39</v>
      </c>
      <c r="AZ604" s="203" t="s">
        <v>40</v>
      </c>
      <c r="BB604" s="138"/>
      <c r="BC604" s="139" t="s">
        <v>39</v>
      </c>
      <c r="BD604" s="203" t="s">
        <v>40</v>
      </c>
      <c r="BF604" s="138"/>
      <c r="BG604" s="139" t="s">
        <v>39</v>
      </c>
      <c r="BH604" s="203" t="s">
        <v>40</v>
      </c>
      <c r="BJ604" s="138"/>
      <c r="BK604" s="139" t="s">
        <v>39</v>
      </c>
      <c r="BL604" s="203" t="s">
        <v>40</v>
      </c>
      <c r="BN604" s="138"/>
      <c r="BO604" s="139" t="s">
        <v>39</v>
      </c>
      <c r="BP604" s="203" t="s">
        <v>40</v>
      </c>
      <c r="BR604" s="138"/>
      <c r="BS604" s="139" t="s">
        <v>39</v>
      </c>
      <c r="BT604" s="203" t="s">
        <v>40</v>
      </c>
    </row>
    <row r="605" s="105" customFormat="1" spans="1:73">
      <c r="A605" s="141" t="s">
        <v>796</v>
      </c>
      <c r="B605" s="205" t="s">
        <v>46</v>
      </c>
      <c r="C605" s="214"/>
      <c r="D605" s="207"/>
      <c r="E605" s="130"/>
      <c r="F605" s="208"/>
      <c r="G605" s="143" t="s">
        <v>797</v>
      </c>
      <c r="H605" s="209"/>
      <c r="I605" s="198"/>
      <c r="J605" s="210"/>
      <c r="K605" s="211" t="s">
        <v>797</v>
      </c>
      <c r="L605" s="213" t="s">
        <v>46</v>
      </c>
      <c r="M605" s="178"/>
      <c r="N605" s="210"/>
      <c r="O605" s="211" t="s">
        <v>797</v>
      </c>
      <c r="P605" s="212" t="s">
        <v>63</v>
      </c>
      <c r="Q605" s="178"/>
      <c r="R605" s="210"/>
      <c r="S605" s="211" t="s">
        <v>797</v>
      </c>
      <c r="T605" s="213" t="s">
        <v>46</v>
      </c>
      <c r="U605" s="178"/>
      <c r="V605" s="210"/>
      <c r="W605" s="211" t="s">
        <v>797</v>
      </c>
      <c r="X605" s="212" t="s">
        <v>63</v>
      </c>
      <c r="Y605" s="178"/>
      <c r="Z605" s="210"/>
      <c r="AA605" s="211" t="s">
        <v>797</v>
      </c>
      <c r="AB605" s="212" t="s">
        <v>63</v>
      </c>
      <c r="AC605" s="178"/>
      <c r="AD605" s="210"/>
      <c r="AE605" s="211" t="s">
        <v>797</v>
      </c>
      <c r="AF605" s="212" t="s">
        <v>63</v>
      </c>
      <c r="AG605" s="178"/>
      <c r="AH605" s="210"/>
      <c r="AI605" s="211" t="s">
        <v>797</v>
      </c>
      <c r="AJ605" s="212" t="s">
        <v>63</v>
      </c>
      <c r="AK605" s="178"/>
      <c r="AL605" s="210"/>
      <c r="AM605" s="211" t="s">
        <v>797</v>
      </c>
      <c r="AN605" s="212" t="s">
        <v>63</v>
      </c>
      <c r="AO605" s="178"/>
      <c r="AP605" s="210"/>
      <c r="AQ605" s="211" t="s">
        <v>797</v>
      </c>
      <c r="AR605" s="212" t="s">
        <v>63</v>
      </c>
      <c r="AS605" s="178"/>
      <c r="AT605" s="210"/>
      <c r="AU605" s="211" t="s">
        <v>797</v>
      </c>
      <c r="AV605" s="213" t="s">
        <v>46</v>
      </c>
      <c r="AW605" s="178"/>
      <c r="AX605" s="210"/>
      <c r="AY605" s="211" t="s">
        <v>797</v>
      </c>
      <c r="AZ605" s="212" t="s">
        <v>63</v>
      </c>
      <c r="BA605" s="178"/>
      <c r="BB605" s="210"/>
      <c r="BC605" s="211" t="s">
        <v>797</v>
      </c>
      <c r="BD605" s="212" t="s">
        <v>63</v>
      </c>
      <c r="BE605" s="178"/>
      <c r="BF605" s="210"/>
      <c r="BG605" s="211" t="s">
        <v>797</v>
      </c>
      <c r="BH605" s="212" t="s">
        <v>63</v>
      </c>
      <c r="BI605" s="178"/>
      <c r="BJ605" s="210"/>
      <c r="BK605" s="211" t="s">
        <v>797</v>
      </c>
      <c r="BL605" s="212" t="s">
        <v>63</v>
      </c>
      <c r="BM605" s="178"/>
      <c r="BN605" s="210"/>
      <c r="BO605" s="211" t="s">
        <v>797</v>
      </c>
      <c r="BP605" s="212" t="s">
        <v>63</v>
      </c>
      <c r="BQ605" s="178"/>
      <c r="BR605" s="210"/>
      <c r="BS605" s="211" t="s">
        <v>797</v>
      </c>
      <c r="BT605" s="212" t="s">
        <v>63</v>
      </c>
      <c r="BU605" s="178"/>
    </row>
    <row r="606" s="105" customFormat="1" spans="1:73">
      <c r="A606" s="141" t="s">
        <v>798</v>
      </c>
      <c r="B606" s="205" t="s">
        <v>88</v>
      </c>
      <c r="C606" s="214"/>
      <c r="D606" s="207"/>
      <c r="E606" s="130"/>
      <c r="F606" s="208"/>
      <c r="G606" s="143" t="s">
        <v>799</v>
      </c>
      <c r="H606" s="209"/>
      <c r="I606" s="198"/>
      <c r="J606" s="210"/>
      <c r="K606" s="211" t="s">
        <v>799</v>
      </c>
      <c r="L606" s="213" t="s">
        <v>88</v>
      </c>
      <c r="M606" s="178"/>
      <c r="N606" s="210"/>
      <c r="O606" s="211" t="s">
        <v>799</v>
      </c>
      <c r="P606" s="212" t="s">
        <v>255</v>
      </c>
      <c r="Q606" s="178"/>
      <c r="R606" s="210"/>
      <c r="S606" s="211" t="s">
        <v>799</v>
      </c>
      <c r="T606" s="213" t="s">
        <v>88</v>
      </c>
      <c r="U606" s="178"/>
      <c r="V606" s="210"/>
      <c r="W606" s="211" t="s">
        <v>799</v>
      </c>
      <c r="X606" s="212" t="s">
        <v>255</v>
      </c>
      <c r="Y606" s="178"/>
      <c r="Z606" s="210"/>
      <c r="AA606" s="211" t="s">
        <v>799</v>
      </c>
      <c r="AB606" s="212" t="s">
        <v>255</v>
      </c>
      <c r="AC606" s="178"/>
      <c r="AD606" s="210"/>
      <c r="AE606" s="211" t="s">
        <v>799</v>
      </c>
      <c r="AF606" s="212" t="s">
        <v>255</v>
      </c>
      <c r="AG606" s="178"/>
      <c r="AH606" s="210"/>
      <c r="AI606" s="211" t="s">
        <v>799</v>
      </c>
      <c r="AJ606" s="212" t="s">
        <v>166</v>
      </c>
      <c r="AK606" s="178"/>
      <c r="AL606" s="210"/>
      <c r="AM606" s="211" t="s">
        <v>799</v>
      </c>
      <c r="AN606" s="212" t="s">
        <v>166</v>
      </c>
      <c r="AO606" s="178"/>
      <c r="AP606" s="210"/>
      <c r="AQ606" s="211" t="s">
        <v>799</v>
      </c>
      <c r="AR606" s="212" t="s">
        <v>166</v>
      </c>
      <c r="AS606" s="178"/>
      <c r="AT606" s="210"/>
      <c r="AU606" s="211" t="s">
        <v>799</v>
      </c>
      <c r="AV606" s="213" t="s">
        <v>88</v>
      </c>
      <c r="AW606" s="178"/>
      <c r="AX606" s="210"/>
      <c r="AY606" s="211" t="s">
        <v>799</v>
      </c>
      <c r="AZ606" s="212" t="s">
        <v>255</v>
      </c>
      <c r="BA606" s="178"/>
      <c r="BB606" s="210"/>
      <c r="BC606" s="211" t="s">
        <v>799</v>
      </c>
      <c r="BD606" s="212" t="s">
        <v>255</v>
      </c>
      <c r="BE606" s="178"/>
      <c r="BF606" s="210"/>
      <c r="BG606" s="211" t="s">
        <v>799</v>
      </c>
      <c r="BH606" s="212" t="s">
        <v>166</v>
      </c>
      <c r="BI606" s="178"/>
      <c r="BJ606" s="210"/>
      <c r="BK606" s="211" t="s">
        <v>799</v>
      </c>
      <c r="BL606" s="212" t="s">
        <v>255</v>
      </c>
      <c r="BM606" s="178"/>
      <c r="BN606" s="210"/>
      <c r="BO606" s="211" t="s">
        <v>799</v>
      </c>
      <c r="BP606" s="212" t="s">
        <v>166</v>
      </c>
      <c r="BQ606" s="178"/>
      <c r="BR606" s="210"/>
      <c r="BS606" s="211" t="s">
        <v>799</v>
      </c>
      <c r="BT606" s="212" t="s">
        <v>255</v>
      </c>
      <c r="BU606" s="178"/>
    </row>
    <row r="607" ht="12.75" customHeight="1" spans="1:73">
      <c r="A607" s="204" t="s">
        <v>800</v>
      </c>
      <c r="B607" s="205" t="s">
        <v>46</v>
      </c>
      <c r="C607" s="142"/>
      <c r="D607" s="207"/>
      <c r="E607" s="132"/>
      <c r="F607" s="138"/>
      <c r="G607" s="143" t="s">
        <v>801</v>
      </c>
      <c r="H607" s="209"/>
      <c r="I607" s="198"/>
      <c r="J607" s="210"/>
      <c r="K607" s="211" t="s">
        <v>801</v>
      </c>
      <c r="L607" s="213" t="s">
        <v>46</v>
      </c>
      <c r="M607" s="178"/>
      <c r="N607" s="210"/>
      <c r="O607" s="211" t="s">
        <v>801</v>
      </c>
      <c r="P607" s="213" t="s">
        <v>46</v>
      </c>
      <c r="Q607" s="178"/>
      <c r="R607" s="210"/>
      <c r="S607" s="211" t="s">
        <v>801</v>
      </c>
      <c r="T607" s="213" t="s">
        <v>46</v>
      </c>
      <c r="U607" s="178"/>
      <c r="V607" s="210"/>
      <c r="W607" s="211" t="s">
        <v>801</v>
      </c>
      <c r="X607" s="213" t="s">
        <v>46</v>
      </c>
      <c r="Y607" s="178"/>
      <c r="Z607" s="210"/>
      <c r="AA607" s="211" t="s">
        <v>801</v>
      </c>
      <c r="AB607" s="213" t="s">
        <v>46</v>
      </c>
      <c r="AC607" s="178"/>
      <c r="AD607" s="210"/>
      <c r="AE607" s="211" t="s">
        <v>801</v>
      </c>
      <c r="AF607" s="213" t="s">
        <v>46</v>
      </c>
      <c r="AG607" s="178"/>
      <c r="AH607" s="210"/>
      <c r="AI607" s="211" t="s">
        <v>801</v>
      </c>
      <c r="AJ607" s="213" t="s">
        <v>46</v>
      </c>
      <c r="AK607" s="178"/>
      <c r="AL607" s="210"/>
      <c r="AM607" s="211" t="s">
        <v>801</v>
      </c>
      <c r="AN607" s="213" t="s">
        <v>46</v>
      </c>
      <c r="AO607" s="178"/>
      <c r="AP607" s="210"/>
      <c r="AQ607" s="211" t="s">
        <v>801</v>
      </c>
      <c r="AR607" s="213" t="s">
        <v>46</v>
      </c>
      <c r="AS607" s="178"/>
      <c r="AT607" s="210"/>
      <c r="AU607" s="211" t="s">
        <v>801</v>
      </c>
      <c r="AV607" s="213" t="s">
        <v>46</v>
      </c>
      <c r="AW607" s="178"/>
      <c r="AX607" s="210"/>
      <c r="AY607" s="211" t="s">
        <v>801</v>
      </c>
      <c r="AZ607" s="213" t="s">
        <v>46</v>
      </c>
      <c r="BA607" s="178"/>
      <c r="BB607" s="210"/>
      <c r="BC607" s="211" t="s">
        <v>801</v>
      </c>
      <c r="BD607" s="213" t="s">
        <v>46</v>
      </c>
      <c r="BE607" s="178"/>
      <c r="BF607" s="210"/>
      <c r="BG607" s="211" t="s">
        <v>801</v>
      </c>
      <c r="BH607" s="213" t="s">
        <v>46</v>
      </c>
      <c r="BI607" s="178"/>
      <c r="BJ607" s="210"/>
      <c r="BK607" s="211" t="s">
        <v>801</v>
      </c>
      <c r="BL607" s="213" t="s">
        <v>46</v>
      </c>
      <c r="BM607" s="178"/>
      <c r="BN607" s="210"/>
      <c r="BO607" s="211" t="s">
        <v>801</v>
      </c>
      <c r="BP607" s="213" t="s">
        <v>46</v>
      </c>
      <c r="BQ607" s="178"/>
      <c r="BR607" s="210"/>
      <c r="BS607" s="211" t="s">
        <v>801</v>
      </c>
      <c r="BT607" s="213" t="s">
        <v>46</v>
      </c>
      <c r="BU607" s="178"/>
    </row>
    <row r="608" ht="12.75" customHeight="1" spans="1:73">
      <c r="A608" s="153"/>
      <c r="B608" s="205" t="s">
        <v>46</v>
      </c>
      <c r="C608" s="206"/>
      <c r="D608" s="207"/>
      <c r="E608" s="130"/>
      <c r="F608" s="208"/>
      <c r="G608" s="143" t="s">
        <v>802</v>
      </c>
      <c r="H608" s="209"/>
      <c r="I608" s="198"/>
      <c r="J608" s="210"/>
      <c r="K608" s="211" t="s">
        <v>802</v>
      </c>
      <c r="L608" s="213" t="s">
        <v>46</v>
      </c>
      <c r="M608" s="178"/>
      <c r="N608" s="210"/>
      <c r="O608" s="211" t="s">
        <v>802</v>
      </c>
      <c r="P608" s="212" t="s">
        <v>243</v>
      </c>
      <c r="Q608" s="178"/>
      <c r="R608" s="210"/>
      <c r="S608" s="211" t="s">
        <v>802</v>
      </c>
      <c r="T608" s="213" t="s">
        <v>46</v>
      </c>
      <c r="U608" s="178"/>
      <c r="V608" s="210"/>
      <c r="W608" s="211" t="s">
        <v>802</v>
      </c>
      <c r="X608" s="212" t="s">
        <v>132</v>
      </c>
      <c r="Y608" s="178"/>
      <c r="Z608" s="210"/>
      <c r="AA608" s="211" t="s">
        <v>802</v>
      </c>
      <c r="AB608" s="212" t="s">
        <v>243</v>
      </c>
      <c r="AC608" s="178"/>
      <c r="AD608" s="210"/>
      <c r="AE608" s="211" t="s">
        <v>802</v>
      </c>
      <c r="AF608" s="212" t="s">
        <v>132</v>
      </c>
      <c r="AG608" s="178"/>
      <c r="AH608" s="210"/>
      <c r="AI608" s="211" t="s">
        <v>802</v>
      </c>
      <c r="AJ608" s="213" t="s">
        <v>46</v>
      </c>
      <c r="AK608" s="178"/>
      <c r="AL608" s="210"/>
      <c r="AM608" s="211" t="s">
        <v>802</v>
      </c>
      <c r="AN608" s="213" t="s">
        <v>46</v>
      </c>
      <c r="AO608" s="178"/>
      <c r="AP608" s="210"/>
      <c r="AQ608" s="211" t="s">
        <v>802</v>
      </c>
      <c r="AR608" s="212" t="s">
        <v>243</v>
      </c>
      <c r="AS608" s="178"/>
      <c r="AT608" s="210"/>
      <c r="AU608" s="211" t="s">
        <v>802</v>
      </c>
      <c r="AV608" s="213" t="s">
        <v>46</v>
      </c>
      <c r="AW608" s="178"/>
      <c r="AX608" s="210"/>
      <c r="AY608" s="211" t="s">
        <v>802</v>
      </c>
      <c r="AZ608" s="212" t="s">
        <v>132</v>
      </c>
      <c r="BA608" s="178"/>
      <c r="BB608" s="210"/>
      <c r="BC608" s="211" t="s">
        <v>802</v>
      </c>
      <c r="BD608" s="212" t="s">
        <v>243</v>
      </c>
      <c r="BE608" s="178"/>
      <c r="BF608" s="210"/>
      <c r="BG608" s="211" t="s">
        <v>802</v>
      </c>
      <c r="BH608" s="212" t="s">
        <v>243</v>
      </c>
      <c r="BI608" s="178"/>
      <c r="BJ608" s="210"/>
      <c r="BK608" s="211" t="s">
        <v>802</v>
      </c>
      <c r="BL608" s="212" t="s">
        <v>132</v>
      </c>
      <c r="BM608" s="178"/>
      <c r="BN608" s="210"/>
      <c r="BO608" s="211" t="s">
        <v>802</v>
      </c>
      <c r="BP608" s="212" t="s">
        <v>243</v>
      </c>
      <c r="BQ608" s="178"/>
      <c r="BR608" s="210"/>
      <c r="BS608" s="211" t="s">
        <v>802</v>
      </c>
      <c r="BT608" s="212" t="s">
        <v>243</v>
      </c>
      <c r="BU608" s="178"/>
    </row>
    <row r="609" s="105" customFormat="1" spans="1:73">
      <c r="A609" s="221"/>
      <c r="B609" s="205" t="s">
        <v>46</v>
      </c>
      <c r="C609" s="214"/>
      <c r="D609" s="207"/>
      <c r="E609" s="132"/>
      <c r="F609" s="138"/>
      <c r="G609" s="143" t="s">
        <v>803</v>
      </c>
      <c r="H609" s="209"/>
      <c r="I609" s="198"/>
      <c r="J609" s="210"/>
      <c r="K609" s="211" t="s">
        <v>803</v>
      </c>
      <c r="L609" s="213" t="s">
        <v>46</v>
      </c>
      <c r="M609" s="178"/>
      <c r="N609" s="210"/>
      <c r="O609" s="211" t="s">
        <v>803</v>
      </c>
      <c r="P609" s="212" t="s">
        <v>243</v>
      </c>
      <c r="Q609" s="178"/>
      <c r="R609" s="210"/>
      <c r="S609" s="211" t="s">
        <v>803</v>
      </c>
      <c r="T609" s="213" t="s">
        <v>46</v>
      </c>
      <c r="U609" s="178"/>
      <c r="V609" s="210"/>
      <c r="W609" s="211" t="s">
        <v>803</v>
      </c>
      <c r="X609" s="212" t="s">
        <v>61</v>
      </c>
      <c r="Y609" s="178"/>
      <c r="Z609" s="210"/>
      <c r="AA609" s="211" t="s">
        <v>803</v>
      </c>
      <c r="AB609" s="212" t="s">
        <v>243</v>
      </c>
      <c r="AC609" s="178"/>
      <c r="AD609" s="210"/>
      <c r="AE609" s="211" t="s">
        <v>803</v>
      </c>
      <c r="AF609" s="212" t="s">
        <v>63</v>
      </c>
      <c r="AG609" s="178"/>
      <c r="AH609" s="210"/>
      <c r="AI609" s="211" t="s">
        <v>803</v>
      </c>
      <c r="AJ609" s="213" t="s">
        <v>46</v>
      </c>
      <c r="AK609" s="178"/>
      <c r="AL609" s="210"/>
      <c r="AM609" s="211" t="s">
        <v>803</v>
      </c>
      <c r="AN609" s="213" t="s">
        <v>46</v>
      </c>
      <c r="AO609" s="178"/>
      <c r="AP609" s="210"/>
      <c r="AQ609" s="211" t="s">
        <v>803</v>
      </c>
      <c r="AR609" s="212" t="s">
        <v>243</v>
      </c>
      <c r="AS609" s="178"/>
      <c r="AT609" s="210"/>
      <c r="AU609" s="211" t="s">
        <v>803</v>
      </c>
      <c r="AV609" s="213" t="s">
        <v>46</v>
      </c>
      <c r="AW609" s="178"/>
      <c r="AX609" s="210"/>
      <c r="AY609" s="211" t="s">
        <v>803</v>
      </c>
      <c r="AZ609" s="212" t="s">
        <v>61</v>
      </c>
      <c r="BA609" s="178"/>
      <c r="BB609" s="210"/>
      <c r="BC609" s="211" t="s">
        <v>803</v>
      </c>
      <c r="BD609" s="212" t="s">
        <v>243</v>
      </c>
      <c r="BE609" s="178"/>
      <c r="BF609" s="210"/>
      <c r="BG609" s="211" t="s">
        <v>803</v>
      </c>
      <c r="BH609" s="212" t="s">
        <v>243</v>
      </c>
      <c r="BI609" s="178"/>
      <c r="BJ609" s="210"/>
      <c r="BK609" s="211" t="s">
        <v>803</v>
      </c>
      <c r="BL609" s="212" t="s">
        <v>63</v>
      </c>
      <c r="BM609" s="178"/>
      <c r="BN609" s="210"/>
      <c r="BO609" s="211" t="s">
        <v>803</v>
      </c>
      <c r="BP609" s="212" t="s">
        <v>243</v>
      </c>
      <c r="BQ609" s="178"/>
      <c r="BR609" s="210"/>
      <c r="BS609" s="211" t="s">
        <v>803</v>
      </c>
      <c r="BT609" s="212" t="s">
        <v>243</v>
      </c>
      <c r="BU609" s="178"/>
    </row>
    <row r="610" s="105" customFormat="1" spans="1:73">
      <c r="A610" s="153"/>
      <c r="B610" s="205" t="s">
        <v>551</v>
      </c>
      <c r="C610" s="214"/>
      <c r="D610" s="207"/>
      <c r="E610" s="130"/>
      <c r="F610" s="208"/>
      <c r="G610" s="143" t="s">
        <v>804</v>
      </c>
      <c r="H610" s="209"/>
      <c r="I610" s="198"/>
      <c r="J610" s="210"/>
      <c r="K610" s="211" t="s">
        <v>804</v>
      </c>
      <c r="L610" s="213" t="s">
        <v>551</v>
      </c>
      <c r="M610" s="178"/>
      <c r="N610" s="210"/>
      <c r="O610" s="211" t="s">
        <v>804</v>
      </c>
      <c r="P610" s="213" t="s">
        <v>551</v>
      </c>
      <c r="Q610" s="178"/>
      <c r="R610" s="210"/>
      <c r="S610" s="211" t="s">
        <v>804</v>
      </c>
      <c r="T610" s="213" t="s">
        <v>551</v>
      </c>
      <c r="U610" s="178"/>
      <c r="V610" s="210"/>
      <c r="W610" s="211" t="s">
        <v>804</v>
      </c>
      <c r="X610" s="213" t="s">
        <v>551</v>
      </c>
      <c r="Y610" s="178"/>
      <c r="Z610" s="210"/>
      <c r="AA610" s="211" t="s">
        <v>804</v>
      </c>
      <c r="AB610" s="213" t="s">
        <v>551</v>
      </c>
      <c r="AC610" s="178"/>
      <c r="AD610" s="210"/>
      <c r="AE610" s="211" t="s">
        <v>804</v>
      </c>
      <c r="AF610" s="213" t="s">
        <v>551</v>
      </c>
      <c r="AG610" s="178"/>
      <c r="AH610" s="210"/>
      <c r="AI610" s="211" t="s">
        <v>804</v>
      </c>
      <c r="AJ610" s="213" t="s">
        <v>551</v>
      </c>
      <c r="AK610" s="178"/>
      <c r="AL610" s="210"/>
      <c r="AM610" s="211" t="s">
        <v>804</v>
      </c>
      <c r="AN610" s="213" t="s">
        <v>551</v>
      </c>
      <c r="AO610" s="178"/>
      <c r="AP610" s="210"/>
      <c r="AQ610" s="211" t="s">
        <v>804</v>
      </c>
      <c r="AR610" s="213" t="s">
        <v>551</v>
      </c>
      <c r="AS610" s="178"/>
      <c r="AT610" s="210"/>
      <c r="AU610" s="211" t="s">
        <v>804</v>
      </c>
      <c r="AV610" s="213" t="s">
        <v>551</v>
      </c>
      <c r="AW610" s="178"/>
      <c r="AX610" s="210"/>
      <c r="AY610" s="211" t="s">
        <v>804</v>
      </c>
      <c r="AZ610" s="213" t="s">
        <v>551</v>
      </c>
      <c r="BA610" s="178"/>
      <c r="BB610" s="210"/>
      <c r="BC610" s="211" t="s">
        <v>804</v>
      </c>
      <c r="BD610" s="213" t="s">
        <v>551</v>
      </c>
      <c r="BE610" s="178"/>
      <c r="BF610" s="210"/>
      <c r="BG610" s="211" t="s">
        <v>804</v>
      </c>
      <c r="BH610" s="213" t="s">
        <v>551</v>
      </c>
      <c r="BI610" s="178"/>
      <c r="BJ610" s="210"/>
      <c r="BK610" s="211" t="s">
        <v>804</v>
      </c>
      <c r="BL610" s="213" t="s">
        <v>551</v>
      </c>
      <c r="BM610" s="178"/>
      <c r="BN610" s="210"/>
      <c r="BO610" s="211" t="s">
        <v>804</v>
      </c>
      <c r="BP610" s="213" t="s">
        <v>551</v>
      </c>
      <c r="BQ610" s="178"/>
      <c r="BR610" s="210"/>
      <c r="BS610" s="211" t="s">
        <v>804</v>
      </c>
      <c r="BT610" s="213" t="s">
        <v>551</v>
      </c>
      <c r="BU610" s="178"/>
    </row>
    <row r="611" ht="12.75" customHeight="1" spans="1:73">
      <c r="A611" s="153"/>
      <c r="B611" s="205" t="s">
        <v>46</v>
      </c>
      <c r="C611" s="142"/>
      <c r="D611" s="207"/>
      <c r="E611" s="130"/>
      <c r="F611" s="208"/>
      <c r="G611" s="143" t="s">
        <v>805</v>
      </c>
      <c r="H611" s="209"/>
      <c r="I611" s="198"/>
      <c r="J611" s="210"/>
      <c r="K611" s="211" t="s">
        <v>805</v>
      </c>
      <c r="L611" s="213" t="s">
        <v>46</v>
      </c>
      <c r="M611" s="178"/>
      <c r="N611" s="210"/>
      <c r="O611" s="211" t="s">
        <v>805</v>
      </c>
      <c r="P611" s="213" t="s">
        <v>46</v>
      </c>
      <c r="Q611" s="178"/>
      <c r="R611" s="210"/>
      <c r="S611" s="211" t="s">
        <v>805</v>
      </c>
      <c r="T611" s="213" t="s">
        <v>46</v>
      </c>
      <c r="U611" s="178"/>
      <c r="V611" s="210"/>
      <c r="W611" s="211" t="s">
        <v>805</v>
      </c>
      <c r="X611" s="213" t="s">
        <v>46</v>
      </c>
      <c r="Y611" s="178"/>
      <c r="Z611" s="210"/>
      <c r="AA611" s="211" t="s">
        <v>805</v>
      </c>
      <c r="AB611" s="213" t="s">
        <v>46</v>
      </c>
      <c r="AC611" s="178"/>
      <c r="AD611" s="210"/>
      <c r="AE611" s="211" t="s">
        <v>805</v>
      </c>
      <c r="AF611" s="213" t="s">
        <v>46</v>
      </c>
      <c r="AG611" s="178"/>
      <c r="AH611" s="210"/>
      <c r="AI611" s="211" t="s">
        <v>805</v>
      </c>
      <c r="AJ611" s="213" t="s">
        <v>46</v>
      </c>
      <c r="AK611" s="178"/>
      <c r="AL611" s="210"/>
      <c r="AM611" s="211" t="s">
        <v>805</v>
      </c>
      <c r="AN611" s="213" t="s">
        <v>46</v>
      </c>
      <c r="AO611" s="178"/>
      <c r="AP611" s="210"/>
      <c r="AQ611" s="211" t="s">
        <v>805</v>
      </c>
      <c r="AR611" s="213" t="s">
        <v>46</v>
      </c>
      <c r="AS611" s="178"/>
      <c r="AT611" s="210"/>
      <c r="AU611" s="211" t="s">
        <v>805</v>
      </c>
      <c r="AV611" s="213" t="s">
        <v>46</v>
      </c>
      <c r="AW611" s="178"/>
      <c r="AX611" s="210"/>
      <c r="AY611" s="211" t="s">
        <v>805</v>
      </c>
      <c r="AZ611" s="213" t="s">
        <v>46</v>
      </c>
      <c r="BA611" s="178"/>
      <c r="BB611" s="210"/>
      <c r="BC611" s="211" t="s">
        <v>805</v>
      </c>
      <c r="BD611" s="213" t="s">
        <v>46</v>
      </c>
      <c r="BE611" s="178"/>
      <c r="BF611" s="210"/>
      <c r="BG611" s="211" t="s">
        <v>805</v>
      </c>
      <c r="BH611" s="213" t="s">
        <v>46</v>
      </c>
      <c r="BI611" s="178"/>
      <c r="BJ611" s="210"/>
      <c r="BK611" s="211" t="s">
        <v>805</v>
      </c>
      <c r="BL611" s="213" t="s">
        <v>46</v>
      </c>
      <c r="BM611" s="178"/>
      <c r="BN611" s="210"/>
      <c r="BO611" s="211" t="s">
        <v>805</v>
      </c>
      <c r="BP611" s="213" t="s">
        <v>46</v>
      </c>
      <c r="BQ611" s="178"/>
      <c r="BR611" s="210"/>
      <c r="BS611" s="211" t="s">
        <v>805</v>
      </c>
      <c r="BT611" s="213" t="s">
        <v>46</v>
      </c>
      <c r="BU611" s="178"/>
    </row>
    <row r="612" s="105" customFormat="1" spans="1:73">
      <c r="A612" s="153"/>
      <c r="B612" s="205" t="s">
        <v>46</v>
      </c>
      <c r="C612" s="214"/>
      <c r="D612" s="207"/>
      <c r="E612" s="130"/>
      <c r="F612" s="208"/>
      <c r="G612" s="143" t="s">
        <v>806</v>
      </c>
      <c r="H612" s="209"/>
      <c r="I612" s="198"/>
      <c r="J612" s="210"/>
      <c r="K612" s="211" t="s">
        <v>806</v>
      </c>
      <c r="L612" s="213" t="s">
        <v>46</v>
      </c>
      <c r="M612" s="178"/>
      <c r="N612" s="210"/>
      <c r="O612" s="211" t="s">
        <v>806</v>
      </c>
      <c r="P612" s="212" t="s">
        <v>186</v>
      </c>
      <c r="Q612" s="178"/>
      <c r="R612" s="210"/>
      <c r="S612" s="211" t="s">
        <v>806</v>
      </c>
      <c r="T612" s="213" t="s">
        <v>46</v>
      </c>
      <c r="U612" s="178"/>
      <c r="V612" s="210"/>
      <c r="W612" s="211" t="s">
        <v>806</v>
      </c>
      <c r="X612" s="213" t="s">
        <v>46</v>
      </c>
      <c r="Y612" s="178"/>
      <c r="Z612" s="210"/>
      <c r="AA612" s="211" t="s">
        <v>806</v>
      </c>
      <c r="AB612" s="212" t="s">
        <v>186</v>
      </c>
      <c r="AC612" s="178"/>
      <c r="AD612" s="210"/>
      <c r="AE612" s="211" t="s">
        <v>806</v>
      </c>
      <c r="AF612" s="213" t="s">
        <v>46</v>
      </c>
      <c r="AG612" s="178"/>
      <c r="AH612" s="210"/>
      <c r="AI612" s="211" t="s">
        <v>806</v>
      </c>
      <c r="AJ612" s="213" t="s">
        <v>46</v>
      </c>
      <c r="AK612" s="178"/>
      <c r="AL612" s="210"/>
      <c r="AM612" s="211" t="s">
        <v>806</v>
      </c>
      <c r="AN612" s="213" t="s">
        <v>46</v>
      </c>
      <c r="AO612" s="178"/>
      <c r="AP612" s="210"/>
      <c r="AQ612" s="211" t="s">
        <v>806</v>
      </c>
      <c r="AR612" s="212" t="s">
        <v>186</v>
      </c>
      <c r="AS612" s="178"/>
      <c r="AT612" s="210"/>
      <c r="AU612" s="211" t="s">
        <v>806</v>
      </c>
      <c r="AV612" s="213" t="s">
        <v>46</v>
      </c>
      <c r="AW612" s="178"/>
      <c r="AX612" s="210"/>
      <c r="AY612" s="211" t="s">
        <v>806</v>
      </c>
      <c r="AZ612" s="213" t="s">
        <v>46</v>
      </c>
      <c r="BA612" s="178"/>
      <c r="BB612" s="210"/>
      <c r="BC612" s="211" t="s">
        <v>806</v>
      </c>
      <c r="BD612" s="212" t="s">
        <v>186</v>
      </c>
      <c r="BE612" s="178"/>
      <c r="BF612" s="210"/>
      <c r="BG612" s="211" t="s">
        <v>806</v>
      </c>
      <c r="BH612" s="212" t="s">
        <v>186</v>
      </c>
      <c r="BI612" s="178"/>
      <c r="BJ612" s="210"/>
      <c r="BK612" s="211" t="s">
        <v>806</v>
      </c>
      <c r="BL612" s="213" t="s">
        <v>46</v>
      </c>
      <c r="BM612" s="178"/>
      <c r="BN612" s="210"/>
      <c r="BO612" s="211" t="s">
        <v>806</v>
      </c>
      <c r="BP612" s="212" t="s">
        <v>186</v>
      </c>
      <c r="BQ612" s="178"/>
      <c r="BR612" s="210"/>
      <c r="BS612" s="211" t="s">
        <v>806</v>
      </c>
      <c r="BT612" s="212" t="s">
        <v>186</v>
      </c>
      <c r="BU612" s="178"/>
    </row>
    <row r="613" s="105" customFormat="1" spans="1:73">
      <c r="A613" s="221"/>
      <c r="B613" s="205" t="s">
        <v>63</v>
      </c>
      <c r="C613" s="142"/>
      <c r="D613" s="207"/>
      <c r="E613" s="132"/>
      <c r="F613" s="138"/>
      <c r="G613" s="143" t="s">
        <v>807</v>
      </c>
      <c r="H613" s="167"/>
      <c r="I613" s="178"/>
      <c r="J613" s="210"/>
      <c r="K613" s="211" t="s">
        <v>807</v>
      </c>
      <c r="L613" s="213" t="s">
        <v>63</v>
      </c>
      <c r="M613" s="178"/>
      <c r="N613" s="210"/>
      <c r="O613" s="211" t="s">
        <v>807</v>
      </c>
      <c r="P613" s="212" t="s">
        <v>191</v>
      </c>
      <c r="Q613" s="178"/>
      <c r="R613" s="210"/>
      <c r="S613" s="211" t="s">
        <v>807</v>
      </c>
      <c r="T613" s="213" t="s">
        <v>63</v>
      </c>
      <c r="U613" s="178"/>
      <c r="V613" s="210"/>
      <c r="W613" s="211" t="s">
        <v>807</v>
      </c>
      <c r="X613" s="212" t="s">
        <v>191</v>
      </c>
      <c r="Y613" s="178"/>
      <c r="Z613" s="210"/>
      <c r="AA613" s="211" t="s">
        <v>807</v>
      </c>
      <c r="AB613" s="212" t="s">
        <v>191</v>
      </c>
      <c r="AC613" s="178"/>
      <c r="AD613" s="210"/>
      <c r="AE613" s="211" t="s">
        <v>807</v>
      </c>
      <c r="AF613" s="212" t="s">
        <v>191</v>
      </c>
      <c r="AG613" s="178"/>
      <c r="AH613" s="210"/>
      <c r="AI613" s="211" t="s">
        <v>807</v>
      </c>
      <c r="AJ613" s="212" t="s">
        <v>808</v>
      </c>
      <c r="AK613" s="178"/>
      <c r="AL613" s="210"/>
      <c r="AM613" s="211" t="s">
        <v>807</v>
      </c>
      <c r="AN613" s="212" t="s">
        <v>808</v>
      </c>
      <c r="AO613" s="178"/>
      <c r="AP613" s="210"/>
      <c r="AQ613" s="211" t="s">
        <v>807</v>
      </c>
      <c r="AR613" s="212" t="s">
        <v>808</v>
      </c>
      <c r="AS613" s="178"/>
      <c r="AT613" s="210"/>
      <c r="AU613" s="211" t="s">
        <v>807</v>
      </c>
      <c r="AV613" s="213" t="s">
        <v>63</v>
      </c>
      <c r="AW613" s="178"/>
      <c r="AX613" s="210"/>
      <c r="AY613" s="211" t="s">
        <v>807</v>
      </c>
      <c r="AZ613" s="212" t="s">
        <v>191</v>
      </c>
      <c r="BA613" s="178"/>
      <c r="BB613" s="210"/>
      <c r="BC613" s="211" t="s">
        <v>807</v>
      </c>
      <c r="BD613" s="212" t="s">
        <v>191</v>
      </c>
      <c r="BE613" s="178"/>
      <c r="BF613" s="210"/>
      <c r="BG613" s="211" t="s">
        <v>807</v>
      </c>
      <c r="BH613" s="212" t="s">
        <v>808</v>
      </c>
      <c r="BI613" s="178"/>
      <c r="BJ613" s="210"/>
      <c r="BK613" s="211" t="s">
        <v>807</v>
      </c>
      <c r="BL613" s="212" t="s">
        <v>191</v>
      </c>
      <c r="BM613" s="178"/>
      <c r="BN613" s="210"/>
      <c r="BO613" s="211" t="s">
        <v>807</v>
      </c>
      <c r="BP613" s="212" t="s">
        <v>808</v>
      </c>
      <c r="BQ613" s="178"/>
      <c r="BR613" s="210"/>
      <c r="BS613" s="211" t="s">
        <v>807</v>
      </c>
      <c r="BT613" s="212" t="s">
        <v>191</v>
      </c>
      <c r="BU613" s="178"/>
    </row>
    <row r="614" s="105" customFormat="1" spans="1:73">
      <c r="A614" s="153"/>
      <c r="B614" s="205" t="s">
        <v>63</v>
      </c>
      <c r="C614" s="214"/>
      <c r="D614" s="207"/>
      <c r="E614" s="130"/>
      <c r="F614" s="208"/>
      <c r="G614" s="143" t="s">
        <v>809</v>
      </c>
      <c r="H614" s="209"/>
      <c r="I614" s="198"/>
      <c r="J614" s="210"/>
      <c r="K614" s="211" t="s">
        <v>809</v>
      </c>
      <c r="L614" s="213" t="s">
        <v>63</v>
      </c>
      <c r="M614" s="178"/>
      <c r="N614" s="210"/>
      <c r="O614" s="211" t="s">
        <v>809</v>
      </c>
      <c r="P614" s="212" t="s">
        <v>191</v>
      </c>
      <c r="Q614" s="178"/>
      <c r="R614" s="210"/>
      <c r="S614" s="211" t="s">
        <v>809</v>
      </c>
      <c r="T614" s="213" t="s">
        <v>63</v>
      </c>
      <c r="U614" s="178"/>
      <c r="V614" s="210"/>
      <c r="W614" s="211" t="s">
        <v>809</v>
      </c>
      <c r="X614" s="212" t="s">
        <v>191</v>
      </c>
      <c r="Y614" s="178"/>
      <c r="Z614" s="210"/>
      <c r="AA614" s="211" t="s">
        <v>809</v>
      </c>
      <c r="AB614" s="212" t="s">
        <v>191</v>
      </c>
      <c r="AC614" s="178"/>
      <c r="AD614" s="210"/>
      <c r="AE614" s="211" t="s">
        <v>809</v>
      </c>
      <c r="AF614" s="212" t="s">
        <v>191</v>
      </c>
      <c r="AG614" s="178"/>
      <c r="AH614" s="210"/>
      <c r="AI614" s="211" t="s">
        <v>809</v>
      </c>
      <c r="AJ614" s="212" t="s">
        <v>808</v>
      </c>
      <c r="AK614" s="178"/>
      <c r="AL614" s="210"/>
      <c r="AM614" s="211" t="s">
        <v>809</v>
      </c>
      <c r="AN614" s="212" t="s">
        <v>808</v>
      </c>
      <c r="AO614" s="178"/>
      <c r="AP614" s="210"/>
      <c r="AQ614" s="211" t="s">
        <v>809</v>
      </c>
      <c r="AR614" s="212" t="s">
        <v>808</v>
      </c>
      <c r="AS614" s="178"/>
      <c r="AT614" s="210"/>
      <c r="AU614" s="211" t="s">
        <v>809</v>
      </c>
      <c r="AV614" s="213" t="s">
        <v>63</v>
      </c>
      <c r="AW614" s="178"/>
      <c r="AX614" s="210"/>
      <c r="AY614" s="211" t="s">
        <v>809</v>
      </c>
      <c r="AZ614" s="212" t="s">
        <v>191</v>
      </c>
      <c r="BA614" s="178"/>
      <c r="BB614" s="210"/>
      <c r="BC614" s="211" t="s">
        <v>809</v>
      </c>
      <c r="BD614" s="212" t="s">
        <v>191</v>
      </c>
      <c r="BE614" s="178"/>
      <c r="BF614" s="210"/>
      <c r="BG614" s="211" t="s">
        <v>809</v>
      </c>
      <c r="BH614" s="212" t="s">
        <v>808</v>
      </c>
      <c r="BI614" s="178"/>
      <c r="BJ614" s="210"/>
      <c r="BK614" s="211" t="s">
        <v>809</v>
      </c>
      <c r="BL614" s="212" t="s">
        <v>191</v>
      </c>
      <c r="BM614" s="178"/>
      <c r="BN614" s="210"/>
      <c r="BO614" s="211" t="s">
        <v>809</v>
      </c>
      <c r="BP614" s="212" t="s">
        <v>808</v>
      </c>
      <c r="BQ614" s="178"/>
      <c r="BR614" s="210"/>
      <c r="BS614" s="211" t="s">
        <v>809</v>
      </c>
      <c r="BT614" s="212" t="s">
        <v>191</v>
      </c>
      <c r="BU614" s="178"/>
    </row>
    <row r="615" s="105" customFormat="1" spans="1:73">
      <c r="A615" s="153"/>
      <c r="B615" s="205" t="s">
        <v>63</v>
      </c>
      <c r="C615" s="214"/>
      <c r="D615" s="207"/>
      <c r="E615" s="130"/>
      <c r="F615" s="208"/>
      <c r="G615" s="143" t="s">
        <v>810</v>
      </c>
      <c r="H615" s="209"/>
      <c r="I615" s="198"/>
      <c r="J615" s="210"/>
      <c r="K615" s="211" t="s">
        <v>810</v>
      </c>
      <c r="L615" s="213" t="s">
        <v>63</v>
      </c>
      <c r="M615" s="178"/>
      <c r="N615" s="210"/>
      <c r="O615" s="211" t="s">
        <v>810</v>
      </c>
      <c r="P615" s="212" t="s">
        <v>46</v>
      </c>
      <c r="Q615" s="178"/>
      <c r="R615" s="210"/>
      <c r="S615" s="211" t="s">
        <v>810</v>
      </c>
      <c r="T615" s="213" t="s">
        <v>63</v>
      </c>
      <c r="U615" s="178"/>
      <c r="V615" s="210"/>
      <c r="W615" s="211" t="s">
        <v>810</v>
      </c>
      <c r="X615" s="212" t="s">
        <v>46</v>
      </c>
      <c r="Y615" s="178"/>
      <c r="Z615" s="210"/>
      <c r="AA615" s="211" t="s">
        <v>810</v>
      </c>
      <c r="AB615" s="212" t="s">
        <v>46</v>
      </c>
      <c r="AC615" s="178"/>
      <c r="AD615" s="210"/>
      <c r="AE615" s="211" t="s">
        <v>810</v>
      </c>
      <c r="AF615" s="212" t="s">
        <v>46</v>
      </c>
      <c r="AG615" s="178"/>
      <c r="AH615" s="210"/>
      <c r="AI615" s="211" t="s">
        <v>810</v>
      </c>
      <c r="AJ615" s="212" t="s">
        <v>46</v>
      </c>
      <c r="AK615" s="178"/>
      <c r="AL615" s="210"/>
      <c r="AM615" s="211" t="s">
        <v>810</v>
      </c>
      <c r="AN615" s="212" t="s">
        <v>46</v>
      </c>
      <c r="AO615" s="178"/>
      <c r="AP615" s="210"/>
      <c r="AQ615" s="211" t="s">
        <v>810</v>
      </c>
      <c r="AR615" s="212" t="s">
        <v>46</v>
      </c>
      <c r="AS615" s="178"/>
      <c r="AT615" s="210"/>
      <c r="AU615" s="211" t="s">
        <v>810</v>
      </c>
      <c r="AV615" s="213" t="s">
        <v>63</v>
      </c>
      <c r="AW615" s="178"/>
      <c r="AX615" s="210"/>
      <c r="AY615" s="211" t="s">
        <v>810</v>
      </c>
      <c r="AZ615" s="212" t="s">
        <v>46</v>
      </c>
      <c r="BA615" s="178"/>
      <c r="BB615" s="210"/>
      <c r="BC615" s="211" t="s">
        <v>810</v>
      </c>
      <c r="BD615" s="212" t="s">
        <v>46</v>
      </c>
      <c r="BE615" s="178"/>
      <c r="BF615" s="210"/>
      <c r="BG615" s="211" t="s">
        <v>810</v>
      </c>
      <c r="BH615" s="212" t="s">
        <v>46</v>
      </c>
      <c r="BI615" s="178"/>
      <c r="BJ615" s="210"/>
      <c r="BK615" s="211" t="s">
        <v>810</v>
      </c>
      <c r="BL615" s="212" t="s">
        <v>46</v>
      </c>
      <c r="BM615" s="178"/>
      <c r="BN615" s="210"/>
      <c r="BO615" s="211" t="s">
        <v>810</v>
      </c>
      <c r="BP615" s="212" t="s">
        <v>46</v>
      </c>
      <c r="BQ615" s="178"/>
      <c r="BR615" s="210"/>
      <c r="BS615" s="211" t="s">
        <v>810</v>
      </c>
      <c r="BT615" s="212" t="s">
        <v>46</v>
      </c>
      <c r="BU615" s="178"/>
    </row>
    <row r="616" s="105" customFormat="1" spans="1:73">
      <c r="A616" s="153"/>
      <c r="B616" s="205" t="s">
        <v>63</v>
      </c>
      <c r="C616" s="214"/>
      <c r="D616" s="207"/>
      <c r="E616" s="130"/>
      <c r="F616" s="208"/>
      <c r="G616" s="143" t="s">
        <v>811</v>
      </c>
      <c r="H616" s="209"/>
      <c r="I616" s="198"/>
      <c r="J616" s="210"/>
      <c r="K616" s="211" t="s">
        <v>811</v>
      </c>
      <c r="L616" s="213" t="s">
        <v>63</v>
      </c>
      <c r="M616" s="178"/>
      <c r="N616" s="210"/>
      <c r="O616" s="211" t="s">
        <v>811</v>
      </c>
      <c r="P616" s="213" t="s">
        <v>63</v>
      </c>
      <c r="Q616" s="178"/>
      <c r="R616" s="210"/>
      <c r="S616" s="211" t="s">
        <v>811</v>
      </c>
      <c r="T616" s="213" t="s">
        <v>63</v>
      </c>
      <c r="U616" s="178"/>
      <c r="V616" s="210"/>
      <c r="W616" s="211" t="s">
        <v>811</v>
      </c>
      <c r="X616" s="212" t="s">
        <v>243</v>
      </c>
      <c r="Y616" s="178"/>
      <c r="Z616" s="210"/>
      <c r="AA616" s="211" t="s">
        <v>811</v>
      </c>
      <c r="AB616" s="213" t="s">
        <v>63</v>
      </c>
      <c r="AC616" s="178"/>
      <c r="AD616" s="210"/>
      <c r="AE616" s="211" t="s">
        <v>811</v>
      </c>
      <c r="AF616" s="212" t="s">
        <v>243</v>
      </c>
      <c r="AG616" s="178"/>
      <c r="AH616" s="210"/>
      <c r="AI616" s="211" t="s">
        <v>811</v>
      </c>
      <c r="AJ616" s="213" t="s">
        <v>63</v>
      </c>
      <c r="AK616" s="178"/>
      <c r="AL616" s="210"/>
      <c r="AM616" s="211" t="s">
        <v>811</v>
      </c>
      <c r="AN616" s="213" t="s">
        <v>63</v>
      </c>
      <c r="AO616" s="178"/>
      <c r="AP616" s="210"/>
      <c r="AQ616" s="211" t="s">
        <v>811</v>
      </c>
      <c r="AR616" s="213" t="s">
        <v>63</v>
      </c>
      <c r="AS616" s="178"/>
      <c r="AT616" s="210"/>
      <c r="AU616" s="211" t="s">
        <v>811</v>
      </c>
      <c r="AV616" s="213" t="s">
        <v>63</v>
      </c>
      <c r="AW616" s="178"/>
      <c r="AX616" s="210"/>
      <c r="AY616" s="211" t="s">
        <v>811</v>
      </c>
      <c r="AZ616" s="212" t="s">
        <v>243</v>
      </c>
      <c r="BA616" s="178"/>
      <c r="BB616" s="210"/>
      <c r="BC616" s="211" t="s">
        <v>811</v>
      </c>
      <c r="BD616" s="213" t="s">
        <v>63</v>
      </c>
      <c r="BE616" s="178"/>
      <c r="BF616" s="210"/>
      <c r="BG616" s="211" t="s">
        <v>811</v>
      </c>
      <c r="BH616" s="213" t="s">
        <v>63</v>
      </c>
      <c r="BI616" s="178"/>
      <c r="BJ616" s="210"/>
      <c r="BK616" s="211" t="s">
        <v>811</v>
      </c>
      <c r="BL616" s="212" t="s">
        <v>243</v>
      </c>
      <c r="BM616" s="178"/>
      <c r="BN616" s="210"/>
      <c r="BO616" s="211" t="s">
        <v>811</v>
      </c>
      <c r="BP616" s="213" t="s">
        <v>63</v>
      </c>
      <c r="BQ616" s="178"/>
      <c r="BR616" s="210"/>
      <c r="BS616" s="211" t="s">
        <v>811</v>
      </c>
      <c r="BT616" s="213" t="s">
        <v>63</v>
      </c>
      <c r="BU616" s="178"/>
    </row>
    <row r="617" s="105" customFormat="1" spans="1:73">
      <c r="A617" s="165"/>
      <c r="B617" s="166"/>
      <c r="C617" s="166"/>
      <c r="D617" s="207"/>
      <c r="E617" s="130"/>
      <c r="F617" s="208"/>
      <c r="G617" s="143"/>
      <c r="H617" s="209"/>
      <c r="I617" s="198"/>
      <c r="J617" s="210"/>
      <c r="K617" s="211"/>
      <c r="L617" s="222"/>
      <c r="M617" s="178"/>
      <c r="N617" s="210"/>
      <c r="O617" s="211"/>
      <c r="P617" s="222"/>
      <c r="Q617" s="178"/>
      <c r="R617" s="210"/>
      <c r="S617" s="211"/>
      <c r="T617" s="222"/>
      <c r="U617" s="178"/>
      <c r="V617" s="210"/>
      <c r="W617" s="211"/>
      <c r="X617" s="222"/>
      <c r="Y617" s="178"/>
      <c r="Z617" s="210"/>
      <c r="AA617" s="211"/>
      <c r="AB617" s="222"/>
      <c r="AC617" s="178"/>
      <c r="AD617" s="210"/>
      <c r="AE617" s="211"/>
      <c r="AF617" s="222"/>
      <c r="AG617" s="178"/>
      <c r="AH617" s="210"/>
      <c r="AI617" s="211"/>
      <c r="AJ617" s="222"/>
      <c r="AK617" s="178"/>
      <c r="AL617" s="210"/>
      <c r="AM617" s="211"/>
      <c r="AN617" s="222"/>
      <c r="AO617" s="178"/>
      <c r="AP617" s="210"/>
      <c r="AQ617" s="211"/>
      <c r="AR617" s="222"/>
      <c r="AS617" s="178"/>
      <c r="AT617" s="210"/>
      <c r="AU617" s="211"/>
      <c r="AV617" s="222"/>
      <c r="AW617" s="178"/>
      <c r="AX617" s="210"/>
      <c r="AY617" s="211"/>
      <c r="AZ617" s="222"/>
      <c r="BA617" s="178"/>
      <c r="BB617" s="210"/>
      <c r="BC617" s="211"/>
      <c r="BD617" s="222"/>
      <c r="BE617" s="178"/>
      <c r="BF617" s="210"/>
      <c r="BG617" s="211"/>
      <c r="BH617" s="222"/>
      <c r="BI617" s="178"/>
      <c r="BJ617" s="210"/>
      <c r="BK617" s="211"/>
      <c r="BL617" s="222"/>
      <c r="BM617" s="178"/>
      <c r="BN617" s="210"/>
      <c r="BO617" s="211"/>
      <c r="BP617" s="222"/>
      <c r="BQ617" s="178"/>
      <c r="BR617" s="210"/>
      <c r="BS617" s="211"/>
      <c r="BT617" s="222"/>
      <c r="BU617" s="178"/>
    </row>
    <row r="618" s="105" customFormat="1" spans="1:73">
      <c r="A618" s="165"/>
      <c r="B618" s="166"/>
      <c r="C618" s="166"/>
      <c r="D618" s="202"/>
      <c r="E618" s="132"/>
      <c r="F618" s="218"/>
      <c r="G618" s="143"/>
      <c r="H618" s="167"/>
      <c r="I618" s="198"/>
      <c r="J618" s="219"/>
      <c r="K618" s="211"/>
      <c r="L618" s="213"/>
      <c r="M618" s="178"/>
      <c r="N618" s="219"/>
      <c r="O618" s="211"/>
      <c r="P618" s="213"/>
      <c r="Q618" s="178"/>
      <c r="R618" s="219"/>
      <c r="S618" s="211"/>
      <c r="T618" s="213"/>
      <c r="U618" s="178"/>
      <c r="V618" s="219"/>
      <c r="W618" s="211"/>
      <c r="X618" s="213"/>
      <c r="Y618" s="178"/>
      <c r="Z618" s="219"/>
      <c r="AA618" s="211"/>
      <c r="AB618" s="213"/>
      <c r="AC618" s="178"/>
      <c r="AD618" s="219"/>
      <c r="AE618" s="211"/>
      <c r="AF618" s="213"/>
      <c r="AG618" s="178"/>
      <c r="AH618" s="219"/>
      <c r="AI618" s="211"/>
      <c r="AJ618" s="213"/>
      <c r="AK618" s="178"/>
      <c r="AL618" s="219"/>
      <c r="AM618" s="211"/>
      <c r="AN618" s="213"/>
      <c r="AO618" s="178"/>
      <c r="AP618" s="219"/>
      <c r="AQ618" s="211"/>
      <c r="AR618" s="213"/>
      <c r="AS618" s="178"/>
      <c r="AT618" s="219"/>
      <c r="AU618" s="211"/>
      <c r="AV618" s="213"/>
      <c r="AW618" s="178"/>
      <c r="AX618" s="219"/>
      <c r="AY618" s="211"/>
      <c r="AZ618" s="213"/>
      <c r="BA618" s="178"/>
      <c r="BB618" s="219"/>
      <c r="BC618" s="211"/>
      <c r="BD618" s="213"/>
      <c r="BE618" s="178"/>
      <c r="BF618" s="219"/>
      <c r="BG618" s="211"/>
      <c r="BH618" s="213"/>
      <c r="BI618" s="178"/>
      <c r="BJ618" s="219"/>
      <c r="BK618" s="211"/>
      <c r="BL618" s="213"/>
      <c r="BM618" s="178"/>
      <c r="BN618" s="219"/>
      <c r="BO618" s="211"/>
      <c r="BP618" s="213"/>
      <c r="BQ618" s="178"/>
      <c r="BR618" s="219"/>
      <c r="BS618" s="211"/>
      <c r="BT618" s="213"/>
      <c r="BU618" s="178"/>
    </row>
    <row r="619" s="105" customFormat="1" spans="1:73">
      <c r="A619" s="165"/>
      <c r="B619" s="131"/>
      <c r="C619" s="148"/>
      <c r="D619" s="202"/>
      <c r="E619" s="130"/>
      <c r="F619" s="133" t="s">
        <v>812</v>
      </c>
      <c r="G619" s="108"/>
      <c r="H619" s="197"/>
      <c r="I619" s="198"/>
      <c r="J619" s="199" t="s">
        <v>812</v>
      </c>
      <c r="K619" s="220"/>
      <c r="L619" s="201"/>
      <c r="M619" s="178"/>
      <c r="N619" s="199" t="s">
        <v>812</v>
      </c>
      <c r="O619" s="220"/>
      <c r="P619" s="201"/>
      <c r="Q619" s="178"/>
      <c r="R619" s="199" t="s">
        <v>812</v>
      </c>
      <c r="S619" s="220"/>
      <c r="T619" s="201"/>
      <c r="U619" s="178"/>
      <c r="V619" s="199" t="s">
        <v>812</v>
      </c>
      <c r="W619" s="220"/>
      <c r="X619" s="201"/>
      <c r="Y619" s="178"/>
      <c r="Z619" s="199" t="s">
        <v>812</v>
      </c>
      <c r="AA619" s="220"/>
      <c r="AB619" s="201"/>
      <c r="AC619" s="178"/>
      <c r="AD619" s="199" t="s">
        <v>812</v>
      </c>
      <c r="AE619" s="220"/>
      <c r="AF619" s="201"/>
      <c r="AG619" s="178"/>
      <c r="AH619" s="199" t="s">
        <v>812</v>
      </c>
      <c r="AI619" s="220"/>
      <c r="AJ619" s="201"/>
      <c r="AK619" s="178"/>
      <c r="AL619" s="199" t="s">
        <v>812</v>
      </c>
      <c r="AM619" s="220"/>
      <c r="AN619" s="201"/>
      <c r="AO619" s="178"/>
      <c r="AP619" s="199" t="s">
        <v>812</v>
      </c>
      <c r="AQ619" s="220"/>
      <c r="AR619" s="201"/>
      <c r="AS619" s="178"/>
      <c r="AT619" s="199" t="s">
        <v>812</v>
      </c>
      <c r="AU619" s="220"/>
      <c r="AV619" s="201"/>
      <c r="AW619" s="178"/>
      <c r="AX619" s="199" t="s">
        <v>812</v>
      </c>
      <c r="AY619" s="220"/>
      <c r="AZ619" s="201"/>
      <c r="BA619" s="178"/>
      <c r="BB619" s="199" t="s">
        <v>812</v>
      </c>
      <c r="BC619" s="220"/>
      <c r="BD619" s="201"/>
      <c r="BE619" s="178"/>
      <c r="BF619" s="199" t="s">
        <v>812</v>
      </c>
      <c r="BG619" s="220"/>
      <c r="BH619" s="201"/>
      <c r="BI619" s="178"/>
      <c r="BJ619" s="199" t="s">
        <v>812</v>
      </c>
      <c r="BK619" s="220"/>
      <c r="BL619" s="201"/>
      <c r="BM619" s="178"/>
      <c r="BN619" s="199" t="s">
        <v>812</v>
      </c>
      <c r="BO619" s="220"/>
      <c r="BP619" s="201"/>
      <c r="BQ619" s="178"/>
      <c r="BR619" s="199" t="s">
        <v>812</v>
      </c>
      <c r="BS619" s="220"/>
      <c r="BT619" s="201"/>
      <c r="BU619" s="178"/>
    </row>
    <row r="620" s="105" customFormat="1" spans="1:73">
      <c r="A620" s="136" t="s">
        <v>36</v>
      </c>
      <c r="B620" s="137" t="s">
        <v>37</v>
      </c>
      <c r="C620" s="137" t="s">
        <v>38</v>
      </c>
      <c r="D620" s="202"/>
      <c r="E620" s="130"/>
      <c r="F620" s="138"/>
      <c r="G620" s="139" t="s">
        <v>39</v>
      </c>
      <c r="H620" s="140" t="s">
        <v>40</v>
      </c>
      <c r="I620" s="145"/>
      <c r="J620" s="138"/>
      <c r="K620" s="139" t="s">
        <v>39</v>
      </c>
      <c r="L620" s="203" t="s">
        <v>40</v>
      </c>
      <c r="N620" s="138"/>
      <c r="O620" s="139" t="s">
        <v>39</v>
      </c>
      <c r="P620" s="203" t="s">
        <v>40</v>
      </c>
      <c r="R620" s="138"/>
      <c r="S620" s="139" t="s">
        <v>39</v>
      </c>
      <c r="T620" s="203" t="s">
        <v>40</v>
      </c>
      <c r="U620" s="109"/>
      <c r="V620" s="138"/>
      <c r="W620" s="139" t="s">
        <v>39</v>
      </c>
      <c r="X620" s="203" t="s">
        <v>40</v>
      </c>
      <c r="Z620" s="138"/>
      <c r="AA620" s="139" t="s">
        <v>39</v>
      </c>
      <c r="AB620" s="203" t="s">
        <v>40</v>
      </c>
      <c r="AD620" s="138"/>
      <c r="AE620" s="139" t="s">
        <v>39</v>
      </c>
      <c r="AF620" s="203" t="s">
        <v>40</v>
      </c>
      <c r="AH620" s="138"/>
      <c r="AI620" s="139" t="s">
        <v>39</v>
      </c>
      <c r="AJ620" s="203" t="s">
        <v>40</v>
      </c>
      <c r="AL620" s="138"/>
      <c r="AM620" s="139" t="s">
        <v>39</v>
      </c>
      <c r="AN620" s="203" t="s">
        <v>40</v>
      </c>
      <c r="AP620" s="138"/>
      <c r="AQ620" s="139" t="s">
        <v>39</v>
      </c>
      <c r="AR620" s="203" t="s">
        <v>40</v>
      </c>
      <c r="AT620" s="138"/>
      <c r="AU620" s="139" t="s">
        <v>39</v>
      </c>
      <c r="AV620" s="203" t="s">
        <v>40</v>
      </c>
      <c r="AX620" s="138"/>
      <c r="AY620" s="139" t="s">
        <v>39</v>
      </c>
      <c r="AZ620" s="203" t="s">
        <v>40</v>
      </c>
      <c r="BB620" s="138"/>
      <c r="BC620" s="139" t="s">
        <v>39</v>
      </c>
      <c r="BD620" s="203" t="s">
        <v>40</v>
      </c>
      <c r="BF620" s="138"/>
      <c r="BG620" s="139" t="s">
        <v>39</v>
      </c>
      <c r="BH620" s="203" t="s">
        <v>40</v>
      </c>
      <c r="BJ620" s="138"/>
      <c r="BK620" s="139" t="s">
        <v>39</v>
      </c>
      <c r="BL620" s="203" t="s">
        <v>40</v>
      </c>
      <c r="BN620" s="138"/>
      <c r="BO620" s="139" t="s">
        <v>39</v>
      </c>
      <c r="BP620" s="203" t="s">
        <v>40</v>
      </c>
      <c r="BR620" s="138"/>
      <c r="BS620" s="139" t="s">
        <v>39</v>
      </c>
      <c r="BT620" s="203" t="s">
        <v>40</v>
      </c>
    </row>
    <row r="621" s="105" customFormat="1" spans="1:73">
      <c r="A621" s="153" t="s">
        <v>813</v>
      </c>
      <c r="B621" s="205" t="s">
        <v>46</v>
      </c>
      <c r="C621" s="214"/>
      <c r="D621" s="207"/>
      <c r="E621" s="132"/>
      <c r="F621" s="208"/>
      <c r="G621" s="143" t="s">
        <v>814</v>
      </c>
      <c r="H621" s="209"/>
      <c r="I621" s="198"/>
      <c r="J621" s="210"/>
      <c r="K621" s="211" t="s">
        <v>814</v>
      </c>
      <c r="L621" s="213" t="s">
        <v>46</v>
      </c>
      <c r="M621" s="178"/>
      <c r="N621" s="210"/>
      <c r="O621" s="211" t="s">
        <v>814</v>
      </c>
      <c r="P621" s="213" t="s">
        <v>46</v>
      </c>
      <c r="Q621" s="178"/>
      <c r="R621" s="210"/>
      <c r="S621" s="211" t="s">
        <v>814</v>
      </c>
      <c r="T621" s="213" t="s">
        <v>46</v>
      </c>
      <c r="U621" s="178"/>
      <c r="V621" s="210"/>
      <c r="W621" s="211" t="s">
        <v>814</v>
      </c>
      <c r="X621" s="213" t="s">
        <v>46</v>
      </c>
      <c r="Y621" s="178"/>
      <c r="Z621" s="210"/>
      <c r="AA621" s="211" t="s">
        <v>814</v>
      </c>
      <c r="AB621" s="213" t="s">
        <v>46</v>
      </c>
      <c r="AC621" s="178"/>
      <c r="AD621" s="210"/>
      <c r="AE621" s="211" t="s">
        <v>814</v>
      </c>
      <c r="AF621" s="213" t="s">
        <v>46</v>
      </c>
      <c r="AG621" s="178"/>
      <c r="AH621" s="210"/>
      <c r="AI621" s="211" t="s">
        <v>814</v>
      </c>
      <c r="AJ621" s="213" t="s">
        <v>46</v>
      </c>
      <c r="AK621" s="178"/>
      <c r="AL621" s="210"/>
      <c r="AM621" s="211" t="s">
        <v>814</v>
      </c>
      <c r="AN621" s="213" t="s">
        <v>46</v>
      </c>
      <c r="AO621" s="178"/>
      <c r="AP621" s="210"/>
      <c r="AQ621" s="211" t="s">
        <v>814</v>
      </c>
      <c r="AR621" s="213" t="s">
        <v>46</v>
      </c>
      <c r="AS621" s="178"/>
      <c r="AT621" s="210"/>
      <c r="AU621" s="211" t="s">
        <v>814</v>
      </c>
      <c r="AV621" s="213" t="s">
        <v>46</v>
      </c>
      <c r="AW621" s="178"/>
      <c r="AX621" s="210"/>
      <c r="AY621" s="211" t="s">
        <v>814</v>
      </c>
      <c r="AZ621" s="213" t="s">
        <v>46</v>
      </c>
      <c r="BA621" s="178"/>
      <c r="BB621" s="210"/>
      <c r="BC621" s="211" t="s">
        <v>814</v>
      </c>
      <c r="BD621" s="213" t="s">
        <v>46</v>
      </c>
      <c r="BE621" s="178"/>
      <c r="BF621" s="210"/>
      <c r="BG621" s="211" t="s">
        <v>814</v>
      </c>
      <c r="BH621" s="213" t="s">
        <v>46</v>
      </c>
      <c r="BI621" s="178"/>
      <c r="BJ621" s="210"/>
      <c r="BK621" s="211" t="s">
        <v>814</v>
      </c>
      <c r="BL621" s="213" t="s">
        <v>46</v>
      </c>
      <c r="BM621" s="178"/>
      <c r="BN621" s="210"/>
      <c r="BO621" s="211" t="s">
        <v>814</v>
      </c>
      <c r="BP621" s="213" t="s">
        <v>46</v>
      </c>
      <c r="BQ621" s="178"/>
      <c r="BR621" s="210"/>
      <c r="BS621" s="211" t="s">
        <v>814</v>
      </c>
      <c r="BT621" s="213" t="s">
        <v>46</v>
      </c>
      <c r="BU621" s="178"/>
    </row>
    <row r="622" s="105" customFormat="1" spans="1:73">
      <c r="A622" s="153" t="s">
        <v>815</v>
      </c>
      <c r="B622" s="205" t="s">
        <v>46</v>
      </c>
      <c r="C622" s="214"/>
      <c r="D622" s="207"/>
      <c r="E622" s="132"/>
      <c r="F622" s="208"/>
      <c r="G622" s="143" t="s">
        <v>816</v>
      </c>
      <c r="H622" s="209"/>
      <c r="I622" s="198"/>
      <c r="J622" s="210"/>
      <c r="K622" s="211" t="s">
        <v>816</v>
      </c>
      <c r="L622" s="213" t="s">
        <v>46</v>
      </c>
      <c r="M622" s="178"/>
      <c r="N622" s="210"/>
      <c r="O622" s="211" t="s">
        <v>816</v>
      </c>
      <c r="P622" s="213" t="s">
        <v>46</v>
      </c>
      <c r="Q622" s="178"/>
      <c r="R622" s="210"/>
      <c r="S622" s="211" t="s">
        <v>816</v>
      </c>
      <c r="T622" s="213" t="s">
        <v>46</v>
      </c>
      <c r="U622" s="178"/>
      <c r="V622" s="210"/>
      <c r="W622" s="211" t="s">
        <v>816</v>
      </c>
      <c r="X622" s="213" t="s">
        <v>46</v>
      </c>
      <c r="Y622" s="178"/>
      <c r="Z622" s="210"/>
      <c r="AA622" s="211" t="s">
        <v>816</v>
      </c>
      <c r="AB622" s="213" t="s">
        <v>46</v>
      </c>
      <c r="AC622" s="178"/>
      <c r="AD622" s="210"/>
      <c r="AE622" s="211" t="s">
        <v>816</v>
      </c>
      <c r="AF622" s="213" t="s">
        <v>46</v>
      </c>
      <c r="AG622" s="178"/>
      <c r="AH622" s="210"/>
      <c r="AI622" s="211" t="s">
        <v>816</v>
      </c>
      <c r="AJ622" s="213" t="s">
        <v>46</v>
      </c>
      <c r="AK622" s="178"/>
      <c r="AL622" s="210"/>
      <c r="AM622" s="211" t="s">
        <v>816</v>
      </c>
      <c r="AN622" s="213" t="s">
        <v>46</v>
      </c>
      <c r="AO622" s="178"/>
      <c r="AP622" s="210"/>
      <c r="AQ622" s="211" t="s">
        <v>816</v>
      </c>
      <c r="AR622" s="213" t="s">
        <v>46</v>
      </c>
      <c r="AS622" s="178"/>
      <c r="AT622" s="210"/>
      <c r="AU622" s="211" t="s">
        <v>816</v>
      </c>
      <c r="AV622" s="213" t="s">
        <v>46</v>
      </c>
      <c r="AW622" s="178"/>
      <c r="AX622" s="210"/>
      <c r="AY622" s="211" t="s">
        <v>816</v>
      </c>
      <c r="AZ622" s="213" t="s">
        <v>46</v>
      </c>
      <c r="BA622" s="178"/>
      <c r="BB622" s="210"/>
      <c r="BC622" s="211" t="s">
        <v>816</v>
      </c>
      <c r="BD622" s="213" t="s">
        <v>46</v>
      </c>
      <c r="BE622" s="178"/>
      <c r="BF622" s="210"/>
      <c r="BG622" s="211" t="s">
        <v>816</v>
      </c>
      <c r="BH622" s="213" t="s">
        <v>46</v>
      </c>
      <c r="BI622" s="178"/>
      <c r="BJ622" s="210"/>
      <c r="BK622" s="211" t="s">
        <v>816</v>
      </c>
      <c r="BL622" s="212" t="s">
        <v>184</v>
      </c>
      <c r="BM622" s="178"/>
      <c r="BN622" s="210"/>
      <c r="BO622" s="211" t="s">
        <v>816</v>
      </c>
      <c r="BP622" s="213" t="s">
        <v>46</v>
      </c>
      <c r="BQ622" s="178"/>
      <c r="BR622" s="210"/>
      <c r="BS622" s="211" t="s">
        <v>816</v>
      </c>
      <c r="BT622" s="213" t="s">
        <v>46</v>
      </c>
      <c r="BU622" s="178"/>
    </row>
    <row r="623" s="105" customFormat="1" spans="1:73">
      <c r="A623" s="153" t="s">
        <v>817</v>
      </c>
      <c r="B623" s="205" t="s">
        <v>46</v>
      </c>
      <c r="C623" s="214"/>
      <c r="D623" s="207"/>
      <c r="E623" s="132"/>
      <c r="F623" s="208"/>
      <c r="G623" s="143" t="s">
        <v>818</v>
      </c>
      <c r="H623" s="209"/>
      <c r="I623" s="198"/>
      <c r="J623" s="210"/>
      <c r="K623" s="211" t="s">
        <v>818</v>
      </c>
      <c r="L623" s="213" t="s">
        <v>46</v>
      </c>
      <c r="M623" s="178"/>
      <c r="N623" s="210"/>
      <c r="O623" s="211" t="s">
        <v>818</v>
      </c>
      <c r="P623" s="213" t="s">
        <v>46</v>
      </c>
      <c r="Q623" s="178"/>
      <c r="R623" s="210"/>
      <c r="S623" s="211" t="s">
        <v>818</v>
      </c>
      <c r="T623" s="213" t="s">
        <v>46</v>
      </c>
      <c r="U623" s="178"/>
      <c r="V623" s="210"/>
      <c r="W623" s="211" t="s">
        <v>818</v>
      </c>
      <c r="X623" s="213" t="s">
        <v>46</v>
      </c>
      <c r="Y623" s="178"/>
      <c r="Z623" s="210"/>
      <c r="AA623" s="211" t="s">
        <v>818</v>
      </c>
      <c r="AB623" s="213" t="s">
        <v>46</v>
      </c>
      <c r="AC623" s="178"/>
      <c r="AD623" s="210"/>
      <c r="AE623" s="211" t="s">
        <v>818</v>
      </c>
      <c r="AF623" s="213" t="s">
        <v>46</v>
      </c>
      <c r="AG623" s="178"/>
      <c r="AH623" s="210"/>
      <c r="AI623" s="211" t="s">
        <v>818</v>
      </c>
      <c r="AJ623" s="213" t="s">
        <v>46</v>
      </c>
      <c r="AK623" s="178"/>
      <c r="AL623" s="210"/>
      <c r="AM623" s="211" t="s">
        <v>818</v>
      </c>
      <c r="AN623" s="213" t="s">
        <v>46</v>
      </c>
      <c r="AO623" s="178"/>
      <c r="AP623" s="210"/>
      <c r="AQ623" s="211" t="s">
        <v>818</v>
      </c>
      <c r="AR623" s="213" t="s">
        <v>46</v>
      </c>
      <c r="AS623" s="178"/>
      <c r="AT623" s="210"/>
      <c r="AU623" s="211" t="s">
        <v>818</v>
      </c>
      <c r="AV623" s="213" t="s">
        <v>46</v>
      </c>
      <c r="AW623" s="178"/>
      <c r="AX623" s="210"/>
      <c r="AY623" s="211" t="s">
        <v>818</v>
      </c>
      <c r="AZ623" s="213" t="s">
        <v>46</v>
      </c>
      <c r="BA623" s="178"/>
      <c r="BB623" s="210"/>
      <c r="BC623" s="211" t="s">
        <v>818</v>
      </c>
      <c r="BD623" s="213" t="s">
        <v>46</v>
      </c>
      <c r="BE623" s="178"/>
      <c r="BF623" s="210"/>
      <c r="BG623" s="211" t="s">
        <v>818</v>
      </c>
      <c r="BH623" s="213" t="s">
        <v>46</v>
      </c>
      <c r="BI623" s="178"/>
      <c r="BJ623" s="210"/>
      <c r="BK623" s="211" t="s">
        <v>818</v>
      </c>
      <c r="BL623" s="213" t="s">
        <v>46</v>
      </c>
      <c r="BM623" s="178"/>
      <c r="BN623" s="210"/>
      <c r="BO623" s="211" t="s">
        <v>818</v>
      </c>
      <c r="BP623" s="213" t="s">
        <v>46</v>
      </c>
      <c r="BQ623" s="178"/>
      <c r="BR623" s="210"/>
      <c r="BS623" s="211" t="s">
        <v>818</v>
      </c>
      <c r="BT623" s="213" t="s">
        <v>46</v>
      </c>
      <c r="BU623" s="178"/>
    </row>
    <row r="624" spans="1:73">
      <c r="A624" s="153" t="s">
        <v>819</v>
      </c>
      <c r="B624" s="205" t="s">
        <v>46</v>
      </c>
      <c r="C624" s="214"/>
      <c r="D624" s="207"/>
      <c r="E624" s="132"/>
      <c r="F624" s="208"/>
      <c r="G624" s="143" t="s">
        <v>820</v>
      </c>
      <c r="H624" s="209"/>
      <c r="I624" s="198"/>
      <c r="J624" s="210"/>
      <c r="K624" s="211" t="s">
        <v>820</v>
      </c>
      <c r="L624" s="213" t="s">
        <v>46</v>
      </c>
      <c r="M624" s="178"/>
      <c r="N624" s="210"/>
      <c r="O624" s="211" t="s">
        <v>820</v>
      </c>
      <c r="P624" s="213" t="s">
        <v>46</v>
      </c>
      <c r="Q624" s="178"/>
      <c r="R624" s="210"/>
      <c r="S624" s="211" t="s">
        <v>820</v>
      </c>
      <c r="T624" s="213" t="s">
        <v>46</v>
      </c>
      <c r="U624" s="178"/>
      <c r="V624" s="210"/>
      <c r="W624" s="211" t="s">
        <v>820</v>
      </c>
      <c r="X624" s="213" t="s">
        <v>46</v>
      </c>
      <c r="Y624" s="178"/>
      <c r="Z624" s="210"/>
      <c r="AA624" s="211" t="s">
        <v>820</v>
      </c>
      <c r="AB624" s="213" t="s">
        <v>46</v>
      </c>
      <c r="AC624" s="178"/>
      <c r="AD624" s="210"/>
      <c r="AE624" s="211" t="s">
        <v>820</v>
      </c>
      <c r="AF624" s="213" t="s">
        <v>46</v>
      </c>
      <c r="AG624" s="178"/>
      <c r="AH624" s="210"/>
      <c r="AI624" s="211" t="s">
        <v>820</v>
      </c>
      <c r="AJ624" s="213" t="s">
        <v>46</v>
      </c>
      <c r="AK624" s="178"/>
      <c r="AL624" s="210"/>
      <c r="AM624" s="211" t="s">
        <v>820</v>
      </c>
      <c r="AN624" s="213" t="s">
        <v>46</v>
      </c>
      <c r="AO624" s="178"/>
      <c r="AP624" s="210"/>
      <c r="AQ624" s="211" t="s">
        <v>820</v>
      </c>
      <c r="AR624" s="213" t="s">
        <v>46</v>
      </c>
      <c r="AS624" s="178"/>
      <c r="AT624" s="210"/>
      <c r="AU624" s="211" t="s">
        <v>820</v>
      </c>
      <c r="AV624" s="213" t="s">
        <v>46</v>
      </c>
      <c r="AW624" s="178"/>
      <c r="AX624" s="210"/>
      <c r="AY624" s="211" t="s">
        <v>820</v>
      </c>
      <c r="AZ624" s="213" t="s">
        <v>46</v>
      </c>
      <c r="BA624" s="178"/>
      <c r="BB624" s="210"/>
      <c r="BC624" s="211" t="s">
        <v>820</v>
      </c>
      <c r="BD624" s="213" t="s">
        <v>46</v>
      </c>
      <c r="BE624" s="178"/>
      <c r="BF624" s="210"/>
      <c r="BG624" s="211" t="s">
        <v>820</v>
      </c>
      <c r="BH624" s="213" t="s">
        <v>46</v>
      </c>
      <c r="BI624" s="178"/>
      <c r="BJ624" s="210"/>
      <c r="BK624" s="211" t="s">
        <v>820</v>
      </c>
      <c r="BL624" s="213" t="s">
        <v>46</v>
      </c>
      <c r="BM624" s="178"/>
      <c r="BN624" s="210"/>
      <c r="BO624" s="211" t="s">
        <v>820</v>
      </c>
      <c r="BP624" s="213" t="s">
        <v>46</v>
      </c>
      <c r="BQ624" s="178"/>
      <c r="BR624" s="210"/>
      <c r="BS624" s="211" t="s">
        <v>820</v>
      </c>
      <c r="BT624" s="213" t="s">
        <v>46</v>
      </c>
      <c r="BU624" s="178"/>
    </row>
    <row r="625" spans="1:73">
      <c r="A625" s="221" t="s">
        <v>821</v>
      </c>
      <c r="B625" s="205" t="s">
        <v>113</v>
      </c>
      <c r="C625" s="214"/>
      <c r="D625" s="207"/>
      <c r="E625" s="132"/>
      <c r="F625" s="208"/>
      <c r="G625" s="143" t="s">
        <v>822</v>
      </c>
      <c r="H625" s="209"/>
      <c r="I625" s="198"/>
      <c r="J625" s="210"/>
      <c r="K625" s="211" t="s">
        <v>822</v>
      </c>
      <c r="L625" s="213" t="s">
        <v>113</v>
      </c>
      <c r="M625" s="178"/>
      <c r="N625" s="210"/>
      <c r="O625" s="211" t="s">
        <v>822</v>
      </c>
      <c r="P625" s="212" t="s">
        <v>338</v>
      </c>
      <c r="Q625" s="178"/>
      <c r="R625" s="210"/>
      <c r="S625" s="211" t="s">
        <v>822</v>
      </c>
      <c r="T625" s="212" t="s">
        <v>338</v>
      </c>
      <c r="U625" s="178"/>
      <c r="V625" s="210"/>
      <c r="W625" s="211" t="s">
        <v>822</v>
      </c>
      <c r="X625" s="212" t="s">
        <v>338</v>
      </c>
      <c r="Y625" s="178"/>
      <c r="Z625" s="210"/>
      <c r="AA625" s="211" t="s">
        <v>822</v>
      </c>
      <c r="AB625" s="212" t="s">
        <v>338</v>
      </c>
      <c r="AC625" s="178"/>
      <c r="AD625" s="210"/>
      <c r="AE625" s="211" t="s">
        <v>822</v>
      </c>
      <c r="AF625" s="212" t="s">
        <v>338</v>
      </c>
      <c r="AG625" s="178"/>
      <c r="AH625" s="210"/>
      <c r="AI625" s="211" t="s">
        <v>822</v>
      </c>
      <c r="AJ625" s="212" t="s">
        <v>147</v>
      </c>
      <c r="AK625" s="178"/>
      <c r="AL625" s="210"/>
      <c r="AM625" s="211" t="s">
        <v>822</v>
      </c>
      <c r="AN625" s="212" t="s">
        <v>147</v>
      </c>
      <c r="AO625" s="178"/>
      <c r="AP625" s="210"/>
      <c r="AQ625" s="211" t="s">
        <v>822</v>
      </c>
      <c r="AR625" s="212" t="s">
        <v>147</v>
      </c>
      <c r="AS625" s="178"/>
      <c r="AT625" s="210"/>
      <c r="AU625" s="211" t="s">
        <v>822</v>
      </c>
      <c r="AV625" s="212" t="s">
        <v>338</v>
      </c>
      <c r="AW625" s="178"/>
      <c r="AX625" s="210"/>
      <c r="AY625" s="211" t="s">
        <v>822</v>
      </c>
      <c r="AZ625" s="212" t="s">
        <v>338</v>
      </c>
      <c r="BA625" s="178"/>
      <c r="BB625" s="210"/>
      <c r="BC625" s="211" t="s">
        <v>822</v>
      </c>
      <c r="BD625" s="212" t="s">
        <v>338</v>
      </c>
      <c r="BE625" s="178"/>
      <c r="BF625" s="210"/>
      <c r="BG625" s="211" t="s">
        <v>822</v>
      </c>
      <c r="BH625" s="212" t="s">
        <v>147</v>
      </c>
      <c r="BI625" s="178"/>
      <c r="BJ625" s="210"/>
      <c r="BK625" s="211" t="s">
        <v>822</v>
      </c>
      <c r="BL625" s="212" t="s">
        <v>181</v>
      </c>
      <c r="BM625" s="178"/>
      <c r="BN625" s="210"/>
      <c r="BO625" s="211" t="s">
        <v>822</v>
      </c>
      <c r="BP625" s="212" t="s">
        <v>147</v>
      </c>
      <c r="BQ625" s="178"/>
      <c r="BR625" s="210"/>
      <c r="BS625" s="211" t="s">
        <v>822</v>
      </c>
      <c r="BT625" s="212" t="s">
        <v>338</v>
      </c>
      <c r="BU625" s="178"/>
    </row>
    <row r="626" s="105" customFormat="1" ht="12" customHeight="1" spans="1:73">
      <c r="A626" s="221" t="s">
        <v>823</v>
      </c>
      <c r="B626" s="205" t="s">
        <v>46</v>
      </c>
      <c r="C626" s="214"/>
      <c r="D626" s="207"/>
      <c r="E626" s="132"/>
      <c r="F626" s="208"/>
      <c r="G626" s="143" t="s">
        <v>824</v>
      </c>
      <c r="H626" s="209"/>
      <c r="I626" s="198"/>
      <c r="J626" s="210"/>
      <c r="K626" s="211" t="s">
        <v>824</v>
      </c>
      <c r="L626" s="213" t="s">
        <v>46</v>
      </c>
      <c r="M626" s="178"/>
      <c r="N626" s="210"/>
      <c r="O626" s="211" t="s">
        <v>824</v>
      </c>
      <c r="P626" s="213" t="s">
        <v>46</v>
      </c>
      <c r="Q626" s="178"/>
      <c r="R626" s="210"/>
      <c r="S626" s="211" t="s">
        <v>824</v>
      </c>
      <c r="T626" s="213" t="s">
        <v>46</v>
      </c>
      <c r="U626" s="178"/>
      <c r="V626" s="210"/>
      <c r="W626" s="211" t="s">
        <v>824</v>
      </c>
      <c r="X626" s="213" t="s">
        <v>46</v>
      </c>
      <c r="Y626" s="178"/>
      <c r="Z626" s="210"/>
      <c r="AA626" s="211" t="s">
        <v>824</v>
      </c>
      <c r="AB626" s="213" t="s">
        <v>46</v>
      </c>
      <c r="AC626" s="178"/>
      <c r="AD626" s="210"/>
      <c r="AE626" s="211" t="s">
        <v>824</v>
      </c>
      <c r="AF626" s="213" t="s">
        <v>46</v>
      </c>
      <c r="AG626" s="178"/>
      <c r="AH626" s="210"/>
      <c r="AI626" s="211" t="s">
        <v>824</v>
      </c>
      <c r="AJ626" s="213" t="s">
        <v>46</v>
      </c>
      <c r="AK626" s="178"/>
      <c r="AL626" s="210"/>
      <c r="AM626" s="211" t="s">
        <v>824</v>
      </c>
      <c r="AN626" s="213" t="s">
        <v>46</v>
      </c>
      <c r="AO626" s="178"/>
      <c r="AP626" s="210"/>
      <c r="AQ626" s="211" t="s">
        <v>824</v>
      </c>
      <c r="AR626" s="213" t="s">
        <v>46</v>
      </c>
      <c r="AS626" s="178"/>
      <c r="AT626" s="210"/>
      <c r="AU626" s="211" t="s">
        <v>824</v>
      </c>
      <c r="AV626" s="213" t="s">
        <v>46</v>
      </c>
      <c r="AW626" s="178"/>
      <c r="AX626" s="210"/>
      <c r="AY626" s="211" t="s">
        <v>824</v>
      </c>
      <c r="AZ626" s="213" t="s">
        <v>46</v>
      </c>
      <c r="BA626" s="178"/>
      <c r="BB626" s="210"/>
      <c r="BC626" s="211" t="s">
        <v>824</v>
      </c>
      <c r="BD626" s="213" t="s">
        <v>46</v>
      </c>
      <c r="BE626" s="178"/>
      <c r="BF626" s="210"/>
      <c r="BG626" s="211" t="s">
        <v>824</v>
      </c>
      <c r="BH626" s="213" t="s">
        <v>46</v>
      </c>
      <c r="BI626" s="178"/>
      <c r="BJ626" s="210"/>
      <c r="BK626" s="211" t="s">
        <v>824</v>
      </c>
      <c r="BL626" s="213" t="s">
        <v>46</v>
      </c>
      <c r="BM626" s="178"/>
      <c r="BN626" s="210"/>
      <c r="BO626" s="211" t="s">
        <v>824</v>
      </c>
      <c r="BP626" s="213" t="s">
        <v>46</v>
      </c>
      <c r="BQ626" s="178"/>
      <c r="BR626" s="210"/>
      <c r="BS626" s="211" t="s">
        <v>824</v>
      </c>
      <c r="BT626" s="213" t="s">
        <v>46</v>
      </c>
      <c r="BU626" s="178"/>
    </row>
    <row r="627" s="105" customFormat="1" spans="1:73">
      <c r="A627" s="221" t="s">
        <v>825</v>
      </c>
      <c r="B627" s="205" t="s">
        <v>42</v>
      </c>
      <c r="C627" s="214"/>
      <c r="D627" s="207"/>
      <c r="E627" s="132"/>
      <c r="F627" s="208"/>
      <c r="G627" s="143" t="s">
        <v>826</v>
      </c>
      <c r="H627" s="209"/>
      <c r="I627" s="198"/>
      <c r="J627" s="210"/>
      <c r="K627" s="211" t="s">
        <v>826</v>
      </c>
      <c r="L627" s="213" t="s">
        <v>42</v>
      </c>
      <c r="M627" s="178"/>
      <c r="N627" s="210"/>
      <c r="O627" s="211" t="s">
        <v>826</v>
      </c>
      <c r="P627" s="212" t="s">
        <v>172</v>
      </c>
      <c r="Q627" s="178"/>
      <c r="R627" s="210"/>
      <c r="S627" s="211" t="s">
        <v>826</v>
      </c>
      <c r="T627" s="212" t="s">
        <v>172</v>
      </c>
      <c r="U627" s="178"/>
      <c r="V627" s="210"/>
      <c r="W627" s="211" t="s">
        <v>826</v>
      </c>
      <c r="X627" s="212" t="s">
        <v>172</v>
      </c>
      <c r="Y627" s="178"/>
      <c r="Z627" s="210"/>
      <c r="AA627" s="211" t="s">
        <v>826</v>
      </c>
      <c r="AB627" s="212" t="s">
        <v>172</v>
      </c>
      <c r="AC627" s="178"/>
      <c r="AD627" s="210"/>
      <c r="AE627" s="211" t="s">
        <v>826</v>
      </c>
      <c r="AF627" s="212" t="s">
        <v>206</v>
      </c>
      <c r="AG627" s="178"/>
      <c r="AH627" s="210"/>
      <c r="AI627" s="211" t="s">
        <v>826</v>
      </c>
      <c r="AJ627" s="212" t="s">
        <v>186</v>
      </c>
      <c r="AK627" s="178"/>
      <c r="AL627" s="210"/>
      <c r="AM627" s="211" t="s">
        <v>826</v>
      </c>
      <c r="AN627" s="212" t="s">
        <v>186</v>
      </c>
      <c r="AO627" s="178"/>
      <c r="AP627" s="210"/>
      <c r="AQ627" s="211" t="s">
        <v>826</v>
      </c>
      <c r="AR627" s="212" t="s">
        <v>132</v>
      </c>
      <c r="AS627" s="178"/>
      <c r="AT627" s="210"/>
      <c r="AU627" s="211" t="s">
        <v>826</v>
      </c>
      <c r="AV627" s="212" t="s">
        <v>172</v>
      </c>
      <c r="AW627" s="178"/>
      <c r="AX627" s="210"/>
      <c r="AY627" s="211" t="s">
        <v>826</v>
      </c>
      <c r="AZ627" s="212" t="s">
        <v>206</v>
      </c>
      <c r="BA627" s="178"/>
      <c r="BB627" s="210"/>
      <c r="BC627" s="211" t="s">
        <v>826</v>
      </c>
      <c r="BD627" s="212" t="s">
        <v>206</v>
      </c>
      <c r="BE627" s="178"/>
      <c r="BF627" s="210"/>
      <c r="BG627" s="211" t="s">
        <v>826</v>
      </c>
      <c r="BH627" s="212" t="s">
        <v>186</v>
      </c>
      <c r="BI627" s="178"/>
      <c r="BJ627" s="210"/>
      <c r="BK627" s="211" t="s">
        <v>826</v>
      </c>
      <c r="BL627" s="212" t="s">
        <v>147</v>
      </c>
      <c r="BM627" s="178"/>
      <c r="BN627" s="210"/>
      <c r="BO627" s="211" t="s">
        <v>826</v>
      </c>
      <c r="BP627" s="212" t="s">
        <v>186</v>
      </c>
      <c r="BQ627" s="178"/>
      <c r="BR627" s="210"/>
      <c r="BS627" s="211" t="s">
        <v>826</v>
      </c>
      <c r="BT627" s="212" t="s">
        <v>172</v>
      </c>
      <c r="BU627" s="178"/>
    </row>
    <row r="628" s="105" customFormat="1" spans="1:73">
      <c r="A628" s="221" t="s">
        <v>827</v>
      </c>
      <c r="B628" s="205" t="s">
        <v>46</v>
      </c>
      <c r="C628" s="214"/>
      <c r="D628" s="207"/>
      <c r="E628" s="132"/>
      <c r="F628" s="208"/>
      <c r="G628" s="143" t="s">
        <v>828</v>
      </c>
      <c r="H628" s="209"/>
      <c r="I628" s="198"/>
      <c r="J628" s="210"/>
      <c r="K628" s="211" t="s">
        <v>828</v>
      </c>
      <c r="L628" s="213" t="s">
        <v>46</v>
      </c>
      <c r="M628" s="178"/>
      <c r="N628" s="210"/>
      <c r="O628" s="211" t="s">
        <v>828</v>
      </c>
      <c r="P628" s="213" t="s">
        <v>46</v>
      </c>
      <c r="Q628" s="178"/>
      <c r="R628" s="210"/>
      <c r="S628" s="211" t="s">
        <v>828</v>
      </c>
      <c r="T628" s="213" t="s">
        <v>46</v>
      </c>
      <c r="U628" s="178"/>
      <c r="V628" s="210"/>
      <c r="W628" s="211" t="s">
        <v>828</v>
      </c>
      <c r="X628" s="213" t="s">
        <v>46</v>
      </c>
      <c r="Y628" s="178"/>
      <c r="Z628" s="210"/>
      <c r="AA628" s="211" t="s">
        <v>828</v>
      </c>
      <c r="AB628" s="213" t="s">
        <v>46</v>
      </c>
      <c r="AC628" s="178"/>
      <c r="AD628" s="210"/>
      <c r="AE628" s="211" t="s">
        <v>828</v>
      </c>
      <c r="AF628" s="213" t="s">
        <v>46</v>
      </c>
      <c r="AG628" s="178"/>
      <c r="AH628" s="210"/>
      <c r="AI628" s="211" t="s">
        <v>828</v>
      </c>
      <c r="AJ628" s="212" t="s">
        <v>184</v>
      </c>
      <c r="AK628" s="178"/>
      <c r="AL628" s="210"/>
      <c r="AM628" s="211" t="s">
        <v>828</v>
      </c>
      <c r="AN628" s="212" t="s">
        <v>184</v>
      </c>
      <c r="AO628" s="178"/>
      <c r="AP628" s="210"/>
      <c r="AQ628" s="211" t="s">
        <v>828</v>
      </c>
      <c r="AR628" s="213" t="s">
        <v>46</v>
      </c>
      <c r="AS628" s="178"/>
      <c r="AT628" s="210"/>
      <c r="AU628" s="211" t="s">
        <v>828</v>
      </c>
      <c r="AV628" s="213" t="s">
        <v>46</v>
      </c>
      <c r="AW628" s="178"/>
      <c r="AX628" s="210"/>
      <c r="AY628" s="211" t="s">
        <v>828</v>
      </c>
      <c r="AZ628" s="213" t="s">
        <v>46</v>
      </c>
      <c r="BA628" s="178"/>
      <c r="BB628" s="210"/>
      <c r="BC628" s="211" t="s">
        <v>828</v>
      </c>
      <c r="BD628" s="213" t="s">
        <v>46</v>
      </c>
      <c r="BE628" s="178"/>
      <c r="BF628" s="210"/>
      <c r="BG628" s="211" t="s">
        <v>828</v>
      </c>
      <c r="BH628" s="212" t="s">
        <v>184</v>
      </c>
      <c r="BI628" s="178"/>
      <c r="BJ628" s="210"/>
      <c r="BK628" s="211" t="s">
        <v>828</v>
      </c>
      <c r="BL628" s="212" t="s">
        <v>829</v>
      </c>
      <c r="BM628" s="178"/>
      <c r="BN628" s="210"/>
      <c r="BO628" s="211" t="s">
        <v>828</v>
      </c>
      <c r="BP628" s="212" t="s">
        <v>184</v>
      </c>
      <c r="BQ628" s="178"/>
      <c r="BR628" s="210"/>
      <c r="BS628" s="211" t="s">
        <v>828</v>
      </c>
      <c r="BT628" s="213" t="s">
        <v>46</v>
      </c>
      <c r="BU628" s="178"/>
    </row>
    <row r="629" s="105" customFormat="1" spans="1:73">
      <c r="A629" s="165"/>
      <c r="B629" s="166"/>
      <c r="C629" s="166"/>
      <c r="D629" s="215"/>
      <c r="E629" s="132"/>
      <c r="F629" s="216"/>
      <c r="G629" s="143"/>
      <c r="H629" s="167"/>
      <c r="I629" s="198"/>
      <c r="J629" s="217"/>
      <c r="K629" s="211"/>
      <c r="L629" s="213"/>
      <c r="M629" s="178"/>
      <c r="N629" s="217"/>
      <c r="O629" s="211"/>
      <c r="P629" s="213"/>
      <c r="Q629" s="178"/>
      <c r="R629" s="217"/>
      <c r="S629" s="211"/>
      <c r="T629" s="213"/>
      <c r="U629" s="178"/>
      <c r="V629" s="217"/>
      <c r="W629" s="211"/>
      <c r="X629" s="213"/>
      <c r="Y629" s="178"/>
      <c r="Z629" s="217"/>
      <c r="AA629" s="211"/>
      <c r="AB629" s="213"/>
      <c r="AC629" s="178"/>
      <c r="AD629" s="217"/>
      <c r="AE629" s="211"/>
      <c r="AF629" s="213"/>
      <c r="AG629" s="178"/>
      <c r="AH629" s="217"/>
      <c r="AI629" s="211"/>
      <c r="AJ629" s="213"/>
      <c r="AK629" s="178"/>
      <c r="AL629" s="217"/>
      <c r="AM629" s="211"/>
      <c r="AN629" s="213"/>
      <c r="AO629" s="178"/>
      <c r="AP629" s="217"/>
      <c r="AQ629" s="211"/>
      <c r="AR629" s="213"/>
      <c r="AS629" s="178"/>
      <c r="AT629" s="217"/>
      <c r="AU629" s="211"/>
      <c r="AV629" s="213"/>
      <c r="AW629" s="178"/>
      <c r="AX629" s="217"/>
      <c r="AY629" s="211"/>
      <c r="AZ629" s="213"/>
      <c r="BA629" s="178"/>
      <c r="BB629" s="217"/>
      <c r="BC629" s="211"/>
      <c r="BD629" s="213"/>
      <c r="BE629" s="178"/>
      <c r="BF629" s="217"/>
      <c r="BG629" s="211"/>
      <c r="BH629" s="213"/>
      <c r="BI629" s="178"/>
      <c r="BJ629" s="217"/>
      <c r="BK629" s="211"/>
      <c r="BL629" s="213"/>
      <c r="BM629" s="178"/>
      <c r="BN629" s="217"/>
      <c r="BO629" s="211"/>
      <c r="BP629" s="213"/>
      <c r="BQ629" s="178"/>
      <c r="BR629" s="217"/>
      <c r="BS629" s="211"/>
      <c r="BT629" s="213"/>
      <c r="BU629" s="178"/>
    </row>
    <row r="630" s="105" customFormat="1" spans="1:73">
      <c r="A630" s="165"/>
      <c r="B630" s="166"/>
      <c r="C630" s="166"/>
      <c r="D630" s="202"/>
      <c r="E630" s="132"/>
      <c r="F630" s="218"/>
      <c r="G630" s="143"/>
      <c r="H630" s="167"/>
      <c r="I630" s="198"/>
      <c r="J630" s="219"/>
      <c r="K630" s="211"/>
      <c r="L630" s="213"/>
      <c r="M630" s="178"/>
      <c r="N630" s="219"/>
      <c r="O630" s="211"/>
      <c r="P630" s="213"/>
      <c r="Q630" s="178"/>
      <c r="R630" s="219"/>
      <c r="S630" s="211"/>
      <c r="T630" s="213"/>
      <c r="U630" s="178"/>
      <c r="V630" s="219"/>
      <c r="W630" s="211"/>
      <c r="X630" s="213"/>
      <c r="Y630" s="178"/>
      <c r="Z630" s="219"/>
      <c r="AA630" s="211"/>
      <c r="AB630" s="213"/>
      <c r="AC630" s="178"/>
      <c r="AD630" s="219"/>
      <c r="AE630" s="211"/>
      <c r="AF630" s="213"/>
      <c r="AG630" s="178"/>
      <c r="AH630" s="219"/>
      <c r="AI630" s="211"/>
      <c r="AJ630" s="213"/>
      <c r="AK630" s="178"/>
      <c r="AL630" s="219"/>
      <c r="AM630" s="211"/>
      <c r="AN630" s="213"/>
      <c r="AO630" s="178"/>
      <c r="AP630" s="219"/>
      <c r="AQ630" s="211"/>
      <c r="AR630" s="213"/>
      <c r="AS630" s="178"/>
      <c r="AT630" s="219"/>
      <c r="AU630" s="211"/>
      <c r="AV630" s="213"/>
      <c r="AW630" s="178"/>
      <c r="AX630" s="219"/>
      <c r="AY630" s="211"/>
      <c r="AZ630" s="213"/>
      <c r="BA630" s="178"/>
      <c r="BB630" s="219"/>
      <c r="BC630" s="211"/>
      <c r="BD630" s="213"/>
      <c r="BE630" s="178"/>
      <c r="BF630" s="219"/>
      <c r="BG630" s="211"/>
      <c r="BH630" s="213"/>
      <c r="BI630" s="178"/>
      <c r="BJ630" s="219"/>
      <c r="BK630" s="211"/>
      <c r="BL630" s="213"/>
      <c r="BM630" s="178"/>
      <c r="BN630" s="219"/>
      <c r="BO630" s="211"/>
      <c r="BP630" s="213"/>
      <c r="BQ630" s="178"/>
      <c r="BR630" s="219"/>
      <c r="BS630" s="211"/>
      <c r="BT630" s="213"/>
      <c r="BU630" s="178"/>
    </row>
    <row r="631" s="105" customFormat="1" spans="1:73">
      <c r="A631" s="165"/>
      <c r="B631" s="131"/>
      <c r="C631" s="148"/>
      <c r="D631" s="202"/>
      <c r="E631" s="130"/>
      <c r="F631" s="133" t="s">
        <v>830</v>
      </c>
      <c r="G631" s="108"/>
      <c r="H631" s="197"/>
      <c r="I631" s="198"/>
      <c r="J631" s="199" t="s">
        <v>830</v>
      </c>
      <c r="K631" s="220"/>
      <c r="L631" s="201"/>
      <c r="M631" s="178"/>
      <c r="N631" s="199" t="s">
        <v>830</v>
      </c>
      <c r="O631" s="220"/>
      <c r="P631" s="201"/>
      <c r="Q631" s="178"/>
      <c r="R631" s="199" t="s">
        <v>830</v>
      </c>
      <c r="S631" s="220"/>
      <c r="T631" s="201"/>
      <c r="U631" s="178"/>
      <c r="V631" s="199" t="s">
        <v>830</v>
      </c>
      <c r="W631" s="220"/>
      <c r="X631" s="201"/>
      <c r="Y631" s="178"/>
      <c r="Z631" s="199" t="s">
        <v>830</v>
      </c>
      <c r="AA631" s="220"/>
      <c r="AB631" s="201"/>
      <c r="AC631" s="178"/>
      <c r="AD631" s="199" t="s">
        <v>830</v>
      </c>
      <c r="AE631" s="220"/>
      <c r="AF631" s="201"/>
      <c r="AG631" s="178"/>
      <c r="AH631" s="199" t="s">
        <v>830</v>
      </c>
      <c r="AI631" s="220"/>
      <c r="AJ631" s="201"/>
      <c r="AK631" s="178"/>
      <c r="AL631" s="199" t="s">
        <v>830</v>
      </c>
      <c r="AM631" s="220"/>
      <c r="AN631" s="201"/>
      <c r="AO631" s="178"/>
      <c r="AP631" s="199" t="s">
        <v>830</v>
      </c>
      <c r="AQ631" s="220"/>
      <c r="AR631" s="201"/>
      <c r="AS631" s="178"/>
      <c r="AT631" s="199" t="s">
        <v>830</v>
      </c>
      <c r="AU631" s="220"/>
      <c r="AV631" s="201"/>
      <c r="AW631" s="178"/>
      <c r="AX631" s="199" t="s">
        <v>830</v>
      </c>
      <c r="AY631" s="220"/>
      <c r="AZ631" s="201"/>
      <c r="BA631" s="178"/>
      <c r="BB631" s="199" t="s">
        <v>830</v>
      </c>
      <c r="BC631" s="220"/>
      <c r="BD631" s="201"/>
      <c r="BE631" s="178"/>
      <c r="BF631" s="199" t="s">
        <v>830</v>
      </c>
      <c r="BG631" s="220"/>
      <c r="BH631" s="201"/>
      <c r="BI631" s="178"/>
      <c r="BJ631" s="199" t="s">
        <v>830</v>
      </c>
      <c r="BK631" s="220"/>
      <c r="BL631" s="201"/>
      <c r="BM631" s="178"/>
      <c r="BN631" s="199" t="s">
        <v>830</v>
      </c>
      <c r="BO631" s="220"/>
      <c r="BP631" s="201"/>
      <c r="BQ631" s="178"/>
      <c r="BR631" s="199" t="s">
        <v>830</v>
      </c>
      <c r="BS631" s="220"/>
      <c r="BT631" s="201"/>
      <c r="BU631" s="178"/>
    </row>
    <row r="632" s="105" customFormat="1" spans="1:73">
      <c r="A632" s="136" t="s">
        <v>36</v>
      </c>
      <c r="B632" s="137" t="s">
        <v>37</v>
      </c>
      <c r="C632" s="137" t="s">
        <v>38</v>
      </c>
      <c r="D632" s="202"/>
      <c r="E632" s="130"/>
      <c r="F632" s="138"/>
      <c r="G632" s="139" t="s">
        <v>39</v>
      </c>
      <c r="H632" s="140" t="s">
        <v>40</v>
      </c>
      <c r="I632" s="145"/>
      <c r="J632" s="138"/>
      <c r="K632" s="139" t="s">
        <v>39</v>
      </c>
      <c r="L632" s="203" t="s">
        <v>40</v>
      </c>
      <c r="N632" s="138"/>
      <c r="O632" s="139" t="s">
        <v>39</v>
      </c>
      <c r="P632" s="203" t="s">
        <v>40</v>
      </c>
      <c r="R632" s="138"/>
      <c r="S632" s="139" t="s">
        <v>39</v>
      </c>
      <c r="T632" s="203" t="s">
        <v>40</v>
      </c>
      <c r="U632" s="109"/>
      <c r="V632" s="138"/>
      <c r="W632" s="139" t="s">
        <v>39</v>
      </c>
      <c r="X632" s="203" t="s">
        <v>40</v>
      </c>
      <c r="Z632" s="138"/>
      <c r="AA632" s="139" t="s">
        <v>39</v>
      </c>
      <c r="AB632" s="203" t="s">
        <v>40</v>
      </c>
      <c r="AD632" s="138"/>
      <c r="AE632" s="139" t="s">
        <v>39</v>
      </c>
      <c r="AF632" s="203" t="s">
        <v>40</v>
      </c>
      <c r="AH632" s="138"/>
      <c r="AI632" s="139" t="s">
        <v>39</v>
      </c>
      <c r="AJ632" s="203" t="s">
        <v>40</v>
      </c>
      <c r="AL632" s="138"/>
      <c r="AM632" s="139" t="s">
        <v>39</v>
      </c>
      <c r="AN632" s="203" t="s">
        <v>40</v>
      </c>
      <c r="AP632" s="138"/>
      <c r="AQ632" s="139" t="s">
        <v>39</v>
      </c>
      <c r="AR632" s="203" t="s">
        <v>40</v>
      </c>
      <c r="AT632" s="138"/>
      <c r="AU632" s="139" t="s">
        <v>39</v>
      </c>
      <c r="AV632" s="203" t="s">
        <v>40</v>
      </c>
      <c r="AX632" s="138"/>
      <c r="AY632" s="139" t="s">
        <v>39</v>
      </c>
      <c r="AZ632" s="203" t="s">
        <v>40</v>
      </c>
      <c r="BB632" s="138"/>
      <c r="BC632" s="139" t="s">
        <v>39</v>
      </c>
      <c r="BD632" s="203" t="s">
        <v>40</v>
      </c>
      <c r="BF632" s="138"/>
      <c r="BG632" s="139" t="s">
        <v>39</v>
      </c>
      <c r="BH632" s="203" t="s">
        <v>40</v>
      </c>
      <c r="BJ632" s="138"/>
      <c r="BK632" s="139" t="s">
        <v>39</v>
      </c>
      <c r="BL632" s="203" t="s">
        <v>40</v>
      </c>
      <c r="BN632" s="138"/>
      <c r="BO632" s="139" t="s">
        <v>39</v>
      </c>
      <c r="BP632" s="203" t="s">
        <v>40</v>
      </c>
      <c r="BR632" s="138"/>
      <c r="BS632" s="139" t="s">
        <v>39</v>
      </c>
      <c r="BT632" s="203" t="s">
        <v>40</v>
      </c>
    </row>
    <row r="633" s="105" customFormat="1" spans="1:73">
      <c r="A633" s="221" t="s">
        <v>831</v>
      </c>
      <c r="B633" s="205" t="s">
        <v>113</v>
      </c>
      <c r="C633" s="214"/>
      <c r="D633" s="207"/>
      <c r="E633" s="132"/>
      <c r="F633" s="208"/>
      <c r="G633" s="143" t="s">
        <v>832</v>
      </c>
      <c r="H633" s="209"/>
      <c r="I633" s="198"/>
      <c r="J633" s="210"/>
      <c r="K633" s="211" t="s">
        <v>832</v>
      </c>
      <c r="L633" s="213" t="s">
        <v>113</v>
      </c>
      <c r="M633" s="178"/>
      <c r="N633" s="210"/>
      <c r="O633" s="211" t="s">
        <v>832</v>
      </c>
      <c r="P633" s="212" t="s">
        <v>338</v>
      </c>
      <c r="Q633" s="178"/>
      <c r="R633" s="210"/>
      <c r="S633" s="211" t="s">
        <v>832</v>
      </c>
      <c r="T633" s="212" t="s">
        <v>338</v>
      </c>
      <c r="U633" s="178"/>
      <c r="V633" s="210"/>
      <c r="W633" s="211" t="s">
        <v>832</v>
      </c>
      <c r="X633" s="212" t="s">
        <v>338</v>
      </c>
      <c r="Y633" s="178"/>
      <c r="Z633" s="210"/>
      <c r="AA633" s="211" t="s">
        <v>832</v>
      </c>
      <c r="AB633" s="212" t="s">
        <v>338</v>
      </c>
      <c r="AC633" s="178"/>
      <c r="AD633" s="210"/>
      <c r="AE633" s="211" t="s">
        <v>832</v>
      </c>
      <c r="AF633" s="212" t="s">
        <v>338</v>
      </c>
      <c r="AG633" s="178"/>
      <c r="AH633" s="210"/>
      <c r="AI633" s="211" t="s">
        <v>832</v>
      </c>
      <c r="AJ633" s="212" t="s">
        <v>147</v>
      </c>
      <c r="AK633" s="178"/>
      <c r="AL633" s="210"/>
      <c r="AM633" s="211" t="s">
        <v>832</v>
      </c>
      <c r="AN633" s="212" t="s">
        <v>147</v>
      </c>
      <c r="AO633" s="178"/>
      <c r="AP633" s="210"/>
      <c r="AQ633" s="211" t="s">
        <v>832</v>
      </c>
      <c r="AR633" s="212" t="s">
        <v>147</v>
      </c>
      <c r="AS633" s="178"/>
      <c r="AT633" s="210"/>
      <c r="AU633" s="211" t="s">
        <v>832</v>
      </c>
      <c r="AV633" s="212" t="s">
        <v>338</v>
      </c>
      <c r="AW633" s="178"/>
      <c r="AX633" s="210"/>
      <c r="AY633" s="211" t="s">
        <v>832</v>
      </c>
      <c r="AZ633" s="212" t="s">
        <v>338</v>
      </c>
      <c r="BA633" s="178"/>
      <c r="BB633" s="210"/>
      <c r="BC633" s="211" t="s">
        <v>832</v>
      </c>
      <c r="BD633" s="212" t="s">
        <v>338</v>
      </c>
      <c r="BE633" s="178"/>
      <c r="BF633" s="210"/>
      <c r="BG633" s="211" t="s">
        <v>832</v>
      </c>
      <c r="BH633" s="212" t="s">
        <v>147</v>
      </c>
      <c r="BI633" s="178"/>
      <c r="BJ633" s="210"/>
      <c r="BK633" s="211" t="s">
        <v>832</v>
      </c>
      <c r="BL633" s="212" t="s">
        <v>181</v>
      </c>
      <c r="BM633" s="178"/>
      <c r="BN633" s="210"/>
      <c r="BO633" s="211" t="s">
        <v>832</v>
      </c>
      <c r="BP633" s="212" t="s">
        <v>147</v>
      </c>
      <c r="BQ633" s="178"/>
      <c r="BR633" s="210"/>
      <c r="BS633" s="211" t="s">
        <v>832</v>
      </c>
      <c r="BT633" s="212" t="s">
        <v>338</v>
      </c>
      <c r="BU633" s="178"/>
    </row>
    <row r="634" s="105" customFormat="1" spans="1:73">
      <c r="A634" s="221" t="s">
        <v>833</v>
      </c>
      <c r="B634" s="205" t="s">
        <v>46</v>
      </c>
      <c r="C634" s="214"/>
      <c r="D634" s="207"/>
      <c r="E634" s="132"/>
      <c r="F634" s="208"/>
      <c r="G634" s="143" t="s">
        <v>834</v>
      </c>
      <c r="H634" s="209"/>
      <c r="I634" s="198"/>
      <c r="J634" s="210"/>
      <c r="K634" s="211" t="s">
        <v>834</v>
      </c>
      <c r="L634" s="213" t="s">
        <v>46</v>
      </c>
      <c r="M634" s="178"/>
      <c r="N634" s="210"/>
      <c r="O634" s="211" t="s">
        <v>834</v>
      </c>
      <c r="P634" s="213" t="s">
        <v>46</v>
      </c>
      <c r="Q634" s="178"/>
      <c r="R634" s="210"/>
      <c r="S634" s="211" t="s">
        <v>834</v>
      </c>
      <c r="T634" s="213" t="s">
        <v>46</v>
      </c>
      <c r="U634" s="178"/>
      <c r="V634" s="210"/>
      <c r="W634" s="211" t="s">
        <v>834</v>
      </c>
      <c r="X634" s="213" t="s">
        <v>46</v>
      </c>
      <c r="Y634" s="178"/>
      <c r="Z634" s="210"/>
      <c r="AA634" s="211" t="s">
        <v>834</v>
      </c>
      <c r="AB634" s="213" t="s">
        <v>46</v>
      </c>
      <c r="AC634" s="178"/>
      <c r="AD634" s="210"/>
      <c r="AE634" s="211" t="s">
        <v>834</v>
      </c>
      <c r="AF634" s="213" t="s">
        <v>46</v>
      </c>
      <c r="AG634" s="178"/>
      <c r="AH634" s="210"/>
      <c r="AI634" s="211" t="s">
        <v>834</v>
      </c>
      <c r="AJ634" s="213" t="s">
        <v>46</v>
      </c>
      <c r="AK634" s="178"/>
      <c r="AL634" s="210"/>
      <c r="AM634" s="211" t="s">
        <v>834</v>
      </c>
      <c r="AN634" s="213" t="s">
        <v>46</v>
      </c>
      <c r="AO634" s="178"/>
      <c r="AP634" s="210"/>
      <c r="AQ634" s="211" t="s">
        <v>834</v>
      </c>
      <c r="AR634" s="213" t="s">
        <v>46</v>
      </c>
      <c r="AS634" s="178"/>
      <c r="AT634" s="210"/>
      <c r="AU634" s="211" t="s">
        <v>834</v>
      </c>
      <c r="AV634" s="213" t="s">
        <v>46</v>
      </c>
      <c r="AW634" s="178"/>
      <c r="AX634" s="210"/>
      <c r="AY634" s="211" t="s">
        <v>834</v>
      </c>
      <c r="AZ634" s="213" t="s">
        <v>46</v>
      </c>
      <c r="BA634" s="178"/>
      <c r="BB634" s="210"/>
      <c r="BC634" s="211" t="s">
        <v>834</v>
      </c>
      <c r="BD634" s="213" t="s">
        <v>46</v>
      </c>
      <c r="BE634" s="178"/>
      <c r="BF634" s="210"/>
      <c r="BG634" s="211" t="s">
        <v>834</v>
      </c>
      <c r="BH634" s="213" t="s">
        <v>46</v>
      </c>
      <c r="BI634" s="178"/>
      <c r="BJ634" s="210"/>
      <c r="BK634" s="211" t="s">
        <v>834</v>
      </c>
      <c r="BL634" s="213" t="s">
        <v>46</v>
      </c>
      <c r="BM634" s="178"/>
      <c r="BN634" s="210"/>
      <c r="BO634" s="211" t="s">
        <v>834</v>
      </c>
      <c r="BP634" s="213" t="s">
        <v>46</v>
      </c>
      <c r="BQ634" s="178"/>
      <c r="BR634" s="210"/>
      <c r="BS634" s="211" t="s">
        <v>834</v>
      </c>
      <c r="BT634" s="213" t="s">
        <v>46</v>
      </c>
      <c r="BU634" s="178"/>
    </row>
    <row r="635" s="105" customFormat="1" spans="1:73">
      <c r="A635" s="221" t="s">
        <v>835</v>
      </c>
      <c r="B635" s="205" t="s">
        <v>42</v>
      </c>
      <c r="C635" s="214"/>
      <c r="D635" s="207"/>
      <c r="E635" s="132"/>
      <c r="F635" s="208"/>
      <c r="G635" s="143" t="s">
        <v>836</v>
      </c>
      <c r="H635" s="209"/>
      <c r="I635" s="198"/>
      <c r="J635" s="210"/>
      <c r="K635" s="211" t="s">
        <v>836</v>
      </c>
      <c r="L635" s="213" t="s">
        <v>42</v>
      </c>
      <c r="M635" s="178"/>
      <c r="N635" s="210"/>
      <c r="O635" s="211" t="s">
        <v>836</v>
      </c>
      <c r="P635" s="212" t="s">
        <v>172</v>
      </c>
      <c r="Q635" s="178"/>
      <c r="R635" s="210"/>
      <c r="S635" s="211" t="s">
        <v>836</v>
      </c>
      <c r="T635" s="212" t="s">
        <v>172</v>
      </c>
      <c r="U635" s="178"/>
      <c r="V635" s="210"/>
      <c r="W635" s="211" t="s">
        <v>836</v>
      </c>
      <c r="X635" s="212" t="s">
        <v>172</v>
      </c>
      <c r="Y635" s="178"/>
      <c r="Z635" s="210"/>
      <c r="AA635" s="211" t="s">
        <v>836</v>
      </c>
      <c r="AB635" s="212" t="s">
        <v>172</v>
      </c>
      <c r="AC635" s="178"/>
      <c r="AD635" s="210"/>
      <c r="AE635" s="211" t="s">
        <v>836</v>
      </c>
      <c r="AF635" s="212" t="s">
        <v>206</v>
      </c>
      <c r="AG635" s="178"/>
      <c r="AH635" s="210"/>
      <c r="AI635" s="211" t="s">
        <v>836</v>
      </c>
      <c r="AJ635" s="212" t="s">
        <v>186</v>
      </c>
      <c r="AK635" s="178"/>
      <c r="AL635" s="210"/>
      <c r="AM635" s="211" t="s">
        <v>836</v>
      </c>
      <c r="AN635" s="212" t="s">
        <v>186</v>
      </c>
      <c r="AO635" s="178"/>
      <c r="AP635" s="210"/>
      <c r="AQ635" s="211" t="s">
        <v>836</v>
      </c>
      <c r="AR635" s="212" t="s">
        <v>132</v>
      </c>
      <c r="AS635" s="178"/>
      <c r="AT635" s="210"/>
      <c r="AU635" s="211" t="s">
        <v>836</v>
      </c>
      <c r="AV635" s="212" t="s">
        <v>172</v>
      </c>
      <c r="AW635" s="178"/>
      <c r="AX635" s="210"/>
      <c r="AY635" s="211" t="s">
        <v>836</v>
      </c>
      <c r="AZ635" s="212" t="s">
        <v>206</v>
      </c>
      <c r="BA635" s="178"/>
      <c r="BB635" s="210"/>
      <c r="BC635" s="211" t="s">
        <v>836</v>
      </c>
      <c r="BD635" s="212" t="s">
        <v>206</v>
      </c>
      <c r="BE635" s="178"/>
      <c r="BF635" s="210"/>
      <c r="BG635" s="211" t="s">
        <v>836</v>
      </c>
      <c r="BH635" s="212" t="s">
        <v>186</v>
      </c>
      <c r="BI635" s="178"/>
      <c r="BJ635" s="210"/>
      <c r="BK635" s="211" t="s">
        <v>836</v>
      </c>
      <c r="BL635" s="212" t="s">
        <v>147</v>
      </c>
      <c r="BM635" s="178"/>
      <c r="BN635" s="210"/>
      <c r="BO635" s="211" t="s">
        <v>836</v>
      </c>
      <c r="BP635" s="212" t="s">
        <v>186</v>
      </c>
      <c r="BQ635" s="178"/>
      <c r="BR635" s="210"/>
      <c r="BS635" s="211" t="s">
        <v>836</v>
      </c>
      <c r="BT635" s="212" t="s">
        <v>172</v>
      </c>
      <c r="BU635" s="178"/>
    </row>
    <row r="636" s="105" customFormat="1" spans="1:73">
      <c r="A636" s="221" t="s">
        <v>837</v>
      </c>
      <c r="B636" s="205" t="s">
        <v>46</v>
      </c>
      <c r="C636" s="214"/>
      <c r="D636" s="207"/>
      <c r="E636" s="132"/>
      <c r="F636" s="208"/>
      <c r="G636" s="143" t="s">
        <v>838</v>
      </c>
      <c r="H636" s="209"/>
      <c r="I636" s="198"/>
      <c r="J636" s="210"/>
      <c r="K636" s="211" t="s">
        <v>838</v>
      </c>
      <c r="L636" s="213" t="s">
        <v>46</v>
      </c>
      <c r="M636" s="178"/>
      <c r="N636" s="210"/>
      <c r="O636" s="211" t="s">
        <v>838</v>
      </c>
      <c r="P636" s="213" t="s">
        <v>46</v>
      </c>
      <c r="Q636" s="178"/>
      <c r="R636" s="210"/>
      <c r="S636" s="211" t="s">
        <v>838</v>
      </c>
      <c r="T636" s="213" t="s">
        <v>46</v>
      </c>
      <c r="U636" s="178"/>
      <c r="V636" s="210"/>
      <c r="W636" s="211" t="s">
        <v>838</v>
      </c>
      <c r="X636" s="213" t="s">
        <v>46</v>
      </c>
      <c r="Y636" s="178"/>
      <c r="Z636" s="210"/>
      <c r="AA636" s="211" t="s">
        <v>838</v>
      </c>
      <c r="AB636" s="213" t="s">
        <v>46</v>
      </c>
      <c r="AC636" s="178"/>
      <c r="AD636" s="210"/>
      <c r="AE636" s="211" t="s">
        <v>838</v>
      </c>
      <c r="AF636" s="213" t="s">
        <v>46</v>
      </c>
      <c r="AG636" s="178"/>
      <c r="AH636" s="210"/>
      <c r="AI636" s="211" t="s">
        <v>838</v>
      </c>
      <c r="AJ636" s="212" t="s">
        <v>184</v>
      </c>
      <c r="AK636" s="178"/>
      <c r="AL636" s="210"/>
      <c r="AM636" s="211" t="s">
        <v>838</v>
      </c>
      <c r="AN636" s="212" t="s">
        <v>184</v>
      </c>
      <c r="AO636" s="178"/>
      <c r="AP636" s="210"/>
      <c r="AQ636" s="211" t="s">
        <v>838</v>
      </c>
      <c r="AR636" s="213" t="s">
        <v>46</v>
      </c>
      <c r="AS636" s="178"/>
      <c r="AT636" s="210"/>
      <c r="AU636" s="211" t="s">
        <v>838</v>
      </c>
      <c r="AV636" s="213" t="s">
        <v>46</v>
      </c>
      <c r="AW636" s="178"/>
      <c r="AX636" s="210"/>
      <c r="AY636" s="211" t="s">
        <v>838</v>
      </c>
      <c r="AZ636" s="213" t="s">
        <v>46</v>
      </c>
      <c r="BA636" s="178"/>
      <c r="BB636" s="210"/>
      <c r="BC636" s="211" t="s">
        <v>838</v>
      </c>
      <c r="BD636" s="213" t="s">
        <v>46</v>
      </c>
      <c r="BE636" s="178"/>
      <c r="BF636" s="210"/>
      <c r="BG636" s="211" t="s">
        <v>838</v>
      </c>
      <c r="BH636" s="212" t="s">
        <v>184</v>
      </c>
      <c r="BI636" s="178"/>
      <c r="BJ636" s="210"/>
      <c r="BK636" s="211" t="s">
        <v>838</v>
      </c>
      <c r="BL636" s="212" t="s">
        <v>829</v>
      </c>
      <c r="BM636" s="178"/>
      <c r="BN636" s="210"/>
      <c r="BO636" s="211" t="s">
        <v>838</v>
      </c>
      <c r="BP636" s="212" t="s">
        <v>184</v>
      </c>
      <c r="BQ636" s="178"/>
      <c r="BR636" s="210"/>
      <c r="BS636" s="211" t="s">
        <v>838</v>
      </c>
      <c r="BT636" s="213" t="s">
        <v>46</v>
      </c>
      <c r="BU636" s="178"/>
    </row>
    <row r="637" s="105" customFormat="1" spans="1:73">
      <c r="A637" s="165"/>
      <c r="B637" s="223"/>
      <c r="C637" s="223"/>
      <c r="D637" s="224"/>
      <c r="E637" s="132"/>
      <c r="F637" s="216"/>
      <c r="G637" s="143"/>
      <c r="H637" s="209"/>
      <c r="I637" s="198"/>
      <c r="J637" s="217"/>
      <c r="K637" s="211"/>
      <c r="L637" s="222"/>
      <c r="M637" s="178"/>
      <c r="N637" s="217"/>
      <c r="O637" s="211"/>
      <c r="P637" s="222"/>
      <c r="Q637" s="178"/>
      <c r="R637" s="217"/>
      <c r="S637" s="211"/>
      <c r="T637" s="222"/>
      <c r="U637" s="178"/>
      <c r="V637" s="217"/>
      <c r="W637" s="211"/>
      <c r="X637" s="222"/>
      <c r="Y637" s="178"/>
      <c r="Z637" s="217"/>
      <c r="AA637" s="211"/>
      <c r="AB637" s="222"/>
      <c r="AC637" s="178"/>
      <c r="AD637" s="217"/>
      <c r="AE637" s="211"/>
      <c r="AF637" s="222"/>
      <c r="AG637" s="178"/>
      <c r="AH637" s="217"/>
      <c r="AI637" s="211"/>
      <c r="AJ637" s="222"/>
      <c r="AK637" s="178"/>
      <c r="AL637" s="217"/>
      <c r="AM637" s="211"/>
      <c r="AN637" s="222"/>
      <c r="AO637" s="178"/>
      <c r="AP637" s="217"/>
      <c r="AQ637" s="211"/>
      <c r="AR637" s="222"/>
      <c r="AS637" s="178"/>
      <c r="AT637" s="217"/>
      <c r="AU637" s="211"/>
      <c r="AV637" s="222"/>
      <c r="AW637" s="178"/>
      <c r="AX637" s="217"/>
      <c r="AY637" s="211"/>
      <c r="AZ637" s="222"/>
      <c r="BA637" s="178"/>
      <c r="BB637" s="217"/>
      <c r="BC637" s="211"/>
      <c r="BD637" s="222"/>
      <c r="BE637" s="178"/>
      <c r="BF637" s="217"/>
      <c r="BG637" s="211"/>
      <c r="BH637" s="222"/>
      <c r="BI637" s="178"/>
      <c r="BJ637" s="217"/>
      <c r="BK637" s="211"/>
      <c r="BL637" s="222"/>
      <c r="BM637" s="178"/>
      <c r="BN637" s="217"/>
      <c r="BO637" s="211"/>
      <c r="BP637" s="222"/>
      <c r="BQ637" s="178"/>
      <c r="BR637" s="217"/>
      <c r="BS637" s="211"/>
      <c r="BT637" s="222"/>
      <c r="BU637" s="178"/>
    </row>
    <row r="638" spans="1:73">
      <c r="A638" s="165"/>
      <c r="B638" s="223"/>
      <c r="C638" s="223"/>
      <c r="D638" s="224"/>
      <c r="E638" s="132"/>
      <c r="F638" s="218"/>
      <c r="G638" s="143"/>
      <c r="H638" s="209"/>
      <c r="I638" s="198"/>
      <c r="J638" s="219"/>
      <c r="K638" s="211"/>
      <c r="L638" s="222"/>
      <c r="M638" s="178"/>
      <c r="N638" s="219"/>
      <c r="O638" s="211"/>
      <c r="P638" s="222"/>
      <c r="Q638" s="178"/>
      <c r="R638" s="219"/>
      <c r="S638" s="211"/>
      <c r="T638" s="222"/>
      <c r="U638" s="178"/>
      <c r="V638" s="219"/>
      <c r="W638" s="211"/>
      <c r="X638" s="222"/>
      <c r="Y638" s="178"/>
      <c r="Z638" s="219"/>
      <c r="AA638" s="211"/>
      <c r="AB638" s="222"/>
      <c r="AC638" s="178"/>
      <c r="AD638" s="219"/>
      <c r="AE638" s="211"/>
      <c r="AF638" s="222"/>
      <c r="AG638" s="178"/>
      <c r="AH638" s="219"/>
      <c r="AI638" s="211"/>
      <c r="AJ638" s="222"/>
      <c r="AK638" s="178"/>
      <c r="AL638" s="219"/>
      <c r="AM638" s="211"/>
      <c r="AN638" s="222"/>
      <c r="AO638" s="178"/>
      <c r="AP638" s="219"/>
      <c r="AQ638" s="211"/>
      <c r="AR638" s="222"/>
      <c r="AS638" s="178"/>
      <c r="AT638" s="219"/>
      <c r="AU638" s="211"/>
      <c r="AV638" s="222"/>
      <c r="AW638" s="178"/>
      <c r="AX638" s="219"/>
      <c r="AY638" s="211"/>
      <c r="AZ638" s="222"/>
      <c r="BA638" s="178"/>
      <c r="BB638" s="219"/>
      <c r="BC638" s="211"/>
      <c r="BD638" s="222"/>
      <c r="BE638" s="178"/>
      <c r="BF638" s="219"/>
      <c r="BG638" s="211"/>
      <c r="BH638" s="222"/>
      <c r="BI638" s="178"/>
      <c r="BJ638" s="219"/>
      <c r="BK638" s="211"/>
      <c r="BL638" s="222"/>
      <c r="BM638" s="178"/>
      <c r="BN638" s="219"/>
      <c r="BO638" s="211"/>
      <c r="BP638" s="222"/>
      <c r="BQ638" s="178"/>
      <c r="BR638" s="219"/>
      <c r="BS638" s="211"/>
      <c r="BT638" s="222"/>
      <c r="BU638" s="178"/>
    </row>
    <row r="639" spans="1:73">
      <c r="A639" s="165"/>
      <c r="B639" s="131"/>
      <c r="C639" s="148"/>
      <c r="D639" s="202"/>
      <c r="E639" s="130"/>
      <c r="F639" s="138" t="s">
        <v>839</v>
      </c>
      <c r="G639" s="161"/>
      <c r="H639" s="225"/>
      <c r="I639" s="198"/>
      <c r="J639" s="210" t="s">
        <v>839</v>
      </c>
      <c r="K639" s="200"/>
      <c r="L639" s="226"/>
      <c r="M639" s="178"/>
      <c r="N639" s="210" t="s">
        <v>839</v>
      </c>
      <c r="O639" s="200"/>
      <c r="P639" s="226"/>
      <c r="Q639" s="178"/>
      <c r="R639" s="210" t="s">
        <v>839</v>
      </c>
      <c r="S639" s="200"/>
      <c r="T639" s="226"/>
      <c r="U639" s="178"/>
      <c r="V639" s="210" t="s">
        <v>839</v>
      </c>
      <c r="W639" s="200"/>
      <c r="X639" s="226"/>
      <c r="Y639" s="178"/>
      <c r="Z639" s="210" t="s">
        <v>839</v>
      </c>
      <c r="AA639" s="200"/>
      <c r="AB639" s="226"/>
      <c r="AC639" s="178"/>
      <c r="AD639" s="210" t="s">
        <v>839</v>
      </c>
      <c r="AE639" s="200"/>
      <c r="AF639" s="226"/>
      <c r="AG639" s="178"/>
      <c r="AH639" s="210" t="s">
        <v>839</v>
      </c>
      <c r="AI639" s="200"/>
      <c r="AJ639" s="226"/>
      <c r="AK639" s="178"/>
      <c r="AL639" s="210" t="s">
        <v>839</v>
      </c>
      <c r="AM639" s="200"/>
      <c r="AN639" s="226"/>
      <c r="AO639" s="178"/>
      <c r="AP639" s="210" t="s">
        <v>839</v>
      </c>
      <c r="AQ639" s="200"/>
      <c r="AR639" s="226"/>
      <c r="AS639" s="178"/>
      <c r="AT639" s="210" t="s">
        <v>839</v>
      </c>
      <c r="AU639" s="200"/>
      <c r="AV639" s="226"/>
      <c r="AW639" s="178"/>
      <c r="AX639" s="210" t="s">
        <v>839</v>
      </c>
      <c r="AY639" s="200"/>
      <c r="AZ639" s="226"/>
      <c r="BA639" s="178"/>
      <c r="BB639" s="210" t="s">
        <v>839</v>
      </c>
      <c r="BC639" s="200"/>
      <c r="BD639" s="226"/>
      <c r="BE639" s="178"/>
      <c r="BF639" s="210" t="s">
        <v>839</v>
      </c>
      <c r="BG639" s="200"/>
      <c r="BH639" s="226"/>
      <c r="BI639" s="178"/>
      <c r="BJ639" s="210" t="s">
        <v>839</v>
      </c>
      <c r="BK639" s="200"/>
      <c r="BL639" s="226"/>
      <c r="BM639" s="178"/>
      <c r="BN639" s="210" t="s">
        <v>839</v>
      </c>
      <c r="BO639" s="200"/>
      <c r="BP639" s="226"/>
      <c r="BQ639" s="178"/>
      <c r="BR639" s="210" t="s">
        <v>839</v>
      </c>
      <c r="BS639" s="200"/>
      <c r="BT639" s="226"/>
      <c r="BU639" s="178"/>
    </row>
    <row r="640" s="105" customFormat="1" ht="12.75" customHeight="1" spans="1:73">
      <c r="A640" s="136" t="s">
        <v>36</v>
      </c>
      <c r="B640" s="137" t="s">
        <v>37</v>
      </c>
      <c r="C640" s="137" t="s">
        <v>38</v>
      </c>
      <c r="D640" s="202"/>
      <c r="E640" s="130"/>
      <c r="F640" s="138"/>
      <c r="G640" s="139" t="s">
        <v>39</v>
      </c>
      <c r="H640" s="140" t="s">
        <v>40</v>
      </c>
      <c r="I640" s="145"/>
      <c r="J640" s="138"/>
      <c r="K640" s="139" t="s">
        <v>39</v>
      </c>
      <c r="L640" s="203" t="s">
        <v>40</v>
      </c>
      <c r="N640" s="138"/>
      <c r="O640" s="139" t="s">
        <v>39</v>
      </c>
      <c r="P640" s="203" t="s">
        <v>40</v>
      </c>
      <c r="R640" s="138"/>
      <c r="S640" s="139" t="s">
        <v>39</v>
      </c>
      <c r="T640" s="203" t="s">
        <v>40</v>
      </c>
      <c r="U640" s="109"/>
      <c r="V640" s="138"/>
      <c r="W640" s="139" t="s">
        <v>39</v>
      </c>
      <c r="X640" s="203" t="s">
        <v>40</v>
      </c>
      <c r="Z640" s="138"/>
      <c r="AA640" s="139" t="s">
        <v>39</v>
      </c>
      <c r="AB640" s="203" t="s">
        <v>40</v>
      </c>
      <c r="AD640" s="138"/>
      <c r="AE640" s="139" t="s">
        <v>39</v>
      </c>
      <c r="AF640" s="203" t="s">
        <v>40</v>
      </c>
      <c r="AH640" s="138"/>
      <c r="AI640" s="139" t="s">
        <v>39</v>
      </c>
      <c r="AJ640" s="203" t="s">
        <v>40</v>
      </c>
      <c r="AL640" s="138"/>
      <c r="AM640" s="139" t="s">
        <v>39</v>
      </c>
      <c r="AN640" s="203" t="s">
        <v>40</v>
      </c>
      <c r="AP640" s="138"/>
      <c r="AQ640" s="139" t="s">
        <v>39</v>
      </c>
      <c r="AR640" s="203" t="s">
        <v>40</v>
      </c>
      <c r="AT640" s="138"/>
      <c r="AU640" s="139" t="s">
        <v>39</v>
      </c>
      <c r="AV640" s="203" t="s">
        <v>40</v>
      </c>
      <c r="AX640" s="138"/>
      <c r="AY640" s="139" t="s">
        <v>39</v>
      </c>
      <c r="AZ640" s="203" t="s">
        <v>40</v>
      </c>
      <c r="BB640" s="138"/>
      <c r="BC640" s="139" t="s">
        <v>39</v>
      </c>
      <c r="BD640" s="203" t="s">
        <v>40</v>
      </c>
      <c r="BF640" s="138"/>
      <c r="BG640" s="139" t="s">
        <v>39</v>
      </c>
      <c r="BH640" s="203" t="s">
        <v>40</v>
      </c>
      <c r="BJ640" s="138"/>
      <c r="BK640" s="139" t="s">
        <v>39</v>
      </c>
      <c r="BL640" s="203" t="s">
        <v>40</v>
      </c>
      <c r="BN640" s="138"/>
      <c r="BO640" s="139" t="s">
        <v>39</v>
      </c>
      <c r="BP640" s="203" t="s">
        <v>40</v>
      </c>
      <c r="BR640" s="138"/>
      <c r="BS640" s="139" t="s">
        <v>39</v>
      </c>
      <c r="BT640" s="203" t="s">
        <v>40</v>
      </c>
    </row>
    <row r="641" s="105" customFormat="1" spans="1:73">
      <c r="A641" s="153" t="s">
        <v>840</v>
      </c>
      <c r="B641" s="205" t="s">
        <v>232</v>
      </c>
      <c r="C641" s="214"/>
      <c r="D641" s="207"/>
      <c r="E641" s="130"/>
      <c r="F641" s="138"/>
      <c r="G641" s="163" t="s">
        <v>841</v>
      </c>
      <c r="H641" s="209"/>
      <c r="I641" s="198"/>
      <c r="J641" s="210"/>
      <c r="K641" s="227" t="s">
        <v>841</v>
      </c>
      <c r="L641" s="212" t="s">
        <v>132</v>
      </c>
      <c r="M641" s="178"/>
      <c r="N641" s="210"/>
      <c r="O641" s="227" t="s">
        <v>841</v>
      </c>
      <c r="P641" s="212" t="s">
        <v>132</v>
      </c>
      <c r="Q641" s="178"/>
      <c r="R641" s="210"/>
      <c r="S641" s="227" t="s">
        <v>841</v>
      </c>
      <c r="T641" s="212" t="s">
        <v>132</v>
      </c>
      <c r="U641" s="178"/>
      <c r="V641" s="210"/>
      <c r="W641" s="227" t="s">
        <v>841</v>
      </c>
      <c r="X641" s="212" t="s">
        <v>132</v>
      </c>
      <c r="Y641" s="178"/>
      <c r="Z641" s="210"/>
      <c r="AA641" s="227" t="s">
        <v>841</v>
      </c>
      <c r="AB641" s="212" t="s">
        <v>132</v>
      </c>
      <c r="AC641" s="178"/>
      <c r="AD641" s="210"/>
      <c r="AE641" s="227" t="s">
        <v>841</v>
      </c>
      <c r="AF641" s="212" t="s">
        <v>132</v>
      </c>
      <c r="AG641" s="178"/>
      <c r="AH641" s="210"/>
      <c r="AI641" s="227" t="s">
        <v>841</v>
      </c>
      <c r="AJ641" s="212" t="s">
        <v>132</v>
      </c>
      <c r="AK641" s="178"/>
      <c r="AL641" s="210"/>
      <c r="AM641" s="227" t="s">
        <v>841</v>
      </c>
      <c r="AN641" s="212" t="s">
        <v>132</v>
      </c>
      <c r="AO641" s="178"/>
      <c r="AP641" s="210"/>
      <c r="AQ641" s="227" t="s">
        <v>841</v>
      </c>
      <c r="AR641" s="212" t="s">
        <v>132</v>
      </c>
      <c r="AS641" s="178"/>
      <c r="AT641" s="210"/>
      <c r="AU641" s="227" t="s">
        <v>841</v>
      </c>
      <c r="AV641" s="212" t="s">
        <v>132</v>
      </c>
      <c r="AW641" s="178"/>
      <c r="AX641" s="210"/>
      <c r="AY641" s="227" t="s">
        <v>841</v>
      </c>
      <c r="AZ641" s="212" t="s">
        <v>132</v>
      </c>
      <c r="BA641" s="178"/>
      <c r="BB641" s="210"/>
      <c r="BC641" s="227" t="s">
        <v>841</v>
      </c>
      <c r="BD641" s="212" t="s">
        <v>132</v>
      </c>
      <c r="BE641" s="178"/>
      <c r="BF641" s="210"/>
      <c r="BG641" s="227" t="s">
        <v>841</v>
      </c>
      <c r="BH641" s="212" t="s">
        <v>132</v>
      </c>
      <c r="BI641" s="178"/>
      <c r="BJ641" s="210"/>
      <c r="BK641" s="227" t="s">
        <v>841</v>
      </c>
      <c r="BL641" s="212" t="s">
        <v>132</v>
      </c>
      <c r="BM641" s="178"/>
      <c r="BN641" s="210"/>
      <c r="BO641" s="227" t="s">
        <v>841</v>
      </c>
      <c r="BP641" s="212" t="s">
        <v>132</v>
      </c>
      <c r="BQ641" s="178"/>
      <c r="BR641" s="210"/>
      <c r="BS641" s="227" t="s">
        <v>841</v>
      </c>
      <c r="BT641" s="212" t="s">
        <v>132</v>
      </c>
      <c r="BU641" s="178"/>
    </row>
    <row r="642" s="105" customFormat="1" spans="1:73">
      <c r="A642" s="153" t="s">
        <v>842</v>
      </c>
      <c r="B642" s="205" t="s">
        <v>243</v>
      </c>
      <c r="C642" s="214"/>
      <c r="D642" s="207"/>
      <c r="E642" s="130"/>
      <c r="F642" s="138"/>
      <c r="G642" s="163" t="s">
        <v>843</v>
      </c>
      <c r="H642" s="209"/>
      <c r="I642" s="198"/>
      <c r="J642" s="210"/>
      <c r="K642" s="227" t="s">
        <v>843</v>
      </c>
      <c r="L642" s="213" t="s">
        <v>243</v>
      </c>
      <c r="M642" s="178"/>
      <c r="N642" s="210"/>
      <c r="O642" s="227" t="s">
        <v>843</v>
      </c>
      <c r="P642" s="213" t="s">
        <v>243</v>
      </c>
      <c r="Q642" s="178"/>
      <c r="R642" s="210"/>
      <c r="S642" s="227" t="s">
        <v>843</v>
      </c>
      <c r="T642" s="213" t="s">
        <v>243</v>
      </c>
      <c r="U642" s="178"/>
      <c r="V642" s="210"/>
      <c r="W642" s="227" t="s">
        <v>843</v>
      </c>
      <c r="X642" s="213" t="s">
        <v>243</v>
      </c>
      <c r="Y642" s="178"/>
      <c r="Z642" s="210"/>
      <c r="AA642" s="227" t="s">
        <v>843</v>
      </c>
      <c r="AB642" s="213" t="s">
        <v>243</v>
      </c>
      <c r="AC642" s="178"/>
      <c r="AD642" s="210"/>
      <c r="AE642" s="227" t="s">
        <v>843</v>
      </c>
      <c r="AF642" s="213" t="s">
        <v>243</v>
      </c>
      <c r="AG642" s="178"/>
      <c r="AH642" s="210"/>
      <c r="AI642" s="227" t="s">
        <v>843</v>
      </c>
      <c r="AJ642" s="213" t="s">
        <v>243</v>
      </c>
      <c r="AK642" s="178"/>
      <c r="AL642" s="210"/>
      <c r="AM642" s="227" t="s">
        <v>843</v>
      </c>
      <c r="AN642" s="213" t="s">
        <v>243</v>
      </c>
      <c r="AO642" s="178"/>
      <c r="AP642" s="210"/>
      <c r="AQ642" s="227" t="s">
        <v>843</v>
      </c>
      <c r="AR642" s="213" t="s">
        <v>243</v>
      </c>
      <c r="AS642" s="178"/>
      <c r="AT642" s="210"/>
      <c r="AU642" s="227" t="s">
        <v>843</v>
      </c>
      <c r="AV642" s="213" t="s">
        <v>243</v>
      </c>
      <c r="AW642" s="178"/>
      <c r="AX642" s="210"/>
      <c r="AY642" s="227" t="s">
        <v>843</v>
      </c>
      <c r="AZ642" s="213" t="s">
        <v>243</v>
      </c>
      <c r="BA642" s="178"/>
      <c r="BB642" s="210"/>
      <c r="BC642" s="227" t="s">
        <v>843</v>
      </c>
      <c r="BD642" s="213" t="s">
        <v>243</v>
      </c>
      <c r="BE642" s="178"/>
      <c r="BF642" s="210"/>
      <c r="BG642" s="227" t="s">
        <v>843</v>
      </c>
      <c r="BH642" s="213" t="s">
        <v>243</v>
      </c>
      <c r="BI642" s="178"/>
      <c r="BJ642" s="210"/>
      <c r="BK642" s="227" t="s">
        <v>843</v>
      </c>
      <c r="BL642" s="213" t="s">
        <v>243</v>
      </c>
      <c r="BM642" s="178"/>
      <c r="BN642" s="210"/>
      <c r="BO642" s="227" t="s">
        <v>843</v>
      </c>
      <c r="BP642" s="213" t="s">
        <v>243</v>
      </c>
      <c r="BQ642" s="178"/>
      <c r="BR642" s="210"/>
      <c r="BS642" s="227" t="s">
        <v>843</v>
      </c>
      <c r="BT642" s="213" t="s">
        <v>243</v>
      </c>
      <c r="BU642" s="178"/>
    </row>
    <row r="643" s="105" customFormat="1" spans="1:73">
      <c r="A643" s="153" t="s">
        <v>844</v>
      </c>
      <c r="B643" s="205" t="s">
        <v>186</v>
      </c>
      <c r="C643" s="214"/>
      <c r="D643" s="207"/>
      <c r="E643" s="130"/>
      <c r="F643" s="138"/>
      <c r="G643" s="163" t="s">
        <v>845</v>
      </c>
      <c r="H643" s="209"/>
      <c r="I643" s="198"/>
      <c r="J643" s="210"/>
      <c r="K643" s="227" t="s">
        <v>845</v>
      </c>
      <c r="L643" s="212" t="s">
        <v>61</v>
      </c>
      <c r="M643" s="178"/>
      <c r="N643" s="210"/>
      <c r="O643" s="227" t="s">
        <v>845</v>
      </c>
      <c r="P643" s="212" t="s">
        <v>61</v>
      </c>
      <c r="Q643" s="178"/>
      <c r="R643" s="210"/>
      <c r="S643" s="227" t="s">
        <v>845</v>
      </c>
      <c r="T643" s="212" t="s">
        <v>61</v>
      </c>
      <c r="U643" s="178"/>
      <c r="V643" s="210"/>
      <c r="W643" s="227" t="s">
        <v>845</v>
      </c>
      <c r="X643" s="212" t="s">
        <v>61</v>
      </c>
      <c r="Y643" s="178"/>
      <c r="Z643" s="210"/>
      <c r="AA643" s="227" t="s">
        <v>845</v>
      </c>
      <c r="AB643" s="212" t="s">
        <v>61</v>
      </c>
      <c r="AC643" s="178"/>
      <c r="AD643" s="210"/>
      <c r="AE643" s="227" t="s">
        <v>845</v>
      </c>
      <c r="AF643" s="212" t="s">
        <v>61</v>
      </c>
      <c r="AG643" s="178"/>
      <c r="AH643" s="210"/>
      <c r="AI643" s="227" t="s">
        <v>845</v>
      </c>
      <c r="AJ643" s="212" t="s">
        <v>61</v>
      </c>
      <c r="AK643" s="178"/>
      <c r="AL643" s="210"/>
      <c r="AM643" s="227" t="s">
        <v>845</v>
      </c>
      <c r="AN643" s="212" t="s">
        <v>61</v>
      </c>
      <c r="AO643" s="178"/>
      <c r="AP643" s="210"/>
      <c r="AQ643" s="227" t="s">
        <v>845</v>
      </c>
      <c r="AR643" s="212" t="s">
        <v>61</v>
      </c>
      <c r="AS643" s="178"/>
      <c r="AT643" s="210"/>
      <c r="AU643" s="227" t="s">
        <v>845</v>
      </c>
      <c r="AV643" s="212" t="s">
        <v>61</v>
      </c>
      <c r="AW643" s="178"/>
      <c r="AX643" s="210"/>
      <c r="AY643" s="227" t="s">
        <v>845</v>
      </c>
      <c r="AZ643" s="212" t="s">
        <v>61</v>
      </c>
      <c r="BA643" s="178"/>
      <c r="BB643" s="210"/>
      <c r="BC643" s="227" t="s">
        <v>845</v>
      </c>
      <c r="BD643" s="212" t="s">
        <v>61</v>
      </c>
      <c r="BE643" s="178"/>
      <c r="BF643" s="210"/>
      <c r="BG643" s="227" t="s">
        <v>845</v>
      </c>
      <c r="BH643" s="212" t="s">
        <v>61</v>
      </c>
      <c r="BI643" s="178"/>
      <c r="BJ643" s="210"/>
      <c r="BK643" s="227" t="s">
        <v>845</v>
      </c>
      <c r="BL643" s="212" t="s">
        <v>61</v>
      </c>
      <c r="BM643" s="178"/>
      <c r="BN643" s="210"/>
      <c r="BO643" s="227" t="s">
        <v>845</v>
      </c>
      <c r="BP643" s="212" t="s">
        <v>61</v>
      </c>
      <c r="BQ643" s="178"/>
      <c r="BR643" s="210"/>
      <c r="BS643" s="227" t="s">
        <v>845</v>
      </c>
      <c r="BT643" s="212" t="s">
        <v>61</v>
      </c>
      <c r="BU643" s="178"/>
    </row>
    <row r="644" s="105" customFormat="1" spans="1:73">
      <c r="A644" s="153" t="s">
        <v>846</v>
      </c>
      <c r="B644" s="205" t="s">
        <v>63</v>
      </c>
      <c r="C644" s="214"/>
      <c r="D644" s="207"/>
      <c r="E644" s="130"/>
      <c r="F644" s="138"/>
      <c r="G644" s="163" t="s">
        <v>847</v>
      </c>
      <c r="H644" s="209"/>
      <c r="I644" s="198"/>
      <c r="J644" s="210"/>
      <c r="K644" s="227" t="s">
        <v>847</v>
      </c>
      <c r="L644" s="212" t="s">
        <v>46</v>
      </c>
      <c r="M644" s="178"/>
      <c r="N644" s="210"/>
      <c r="O644" s="227" t="s">
        <v>847</v>
      </c>
      <c r="P644" s="212" t="s">
        <v>46</v>
      </c>
      <c r="Q644" s="178"/>
      <c r="R644" s="210"/>
      <c r="S644" s="227" t="s">
        <v>847</v>
      </c>
      <c r="T644" s="212" t="s">
        <v>46</v>
      </c>
      <c r="U644" s="178"/>
      <c r="V644" s="210"/>
      <c r="W644" s="227" t="s">
        <v>847</v>
      </c>
      <c r="X644" s="212" t="s">
        <v>46</v>
      </c>
      <c r="Y644" s="178"/>
      <c r="Z644" s="210"/>
      <c r="AA644" s="227" t="s">
        <v>847</v>
      </c>
      <c r="AB644" s="212" t="s">
        <v>46</v>
      </c>
      <c r="AC644" s="178"/>
      <c r="AD644" s="210"/>
      <c r="AE644" s="227" t="s">
        <v>847</v>
      </c>
      <c r="AF644" s="212" t="s">
        <v>46</v>
      </c>
      <c r="AG644" s="178"/>
      <c r="AH644" s="210"/>
      <c r="AI644" s="227" t="s">
        <v>847</v>
      </c>
      <c r="AJ644" s="212" t="s">
        <v>46</v>
      </c>
      <c r="AK644" s="178"/>
      <c r="AL644" s="210"/>
      <c r="AM644" s="227" t="s">
        <v>847</v>
      </c>
      <c r="AN644" s="212" t="s">
        <v>46</v>
      </c>
      <c r="AO644" s="178"/>
      <c r="AP644" s="210"/>
      <c r="AQ644" s="227" t="s">
        <v>847</v>
      </c>
      <c r="AR644" s="212" t="s">
        <v>46</v>
      </c>
      <c r="AS644" s="178"/>
      <c r="AT644" s="210"/>
      <c r="AU644" s="227" t="s">
        <v>847</v>
      </c>
      <c r="AV644" s="212" t="s">
        <v>46</v>
      </c>
      <c r="AW644" s="178"/>
      <c r="AX644" s="210"/>
      <c r="AY644" s="227" t="s">
        <v>847</v>
      </c>
      <c r="AZ644" s="212" t="s">
        <v>46</v>
      </c>
      <c r="BA644" s="178"/>
      <c r="BB644" s="210"/>
      <c r="BC644" s="227" t="s">
        <v>847</v>
      </c>
      <c r="BD644" s="212" t="s">
        <v>46</v>
      </c>
      <c r="BE644" s="178"/>
      <c r="BF644" s="210"/>
      <c r="BG644" s="227" t="s">
        <v>847</v>
      </c>
      <c r="BH644" s="212" t="s">
        <v>46</v>
      </c>
      <c r="BI644" s="178"/>
      <c r="BJ644" s="210"/>
      <c r="BK644" s="227" t="s">
        <v>847</v>
      </c>
      <c r="BL644" s="212" t="s">
        <v>46</v>
      </c>
      <c r="BM644" s="178"/>
      <c r="BN644" s="210"/>
      <c r="BO644" s="227" t="s">
        <v>847</v>
      </c>
      <c r="BP644" s="212" t="s">
        <v>46</v>
      </c>
      <c r="BQ644" s="178"/>
      <c r="BR644" s="210"/>
      <c r="BS644" s="227" t="s">
        <v>847</v>
      </c>
      <c r="BT644" s="212" t="s">
        <v>46</v>
      </c>
      <c r="BU644" s="178"/>
    </row>
    <row r="645" spans="1:73">
      <c r="A645" s="153" t="s">
        <v>848</v>
      </c>
      <c r="B645" s="205" t="s">
        <v>849</v>
      </c>
      <c r="C645" s="214"/>
      <c r="D645" s="207"/>
      <c r="E645" s="130"/>
      <c r="F645" s="138"/>
      <c r="G645" s="163" t="s">
        <v>850</v>
      </c>
      <c r="H645" s="209"/>
      <c r="I645" s="198"/>
      <c r="J645" s="210"/>
      <c r="K645" s="227" t="s">
        <v>850</v>
      </c>
      <c r="L645" s="212" t="s">
        <v>268</v>
      </c>
      <c r="M645" s="178"/>
      <c r="N645" s="210"/>
      <c r="O645" s="227" t="s">
        <v>850</v>
      </c>
      <c r="P645" s="212" t="s">
        <v>268</v>
      </c>
      <c r="Q645" s="178"/>
      <c r="R645" s="210"/>
      <c r="S645" s="227" t="s">
        <v>850</v>
      </c>
      <c r="T645" s="212" t="s">
        <v>268</v>
      </c>
      <c r="U645" s="178"/>
      <c r="V645" s="210"/>
      <c r="W645" s="227" t="s">
        <v>850</v>
      </c>
      <c r="X645" s="212" t="s">
        <v>268</v>
      </c>
      <c r="Y645" s="178"/>
      <c r="Z645" s="210"/>
      <c r="AA645" s="227" t="s">
        <v>850</v>
      </c>
      <c r="AB645" s="212" t="s">
        <v>268</v>
      </c>
      <c r="AC645" s="178"/>
      <c r="AD645" s="210"/>
      <c r="AE645" s="227" t="s">
        <v>850</v>
      </c>
      <c r="AF645" s="212" t="s">
        <v>268</v>
      </c>
      <c r="AG645" s="178"/>
      <c r="AH645" s="210"/>
      <c r="AI645" s="227" t="s">
        <v>850</v>
      </c>
      <c r="AJ645" s="212" t="s">
        <v>268</v>
      </c>
      <c r="AK645" s="178"/>
      <c r="AL645" s="210"/>
      <c r="AM645" s="227" t="s">
        <v>850</v>
      </c>
      <c r="AN645" s="212" t="s">
        <v>268</v>
      </c>
      <c r="AO645" s="178"/>
      <c r="AP645" s="210"/>
      <c r="AQ645" s="227" t="s">
        <v>850</v>
      </c>
      <c r="AR645" s="212" t="s">
        <v>268</v>
      </c>
      <c r="AS645" s="178"/>
      <c r="AT645" s="210"/>
      <c r="AU645" s="227" t="s">
        <v>850</v>
      </c>
      <c r="AV645" s="212" t="s">
        <v>268</v>
      </c>
      <c r="AW645" s="178"/>
      <c r="AX645" s="210"/>
      <c r="AY645" s="227" t="s">
        <v>850</v>
      </c>
      <c r="AZ645" s="212" t="s">
        <v>268</v>
      </c>
      <c r="BA645" s="178"/>
      <c r="BB645" s="210"/>
      <c r="BC645" s="227" t="s">
        <v>850</v>
      </c>
      <c r="BD645" s="212" t="s">
        <v>268</v>
      </c>
      <c r="BE645" s="178"/>
      <c r="BF645" s="210"/>
      <c r="BG645" s="227" t="s">
        <v>850</v>
      </c>
      <c r="BH645" s="212" t="s">
        <v>268</v>
      </c>
      <c r="BI645" s="178"/>
      <c r="BJ645" s="210"/>
      <c r="BK645" s="227" t="s">
        <v>850</v>
      </c>
      <c r="BL645" s="212" t="s">
        <v>268</v>
      </c>
      <c r="BM645" s="178"/>
      <c r="BN645" s="210"/>
      <c r="BO645" s="227" t="s">
        <v>850</v>
      </c>
      <c r="BP645" s="212" t="s">
        <v>268</v>
      </c>
      <c r="BQ645" s="178"/>
      <c r="BR645" s="210"/>
      <c r="BS645" s="227" t="s">
        <v>850</v>
      </c>
      <c r="BT645" s="212" t="s">
        <v>268</v>
      </c>
      <c r="BU645" s="178"/>
    </row>
    <row r="646" spans="1:73">
      <c r="A646" s="153" t="s">
        <v>851</v>
      </c>
      <c r="B646" s="205" t="s">
        <v>63</v>
      </c>
      <c r="C646" s="214"/>
      <c r="D646" s="207"/>
      <c r="E646" s="130"/>
      <c r="F646" s="138"/>
      <c r="G646" s="163" t="s">
        <v>852</v>
      </c>
      <c r="H646" s="209"/>
      <c r="I646" s="198"/>
      <c r="J646" s="210"/>
      <c r="K646" s="227" t="s">
        <v>852</v>
      </c>
      <c r="L646" s="213" t="s">
        <v>63</v>
      </c>
      <c r="M646" s="178"/>
      <c r="N646" s="210"/>
      <c r="O646" s="227" t="s">
        <v>852</v>
      </c>
      <c r="P646" s="213" t="s">
        <v>63</v>
      </c>
      <c r="Q646" s="178"/>
      <c r="R646" s="210"/>
      <c r="S646" s="227" t="s">
        <v>852</v>
      </c>
      <c r="T646" s="213" t="s">
        <v>63</v>
      </c>
      <c r="U646" s="178"/>
      <c r="V646" s="210"/>
      <c r="W646" s="227" t="s">
        <v>852</v>
      </c>
      <c r="X646" s="213" t="s">
        <v>63</v>
      </c>
      <c r="Y646" s="178"/>
      <c r="Z646" s="210"/>
      <c r="AA646" s="227" t="s">
        <v>852</v>
      </c>
      <c r="AB646" s="213" t="s">
        <v>63</v>
      </c>
      <c r="AC646" s="178"/>
      <c r="AD646" s="210"/>
      <c r="AE646" s="227" t="s">
        <v>852</v>
      </c>
      <c r="AF646" s="213" t="s">
        <v>63</v>
      </c>
      <c r="AG646" s="178"/>
      <c r="AH646" s="210"/>
      <c r="AI646" s="227" t="s">
        <v>852</v>
      </c>
      <c r="AJ646" s="213" t="s">
        <v>63</v>
      </c>
      <c r="AK646" s="178"/>
      <c r="AL646" s="210"/>
      <c r="AM646" s="227" t="s">
        <v>852</v>
      </c>
      <c r="AN646" s="213" t="s">
        <v>63</v>
      </c>
      <c r="AO646" s="178"/>
      <c r="AP646" s="210"/>
      <c r="AQ646" s="227" t="s">
        <v>852</v>
      </c>
      <c r="AR646" s="213" t="s">
        <v>63</v>
      </c>
      <c r="AS646" s="178"/>
      <c r="AT646" s="210"/>
      <c r="AU646" s="227" t="s">
        <v>852</v>
      </c>
      <c r="AV646" s="213" t="s">
        <v>63</v>
      </c>
      <c r="AW646" s="178"/>
      <c r="AX646" s="210"/>
      <c r="AY646" s="227" t="s">
        <v>852</v>
      </c>
      <c r="AZ646" s="213" t="s">
        <v>63</v>
      </c>
      <c r="BA646" s="178"/>
      <c r="BB646" s="210"/>
      <c r="BC646" s="227" t="s">
        <v>852</v>
      </c>
      <c r="BD646" s="213" t="s">
        <v>63</v>
      </c>
      <c r="BE646" s="178"/>
      <c r="BF646" s="210"/>
      <c r="BG646" s="227" t="s">
        <v>852</v>
      </c>
      <c r="BH646" s="213" t="s">
        <v>63</v>
      </c>
      <c r="BI646" s="178"/>
      <c r="BJ646" s="210"/>
      <c r="BK646" s="227" t="s">
        <v>852</v>
      </c>
      <c r="BL646" s="213" t="s">
        <v>63</v>
      </c>
      <c r="BM646" s="178"/>
      <c r="BN646" s="210"/>
      <c r="BO646" s="227" t="s">
        <v>852</v>
      </c>
      <c r="BP646" s="213" t="s">
        <v>63</v>
      </c>
      <c r="BQ646" s="178"/>
      <c r="BR646" s="210"/>
      <c r="BS646" s="227" t="s">
        <v>852</v>
      </c>
      <c r="BT646" s="213" t="s">
        <v>63</v>
      </c>
      <c r="BU646" s="178"/>
    </row>
    <row r="647" ht="12.75" customHeight="1" spans="1:73">
      <c r="A647" s="228" t="s">
        <v>853</v>
      </c>
      <c r="B647" s="205" t="s">
        <v>61</v>
      </c>
      <c r="C647" s="214"/>
      <c r="D647" s="207"/>
      <c r="E647" s="130"/>
      <c r="F647" s="208"/>
      <c r="G647" s="149" t="s">
        <v>854</v>
      </c>
      <c r="H647" s="209"/>
      <c r="I647" s="198"/>
      <c r="J647" s="210"/>
      <c r="K647" s="229" t="s">
        <v>854</v>
      </c>
      <c r="L647" s="213" t="s">
        <v>61</v>
      </c>
      <c r="M647" s="178"/>
      <c r="N647" s="210"/>
      <c r="O647" s="229" t="s">
        <v>854</v>
      </c>
      <c r="P647" s="213" t="s">
        <v>61</v>
      </c>
      <c r="Q647" s="178"/>
      <c r="R647" s="210"/>
      <c r="S647" s="229" t="s">
        <v>854</v>
      </c>
      <c r="T647" s="213" t="s">
        <v>61</v>
      </c>
      <c r="U647" s="178"/>
      <c r="V647" s="210"/>
      <c r="W647" s="229" t="s">
        <v>854</v>
      </c>
      <c r="X647" s="213" t="s">
        <v>61</v>
      </c>
      <c r="Y647" s="178"/>
      <c r="Z647" s="210"/>
      <c r="AA647" s="229" t="s">
        <v>854</v>
      </c>
      <c r="AB647" s="213" t="s">
        <v>61</v>
      </c>
      <c r="AC647" s="178"/>
      <c r="AD647" s="210"/>
      <c r="AE647" s="229" t="s">
        <v>854</v>
      </c>
      <c r="AF647" s="213" t="s">
        <v>61</v>
      </c>
      <c r="AG647" s="178"/>
      <c r="AH647" s="210"/>
      <c r="AI647" s="229" t="s">
        <v>854</v>
      </c>
      <c r="AJ647" s="213" t="s">
        <v>61</v>
      </c>
      <c r="AK647" s="178"/>
      <c r="AL647" s="210"/>
      <c r="AM647" s="229" t="s">
        <v>854</v>
      </c>
      <c r="AN647" s="213" t="s">
        <v>61</v>
      </c>
      <c r="AO647" s="178"/>
      <c r="AP647" s="210"/>
      <c r="AQ647" s="229" t="s">
        <v>854</v>
      </c>
      <c r="AR647" s="213" t="s">
        <v>61</v>
      </c>
      <c r="AS647" s="178"/>
      <c r="AT647" s="210"/>
      <c r="AU647" s="229" t="s">
        <v>854</v>
      </c>
      <c r="AV647" s="213" t="s">
        <v>61</v>
      </c>
      <c r="AW647" s="178"/>
      <c r="AX647" s="210"/>
      <c r="AY647" s="229" t="s">
        <v>854</v>
      </c>
      <c r="AZ647" s="213" t="s">
        <v>61</v>
      </c>
      <c r="BA647" s="178"/>
      <c r="BB647" s="210"/>
      <c r="BC647" s="229" t="s">
        <v>854</v>
      </c>
      <c r="BD647" s="213" t="s">
        <v>61</v>
      </c>
      <c r="BE647" s="178"/>
      <c r="BF647" s="210"/>
      <c r="BG647" s="229" t="s">
        <v>854</v>
      </c>
      <c r="BH647" s="213" t="s">
        <v>61</v>
      </c>
      <c r="BI647" s="178"/>
      <c r="BJ647" s="210"/>
      <c r="BK647" s="229" t="s">
        <v>854</v>
      </c>
      <c r="BL647" s="213" t="s">
        <v>61</v>
      </c>
      <c r="BM647" s="178"/>
      <c r="BN647" s="210"/>
      <c r="BO647" s="229" t="s">
        <v>854</v>
      </c>
      <c r="BP647" s="213" t="s">
        <v>61</v>
      </c>
      <c r="BQ647" s="178"/>
      <c r="BR647" s="210"/>
      <c r="BS647" s="229" t="s">
        <v>854</v>
      </c>
      <c r="BT647" s="213" t="s">
        <v>61</v>
      </c>
      <c r="BU647" s="178"/>
    </row>
    <row r="648" spans="1:73">
      <c r="A648" s="228" t="s">
        <v>855</v>
      </c>
      <c r="B648" s="205" t="s">
        <v>63</v>
      </c>
      <c r="C648" s="214"/>
      <c r="D648" s="207"/>
      <c r="E648" s="130"/>
      <c r="F648" s="208"/>
      <c r="G648" s="149" t="s">
        <v>856</v>
      </c>
      <c r="H648" s="209"/>
      <c r="I648" s="198"/>
      <c r="J648" s="210"/>
      <c r="K648" s="229" t="s">
        <v>856</v>
      </c>
      <c r="L648" s="213" t="s">
        <v>63</v>
      </c>
      <c r="M648" s="178"/>
      <c r="N648" s="210"/>
      <c r="O648" s="229" t="s">
        <v>856</v>
      </c>
      <c r="P648" s="213" t="s">
        <v>63</v>
      </c>
      <c r="Q648" s="178"/>
      <c r="R648" s="210"/>
      <c r="S648" s="229" t="s">
        <v>856</v>
      </c>
      <c r="T648" s="213" t="s">
        <v>63</v>
      </c>
      <c r="U648" s="178"/>
      <c r="V648" s="210"/>
      <c r="W648" s="229" t="s">
        <v>856</v>
      </c>
      <c r="X648" s="213" t="s">
        <v>63</v>
      </c>
      <c r="Y648" s="178"/>
      <c r="Z648" s="210"/>
      <c r="AA648" s="229" t="s">
        <v>856</v>
      </c>
      <c r="AB648" s="213" t="s">
        <v>63</v>
      </c>
      <c r="AC648" s="178"/>
      <c r="AD648" s="210"/>
      <c r="AE648" s="229" t="s">
        <v>856</v>
      </c>
      <c r="AF648" s="213" t="s">
        <v>63</v>
      </c>
      <c r="AG648" s="178"/>
      <c r="AH648" s="210"/>
      <c r="AI648" s="229" t="s">
        <v>856</v>
      </c>
      <c r="AJ648" s="213" t="s">
        <v>63</v>
      </c>
      <c r="AK648" s="178"/>
      <c r="AL648" s="210"/>
      <c r="AM648" s="229" t="s">
        <v>856</v>
      </c>
      <c r="AN648" s="213" t="s">
        <v>63</v>
      </c>
      <c r="AO648" s="178"/>
      <c r="AP648" s="210"/>
      <c r="AQ648" s="229" t="s">
        <v>856</v>
      </c>
      <c r="AR648" s="213" t="s">
        <v>63</v>
      </c>
      <c r="AS648" s="178"/>
      <c r="AT648" s="210"/>
      <c r="AU648" s="229" t="s">
        <v>856</v>
      </c>
      <c r="AV648" s="213" t="s">
        <v>63</v>
      </c>
      <c r="AW648" s="178"/>
      <c r="AX648" s="210"/>
      <c r="AY648" s="229" t="s">
        <v>856</v>
      </c>
      <c r="AZ648" s="213" t="s">
        <v>63</v>
      </c>
      <c r="BA648" s="178"/>
      <c r="BB648" s="210"/>
      <c r="BC648" s="229" t="s">
        <v>856</v>
      </c>
      <c r="BD648" s="213" t="s">
        <v>63</v>
      </c>
      <c r="BE648" s="178"/>
      <c r="BF648" s="210"/>
      <c r="BG648" s="229" t="s">
        <v>856</v>
      </c>
      <c r="BH648" s="213" t="s">
        <v>63</v>
      </c>
      <c r="BI648" s="178"/>
      <c r="BJ648" s="210"/>
      <c r="BK648" s="229" t="s">
        <v>856</v>
      </c>
      <c r="BL648" s="213" t="s">
        <v>63</v>
      </c>
      <c r="BM648" s="178"/>
      <c r="BN648" s="210"/>
      <c r="BO648" s="229" t="s">
        <v>856</v>
      </c>
      <c r="BP648" s="213" t="s">
        <v>63</v>
      </c>
      <c r="BQ648" s="178"/>
      <c r="BR648" s="210"/>
      <c r="BS648" s="229" t="s">
        <v>856</v>
      </c>
      <c r="BT648" s="213" t="s">
        <v>63</v>
      </c>
      <c r="BU648" s="178"/>
    </row>
    <row r="649" spans="1:73">
      <c r="A649" s="228" t="s">
        <v>857</v>
      </c>
      <c r="B649" s="205" t="s">
        <v>591</v>
      </c>
      <c r="C649" s="214"/>
      <c r="D649" s="207"/>
      <c r="E649" s="130"/>
      <c r="F649" s="138"/>
      <c r="G649" s="163" t="s">
        <v>858</v>
      </c>
      <c r="H649" s="209"/>
      <c r="I649" s="198"/>
      <c r="J649" s="210"/>
      <c r="K649" s="227" t="s">
        <v>858</v>
      </c>
      <c r="L649" s="212" t="s">
        <v>486</v>
      </c>
      <c r="M649" s="178"/>
      <c r="N649" s="210"/>
      <c r="O649" s="227" t="s">
        <v>858</v>
      </c>
      <c r="P649" s="212" t="s">
        <v>486</v>
      </c>
      <c r="Q649" s="178"/>
      <c r="R649" s="210"/>
      <c r="S649" s="227" t="s">
        <v>858</v>
      </c>
      <c r="T649" s="212" t="s">
        <v>486</v>
      </c>
      <c r="U649" s="178"/>
      <c r="V649" s="210"/>
      <c r="W649" s="227" t="s">
        <v>858</v>
      </c>
      <c r="X649" s="212" t="s">
        <v>486</v>
      </c>
      <c r="Y649" s="178"/>
      <c r="Z649" s="210"/>
      <c r="AA649" s="227" t="s">
        <v>858</v>
      </c>
      <c r="AB649" s="212" t="s">
        <v>486</v>
      </c>
      <c r="AC649" s="178"/>
      <c r="AD649" s="210"/>
      <c r="AE649" s="227" t="s">
        <v>858</v>
      </c>
      <c r="AF649" s="212" t="s">
        <v>486</v>
      </c>
      <c r="AG649" s="178"/>
      <c r="AH649" s="210"/>
      <c r="AI649" s="227" t="s">
        <v>858</v>
      </c>
      <c r="AJ649" s="212" t="s">
        <v>486</v>
      </c>
      <c r="AK649" s="178"/>
      <c r="AL649" s="210"/>
      <c r="AM649" s="227" t="s">
        <v>858</v>
      </c>
      <c r="AN649" s="212" t="s">
        <v>486</v>
      </c>
      <c r="AO649" s="178"/>
      <c r="AP649" s="210"/>
      <c r="AQ649" s="227" t="s">
        <v>858</v>
      </c>
      <c r="AR649" s="212" t="s">
        <v>486</v>
      </c>
      <c r="AS649" s="178"/>
      <c r="AT649" s="210"/>
      <c r="AU649" s="227" t="s">
        <v>858</v>
      </c>
      <c r="AV649" s="212" t="s">
        <v>486</v>
      </c>
      <c r="AW649" s="178"/>
      <c r="AX649" s="210"/>
      <c r="AY649" s="227" t="s">
        <v>858</v>
      </c>
      <c r="AZ649" s="212" t="s">
        <v>486</v>
      </c>
      <c r="BA649" s="178"/>
      <c r="BB649" s="210"/>
      <c r="BC649" s="227" t="s">
        <v>858</v>
      </c>
      <c r="BD649" s="212" t="s">
        <v>486</v>
      </c>
      <c r="BE649" s="178"/>
      <c r="BF649" s="210"/>
      <c r="BG649" s="227" t="s">
        <v>858</v>
      </c>
      <c r="BH649" s="212" t="s">
        <v>486</v>
      </c>
      <c r="BI649" s="178"/>
      <c r="BJ649" s="210"/>
      <c r="BK649" s="227" t="s">
        <v>858</v>
      </c>
      <c r="BL649" s="212" t="s">
        <v>486</v>
      </c>
      <c r="BM649" s="178"/>
      <c r="BN649" s="210"/>
      <c r="BO649" s="227" t="s">
        <v>858</v>
      </c>
      <c r="BP649" s="212" t="s">
        <v>486</v>
      </c>
      <c r="BQ649" s="178"/>
      <c r="BR649" s="210"/>
      <c r="BS649" s="227" t="s">
        <v>858</v>
      </c>
      <c r="BT649" s="212" t="s">
        <v>486</v>
      </c>
      <c r="BU649" s="178"/>
    </row>
    <row r="650" ht="12.75" customHeight="1" spans="1:73">
      <c r="A650" s="165"/>
      <c r="B650" s="230"/>
      <c r="C650" s="131"/>
      <c r="D650" s="105"/>
      <c r="E650" s="130"/>
      <c r="F650" s="208"/>
      <c r="G650" s="149"/>
      <c r="H650" s="209"/>
      <c r="I650" s="198"/>
      <c r="J650" s="210"/>
      <c r="K650" s="229"/>
      <c r="L650" s="222"/>
      <c r="M650" s="178"/>
      <c r="N650" s="210"/>
      <c r="O650" s="229"/>
      <c r="P650" s="222"/>
      <c r="Q650" s="178"/>
      <c r="R650" s="210"/>
      <c r="S650" s="229"/>
      <c r="T650" s="222"/>
      <c r="U650" s="178"/>
      <c r="V650" s="210"/>
      <c r="W650" s="229"/>
      <c r="X650" s="222"/>
      <c r="Y650" s="178"/>
      <c r="Z650" s="210"/>
      <c r="AA650" s="229"/>
      <c r="AB650" s="222"/>
      <c r="AC650" s="178"/>
      <c r="AD650" s="210"/>
      <c r="AE650" s="229"/>
      <c r="AF650" s="222"/>
      <c r="AG650" s="178"/>
      <c r="AH650" s="210"/>
      <c r="AI650" s="229"/>
      <c r="AJ650" s="222"/>
      <c r="AK650" s="178"/>
      <c r="AL650" s="210"/>
      <c r="AM650" s="229"/>
      <c r="AN650" s="222"/>
      <c r="AO650" s="178"/>
      <c r="AP650" s="210"/>
      <c r="AQ650" s="229"/>
      <c r="AR650" s="222"/>
      <c r="AS650" s="178"/>
      <c r="AT650" s="210"/>
      <c r="AU650" s="229"/>
      <c r="AV650" s="222"/>
      <c r="AW650" s="178"/>
      <c r="AX650" s="210"/>
      <c r="AY650" s="229"/>
      <c r="AZ650" s="222"/>
      <c r="BA650" s="178"/>
      <c r="BB650" s="210"/>
      <c r="BC650" s="229"/>
      <c r="BD650" s="222"/>
      <c r="BE650" s="178"/>
      <c r="BF650" s="210"/>
      <c r="BG650" s="229"/>
      <c r="BH650" s="222"/>
      <c r="BI650" s="178"/>
      <c r="BJ650" s="210"/>
      <c r="BK650" s="229"/>
      <c r="BL650" s="222"/>
      <c r="BM650" s="178"/>
      <c r="BN650" s="210"/>
      <c r="BO650" s="229"/>
      <c r="BP650" s="222"/>
      <c r="BQ650" s="178"/>
      <c r="BR650" s="210"/>
      <c r="BS650" s="229"/>
      <c r="BT650" s="222"/>
      <c r="BU650" s="178"/>
    </row>
    <row r="651" ht="12.75" customHeight="1" spans="1:73">
      <c r="A651" s="165"/>
      <c r="B651" s="166"/>
      <c r="C651" s="131"/>
      <c r="D651" s="105"/>
      <c r="E651" s="130"/>
      <c r="F651" s="218"/>
      <c r="G651" s="149"/>
      <c r="H651" s="209"/>
      <c r="I651" s="198"/>
      <c r="J651" s="219"/>
      <c r="K651" s="229"/>
      <c r="L651" s="222"/>
      <c r="M651" s="178"/>
      <c r="N651" s="219"/>
      <c r="O651" s="229"/>
      <c r="P651" s="222"/>
      <c r="Q651" s="178"/>
      <c r="R651" s="219"/>
      <c r="S651" s="229"/>
      <c r="T651" s="222"/>
      <c r="U651" s="178"/>
      <c r="V651" s="219"/>
      <c r="W651" s="229"/>
      <c r="X651" s="222"/>
      <c r="Y651" s="178"/>
      <c r="Z651" s="219"/>
      <c r="AA651" s="229"/>
      <c r="AB651" s="222"/>
      <c r="AC651" s="178"/>
      <c r="AD651" s="219"/>
      <c r="AE651" s="229"/>
      <c r="AF651" s="222"/>
      <c r="AG651" s="178"/>
      <c r="AH651" s="219"/>
      <c r="AI651" s="229"/>
      <c r="AJ651" s="222"/>
      <c r="AK651" s="178"/>
      <c r="AL651" s="219"/>
      <c r="AM651" s="229"/>
      <c r="AN651" s="222"/>
      <c r="AO651" s="178"/>
      <c r="AP651" s="219"/>
      <c r="AQ651" s="229"/>
      <c r="AR651" s="222"/>
      <c r="AS651" s="178"/>
      <c r="AT651" s="219"/>
      <c r="AU651" s="229"/>
      <c r="AV651" s="222"/>
      <c r="AW651" s="178"/>
      <c r="AX651" s="219"/>
      <c r="AY651" s="229"/>
      <c r="AZ651" s="222"/>
      <c r="BA651" s="178"/>
      <c r="BB651" s="219"/>
      <c r="BC651" s="229"/>
      <c r="BD651" s="222"/>
      <c r="BE651" s="178"/>
      <c r="BF651" s="219"/>
      <c r="BG651" s="229"/>
      <c r="BH651" s="222"/>
      <c r="BI651" s="178"/>
      <c r="BJ651" s="219"/>
      <c r="BK651" s="229"/>
      <c r="BL651" s="222"/>
      <c r="BM651" s="178"/>
      <c r="BN651" s="219"/>
      <c r="BO651" s="229"/>
      <c r="BP651" s="222"/>
      <c r="BQ651" s="178"/>
      <c r="BR651" s="219"/>
      <c r="BS651" s="229"/>
      <c r="BT651" s="222"/>
      <c r="BU651" s="178"/>
    </row>
    <row r="652" ht="12.75" customHeight="1" spans="1:73">
      <c r="A652" s="165"/>
      <c r="B652" s="166"/>
      <c r="C652" s="166"/>
      <c r="E652" s="130"/>
      <c r="F652" s="133" t="s">
        <v>859</v>
      </c>
      <c r="G652" s="161"/>
      <c r="H652" s="225"/>
      <c r="I652" s="198"/>
      <c r="J652" s="199" t="s">
        <v>859</v>
      </c>
      <c r="K652" s="200"/>
      <c r="L652" s="226"/>
      <c r="M652" s="178"/>
      <c r="N652" s="199" t="s">
        <v>859</v>
      </c>
      <c r="O652" s="200"/>
      <c r="P652" s="226"/>
      <c r="Q652" s="178"/>
      <c r="R652" s="199" t="s">
        <v>859</v>
      </c>
      <c r="S652" s="200"/>
      <c r="T652" s="226"/>
      <c r="U652" s="178"/>
      <c r="V652" s="199" t="s">
        <v>859</v>
      </c>
      <c r="W652" s="200"/>
      <c r="X652" s="226"/>
      <c r="Y652" s="178"/>
      <c r="Z652" s="199" t="s">
        <v>859</v>
      </c>
      <c r="AA652" s="200"/>
      <c r="AB652" s="226"/>
      <c r="AC652" s="178"/>
      <c r="AD652" s="199" t="s">
        <v>859</v>
      </c>
      <c r="AE652" s="200"/>
      <c r="AF652" s="226"/>
      <c r="AG652" s="178"/>
      <c r="AH652" s="199" t="s">
        <v>859</v>
      </c>
      <c r="AI652" s="200"/>
      <c r="AJ652" s="226"/>
      <c r="AK652" s="178"/>
      <c r="AL652" s="199" t="s">
        <v>859</v>
      </c>
      <c r="AM652" s="200"/>
      <c r="AN652" s="226"/>
      <c r="AO652" s="178"/>
      <c r="AP652" s="199" t="s">
        <v>859</v>
      </c>
      <c r="AQ652" s="200"/>
      <c r="AR652" s="226"/>
      <c r="AS652" s="178"/>
      <c r="AT652" s="199" t="s">
        <v>859</v>
      </c>
      <c r="AU652" s="200"/>
      <c r="AV652" s="226"/>
      <c r="AW652" s="178"/>
      <c r="AX652" s="199" t="s">
        <v>859</v>
      </c>
      <c r="AY652" s="200"/>
      <c r="AZ652" s="226"/>
      <c r="BA652" s="178"/>
      <c r="BB652" s="199" t="s">
        <v>859</v>
      </c>
      <c r="BC652" s="200"/>
      <c r="BD652" s="226"/>
      <c r="BE652" s="178"/>
      <c r="BF652" s="199" t="s">
        <v>859</v>
      </c>
      <c r="BG652" s="200"/>
      <c r="BH652" s="226"/>
      <c r="BI652" s="178"/>
      <c r="BJ652" s="199" t="s">
        <v>859</v>
      </c>
      <c r="BK652" s="200"/>
      <c r="BL652" s="226"/>
      <c r="BM652" s="178"/>
      <c r="BN652" s="199" t="s">
        <v>859</v>
      </c>
      <c r="BO652" s="200"/>
      <c r="BP652" s="226"/>
      <c r="BQ652" s="178"/>
      <c r="BR652" s="199" t="s">
        <v>859</v>
      </c>
      <c r="BS652" s="200"/>
      <c r="BT652" s="226"/>
      <c r="BU652" s="178"/>
    </row>
    <row r="653" ht="12.75" customHeight="1" spans="1:73">
      <c r="A653" s="136" t="s">
        <v>36</v>
      </c>
      <c r="B653" s="137" t="s">
        <v>37</v>
      </c>
      <c r="C653" s="137" t="s">
        <v>38</v>
      </c>
      <c r="E653" s="130"/>
      <c r="F653" s="138"/>
      <c r="G653" s="139" t="s">
        <v>39</v>
      </c>
      <c r="H653" s="140" t="s">
        <v>40</v>
      </c>
      <c r="I653" s="231"/>
      <c r="J653" s="138"/>
      <c r="K653" s="139" t="s">
        <v>39</v>
      </c>
      <c r="L653" s="203" t="s">
        <v>40</v>
      </c>
      <c r="M653" s="105"/>
      <c r="N653" s="138"/>
      <c r="O653" s="139" t="s">
        <v>39</v>
      </c>
      <c r="P653" s="203" t="s">
        <v>40</v>
      </c>
      <c r="R653" s="138"/>
      <c r="S653" s="139" t="s">
        <v>39</v>
      </c>
      <c r="T653" s="203" t="s">
        <v>40</v>
      </c>
      <c r="V653" s="138"/>
      <c r="W653" s="139" t="s">
        <v>39</v>
      </c>
      <c r="X653" s="203" t="s">
        <v>40</v>
      </c>
      <c r="Z653" s="138"/>
      <c r="AA653" s="139" t="s">
        <v>39</v>
      </c>
      <c r="AB653" s="203" t="s">
        <v>40</v>
      </c>
      <c r="AD653" s="138"/>
      <c r="AE653" s="139" t="s">
        <v>39</v>
      </c>
      <c r="AF653" s="203" t="s">
        <v>40</v>
      </c>
      <c r="AH653" s="138"/>
      <c r="AI653" s="139" t="s">
        <v>39</v>
      </c>
      <c r="AJ653" s="203" t="s">
        <v>40</v>
      </c>
      <c r="AL653" s="138"/>
      <c r="AM653" s="139" t="s">
        <v>39</v>
      </c>
      <c r="AN653" s="203" t="s">
        <v>40</v>
      </c>
      <c r="AP653" s="138"/>
      <c r="AQ653" s="139" t="s">
        <v>39</v>
      </c>
      <c r="AR653" s="203" t="s">
        <v>40</v>
      </c>
      <c r="AT653" s="138"/>
      <c r="AU653" s="139" t="s">
        <v>39</v>
      </c>
      <c r="AV653" s="203" t="s">
        <v>40</v>
      </c>
      <c r="AX653" s="138"/>
      <c r="AY653" s="139" t="s">
        <v>39</v>
      </c>
      <c r="AZ653" s="203" t="s">
        <v>40</v>
      </c>
      <c r="BB653" s="138"/>
      <c r="BC653" s="139" t="s">
        <v>39</v>
      </c>
      <c r="BD653" s="203" t="s">
        <v>40</v>
      </c>
      <c r="BF653" s="138"/>
      <c r="BG653" s="139" t="s">
        <v>39</v>
      </c>
      <c r="BH653" s="203" t="s">
        <v>40</v>
      </c>
      <c r="BJ653" s="138"/>
      <c r="BK653" s="139" t="s">
        <v>39</v>
      </c>
      <c r="BL653" s="203" t="s">
        <v>40</v>
      </c>
      <c r="BN653" s="138"/>
      <c r="BO653" s="139" t="s">
        <v>39</v>
      </c>
      <c r="BP653" s="203" t="s">
        <v>40</v>
      </c>
      <c r="BR653" s="138"/>
      <c r="BS653" s="139" t="s">
        <v>39</v>
      </c>
      <c r="BT653" s="203" t="s">
        <v>40</v>
      </c>
    </row>
    <row r="654" s="105" customFormat="1" spans="1:73">
      <c r="A654" s="221"/>
      <c r="B654" s="205" t="s">
        <v>63</v>
      </c>
      <c r="C654" s="142"/>
      <c r="D654" s="207"/>
      <c r="E654" s="132"/>
      <c r="F654" s="138"/>
      <c r="G654" s="143" t="s">
        <v>860</v>
      </c>
      <c r="H654" s="167"/>
      <c r="I654" s="178"/>
      <c r="J654" s="210"/>
      <c r="K654" s="211" t="s">
        <v>860</v>
      </c>
      <c r="L654" s="212" t="s">
        <v>46</v>
      </c>
      <c r="M654" s="178"/>
      <c r="N654" s="210"/>
      <c r="O654" s="211" t="s">
        <v>860</v>
      </c>
      <c r="P654" s="213" t="s">
        <v>63</v>
      </c>
      <c r="Q654" s="178"/>
      <c r="R654" s="210"/>
      <c r="S654" s="211" t="s">
        <v>860</v>
      </c>
      <c r="T654" s="213" t="s">
        <v>63</v>
      </c>
      <c r="U654" s="178"/>
      <c r="V654" s="210"/>
      <c r="W654" s="211" t="s">
        <v>860</v>
      </c>
      <c r="X654" s="212" t="s">
        <v>46</v>
      </c>
      <c r="Y654" s="178"/>
      <c r="Z654" s="210"/>
      <c r="AA654" s="211" t="s">
        <v>860</v>
      </c>
      <c r="AB654" s="213" t="s">
        <v>63</v>
      </c>
      <c r="AC654" s="178"/>
      <c r="AD654" s="210"/>
      <c r="AE654" s="211" t="s">
        <v>860</v>
      </c>
      <c r="AF654" s="212" t="s">
        <v>46</v>
      </c>
      <c r="AG654" s="178"/>
      <c r="AH654" s="210"/>
      <c r="AI654" s="211" t="s">
        <v>860</v>
      </c>
      <c r="AJ654" s="212" t="s">
        <v>46</v>
      </c>
      <c r="AK654" s="178"/>
      <c r="AL654" s="210"/>
      <c r="AM654" s="211" t="s">
        <v>860</v>
      </c>
      <c r="AN654" s="212" t="s">
        <v>46</v>
      </c>
      <c r="AO654" s="178"/>
      <c r="AP654" s="210"/>
      <c r="AQ654" s="211" t="s">
        <v>860</v>
      </c>
      <c r="AR654" s="213" t="s">
        <v>63</v>
      </c>
      <c r="AS654" s="178"/>
      <c r="AT654" s="210"/>
      <c r="AU654" s="211" t="s">
        <v>860</v>
      </c>
      <c r="AV654" s="213" t="s">
        <v>63</v>
      </c>
      <c r="AW654" s="178"/>
      <c r="AX654" s="210"/>
      <c r="AY654" s="211" t="s">
        <v>860</v>
      </c>
      <c r="AZ654" s="212" t="s">
        <v>46</v>
      </c>
      <c r="BA654" s="178"/>
      <c r="BB654" s="210"/>
      <c r="BC654" s="211" t="s">
        <v>860</v>
      </c>
      <c r="BD654" s="213" t="s">
        <v>63</v>
      </c>
      <c r="BE654" s="178"/>
      <c r="BF654" s="210"/>
      <c r="BG654" s="211" t="s">
        <v>860</v>
      </c>
      <c r="BH654" s="213" t="s">
        <v>63</v>
      </c>
      <c r="BI654" s="178"/>
      <c r="BJ654" s="210"/>
      <c r="BK654" s="211" t="s">
        <v>860</v>
      </c>
      <c r="BL654" s="212" t="s">
        <v>46</v>
      </c>
      <c r="BM654" s="178"/>
      <c r="BN654" s="210"/>
      <c r="BO654" s="211" t="s">
        <v>860</v>
      </c>
      <c r="BP654" s="213" t="s">
        <v>63</v>
      </c>
      <c r="BQ654" s="178"/>
      <c r="BR654" s="210"/>
      <c r="BS654" s="211" t="s">
        <v>860</v>
      </c>
      <c r="BT654" s="213" t="s">
        <v>63</v>
      </c>
      <c r="BU654" s="178"/>
    </row>
    <row r="655" s="105" customFormat="1" spans="1:73">
      <c r="A655" s="221"/>
      <c r="B655" s="205" t="s">
        <v>46</v>
      </c>
      <c r="C655" s="142"/>
      <c r="D655" s="207"/>
      <c r="E655" s="132"/>
      <c r="F655" s="138"/>
      <c r="G655" s="143" t="s">
        <v>861</v>
      </c>
      <c r="H655" s="167"/>
      <c r="I655" s="178"/>
      <c r="J655" s="210"/>
      <c r="K655" s="211" t="s">
        <v>861</v>
      </c>
      <c r="L655" s="213" t="s">
        <v>46</v>
      </c>
      <c r="M655" s="178"/>
      <c r="N655" s="210"/>
      <c r="O655" s="211" t="s">
        <v>861</v>
      </c>
      <c r="P655" s="212" t="s">
        <v>63</v>
      </c>
      <c r="Q655" s="178"/>
      <c r="R655" s="210"/>
      <c r="S655" s="211" t="s">
        <v>861</v>
      </c>
      <c r="T655" s="213" t="s">
        <v>46</v>
      </c>
      <c r="U655" s="178"/>
      <c r="V655" s="210"/>
      <c r="W655" s="211" t="s">
        <v>861</v>
      </c>
      <c r="X655" s="213" t="s">
        <v>46</v>
      </c>
      <c r="Y655" s="178"/>
      <c r="Z655" s="210"/>
      <c r="AA655" s="211" t="s">
        <v>861</v>
      </c>
      <c r="AB655" s="212" t="s">
        <v>63</v>
      </c>
      <c r="AC655" s="178"/>
      <c r="AD655" s="210"/>
      <c r="AE655" s="211" t="s">
        <v>861</v>
      </c>
      <c r="AF655" s="213" t="s">
        <v>46</v>
      </c>
      <c r="AG655" s="178"/>
      <c r="AH655" s="210"/>
      <c r="AI655" s="211" t="s">
        <v>861</v>
      </c>
      <c r="AJ655" s="213" t="s">
        <v>46</v>
      </c>
      <c r="AK655" s="178"/>
      <c r="AL655" s="210"/>
      <c r="AM655" s="211" t="s">
        <v>861</v>
      </c>
      <c r="AN655" s="213" t="s">
        <v>46</v>
      </c>
      <c r="AO655" s="178"/>
      <c r="AP655" s="210"/>
      <c r="AQ655" s="211" t="s">
        <v>861</v>
      </c>
      <c r="AR655" s="212" t="s">
        <v>63</v>
      </c>
      <c r="AS655" s="178"/>
      <c r="AT655" s="210"/>
      <c r="AU655" s="211" t="s">
        <v>861</v>
      </c>
      <c r="AV655" s="213" t="s">
        <v>46</v>
      </c>
      <c r="AW655" s="178"/>
      <c r="AX655" s="210"/>
      <c r="AY655" s="211" t="s">
        <v>861</v>
      </c>
      <c r="AZ655" s="213" t="s">
        <v>46</v>
      </c>
      <c r="BA655" s="178"/>
      <c r="BB655" s="210"/>
      <c r="BC655" s="211" t="s">
        <v>861</v>
      </c>
      <c r="BD655" s="212" t="s">
        <v>63</v>
      </c>
      <c r="BE655" s="178"/>
      <c r="BF655" s="210"/>
      <c r="BG655" s="211" t="s">
        <v>861</v>
      </c>
      <c r="BH655" s="212" t="s">
        <v>63</v>
      </c>
      <c r="BI655" s="178"/>
      <c r="BJ655" s="210"/>
      <c r="BK655" s="211" t="s">
        <v>861</v>
      </c>
      <c r="BL655" s="213" t="s">
        <v>46</v>
      </c>
      <c r="BM655" s="178"/>
      <c r="BN655" s="210"/>
      <c r="BO655" s="211" t="s">
        <v>861</v>
      </c>
      <c r="BP655" s="212" t="s">
        <v>63</v>
      </c>
      <c r="BQ655" s="178"/>
      <c r="BR655" s="210"/>
      <c r="BS655" s="211" t="s">
        <v>861</v>
      </c>
      <c r="BT655" s="212" t="s">
        <v>63</v>
      </c>
      <c r="BU655" s="178"/>
    </row>
    <row r="656" s="105" customFormat="1" spans="1:73">
      <c r="A656" s="221"/>
      <c r="B656" s="205" t="s">
        <v>46</v>
      </c>
      <c r="C656" s="142"/>
      <c r="D656" s="207"/>
      <c r="E656" s="132"/>
      <c r="F656" s="138"/>
      <c r="G656" s="143" t="s">
        <v>862</v>
      </c>
      <c r="H656" s="167"/>
      <c r="I656" s="178"/>
      <c r="J656" s="210"/>
      <c r="K656" s="211" t="s">
        <v>862</v>
      </c>
      <c r="L656" s="213" t="s">
        <v>46</v>
      </c>
      <c r="M656" s="178"/>
      <c r="N656" s="210"/>
      <c r="O656" s="211" t="s">
        <v>862</v>
      </c>
      <c r="P656" s="212" t="s">
        <v>63</v>
      </c>
      <c r="Q656" s="178"/>
      <c r="R656" s="210"/>
      <c r="S656" s="211" t="s">
        <v>862</v>
      </c>
      <c r="T656" s="213" t="s">
        <v>46</v>
      </c>
      <c r="U656" s="178"/>
      <c r="V656" s="210"/>
      <c r="W656" s="211" t="s">
        <v>862</v>
      </c>
      <c r="X656" s="213" t="s">
        <v>46</v>
      </c>
      <c r="Y656" s="178"/>
      <c r="Z656" s="210"/>
      <c r="AA656" s="211" t="s">
        <v>862</v>
      </c>
      <c r="AB656" s="212" t="s">
        <v>63</v>
      </c>
      <c r="AC656" s="178"/>
      <c r="AD656" s="210"/>
      <c r="AE656" s="211" t="s">
        <v>862</v>
      </c>
      <c r="AF656" s="213" t="s">
        <v>46</v>
      </c>
      <c r="AG656" s="178"/>
      <c r="AH656" s="210"/>
      <c r="AI656" s="211" t="s">
        <v>862</v>
      </c>
      <c r="AJ656" s="213" t="s">
        <v>46</v>
      </c>
      <c r="AK656" s="178"/>
      <c r="AL656" s="210"/>
      <c r="AM656" s="211" t="s">
        <v>862</v>
      </c>
      <c r="AN656" s="213" t="s">
        <v>46</v>
      </c>
      <c r="AO656" s="178"/>
      <c r="AP656" s="210"/>
      <c r="AQ656" s="211" t="s">
        <v>862</v>
      </c>
      <c r="AR656" s="212" t="s">
        <v>63</v>
      </c>
      <c r="AS656" s="178"/>
      <c r="AT656" s="210"/>
      <c r="AU656" s="211" t="s">
        <v>862</v>
      </c>
      <c r="AV656" s="213" t="s">
        <v>46</v>
      </c>
      <c r="AW656" s="178"/>
      <c r="AX656" s="210"/>
      <c r="AY656" s="211" t="s">
        <v>862</v>
      </c>
      <c r="AZ656" s="213" t="s">
        <v>46</v>
      </c>
      <c r="BA656" s="178"/>
      <c r="BB656" s="210"/>
      <c r="BC656" s="211" t="s">
        <v>862</v>
      </c>
      <c r="BD656" s="212" t="s">
        <v>63</v>
      </c>
      <c r="BE656" s="178"/>
      <c r="BF656" s="210"/>
      <c r="BG656" s="211" t="s">
        <v>862</v>
      </c>
      <c r="BH656" s="212" t="s">
        <v>63</v>
      </c>
      <c r="BI656" s="178"/>
      <c r="BJ656" s="210"/>
      <c r="BK656" s="211" t="s">
        <v>862</v>
      </c>
      <c r="BL656" s="213" t="s">
        <v>46</v>
      </c>
      <c r="BM656" s="178"/>
      <c r="BN656" s="210"/>
      <c r="BO656" s="211" t="s">
        <v>862</v>
      </c>
      <c r="BP656" s="212" t="s">
        <v>63</v>
      </c>
      <c r="BQ656" s="178"/>
      <c r="BR656" s="210"/>
      <c r="BS656" s="211" t="s">
        <v>862</v>
      </c>
      <c r="BT656" s="212" t="s">
        <v>63</v>
      </c>
      <c r="BU656" s="178"/>
    </row>
    <row r="657" s="105" customFormat="1" spans="1:73">
      <c r="A657" s="221"/>
      <c r="B657" s="205" t="s">
        <v>46</v>
      </c>
      <c r="C657" s="142"/>
      <c r="D657" s="207"/>
      <c r="E657" s="132"/>
      <c r="F657" s="138"/>
      <c r="G657" s="143" t="s">
        <v>863</v>
      </c>
      <c r="H657" s="167"/>
      <c r="I657" s="178"/>
      <c r="J657" s="210"/>
      <c r="K657" s="211" t="s">
        <v>863</v>
      </c>
      <c r="L657" s="213" t="s">
        <v>46</v>
      </c>
      <c r="M657" s="178"/>
      <c r="N657" s="210"/>
      <c r="O657" s="211" t="s">
        <v>863</v>
      </c>
      <c r="P657" s="212" t="s">
        <v>63</v>
      </c>
      <c r="Q657" s="178"/>
      <c r="R657" s="210"/>
      <c r="S657" s="211" t="s">
        <v>863</v>
      </c>
      <c r="T657" s="213" t="s">
        <v>46</v>
      </c>
      <c r="U657" s="178"/>
      <c r="V657" s="210"/>
      <c r="W657" s="211" t="s">
        <v>863</v>
      </c>
      <c r="X657" s="213" t="s">
        <v>46</v>
      </c>
      <c r="Y657" s="178"/>
      <c r="Z657" s="210"/>
      <c r="AA657" s="211" t="s">
        <v>863</v>
      </c>
      <c r="AB657" s="212" t="s">
        <v>63</v>
      </c>
      <c r="AC657" s="178"/>
      <c r="AD657" s="210"/>
      <c r="AE657" s="211" t="s">
        <v>863</v>
      </c>
      <c r="AF657" s="213" t="s">
        <v>46</v>
      </c>
      <c r="AG657" s="178"/>
      <c r="AH657" s="210"/>
      <c r="AI657" s="211" t="s">
        <v>863</v>
      </c>
      <c r="AJ657" s="213" t="s">
        <v>46</v>
      </c>
      <c r="AK657" s="178"/>
      <c r="AL657" s="210"/>
      <c r="AM657" s="211" t="s">
        <v>863</v>
      </c>
      <c r="AN657" s="213" t="s">
        <v>46</v>
      </c>
      <c r="AO657" s="178"/>
      <c r="AP657" s="210"/>
      <c r="AQ657" s="211" t="s">
        <v>863</v>
      </c>
      <c r="AR657" s="212" t="s">
        <v>63</v>
      </c>
      <c r="AS657" s="178"/>
      <c r="AT657" s="210"/>
      <c r="AU657" s="211" t="s">
        <v>863</v>
      </c>
      <c r="AV657" s="213" t="s">
        <v>46</v>
      </c>
      <c r="AW657" s="178"/>
      <c r="AX657" s="210"/>
      <c r="AY657" s="211" t="s">
        <v>863</v>
      </c>
      <c r="AZ657" s="213" t="s">
        <v>46</v>
      </c>
      <c r="BA657" s="178"/>
      <c r="BB657" s="210"/>
      <c r="BC657" s="211" t="s">
        <v>863</v>
      </c>
      <c r="BD657" s="212" t="s">
        <v>63</v>
      </c>
      <c r="BE657" s="178"/>
      <c r="BF657" s="210"/>
      <c r="BG657" s="211" t="s">
        <v>863</v>
      </c>
      <c r="BH657" s="212" t="s">
        <v>63</v>
      </c>
      <c r="BI657" s="178"/>
      <c r="BJ657" s="210"/>
      <c r="BK657" s="211" t="s">
        <v>863</v>
      </c>
      <c r="BL657" s="213" t="s">
        <v>46</v>
      </c>
      <c r="BM657" s="178"/>
      <c r="BN657" s="210"/>
      <c r="BO657" s="211" t="s">
        <v>863</v>
      </c>
      <c r="BP657" s="212" t="s">
        <v>63</v>
      </c>
      <c r="BQ657" s="178"/>
      <c r="BR657" s="210"/>
      <c r="BS657" s="211" t="s">
        <v>863</v>
      </c>
      <c r="BT657" s="212" t="s">
        <v>63</v>
      </c>
      <c r="BU657" s="178"/>
    </row>
    <row r="658" s="105" customFormat="1" spans="1:73">
      <c r="A658" s="221"/>
      <c r="B658" s="205" t="s">
        <v>46</v>
      </c>
      <c r="C658" s="142"/>
      <c r="D658" s="207"/>
      <c r="E658" s="132"/>
      <c r="F658" s="138"/>
      <c r="G658" s="143" t="s">
        <v>864</v>
      </c>
      <c r="H658" s="167"/>
      <c r="I658" s="178"/>
      <c r="J658" s="210"/>
      <c r="K658" s="211" t="s">
        <v>864</v>
      </c>
      <c r="L658" s="212" t="s">
        <v>243</v>
      </c>
      <c r="M658" s="178"/>
      <c r="N658" s="210"/>
      <c r="O658" s="211" t="s">
        <v>864</v>
      </c>
      <c r="P658" s="212" t="s">
        <v>63</v>
      </c>
      <c r="Q658" s="178"/>
      <c r="R658" s="210"/>
      <c r="S658" s="211" t="s">
        <v>864</v>
      </c>
      <c r="T658" s="212" t="s">
        <v>243</v>
      </c>
      <c r="U658" s="178"/>
      <c r="V658" s="210"/>
      <c r="W658" s="211" t="s">
        <v>864</v>
      </c>
      <c r="X658" s="212" t="s">
        <v>243</v>
      </c>
      <c r="Y658" s="178"/>
      <c r="Z658" s="210"/>
      <c r="AA658" s="211" t="s">
        <v>864</v>
      </c>
      <c r="AB658" s="212" t="s">
        <v>63</v>
      </c>
      <c r="AC658" s="178"/>
      <c r="AD658" s="210"/>
      <c r="AE658" s="211" t="s">
        <v>864</v>
      </c>
      <c r="AF658" s="212" t="s">
        <v>243</v>
      </c>
      <c r="AG658" s="178"/>
      <c r="AH658" s="210"/>
      <c r="AI658" s="211" t="s">
        <v>864</v>
      </c>
      <c r="AJ658" s="212" t="s">
        <v>243</v>
      </c>
      <c r="AK658" s="178"/>
      <c r="AL658" s="210"/>
      <c r="AM658" s="211" t="s">
        <v>864</v>
      </c>
      <c r="AN658" s="212" t="s">
        <v>243</v>
      </c>
      <c r="AO658" s="178"/>
      <c r="AP658" s="210"/>
      <c r="AQ658" s="211" t="s">
        <v>864</v>
      </c>
      <c r="AR658" s="212" t="s">
        <v>63</v>
      </c>
      <c r="AS658" s="178"/>
      <c r="AT658" s="210"/>
      <c r="AU658" s="211" t="s">
        <v>864</v>
      </c>
      <c r="AV658" s="212" t="s">
        <v>243</v>
      </c>
      <c r="AW658" s="178"/>
      <c r="AX658" s="210"/>
      <c r="AY658" s="211" t="s">
        <v>864</v>
      </c>
      <c r="AZ658" s="212" t="s">
        <v>243</v>
      </c>
      <c r="BA658" s="178"/>
      <c r="BB658" s="210"/>
      <c r="BC658" s="211" t="s">
        <v>864</v>
      </c>
      <c r="BD658" s="212" t="s">
        <v>63</v>
      </c>
      <c r="BE658" s="178"/>
      <c r="BF658" s="210"/>
      <c r="BG658" s="211" t="s">
        <v>864</v>
      </c>
      <c r="BH658" s="212" t="s">
        <v>63</v>
      </c>
      <c r="BI658" s="178"/>
      <c r="BJ658" s="210"/>
      <c r="BK658" s="211" t="s">
        <v>864</v>
      </c>
      <c r="BL658" s="212" t="s">
        <v>243</v>
      </c>
      <c r="BM658" s="178"/>
      <c r="BN658" s="210"/>
      <c r="BO658" s="211" t="s">
        <v>864</v>
      </c>
      <c r="BP658" s="212" t="s">
        <v>63</v>
      </c>
      <c r="BQ658" s="178"/>
      <c r="BR658" s="210"/>
      <c r="BS658" s="211" t="s">
        <v>864</v>
      </c>
      <c r="BT658" s="212" t="s">
        <v>63</v>
      </c>
      <c r="BU658" s="178"/>
    </row>
    <row r="659" s="105" customFormat="1" spans="1:73">
      <c r="A659" s="221"/>
      <c r="B659" s="205" t="s">
        <v>46</v>
      </c>
      <c r="C659" s="142"/>
      <c r="D659" s="207"/>
      <c r="E659" s="132"/>
      <c r="F659" s="138"/>
      <c r="G659" s="143" t="s">
        <v>865</v>
      </c>
      <c r="H659" s="167"/>
      <c r="I659" s="178"/>
      <c r="J659" s="210"/>
      <c r="K659" s="211" t="s">
        <v>865</v>
      </c>
      <c r="L659" s="212" t="s">
        <v>268</v>
      </c>
      <c r="M659" s="178"/>
      <c r="N659" s="210"/>
      <c r="O659" s="211" t="s">
        <v>865</v>
      </c>
      <c r="P659" s="212" t="s">
        <v>268</v>
      </c>
      <c r="Q659" s="178"/>
      <c r="R659" s="210"/>
      <c r="S659" s="211" t="s">
        <v>865</v>
      </c>
      <c r="T659" s="212" t="s">
        <v>268</v>
      </c>
      <c r="U659" s="178"/>
      <c r="V659" s="210"/>
      <c r="W659" s="211" t="s">
        <v>865</v>
      </c>
      <c r="X659" s="212" t="s">
        <v>268</v>
      </c>
      <c r="Y659" s="178"/>
      <c r="Z659" s="210"/>
      <c r="AA659" s="211" t="s">
        <v>865</v>
      </c>
      <c r="AB659" s="212" t="s">
        <v>268</v>
      </c>
      <c r="AC659" s="178"/>
      <c r="AD659" s="210"/>
      <c r="AE659" s="211" t="s">
        <v>865</v>
      </c>
      <c r="AF659" s="212" t="s">
        <v>268</v>
      </c>
      <c r="AG659" s="178"/>
      <c r="AH659" s="210"/>
      <c r="AI659" s="211" t="s">
        <v>865</v>
      </c>
      <c r="AJ659" s="212" t="s">
        <v>268</v>
      </c>
      <c r="AK659" s="178"/>
      <c r="AL659" s="210"/>
      <c r="AM659" s="211" t="s">
        <v>865</v>
      </c>
      <c r="AN659" s="212" t="s">
        <v>268</v>
      </c>
      <c r="AO659" s="178"/>
      <c r="AP659" s="210"/>
      <c r="AQ659" s="211" t="s">
        <v>865</v>
      </c>
      <c r="AR659" s="212" t="s">
        <v>268</v>
      </c>
      <c r="AS659" s="178"/>
      <c r="AT659" s="210"/>
      <c r="AU659" s="211" t="s">
        <v>865</v>
      </c>
      <c r="AV659" s="212" t="s">
        <v>268</v>
      </c>
      <c r="AW659" s="178"/>
      <c r="AX659" s="210"/>
      <c r="AY659" s="211" t="s">
        <v>865</v>
      </c>
      <c r="AZ659" s="212" t="s">
        <v>268</v>
      </c>
      <c r="BA659" s="178"/>
      <c r="BB659" s="210"/>
      <c r="BC659" s="211" t="s">
        <v>865</v>
      </c>
      <c r="BD659" s="212" t="s">
        <v>268</v>
      </c>
      <c r="BE659" s="178"/>
      <c r="BF659" s="210"/>
      <c r="BG659" s="211" t="s">
        <v>865</v>
      </c>
      <c r="BH659" s="212" t="s">
        <v>268</v>
      </c>
      <c r="BI659" s="178"/>
      <c r="BJ659" s="210"/>
      <c r="BK659" s="211" t="s">
        <v>865</v>
      </c>
      <c r="BL659" s="212" t="s">
        <v>268</v>
      </c>
      <c r="BM659" s="178"/>
      <c r="BN659" s="210"/>
      <c r="BO659" s="211" t="s">
        <v>865</v>
      </c>
      <c r="BP659" s="212" t="s">
        <v>268</v>
      </c>
      <c r="BQ659" s="178"/>
      <c r="BR659" s="210"/>
      <c r="BS659" s="211" t="s">
        <v>865</v>
      </c>
      <c r="BT659" s="212" t="s">
        <v>268</v>
      </c>
      <c r="BU659" s="178"/>
    </row>
    <row r="660" s="105" customFormat="1" spans="1:73">
      <c r="A660" s="221"/>
      <c r="B660" s="205" t="s">
        <v>46</v>
      </c>
      <c r="C660" s="142"/>
      <c r="D660" s="207"/>
      <c r="E660" s="132"/>
      <c r="F660" s="138"/>
      <c r="G660" s="143" t="s">
        <v>866</v>
      </c>
      <c r="H660" s="167"/>
      <c r="I660" s="178"/>
      <c r="J660" s="210"/>
      <c r="K660" s="211" t="s">
        <v>866</v>
      </c>
      <c r="L660" s="212" t="s">
        <v>268</v>
      </c>
      <c r="M660" s="178"/>
      <c r="N660" s="210"/>
      <c r="O660" s="211" t="s">
        <v>866</v>
      </c>
      <c r="P660" s="212" t="s">
        <v>268</v>
      </c>
      <c r="Q660" s="178"/>
      <c r="R660" s="210"/>
      <c r="S660" s="211" t="s">
        <v>866</v>
      </c>
      <c r="T660" s="212" t="s">
        <v>268</v>
      </c>
      <c r="U660" s="178"/>
      <c r="V660" s="210"/>
      <c r="W660" s="211" t="s">
        <v>866</v>
      </c>
      <c r="X660" s="212" t="s">
        <v>268</v>
      </c>
      <c r="Y660" s="178"/>
      <c r="Z660" s="210"/>
      <c r="AA660" s="211" t="s">
        <v>866</v>
      </c>
      <c r="AB660" s="212" t="s">
        <v>268</v>
      </c>
      <c r="AC660" s="178"/>
      <c r="AD660" s="210"/>
      <c r="AE660" s="211" t="s">
        <v>866</v>
      </c>
      <c r="AF660" s="212" t="s">
        <v>268</v>
      </c>
      <c r="AG660" s="178"/>
      <c r="AH660" s="210"/>
      <c r="AI660" s="211" t="s">
        <v>866</v>
      </c>
      <c r="AJ660" s="212" t="s">
        <v>268</v>
      </c>
      <c r="AK660" s="178"/>
      <c r="AL660" s="210"/>
      <c r="AM660" s="211" t="s">
        <v>866</v>
      </c>
      <c r="AN660" s="212" t="s">
        <v>268</v>
      </c>
      <c r="AO660" s="178"/>
      <c r="AP660" s="210"/>
      <c r="AQ660" s="211" t="s">
        <v>866</v>
      </c>
      <c r="AR660" s="212" t="s">
        <v>268</v>
      </c>
      <c r="AS660" s="178"/>
      <c r="AT660" s="210"/>
      <c r="AU660" s="211" t="s">
        <v>866</v>
      </c>
      <c r="AV660" s="212" t="s">
        <v>268</v>
      </c>
      <c r="AW660" s="178"/>
      <c r="AX660" s="210"/>
      <c r="AY660" s="211" t="s">
        <v>866</v>
      </c>
      <c r="AZ660" s="212" t="s">
        <v>268</v>
      </c>
      <c r="BA660" s="178"/>
      <c r="BB660" s="210"/>
      <c r="BC660" s="211" t="s">
        <v>866</v>
      </c>
      <c r="BD660" s="212" t="s">
        <v>268</v>
      </c>
      <c r="BE660" s="178"/>
      <c r="BF660" s="210"/>
      <c r="BG660" s="211" t="s">
        <v>866</v>
      </c>
      <c r="BH660" s="212" t="s">
        <v>268</v>
      </c>
      <c r="BI660" s="178"/>
      <c r="BJ660" s="210"/>
      <c r="BK660" s="211" t="s">
        <v>866</v>
      </c>
      <c r="BL660" s="212" t="s">
        <v>268</v>
      </c>
      <c r="BM660" s="178"/>
      <c r="BN660" s="210"/>
      <c r="BO660" s="211" t="s">
        <v>866</v>
      </c>
      <c r="BP660" s="212" t="s">
        <v>268</v>
      </c>
      <c r="BQ660" s="178"/>
      <c r="BR660" s="210"/>
      <c r="BS660" s="211" t="s">
        <v>866</v>
      </c>
      <c r="BT660" s="212" t="s">
        <v>268</v>
      </c>
      <c r="BU660" s="178"/>
    </row>
    <row r="661" s="105" customFormat="1" spans="1:73">
      <c r="A661" s="221"/>
      <c r="B661" s="205" t="s">
        <v>46</v>
      </c>
      <c r="C661" s="142"/>
      <c r="D661" s="207"/>
      <c r="E661" s="132"/>
      <c r="F661" s="138"/>
      <c r="G661" s="143" t="s">
        <v>867</v>
      </c>
      <c r="H661" s="167"/>
      <c r="I661" s="178"/>
      <c r="J661" s="210"/>
      <c r="K661" s="211" t="s">
        <v>867</v>
      </c>
      <c r="L661" s="212" t="s">
        <v>868</v>
      </c>
      <c r="M661" s="178"/>
      <c r="N661" s="210"/>
      <c r="O661" s="211" t="s">
        <v>867</v>
      </c>
      <c r="P661" s="212" t="s">
        <v>868</v>
      </c>
      <c r="Q661" s="178"/>
      <c r="R661" s="210"/>
      <c r="S661" s="211" t="s">
        <v>867</v>
      </c>
      <c r="T661" s="212" t="s">
        <v>868</v>
      </c>
      <c r="U661" s="178"/>
      <c r="V661" s="210"/>
      <c r="W661" s="211" t="s">
        <v>867</v>
      </c>
      <c r="X661" s="212" t="s">
        <v>868</v>
      </c>
      <c r="Y661" s="178"/>
      <c r="Z661" s="210"/>
      <c r="AA661" s="211" t="s">
        <v>867</v>
      </c>
      <c r="AB661" s="212" t="s">
        <v>868</v>
      </c>
      <c r="AC661" s="178"/>
      <c r="AD661" s="210"/>
      <c r="AE661" s="211" t="s">
        <v>867</v>
      </c>
      <c r="AF661" s="212" t="s">
        <v>868</v>
      </c>
      <c r="AG661" s="178"/>
      <c r="AH661" s="210"/>
      <c r="AI661" s="211" t="s">
        <v>867</v>
      </c>
      <c r="AJ661" s="212" t="s">
        <v>868</v>
      </c>
      <c r="AK661" s="178"/>
      <c r="AL661" s="210"/>
      <c r="AM661" s="211" t="s">
        <v>867</v>
      </c>
      <c r="AN661" s="212" t="s">
        <v>868</v>
      </c>
      <c r="AO661" s="178"/>
      <c r="AP661" s="210"/>
      <c r="AQ661" s="211" t="s">
        <v>867</v>
      </c>
      <c r="AR661" s="212" t="s">
        <v>868</v>
      </c>
      <c r="AS661" s="178"/>
      <c r="AT661" s="210"/>
      <c r="AU661" s="211" t="s">
        <v>867</v>
      </c>
      <c r="AV661" s="212" t="s">
        <v>868</v>
      </c>
      <c r="AW661" s="178"/>
      <c r="AX661" s="210"/>
      <c r="AY661" s="211" t="s">
        <v>867</v>
      </c>
      <c r="AZ661" s="212" t="s">
        <v>868</v>
      </c>
      <c r="BA661" s="178"/>
      <c r="BB661" s="210"/>
      <c r="BC661" s="211" t="s">
        <v>867</v>
      </c>
      <c r="BD661" s="212" t="s">
        <v>868</v>
      </c>
      <c r="BE661" s="178"/>
      <c r="BF661" s="210"/>
      <c r="BG661" s="211" t="s">
        <v>867</v>
      </c>
      <c r="BH661" s="212" t="s">
        <v>868</v>
      </c>
      <c r="BI661" s="178"/>
      <c r="BJ661" s="210"/>
      <c r="BK661" s="211" t="s">
        <v>867</v>
      </c>
      <c r="BL661" s="212" t="s">
        <v>868</v>
      </c>
      <c r="BM661" s="178"/>
      <c r="BN661" s="210"/>
      <c r="BO661" s="211" t="s">
        <v>867</v>
      </c>
      <c r="BP661" s="212" t="s">
        <v>868</v>
      </c>
      <c r="BQ661" s="178"/>
      <c r="BR661" s="210"/>
      <c r="BS661" s="211" t="s">
        <v>867</v>
      </c>
      <c r="BT661" s="212" t="s">
        <v>868</v>
      </c>
      <c r="BU661" s="178"/>
    </row>
    <row r="662" s="105" customFormat="1" spans="1:73">
      <c r="A662" s="221"/>
      <c r="B662" s="205" t="s">
        <v>46</v>
      </c>
      <c r="C662" s="142"/>
      <c r="D662" s="207"/>
      <c r="E662" s="132"/>
      <c r="F662" s="138"/>
      <c r="G662" s="143" t="s">
        <v>869</v>
      </c>
      <c r="H662" s="167"/>
      <c r="I662" s="178"/>
      <c r="J662" s="210"/>
      <c r="K662" s="211" t="s">
        <v>869</v>
      </c>
      <c r="L662" s="212" t="s">
        <v>551</v>
      </c>
      <c r="M662" s="178"/>
      <c r="N662" s="210"/>
      <c r="O662" s="211" t="s">
        <v>869</v>
      </c>
      <c r="P662" s="212" t="s">
        <v>551</v>
      </c>
      <c r="Q662" s="178"/>
      <c r="R662" s="210"/>
      <c r="S662" s="211" t="s">
        <v>869</v>
      </c>
      <c r="T662" s="212" t="s">
        <v>551</v>
      </c>
      <c r="U662" s="178"/>
      <c r="V662" s="210"/>
      <c r="W662" s="211" t="s">
        <v>869</v>
      </c>
      <c r="X662" s="212" t="s">
        <v>551</v>
      </c>
      <c r="Y662" s="178"/>
      <c r="Z662" s="210"/>
      <c r="AA662" s="211" t="s">
        <v>869</v>
      </c>
      <c r="AB662" s="212" t="s">
        <v>551</v>
      </c>
      <c r="AC662" s="178"/>
      <c r="AD662" s="210"/>
      <c r="AE662" s="211" t="s">
        <v>869</v>
      </c>
      <c r="AF662" s="212" t="s">
        <v>551</v>
      </c>
      <c r="AG662" s="178"/>
      <c r="AH662" s="210"/>
      <c r="AI662" s="211" t="s">
        <v>869</v>
      </c>
      <c r="AJ662" s="212" t="s">
        <v>551</v>
      </c>
      <c r="AK662" s="178"/>
      <c r="AL662" s="210"/>
      <c r="AM662" s="211" t="s">
        <v>869</v>
      </c>
      <c r="AN662" s="212" t="s">
        <v>551</v>
      </c>
      <c r="AO662" s="178"/>
      <c r="AP662" s="210"/>
      <c r="AQ662" s="211" t="s">
        <v>869</v>
      </c>
      <c r="AR662" s="212" t="s">
        <v>551</v>
      </c>
      <c r="AS662" s="178"/>
      <c r="AT662" s="210"/>
      <c r="AU662" s="211" t="s">
        <v>869</v>
      </c>
      <c r="AV662" s="212" t="s">
        <v>551</v>
      </c>
      <c r="AW662" s="178"/>
      <c r="AX662" s="210"/>
      <c r="AY662" s="211" t="s">
        <v>869</v>
      </c>
      <c r="AZ662" s="212" t="s">
        <v>551</v>
      </c>
      <c r="BA662" s="178"/>
      <c r="BB662" s="210"/>
      <c r="BC662" s="211" t="s">
        <v>869</v>
      </c>
      <c r="BD662" s="212" t="s">
        <v>551</v>
      </c>
      <c r="BE662" s="178"/>
      <c r="BF662" s="210"/>
      <c r="BG662" s="211" t="s">
        <v>869</v>
      </c>
      <c r="BH662" s="212" t="s">
        <v>551</v>
      </c>
      <c r="BI662" s="178"/>
      <c r="BJ662" s="210"/>
      <c r="BK662" s="211" t="s">
        <v>869</v>
      </c>
      <c r="BL662" s="212" t="s">
        <v>551</v>
      </c>
      <c r="BM662" s="178"/>
      <c r="BN662" s="210"/>
      <c r="BO662" s="211" t="s">
        <v>869</v>
      </c>
      <c r="BP662" s="212" t="s">
        <v>551</v>
      </c>
      <c r="BQ662" s="178"/>
      <c r="BR662" s="210"/>
      <c r="BS662" s="211" t="s">
        <v>869</v>
      </c>
      <c r="BT662" s="212" t="s">
        <v>551</v>
      </c>
      <c r="BU662" s="178"/>
    </row>
    <row r="663" s="105" customFormat="1" spans="1:73">
      <c r="A663" s="221"/>
      <c r="B663" s="205" t="s">
        <v>46</v>
      </c>
      <c r="C663" s="142"/>
      <c r="D663" s="207"/>
      <c r="E663" s="132"/>
      <c r="F663" s="138"/>
      <c r="G663" s="143" t="s">
        <v>870</v>
      </c>
      <c r="H663" s="167"/>
      <c r="I663" s="178"/>
      <c r="J663" s="210"/>
      <c r="K663" s="211" t="s">
        <v>870</v>
      </c>
      <c r="L663" s="212" t="s">
        <v>181</v>
      </c>
      <c r="M663" s="178"/>
      <c r="N663" s="210"/>
      <c r="O663" s="211" t="s">
        <v>870</v>
      </c>
      <c r="P663" s="212" t="s">
        <v>181</v>
      </c>
      <c r="Q663" s="178"/>
      <c r="R663" s="210"/>
      <c r="S663" s="211" t="s">
        <v>870</v>
      </c>
      <c r="T663" s="212" t="s">
        <v>181</v>
      </c>
      <c r="U663" s="178"/>
      <c r="V663" s="210"/>
      <c r="W663" s="211" t="s">
        <v>870</v>
      </c>
      <c r="X663" s="212" t="s">
        <v>181</v>
      </c>
      <c r="Y663" s="178"/>
      <c r="Z663" s="210"/>
      <c r="AA663" s="211" t="s">
        <v>870</v>
      </c>
      <c r="AB663" s="212" t="s">
        <v>181</v>
      </c>
      <c r="AC663" s="178"/>
      <c r="AD663" s="210"/>
      <c r="AE663" s="211" t="s">
        <v>870</v>
      </c>
      <c r="AF663" s="212" t="s">
        <v>181</v>
      </c>
      <c r="AG663" s="178"/>
      <c r="AH663" s="210"/>
      <c r="AI663" s="211" t="s">
        <v>870</v>
      </c>
      <c r="AJ663" s="212" t="s">
        <v>181</v>
      </c>
      <c r="AK663" s="178"/>
      <c r="AL663" s="210"/>
      <c r="AM663" s="211" t="s">
        <v>870</v>
      </c>
      <c r="AN663" s="212" t="s">
        <v>181</v>
      </c>
      <c r="AO663" s="178"/>
      <c r="AP663" s="210"/>
      <c r="AQ663" s="211" t="s">
        <v>870</v>
      </c>
      <c r="AR663" s="212" t="s">
        <v>181</v>
      </c>
      <c r="AS663" s="178"/>
      <c r="AT663" s="210"/>
      <c r="AU663" s="211" t="s">
        <v>870</v>
      </c>
      <c r="AV663" s="212" t="s">
        <v>181</v>
      </c>
      <c r="AW663" s="178"/>
      <c r="AX663" s="210"/>
      <c r="AY663" s="211" t="s">
        <v>870</v>
      </c>
      <c r="AZ663" s="212" t="s">
        <v>181</v>
      </c>
      <c r="BA663" s="178"/>
      <c r="BB663" s="210"/>
      <c r="BC663" s="211" t="s">
        <v>870</v>
      </c>
      <c r="BD663" s="212" t="s">
        <v>181</v>
      </c>
      <c r="BE663" s="178"/>
      <c r="BF663" s="210"/>
      <c r="BG663" s="211" t="s">
        <v>870</v>
      </c>
      <c r="BH663" s="212" t="s">
        <v>181</v>
      </c>
      <c r="BI663" s="178"/>
      <c r="BJ663" s="210"/>
      <c r="BK663" s="211" t="s">
        <v>870</v>
      </c>
      <c r="BL663" s="212" t="s">
        <v>181</v>
      </c>
      <c r="BM663" s="178"/>
      <c r="BN663" s="210"/>
      <c r="BO663" s="211" t="s">
        <v>870</v>
      </c>
      <c r="BP663" s="212" t="s">
        <v>181</v>
      </c>
      <c r="BQ663" s="178"/>
      <c r="BR663" s="210"/>
      <c r="BS663" s="211" t="s">
        <v>870</v>
      </c>
      <c r="BT663" s="212" t="s">
        <v>181</v>
      </c>
      <c r="BU663" s="178"/>
    </row>
    <row r="664" s="105" customFormat="1" spans="1:73">
      <c r="A664" s="221"/>
      <c r="B664" s="205" t="s">
        <v>46</v>
      </c>
      <c r="C664" s="142"/>
      <c r="D664" s="207"/>
      <c r="E664" s="132"/>
      <c r="F664" s="138"/>
      <c r="G664" s="143" t="s">
        <v>871</v>
      </c>
      <c r="H664" s="167"/>
      <c r="I664" s="178"/>
      <c r="J664" s="210"/>
      <c r="K664" s="211" t="s">
        <v>871</v>
      </c>
      <c r="L664" s="212" t="s">
        <v>142</v>
      </c>
      <c r="M664" s="178"/>
      <c r="N664" s="210"/>
      <c r="O664" s="211" t="s">
        <v>871</v>
      </c>
      <c r="P664" s="212" t="s">
        <v>142</v>
      </c>
      <c r="Q664" s="178"/>
      <c r="R664" s="210"/>
      <c r="S664" s="211" t="s">
        <v>871</v>
      </c>
      <c r="T664" s="212" t="s">
        <v>142</v>
      </c>
      <c r="U664" s="178"/>
      <c r="V664" s="210"/>
      <c r="W664" s="211" t="s">
        <v>871</v>
      </c>
      <c r="X664" s="212" t="s">
        <v>142</v>
      </c>
      <c r="Y664" s="178"/>
      <c r="Z664" s="210"/>
      <c r="AA664" s="211" t="s">
        <v>871</v>
      </c>
      <c r="AB664" s="212" t="s">
        <v>142</v>
      </c>
      <c r="AC664" s="178"/>
      <c r="AD664" s="210"/>
      <c r="AE664" s="211" t="s">
        <v>871</v>
      </c>
      <c r="AF664" s="212" t="s">
        <v>142</v>
      </c>
      <c r="AG664" s="178"/>
      <c r="AH664" s="210"/>
      <c r="AI664" s="211" t="s">
        <v>871</v>
      </c>
      <c r="AJ664" s="212" t="s">
        <v>142</v>
      </c>
      <c r="AK664" s="178"/>
      <c r="AL664" s="210"/>
      <c r="AM664" s="211" t="s">
        <v>871</v>
      </c>
      <c r="AN664" s="212" t="s">
        <v>142</v>
      </c>
      <c r="AO664" s="178"/>
      <c r="AP664" s="210"/>
      <c r="AQ664" s="211" t="s">
        <v>871</v>
      </c>
      <c r="AR664" s="212" t="s">
        <v>142</v>
      </c>
      <c r="AS664" s="178"/>
      <c r="AT664" s="210"/>
      <c r="AU664" s="211" t="s">
        <v>871</v>
      </c>
      <c r="AV664" s="212" t="s">
        <v>142</v>
      </c>
      <c r="AW664" s="178"/>
      <c r="AX664" s="210"/>
      <c r="AY664" s="211" t="s">
        <v>871</v>
      </c>
      <c r="AZ664" s="212" t="s">
        <v>142</v>
      </c>
      <c r="BA664" s="178"/>
      <c r="BB664" s="210"/>
      <c r="BC664" s="211" t="s">
        <v>871</v>
      </c>
      <c r="BD664" s="212" t="s">
        <v>142</v>
      </c>
      <c r="BE664" s="178"/>
      <c r="BF664" s="210"/>
      <c r="BG664" s="211" t="s">
        <v>871</v>
      </c>
      <c r="BH664" s="212" t="s">
        <v>142</v>
      </c>
      <c r="BI664" s="178"/>
      <c r="BJ664" s="210"/>
      <c r="BK664" s="211" t="s">
        <v>871</v>
      </c>
      <c r="BL664" s="212" t="s">
        <v>142</v>
      </c>
      <c r="BM664" s="178"/>
      <c r="BN664" s="210"/>
      <c r="BO664" s="211" t="s">
        <v>871</v>
      </c>
      <c r="BP664" s="212" t="s">
        <v>142</v>
      </c>
      <c r="BQ664" s="178"/>
      <c r="BR664" s="210"/>
      <c r="BS664" s="211" t="s">
        <v>871</v>
      </c>
      <c r="BT664" s="212" t="s">
        <v>142</v>
      </c>
      <c r="BU664" s="178"/>
    </row>
    <row r="665" s="105" customFormat="1" spans="1:73">
      <c r="A665" s="221"/>
      <c r="B665" s="205" t="s">
        <v>46</v>
      </c>
      <c r="C665" s="142"/>
      <c r="D665" s="207"/>
      <c r="E665" s="132"/>
      <c r="F665" s="138"/>
      <c r="G665" s="143" t="s">
        <v>872</v>
      </c>
      <c r="H665" s="167"/>
      <c r="I665" s="178"/>
      <c r="J665" s="210"/>
      <c r="K665" s="211" t="s">
        <v>872</v>
      </c>
      <c r="L665" s="212" t="s">
        <v>381</v>
      </c>
      <c r="M665" s="178"/>
      <c r="N665" s="210"/>
      <c r="O665" s="211" t="s">
        <v>872</v>
      </c>
      <c r="P665" s="212" t="s">
        <v>381</v>
      </c>
      <c r="Q665" s="178"/>
      <c r="R665" s="210"/>
      <c r="S665" s="211" t="s">
        <v>872</v>
      </c>
      <c r="T665" s="212" t="s">
        <v>381</v>
      </c>
      <c r="U665" s="178"/>
      <c r="V665" s="210"/>
      <c r="W665" s="211" t="s">
        <v>872</v>
      </c>
      <c r="X665" s="212" t="s">
        <v>381</v>
      </c>
      <c r="Y665" s="178"/>
      <c r="Z665" s="210"/>
      <c r="AA665" s="211" t="s">
        <v>872</v>
      </c>
      <c r="AB665" s="212" t="s">
        <v>381</v>
      </c>
      <c r="AC665" s="178"/>
      <c r="AD665" s="210"/>
      <c r="AE665" s="211" t="s">
        <v>872</v>
      </c>
      <c r="AF665" s="212" t="s">
        <v>381</v>
      </c>
      <c r="AG665" s="178"/>
      <c r="AH665" s="210"/>
      <c r="AI665" s="211" t="s">
        <v>872</v>
      </c>
      <c r="AJ665" s="212" t="s">
        <v>381</v>
      </c>
      <c r="AK665" s="178"/>
      <c r="AL665" s="210"/>
      <c r="AM665" s="211" t="s">
        <v>872</v>
      </c>
      <c r="AN665" s="212" t="s">
        <v>381</v>
      </c>
      <c r="AO665" s="178"/>
      <c r="AP665" s="210"/>
      <c r="AQ665" s="211" t="s">
        <v>872</v>
      </c>
      <c r="AR665" s="212" t="s">
        <v>381</v>
      </c>
      <c r="AS665" s="178"/>
      <c r="AT665" s="210"/>
      <c r="AU665" s="211" t="s">
        <v>872</v>
      </c>
      <c r="AV665" s="212" t="s">
        <v>381</v>
      </c>
      <c r="AW665" s="178"/>
      <c r="AX665" s="210"/>
      <c r="AY665" s="211" t="s">
        <v>872</v>
      </c>
      <c r="AZ665" s="212" t="s">
        <v>381</v>
      </c>
      <c r="BA665" s="178"/>
      <c r="BB665" s="210"/>
      <c r="BC665" s="211" t="s">
        <v>872</v>
      </c>
      <c r="BD665" s="212" t="s">
        <v>381</v>
      </c>
      <c r="BE665" s="178"/>
      <c r="BF665" s="210"/>
      <c r="BG665" s="211" t="s">
        <v>872</v>
      </c>
      <c r="BH665" s="212" t="s">
        <v>381</v>
      </c>
      <c r="BI665" s="178"/>
      <c r="BJ665" s="210"/>
      <c r="BK665" s="211" t="s">
        <v>872</v>
      </c>
      <c r="BL665" s="212" t="s">
        <v>381</v>
      </c>
      <c r="BM665" s="178"/>
      <c r="BN665" s="210"/>
      <c r="BO665" s="211" t="s">
        <v>872</v>
      </c>
      <c r="BP665" s="212" t="s">
        <v>381</v>
      </c>
      <c r="BQ665" s="178"/>
      <c r="BR665" s="210"/>
      <c r="BS665" s="211" t="s">
        <v>872</v>
      </c>
      <c r="BT665" s="212" t="s">
        <v>381</v>
      </c>
      <c r="BU665" s="178"/>
    </row>
    <row r="666" s="105" customFormat="1" spans="1:73">
      <c r="A666" s="221"/>
      <c r="B666" s="205" t="s">
        <v>46</v>
      </c>
      <c r="C666" s="142"/>
      <c r="D666" s="207"/>
      <c r="E666" s="132"/>
      <c r="F666" s="138"/>
      <c r="G666" s="143" t="s">
        <v>873</v>
      </c>
      <c r="H666" s="167"/>
      <c r="I666" s="178"/>
      <c r="J666" s="210"/>
      <c r="K666" s="211" t="s">
        <v>873</v>
      </c>
      <c r="L666" s="212" t="s">
        <v>268</v>
      </c>
      <c r="M666" s="178"/>
      <c r="N666" s="210"/>
      <c r="O666" s="211" t="s">
        <v>873</v>
      </c>
      <c r="P666" s="212" t="s">
        <v>268</v>
      </c>
      <c r="Q666" s="178"/>
      <c r="R666" s="210"/>
      <c r="S666" s="211" t="s">
        <v>873</v>
      </c>
      <c r="T666" s="212" t="s">
        <v>268</v>
      </c>
      <c r="U666" s="178"/>
      <c r="V666" s="210"/>
      <c r="W666" s="211" t="s">
        <v>873</v>
      </c>
      <c r="X666" s="212" t="s">
        <v>268</v>
      </c>
      <c r="Y666" s="178"/>
      <c r="Z666" s="210"/>
      <c r="AA666" s="211" t="s">
        <v>873</v>
      </c>
      <c r="AB666" s="212" t="s">
        <v>268</v>
      </c>
      <c r="AC666" s="178"/>
      <c r="AD666" s="210"/>
      <c r="AE666" s="211" t="s">
        <v>873</v>
      </c>
      <c r="AF666" s="212" t="s">
        <v>268</v>
      </c>
      <c r="AG666" s="178"/>
      <c r="AH666" s="210"/>
      <c r="AI666" s="211" t="s">
        <v>873</v>
      </c>
      <c r="AJ666" s="212" t="s">
        <v>268</v>
      </c>
      <c r="AK666" s="178"/>
      <c r="AL666" s="210"/>
      <c r="AM666" s="211" t="s">
        <v>873</v>
      </c>
      <c r="AN666" s="212" t="s">
        <v>268</v>
      </c>
      <c r="AO666" s="178"/>
      <c r="AP666" s="210"/>
      <c r="AQ666" s="211" t="s">
        <v>873</v>
      </c>
      <c r="AR666" s="212" t="s">
        <v>268</v>
      </c>
      <c r="AS666" s="178"/>
      <c r="AT666" s="210"/>
      <c r="AU666" s="211" t="s">
        <v>873</v>
      </c>
      <c r="AV666" s="212" t="s">
        <v>268</v>
      </c>
      <c r="AW666" s="178"/>
      <c r="AX666" s="210"/>
      <c r="AY666" s="211" t="s">
        <v>873</v>
      </c>
      <c r="AZ666" s="212" t="s">
        <v>268</v>
      </c>
      <c r="BA666" s="178"/>
      <c r="BB666" s="210"/>
      <c r="BC666" s="211" t="s">
        <v>873</v>
      </c>
      <c r="BD666" s="212" t="s">
        <v>268</v>
      </c>
      <c r="BE666" s="178"/>
      <c r="BF666" s="210"/>
      <c r="BG666" s="211" t="s">
        <v>873</v>
      </c>
      <c r="BH666" s="212" t="s">
        <v>268</v>
      </c>
      <c r="BI666" s="178"/>
      <c r="BJ666" s="210"/>
      <c r="BK666" s="211" t="s">
        <v>873</v>
      </c>
      <c r="BL666" s="212" t="s">
        <v>268</v>
      </c>
      <c r="BM666" s="178"/>
      <c r="BN666" s="210"/>
      <c r="BO666" s="211" t="s">
        <v>873</v>
      </c>
      <c r="BP666" s="212" t="s">
        <v>268</v>
      </c>
      <c r="BQ666" s="178"/>
      <c r="BR666" s="210"/>
      <c r="BS666" s="211" t="s">
        <v>873</v>
      </c>
      <c r="BT666" s="212" t="s">
        <v>268</v>
      </c>
      <c r="BU666" s="178"/>
    </row>
    <row r="667" s="105" customFormat="1" spans="1:73">
      <c r="A667" s="221"/>
      <c r="B667" s="205" t="s">
        <v>46</v>
      </c>
      <c r="C667" s="142"/>
      <c r="D667" s="207"/>
      <c r="E667" s="132"/>
      <c r="F667" s="138"/>
      <c r="G667" s="143" t="s">
        <v>874</v>
      </c>
      <c r="H667" s="167"/>
      <c r="I667" s="178"/>
      <c r="J667" s="210"/>
      <c r="K667" s="211" t="s">
        <v>874</v>
      </c>
      <c r="L667" s="212" t="s">
        <v>268</v>
      </c>
      <c r="M667" s="178"/>
      <c r="N667" s="210"/>
      <c r="O667" s="211" t="s">
        <v>874</v>
      </c>
      <c r="P667" s="212" t="s">
        <v>268</v>
      </c>
      <c r="Q667" s="178"/>
      <c r="R667" s="210"/>
      <c r="S667" s="211" t="s">
        <v>874</v>
      </c>
      <c r="T667" s="212" t="s">
        <v>268</v>
      </c>
      <c r="U667" s="178"/>
      <c r="V667" s="210"/>
      <c r="W667" s="211" t="s">
        <v>874</v>
      </c>
      <c r="X667" s="212" t="s">
        <v>268</v>
      </c>
      <c r="Y667" s="178"/>
      <c r="Z667" s="210"/>
      <c r="AA667" s="211" t="s">
        <v>874</v>
      </c>
      <c r="AB667" s="212" t="s">
        <v>268</v>
      </c>
      <c r="AC667" s="178"/>
      <c r="AD667" s="210"/>
      <c r="AE667" s="211" t="s">
        <v>874</v>
      </c>
      <c r="AF667" s="212" t="s">
        <v>268</v>
      </c>
      <c r="AG667" s="178"/>
      <c r="AH667" s="210"/>
      <c r="AI667" s="211" t="s">
        <v>874</v>
      </c>
      <c r="AJ667" s="212" t="s">
        <v>268</v>
      </c>
      <c r="AK667" s="178"/>
      <c r="AL667" s="210"/>
      <c r="AM667" s="211" t="s">
        <v>874</v>
      </c>
      <c r="AN667" s="212" t="s">
        <v>268</v>
      </c>
      <c r="AO667" s="178"/>
      <c r="AP667" s="210"/>
      <c r="AQ667" s="211" t="s">
        <v>874</v>
      </c>
      <c r="AR667" s="212" t="s">
        <v>268</v>
      </c>
      <c r="AS667" s="178"/>
      <c r="AT667" s="210"/>
      <c r="AU667" s="211" t="s">
        <v>874</v>
      </c>
      <c r="AV667" s="212" t="s">
        <v>268</v>
      </c>
      <c r="AW667" s="178"/>
      <c r="AX667" s="210"/>
      <c r="AY667" s="211" t="s">
        <v>874</v>
      </c>
      <c r="AZ667" s="212" t="s">
        <v>268</v>
      </c>
      <c r="BA667" s="178"/>
      <c r="BB667" s="210"/>
      <c r="BC667" s="211" t="s">
        <v>874</v>
      </c>
      <c r="BD667" s="212" t="s">
        <v>268</v>
      </c>
      <c r="BE667" s="178"/>
      <c r="BF667" s="210"/>
      <c r="BG667" s="211" t="s">
        <v>874</v>
      </c>
      <c r="BH667" s="212" t="s">
        <v>268</v>
      </c>
      <c r="BI667" s="178"/>
      <c r="BJ667" s="210"/>
      <c r="BK667" s="211" t="s">
        <v>874</v>
      </c>
      <c r="BL667" s="212" t="s">
        <v>268</v>
      </c>
      <c r="BM667" s="178"/>
      <c r="BN667" s="210"/>
      <c r="BO667" s="211" t="s">
        <v>874</v>
      </c>
      <c r="BP667" s="212" t="s">
        <v>268</v>
      </c>
      <c r="BQ667" s="178"/>
      <c r="BR667" s="210"/>
      <c r="BS667" s="211" t="s">
        <v>874</v>
      </c>
      <c r="BT667" s="212" t="s">
        <v>268</v>
      </c>
      <c r="BU667" s="178"/>
    </row>
    <row r="668" s="105" customFormat="1" spans="1:73">
      <c r="A668" s="221"/>
      <c r="B668" s="205" t="s">
        <v>46</v>
      </c>
      <c r="C668" s="142"/>
      <c r="D668" s="207"/>
      <c r="E668" s="132"/>
      <c r="F668" s="138"/>
      <c r="G668" s="143" t="s">
        <v>875</v>
      </c>
      <c r="H668" s="167"/>
      <c r="I668" s="178"/>
      <c r="J668" s="210"/>
      <c r="K668" s="211" t="s">
        <v>875</v>
      </c>
      <c r="L668" s="212" t="s">
        <v>868</v>
      </c>
      <c r="M668" s="178"/>
      <c r="N668" s="210"/>
      <c r="O668" s="211" t="s">
        <v>875</v>
      </c>
      <c r="P668" s="212" t="s">
        <v>868</v>
      </c>
      <c r="Q668" s="178"/>
      <c r="R668" s="210"/>
      <c r="S668" s="211" t="s">
        <v>875</v>
      </c>
      <c r="T668" s="212" t="s">
        <v>868</v>
      </c>
      <c r="U668" s="178"/>
      <c r="V668" s="210"/>
      <c r="W668" s="211" t="s">
        <v>875</v>
      </c>
      <c r="X668" s="212" t="s">
        <v>868</v>
      </c>
      <c r="Y668" s="178"/>
      <c r="Z668" s="210"/>
      <c r="AA668" s="211" t="s">
        <v>875</v>
      </c>
      <c r="AB668" s="212" t="s">
        <v>868</v>
      </c>
      <c r="AC668" s="178"/>
      <c r="AD668" s="210"/>
      <c r="AE668" s="211" t="s">
        <v>875</v>
      </c>
      <c r="AF668" s="212" t="s">
        <v>868</v>
      </c>
      <c r="AG668" s="178"/>
      <c r="AH668" s="210"/>
      <c r="AI668" s="211" t="s">
        <v>875</v>
      </c>
      <c r="AJ668" s="212" t="s">
        <v>868</v>
      </c>
      <c r="AK668" s="178"/>
      <c r="AL668" s="210"/>
      <c r="AM668" s="211" t="s">
        <v>875</v>
      </c>
      <c r="AN668" s="212" t="s">
        <v>868</v>
      </c>
      <c r="AO668" s="178"/>
      <c r="AP668" s="210"/>
      <c r="AQ668" s="211" t="s">
        <v>875</v>
      </c>
      <c r="AR668" s="212" t="s">
        <v>868</v>
      </c>
      <c r="AS668" s="178"/>
      <c r="AT668" s="210"/>
      <c r="AU668" s="211" t="s">
        <v>875</v>
      </c>
      <c r="AV668" s="212" t="s">
        <v>868</v>
      </c>
      <c r="AW668" s="178"/>
      <c r="AX668" s="210"/>
      <c r="AY668" s="211" t="s">
        <v>875</v>
      </c>
      <c r="AZ668" s="212" t="s">
        <v>868</v>
      </c>
      <c r="BA668" s="178"/>
      <c r="BB668" s="210"/>
      <c r="BC668" s="211" t="s">
        <v>875</v>
      </c>
      <c r="BD668" s="212" t="s">
        <v>868</v>
      </c>
      <c r="BE668" s="178"/>
      <c r="BF668" s="210"/>
      <c r="BG668" s="211" t="s">
        <v>875</v>
      </c>
      <c r="BH668" s="212" t="s">
        <v>868</v>
      </c>
      <c r="BI668" s="178"/>
      <c r="BJ668" s="210"/>
      <c r="BK668" s="211" t="s">
        <v>875</v>
      </c>
      <c r="BL668" s="212" t="s">
        <v>868</v>
      </c>
      <c r="BM668" s="178"/>
      <c r="BN668" s="210"/>
      <c r="BO668" s="211" t="s">
        <v>875</v>
      </c>
      <c r="BP668" s="212" t="s">
        <v>868</v>
      </c>
      <c r="BQ668" s="178"/>
      <c r="BR668" s="210"/>
      <c r="BS668" s="211" t="s">
        <v>875</v>
      </c>
      <c r="BT668" s="212" t="s">
        <v>868</v>
      </c>
      <c r="BU668" s="178"/>
    </row>
    <row r="669" s="105" customFormat="1" spans="1:73">
      <c r="A669" s="221"/>
      <c r="B669" s="205" t="s">
        <v>46</v>
      </c>
      <c r="C669" s="142"/>
      <c r="D669" s="207"/>
      <c r="E669" s="132"/>
      <c r="F669" s="138"/>
      <c r="G669" s="143" t="s">
        <v>876</v>
      </c>
      <c r="H669" s="167"/>
      <c r="I669" s="178"/>
      <c r="J669" s="210"/>
      <c r="K669" s="211" t="s">
        <v>876</v>
      </c>
      <c r="L669" s="212" t="s">
        <v>551</v>
      </c>
      <c r="M669" s="178"/>
      <c r="N669" s="210"/>
      <c r="O669" s="211" t="s">
        <v>876</v>
      </c>
      <c r="P669" s="212" t="s">
        <v>551</v>
      </c>
      <c r="Q669" s="178"/>
      <c r="R669" s="210"/>
      <c r="S669" s="211" t="s">
        <v>876</v>
      </c>
      <c r="T669" s="212" t="s">
        <v>551</v>
      </c>
      <c r="U669" s="178"/>
      <c r="V669" s="210"/>
      <c r="W669" s="211" t="s">
        <v>876</v>
      </c>
      <c r="X669" s="212" t="s">
        <v>551</v>
      </c>
      <c r="Y669" s="178"/>
      <c r="Z669" s="210"/>
      <c r="AA669" s="211" t="s">
        <v>876</v>
      </c>
      <c r="AB669" s="212" t="s">
        <v>551</v>
      </c>
      <c r="AC669" s="178"/>
      <c r="AD669" s="210"/>
      <c r="AE669" s="211" t="s">
        <v>876</v>
      </c>
      <c r="AF669" s="212" t="s">
        <v>551</v>
      </c>
      <c r="AG669" s="178"/>
      <c r="AH669" s="210"/>
      <c r="AI669" s="211" t="s">
        <v>876</v>
      </c>
      <c r="AJ669" s="212" t="s">
        <v>551</v>
      </c>
      <c r="AK669" s="178"/>
      <c r="AL669" s="210"/>
      <c r="AM669" s="211" t="s">
        <v>876</v>
      </c>
      <c r="AN669" s="212" t="s">
        <v>551</v>
      </c>
      <c r="AO669" s="178"/>
      <c r="AP669" s="210"/>
      <c r="AQ669" s="211" t="s">
        <v>876</v>
      </c>
      <c r="AR669" s="212" t="s">
        <v>551</v>
      </c>
      <c r="AS669" s="178"/>
      <c r="AT669" s="210"/>
      <c r="AU669" s="211" t="s">
        <v>876</v>
      </c>
      <c r="AV669" s="212" t="s">
        <v>551</v>
      </c>
      <c r="AW669" s="178"/>
      <c r="AX669" s="210"/>
      <c r="AY669" s="211" t="s">
        <v>876</v>
      </c>
      <c r="AZ669" s="212" t="s">
        <v>551</v>
      </c>
      <c r="BA669" s="178"/>
      <c r="BB669" s="210"/>
      <c r="BC669" s="211" t="s">
        <v>876</v>
      </c>
      <c r="BD669" s="212" t="s">
        <v>551</v>
      </c>
      <c r="BE669" s="178"/>
      <c r="BF669" s="210"/>
      <c r="BG669" s="211" t="s">
        <v>876</v>
      </c>
      <c r="BH669" s="212" t="s">
        <v>551</v>
      </c>
      <c r="BI669" s="178"/>
      <c r="BJ669" s="210"/>
      <c r="BK669" s="211" t="s">
        <v>876</v>
      </c>
      <c r="BL669" s="212" t="s">
        <v>551</v>
      </c>
      <c r="BM669" s="178"/>
      <c r="BN669" s="210"/>
      <c r="BO669" s="211" t="s">
        <v>876</v>
      </c>
      <c r="BP669" s="212" t="s">
        <v>551</v>
      </c>
      <c r="BQ669" s="178"/>
      <c r="BR669" s="210"/>
      <c r="BS669" s="211" t="s">
        <v>876</v>
      </c>
      <c r="BT669" s="212" t="s">
        <v>551</v>
      </c>
      <c r="BU669" s="178"/>
    </row>
    <row r="670" s="105" customFormat="1" spans="1:73">
      <c r="A670" s="221"/>
      <c r="B670" s="205" t="s">
        <v>46</v>
      </c>
      <c r="C670" s="142"/>
      <c r="D670" s="207"/>
      <c r="E670" s="132"/>
      <c r="F670" s="138"/>
      <c r="G670" s="143" t="s">
        <v>877</v>
      </c>
      <c r="H670" s="167"/>
      <c r="I670" s="178"/>
      <c r="J670" s="210"/>
      <c r="K670" s="211" t="s">
        <v>877</v>
      </c>
      <c r="L670" s="212" t="s">
        <v>181</v>
      </c>
      <c r="M670" s="178"/>
      <c r="N670" s="210"/>
      <c r="O670" s="211" t="s">
        <v>877</v>
      </c>
      <c r="P670" s="212" t="s">
        <v>181</v>
      </c>
      <c r="Q670" s="178"/>
      <c r="R670" s="210"/>
      <c r="S670" s="211" t="s">
        <v>877</v>
      </c>
      <c r="T670" s="212" t="s">
        <v>181</v>
      </c>
      <c r="U670" s="178"/>
      <c r="V670" s="210"/>
      <c r="W670" s="211" t="s">
        <v>877</v>
      </c>
      <c r="X670" s="212" t="s">
        <v>181</v>
      </c>
      <c r="Y670" s="178"/>
      <c r="Z670" s="210"/>
      <c r="AA670" s="211" t="s">
        <v>877</v>
      </c>
      <c r="AB670" s="212" t="s">
        <v>181</v>
      </c>
      <c r="AC670" s="178"/>
      <c r="AD670" s="210"/>
      <c r="AE670" s="211" t="s">
        <v>877</v>
      </c>
      <c r="AF670" s="212" t="s">
        <v>181</v>
      </c>
      <c r="AG670" s="178"/>
      <c r="AH670" s="210"/>
      <c r="AI670" s="211" t="s">
        <v>877</v>
      </c>
      <c r="AJ670" s="212" t="s">
        <v>181</v>
      </c>
      <c r="AK670" s="178"/>
      <c r="AL670" s="210"/>
      <c r="AM670" s="211" t="s">
        <v>877</v>
      </c>
      <c r="AN670" s="212" t="s">
        <v>181</v>
      </c>
      <c r="AO670" s="178"/>
      <c r="AP670" s="210"/>
      <c r="AQ670" s="211" t="s">
        <v>877</v>
      </c>
      <c r="AR670" s="212" t="s">
        <v>181</v>
      </c>
      <c r="AS670" s="178"/>
      <c r="AT670" s="210"/>
      <c r="AU670" s="211" t="s">
        <v>877</v>
      </c>
      <c r="AV670" s="212" t="s">
        <v>181</v>
      </c>
      <c r="AW670" s="178"/>
      <c r="AX670" s="210"/>
      <c r="AY670" s="211" t="s">
        <v>877</v>
      </c>
      <c r="AZ670" s="212" t="s">
        <v>181</v>
      </c>
      <c r="BA670" s="178"/>
      <c r="BB670" s="210"/>
      <c r="BC670" s="211" t="s">
        <v>877</v>
      </c>
      <c r="BD670" s="212" t="s">
        <v>181</v>
      </c>
      <c r="BE670" s="178"/>
      <c r="BF670" s="210"/>
      <c r="BG670" s="211" t="s">
        <v>877</v>
      </c>
      <c r="BH670" s="212" t="s">
        <v>181</v>
      </c>
      <c r="BI670" s="178"/>
      <c r="BJ670" s="210"/>
      <c r="BK670" s="211" t="s">
        <v>877</v>
      </c>
      <c r="BL670" s="212" t="s">
        <v>181</v>
      </c>
      <c r="BM670" s="178"/>
      <c r="BN670" s="210"/>
      <c r="BO670" s="211" t="s">
        <v>877</v>
      </c>
      <c r="BP670" s="212" t="s">
        <v>181</v>
      </c>
      <c r="BQ670" s="178"/>
      <c r="BR670" s="210"/>
      <c r="BS670" s="211" t="s">
        <v>877</v>
      </c>
      <c r="BT670" s="212" t="s">
        <v>181</v>
      </c>
      <c r="BU670" s="178"/>
    </row>
    <row r="671" s="105" customFormat="1" spans="1:73">
      <c r="A671" s="221"/>
      <c r="B671" s="205" t="s">
        <v>46</v>
      </c>
      <c r="C671" s="142"/>
      <c r="D671" s="207"/>
      <c r="E671" s="132"/>
      <c r="F671" s="138"/>
      <c r="G671" s="143" t="s">
        <v>878</v>
      </c>
      <c r="H671" s="167"/>
      <c r="I671" s="178"/>
      <c r="J671" s="210"/>
      <c r="K671" s="211" t="s">
        <v>878</v>
      </c>
      <c r="L671" s="212" t="s">
        <v>142</v>
      </c>
      <c r="M671" s="178"/>
      <c r="N671" s="210"/>
      <c r="O671" s="211" t="s">
        <v>878</v>
      </c>
      <c r="P671" s="212" t="s">
        <v>142</v>
      </c>
      <c r="Q671" s="178"/>
      <c r="R671" s="210"/>
      <c r="S671" s="211" t="s">
        <v>878</v>
      </c>
      <c r="T671" s="212" t="s">
        <v>142</v>
      </c>
      <c r="U671" s="178"/>
      <c r="V671" s="210"/>
      <c r="W671" s="211" t="s">
        <v>878</v>
      </c>
      <c r="X671" s="212" t="s">
        <v>142</v>
      </c>
      <c r="Y671" s="178"/>
      <c r="Z671" s="210"/>
      <c r="AA671" s="211" t="s">
        <v>878</v>
      </c>
      <c r="AB671" s="212" t="s">
        <v>142</v>
      </c>
      <c r="AC671" s="178"/>
      <c r="AD671" s="210"/>
      <c r="AE671" s="211" t="s">
        <v>878</v>
      </c>
      <c r="AF671" s="212" t="s">
        <v>142</v>
      </c>
      <c r="AG671" s="178"/>
      <c r="AH671" s="210"/>
      <c r="AI671" s="211" t="s">
        <v>878</v>
      </c>
      <c r="AJ671" s="212" t="s">
        <v>142</v>
      </c>
      <c r="AK671" s="178"/>
      <c r="AL671" s="210"/>
      <c r="AM671" s="211" t="s">
        <v>878</v>
      </c>
      <c r="AN671" s="212" t="s">
        <v>142</v>
      </c>
      <c r="AO671" s="178"/>
      <c r="AP671" s="210"/>
      <c r="AQ671" s="211" t="s">
        <v>878</v>
      </c>
      <c r="AR671" s="212" t="s">
        <v>142</v>
      </c>
      <c r="AS671" s="178"/>
      <c r="AT671" s="210"/>
      <c r="AU671" s="211" t="s">
        <v>878</v>
      </c>
      <c r="AV671" s="212" t="s">
        <v>142</v>
      </c>
      <c r="AW671" s="178"/>
      <c r="AX671" s="210"/>
      <c r="AY671" s="211" t="s">
        <v>878</v>
      </c>
      <c r="AZ671" s="212" t="s">
        <v>142</v>
      </c>
      <c r="BA671" s="178"/>
      <c r="BB671" s="210"/>
      <c r="BC671" s="211" t="s">
        <v>878</v>
      </c>
      <c r="BD671" s="212" t="s">
        <v>142</v>
      </c>
      <c r="BE671" s="178"/>
      <c r="BF671" s="210"/>
      <c r="BG671" s="211" t="s">
        <v>878</v>
      </c>
      <c r="BH671" s="212" t="s">
        <v>142</v>
      </c>
      <c r="BI671" s="178"/>
      <c r="BJ671" s="210"/>
      <c r="BK671" s="211" t="s">
        <v>878</v>
      </c>
      <c r="BL671" s="212" t="s">
        <v>142</v>
      </c>
      <c r="BM671" s="178"/>
      <c r="BN671" s="210"/>
      <c r="BO671" s="211" t="s">
        <v>878</v>
      </c>
      <c r="BP671" s="212" t="s">
        <v>142</v>
      </c>
      <c r="BQ671" s="178"/>
      <c r="BR671" s="210"/>
      <c r="BS671" s="211" t="s">
        <v>878</v>
      </c>
      <c r="BT671" s="212" t="s">
        <v>142</v>
      </c>
      <c r="BU671" s="178"/>
    </row>
    <row r="672" s="105" customFormat="1" spans="1:73">
      <c r="A672" s="221"/>
      <c r="B672" s="205" t="s">
        <v>46</v>
      </c>
      <c r="C672" s="142"/>
      <c r="D672" s="207"/>
      <c r="E672" s="132"/>
      <c r="F672" s="138"/>
      <c r="G672" s="143" t="s">
        <v>879</v>
      </c>
      <c r="H672" s="167"/>
      <c r="I672" s="178"/>
      <c r="J672" s="210"/>
      <c r="K672" s="211" t="s">
        <v>879</v>
      </c>
      <c r="L672" s="212" t="s">
        <v>381</v>
      </c>
      <c r="M672" s="178"/>
      <c r="N672" s="210"/>
      <c r="O672" s="211" t="s">
        <v>879</v>
      </c>
      <c r="P672" s="212" t="s">
        <v>381</v>
      </c>
      <c r="Q672" s="178"/>
      <c r="R672" s="210"/>
      <c r="S672" s="211" t="s">
        <v>879</v>
      </c>
      <c r="T672" s="212" t="s">
        <v>381</v>
      </c>
      <c r="U672" s="178"/>
      <c r="V672" s="210"/>
      <c r="W672" s="211" t="s">
        <v>879</v>
      </c>
      <c r="X672" s="212" t="s">
        <v>381</v>
      </c>
      <c r="Y672" s="178"/>
      <c r="Z672" s="210"/>
      <c r="AA672" s="211" t="s">
        <v>879</v>
      </c>
      <c r="AB672" s="212" t="s">
        <v>381</v>
      </c>
      <c r="AC672" s="178"/>
      <c r="AD672" s="210"/>
      <c r="AE672" s="211" t="s">
        <v>879</v>
      </c>
      <c r="AF672" s="212" t="s">
        <v>381</v>
      </c>
      <c r="AG672" s="178"/>
      <c r="AH672" s="210"/>
      <c r="AI672" s="211" t="s">
        <v>879</v>
      </c>
      <c r="AJ672" s="212" t="s">
        <v>381</v>
      </c>
      <c r="AK672" s="178"/>
      <c r="AL672" s="210"/>
      <c r="AM672" s="211" t="s">
        <v>879</v>
      </c>
      <c r="AN672" s="212" t="s">
        <v>381</v>
      </c>
      <c r="AO672" s="178"/>
      <c r="AP672" s="210"/>
      <c r="AQ672" s="211" t="s">
        <v>879</v>
      </c>
      <c r="AR672" s="212" t="s">
        <v>381</v>
      </c>
      <c r="AS672" s="178"/>
      <c r="AT672" s="210"/>
      <c r="AU672" s="211" t="s">
        <v>879</v>
      </c>
      <c r="AV672" s="212" t="s">
        <v>381</v>
      </c>
      <c r="AW672" s="178"/>
      <c r="AX672" s="210"/>
      <c r="AY672" s="211" t="s">
        <v>879</v>
      </c>
      <c r="AZ672" s="212" t="s">
        <v>381</v>
      </c>
      <c r="BA672" s="178"/>
      <c r="BB672" s="210"/>
      <c r="BC672" s="211" t="s">
        <v>879</v>
      </c>
      <c r="BD672" s="212" t="s">
        <v>381</v>
      </c>
      <c r="BE672" s="178"/>
      <c r="BF672" s="210"/>
      <c r="BG672" s="211" t="s">
        <v>879</v>
      </c>
      <c r="BH672" s="212" t="s">
        <v>381</v>
      </c>
      <c r="BI672" s="178"/>
      <c r="BJ672" s="210"/>
      <c r="BK672" s="211" t="s">
        <v>879</v>
      </c>
      <c r="BL672" s="212" t="s">
        <v>381</v>
      </c>
      <c r="BM672" s="178"/>
      <c r="BN672" s="210"/>
      <c r="BO672" s="211" t="s">
        <v>879</v>
      </c>
      <c r="BP672" s="212" t="s">
        <v>381</v>
      </c>
      <c r="BQ672" s="178"/>
      <c r="BR672" s="210"/>
      <c r="BS672" s="211" t="s">
        <v>879</v>
      </c>
      <c r="BT672" s="212" t="s">
        <v>381</v>
      </c>
      <c r="BU672" s="178"/>
    </row>
    <row r="673" s="105" customFormat="1" spans="1:73">
      <c r="A673" s="221"/>
      <c r="B673" s="205" t="s">
        <v>46</v>
      </c>
      <c r="C673" s="142"/>
      <c r="D673" s="207"/>
      <c r="E673" s="132"/>
      <c r="F673" s="138"/>
      <c r="G673" s="143" t="s">
        <v>880</v>
      </c>
      <c r="H673" s="167"/>
      <c r="I673" s="178"/>
      <c r="J673" s="210"/>
      <c r="K673" s="211" t="s">
        <v>880</v>
      </c>
      <c r="L673" s="212" t="s">
        <v>551</v>
      </c>
      <c r="M673" s="178"/>
      <c r="N673" s="210"/>
      <c r="O673" s="211" t="s">
        <v>880</v>
      </c>
      <c r="P673" s="212" t="s">
        <v>551</v>
      </c>
      <c r="Q673" s="178"/>
      <c r="R673" s="210"/>
      <c r="S673" s="211" t="s">
        <v>880</v>
      </c>
      <c r="T673" s="212" t="s">
        <v>551</v>
      </c>
      <c r="U673" s="178"/>
      <c r="V673" s="210"/>
      <c r="W673" s="211" t="s">
        <v>880</v>
      </c>
      <c r="X673" s="212" t="s">
        <v>551</v>
      </c>
      <c r="Y673" s="178"/>
      <c r="Z673" s="210"/>
      <c r="AA673" s="211" t="s">
        <v>880</v>
      </c>
      <c r="AB673" s="212" t="s">
        <v>551</v>
      </c>
      <c r="AC673" s="178"/>
      <c r="AD673" s="210"/>
      <c r="AE673" s="211" t="s">
        <v>880</v>
      </c>
      <c r="AF673" s="212" t="s">
        <v>551</v>
      </c>
      <c r="AG673" s="178"/>
      <c r="AH673" s="210"/>
      <c r="AI673" s="211" t="s">
        <v>880</v>
      </c>
      <c r="AJ673" s="212" t="s">
        <v>551</v>
      </c>
      <c r="AK673" s="178"/>
      <c r="AL673" s="210"/>
      <c r="AM673" s="211" t="s">
        <v>880</v>
      </c>
      <c r="AN673" s="212" t="s">
        <v>551</v>
      </c>
      <c r="AO673" s="178"/>
      <c r="AP673" s="210"/>
      <c r="AQ673" s="211" t="s">
        <v>880</v>
      </c>
      <c r="AR673" s="212" t="s">
        <v>551</v>
      </c>
      <c r="AS673" s="178"/>
      <c r="AT673" s="210"/>
      <c r="AU673" s="211" t="s">
        <v>880</v>
      </c>
      <c r="AV673" s="212" t="s">
        <v>551</v>
      </c>
      <c r="AW673" s="178"/>
      <c r="AX673" s="210"/>
      <c r="AY673" s="211" t="s">
        <v>880</v>
      </c>
      <c r="AZ673" s="212" t="s">
        <v>551</v>
      </c>
      <c r="BA673" s="178"/>
      <c r="BB673" s="210"/>
      <c r="BC673" s="211" t="s">
        <v>880</v>
      </c>
      <c r="BD673" s="212" t="s">
        <v>551</v>
      </c>
      <c r="BE673" s="178"/>
      <c r="BF673" s="210"/>
      <c r="BG673" s="211" t="s">
        <v>880</v>
      </c>
      <c r="BH673" s="212" t="s">
        <v>551</v>
      </c>
      <c r="BI673" s="178"/>
      <c r="BJ673" s="210"/>
      <c r="BK673" s="211" t="s">
        <v>880</v>
      </c>
      <c r="BL673" s="212" t="s">
        <v>551</v>
      </c>
      <c r="BM673" s="178"/>
      <c r="BN673" s="210"/>
      <c r="BO673" s="211" t="s">
        <v>880</v>
      </c>
      <c r="BP673" s="212" t="s">
        <v>551</v>
      </c>
      <c r="BQ673" s="178"/>
      <c r="BR673" s="210"/>
      <c r="BS673" s="211" t="s">
        <v>880</v>
      </c>
      <c r="BT673" s="212" t="s">
        <v>551</v>
      </c>
      <c r="BU673" s="178"/>
    </row>
    <row r="674" s="105" customFormat="1" spans="1:73">
      <c r="A674" s="221"/>
      <c r="B674" s="205" t="s">
        <v>46</v>
      </c>
      <c r="C674" s="142"/>
      <c r="D674" s="207"/>
      <c r="E674" s="132"/>
      <c r="F674" s="138"/>
      <c r="G674" s="143" t="s">
        <v>881</v>
      </c>
      <c r="H674" s="167"/>
      <c r="I674" s="178"/>
      <c r="J674" s="210"/>
      <c r="K674" s="211" t="s">
        <v>881</v>
      </c>
      <c r="L674" s="212" t="s">
        <v>551</v>
      </c>
      <c r="M674" s="178"/>
      <c r="N674" s="210"/>
      <c r="O674" s="211" t="s">
        <v>881</v>
      </c>
      <c r="P674" s="212" t="s">
        <v>551</v>
      </c>
      <c r="Q674" s="178"/>
      <c r="R674" s="210"/>
      <c r="S674" s="211" t="s">
        <v>881</v>
      </c>
      <c r="T674" s="212" t="s">
        <v>551</v>
      </c>
      <c r="U674" s="178"/>
      <c r="V674" s="210"/>
      <c r="W674" s="211" t="s">
        <v>881</v>
      </c>
      <c r="X674" s="212" t="s">
        <v>551</v>
      </c>
      <c r="Y674" s="178"/>
      <c r="Z674" s="210"/>
      <c r="AA674" s="211" t="s">
        <v>881</v>
      </c>
      <c r="AB674" s="212" t="s">
        <v>551</v>
      </c>
      <c r="AC674" s="178"/>
      <c r="AD674" s="210"/>
      <c r="AE674" s="211" t="s">
        <v>881</v>
      </c>
      <c r="AF674" s="212" t="s">
        <v>551</v>
      </c>
      <c r="AG674" s="178"/>
      <c r="AH674" s="210"/>
      <c r="AI674" s="211" t="s">
        <v>881</v>
      </c>
      <c r="AJ674" s="212" t="s">
        <v>551</v>
      </c>
      <c r="AK674" s="178"/>
      <c r="AL674" s="210"/>
      <c r="AM674" s="211" t="s">
        <v>881</v>
      </c>
      <c r="AN674" s="212" t="s">
        <v>551</v>
      </c>
      <c r="AO674" s="178"/>
      <c r="AP674" s="210"/>
      <c r="AQ674" s="211" t="s">
        <v>881</v>
      </c>
      <c r="AR674" s="212" t="s">
        <v>551</v>
      </c>
      <c r="AS674" s="178"/>
      <c r="AT674" s="210"/>
      <c r="AU674" s="211" t="s">
        <v>881</v>
      </c>
      <c r="AV674" s="212" t="s">
        <v>551</v>
      </c>
      <c r="AW674" s="178"/>
      <c r="AX674" s="210"/>
      <c r="AY674" s="211" t="s">
        <v>881</v>
      </c>
      <c r="AZ674" s="212" t="s">
        <v>551</v>
      </c>
      <c r="BA674" s="178"/>
      <c r="BB674" s="210"/>
      <c r="BC674" s="211" t="s">
        <v>881</v>
      </c>
      <c r="BD674" s="212" t="s">
        <v>551</v>
      </c>
      <c r="BE674" s="178"/>
      <c r="BF674" s="210"/>
      <c r="BG674" s="211" t="s">
        <v>881</v>
      </c>
      <c r="BH674" s="212" t="s">
        <v>551</v>
      </c>
      <c r="BI674" s="178"/>
      <c r="BJ674" s="210"/>
      <c r="BK674" s="211" t="s">
        <v>881</v>
      </c>
      <c r="BL674" s="212" t="s">
        <v>551</v>
      </c>
      <c r="BM674" s="178"/>
      <c r="BN674" s="210"/>
      <c r="BO674" s="211" t="s">
        <v>881</v>
      </c>
      <c r="BP674" s="212" t="s">
        <v>551</v>
      </c>
      <c r="BQ674" s="178"/>
      <c r="BR674" s="210"/>
      <c r="BS674" s="211" t="s">
        <v>881</v>
      </c>
      <c r="BT674" s="212" t="s">
        <v>551</v>
      </c>
      <c r="BU674" s="178"/>
    </row>
    <row r="675" s="105" customFormat="1" spans="1:73">
      <c r="A675" s="221"/>
      <c r="B675" s="205" t="s">
        <v>46</v>
      </c>
      <c r="C675" s="142"/>
      <c r="D675" s="207"/>
      <c r="E675" s="132"/>
      <c r="F675" s="138"/>
      <c r="G675" s="143" t="s">
        <v>882</v>
      </c>
      <c r="H675" s="167"/>
      <c r="I675" s="178"/>
      <c r="J675" s="210"/>
      <c r="K675" s="211" t="s">
        <v>882</v>
      </c>
      <c r="L675" s="213" t="s">
        <v>46</v>
      </c>
      <c r="M675" s="178"/>
      <c r="N675" s="210"/>
      <c r="O675" s="211" t="s">
        <v>882</v>
      </c>
      <c r="P675" s="213" t="s">
        <v>46</v>
      </c>
      <c r="Q675" s="178"/>
      <c r="R675" s="210"/>
      <c r="S675" s="211" t="s">
        <v>882</v>
      </c>
      <c r="T675" s="213" t="s">
        <v>46</v>
      </c>
      <c r="U675" s="178"/>
      <c r="V675" s="210"/>
      <c r="W675" s="211" t="s">
        <v>882</v>
      </c>
      <c r="X675" s="213" t="s">
        <v>46</v>
      </c>
      <c r="Y675" s="178"/>
      <c r="Z675" s="210"/>
      <c r="AA675" s="211" t="s">
        <v>882</v>
      </c>
      <c r="AB675" s="213" t="s">
        <v>46</v>
      </c>
      <c r="AC675" s="178"/>
      <c r="AD675" s="210"/>
      <c r="AE675" s="211" t="s">
        <v>882</v>
      </c>
      <c r="AF675" s="213" t="s">
        <v>46</v>
      </c>
      <c r="AG675" s="178"/>
      <c r="AH675" s="210"/>
      <c r="AI675" s="211" t="s">
        <v>882</v>
      </c>
      <c r="AJ675" s="213" t="s">
        <v>46</v>
      </c>
      <c r="AK675" s="178"/>
      <c r="AL675" s="210"/>
      <c r="AM675" s="211" t="s">
        <v>882</v>
      </c>
      <c r="AN675" s="213" t="s">
        <v>46</v>
      </c>
      <c r="AO675" s="178"/>
      <c r="AP675" s="210"/>
      <c r="AQ675" s="211" t="s">
        <v>882</v>
      </c>
      <c r="AR675" s="213" t="s">
        <v>46</v>
      </c>
      <c r="AS675" s="178"/>
      <c r="AT675" s="210"/>
      <c r="AU675" s="211" t="s">
        <v>882</v>
      </c>
      <c r="AV675" s="213" t="s">
        <v>46</v>
      </c>
      <c r="AW675" s="178"/>
      <c r="AX675" s="210"/>
      <c r="AY675" s="211" t="s">
        <v>882</v>
      </c>
      <c r="AZ675" s="213" t="s">
        <v>46</v>
      </c>
      <c r="BA675" s="178"/>
      <c r="BB675" s="210"/>
      <c r="BC675" s="211" t="s">
        <v>882</v>
      </c>
      <c r="BD675" s="213" t="s">
        <v>46</v>
      </c>
      <c r="BE675" s="178"/>
      <c r="BF675" s="210"/>
      <c r="BG675" s="211" t="s">
        <v>882</v>
      </c>
      <c r="BH675" s="213" t="s">
        <v>46</v>
      </c>
      <c r="BI675" s="178"/>
      <c r="BJ675" s="210"/>
      <c r="BK675" s="211" t="s">
        <v>882</v>
      </c>
      <c r="BL675" s="213" t="s">
        <v>46</v>
      </c>
      <c r="BM675" s="178"/>
      <c r="BN675" s="210"/>
      <c r="BO675" s="211" t="s">
        <v>882</v>
      </c>
      <c r="BP675" s="213" t="s">
        <v>46</v>
      </c>
      <c r="BQ675" s="178"/>
      <c r="BR675" s="210"/>
      <c r="BS675" s="211" t="s">
        <v>882</v>
      </c>
      <c r="BT675" s="213" t="s">
        <v>46</v>
      </c>
      <c r="BU675" s="178"/>
    </row>
    <row r="676" s="105" customFormat="1" spans="1:73">
      <c r="A676" s="221"/>
      <c r="B676" s="205" t="s">
        <v>46</v>
      </c>
      <c r="C676" s="142"/>
      <c r="D676" s="207"/>
      <c r="E676" s="132"/>
      <c r="F676" s="138"/>
      <c r="G676" s="143" t="s">
        <v>883</v>
      </c>
      <c r="H676" s="167"/>
      <c r="I676" s="178"/>
      <c r="J676" s="210"/>
      <c r="K676" s="211" t="s">
        <v>883</v>
      </c>
      <c r="L676" s="213" t="s">
        <v>46</v>
      </c>
      <c r="M676" s="178"/>
      <c r="N676" s="210"/>
      <c r="O676" s="211" t="s">
        <v>883</v>
      </c>
      <c r="P676" s="213" t="s">
        <v>46</v>
      </c>
      <c r="Q676" s="178"/>
      <c r="R676" s="210"/>
      <c r="S676" s="211" t="s">
        <v>883</v>
      </c>
      <c r="T676" s="213" t="s">
        <v>46</v>
      </c>
      <c r="U676" s="178"/>
      <c r="V676" s="210"/>
      <c r="W676" s="211" t="s">
        <v>883</v>
      </c>
      <c r="X676" s="213" t="s">
        <v>46</v>
      </c>
      <c r="Y676" s="178"/>
      <c r="Z676" s="210"/>
      <c r="AA676" s="211" t="s">
        <v>883</v>
      </c>
      <c r="AB676" s="213" t="s">
        <v>46</v>
      </c>
      <c r="AC676" s="178"/>
      <c r="AD676" s="210"/>
      <c r="AE676" s="211" t="s">
        <v>883</v>
      </c>
      <c r="AF676" s="213" t="s">
        <v>46</v>
      </c>
      <c r="AG676" s="178"/>
      <c r="AH676" s="210"/>
      <c r="AI676" s="211" t="s">
        <v>883</v>
      </c>
      <c r="AJ676" s="213" t="s">
        <v>46</v>
      </c>
      <c r="AK676" s="178"/>
      <c r="AL676" s="210"/>
      <c r="AM676" s="211" t="s">
        <v>883</v>
      </c>
      <c r="AN676" s="213" t="s">
        <v>46</v>
      </c>
      <c r="AO676" s="178"/>
      <c r="AP676" s="210"/>
      <c r="AQ676" s="211" t="s">
        <v>883</v>
      </c>
      <c r="AR676" s="213" t="s">
        <v>46</v>
      </c>
      <c r="AS676" s="178"/>
      <c r="AT676" s="210"/>
      <c r="AU676" s="211" t="s">
        <v>883</v>
      </c>
      <c r="AV676" s="213" t="s">
        <v>46</v>
      </c>
      <c r="AW676" s="178"/>
      <c r="AX676" s="210"/>
      <c r="AY676" s="211" t="s">
        <v>883</v>
      </c>
      <c r="AZ676" s="213" t="s">
        <v>46</v>
      </c>
      <c r="BA676" s="178"/>
      <c r="BB676" s="210"/>
      <c r="BC676" s="211" t="s">
        <v>883</v>
      </c>
      <c r="BD676" s="213" t="s">
        <v>46</v>
      </c>
      <c r="BE676" s="178"/>
      <c r="BF676" s="210"/>
      <c r="BG676" s="211" t="s">
        <v>883</v>
      </c>
      <c r="BH676" s="213" t="s">
        <v>46</v>
      </c>
      <c r="BI676" s="178"/>
      <c r="BJ676" s="210"/>
      <c r="BK676" s="211" t="s">
        <v>883</v>
      </c>
      <c r="BL676" s="213" t="s">
        <v>46</v>
      </c>
      <c r="BM676" s="178"/>
      <c r="BN676" s="210"/>
      <c r="BO676" s="211" t="s">
        <v>883</v>
      </c>
      <c r="BP676" s="213" t="s">
        <v>46</v>
      </c>
      <c r="BQ676" s="178"/>
      <c r="BR676" s="210"/>
      <c r="BS676" s="211" t="s">
        <v>883</v>
      </c>
      <c r="BT676" s="212" t="s">
        <v>754</v>
      </c>
      <c r="BU676" s="178"/>
    </row>
    <row r="677" s="105" customFormat="1" spans="1:73">
      <c r="A677" s="221"/>
      <c r="B677" s="205" t="s">
        <v>46</v>
      </c>
      <c r="C677" s="142"/>
      <c r="D677" s="207"/>
      <c r="E677" s="132"/>
      <c r="F677" s="138"/>
      <c r="G677" s="143" t="s">
        <v>884</v>
      </c>
      <c r="H677" s="167"/>
      <c r="I677" s="178"/>
      <c r="J677" s="210"/>
      <c r="K677" s="211" t="s">
        <v>884</v>
      </c>
      <c r="L677" s="213" t="s">
        <v>46</v>
      </c>
      <c r="M677" s="178"/>
      <c r="N677" s="210"/>
      <c r="O677" s="211" t="s">
        <v>884</v>
      </c>
      <c r="P677" s="213" t="s">
        <v>46</v>
      </c>
      <c r="Q677" s="178"/>
      <c r="R677" s="210"/>
      <c r="S677" s="211" t="s">
        <v>884</v>
      </c>
      <c r="T677" s="213" t="s">
        <v>46</v>
      </c>
      <c r="U677" s="178"/>
      <c r="V677" s="210"/>
      <c r="W677" s="211" t="s">
        <v>884</v>
      </c>
      <c r="X677" s="213" t="s">
        <v>46</v>
      </c>
      <c r="Y677" s="178"/>
      <c r="Z677" s="210"/>
      <c r="AA677" s="211" t="s">
        <v>884</v>
      </c>
      <c r="AB677" s="213" t="s">
        <v>46</v>
      </c>
      <c r="AC677" s="178"/>
      <c r="AD677" s="210"/>
      <c r="AE677" s="211" t="s">
        <v>884</v>
      </c>
      <c r="AF677" s="213" t="s">
        <v>46</v>
      </c>
      <c r="AG677" s="178"/>
      <c r="AH677" s="210"/>
      <c r="AI677" s="211" t="s">
        <v>884</v>
      </c>
      <c r="AJ677" s="213" t="s">
        <v>46</v>
      </c>
      <c r="AK677" s="178"/>
      <c r="AL677" s="210"/>
      <c r="AM677" s="211" t="s">
        <v>884</v>
      </c>
      <c r="AN677" s="213" t="s">
        <v>46</v>
      </c>
      <c r="AO677" s="178"/>
      <c r="AP677" s="210"/>
      <c r="AQ677" s="211" t="s">
        <v>884</v>
      </c>
      <c r="AR677" s="213" t="s">
        <v>46</v>
      </c>
      <c r="AS677" s="178"/>
      <c r="AT677" s="210"/>
      <c r="AU677" s="211" t="s">
        <v>884</v>
      </c>
      <c r="AV677" s="213" t="s">
        <v>46</v>
      </c>
      <c r="AW677" s="178"/>
      <c r="AX677" s="210"/>
      <c r="AY677" s="211" t="s">
        <v>884</v>
      </c>
      <c r="AZ677" s="213" t="s">
        <v>46</v>
      </c>
      <c r="BA677" s="178"/>
      <c r="BB677" s="210"/>
      <c r="BC677" s="211" t="s">
        <v>884</v>
      </c>
      <c r="BD677" s="213" t="s">
        <v>46</v>
      </c>
      <c r="BE677" s="178"/>
      <c r="BF677" s="210"/>
      <c r="BG677" s="211" t="s">
        <v>884</v>
      </c>
      <c r="BH677" s="213" t="s">
        <v>46</v>
      </c>
      <c r="BI677" s="178"/>
      <c r="BJ677" s="210"/>
      <c r="BK677" s="211" t="s">
        <v>884</v>
      </c>
      <c r="BL677" s="213" t="s">
        <v>46</v>
      </c>
      <c r="BM677" s="178"/>
      <c r="BN677" s="210"/>
      <c r="BO677" s="211" t="s">
        <v>884</v>
      </c>
      <c r="BP677" s="213" t="s">
        <v>46</v>
      </c>
      <c r="BQ677" s="178"/>
      <c r="BR677" s="210"/>
      <c r="BS677" s="211" t="s">
        <v>884</v>
      </c>
      <c r="BT677" s="213" t="s">
        <v>46</v>
      </c>
      <c r="BU677" s="178"/>
    </row>
    <row r="678" s="105" customFormat="1" spans="1:73">
      <c r="A678" s="221"/>
      <c r="B678" s="205" t="s">
        <v>46</v>
      </c>
      <c r="C678" s="142"/>
      <c r="D678" s="207"/>
      <c r="E678" s="132"/>
      <c r="F678" s="138"/>
      <c r="G678" s="143" t="s">
        <v>885</v>
      </c>
      <c r="H678" s="167"/>
      <c r="I678" s="178"/>
      <c r="J678" s="210"/>
      <c r="K678" s="211" t="s">
        <v>885</v>
      </c>
      <c r="L678" s="213" t="s">
        <v>46</v>
      </c>
      <c r="M678" s="178"/>
      <c r="N678" s="210"/>
      <c r="O678" s="211" t="s">
        <v>885</v>
      </c>
      <c r="P678" s="213" t="s">
        <v>46</v>
      </c>
      <c r="Q678" s="178"/>
      <c r="R678" s="210"/>
      <c r="S678" s="211" t="s">
        <v>885</v>
      </c>
      <c r="T678" s="213" t="s">
        <v>46</v>
      </c>
      <c r="U678" s="178"/>
      <c r="V678" s="210"/>
      <c r="W678" s="211" t="s">
        <v>885</v>
      </c>
      <c r="X678" s="213" t="s">
        <v>46</v>
      </c>
      <c r="Y678" s="178"/>
      <c r="Z678" s="210"/>
      <c r="AA678" s="211" t="s">
        <v>885</v>
      </c>
      <c r="AB678" s="213" t="s">
        <v>46</v>
      </c>
      <c r="AC678" s="178"/>
      <c r="AD678" s="210"/>
      <c r="AE678" s="211" t="s">
        <v>885</v>
      </c>
      <c r="AF678" s="213" t="s">
        <v>46</v>
      </c>
      <c r="AG678" s="178"/>
      <c r="AH678" s="210"/>
      <c r="AI678" s="211" t="s">
        <v>885</v>
      </c>
      <c r="AJ678" s="213" t="s">
        <v>46</v>
      </c>
      <c r="AK678" s="178"/>
      <c r="AL678" s="210"/>
      <c r="AM678" s="211" t="s">
        <v>885</v>
      </c>
      <c r="AN678" s="213" t="s">
        <v>46</v>
      </c>
      <c r="AO678" s="178"/>
      <c r="AP678" s="210"/>
      <c r="AQ678" s="211" t="s">
        <v>885</v>
      </c>
      <c r="AR678" s="213" t="s">
        <v>46</v>
      </c>
      <c r="AS678" s="178"/>
      <c r="AT678" s="210"/>
      <c r="AU678" s="211" t="s">
        <v>885</v>
      </c>
      <c r="AV678" s="213" t="s">
        <v>46</v>
      </c>
      <c r="AW678" s="178"/>
      <c r="AX678" s="210"/>
      <c r="AY678" s="211" t="s">
        <v>885</v>
      </c>
      <c r="AZ678" s="213" t="s">
        <v>46</v>
      </c>
      <c r="BA678" s="178"/>
      <c r="BB678" s="210"/>
      <c r="BC678" s="211" t="s">
        <v>885</v>
      </c>
      <c r="BD678" s="213" t="s">
        <v>46</v>
      </c>
      <c r="BE678" s="178"/>
      <c r="BF678" s="210"/>
      <c r="BG678" s="211" t="s">
        <v>885</v>
      </c>
      <c r="BH678" s="213" t="s">
        <v>46</v>
      </c>
      <c r="BI678" s="178"/>
      <c r="BJ678" s="210"/>
      <c r="BK678" s="211" t="s">
        <v>885</v>
      </c>
      <c r="BL678" s="213" t="s">
        <v>46</v>
      </c>
      <c r="BM678" s="178"/>
      <c r="BN678" s="210"/>
      <c r="BO678" s="211" t="s">
        <v>885</v>
      </c>
      <c r="BP678" s="213" t="s">
        <v>46</v>
      </c>
      <c r="BQ678" s="178"/>
      <c r="BR678" s="210"/>
      <c r="BS678" s="211" t="s">
        <v>885</v>
      </c>
      <c r="BT678" s="212" t="s">
        <v>519</v>
      </c>
      <c r="BU678" s="178"/>
    </row>
    <row r="679" s="105" customFormat="1" spans="1:73">
      <c r="A679" s="221"/>
      <c r="B679" s="205" t="s">
        <v>46</v>
      </c>
      <c r="C679" s="142"/>
      <c r="D679" s="207"/>
      <c r="E679" s="132"/>
      <c r="F679" s="138"/>
      <c r="G679" s="143" t="s">
        <v>886</v>
      </c>
      <c r="H679" s="167"/>
      <c r="I679" s="178"/>
      <c r="J679" s="210"/>
      <c r="K679" s="211" t="s">
        <v>886</v>
      </c>
      <c r="L679" s="213" t="s">
        <v>46</v>
      </c>
      <c r="M679" s="178"/>
      <c r="N679" s="210"/>
      <c r="O679" s="211" t="s">
        <v>886</v>
      </c>
      <c r="P679" s="213" t="s">
        <v>46</v>
      </c>
      <c r="Q679" s="178"/>
      <c r="R679" s="210"/>
      <c r="S679" s="211" t="s">
        <v>886</v>
      </c>
      <c r="T679" s="213" t="s">
        <v>46</v>
      </c>
      <c r="U679" s="178"/>
      <c r="V679" s="210"/>
      <c r="W679" s="211" t="s">
        <v>886</v>
      </c>
      <c r="X679" s="213" t="s">
        <v>46</v>
      </c>
      <c r="Y679" s="178"/>
      <c r="Z679" s="210"/>
      <c r="AA679" s="211" t="s">
        <v>886</v>
      </c>
      <c r="AB679" s="213" t="s">
        <v>46</v>
      </c>
      <c r="AC679" s="178"/>
      <c r="AD679" s="210"/>
      <c r="AE679" s="211" t="s">
        <v>886</v>
      </c>
      <c r="AF679" s="213" t="s">
        <v>46</v>
      </c>
      <c r="AG679" s="178"/>
      <c r="AH679" s="210"/>
      <c r="AI679" s="211" t="s">
        <v>886</v>
      </c>
      <c r="AJ679" s="213" t="s">
        <v>46</v>
      </c>
      <c r="AK679" s="178"/>
      <c r="AL679" s="210"/>
      <c r="AM679" s="211" t="s">
        <v>886</v>
      </c>
      <c r="AN679" s="213" t="s">
        <v>46</v>
      </c>
      <c r="AO679" s="178"/>
      <c r="AP679" s="210"/>
      <c r="AQ679" s="211" t="s">
        <v>886</v>
      </c>
      <c r="AR679" s="213" t="s">
        <v>46</v>
      </c>
      <c r="AS679" s="178"/>
      <c r="AT679" s="210"/>
      <c r="AU679" s="211" t="s">
        <v>886</v>
      </c>
      <c r="AV679" s="213" t="s">
        <v>46</v>
      </c>
      <c r="AW679" s="178"/>
      <c r="AX679" s="210"/>
      <c r="AY679" s="211" t="s">
        <v>886</v>
      </c>
      <c r="AZ679" s="213" t="s">
        <v>46</v>
      </c>
      <c r="BA679" s="178"/>
      <c r="BB679" s="210"/>
      <c r="BC679" s="211" t="s">
        <v>886</v>
      </c>
      <c r="BD679" s="213" t="s">
        <v>46</v>
      </c>
      <c r="BE679" s="178"/>
      <c r="BF679" s="210"/>
      <c r="BG679" s="211" t="s">
        <v>886</v>
      </c>
      <c r="BH679" s="213" t="s">
        <v>46</v>
      </c>
      <c r="BI679" s="178"/>
      <c r="BJ679" s="210"/>
      <c r="BK679" s="211" t="s">
        <v>886</v>
      </c>
      <c r="BL679" s="213" t="s">
        <v>46</v>
      </c>
      <c r="BM679" s="178"/>
      <c r="BN679" s="210"/>
      <c r="BO679" s="211" t="s">
        <v>886</v>
      </c>
      <c r="BP679" s="213" t="s">
        <v>46</v>
      </c>
      <c r="BQ679" s="178"/>
      <c r="BR679" s="210"/>
      <c r="BS679" s="211" t="s">
        <v>886</v>
      </c>
      <c r="BT679" s="213" t="s">
        <v>46</v>
      </c>
      <c r="BU679" s="178"/>
    </row>
    <row r="680" s="105" customFormat="1" spans="1:73">
      <c r="A680" s="221"/>
      <c r="B680" s="205" t="s">
        <v>46</v>
      </c>
      <c r="C680" s="142"/>
      <c r="D680" s="207"/>
      <c r="E680" s="132"/>
      <c r="F680" s="138"/>
      <c r="G680" s="143" t="s">
        <v>887</v>
      </c>
      <c r="H680" s="167"/>
      <c r="I680" s="178"/>
      <c r="J680" s="210"/>
      <c r="K680" s="211" t="s">
        <v>887</v>
      </c>
      <c r="L680" s="213" t="s">
        <v>46</v>
      </c>
      <c r="M680" s="178"/>
      <c r="N680" s="210"/>
      <c r="O680" s="211" t="s">
        <v>887</v>
      </c>
      <c r="P680" s="213" t="s">
        <v>46</v>
      </c>
      <c r="Q680" s="178"/>
      <c r="R680" s="210"/>
      <c r="S680" s="211" t="s">
        <v>887</v>
      </c>
      <c r="T680" s="213" t="s">
        <v>46</v>
      </c>
      <c r="U680" s="178"/>
      <c r="V680" s="210"/>
      <c r="W680" s="211" t="s">
        <v>887</v>
      </c>
      <c r="X680" s="213" t="s">
        <v>46</v>
      </c>
      <c r="Y680" s="178"/>
      <c r="Z680" s="210"/>
      <c r="AA680" s="211" t="s">
        <v>887</v>
      </c>
      <c r="AB680" s="213" t="s">
        <v>46</v>
      </c>
      <c r="AC680" s="178"/>
      <c r="AD680" s="210"/>
      <c r="AE680" s="211" t="s">
        <v>887</v>
      </c>
      <c r="AF680" s="213" t="s">
        <v>46</v>
      </c>
      <c r="AG680" s="178"/>
      <c r="AH680" s="210"/>
      <c r="AI680" s="211" t="s">
        <v>887</v>
      </c>
      <c r="AJ680" s="213" t="s">
        <v>46</v>
      </c>
      <c r="AK680" s="178"/>
      <c r="AL680" s="210"/>
      <c r="AM680" s="211" t="s">
        <v>887</v>
      </c>
      <c r="AN680" s="213" t="s">
        <v>46</v>
      </c>
      <c r="AO680" s="178"/>
      <c r="AP680" s="210"/>
      <c r="AQ680" s="211" t="s">
        <v>887</v>
      </c>
      <c r="AR680" s="213" t="s">
        <v>46</v>
      </c>
      <c r="AS680" s="178"/>
      <c r="AT680" s="210"/>
      <c r="AU680" s="211" t="s">
        <v>887</v>
      </c>
      <c r="AV680" s="213" t="s">
        <v>46</v>
      </c>
      <c r="AW680" s="178"/>
      <c r="AX680" s="210"/>
      <c r="AY680" s="211" t="s">
        <v>887</v>
      </c>
      <c r="AZ680" s="213" t="s">
        <v>46</v>
      </c>
      <c r="BA680" s="178"/>
      <c r="BB680" s="210"/>
      <c r="BC680" s="211" t="s">
        <v>887</v>
      </c>
      <c r="BD680" s="213" t="s">
        <v>46</v>
      </c>
      <c r="BE680" s="178"/>
      <c r="BF680" s="210"/>
      <c r="BG680" s="211" t="s">
        <v>887</v>
      </c>
      <c r="BH680" s="213" t="s">
        <v>46</v>
      </c>
      <c r="BI680" s="178"/>
      <c r="BJ680" s="210"/>
      <c r="BK680" s="211" t="s">
        <v>887</v>
      </c>
      <c r="BL680" s="213" t="s">
        <v>46</v>
      </c>
      <c r="BM680" s="178"/>
      <c r="BN680" s="210"/>
      <c r="BO680" s="211" t="s">
        <v>887</v>
      </c>
      <c r="BP680" s="213" t="s">
        <v>46</v>
      </c>
      <c r="BQ680" s="178"/>
      <c r="BR680" s="210"/>
      <c r="BS680" s="211" t="s">
        <v>887</v>
      </c>
      <c r="BT680" s="212" t="s">
        <v>591</v>
      </c>
      <c r="BU680" s="178"/>
    </row>
    <row r="681" s="105" customFormat="1" spans="1:73">
      <c r="A681" s="221"/>
      <c r="B681" s="205" t="s">
        <v>46</v>
      </c>
      <c r="C681" s="142"/>
      <c r="D681" s="207"/>
      <c r="E681" s="132"/>
      <c r="F681" s="138"/>
      <c r="G681" s="143" t="s">
        <v>888</v>
      </c>
      <c r="H681" s="167"/>
      <c r="I681" s="178"/>
      <c r="J681" s="210"/>
      <c r="K681" s="211" t="s">
        <v>888</v>
      </c>
      <c r="L681" s="213" t="s">
        <v>46</v>
      </c>
      <c r="M681" s="178"/>
      <c r="N681" s="210"/>
      <c r="O681" s="211" t="s">
        <v>888</v>
      </c>
      <c r="P681" s="213" t="s">
        <v>46</v>
      </c>
      <c r="Q681" s="178"/>
      <c r="R681" s="210"/>
      <c r="S681" s="211" t="s">
        <v>888</v>
      </c>
      <c r="T681" s="213" t="s">
        <v>46</v>
      </c>
      <c r="U681" s="178"/>
      <c r="V681" s="210"/>
      <c r="W681" s="211" t="s">
        <v>888</v>
      </c>
      <c r="X681" s="213" t="s">
        <v>46</v>
      </c>
      <c r="Y681" s="178"/>
      <c r="Z681" s="210"/>
      <c r="AA681" s="211" t="s">
        <v>888</v>
      </c>
      <c r="AB681" s="213" t="s">
        <v>46</v>
      </c>
      <c r="AC681" s="178"/>
      <c r="AD681" s="210"/>
      <c r="AE681" s="211" t="s">
        <v>888</v>
      </c>
      <c r="AF681" s="213" t="s">
        <v>46</v>
      </c>
      <c r="AG681" s="178"/>
      <c r="AH681" s="210"/>
      <c r="AI681" s="211" t="s">
        <v>888</v>
      </c>
      <c r="AJ681" s="213" t="s">
        <v>46</v>
      </c>
      <c r="AK681" s="178"/>
      <c r="AL681" s="210"/>
      <c r="AM681" s="211" t="s">
        <v>888</v>
      </c>
      <c r="AN681" s="213" t="s">
        <v>46</v>
      </c>
      <c r="AO681" s="178"/>
      <c r="AP681" s="210"/>
      <c r="AQ681" s="211" t="s">
        <v>888</v>
      </c>
      <c r="AR681" s="213" t="s">
        <v>46</v>
      </c>
      <c r="AS681" s="178"/>
      <c r="AT681" s="210"/>
      <c r="AU681" s="211" t="s">
        <v>888</v>
      </c>
      <c r="AV681" s="213" t="s">
        <v>46</v>
      </c>
      <c r="AW681" s="178"/>
      <c r="AX681" s="210"/>
      <c r="AY681" s="211" t="s">
        <v>888</v>
      </c>
      <c r="AZ681" s="213" t="s">
        <v>46</v>
      </c>
      <c r="BA681" s="178"/>
      <c r="BB681" s="210"/>
      <c r="BC681" s="211" t="s">
        <v>888</v>
      </c>
      <c r="BD681" s="213" t="s">
        <v>46</v>
      </c>
      <c r="BE681" s="178"/>
      <c r="BF681" s="210"/>
      <c r="BG681" s="211" t="s">
        <v>888</v>
      </c>
      <c r="BH681" s="213" t="s">
        <v>46</v>
      </c>
      <c r="BI681" s="178"/>
      <c r="BJ681" s="210"/>
      <c r="BK681" s="211" t="s">
        <v>888</v>
      </c>
      <c r="BL681" s="213" t="s">
        <v>46</v>
      </c>
      <c r="BM681" s="178"/>
      <c r="BN681" s="210"/>
      <c r="BO681" s="211" t="s">
        <v>888</v>
      </c>
      <c r="BP681" s="213" t="s">
        <v>46</v>
      </c>
      <c r="BQ681" s="178"/>
      <c r="BR681" s="210"/>
      <c r="BS681" s="211" t="s">
        <v>888</v>
      </c>
      <c r="BT681" s="213" t="s">
        <v>46</v>
      </c>
      <c r="BU681" s="178"/>
    </row>
    <row r="682" s="105" customFormat="1" spans="1:73">
      <c r="A682" s="221"/>
      <c r="B682" s="205" t="s">
        <v>46</v>
      </c>
      <c r="C682" s="142"/>
      <c r="D682" s="207"/>
      <c r="E682" s="132"/>
      <c r="F682" s="138"/>
      <c r="G682" s="143" t="s">
        <v>889</v>
      </c>
      <c r="H682" s="167"/>
      <c r="I682" s="178"/>
      <c r="J682" s="210"/>
      <c r="K682" s="211" t="s">
        <v>889</v>
      </c>
      <c r="L682" s="213" t="s">
        <v>46</v>
      </c>
      <c r="M682" s="178"/>
      <c r="N682" s="210"/>
      <c r="O682" s="211" t="s">
        <v>889</v>
      </c>
      <c r="P682" s="213" t="s">
        <v>46</v>
      </c>
      <c r="Q682" s="178"/>
      <c r="R682" s="210"/>
      <c r="S682" s="211" t="s">
        <v>889</v>
      </c>
      <c r="T682" s="213" t="s">
        <v>46</v>
      </c>
      <c r="U682" s="178"/>
      <c r="V682" s="210"/>
      <c r="W682" s="211" t="s">
        <v>889</v>
      </c>
      <c r="X682" s="213" t="s">
        <v>46</v>
      </c>
      <c r="Y682" s="178"/>
      <c r="Z682" s="210"/>
      <c r="AA682" s="211" t="s">
        <v>889</v>
      </c>
      <c r="AB682" s="213" t="s">
        <v>46</v>
      </c>
      <c r="AC682" s="178"/>
      <c r="AD682" s="210"/>
      <c r="AE682" s="211" t="s">
        <v>889</v>
      </c>
      <c r="AF682" s="213" t="s">
        <v>46</v>
      </c>
      <c r="AG682" s="178"/>
      <c r="AH682" s="210"/>
      <c r="AI682" s="211" t="s">
        <v>889</v>
      </c>
      <c r="AJ682" s="213" t="s">
        <v>46</v>
      </c>
      <c r="AK682" s="178"/>
      <c r="AL682" s="210"/>
      <c r="AM682" s="211" t="s">
        <v>889</v>
      </c>
      <c r="AN682" s="213" t="s">
        <v>46</v>
      </c>
      <c r="AO682" s="178"/>
      <c r="AP682" s="210"/>
      <c r="AQ682" s="211" t="s">
        <v>889</v>
      </c>
      <c r="AR682" s="213" t="s">
        <v>46</v>
      </c>
      <c r="AS682" s="178"/>
      <c r="AT682" s="210"/>
      <c r="AU682" s="211" t="s">
        <v>889</v>
      </c>
      <c r="AV682" s="213" t="s">
        <v>46</v>
      </c>
      <c r="AW682" s="178"/>
      <c r="AX682" s="210"/>
      <c r="AY682" s="211" t="s">
        <v>889</v>
      </c>
      <c r="AZ682" s="213" t="s">
        <v>46</v>
      </c>
      <c r="BA682" s="178"/>
      <c r="BB682" s="210"/>
      <c r="BC682" s="211" t="s">
        <v>889</v>
      </c>
      <c r="BD682" s="213" t="s">
        <v>46</v>
      </c>
      <c r="BE682" s="178"/>
      <c r="BF682" s="210"/>
      <c r="BG682" s="211" t="s">
        <v>889</v>
      </c>
      <c r="BH682" s="213" t="s">
        <v>46</v>
      </c>
      <c r="BI682" s="178"/>
      <c r="BJ682" s="210"/>
      <c r="BK682" s="211" t="s">
        <v>889</v>
      </c>
      <c r="BL682" s="213" t="s">
        <v>46</v>
      </c>
      <c r="BM682" s="178"/>
      <c r="BN682" s="210"/>
      <c r="BO682" s="211" t="s">
        <v>889</v>
      </c>
      <c r="BP682" s="213" t="s">
        <v>46</v>
      </c>
      <c r="BQ682" s="178"/>
      <c r="BR682" s="210"/>
      <c r="BS682" s="211" t="s">
        <v>889</v>
      </c>
      <c r="BT682" s="212" t="s">
        <v>255</v>
      </c>
      <c r="BU682" s="178"/>
    </row>
    <row r="683" s="105" customFormat="1" spans="1:73">
      <c r="A683" s="221"/>
      <c r="B683" s="205" t="s">
        <v>46</v>
      </c>
      <c r="C683" s="142"/>
      <c r="D683" s="207"/>
      <c r="E683" s="132"/>
      <c r="F683" s="138"/>
      <c r="G683" s="143" t="s">
        <v>890</v>
      </c>
      <c r="H683" s="167"/>
      <c r="I683" s="178"/>
      <c r="J683" s="210"/>
      <c r="K683" s="211" t="s">
        <v>890</v>
      </c>
      <c r="L683" s="213" t="s">
        <v>46</v>
      </c>
      <c r="M683" s="178"/>
      <c r="N683" s="210"/>
      <c r="O683" s="211" t="s">
        <v>890</v>
      </c>
      <c r="P683" s="213" t="s">
        <v>46</v>
      </c>
      <c r="Q683" s="178"/>
      <c r="R683" s="210"/>
      <c r="S683" s="211" t="s">
        <v>890</v>
      </c>
      <c r="T683" s="213" t="s">
        <v>46</v>
      </c>
      <c r="U683" s="178"/>
      <c r="V683" s="210"/>
      <c r="W683" s="211" t="s">
        <v>890</v>
      </c>
      <c r="X683" s="213" t="s">
        <v>46</v>
      </c>
      <c r="Y683" s="178"/>
      <c r="Z683" s="210"/>
      <c r="AA683" s="211" t="s">
        <v>890</v>
      </c>
      <c r="AB683" s="213" t="s">
        <v>46</v>
      </c>
      <c r="AC683" s="178"/>
      <c r="AD683" s="210"/>
      <c r="AE683" s="211" t="s">
        <v>890</v>
      </c>
      <c r="AF683" s="213" t="s">
        <v>46</v>
      </c>
      <c r="AG683" s="178"/>
      <c r="AH683" s="210"/>
      <c r="AI683" s="211" t="s">
        <v>890</v>
      </c>
      <c r="AJ683" s="213" t="s">
        <v>46</v>
      </c>
      <c r="AK683" s="178"/>
      <c r="AL683" s="210"/>
      <c r="AM683" s="211" t="s">
        <v>890</v>
      </c>
      <c r="AN683" s="213" t="s">
        <v>46</v>
      </c>
      <c r="AO683" s="178"/>
      <c r="AP683" s="210"/>
      <c r="AQ683" s="211" t="s">
        <v>890</v>
      </c>
      <c r="AR683" s="212" t="s">
        <v>243</v>
      </c>
      <c r="AS683" s="178"/>
      <c r="AT683" s="210"/>
      <c r="AU683" s="211" t="s">
        <v>890</v>
      </c>
      <c r="AV683" s="213" t="s">
        <v>46</v>
      </c>
      <c r="AW683" s="178"/>
      <c r="AX683" s="210"/>
      <c r="AY683" s="211" t="s">
        <v>890</v>
      </c>
      <c r="AZ683" s="213" t="s">
        <v>46</v>
      </c>
      <c r="BA683" s="178"/>
      <c r="BB683" s="210"/>
      <c r="BC683" s="211" t="s">
        <v>890</v>
      </c>
      <c r="BD683" s="213" t="s">
        <v>46</v>
      </c>
      <c r="BE683" s="178"/>
      <c r="BF683" s="210"/>
      <c r="BG683" s="211" t="s">
        <v>890</v>
      </c>
      <c r="BH683" s="212" t="s">
        <v>243</v>
      </c>
      <c r="BI683" s="178"/>
      <c r="BJ683" s="210"/>
      <c r="BK683" s="211" t="s">
        <v>890</v>
      </c>
      <c r="BL683" s="213" t="s">
        <v>46</v>
      </c>
      <c r="BM683" s="178"/>
      <c r="BN683" s="210"/>
      <c r="BO683" s="211" t="s">
        <v>890</v>
      </c>
      <c r="BP683" s="212" t="s">
        <v>243</v>
      </c>
      <c r="BQ683" s="178"/>
      <c r="BR683" s="210"/>
      <c r="BS683" s="211" t="s">
        <v>890</v>
      </c>
      <c r="BT683" s="212" t="s">
        <v>186</v>
      </c>
      <c r="BU683" s="178"/>
    </row>
    <row r="684" s="105" customFormat="1" spans="1:73">
      <c r="A684" s="221"/>
      <c r="B684" s="205" t="s">
        <v>46</v>
      </c>
      <c r="C684" s="142"/>
      <c r="D684" s="207"/>
      <c r="E684" s="132"/>
      <c r="F684" s="138"/>
      <c r="G684" s="143" t="s">
        <v>891</v>
      </c>
      <c r="H684" s="167"/>
      <c r="I684" s="178"/>
      <c r="J684" s="210"/>
      <c r="K684" s="211" t="s">
        <v>891</v>
      </c>
      <c r="L684" s="213" t="s">
        <v>46</v>
      </c>
      <c r="M684" s="178"/>
      <c r="N684" s="210"/>
      <c r="O684" s="211" t="s">
        <v>891</v>
      </c>
      <c r="P684" s="213" t="s">
        <v>46</v>
      </c>
      <c r="Q684" s="178"/>
      <c r="R684" s="210"/>
      <c r="S684" s="211" t="s">
        <v>891</v>
      </c>
      <c r="T684" s="213" t="s">
        <v>46</v>
      </c>
      <c r="U684" s="178"/>
      <c r="V684" s="210"/>
      <c r="W684" s="211" t="s">
        <v>891</v>
      </c>
      <c r="X684" s="212" t="s">
        <v>118</v>
      </c>
      <c r="Y684" s="178"/>
      <c r="Z684" s="210"/>
      <c r="AA684" s="211" t="s">
        <v>891</v>
      </c>
      <c r="AB684" s="213" t="s">
        <v>46</v>
      </c>
      <c r="AC684" s="178"/>
      <c r="AD684" s="210"/>
      <c r="AE684" s="211" t="s">
        <v>891</v>
      </c>
      <c r="AF684" s="212" t="s">
        <v>125</v>
      </c>
      <c r="AG684" s="178"/>
      <c r="AH684" s="210"/>
      <c r="AI684" s="211" t="s">
        <v>891</v>
      </c>
      <c r="AJ684" s="213" t="s">
        <v>46</v>
      </c>
      <c r="AK684" s="178"/>
      <c r="AL684" s="210"/>
      <c r="AM684" s="211" t="s">
        <v>891</v>
      </c>
      <c r="AN684" s="213" t="s">
        <v>46</v>
      </c>
      <c r="AO684" s="178"/>
      <c r="AP684" s="210"/>
      <c r="AQ684" s="211" t="s">
        <v>891</v>
      </c>
      <c r="AR684" s="212" t="s">
        <v>348</v>
      </c>
      <c r="AS684" s="178"/>
      <c r="AT684" s="210"/>
      <c r="AU684" s="211" t="s">
        <v>891</v>
      </c>
      <c r="AV684" s="213" t="s">
        <v>46</v>
      </c>
      <c r="AW684" s="178"/>
      <c r="AX684" s="210"/>
      <c r="AY684" s="211" t="s">
        <v>891</v>
      </c>
      <c r="AZ684" s="212" t="s">
        <v>118</v>
      </c>
      <c r="BA684" s="178"/>
      <c r="BB684" s="210"/>
      <c r="BC684" s="211" t="s">
        <v>891</v>
      </c>
      <c r="BD684" s="213" t="s">
        <v>46</v>
      </c>
      <c r="BE684" s="178"/>
      <c r="BF684" s="210"/>
      <c r="BG684" s="211" t="s">
        <v>891</v>
      </c>
      <c r="BH684" s="212" t="s">
        <v>348</v>
      </c>
      <c r="BI684" s="178"/>
      <c r="BJ684" s="210"/>
      <c r="BK684" s="211" t="s">
        <v>891</v>
      </c>
      <c r="BL684" s="212" t="s">
        <v>125</v>
      </c>
      <c r="BM684" s="178"/>
      <c r="BN684" s="210"/>
      <c r="BO684" s="211" t="s">
        <v>891</v>
      </c>
      <c r="BP684" s="212" t="s">
        <v>348</v>
      </c>
      <c r="BQ684" s="178"/>
      <c r="BR684" s="210"/>
      <c r="BS684" s="211" t="s">
        <v>891</v>
      </c>
      <c r="BT684" s="212" t="s">
        <v>551</v>
      </c>
      <c r="BU684" s="178"/>
    </row>
    <row r="685" s="105" customFormat="1" spans="1:73">
      <c r="A685" s="221"/>
      <c r="B685" s="205" t="s">
        <v>46</v>
      </c>
      <c r="C685" s="142"/>
      <c r="D685" s="207"/>
      <c r="E685" s="132"/>
      <c r="F685" s="138"/>
      <c r="G685" s="143" t="s">
        <v>892</v>
      </c>
      <c r="H685" s="167"/>
      <c r="I685" s="178"/>
      <c r="J685" s="210"/>
      <c r="K685" s="211" t="s">
        <v>892</v>
      </c>
      <c r="L685" s="213" t="s">
        <v>46</v>
      </c>
      <c r="M685" s="178"/>
      <c r="N685" s="210"/>
      <c r="O685" s="211" t="s">
        <v>892</v>
      </c>
      <c r="P685" s="213" t="s">
        <v>46</v>
      </c>
      <c r="Q685" s="178"/>
      <c r="R685" s="210"/>
      <c r="S685" s="211" t="s">
        <v>892</v>
      </c>
      <c r="T685" s="213" t="s">
        <v>46</v>
      </c>
      <c r="U685" s="178"/>
      <c r="V685" s="210"/>
      <c r="W685" s="211" t="s">
        <v>892</v>
      </c>
      <c r="X685" s="213" t="s">
        <v>46</v>
      </c>
      <c r="Y685" s="178"/>
      <c r="Z685" s="210"/>
      <c r="AA685" s="211" t="s">
        <v>892</v>
      </c>
      <c r="AB685" s="213" t="s">
        <v>46</v>
      </c>
      <c r="AC685" s="178"/>
      <c r="AD685" s="210"/>
      <c r="AE685" s="211" t="s">
        <v>892</v>
      </c>
      <c r="AF685" s="213" t="s">
        <v>46</v>
      </c>
      <c r="AG685" s="178"/>
      <c r="AH685" s="210"/>
      <c r="AI685" s="211" t="s">
        <v>892</v>
      </c>
      <c r="AJ685" s="213" t="s">
        <v>46</v>
      </c>
      <c r="AK685" s="178"/>
      <c r="AL685" s="210"/>
      <c r="AM685" s="211" t="s">
        <v>892</v>
      </c>
      <c r="AN685" s="213" t="s">
        <v>46</v>
      </c>
      <c r="AO685" s="178"/>
      <c r="AP685" s="210"/>
      <c r="AQ685" s="211" t="s">
        <v>892</v>
      </c>
      <c r="AR685" s="212" t="s">
        <v>243</v>
      </c>
      <c r="AS685" s="178"/>
      <c r="AT685" s="210"/>
      <c r="AU685" s="211" t="s">
        <v>892</v>
      </c>
      <c r="AV685" s="213" t="s">
        <v>46</v>
      </c>
      <c r="AW685" s="178"/>
      <c r="AX685" s="210"/>
      <c r="AY685" s="211" t="s">
        <v>892</v>
      </c>
      <c r="AZ685" s="213" t="s">
        <v>46</v>
      </c>
      <c r="BA685" s="178"/>
      <c r="BB685" s="210"/>
      <c r="BC685" s="211" t="s">
        <v>892</v>
      </c>
      <c r="BD685" s="213" t="s">
        <v>46</v>
      </c>
      <c r="BE685" s="178"/>
      <c r="BF685" s="210"/>
      <c r="BG685" s="211" t="s">
        <v>892</v>
      </c>
      <c r="BH685" s="212" t="s">
        <v>243</v>
      </c>
      <c r="BI685" s="178"/>
      <c r="BJ685" s="210"/>
      <c r="BK685" s="211" t="s">
        <v>892</v>
      </c>
      <c r="BL685" s="213" t="s">
        <v>46</v>
      </c>
      <c r="BM685" s="178"/>
      <c r="BN685" s="210"/>
      <c r="BO685" s="211" t="s">
        <v>892</v>
      </c>
      <c r="BP685" s="212" t="s">
        <v>243</v>
      </c>
      <c r="BQ685" s="178"/>
      <c r="BR685" s="210"/>
      <c r="BS685" s="211" t="s">
        <v>892</v>
      </c>
      <c r="BT685" s="213" t="s">
        <v>46</v>
      </c>
      <c r="BU685" s="178"/>
    </row>
    <row r="686" s="105" customFormat="1" spans="1:73">
      <c r="A686" s="221"/>
      <c r="B686" s="205" t="s">
        <v>46</v>
      </c>
      <c r="C686" s="142"/>
      <c r="D686" s="207"/>
      <c r="E686" s="132"/>
      <c r="F686" s="138"/>
      <c r="G686" s="143" t="s">
        <v>893</v>
      </c>
      <c r="H686" s="167"/>
      <c r="I686" s="178"/>
      <c r="J686" s="210"/>
      <c r="K686" s="211" t="s">
        <v>893</v>
      </c>
      <c r="L686" s="213" t="s">
        <v>46</v>
      </c>
      <c r="M686" s="178"/>
      <c r="N686" s="210"/>
      <c r="O686" s="211" t="s">
        <v>893</v>
      </c>
      <c r="P686" s="213" t="s">
        <v>46</v>
      </c>
      <c r="Q686" s="178"/>
      <c r="R686" s="210"/>
      <c r="S686" s="211" t="s">
        <v>893</v>
      </c>
      <c r="T686" s="213" t="s">
        <v>46</v>
      </c>
      <c r="U686" s="178"/>
      <c r="V686" s="210"/>
      <c r="W686" s="211" t="s">
        <v>893</v>
      </c>
      <c r="X686" s="212" t="s">
        <v>118</v>
      </c>
      <c r="Y686" s="178"/>
      <c r="Z686" s="210"/>
      <c r="AA686" s="211" t="s">
        <v>893</v>
      </c>
      <c r="AB686" s="213" t="s">
        <v>46</v>
      </c>
      <c r="AC686" s="178"/>
      <c r="AD686" s="210"/>
      <c r="AE686" s="211" t="s">
        <v>893</v>
      </c>
      <c r="AF686" s="212" t="s">
        <v>125</v>
      </c>
      <c r="AG686" s="178"/>
      <c r="AH686" s="210"/>
      <c r="AI686" s="211" t="s">
        <v>893</v>
      </c>
      <c r="AJ686" s="213" t="s">
        <v>46</v>
      </c>
      <c r="AK686" s="178"/>
      <c r="AL686" s="210"/>
      <c r="AM686" s="211" t="s">
        <v>893</v>
      </c>
      <c r="AN686" s="213" t="s">
        <v>46</v>
      </c>
      <c r="AO686" s="178"/>
      <c r="AP686" s="210"/>
      <c r="AQ686" s="211" t="s">
        <v>893</v>
      </c>
      <c r="AR686" s="212" t="s">
        <v>348</v>
      </c>
      <c r="AS686" s="178"/>
      <c r="AT686" s="210"/>
      <c r="AU686" s="211" t="s">
        <v>893</v>
      </c>
      <c r="AV686" s="213" t="s">
        <v>46</v>
      </c>
      <c r="AW686" s="178"/>
      <c r="AX686" s="210"/>
      <c r="AY686" s="211" t="s">
        <v>893</v>
      </c>
      <c r="AZ686" s="212" t="s">
        <v>118</v>
      </c>
      <c r="BA686" s="178"/>
      <c r="BB686" s="210"/>
      <c r="BC686" s="211" t="s">
        <v>893</v>
      </c>
      <c r="BD686" s="213" t="s">
        <v>46</v>
      </c>
      <c r="BE686" s="178"/>
      <c r="BF686" s="210"/>
      <c r="BG686" s="211" t="s">
        <v>893</v>
      </c>
      <c r="BH686" s="212" t="s">
        <v>348</v>
      </c>
      <c r="BI686" s="178"/>
      <c r="BJ686" s="210"/>
      <c r="BK686" s="211" t="s">
        <v>893</v>
      </c>
      <c r="BL686" s="212" t="s">
        <v>125</v>
      </c>
      <c r="BM686" s="178"/>
      <c r="BN686" s="210"/>
      <c r="BO686" s="211" t="s">
        <v>893</v>
      </c>
      <c r="BP686" s="212" t="s">
        <v>348</v>
      </c>
      <c r="BQ686" s="178"/>
      <c r="BR686" s="210"/>
      <c r="BS686" s="211" t="s">
        <v>893</v>
      </c>
      <c r="BT686" s="212" t="s">
        <v>262</v>
      </c>
      <c r="BU686" s="178"/>
    </row>
    <row r="687" s="105" customFormat="1" spans="1:73">
      <c r="A687" s="221"/>
      <c r="B687" s="205" t="s">
        <v>46</v>
      </c>
      <c r="C687" s="142"/>
      <c r="D687" s="207"/>
      <c r="E687" s="132"/>
      <c r="F687" s="138"/>
      <c r="G687" s="143" t="s">
        <v>894</v>
      </c>
      <c r="H687" s="167"/>
      <c r="I687" s="178"/>
      <c r="J687" s="210"/>
      <c r="K687" s="211" t="s">
        <v>894</v>
      </c>
      <c r="L687" s="213" t="s">
        <v>46</v>
      </c>
      <c r="M687" s="178"/>
      <c r="N687" s="210"/>
      <c r="O687" s="211" t="s">
        <v>894</v>
      </c>
      <c r="P687" s="213" t="s">
        <v>46</v>
      </c>
      <c r="Q687" s="178"/>
      <c r="R687" s="210"/>
      <c r="S687" s="211" t="s">
        <v>894</v>
      </c>
      <c r="T687" s="213" t="s">
        <v>46</v>
      </c>
      <c r="U687" s="178"/>
      <c r="V687" s="210"/>
      <c r="W687" s="211" t="s">
        <v>894</v>
      </c>
      <c r="X687" s="213" t="s">
        <v>46</v>
      </c>
      <c r="Y687" s="178"/>
      <c r="Z687" s="210"/>
      <c r="AA687" s="211" t="s">
        <v>894</v>
      </c>
      <c r="AB687" s="213" t="s">
        <v>46</v>
      </c>
      <c r="AC687" s="178"/>
      <c r="AD687" s="210"/>
      <c r="AE687" s="211" t="s">
        <v>894</v>
      </c>
      <c r="AF687" s="213" t="s">
        <v>46</v>
      </c>
      <c r="AG687" s="178"/>
      <c r="AH687" s="210"/>
      <c r="AI687" s="211" t="s">
        <v>894</v>
      </c>
      <c r="AJ687" s="213" t="s">
        <v>46</v>
      </c>
      <c r="AK687" s="178"/>
      <c r="AL687" s="210"/>
      <c r="AM687" s="211" t="s">
        <v>894</v>
      </c>
      <c r="AN687" s="213" t="s">
        <v>46</v>
      </c>
      <c r="AO687" s="178"/>
      <c r="AP687" s="210"/>
      <c r="AQ687" s="211" t="s">
        <v>894</v>
      </c>
      <c r="AR687" s="213" t="s">
        <v>46</v>
      </c>
      <c r="AS687" s="178"/>
      <c r="AT687" s="210"/>
      <c r="AU687" s="211" t="s">
        <v>894</v>
      </c>
      <c r="AV687" s="213" t="s">
        <v>46</v>
      </c>
      <c r="AW687" s="178"/>
      <c r="AX687" s="210"/>
      <c r="AY687" s="211" t="s">
        <v>894</v>
      </c>
      <c r="AZ687" s="213" t="s">
        <v>46</v>
      </c>
      <c r="BA687" s="178"/>
      <c r="BB687" s="210"/>
      <c r="BC687" s="211" t="s">
        <v>894</v>
      </c>
      <c r="BD687" s="213" t="s">
        <v>46</v>
      </c>
      <c r="BE687" s="178"/>
      <c r="BF687" s="210"/>
      <c r="BG687" s="211" t="s">
        <v>894</v>
      </c>
      <c r="BH687" s="213" t="s">
        <v>46</v>
      </c>
      <c r="BI687" s="178"/>
      <c r="BJ687" s="210"/>
      <c r="BK687" s="211" t="s">
        <v>894</v>
      </c>
      <c r="BL687" s="213" t="s">
        <v>46</v>
      </c>
      <c r="BM687" s="178"/>
      <c r="BN687" s="210"/>
      <c r="BO687" s="211" t="s">
        <v>894</v>
      </c>
      <c r="BP687" s="213" t="s">
        <v>46</v>
      </c>
      <c r="BQ687" s="178"/>
      <c r="BR687" s="210"/>
      <c r="BS687" s="211" t="s">
        <v>894</v>
      </c>
      <c r="BT687" s="213" t="s">
        <v>46</v>
      </c>
      <c r="BU687" s="178"/>
    </row>
    <row r="688" s="105" customFormat="1" spans="1:73">
      <c r="A688" s="221"/>
      <c r="B688" s="205" t="s">
        <v>46</v>
      </c>
      <c r="C688" s="142"/>
      <c r="D688" s="207"/>
      <c r="E688" s="132"/>
      <c r="F688" s="138"/>
      <c r="G688" s="143" t="s">
        <v>895</v>
      </c>
      <c r="H688" s="167"/>
      <c r="I688" s="178"/>
      <c r="J688" s="210"/>
      <c r="K688" s="211" t="s">
        <v>895</v>
      </c>
      <c r="L688" s="213" t="s">
        <v>46</v>
      </c>
      <c r="M688" s="178"/>
      <c r="N688" s="210"/>
      <c r="O688" s="211" t="s">
        <v>895</v>
      </c>
      <c r="P688" s="213" t="s">
        <v>46</v>
      </c>
      <c r="Q688" s="178"/>
      <c r="R688" s="210"/>
      <c r="S688" s="211" t="s">
        <v>895</v>
      </c>
      <c r="T688" s="213" t="s">
        <v>46</v>
      </c>
      <c r="U688" s="178"/>
      <c r="V688" s="210"/>
      <c r="W688" s="211" t="s">
        <v>895</v>
      </c>
      <c r="X688" s="213" t="s">
        <v>46</v>
      </c>
      <c r="Y688" s="178"/>
      <c r="Z688" s="210"/>
      <c r="AA688" s="211" t="s">
        <v>895</v>
      </c>
      <c r="AB688" s="213" t="s">
        <v>46</v>
      </c>
      <c r="AC688" s="178"/>
      <c r="AD688" s="210"/>
      <c r="AE688" s="211" t="s">
        <v>895</v>
      </c>
      <c r="AF688" s="213" t="s">
        <v>46</v>
      </c>
      <c r="AG688" s="178"/>
      <c r="AH688" s="210"/>
      <c r="AI688" s="211" t="s">
        <v>895</v>
      </c>
      <c r="AJ688" s="213" t="s">
        <v>46</v>
      </c>
      <c r="AK688" s="178"/>
      <c r="AL688" s="210"/>
      <c r="AM688" s="211" t="s">
        <v>895</v>
      </c>
      <c r="AN688" s="213" t="s">
        <v>46</v>
      </c>
      <c r="AO688" s="178"/>
      <c r="AP688" s="210"/>
      <c r="AQ688" s="211" t="s">
        <v>895</v>
      </c>
      <c r="AR688" s="213" t="s">
        <v>46</v>
      </c>
      <c r="AS688" s="178"/>
      <c r="AT688" s="210"/>
      <c r="AU688" s="211" t="s">
        <v>895</v>
      </c>
      <c r="AV688" s="213" t="s">
        <v>46</v>
      </c>
      <c r="AW688" s="178"/>
      <c r="AX688" s="210"/>
      <c r="AY688" s="211" t="s">
        <v>895</v>
      </c>
      <c r="AZ688" s="213" t="s">
        <v>46</v>
      </c>
      <c r="BA688" s="178"/>
      <c r="BB688" s="210"/>
      <c r="BC688" s="211" t="s">
        <v>895</v>
      </c>
      <c r="BD688" s="213" t="s">
        <v>46</v>
      </c>
      <c r="BE688" s="178"/>
      <c r="BF688" s="210"/>
      <c r="BG688" s="211" t="s">
        <v>895</v>
      </c>
      <c r="BH688" s="213" t="s">
        <v>46</v>
      </c>
      <c r="BI688" s="178"/>
      <c r="BJ688" s="210"/>
      <c r="BK688" s="211" t="s">
        <v>895</v>
      </c>
      <c r="BL688" s="213" t="s">
        <v>46</v>
      </c>
      <c r="BM688" s="178"/>
      <c r="BN688" s="210"/>
      <c r="BO688" s="211" t="s">
        <v>895</v>
      </c>
      <c r="BP688" s="213" t="s">
        <v>46</v>
      </c>
      <c r="BQ688" s="178"/>
      <c r="BR688" s="210"/>
      <c r="BS688" s="211" t="s">
        <v>895</v>
      </c>
      <c r="BT688" s="213" t="s">
        <v>46</v>
      </c>
      <c r="BU688" s="178"/>
    </row>
    <row r="689" s="105" customFormat="1" spans="1:73">
      <c r="A689" s="221"/>
      <c r="B689" s="205" t="s">
        <v>46</v>
      </c>
      <c r="C689" s="142"/>
      <c r="D689" s="207"/>
      <c r="E689" s="132"/>
      <c r="F689" s="138"/>
      <c r="G689" s="143" t="s">
        <v>896</v>
      </c>
      <c r="H689" s="167"/>
      <c r="I689" s="178"/>
      <c r="J689" s="210"/>
      <c r="K689" s="211" t="s">
        <v>896</v>
      </c>
      <c r="L689" s="213" t="s">
        <v>46</v>
      </c>
      <c r="M689" s="178"/>
      <c r="N689" s="210"/>
      <c r="O689" s="211" t="s">
        <v>896</v>
      </c>
      <c r="P689" s="213" t="s">
        <v>46</v>
      </c>
      <c r="Q689" s="178"/>
      <c r="R689" s="210"/>
      <c r="S689" s="211" t="s">
        <v>896</v>
      </c>
      <c r="T689" s="213" t="s">
        <v>46</v>
      </c>
      <c r="U689" s="178"/>
      <c r="V689" s="210"/>
      <c r="W689" s="211" t="s">
        <v>896</v>
      </c>
      <c r="X689" s="213" t="s">
        <v>46</v>
      </c>
      <c r="Y689" s="178"/>
      <c r="Z689" s="210"/>
      <c r="AA689" s="211" t="s">
        <v>896</v>
      </c>
      <c r="AB689" s="213" t="s">
        <v>46</v>
      </c>
      <c r="AC689" s="178"/>
      <c r="AD689" s="210"/>
      <c r="AE689" s="211" t="s">
        <v>896</v>
      </c>
      <c r="AF689" s="213" t="s">
        <v>46</v>
      </c>
      <c r="AG689" s="178"/>
      <c r="AH689" s="210"/>
      <c r="AI689" s="211" t="s">
        <v>896</v>
      </c>
      <c r="AJ689" s="213" t="s">
        <v>46</v>
      </c>
      <c r="AK689" s="178"/>
      <c r="AL689" s="210"/>
      <c r="AM689" s="211" t="s">
        <v>896</v>
      </c>
      <c r="AN689" s="213" t="s">
        <v>46</v>
      </c>
      <c r="AO689" s="178"/>
      <c r="AP689" s="210"/>
      <c r="AQ689" s="211" t="s">
        <v>896</v>
      </c>
      <c r="AR689" s="213" t="s">
        <v>46</v>
      </c>
      <c r="AS689" s="178"/>
      <c r="AT689" s="210"/>
      <c r="AU689" s="211" t="s">
        <v>896</v>
      </c>
      <c r="AV689" s="213" t="s">
        <v>46</v>
      </c>
      <c r="AW689" s="178"/>
      <c r="AX689" s="210"/>
      <c r="AY689" s="211" t="s">
        <v>896</v>
      </c>
      <c r="AZ689" s="213" t="s">
        <v>46</v>
      </c>
      <c r="BA689" s="178"/>
      <c r="BB689" s="210"/>
      <c r="BC689" s="211" t="s">
        <v>896</v>
      </c>
      <c r="BD689" s="213" t="s">
        <v>46</v>
      </c>
      <c r="BE689" s="178"/>
      <c r="BF689" s="210"/>
      <c r="BG689" s="211" t="s">
        <v>896</v>
      </c>
      <c r="BH689" s="213" t="s">
        <v>46</v>
      </c>
      <c r="BI689" s="178"/>
      <c r="BJ689" s="210"/>
      <c r="BK689" s="211" t="s">
        <v>896</v>
      </c>
      <c r="BL689" s="213" t="s">
        <v>46</v>
      </c>
      <c r="BM689" s="178"/>
      <c r="BN689" s="210"/>
      <c r="BO689" s="211" t="s">
        <v>896</v>
      </c>
      <c r="BP689" s="213" t="s">
        <v>46</v>
      </c>
      <c r="BQ689" s="178"/>
      <c r="BR689" s="210"/>
      <c r="BS689" s="211" t="s">
        <v>896</v>
      </c>
      <c r="BT689" s="213" t="s">
        <v>46</v>
      </c>
      <c r="BU689" s="178"/>
    </row>
    <row r="690" s="105" customFormat="1" spans="1:73">
      <c r="A690" s="221"/>
      <c r="B690" s="205" t="s">
        <v>46</v>
      </c>
      <c r="C690" s="142"/>
      <c r="D690" s="207"/>
      <c r="E690" s="132"/>
      <c r="F690" s="138"/>
      <c r="G690" s="143" t="s">
        <v>897</v>
      </c>
      <c r="H690" s="167"/>
      <c r="I690" s="178"/>
      <c r="J690" s="210"/>
      <c r="K690" s="211" t="s">
        <v>897</v>
      </c>
      <c r="L690" s="213" t="s">
        <v>46</v>
      </c>
      <c r="M690" s="178"/>
      <c r="N690" s="210"/>
      <c r="O690" s="211" t="s">
        <v>897</v>
      </c>
      <c r="P690" s="213" t="s">
        <v>46</v>
      </c>
      <c r="Q690" s="178"/>
      <c r="R690" s="210"/>
      <c r="S690" s="211" t="s">
        <v>897</v>
      </c>
      <c r="T690" s="213" t="s">
        <v>46</v>
      </c>
      <c r="U690" s="178"/>
      <c r="V690" s="210"/>
      <c r="W690" s="211" t="s">
        <v>897</v>
      </c>
      <c r="X690" s="213" t="s">
        <v>46</v>
      </c>
      <c r="Y690" s="178"/>
      <c r="Z690" s="210"/>
      <c r="AA690" s="211" t="s">
        <v>897</v>
      </c>
      <c r="AB690" s="213" t="s">
        <v>46</v>
      </c>
      <c r="AC690" s="178"/>
      <c r="AD690" s="210"/>
      <c r="AE690" s="211" t="s">
        <v>897</v>
      </c>
      <c r="AF690" s="213" t="s">
        <v>46</v>
      </c>
      <c r="AG690" s="178"/>
      <c r="AH690" s="210"/>
      <c r="AI690" s="211" t="s">
        <v>897</v>
      </c>
      <c r="AJ690" s="213" t="s">
        <v>46</v>
      </c>
      <c r="AK690" s="178"/>
      <c r="AL690" s="210"/>
      <c r="AM690" s="211" t="s">
        <v>897</v>
      </c>
      <c r="AN690" s="213" t="s">
        <v>46</v>
      </c>
      <c r="AO690" s="178"/>
      <c r="AP690" s="210"/>
      <c r="AQ690" s="211" t="s">
        <v>897</v>
      </c>
      <c r="AR690" s="213" t="s">
        <v>46</v>
      </c>
      <c r="AS690" s="178"/>
      <c r="AT690" s="210"/>
      <c r="AU690" s="211" t="s">
        <v>897</v>
      </c>
      <c r="AV690" s="213" t="s">
        <v>46</v>
      </c>
      <c r="AW690" s="178"/>
      <c r="AX690" s="210"/>
      <c r="AY690" s="211" t="s">
        <v>897</v>
      </c>
      <c r="AZ690" s="213" t="s">
        <v>46</v>
      </c>
      <c r="BA690" s="178"/>
      <c r="BB690" s="210"/>
      <c r="BC690" s="211" t="s">
        <v>897</v>
      </c>
      <c r="BD690" s="213" t="s">
        <v>46</v>
      </c>
      <c r="BE690" s="178"/>
      <c r="BF690" s="210"/>
      <c r="BG690" s="211" t="s">
        <v>897</v>
      </c>
      <c r="BH690" s="213" t="s">
        <v>46</v>
      </c>
      <c r="BI690" s="178"/>
      <c r="BJ690" s="210"/>
      <c r="BK690" s="211" t="s">
        <v>897</v>
      </c>
      <c r="BL690" s="213" t="s">
        <v>46</v>
      </c>
      <c r="BM690" s="178"/>
      <c r="BN690" s="210"/>
      <c r="BO690" s="211" t="s">
        <v>897</v>
      </c>
      <c r="BP690" s="213" t="s">
        <v>46</v>
      </c>
      <c r="BQ690" s="178"/>
      <c r="BR690" s="210"/>
      <c r="BS690" s="211" t="s">
        <v>897</v>
      </c>
      <c r="BT690" s="213" t="s">
        <v>46</v>
      </c>
      <c r="BU690" s="178"/>
    </row>
    <row r="691" s="105" customFormat="1" spans="1:73">
      <c r="A691" s="221"/>
      <c r="B691" s="205" t="s">
        <v>46</v>
      </c>
      <c r="C691" s="142"/>
      <c r="D691" s="207"/>
      <c r="E691" s="132"/>
      <c r="F691" s="138"/>
      <c r="G691" s="143" t="s">
        <v>898</v>
      </c>
      <c r="H691" s="167"/>
      <c r="I691" s="178"/>
      <c r="J691" s="210"/>
      <c r="K691" s="211" t="s">
        <v>898</v>
      </c>
      <c r="L691" s="213" t="s">
        <v>46</v>
      </c>
      <c r="M691" s="178"/>
      <c r="N691" s="210"/>
      <c r="O691" s="211" t="s">
        <v>898</v>
      </c>
      <c r="P691" s="213" t="s">
        <v>46</v>
      </c>
      <c r="Q691" s="178"/>
      <c r="R691" s="210"/>
      <c r="S691" s="211" t="s">
        <v>898</v>
      </c>
      <c r="T691" s="213" t="s">
        <v>46</v>
      </c>
      <c r="U691" s="178"/>
      <c r="V691" s="210"/>
      <c r="W691" s="211" t="s">
        <v>898</v>
      </c>
      <c r="X691" s="213" t="s">
        <v>46</v>
      </c>
      <c r="Y691" s="178"/>
      <c r="Z691" s="210"/>
      <c r="AA691" s="211" t="s">
        <v>898</v>
      </c>
      <c r="AB691" s="213" t="s">
        <v>46</v>
      </c>
      <c r="AC691" s="178"/>
      <c r="AD691" s="210"/>
      <c r="AE691" s="211" t="s">
        <v>898</v>
      </c>
      <c r="AF691" s="213" t="s">
        <v>46</v>
      </c>
      <c r="AG691" s="178"/>
      <c r="AH691" s="210"/>
      <c r="AI691" s="211" t="s">
        <v>898</v>
      </c>
      <c r="AJ691" s="213" t="s">
        <v>46</v>
      </c>
      <c r="AK691" s="178"/>
      <c r="AL691" s="210"/>
      <c r="AM691" s="211" t="s">
        <v>898</v>
      </c>
      <c r="AN691" s="213" t="s">
        <v>46</v>
      </c>
      <c r="AO691" s="178"/>
      <c r="AP691" s="210"/>
      <c r="AQ691" s="211" t="s">
        <v>898</v>
      </c>
      <c r="AR691" s="213" t="s">
        <v>46</v>
      </c>
      <c r="AS691" s="178"/>
      <c r="AT691" s="210"/>
      <c r="AU691" s="211" t="s">
        <v>898</v>
      </c>
      <c r="AV691" s="213" t="s">
        <v>46</v>
      </c>
      <c r="AW691" s="178"/>
      <c r="AX691" s="210"/>
      <c r="AY691" s="211" t="s">
        <v>898</v>
      </c>
      <c r="AZ691" s="213" t="s">
        <v>46</v>
      </c>
      <c r="BA691" s="178"/>
      <c r="BB691" s="210"/>
      <c r="BC691" s="211" t="s">
        <v>898</v>
      </c>
      <c r="BD691" s="213" t="s">
        <v>46</v>
      </c>
      <c r="BE691" s="178"/>
      <c r="BF691" s="210"/>
      <c r="BG691" s="211" t="s">
        <v>898</v>
      </c>
      <c r="BH691" s="213" t="s">
        <v>46</v>
      </c>
      <c r="BI691" s="178"/>
      <c r="BJ691" s="210"/>
      <c r="BK691" s="211" t="s">
        <v>898</v>
      </c>
      <c r="BL691" s="213" t="s">
        <v>46</v>
      </c>
      <c r="BM691" s="178"/>
      <c r="BN691" s="210"/>
      <c r="BO691" s="211" t="s">
        <v>898</v>
      </c>
      <c r="BP691" s="213" t="s">
        <v>46</v>
      </c>
      <c r="BQ691" s="178"/>
      <c r="BR691" s="210"/>
      <c r="BS691" s="211" t="s">
        <v>898</v>
      </c>
      <c r="BT691" s="213" t="s">
        <v>46</v>
      </c>
      <c r="BU691" s="178"/>
    </row>
    <row r="692" s="105" customFormat="1" spans="1:73">
      <c r="A692" s="221"/>
      <c r="B692" s="205" t="s">
        <v>46</v>
      </c>
      <c r="C692" s="142"/>
      <c r="D692" s="207"/>
      <c r="E692" s="132"/>
      <c r="F692" s="138"/>
      <c r="G692" s="143" t="s">
        <v>899</v>
      </c>
      <c r="H692" s="167"/>
      <c r="I692" s="178"/>
      <c r="J692" s="210"/>
      <c r="K692" s="211" t="s">
        <v>899</v>
      </c>
      <c r="L692" s="213" t="s">
        <v>46</v>
      </c>
      <c r="M692" s="178"/>
      <c r="N692" s="210"/>
      <c r="O692" s="211" t="s">
        <v>899</v>
      </c>
      <c r="P692" s="213" t="s">
        <v>46</v>
      </c>
      <c r="Q692" s="178"/>
      <c r="R692" s="210"/>
      <c r="S692" s="211" t="s">
        <v>899</v>
      </c>
      <c r="T692" s="213" t="s">
        <v>46</v>
      </c>
      <c r="U692" s="178"/>
      <c r="V692" s="210"/>
      <c r="W692" s="211" t="s">
        <v>899</v>
      </c>
      <c r="X692" s="213" t="s">
        <v>46</v>
      </c>
      <c r="Y692" s="178"/>
      <c r="Z692" s="210"/>
      <c r="AA692" s="211" t="s">
        <v>899</v>
      </c>
      <c r="AB692" s="213" t="s">
        <v>46</v>
      </c>
      <c r="AC692" s="178"/>
      <c r="AD692" s="210"/>
      <c r="AE692" s="211" t="s">
        <v>899</v>
      </c>
      <c r="AF692" s="213" t="s">
        <v>46</v>
      </c>
      <c r="AG692" s="178"/>
      <c r="AH692" s="210"/>
      <c r="AI692" s="211" t="s">
        <v>899</v>
      </c>
      <c r="AJ692" s="213" t="s">
        <v>46</v>
      </c>
      <c r="AK692" s="178"/>
      <c r="AL692" s="210"/>
      <c r="AM692" s="211" t="s">
        <v>899</v>
      </c>
      <c r="AN692" s="213" t="s">
        <v>46</v>
      </c>
      <c r="AO692" s="178"/>
      <c r="AP692" s="210"/>
      <c r="AQ692" s="211" t="s">
        <v>899</v>
      </c>
      <c r="AR692" s="213" t="s">
        <v>46</v>
      </c>
      <c r="AS692" s="178"/>
      <c r="AT692" s="210"/>
      <c r="AU692" s="211" t="s">
        <v>899</v>
      </c>
      <c r="AV692" s="213" t="s">
        <v>46</v>
      </c>
      <c r="AW692" s="178"/>
      <c r="AX692" s="210"/>
      <c r="AY692" s="211" t="s">
        <v>899</v>
      </c>
      <c r="AZ692" s="213" t="s">
        <v>46</v>
      </c>
      <c r="BA692" s="178"/>
      <c r="BB692" s="210"/>
      <c r="BC692" s="211" t="s">
        <v>899</v>
      </c>
      <c r="BD692" s="213" t="s">
        <v>46</v>
      </c>
      <c r="BE692" s="178"/>
      <c r="BF692" s="210"/>
      <c r="BG692" s="211" t="s">
        <v>899</v>
      </c>
      <c r="BH692" s="213" t="s">
        <v>46</v>
      </c>
      <c r="BI692" s="178"/>
      <c r="BJ692" s="210"/>
      <c r="BK692" s="211" t="s">
        <v>899</v>
      </c>
      <c r="BL692" s="213" t="s">
        <v>46</v>
      </c>
      <c r="BM692" s="178"/>
      <c r="BN692" s="210"/>
      <c r="BO692" s="211" t="s">
        <v>899</v>
      </c>
      <c r="BP692" s="213" t="s">
        <v>46</v>
      </c>
      <c r="BQ692" s="178"/>
      <c r="BR692" s="210"/>
      <c r="BS692" s="211" t="s">
        <v>899</v>
      </c>
      <c r="BT692" s="213" t="s">
        <v>46</v>
      </c>
      <c r="BU692" s="178"/>
    </row>
    <row r="693" s="105" customFormat="1" spans="1:73">
      <c r="A693" s="221"/>
      <c r="B693" s="205" t="s">
        <v>46</v>
      </c>
      <c r="C693" s="142"/>
      <c r="D693" s="207"/>
      <c r="E693" s="132"/>
      <c r="F693" s="138"/>
      <c r="G693" s="143" t="s">
        <v>900</v>
      </c>
      <c r="H693" s="167"/>
      <c r="I693" s="178"/>
      <c r="J693" s="210"/>
      <c r="K693" s="211" t="s">
        <v>900</v>
      </c>
      <c r="L693" s="213" t="s">
        <v>46</v>
      </c>
      <c r="M693" s="178"/>
      <c r="N693" s="210"/>
      <c r="O693" s="211" t="s">
        <v>900</v>
      </c>
      <c r="P693" s="213" t="s">
        <v>46</v>
      </c>
      <c r="Q693" s="178"/>
      <c r="R693" s="210"/>
      <c r="S693" s="211" t="s">
        <v>900</v>
      </c>
      <c r="T693" s="213" t="s">
        <v>46</v>
      </c>
      <c r="U693" s="178"/>
      <c r="V693" s="210"/>
      <c r="W693" s="211" t="s">
        <v>900</v>
      </c>
      <c r="X693" s="213" t="s">
        <v>46</v>
      </c>
      <c r="Y693" s="178"/>
      <c r="Z693" s="210"/>
      <c r="AA693" s="211" t="s">
        <v>900</v>
      </c>
      <c r="AB693" s="213" t="s">
        <v>46</v>
      </c>
      <c r="AC693" s="178"/>
      <c r="AD693" s="210"/>
      <c r="AE693" s="211" t="s">
        <v>900</v>
      </c>
      <c r="AF693" s="213" t="s">
        <v>46</v>
      </c>
      <c r="AG693" s="178"/>
      <c r="AH693" s="210"/>
      <c r="AI693" s="211" t="s">
        <v>900</v>
      </c>
      <c r="AJ693" s="213" t="s">
        <v>46</v>
      </c>
      <c r="AK693" s="178"/>
      <c r="AL693" s="210"/>
      <c r="AM693" s="211" t="s">
        <v>900</v>
      </c>
      <c r="AN693" s="213" t="s">
        <v>46</v>
      </c>
      <c r="AO693" s="178"/>
      <c r="AP693" s="210"/>
      <c r="AQ693" s="211" t="s">
        <v>900</v>
      </c>
      <c r="AR693" s="213" t="s">
        <v>46</v>
      </c>
      <c r="AS693" s="178"/>
      <c r="AT693" s="210"/>
      <c r="AU693" s="211" t="s">
        <v>900</v>
      </c>
      <c r="AV693" s="213" t="s">
        <v>46</v>
      </c>
      <c r="AW693" s="178"/>
      <c r="AX693" s="210"/>
      <c r="AY693" s="211" t="s">
        <v>900</v>
      </c>
      <c r="AZ693" s="213" t="s">
        <v>46</v>
      </c>
      <c r="BA693" s="178"/>
      <c r="BB693" s="210"/>
      <c r="BC693" s="211" t="s">
        <v>900</v>
      </c>
      <c r="BD693" s="213" t="s">
        <v>46</v>
      </c>
      <c r="BE693" s="178"/>
      <c r="BF693" s="210"/>
      <c r="BG693" s="211" t="s">
        <v>900</v>
      </c>
      <c r="BH693" s="213" t="s">
        <v>46</v>
      </c>
      <c r="BI693" s="178"/>
      <c r="BJ693" s="210"/>
      <c r="BK693" s="211" t="s">
        <v>900</v>
      </c>
      <c r="BL693" s="213" t="s">
        <v>46</v>
      </c>
      <c r="BM693" s="178"/>
      <c r="BN693" s="210"/>
      <c r="BO693" s="211" t="s">
        <v>900</v>
      </c>
      <c r="BP693" s="213" t="s">
        <v>46</v>
      </c>
      <c r="BQ693" s="178"/>
      <c r="BR693" s="210"/>
      <c r="BS693" s="211" t="s">
        <v>900</v>
      </c>
      <c r="BT693" s="213" t="s">
        <v>46</v>
      </c>
      <c r="BU693" s="178"/>
    </row>
    <row r="694" s="105" customFormat="1" spans="1:73">
      <c r="A694" s="221"/>
      <c r="B694" s="205" t="s">
        <v>46</v>
      </c>
      <c r="C694" s="142"/>
      <c r="D694" s="207"/>
      <c r="E694" s="132"/>
      <c r="F694" s="138"/>
      <c r="G694" s="143" t="s">
        <v>901</v>
      </c>
      <c r="H694" s="167"/>
      <c r="I694" s="178"/>
      <c r="J694" s="210"/>
      <c r="K694" s="211" t="s">
        <v>901</v>
      </c>
      <c r="L694" s="213" t="s">
        <v>46</v>
      </c>
      <c r="M694" s="178"/>
      <c r="N694" s="210"/>
      <c r="O694" s="211" t="s">
        <v>901</v>
      </c>
      <c r="P694" s="213" t="s">
        <v>46</v>
      </c>
      <c r="Q694" s="178"/>
      <c r="R694" s="210"/>
      <c r="S694" s="211" t="s">
        <v>901</v>
      </c>
      <c r="T694" s="213" t="s">
        <v>46</v>
      </c>
      <c r="U694" s="178"/>
      <c r="V694" s="210"/>
      <c r="W694" s="211" t="s">
        <v>901</v>
      </c>
      <c r="X694" s="213" t="s">
        <v>46</v>
      </c>
      <c r="Y694" s="178"/>
      <c r="Z694" s="210"/>
      <c r="AA694" s="211" t="s">
        <v>901</v>
      </c>
      <c r="AB694" s="213" t="s">
        <v>46</v>
      </c>
      <c r="AC694" s="178"/>
      <c r="AD694" s="210"/>
      <c r="AE694" s="211" t="s">
        <v>901</v>
      </c>
      <c r="AF694" s="213" t="s">
        <v>46</v>
      </c>
      <c r="AG694" s="178"/>
      <c r="AH694" s="210"/>
      <c r="AI694" s="211" t="s">
        <v>901</v>
      </c>
      <c r="AJ694" s="213" t="s">
        <v>46</v>
      </c>
      <c r="AK694" s="178"/>
      <c r="AL694" s="210"/>
      <c r="AM694" s="211" t="s">
        <v>901</v>
      </c>
      <c r="AN694" s="213" t="s">
        <v>46</v>
      </c>
      <c r="AO694" s="178"/>
      <c r="AP694" s="210"/>
      <c r="AQ694" s="211" t="s">
        <v>901</v>
      </c>
      <c r="AR694" s="213" t="s">
        <v>46</v>
      </c>
      <c r="AS694" s="178"/>
      <c r="AT694" s="210"/>
      <c r="AU694" s="211" t="s">
        <v>901</v>
      </c>
      <c r="AV694" s="213" t="s">
        <v>46</v>
      </c>
      <c r="AW694" s="178"/>
      <c r="AX694" s="210"/>
      <c r="AY694" s="211" t="s">
        <v>901</v>
      </c>
      <c r="AZ694" s="213" t="s">
        <v>46</v>
      </c>
      <c r="BA694" s="178"/>
      <c r="BB694" s="210"/>
      <c r="BC694" s="211" t="s">
        <v>901</v>
      </c>
      <c r="BD694" s="213" t="s">
        <v>46</v>
      </c>
      <c r="BE694" s="178"/>
      <c r="BF694" s="210"/>
      <c r="BG694" s="211" t="s">
        <v>901</v>
      </c>
      <c r="BH694" s="213" t="s">
        <v>46</v>
      </c>
      <c r="BI694" s="178"/>
      <c r="BJ694" s="210"/>
      <c r="BK694" s="211" t="s">
        <v>901</v>
      </c>
      <c r="BL694" s="213" t="s">
        <v>46</v>
      </c>
      <c r="BM694" s="178"/>
      <c r="BN694" s="210"/>
      <c r="BO694" s="211" t="s">
        <v>901</v>
      </c>
      <c r="BP694" s="213" t="s">
        <v>46</v>
      </c>
      <c r="BQ694" s="178"/>
      <c r="BR694" s="210"/>
      <c r="BS694" s="211" t="s">
        <v>901</v>
      </c>
      <c r="BT694" s="213" t="s">
        <v>46</v>
      </c>
      <c r="BU694" s="178"/>
    </row>
    <row r="695" s="105" customFormat="1" spans="1:73">
      <c r="A695" s="221"/>
      <c r="B695" s="205" t="s">
        <v>46</v>
      </c>
      <c r="C695" s="142"/>
      <c r="D695" s="207"/>
      <c r="E695" s="132"/>
      <c r="F695" s="138"/>
      <c r="G695" s="143" t="s">
        <v>902</v>
      </c>
      <c r="H695" s="167"/>
      <c r="I695" s="178"/>
      <c r="J695" s="210"/>
      <c r="K695" s="211" t="s">
        <v>902</v>
      </c>
      <c r="L695" s="213" t="s">
        <v>46</v>
      </c>
      <c r="M695" s="178"/>
      <c r="N695" s="210"/>
      <c r="O695" s="211" t="s">
        <v>902</v>
      </c>
      <c r="P695" s="213" t="s">
        <v>46</v>
      </c>
      <c r="Q695" s="178"/>
      <c r="R695" s="210"/>
      <c r="S695" s="211" t="s">
        <v>902</v>
      </c>
      <c r="T695" s="213" t="s">
        <v>46</v>
      </c>
      <c r="U695" s="178"/>
      <c r="V695" s="210"/>
      <c r="W695" s="211" t="s">
        <v>902</v>
      </c>
      <c r="X695" s="213" t="s">
        <v>46</v>
      </c>
      <c r="Y695" s="178"/>
      <c r="Z695" s="210"/>
      <c r="AA695" s="211" t="s">
        <v>902</v>
      </c>
      <c r="AB695" s="213" t="s">
        <v>46</v>
      </c>
      <c r="AC695" s="178"/>
      <c r="AD695" s="210"/>
      <c r="AE695" s="211" t="s">
        <v>902</v>
      </c>
      <c r="AF695" s="213" t="s">
        <v>46</v>
      </c>
      <c r="AG695" s="178"/>
      <c r="AH695" s="210"/>
      <c r="AI695" s="211" t="s">
        <v>902</v>
      </c>
      <c r="AJ695" s="213" t="s">
        <v>46</v>
      </c>
      <c r="AK695" s="178"/>
      <c r="AL695" s="210"/>
      <c r="AM695" s="211" t="s">
        <v>902</v>
      </c>
      <c r="AN695" s="213" t="s">
        <v>46</v>
      </c>
      <c r="AO695" s="178"/>
      <c r="AP695" s="210"/>
      <c r="AQ695" s="211" t="s">
        <v>902</v>
      </c>
      <c r="AR695" s="213" t="s">
        <v>46</v>
      </c>
      <c r="AS695" s="178"/>
      <c r="AT695" s="210"/>
      <c r="AU695" s="211" t="s">
        <v>902</v>
      </c>
      <c r="AV695" s="213" t="s">
        <v>46</v>
      </c>
      <c r="AW695" s="178"/>
      <c r="AX695" s="210"/>
      <c r="AY695" s="211" t="s">
        <v>902</v>
      </c>
      <c r="AZ695" s="213" t="s">
        <v>46</v>
      </c>
      <c r="BA695" s="178"/>
      <c r="BB695" s="210"/>
      <c r="BC695" s="211" t="s">
        <v>902</v>
      </c>
      <c r="BD695" s="213" t="s">
        <v>46</v>
      </c>
      <c r="BE695" s="178"/>
      <c r="BF695" s="210"/>
      <c r="BG695" s="211" t="s">
        <v>902</v>
      </c>
      <c r="BH695" s="213" t="s">
        <v>46</v>
      </c>
      <c r="BI695" s="178"/>
      <c r="BJ695" s="210"/>
      <c r="BK695" s="211" t="s">
        <v>902</v>
      </c>
      <c r="BL695" s="213" t="s">
        <v>46</v>
      </c>
      <c r="BM695" s="178"/>
      <c r="BN695" s="210"/>
      <c r="BO695" s="211" t="s">
        <v>902</v>
      </c>
      <c r="BP695" s="213" t="s">
        <v>46</v>
      </c>
      <c r="BQ695" s="178"/>
      <c r="BR695" s="210"/>
      <c r="BS695" s="211" t="s">
        <v>902</v>
      </c>
      <c r="BT695" s="213" t="s">
        <v>46</v>
      </c>
      <c r="BU695" s="178"/>
    </row>
    <row r="696" s="105" customFormat="1" spans="1:73">
      <c r="A696" s="221"/>
      <c r="B696" s="205" t="s">
        <v>46</v>
      </c>
      <c r="C696" s="142"/>
      <c r="D696" s="207"/>
      <c r="E696" s="132"/>
      <c r="F696" s="138"/>
      <c r="G696" s="143" t="s">
        <v>903</v>
      </c>
      <c r="H696" s="167"/>
      <c r="I696" s="178"/>
      <c r="J696" s="210"/>
      <c r="K696" s="211" t="s">
        <v>903</v>
      </c>
      <c r="L696" s="213" t="s">
        <v>46</v>
      </c>
      <c r="M696" s="178"/>
      <c r="N696" s="210"/>
      <c r="O696" s="211" t="s">
        <v>903</v>
      </c>
      <c r="P696" s="213" t="s">
        <v>46</v>
      </c>
      <c r="Q696" s="178"/>
      <c r="R696" s="210"/>
      <c r="S696" s="211" t="s">
        <v>903</v>
      </c>
      <c r="T696" s="213" t="s">
        <v>46</v>
      </c>
      <c r="U696" s="178"/>
      <c r="V696" s="210"/>
      <c r="W696" s="211" t="s">
        <v>903</v>
      </c>
      <c r="X696" s="213" t="s">
        <v>46</v>
      </c>
      <c r="Y696" s="178"/>
      <c r="Z696" s="210"/>
      <c r="AA696" s="211" t="s">
        <v>903</v>
      </c>
      <c r="AB696" s="213" t="s">
        <v>46</v>
      </c>
      <c r="AC696" s="178"/>
      <c r="AD696" s="210"/>
      <c r="AE696" s="211" t="s">
        <v>903</v>
      </c>
      <c r="AF696" s="213" t="s">
        <v>46</v>
      </c>
      <c r="AG696" s="178"/>
      <c r="AH696" s="210"/>
      <c r="AI696" s="211" t="s">
        <v>903</v>
      </c>
      <c r="AJ696" s="213" t="s">
        <v>46</v>
      </c>
      <c r="AK696" s="178"/>
      <c r="AL696" s="210"/>
      <c r="AM696" s="211" t="s">
        <v>903</v>
      </c>
      <c r="AN696" s="213" t="s">
        <v>46</v>
      </c>
      <c r="AO696" s="178"/>
      <c r="AP696" s="210"/>
      <c r="AQ696" s="211" t="s">
        <v>903</v>
      </c>
      <c r="AR696" s="213" t="s">
        <v>46</v>
      </c>
      <c r="AS696" s="178"/>
      <c r="AT696" s="210"/>
      <c r="AU696" s="211" t="s">
        <v>903</v>
      </c>
      <c r="AV696" s="213" t="s">
        <v>46</v>
      </c>
      <c r="AW696" s="178"/>
      <c r="AX696" s="210"/>
      <c r="AY696" s="211" t="s">
        <v>903</v>
      </c>
      <c r="AZ696" s="213" t="s">
        <v>46</v>
      </c>
      <c r="BA696" s="178"/>
      <c r="BB696" s="210"/>
      <c r="BC696" s="211" t="s">
        <v>903</v>
      </c>
      <c r="BD696" s="213" t="s">
        <v>46</v>
      </c>
      <c r="BE696" s="178"/>
      <c r="BF696" s="210"/>
      <c r="BG696" s="211" t="s">
        <v>903</v>
      </c>
      <c r="BH696" s="213" t="s">
        <v>46</v>
      </c>
      <c r="BI696" s="178"/>
      <c r="BJ696" s="210"/>
      <c r="BK696" s="211" t="s">
        <v>903</v>
      </c>
      <c r="BL696" s="213" t="s">
        <v>46</v>
      </c>
      <c r="BM696" s="178"/>
      <c r="BN696" s="210"/>
      <c r="BO696" s="211" t="s">
        <v>903</v>
      </c>
      <c r="BP696" s="213" t="s">
        <v>46</v>
      </c>
      <c r="BQ696" s="178"/>
      <c r="BR696" s="210"/>
      <c r="BS696" s="211" t="s">
        <v>903</v>
      </c>
      <c r="BT696" s="213" t="s">
        <v>46</v>
      </c>
      <c r="BU696" s="178"/>
    </row>
    <row r="697" s="105" customFormat="1" spans="1:73">
      <c r="A697" s="221"/>
      <c r="B697" s="205" t="s">
        <v>63</v>
      </c>
      <c r="C697" s="142"/>
      <c r="D697" s="207"/>
      <c r="E697" s="132"/>
      <c r="F697" s="138"/>
      <c r="G697" s="143" t="s">
        <v>904</v>
      </c>
      <c r="H697" s="167"/>
      <c r="I697" s="178"/>
      <c r="J697" s="210"/>
      <c r="K697" s="211" t="s">
        <v>904</v>
      </c>
      <c r="L697" s="213" t="s">
        <v>63</v>
      </c>
      <c r="M697" s="178"/>
      <c r="N697" s="210"/>
      <c r="O697" s="211" t="s">
        <v>904</v>
      </c>
      <c r="P697" s="213" t="s">
        <v>63</v>
      </c>
      <c r="Q697" s="178"/>
      <c r="R697" s="210"/>
      <c r="S697" s="211" t="s">
        <v>904</v>
      </c>
      <c r="T697" s="213" t="s">
        <v>63</v>
      </c>
      <c r="U697" s="178"/>
      <c r="V697" s="210"/>
      <c r="W697" s="211" t="s">
        <v>904</v>
      </c>
      <c r="X697" s="213" t="s">
        <v>63</v>
      </c>
      <c r="Y697" s="178"/>
      <c r="Z697" s="210"/>
      <c r="AA697" s="211" t="s">
        <v>904</v>
      </c>
      <c r="AB697" s="213" t="s">
        <v>63</v>
      </c>
      <c r="AC697" s="178"/>
      <c r="AD697" s="210"/>
      <c r="AE697" s="211" t="s">
        <v>904</v>
      </c>
      <c r="AF697" s="213" t="s">
        <v>63</v>
      </c>
      <c r="AG697" s="178"/>
      <c r="AH697" s="210"/>
      <c r="AI697" s="211" t="s">
        <v>904</v>
      </c>
      <c r="AJ697" s="213" t="s">
        <v>63</v>
      </c>
      <c r="AK697" s="178"/>
      <c r="AL697" s="210"/>
      <c r="AM697" s="211" t="s">
        <v>904</v>
      </c>
      <c r="AN697" s="213" t="s">
        <v>63</v>
      </c>
      <c r="AO697" s="178"/>
      <c r="AP697" s="210"/>
      <c r="AQ697" s="211" t="s">
        <v>904</v>
      </c>
      <c r="AR697" s="213" t="s">
        <v>63</v>
      </c>
      <c r="AS697" s="178"/>
      <c r="AT697" s="210"/>
      <c r="AU697" s="211" t="s">
        <v>904</v>
      </c>
      <c r="AV697" s="213" t="s">
        <v>63</v>
      </c>
      <c r="AW697" s="178"/>
      <c r="AX697" s="210"/>
      <c r="AY697" s="211" t="s">
        <v>904</v>
      </c>
      <c r="AZ697" s="213" t="s">
        <v>63</v>
      </c>
      <c r="BA697" s="178"/>
      <c r="BB697" s="210"/>
      <c r="BC697" s="211" t="s">
        <v>904</v>
      </c>
      <c r="BD697" s="213" t="s">
        <v>63</v>
      </c>
      <c r="BE697" s="178"/>
      <c r="BF697" s="210"/>
      <c r="BG697" s="211" t="s">
        <v>904</v>
      </c>
      <c r="BH697" s="213" t="s">
        <v>63</v>
      </c>
      <c r="BI697" s="178"/>
      <c r="BJ697" s="210"/>
      <c r="BK697" s="211" t="s">
        <v>904</v>
      </c>
      <c r="BL697" s="213" t="s">
        <v>63</v>
      </c>
      <c r="BM697" s="178"/>
      <c r="BN697" s="210"/>
      <c r="BO697" s="211" t="s">
        <v>904</v>
      </c>
      <c r="BP697" s="213" t="s">
        <v>63</v>
      </c>
      <c r="BQ697" s="178"/>
      <c r="BR697" s="210"/>
      <c r="BS697" s="211" t="s">
        <v>904</v>
      </c>
      <c r="BT697" s="213" t="s">
        <v>63</v>
      </c>
      <c r="BU697" s="178"/>
    </row>
    <row r="698" s="105" customFormat="1" spans="1:73">
      <c r="A698" s="221"/>
      <c r="B698" s="205" t="s">
        <v>46</v>
      </c>
      <c r="C698" s="142"/>
      <c r="D698" s="207"/>
      <c r="E698" s="132"/>
      <c r="F698" s="138"/>
      <c r="G698" s="143" t="s">
        <v>905</v>
      </c>
      <c r="H698" s="167"/>
      <c r="I698" s="178"/>
      <c r="J698" s="210"/>
      <c r="K698" s="211" t="s">
        <v>905</v>
      </c>
      <c r="L698" s="213" t="s">
        <v>46</v>
      </c>
      <c r="M698" s="178"/>
      <c r="N698" s="210"/>
      <c r="O698" s="211" t="s">
        <v>905</v>
      </c>
      <c r="P698" s="213" t="s">
        <v>46</v>
      </c>
      <c r="Q698" s="178"/>
      <c r="R698" s="210"/>
      <c r="S698" s="211" t="s">
        <v>905</v>
      </c>
      <c r="T698" s="213" t="s">
        <v>46</v>
      </c>
      <c r="U698" s="178"/>
      <c r="V698" s="210"/>
      <c r="W698" s="211" t="s">
        <v>905</v>
      </c>
      <c r="X698" s="213" t="s">
        <v>46</v>
      </c>
      <c r="Y698" s="178"/>
      <c r="Z698" s="210"/>
      <c r="AA698" s="211" t="s">
        <v>905</v>
      </c>
      <c r="AB698" s="213" t="s">
        <v>46</v>
      </c>
      <c r="AC698" s="178"/>
      <c r="AD698" s="210"/>
      <c r="AE698" s="211" t="s">
        <v>905</v>
      </c>
      <c r="AF698" s="213" t="s">
        <v>46</v>
      </c>
      <c r="AG698" s="178"/>
      <c r="AH698" s="210"/>
      <c r="AI698" s="211" t="s">
        <v>905</v>
      </c>
      <c r="AJ698" s="213" t="s">
        <v>46</v>
      </c>
      <c r="AK698" s="178"/>
      <c r="AL698" s="210"/>
      <c r="AM698" s="211" t="s">
        <v>905</v>
      </c>
      <c r="AN698" s="213" t="s">
        <v>46</v>
      </c>
      <c r="AO698" s="178"/>
      <c r="AP698" s="210"/>
      <c r="AQ698" s="211" t="s">
        <v>905</v>
      </c>
      <c r="AR698" s="213" t="s">
        <v>46</v>
      </c>
      <c r="AS698" s="178"/>
      <c r="AT698" s="210"/>
      <c r="AU698" s="211" t="s">
        <v>905</v>
      </c>
      <c r="AV698" s="213" t="s">
        <v>46</v>
      </c>
      <c r="AW698" s="178"/>
      <c r="AX698" s="210"/>
      <c r="AY698" s="211" t="s">
        <v>905</v>
      </c>
      <c r="AZ698" s="213" t="s">
        <v>46</v>
      </c>
      <c r="BA698" s="178"/>
      <c r="BB698" s="210"/>
      <c r="BC698" s="211" t="s">
        <v>905</v>
      </c>
      <c r="BD698" s="213" t="s">
        <v>46</v>
      </c>
      <c r="BE698" s="178"/>
      <c r="BF698" s="210"/>
      <c r="BG698" s="211" t="s">
        <v>905</v>
      </c>
      <c r="BH698" s="213" t="s">
        <v>46</v>
      </c>
      <c r="BI698" s="178"/>
      <c r="BJ698" s="210"/>
      <c r="BK698" s="211" t="s">
        <v>905</v>
      </c>
      <c r="BL698" s="213" t="s">
        <v>46</v>
      </c>
      <c r="BM698" s="178"/>
      <c r="BN698" s="210"/>
      <c r="BO698" s="211" t="s">
        <v>905</v>
      </c>
      <c r="BP698" s="213" t="s">
        <v>46</v>
      </c>
      <c r="BQ698" s="178"/>
      <c r="BR698" s="210"/>
      <c r="BS698" s="211" t="s">
        <v>905</v>
      </c>
      <c r="BT698" s="212" t="s">
        <v>61</v>
      </c>
      <c r="BU698" s="178"/>
    </row>
    <row r="699" s="105" customFormat="1" spans="1:73">
      <c r="A699" s="221"/>
      <c r="B699" s="205" t="s">
        <v>46</v>
      </c>
      <c r="C699" s="142"/>
      <c r="D699" s="207"/>
      <c r="E699" s="132"/>
      <c r="F699" s="138"/>
      <c r="G699" s="143" t="s">
        <v>906</v>
      </c>
      <c r="H699" s="167"/>
      <c r="I699" s="178"/>
      <c r="J699" s="210"/>
      <c r="K699" s="211" t="s">
        <v>906</v>
      </c>
      <c r="L699" s="213" t="s">
        <v>46</v>
      </c>
      <c r="M699" s="178"/>
      <c r="N699" s="210"/>
      <c r="O699" s="211" t="s">
        <v>906</v>
      </c>
      <c r="P699" s="213" t="s">
        <v>46</v>
      </c>
      <c r="Q699" s="178"/>
      <c r="R699" s="210"/>
      <c r="S699" s="211" t="s">
        <v>906</v>
      </c>
      <c r="T699" s="213" t="s">
        <v>46</v>
      </c>
      <c r="U699" s="178"/>
      <c r="V699" s="210"/>
      <c r="W699" s="211" t="s">
        <v>906</v>
      </c>
      <c r="X699" s="213" t="s">
        <v>46</v>
      </c>
      <c r="Y699" s="178"/>
      <c r="Z699" s="210"/>
      <c r="AA699" s="211" t="s">
        <v>906</v>
      </c>
      <c r="AB699" s="213" t="s">
        <v>46</v>
      </c>
      <c r="AC699" s="178"/>
      <c r="AD699" s="210"/>
      <c r="AE699" s="211" t="s">
        <v>906</v>
      </c>
      <c r="AF699" s="213" t="s">
        <v>46</v>
      </c>
      <c r="AG699" s="178"/>
      <c r="AH699" s="210"/>
      <c r="AI699" s="211" t="s">
        <v>906</v>
      </c>
      <c r="AJ699" s="213" t="s">
        <v>46</v>
      </c>
      <c r="AK699" s="178"/>
      <c r="AL699" s="210"/>
      <c r="AM699" s="211" t="s">
        <v>906</v>
      </c>
      <c r="AN699" s="213" t="s">
        <v>46</v>
      </c>
      <c r="AO699" s="178"/>
      <c r="AP699" s="210"/>
      <c r="AQ699" s="211" t="s">
        <v>906</v>
      </c>
      <c r="AR699" s="213" t="s">
        <v>46</v>
      </c>
      <c r="AS699" s="178"/>
      <c r="AT699" s="210"/>
      <c r="AU699" s="211" t="s">
        <v>906</v>
      </c>
      <c r="AV699" s="213" t="s">
        <v>46</v>
      </c>
      <c r="AW699" s="178"/>
      <c r="AX699" s="210"/>
      <c r="AY699" s="211" t="s">
        <v>906</v>
      </c>
      <c r="AZ699" s="213" t="s">
        <v>46</v>
      </c>
      <c r="BA699" s="178"/>
      <c r="BB699" s="210"/>
      <c r="BC699" s="211" t="s">
        <v>906</v>
      </c>
      <c r="BD699" s="213" t="s">
        <v>46</v>
      </c>
      <c r="BE699" s="178"/>
      <c r="BF699" s="210"/>
      <c r="BG699" s="211" t="s">
        <v>906</v>
      </c>
      <c r="BH699" s="213" t="s">
        <v>46</v>
      </c>
      <c r="BI699" s="178"/>
      <c r="BJ699" s="210"/>
      <c r="BK699" s="211" t="s">
        <v>906</v>
      </c>
      <c r="BL699" s="213" t="s">
        <v>46</v>
      </c>
      <c r="BM699" s="178"/>
      <c r="BN699" s="210"/>
      <c r="BO699" s="211" t="s">
        <v>906</v>
      </c>
      <c r="BP699" s="213" t="s">
        <v>46</v>
      </c>
      <c r="BQ699" s="178"/>
      <c r="BR699" s="210"/>
      <c r="BS699" s="211" t="s">
        <v>906</v>
      </c>
      <c r="BT699" s="212" t="s">
        <v>162</v>
      </c>
      <c r="BU699" s="178"/>
    </row>
    <row r="700" s="105" customFormat="1" spans="1:73">
      <c r="A700" s="221"/>
      <c r="B700" s="205" t="s">
        <v>46</v>
      </c>
      <c r="C700" s="142"/>
      <c r="D700" s="207"/>
      <c r="E700" s="132"/>
      <c r="F700" s="138"/>
      <c r="G700" s="143" t="s">
        <v>907</v>
      </c>
      <c r="H700" s="167"/>
      <c r="I700" s="178"/>
      <c r="J700" s="210"/>
      <c r="K700" s="211" t="s">
        <v>907</v>
      </c>
      <c r="L700" s="213" t="s">
        <v>46</v>
      </c>
      <c r="M700" s="178"/>
      <c r="N700" s="210"/>
      <c r="O700" s="211" t="s">
        <v>907</v>
      </c>
      <c r="P700" s="213" t="s">
        <v>46</v>
      </c>
      <c r="Q700" s="178"/>
      <c r="R700" s="210"/>
      <c r="S700" s="211" t="s">
        <v>907</v>
      </c>
      <c r="T700" s="213" t="s">
        <v>46</v>
      </c>
      <c r="U700" s="178"/>
      <c r="V700" s="210"/>
      <c r="W700" s="211" t="s">
        <v>907</v>
      </c>
      <c r="X700" s="213" t="s">
        <v>46</v>
      </c>
      <c r="Y700" s="178"/>
      <c r="Z700" s="210"/>
      <c r="AA700" s="211" t="s">
        <v>907</v>
      </c>
      <c r="AB700" s="213" t="s">
        <v>46</v>
      </c>
      <c r="AC700" s="178"/>
      <c r="AD700" s="210"/>
      <c r="AE700" s="211" t="s">
        <v>907</v>
      </c>
      <c r="AF700" s="213" t="s">
        <v>46</v>
      </c>
      <c r="AG700" s="178"/>
      <c r="AH700" s="210"/>
      <c r="AI700" s="211" t="s">
        <v>907</v>
      </c>
      <c r="AJ700" s="213" t="s">
        <v>46</v>
      </c>
      <c r="AK700" s="178"/>
      <c r="AL700" s="210"/>
      <c r="AM700" s="211" t="s">
        <v>907</v>
      </c>
      <c r="AN700" s="213" t="s">
        <v>46</v>
      </c>
      <c r="AO700" s="178"/>
      <c r="AP700" s="210"/>
      <c r="AQ700" s="211" t="s">
        <v>907</v>
      </c>
      <c r="AR700" s="213" t="s">
        <v>46</v>
      </c>
      <c r="AS700" s="178"/>
      <c r="AT700" s="210"/>
      <c r="AU700" s="211" t="s">
        <v>907</v>
      </c>
      <c r="AV700" s="213" t="s">
        <v>46</v>
      </c>
      <c r="AW700" s="178"/>
      <c r="AX700" s="210"/>
      <c r="AY700" s="211" t="s">
        <v>907</v>
      </c>
      <c r="AZ700" s="213" t="s">
        <v>46</v>
      </c>
      <c r="BA700" s="178"/>
      <c r="BB700" s="210"/>
      <c r="BC700" s="211" t="s">
        <v>907</v>
      </c>
      <c r="BD700" s="213" t="s">
        <v>46</v>
      </c>
      <c r="BE700" s="178"/>
      <c r="BF700" s="210"/>
      <c r="BG700" s="211" t="s">
        <v>907</v>
      </c>
      <c r="BH700" s="213" t="s">
        <v>46</v>
      </c>
      <c r="BI700" s="178"/>
      <c r="BJ700" s="210"/>
      <c r="BK700" s="211" t="s">
        <v>907</v>
      </c>
      <c r="BL700" s="213" t="s">
        <v>46</v>
      </c>
      <c r="BM700" s="178"/>
      <c r="BN700" s="210"/>
      <c r="BO700" s="211" t="s">
        <v>907</v>
      </c>
      <c r="BP700" s="213" t="s">
        <v>46</v>
      </c>
      <c r="BQ700" s="178"/>
      <c r="BR700" s="210"/>
      <c r="BS700" s="211" t="s">
        <v>907</v>
      </c>
      <c r="BT700" s="213" t="s">
        <v>46</v>
      </c>
      <c r="BU700" s="178"/>
    </row>
    <row r="701" s="105" customFormat="1" spans="1:73">
      <c r="A701" s="221"/>
      <c r="B701" s="205" t="s">
        <v>46</v>
      </c>
      <c r="C701" s="142"/>
      <c r="D701" s="207"/>
      <c r="E701" s="132"/>
      <c r="F701" s="138"/>
      <c r="G701" s="143" t="s">
        <v>908</v>
      </c>
      <c r="H701" s="167"/>
      <c r="I701" s="178"/>
      <c r="J701" s="210"/>
      <c r="K701" s="211" t="s">
        <v>908</v>
      </c>
      <c r="L701" s="213" t="s">
        <v>46</v>
      </c>
      <c r="M701" s="178"/>
      <c r="N701" s="210"/>
      <c r="O701" s="211" t="s">
        <v>908</v>
      </c>
      <c r="P701" s="213" t="s">
        <v>46</v>
      </c>
      <c r="Q701" s="178"/>
      <c r="R701" s="210"/>
      <c r="S701" s="211" t="s">
        <v>908</v>
      </c>
      <c r="T701" s="213" t="s">
        <v>46</v>
      </c>
      <c r="U701" s="178"/>
      <c r="V701" s="210"/>
      <c r="W701" s="211" t="s">
        <v>908</v>
      </c>
      <c r="X701" s="213" t="s">
        <v>46</v>
      </c>
      <c r="Y701" s="178"/>
      <c r="Z701" s="210"/>
      <c r="AA701" s="211" t="s">
        <v>908</v>
      </c>
      <c r="AB701" s="213" t="s">
        <v>46</v>
      </c>
      <c r="AC701" s="178"/>
      <c r="AD701" s="210"/>
      <c r="AE701" s="211" t="s">
        <v>908</v>
      </c>
      <c r="AF701" s="213" t="s">
        <v>46</v>
      </c>
      <c r="AG701" s="178"/>
      <c r="AH701" s="210"/>
      <c r="AI701" s="211" t="s">
        <v>908</v>
      </c>
      <c r="AJ701" s="213" t="s">
        <v>46</v>
      </c>
      <c r="AK701" s="178"/>
      <c r="AL701" s="210"/>
      <c r="AM701" s="211" t="s">
        <v>908</v>
      </c>
      <c r="AN701" s="213" t="s">
        <v>46</v>
      </c>
      <c r="AO701" s="178"/>
      <c r="AP701" s="210"/>
      <c r="AQ701" s="211" t="s">
        <v>908</v>
      </c>
      <c r="AR701" s="213" t="s">
        <v>46</v>
      </c>
      <c r="AS701" s="178"/>
      <c r="AT701" s="210"/>
      <c r="AU701" s="211" t="s">
        <v>908</v>
      </c>
      <c r="AV701" s="213" t="s">
        <v>46</v>
      </c>
      <c r="AW701" s="178"/>
      <c r="AX701" s="210"/>
      <c r="AY701" s="211" t="s">
        <v>908</v>
      </c>
      <c r="AZ701" s="213" t="s">
        <v>46</v>
      </c>
      <c r="BA701" s="178"/>
      <c r="BB701" s="210"/>
      <c r="BC701" s="211" t="s">
        <v>908</v>
      </c>
      <c r="BD701" s="213" t="s">
        <v>46</v>
      </c>
      <c r="BE701" s="178"/>
      <c r="BF701" s="210"/>
      <c r="BG701" s="211" t="s">
        <v>908</v>
      </c>
      <c r="BH701" s="213" t="s">
        <v>46</v>
      </c>
      <c r="BI701" s="178"/>
      <c r="BJ701" s="210"/>
      <c r="BK701" s="211" t="s">
        <v>908</v>
      </c>
      <c r="BL701" s="213" t="s">
        <v>46</v>
      </c>
      <c r="BM701" s="178"/>
      <c r="BN701" s="210"/>
      <c r="BO701" s="211" t="s">
        <v>908</v>
      </c>
      <c r="BP701" s="213" t="s">
        <v>46</v>
      </c>
      <c r="BQ701" s="178"/>
      <c r="BR701" s="210"/>
      <c r="BS701" s="211" t="s">
        <v>908</v>
      </c>
      <c r="BT701" s="212" t="s">
        <v>142</v>
      </c>
      <c r="BU701" s="178"/>
    </row>
    <row r="702" s="105" customFormat="1" spans="1:73">
      <c r="A702" s="221"/>
      <c r="B702" s="205" t="s">
        <v>46</v>
      </c>
      <c r="C702" s="142"/>
      <c r="D702" s="207"/>
      <c r="E702" s="132"/>
      <c r="F702" s="138"/>
      <c r="G702" s="143" t="s">
        <v>909</v>
      </c>
      <c r="H702" s="167"/>
      <c r="I702" s="178"/>
      <c r="J702" s="210"/>
      <c r="K702" s="211" t="s">
        <v>909</v>
      </c>
      <c r="L702" s="213" t="s">
        <v>46</v>
      </c>
      <c r="M702" s="178"/>
      <c r="N702" s="210"/>
      <c r="O702" s="211" t="s">
        <v>909</v>
      </c>
      <c r="P702" s="213" t="s">
        <v>46</v>
      </c>
      <c r="Q702" s="178"/>
      <c r="R702" s="210"/>
      <c r="S702" s="211" t="s">
        <v>909</v>
      </c>
      <c r="T702" s="213" t="s">
        <v>46</v>
      </c>
      <c r="U702" s="178"/>
      <c r="V702" s="210"/>
      <c r="W702" s="211" t="s">
        <v>909</v>
      </c>
      <c r="X702" s="213" t="s">
        <v>46</v>
      </c>
      <c r="Y702" s="178"/>
      <c r="Z702" s="210"/>
      <c r="AA702" s="211" t="s">
        <v>909</v>
      </c>
      <c r="AB702" s="213" t="s">
        <v>46</v>
      </c>
      <c r="AC702" s="178"/>
      <c r="AD702" s="210"/>
      <c r="AE702" s="211" t="s">
        <v>909</v>
      </c>
      <c r="AF702" s="213" t="s">
        <v>46</v>
      </c>
      <c r="AG702" s="178"/>
      <c r="AH702" s="210"/>
      <c r="AI702" s="211" t="s">
        <v>909</v>
      </c>
      <c r="AJ702" s="213" t="s">
        <v>46</v>
      </c>
      <c r="AK702" s="178"/>
      <c r="AL702" s="210"/>
      <c r="AM702" s="211" t="s">
        <v>909</v>
      </c>
      <c r="AN702" s="213" t="s">
        <v>46</v>
      </c>
      <c r="AO702" s="178"/>
      <c r="AP702" s="210"/>
      <c r="AQ702" s="211" t="s">
        <v>909</v>
      </c>
      <c r="AR702" s="213" t="s">
        <v>46</v>
      </c>
      <c r="AS702" s="178"/>
      <c r="AT702" s="210"/>
      <c r="AU702" s="211" t="s">
        <v>909</v>
      </c>
      <c r="AV702" s="213" t="s">
        <v>46</v>
      </c>
      <c r="AW702" s="178"/>
      <c r="AX702" s="210"/>
      <c r="AY702" s="211" t="s">
        <v>909</v>
      </c>
      <c r="AZ702" s="213" t="s">
        <v>46</v>
      </c>
      <c r="BA702" s="178"/>
      <c r="BB702" s="210"/>
      <c r="BC702" s="211" t="s">
        <v>909</v>
      </c>
      <c r="BD702" s="213" t="s">
        <v>46</v>
      </c>
      <c r="BE702" s="178"/>
      <c r="BF702" s="210"/>
      <c r="BG702" s="211" t="s">
        <v>909</v>
      </c>
      <c r="BH702" s="213" t="s">
        <v>46</v>
      </c>
      <c r="BI702" s="178"/>
      <c r="BJ702" s="210"/>
      <c r="BK702" s="211" t="s">
        <v>909</v>
      </c>
      <c r="BL702" s="213" t="s">
        <v>46</v>
      </c>
      <c r="BM702" s="178"/>
      <c r="BN702" s="210"/>
      <c r="BO702" s="211" t="s">
        <v>909</v>
      </c>
      <c r="BP702" s="213" t="s">
        <v>46</v>
      </c>
      <c r="BQ702" s="178"/>
      <c r="BR702" s="210"/>
      <c r="BS702" s="211" t="s">
        <v>909</v>
      </c>
      <c r="BT702" s="213" t="s">
        <v>46</v>
      </c>
      <c r="BU702" s="178"/>
    </row>
    <row r="703" s="105" customFormat="1" spans="1:73">
      <c r="A703" s="221"/>
      <c r="B703" s="205" t="s">
        <v>46</v>
      </c>
      <c r="C703" s="142"/>
      <c r="D703" s="207"/>
      <c r="E703" s="132"/>
      <c r="F703" s="138"/>
      <c r="G703" s="143" t="s">
        <v>910</v>
      </c>
      <c r="H703" s="167"/>
      <c r="I703" s="178"/>
      <c r="J703" s="210"/>
      <c r="K703" s="211" t="s">
        <v>910</v>
      </c>
      <c r="L703" s="213" t="s">
        <v>46</v>
      </c>
      <c r="M703" s="178"/>
      <c r="N703" s="210"/>
      <c r="O703" s="211" t="s">
        <v>910</v>
      </c>
      <c r="P703" s="213" t="s">
        <v>46</v>
      </c>
      <c r="Q703" s="178"/>
      <c r="R703" s="210"/>
      <c r="S703" s="211" t="s">
        <v>910</v>
      </c>
      <c r="T703" s="213" t="s">
        <v>46</v>
      </c>
      <c r="U703" s="178"/>
      <c r="V703" s="210"/>
      <c r="W703" s="211" t="s">
        <v>910</v>
      </c>
      <c r="X703" s="213" t="s">
        <v>46</v>
      </c>
      <c r="Y703" s="178"/>
      <c r="Z703" s="210"/>
      <c r="AA703" s="211" t="s">
        <v>910</v>
      </c>
      <c r="AB703" s="213" t="s">
        <v>46</v>
      </c>
      <c r="AC703" s="178"/>
      <c r="AD703" s="210"/>
      <c r="AE703" s="211" t="s">
        <v>910</v>
      </c>
      <c r="AF703" s="213" t="s">
        <v>46</v>
      </c>
      <c r="AG703" s="178"/>
      <c r="AH703" s="210"/>
      <c r="AI703" s="211" t="s">
        <v>910</v>
      </c>
      <c r="AJ703" s="213" t="s">
        <v>46</v>
      </c>
      <c r="AK703" s="178"/>
      <c r="AL703" s="210"/>
      <c r="AM703" s="211" t="s">
        <v>910</v>
      </c>
      <c r="AN703" s="213" t="s">
        <v>46</v>
      </c>
      <c r="AO703" s="178"/>
      <c r="AP703" s="210"/>
      <c r="AQ703" s="211" t="s">
        <v>910</v>
      </c>
      <c r="AR703" s="213" t="s">
        <v>46</v>
      </c>
      <c r="AS703" s="178"/>
      <c r="AT703" s="210"/>
      <c r="AU703" s="211" t="s">
        <v>910</v>
      </c>
      <c r="AV703" s="213" t="s">
        <v>46</v>
      </c>
      <c r="AW703" s="178"/>
      <c r="AX703" s="210"/>
      <c r="AY703" s="211" t="s">
        <v>910</v>
      </c>
      <c r="AZ703" s="213" t="s">
        <v>46</v>
      </c>
      <c r="BA703" s="178"/>
      <c r="BB703" s="210"/>
      <c r="BC703" s="211" t="s">
        <v>910</v>
      </c>
      <c r="BD703" s="213" t="s">
        <v>46</v>
      </c>
      <c r="BE703" s="178"/>
      <c r="BF703" s="210"/>
      <c r="BG703" s="211" t="s">
        <v>910</v>
      </c>
      <c r="BH703" s="213" t="s">
        <v>46</v>
      </c>
      <c r="BI703" s="178"/>
      <c r="BJ703" s="210"/>
      <c r="BK703" s="211" t="s">
        <v>910</v>
      </c>
      <c r="BL703" s="213" t="s">
        <v>46</v>
      </c>
      <c r="BM703" s="178"/>
      <c r="BN703" s="210"/>
      <c r="BO703" s="211" t="s">
        <v>910</v>
      </c>
      <c r="BP703" s="213" t="s">
        <v>46</v>
      </c>
      <c r="BQ703" s="178"/>
      <c r="BR703" s="210"/>
      <c r="BS703" s="211" t="s">
        <v>910</v>
      </c>
      <c r="BT703" s="213" t="s">
        <v>46</v>
      </c>
      <c r="BU703" s="178"/>
    </row>
    <row r="704" s="105" customFormat="1" spans="1:73">
      <c r="A704" s="221"/>
      <c r="B704" s="205" t="s">
        <v>46</v>
      </c>
      <c r="C704" s="142"/>
      <c r="D704" s="207"/>
      <c r="E704" s="132"/>
      <c r="F704" s="138"/>
      <c r="G704" s="143" t="s">
        <v>911</v>
      </c>
      <c r="H704" s="167"/>
      <c r="I704" s="178"/>
      <c r="J704" s="210"/>
      <c r="K704" s="211" t="s">
        <v>911</v>
      </c>
      <c r="L704" s="213" t="s">
        <v>46</v>
      </c>
      <c r="M704" s="178"/>
      <c r="N704" s="210"/>
      <c r="O704" s="211" t="s">
        <v>911</v>
      </c>
      <c r="P704" s="213" t="s">
        <v>46</v>
      </c>
      <c r="Q704" s="178"/>
      <c r="R704" s="210"/>
      <c r="S704" s="211" t="s">
        <v>911</v>
      </c>
      <c r="T704" s="213" t="s">
        <v>46</v>
      </c>
      <c r="U704" s="178"/>
      <c r="V704" s="210"/>
      <c r="W704" s="211" t="s">
        <v>911</v>
      </c>
      <c r="X704" s="213" t="s">
        <v>46</v>
      </c>
      <c r="Y704" s="178"/>
      <c r="Z704" s="210"/>
      <c r="AA704" s="211" t="s">
        <v>911</v>
      </c>
      <c r="AB704" s="213" t="s">
        <v>46</v>
      </c>
      <c r="AC704" s="178"/>
      <c r="AD704" s="210"/>
      <c r="AE704" s="211" t="s">
        <v>911</v>
      </c>
      <c r="AF704" s="213" t="s">
        <v>46</v>
      </c>
      <c r="AG704" s="178"/>
      <c r="AH704" s="210"/>
      <c r="AI704" s="211" t="s">
        <v>911</v>
      </c>
      <c r="AJ704" s="213" t="s">
        <v>46</v>
      </c>
      <c r="AK704" s="178"/>
      <c r="AL704" s="210"/>
      <c r="AM704" s="211" t="s">
        <v>911</v>
      </c>
      <c r="AN704" s="213" t="s">
        <v>46</v>
      </c>
      <c r="AO704" s="178"/>
      <c r="AP704" s="210"/>
      <c r="AQ704" s="211" t="s">
        <v>911</v>
      </c>
      <c r="AR704" s="213" t="s">
        <v>46</v>
      </c>
      <c r="AS704" s="178"/>
      <c r="AT704" s="210"/>
      <c r="AU704" s="211" t="s">
        <v>911</v>
      </c>
      <c r="AV704" s="213" t="s">
        <v>46</v>
      </c>
      <c r="AW704" s="178"/>
      <c r="AX704" s="210"/>
      <c r="AY704" s="211" t="s">
        <v>911</v>
      </c>
      <c r="AZ704" s="213" t="s">
        <v>46</v>
      </c>
      <c r="BA704" s="178"/>
      <c r="BB704" s="210"/>
      <c r="BC704" s="211" t="s">
        <v>911</v>
      </c>
      <c r="BD704" s="213" t="s">
        <v>46</v>
      </c>
      <c r="BE704" s="178"/>
      <c r="BF704" s="210"/>
      <c r="BG704" s="211" t="s">
        <v>911</v>
      </c>
      <c r="BH704" s="213" t="s">
        <v>46</v>
      </c>
      <c r="BI704" s="178"/>
      <c r="BJ704" s="210"/>
      <c r="BK704" s="211" t="s">
        <v>911</v>
      </c>
      <c r="BL704" s="213" t="s">
        <v>46</v>
      </c>
      <c r="BM704" s="178"/>
      <c r="BN704" s="210"/>
      <c r="BO704" s="211" t="s">
        <v>911</v>
      </c>
      <c r="BP704" s="213" t="s">
        <v>46</v>
      </c>
      <c r="BQ704" s="178"/>
      <c r="BR704" s="210"/>
      <c r="BS704" s="211" t="s">
        <v>911</v>
      </c>
      <c r="BT704" s="213" t="s">
        <v>46</v>
      </c>
      <c r="BU704" s="178"/>
    </row>
    <row r="705" s="105" customFormat="1" spans="1:73">
      <c r="A705" s="221"/>
      <c r="B705" s="205" t="s">
        <v>46</v>
      </c>
      <c r="C705" s="142"/>
      <c r="D705" s="207"/>
      <c r="E705" s="132"/>
      <c r="F705" s="138"/>
      <c r="G705" s="143" t="s">
        <v>912</v>
      </c>
      <c r="H705" s="167"/>
      <c r="I705" s="178"/>
      <c r="J705" s="210"/>
      <c r="K705" s="211" t="s">
        <v>912</v>
      </c>
      <c r="L705" s="213" t="s">
        <v>46</v>
      </c>
      <c r="M705" s="178"/>
      <c r="N705" s="210"/>
      <c r="O705" s="211" t="s">
        <v>912</v>
      </c>
      <c r="P705" s="213" t="s">
        <v>46</v>
      </c>
      <c r="Q705" s="178"/>
      <c r="R705" s="210"/>
      <c r="S705" s="211" t="s">
        <v>912</v>
      </c>
      <c r="T705" s="213" t="s">
        <v>46</v>
      </c>
      <c r="U705" s="178"/>
      <c r="V705" s="210"/>
      <c r="W705" s="211" t="s">
        <v>912</v>
      </c>
      <c r="X705" s="213" t="s">
        <v>46</v>
      </c>
      <c r="Y705" s="178"/>
      <c r="Z705" s="210"/>
      <c r="AA705" s="211" t="s">
        <v>912</v>
      </c>
      <c r="AB705" s="213" t="s">
        <v>46</v>
      </c>
      <c r="AC705" s="178"/>
      <c r="AD705" s="210"/>
      <c r="AE705" s="211" t="s">
        <v>912</v>
      </c>
      <c r="AF705" s="213" t="s">
        <v>46</v>
      </c>
      <c r="AG705" s="178"/>
      <c r="AH705" s="210"/>
      <c r="AI705" s="211" t="s">
        <v>912</v>
      </c>
      <c r="AJ705" s="213" t="s">
        <v>46</v>
      </c>
      <c r="AK705" s="178"/>
      <c r="AL705" s="210"/>
      <c r="AM705" s="211" t="s">
        <v>912</v>
      </c>
      <c r="AN705" s="213" t="s">
        <v>46</v>
      </c>
      <c r="AO705" s="178"/>
      <c r="AP705" s="210"/>
      <c r="AQ705" s="211" t="s">
        <v>912</v>
      </c>
      <c r="AR705" s="213" t="s">
        <v>46</v>
      </c>
      <c r="AS705" s="178"/>
      <c r="AT705" s="210"/>
      <c r="AU705" s="211" t="s">
        <v>912</v>
      </c>
      <c r="AV705" s="213" t="s">
        <v>46</v>
      </c>
      <c r="AW705" s="178"/>
      <c r="AX705" s="210"/>
      <c r="AY705" s="211" t="s">
        <v>912</v>
      </c>
      <c r="AZ705" s="213" t="s">
        <v>46</v>
      </c>
      <c r="BA705" s="178"/>
      <c r="BB705" s="210"/>
      <c r="BC705" s="211" t="s">
        <v>912</v>
      </c>
      <c r="BD705" s="213" t="s">
        <v>46</v>
      </c>
      <c r="BE705" s="178"/>
      <c r="BF705" s="210"/>
      <c r="BG705" s="211" t="s">
        <v>912</v>
      </c>
      <c r="BH705" s="213" t="s">
        <v>46</v>
      </c>
      <c r="BI705" s="178"/>
      <c r="BJ705" s="210"/>
      <c r="BK705" s="211" t="s">
        <v>912</v>
      </c>
      <c r="BL705" s="213" t="s">
        <v>46</v>
      </c>
      <c r="BM705" s="178"/>
      <c r="BN705" s="210"/>
      <c r="BO705" s="211" t="s">
        <v>912</v>
      </c>
      <c r="BP705" s="213" t="s">
        <v>46</v>
      </c>
      <c r="BQ705" s="178"/>
      <c r="BR705" s="210"/>
      <c r="BS705" s="211" t="s">
        <v>912</v>
      </c>
      <c r="BT705" s="213" t="s">
        <v>46</v>
      </c>
      <c r="BU705" s="178"/>
    </row>
    <row r="706" s="105" customFormat="1" spans="1:73">
      <c r="A706" s="221"/>
      <c r="B706" s="205" t="s">
        <v>46</v>
      </c>
      <c r="C706" s="142"/>
      <c r="D706" s="207"/>
      <c r="E706" s="132"/>
      <c r="F706" s="138"/>
      <c r="G706" s="143" t="s">
        <v>913</v>
      </c>
      <c r="H706" s="167"/>
      <c r="I706" s="178"/>
      <c r="J706" s="210"/>
      <c r="K706" s="211" t="s">
        <v>913</v>
      </c>
      <c r="L706" s="212" t="s">
        <v>8</v>
      </c>
      <c r="M706" s="178"/>
      <c r="N706" s="210"/>
      <c r="O706" s="211" t="s">
        <v>913</v>
      </c>
      <c r="P706" s="212" t="s">
        <v>8</v>
      </c>
      <c r="Q706" s="178"/>
      <c r="R706" s="210"/>
      <c r="S706" s="211" t="s">
        <v>913</v>
      </c>
      <c r="T706" s="212" t="s">
        <v>8</v>
      </c>
      <c r="U706" s="178"/>
      <c r="V706" s="210"/>
      <c r="W706" s="211" t="s">
        <v>913</v>
      </c>
      <c r="X706" s="213" t="s">
        <v>46</v>
      </c>
      <c r="Y706" s="178"/>
      <c r="Z706" s="210"/>
      <c r="AA706" s="211" t="s">
        <v>913</v>
      </c>
      <c r="AB706" s="212" t="s">
        <v>8</v>
      </c>
      <c r="AC706" s="178"/>
      <c r="AD706" s="210"/>
      <c r="AE706" s="211" t="s">
        <v>913</v>
      </c>
      <c r="AF706" s="212" t="s">
        <v>8</v>
      </c>
      <c r="AG706" s="178"/>
      <c r="AH706" s="210"/>
      <c r="AI706" s="211" t="s">
        <v>913</v>
      </c>
      <c r="AJ706" s="212" t="s">
        <v>8</v>
      </c>
      <c r="AK706" s="178"/>
      <c r="AL706" s="210"/>
      <c r="AM706" s="211" t="s">
        <v>913</v>
      </c>
      <c r="AN706" s="212" t="s">
        <v>8</v>
      </c>
      <c r="AO706" s="178"/>
      <c r="AP706" s="210"/>
      <c r="AQ706" s="211" t="s">
        <v>913</v>
      </c>
      <c r="AR706" s="212" t="s">
        <v>8</v>
      </c>
      <c r="AS706" s="178"/>
      <c r="AT706" s="210"/>
      <c r="AU706" s="211" t="s">
        <v>913</v>
      </c>
      <c r="AV706" s="212" t="s">
        <v>8</v>
      </c>
      <c r="AW706" s="178"/>
      <c r="AX706" s="210"/>
      <c r="AY706" s="211" t="s">
        <v>913</v>
      </c>
      <c r="AZ706" s="213" t="s">
        <v>46</v>
      </c>
      <c r="BA706" s="178"/>
      <c r="BB706" s="210"/>
      <c r="BC706" s="211" t="s">
        <v>913</v>
      </c>
      <c r="BD706" s="212" t="s">
        <v>8</v>
      </c>
      <c r="BE706" s="178"/>
      <c r="BF706" s="210"/>
      <c r="BG706" s="211" t="s">
        <v>913</v>
      </c>
      <c r="BH706" s="212" t="s">
        <v>8</v>
      </c>
      <c r="BI706" s="178"/>
      <c r="BJ706" s="210"/>
      <c r="BK706" s="211" t="s">
        <v>913</v>
      </c>
      <c r="BL706" s="212" t="s">
        <v>8</v>
      </c>
      <c r="BM706" s="178"/>
      <c r="BN706" s="210"/>
      <c r="BO706" s="211" t="s">
        <v>913</v>
      </c>
      <c r="BP706" s="212" t="s">
        <v>8</v>
      </c>
      <c r="BQ706" s="178"/>
      <c r="BR706" s="210"/>
      <c r="BS706" s="211" t="s">
        <v>913</v>
      </c>
      <c r="BT706" s="212" t="s">
        <v>8</v>
      </c>
      <c r="BU706" s="178"/>
    </row>
    <row r="707" s="105" customFormat="1" spans="1:73">
      <c r="A707" s="221"/>
      <c r="B707" s="205" t="s">
        <v>120</v>
      </c>
      <c r="C707" s="142"/>
      <c r="D707" s="207"/>
      <c r="E707" s="132"/>
      <c r="F707" s="138"/>
      <c r="G707" s="143" t="s">
        <v>914</v>
      </c>
      <c r="H707" s="167"/>
      <c r="I707" s="178"/>
      <c r="J707" s="210"/>
      <c r="K707" s="211" t="s">
        <v>914</v>
      </c>
      <c r="L707" s="212" t="s">
        <v>8</v>
      </c>
      <c r="M707" s="178"/>
      <c r="N707" s="210"/>
      <c r="O707" s="211" t="s">
        <v>914</v>
      </c>
      <c r="P707" s="212" t="s">
        <v>8</v>
      </c>
      <c r="Q707" s="178"/>
      <c r="R707" s="210"/>
      <c r="S707" s="211" t="s">
        <v>914</v>
      </c>
      <c r="T707" s="212" t="s">
        <v>8</v>
      </c>
      <c r="U707" s="178"/>
      <c r="V707" s="210"/>
      <c r="W707" s="211" t="s">
        <v>914</v>
      </c>
      <c r="X707" s="213" t="s">
        <v>120</v>
      </c>
      <c r="Y707" s="178"/>
      <c r="Z707" s="210"/>
      <c r="AA707" s="211" t="s">
        <v>914</v>
      </c>
      <c r="AB707" s="212" t="s">
        <v>8</v>
      </c>
      <c r="AC707" s="178"/>
      <c r="AD707" s="210"/>
      <c r="AE707" s="211" t="s">
        <v>914</v>
      </c>
      <c r="AF707" s="212" t="s">
        <v>8</v>
      </c>
      <c r="AG707" s="178"/>
      <c r="AH707" s="210"/>
      <c r="AI707" s="211" t="s">
        <v>914</v>
      </c>
      <c r="AJ707" s="212" t="s">
        <v>8</v>
      </c>
      <c r="AK707" s="178"/>
      <c r="AL707" s="210"/>
      <c r="AM707" s="211" t="s">
        <v>914</v>
      </c>
      <c r="AN707" s="212" t="s">
        <v>8</v>
      </c>
      <c r="AO707" s="178"/>
      <c r="AP707" s="210"/>
      <c r="AQ707" s="211" t="s">
        <v>914</v>
      </c>
      <c r="AR707" s="212" t="s">
        <v>8</v>
      </c>
      <c r="AS707" s="178"/>
      <c r="AT707" s="210"/>
      <c r="AU707" s="211" t="s">
        <v>914</v>
      </c>
      <c r="AV707" s="212" t="s">
        <v>8</v>
      </c>
      <c r="AW707" s="178"/>
      <c r="AX707" s="210"/>
      <c r="AY707" s="211" t="s">
        <v>914</v>
      </c>
      <c r="AZ707" s="213" t="s">
        <v>120</v>
      </c>
      <c r="BA707" s="178"/>
      <c r="BB707" s="210"/>
      <c r="BC707" s="211" t="s">
        <v>914</v>
      </c>
      <c r="BD707" s="212" t="s">
        <v>8</v>
      </c>
      <c r="BE707" s="178"/>
      <c r="BF707" s="210"/>
      <c r="BG707" s="211" t="s">
        <v>914</v>
      </c>
      <c r="BH707" s="212" t="s">
        <v>8</v>
      </c>
      <c r="BI707" s="178"/>
      <c r="BJ707" s="210"/>
      <c r="BK707" s="211" t="s">
        <v>914</v>
      </c>
      <c r="BL707" s="212" t="s">
        <v>8</v>
      </c>
      <c r="BM707" s="178"/>
      <c r="BN707" s="210"/>
      <c r="BO707" s="211" t="s">
        <v>914</v>
      </c>
      <c r="BP707" s="212" t="s">
        <v>8</v>
      </c>
      <c r="BQ707" s="178"/>
      <c r="BR707" s="210"/>
      <c r="BS707" s="211" t="s">
        <v>914</v>
      </c>
      <c r="BT707" s="212" t="s">
        <v>8</v>
      </c>
      <c r="BU707" s="178"/>
    </row>
    <row r="708" s="105" customFormat="1" spans="1:73">
      <c r="A708" s="221"/>
      <c r="B708" s="205" t="s">
        <v>63</v>
      </c>
      <c r="C708" s="142"/>
      <c r="D708" s="207"/>
      <c r="E708" s="132"/>
      <c r="F708" s="138"/>
      <c r="G708" s="143" t="s">
        <v>915</v>
      </c>
      <c r="H708" s="167"/>
      <c r="I708" s="178"/>
      <c r="J708" s="210"/>
      <c r="K708" s="211" t="s">
        <v>915</v>
      </c>
      <c r="L708" s="212" t="s">
        <v>8</v>
      </c>
      <c r="M708" s="178"/>
      <c r="N708" s="210"/>
      <c r="O708" s="211" t="s">
        <v>915</v>
      </c>
      <c r="P708" s="212" t="s">
        <v>8</v>
      </c>
      <c r="Q708" s="178"/>
      <c r="R708" s="210"/>
      <c r="S708" s="211" t="s">
        <v>915</v>
      </c>
      <c r="T708" s="212" t="s">
        <v>8</v>
      </c>
      <c r="U708" s="178"/>
      <c r="V708" s="210"/>
      <c r="W708" s="211" t="s">
        <v>915</v>
      </c>
      <c r="X708" s="213" t="s">
        <v>63</v>
      </c>
      <c r="Y708" s="178"/>
      <c r="Z708" s="210"/>
      <c r="AA708" s="211" t="s">
        <v>915</v>
      </c>
      <c r="AB708" s="212" t="s">
        <v>8</v>
      </c>
      <c r="AC708" s="178"/>
      <c r="AD708" s="210"/>
      <c r="AE708" s="211" t="s">
        <v>915</v>
      </c>
      <c r="AF708" s="212" t="s">
        <v>8</v>
      </c>
      <c r="AG708" s="178"/>
      <c r="AH708" s="210"/>
      <c r="AI708" s="211" t="s">
        <v>915</v>
      </c>
      <c r="AJ708" s="212" t="s">
        <v>8</v>
      </c>
      <c r="AK708" s="178"/>
      <c r="AL708" s="210"/>
      <c r="AM708" s="211" t="s">
        <v>915</v>
      </c>
      <c r="AN708" s="212" t="s">
        <v>8</v>
      </c>
      <c r="AO708" s="178"/>
      <c r="AP708" s="210"/>
      <c r="AQ708" s="211" t="s">
        <v>915</v>
      </c>
      <c r="AR708" s="212" t="s">
        <v>8</v>
      </c>
      <c r="AS708" s="178"/>
      <c r="AT708" s="210"/>
      <c r="AU708" s="211" t="s">
        <v>915</v>
      </c>
      <c r="AV708" s="212" t="s">
        <v>8</v>
      </c>
      <c r="AW708" s="178"/>
      <c r="AX708" s="210"/>
      <c r="AY708" s="211" t="s">
        <v>915</v>
      </c>
      <c r="AZ708" s="213" t="s">
        <v>63</v>
      </c>
      <c r="BA708" s="178"/>
      <c r="BB708" s="210"/>
      <c r="BC708" s="211" t="s">
        <v>915</v>
      </c>
      <c r="BD708" s="212" t="s">
        <v>8</v>
      </c>
      <c r="BE708" s="178"/>
      <c r="BF708" s="210"/>
      <c r="BG708" s="211" t="s">
        <v>915</v>
      </c>
      <c r="BH708" s="212" t="s">
        <v>8</v>
      </c>
      <c r="BI708" s="178"/>
      <c r="BJ708" s="210"/>
      <c r="BK708" s="211" t="s">
        <v>915</v>
      </c>
      <c r="BL708" s="212" t="s">
        <v>8</v>
      </c>
      <c r="BM708" s="178"/>
      <c r="BN708" s="210"/>
      <c r="BO708" s="211" t="s">
        <v>915</v>
      </c>
      <c r="BP708" s="212" t="s">
        <v>8</v>
      </c>
      <c r="BQ708" s="178"/>
      <c r="BR708" s="210"/>
      <c r="BS708" s="211" t="s">
        <v>915</v>
      </c>
      <c r="BT708" s="212" t="s">
        <v>8</v>
      </c>
      <c r="BU708" s="178"/>
    </row>
    <row r="709" s="105" customFormat="1" spans="1:73">
      <c r="A709" s="221"/>
      <c r="B709" s="205" t="s">
        <v>158</v>
      </c>
      <c r="C709" s="142"/>
      <c r="D709" s="207"/>
      <c r="E709" s="132"/>
      <c r="F709" s="138"/>
      <c r="G709" s="143" t="s">
        <v>916</v>
      </c>
      <c r="H709" s="167"/>
      <c r="I709" s="178"/>
      <c r="J709" s="210"/>
      <c r="K709" s="211" t="s">
        <v>916</v>
      </c>
      <c r="L709" s="212" t="s">
        <v>8</v>
      </c>
      <c r="M709" s="178"/>
      <c r="N709" s="210"/>
      <c r="O709" s="211" t="s">
        <v>916</v>
      </c>
      <c r="P709" s="212" t="s">
        <v>8</v>
      </c>
      <c r="Q709" s="178"/>
      <c r="R709" s="210"/>
      <c r="S709" s="211" t="s">
        <v>916</v>
      </c>
      <c r="T709" s="212" t="s">
        <v>8</v>
      </c>
      <c r="U709" s="178"/>
      <c r="V709" s="210"/>
      <c r="W709" s="211" t="s">
        <v>916</v>
      </c>
      <c r="X709" s="213" t="s">
        <v>158</v>
      </c>
      <c r="Y709" s="178"/>
      <c r="Z709" s="210"/>
      <c r="AA709" s="211" t="s">
        <v>916</v>
      </c>
      <c r="AB709" s="212" t="s">
        <v>8</v>
      </c>
      <c r="AC709" s="178"/>
      <c r="AD709" s="210"/>
      <c r="AE709" s="211" t="s">
        <v>916</v>
      </c>
      <c r="AF709" s="212" t="s">
        <v>8</v>
      </c>
      <c r="AG709" s="178"/>
      <c r="AH709" s="210"/>
      <c r="AI709" s="211" t="s">
        <v>916</v>
      </c>
      <c r="AJ709" s="212" t="s">
        <v>8</v>
      </c>
      <c r="AK709" s="178"/>
      <c r="AL709" s="210"/>
      <c r="AM709" s="211" t="s">
        <v>916</v>
      </c>
      <c r="AN709" s="212" t="s">
        <v>8</v>
      </c>
      <c r="AO709" s="178"/>
      <c r="AP709" s="210"/>
      <c r="AQ709" s="211" t="s">
        <v>916</v>
      </c>
      <c r="AR709" s="212" t="s">
        <v>8</v>
      </c>
      <c r="AS709" s="178"/>
      <c r="AT709" s="210"/>
      <c r="AU709" s="211" t="s">
        <v>916</v>
      </c>
      <c r="AV709" s="212" t="s">
        <v>8</v>
      </c>
      <c r="AW709" s="178"/>
      <c r="AX709" s="210"/>
      <c r="AY709" s="211" t="s">
        <v>916</v>
      </c>
      <c r="AZ709" s="213" t="s">
        <v>158</v>
      </c>
      <c r="BA709" s="178"/>
      <c r="BB709" s="210"/>
      <c r="BC709" s="211" t="s">
        <v>916</v>
      </c>
      <c r="BD709" s="212" t="s">
        <v>8</v>
      </c>
      <c r="BE709" s="178"/>
      <c r="BF709" s="210"/>
      <c r="BG709" s="211" t="s">
        <v>916</v>
      </c>
      <c r="BH709" s="212" t="s">
        <v>8</v>
      </c>
      <c r="BI709" s="178"/>
      <c r="BJ709" s="210"/>
      <c r="BK709" s="211" t="s">
        <v>916</v>
      </c>
      <c r="BL709" s="212" t="s">
        <v>8</v>
      </c>
      <c r="BM709" s="178"/>
      <c r="BN709" s="210"/>
      <c r="BO709" s="211" t="s">
        <v>916</v>
      </c>
      <c r="BP709" s="212" t="s">
        <v>8</v>
      </c>
      <c r="BQ709" s="178"/>
      <c r="BR709" s="210"/>
      <c r="BS709" s="211" t="s">
        <v>916</v>
      </c>
      <c r="BT709" s="212" t="s">
        <v>8</v>
      </c>
      <c r="BU709" s="178"/>
    </row>
    <row r="710" s="105" customFormat="1" spans="1:73">
      <c r="A710" s="221"/>
      <c r="B710" s="205" t="s">
        <v>46</v>
      </c>
      <c r="C710" s="142"/>
      <c r="D710" s="207"/>
      <c r="E710" s="132"/>
      <c r="F710" s="138"/>
      <c r="G710" s="143" t="s">
        <v>917</v>
      </c>
      <c r="H710" s="167"/>
      <c r="I710" s="178"/>
      <c r="J710" s="210"/>
      <c r="K710" s="211" t="s">
        <v>917</v>
      </c>
      <c r="L710" s="212" t="s">
        <v>8</v>
      </c>
      <c r="M710" s="178"/>
      <c r="N710" s="210"/>
      <c r="O710" s="211" t="s">
        <v>917</v>
      </c>
      <c r="P710" s="212" t="s">
        <v>8</v>
      </c>
      <c r="Q710" s="178"/>
      <c r="R710" s="210"/>
      <c r="S710" s="211" t="s">
        <v>917</v>
      </c>
      <c r="T710" s="212" t="s">
        <v>8</v>
      </c>
      <c r="U710" s="178"/>
      <c r="V710" s="210"/>
      <c r="W710" s="211" t="s">
        <v>917</v>
      </c>
      <c r="X710" s="213" t="s">
        <v>46</v>
      </c>
      <c r="Y710" s="178"/>
      <c r="Z710" s="210"/>
      <c r="AA710" s="211" t="s">
        <v>917</v>
      </c>
      <c r="AB710" s="212" t="s">
        <v>8</v>
      </c>
      <c r="AC710" s="178"/>
      <c r="AD710" s="210"/>
      <c r="AE710" s="211" t="s">
        <v>917</v>
      </c>
      <c r="AF710" s="212" t="s">
        <v>8</v>
      </c>
      <c r="AG710" s="178"/>
      <c r="AH710" s="210"/>
      <c r="AI710" s="211" t="s">
        <v>917</v>
      </c>
      <c r="AJ710" s="212" t="s">
        <v>8</v>
      </c>
      <c r="AK710" s="178"/>
      <c r="AL710" s="210"/>
      <c r="AM710" s="211" t="s">
        <v>917</v>
      </c>
      <c r="AN710" s="212" t="s">
        <v>8</v>
      </c>
      <c r="AO710" s="178"/>
      <c r="AP710" s="210"/>
      <c r="AQ710" s="211" t="s">
        <v>917</v>
      </c>
      <c r="AR710" s="212" t="s">
        <v>8</v>
      </c>
      <c r="AS710" s="178"/>
      <c r="AT710" s="210"/>
      <c r="AU710" s="211" t="s">
        <v>917</v>
      </c>
      <c r="AV710" s="212" t="s">
        <v>8</v>
      </c>
      <c r="AW710" s="178"/>
      <c r="AX710" s="210"/>
      <c r="AY710" s="211" t="s">
        <v>917</v>
      </c>
      <c r="AZ710" s="213" t="s">
        <v>46</v>
      </c>
      <c r="BA710" s="178"/>
      <c r="BB710" s="210"/>
      <c r="BC710" s="211" t="s">
        <v>917</v>
      </c>
      <c r="BD710" s="212" t="s">
        <v>8</v>
      </c>
      <c r="BE710" s="178"/>
      <c r="BF710" s="210"/>
      <c r="BG710" s="211" t="s">
        <v>917</v>
      </c>
      <c r="BH710" s="212" t="s">
        <v>8</v>
      </c>
      <c r="BI710" s="178"/>
      <c r="BJ710" s="210"/>
      <c r="BK710" s="211" t="s">
        <v>917</v>
      </c>
      <c r="BL710" s="212" t="s">
        <v>8</v>
      </c>
      <c r="BM710" s="178"/>
      <c r="BN710" s="210"/>
      <c r="BO710" s="211" t="s">
        <v>917</v>
      </c>
      <c r="BP710" s="212" t="s">
        <v>8</v>
      </c>
      <c r="BQ710" s="178"/>
      <c r="BR710" s="210"/>
      <c r="BS710" s="211" t="s">
        <v>917</v>
      </c>
      <c r="BT710" s="212" t="s">
        <v>8</v>
      </c>
      <c r="BU710" s="178"/>
    </row>
    <row r="711" s="105" customFormat="1" spans="1:73">
      <c r="A711" s="221"/>
      <c r="B711" s="205" t="s">
        <v>155</v>
      </c>
      <c r="C711" s="142"/>
      <c r="D711" s="207"/>
      <c r="E711" s="132"/>
      <c r="F711" s="138"/>
      <c r="G711" s="143" t="s">
        <v>918</v>
      </c>
      <c r="H711" s="167"/>
      <c r="I711" s="178"/>
      <c r="J711" s="210"/>
      <c r="K711" s="211" t="s">
        <v>918</v>
      </c>
      <c r="L711" s="212" t="s">
        <v>8</v>
      </c>
      <c r="M711" s="178"/>
      <c r="N711" s="210"/>
      <c r="O711" s="211" t="s">
        <v>918</v>
      </c>
      <c r="P711" s="212" t="s">
        <v>8</v>
      </c>
      <c r="Q711" s="178"/>
      <c r="R711" s="210"/>
      <c r="S711" s="211" t="s">
        <v>918</v>
      </c>
      <c r="T711" s="212" t="s">
        <v>8</v>
      </c>
      <c r="U711" s="178"/>
      <c r="V711" s="210"/>
      <c r="W711" s="211" t="s">
        <v>918</v>
      </c>
      <c r="X711" s="213" t="s">
        <v>155</v>
      </c>
      <c r="Y711" s="178"/>
      <c r="Z711" s="210"/>
      <c r="AA711" s="211" t="s">
        <v>918</v>
      </c>
      <c r="AB711" s="212" t="s">
        <v>8</v>
      </c>
      <c r="AC711" s="178"/>
      <c r="AD711" s="210"/>
      <c r="AE711" s="211" t="s">
        <v>918</v>
      </c>
      <c r="AF711" s="212" t="s">
        <v>8</v>
      </c>
      <c r="AG711" s="178"/>
      <c r="AH711" s="210"/>
      <c r="AI711" s="211" t="s">
        <v>918</v>
      </c>
      <c r="AJ711" s="212" t="s">
        <v>8</v>
      </c>
      <c r="AK711" s="178"/>
      <c r="AL711" s="210"/>
      <c r="AM711" s="211" t="s">
        <v>918</v>
      </c>
      <c r="AN711" s="212" t="s">
        <v>8</v>
      </c>
      <c r="AO711" s="178"/>
      <c r="AP711" s="210"/>
      <c r="AQ711" s="211" t="s">
        <v>918</v>
      </c>
      <c r="AR711" s="212" t="s">
        <v>8</v>
      </c>
      <c r="AS711" s="178"/>
      <c r="AT711" s="210"/>
      <c r="AU711" s="211" t="s">
        <v>918</v>
      </c>
      <c r="AV711" s="212" t="s">
        <v>8</v>
      </c>
      <c r="AW711" s="178"/>
      <c r="AX711" s="210"/>
      <c r="AY711" s="211" t="s">
        <v>918</v>
      </c>
      <c r="AZ711" s="213" t="s">
        <v>155</v>
      </c>
      <c r="BA711" s="178"/>
      <c r="BB711" s="210"/>
      <c r="BC711" s="211" t="s">
        <v>918</v>
      </c>
      <c r="BD711" s="212" t="s">
        <v>8</v>
      </c>
      <c r="BE711" s="178"/>
      <c r="BF711" s="210"/>
      <c r="BG711" s="211" t="s">
        <v>918</v>
      </c>
      <c r="BH711" s="212" t="s">
        <v>8</v>
      </c>
      <c r="BI711" s="178"/>
      <c r="BJ711" s="210"/>
      <c r="BK711" s="211" t="s">
        <v>918</v>
      </c>
      <c r="BL711" s="212" t="s">
        <v>8</v>
      </c>
      <c r="BM711" s="178"/>
      <c r="BN711" s="210"/>
      <c r="BO711" s="211" t="s">
        <v>918</v>
      </c>
      <c r="BP711" s="212" t="s">
        <v>8</v>
      </c>
      <c r="BQ711" s="178"/>
      <c r="BR711" s="210"/>
      <c r="BS711" s="211" t="s">
        <v>918</v>
      </c>
      <c r="BT711" s="212" t="s">
        <v>8</v>
      </c>
      <c r="BU711" s="178"/>
    </row>
    <row r="712" s="105" customFormat="1" spans="1:73">
      <c r="A712" s="221"/>
      <c r="B712" s="205" t="s">
        <v>63</v>
      </c>
      <c r="C712" s="142"/>
      <c r="D712" s="207"/>
      <c r="E712" s="132"/>
      <c r="F712" s="138"/>
      <c r="G712" s="143" t="s">
        <v>919</v>
      </c>
      <c r="H712" s="167"/>
      <c r="I712" s="178"/>
      <c r="J712" s="210"/>
      <c r="K712" s="211" t="s">
        <v>919</v>
      </c>
      <c r="L712" s="212" t="s">
        <v>8</v>
      </c>
      <c r="M712" s="178"/>
      <c r="N712" s="210"/>
      <c r="O712" s="211" t="s">
        <v>919</v>
      </c>
      <c r="P712" s="212" t="s">
        <v>8</v>
      </c>
      <c r="Q712" s="178"/>
      <c r="R712" s="210"/>
      <c r="S712" s="211" t="s">
        <v>919</v>
      </c>
      <c r="T712" s="212" t="s">
        <v>8</v>
      </c>
      <c r="U712" s="178"/>
      <c r="V712" s="210"/>
      <c r="W712" s="211" t="s">
        <v>919</v>
      </c>
      <c r="X712" s="213" t="s">
        <v>63</v>
      </c>
      <c r="Y712" s="178"/>
      <c r="Z712" s="210"/>
      <c r="AA712" s="211" t="s">
        <v>919</v>
      </c>
      <c r="AB712" s="212" t="s">
        <v>8</v>
      </c>
      <c r="AC712" s="178"/>
      <c r="AD712" s="210"/>
      <c r="AE712" s="211" t="s">
        <v>919</v>
      </c>
      <c r="AF712" s="212" t="s">
        <v>8</v>
      </c>
      <c r="AG712" s="178"/>
      <c r="AH712" s="210"/>
      <c r="AI712" s="211" t="s">
        <v>919</v>
      </c>
      <c r="AJ712" s="212" t="s">
        <v>8</v>
      </c>
      <c r="AK712" s="178"/>
      <c r="AL712" s="210"/>
      <c r="AM712" s="211" t="s">
        <v>919</v>
      </c>
      <c r="AN712" s="212" t="s">
        <v>8</v>
      </c>
      <c r="AO712" s="178"/>
      <c r="AP712" s="210"/>
      <c r="AQ712" s="211" t="s">
        <v>919</v>
      </c>
      <c r="AR712" s="212" t="s">
        <v>8</v>
      </c>
      <c r="AS712" s="178"/>
      <c r="AT712" s="210"/>
      <c r="AU712" s="211" t="s">
        <v>919</v>
      </c>
      <c r="AV712" s="212" t="s">
        <v>8</v>
      </c>
      <c r="AW712" s="178"/>
      <c r="AX712" s="210"/>
      <c r="AY712" s="211" t="s">
        <v>919</v>
      </c>
      <c r="AZ712" s="213" t="s">
        <v>63</v>
      </c>
      <c r="BA712" s="178"/>
      <c r="BB712" s="210"/>
      <c r="BC712" s="211" t="s">
        <v>919</v>
      </c>
      <c r="BD712" s="212" t="s">
        <v>8</v>
      </c>
      <c r="BE712" s="178"/>
      <c r="BF712" s="210"/>
      <c r="BG712" s="211" t="s">
        <v>919</v>
      </c>
      <c r="BH712" s="212" t="s">
        <v>8</v>
      </c>
      <c r="BI712" s="178"/>
      <c r="BJ712" s="210"/>
      <c r="BK712" s="211" t="s">
        <v>919</v>
      </c>
      <c r="BL712" s="212" t="s">
        <v>8</v>
      </c>
      <c r="BM712" s="178"/>
      <c r="BN712" s="210"/>
      <c r="BO712" s="211" t="s">
        <v>919</v>
      </c>
      <c r="BP712" s="212" t="s">
        <v>8</v>
      </c>
      <c r="BQ712" s="178"/>
      <c r="BR712" s="210"/>
      <c r="BS712" s="211" t="s">
        <v>919</v>
      </c>
      <c r="BT712" s="212" t="s">
        <v>8</v>
      </c>
      <c r="BU712" s="178"/>
    </row>
    <row r="713" s="105" customFormat="1" spans="1:73">
      <c r="A713" s="221"/>
      <c r="B713" s="205" t="s">
        <v>765</v>
      </c>
      <c r="C713" s="142"/>
      <c r="D713" s="207"/>
      <c r="E713" s="132"/>
      <c r="F713" s="138"/>
      <c r="G713" s="143" t="s">
        <v>920</v>
      </c>
      <c r="H713" s="167"/>
      <c r="I713" s="178"/>
      <c r="J713" s="210"/>
      <c r="K713" s="211" t="s">
        <v>920</v>
      </c>
      <c r="L713" s="212" t="s">
        <v>8</v>
      </c>
      <c r="M713" s="178"/>
      <c r="N713" s="210"/>
      <c r="O713" s="211" t="s">
        <v>920</v>
      </c>
      <c r="P713" s="212" t="s">
        <v>8</v>
      </c>
      <c r="Q713" s="178"/>
      <c r="R713" s="210"/>
      <c r="S713" s="211" t="s">
        <v>920</v>
      </c>
      <c r="T713" s="212" t="s">
        <v>8</v>
      </c>
      <c r="U713" s="178"/>
      <c r="V713" s="210"/>
      <c r="W713" s="211" t="s">
        <v>920</v>
      </c>
      <c r="X713" s="213" t="s">
        <v>765</v>
      </c>
      <c r="Y713" s="178"/>
      <c r="Z713" s="210"/>
      <c r="AA713" s="211" t="s">
        <v>920</v>
      </c>
      <c r="AB713" s="212" t="s">
        <v>8</v>
      </c>
      <c r="AC713" s="178"/>
      <c r="AD713" s="210"/>
      <c r="AE713" s="211" t="s">
        <v>920</v>
      </c>
      <c r="AF713" s="212" t="s">
        <v>8</v>
      </c>
      <c r="AG713" s="178"/>
      <c r="AH713" s="210"/>
      <c r="AI713" s="211" t="s">
        <v>920</v>
      </c>
      <c r="AJ713" s="212" t="s">
        <v>8</v>
      </c>
      <c r="AK713" s="178"/>
      <c r="AL713" s="210"/>
      <c r="AM713" s="211" t="s">
        <v>920</v>
      </c>
      <c r="AN713" s="212" t="s">
        <v>8</v>
      </c>
      <c r="AO713" s="178"/>
      <c r="AP713" s="210"/>
      <c r="AQ713" s="211" t="s">
        <v>920</v>
      </c>
      <c r="AR713" s="212" t="s">
        <v>8</v>
      </c>
      <c r="AS713" s="178"/>
      <c r="AT713" s="210"/>
      <c r="AU713" s="211" t="s">
        <v>920</v>
      </c>
      <c r="AV713" s="212" t="s">
        <v>8</v>
      </c>
      <c r="AW713" s="178"/>
      <c r="AX713" s="210"/>
      <c r="AY713" s="211" t="s">
        <v>920</v>
      </c>
      <c r="AZ713" s="213" t="s">
        <v>765</v>
      </c>
      <c r="BA713" s="178"/>
      <c r="BB713" s="210"/>
      <c r="BC713" s="211" t="s">
        <v>920</v>
      </c>
      <c r="BD713" s="212" t="s">
        <v>8</v>
      </c>
      <c r="BE713" s="178"/>
      <c r="BF713" s="210"/>
      <c r="BG713" s="211" t="s">
        <v>920</v>
      </c>
      <c r="BH713" s="212" t="s">
        <v>8</v>
      </c>
      <c r="BI713" s="178"/>
      <c r="BJ713" s="210"/>
      <c r="BK713" s="211" t="s">
        <v>920</v>
      </c>
      <c r="BL713" s="212" t="s">
        <v>8</v>
      </c>
      <c r="BM713" s="178"/>
      <c r="BN713" s="210"/>
      <c r="BO713" s="211" t="s">
        <v>920</v>
      </c>
      <c r="BP713" s="212" t="s">
        <v>8</v>
      </c>
      <c r="BQ713" s="178"/>
      <c r="BR713" s="210"/>
      <c r="BS713" s="211" t="s">
        <v>920</v>
      </c>
      <c r="BT713" s="212" t="s">
        <v>8</v>
      </c>
      <c r="BU713" s="178"/>
    </row>
    <row r="714" s="105" customFormat="1" spans="1:73">
      <c r="A714" s="221"/>
      <c r="B714" s="205" t="s">
        <v>46</v>
      </c>
      <c r="C714" s="142"/>
      <c r="D714" s="207"/>
      <c r="E714" s="132"/>
      <c r="F714" s="138"/>
      <c r="G714" s="143" t="s">
        <v>921</v>
      </c>
      <c r="H714" s="167"/>
      <c r="I714" s="178"/>
      <c r="J714" s="210"/>
      <c r="K714" s="211" t="s">
        <v>921</v>
      </c>
      <c r="L714" s="212" t="s">
        <v>8</v>
      </c>
      <c r="M714" s="178"/>
      <c r="N714" s="210"/>
      <c r="O714" s="211" t="s">
        <v>921</v>
      </c>
      <c r="P714" s="212" t="s">
        <v>8</v>
      </c>
      <c r="Q714" s="178"/>
      <c r="R714" s="210"/>
      <c r="S714" s="211" t="s">
        <v>921</v>
      </c>
      <c r="T714" s="212" t="s">
        <v>8</v>
      </c>
      <c r="U714" s="178"/>
      <c r="V714" s="210"/>
      <c r="W714" s="211" t="s">
        <v>921</v>
      </c>
      <c r="X714" s="213" t="s">
        <v>46</v>
      </c>
      <c r="Y714" s="178"/>
      <c r="Z714" s="210"/>
      <c r="AA714" s="211" t="s">
        <v>921</v>
      </c>
      <c r="AB714" s="212" t="s">
        <v>8</v>
      </c>
      <c r="AC714" s="178"/>
      <c r="AD714" s="210"/>
      <c r="AE714" s="211" t="s">
        <v>921</v>
      </c>
      <c r="AF714" s="212" t="s">
        <v>8</v>
      </c>
      <c r="AG714" s="178"/>
      <c r="AH714" s="210"/>
      <c r="AI714" s="211" t="s">
        <v>921</v>
      </c>
      <c r="AJ714" s="212" t="s">
        <v>8</v>
      </c>
      <c r="AK714" s="178"/>
      <c r="AL714" s="210"/>
      <c r="AM714" s="211" t="s">
        <v>921</v>
      </c>
      <c r="AN714" s="212" t="s">
        <v>8</v>
      </c>
      <c r="AO714" s="178"/>
      <c r="AP714" s="210"/>
      <c r="AQ714" s="211" t="s">
        <v>921</v>
      </c>
      <c r="AR714" s="212" t="s">
        <v>8</v>
      </c>
      <c r="AS714" s="178"/>
      <c r="AT714" s="210"/>
      <c r="AU714" s="211" t="s">
        <v>921</v>
      </c>
      <c r="AV714" s="212" t="s">
        <v>8</v>
      </c>
      <c r="AW714" s="178"/>
      <c r="AX714" s="210"/>
      <c r="AY714" s="211" t="s">
        <v>921</v>
      </c>
      <c r="AZ714" s="213" t="s">
        <v>46</v>
      </c>
      <c r="BA714" s="178"/>
      <c r="BB714" s="210"/>
      <c r="BC714" s="211" t="s">
        <v>921</v>
      </c>
      <c r="BD714" s="212" t="s">
        <v>8</v>
      </c>
      <c r="BE714" s="178"/>
      <c r="BF714" s="210"/>
      <c r="BG714" s="211" t="s">
        <v>921</v>
      </c>
      <c r="BH714" s="212" t="s">
        <v>8</v>
      </c>
      <c r="BI714" s="178"/>
      <c r="BJ714" s="210"/>
      <c r="BK714" s="211" t="s">
        <v>921</v>
      </c>
      <c r="BL714" s="212" t="s">
        <v>8</v>
      </c>
      <c r="BM714" s="178"/>
      <c r="BN714" s="210"/>
      <c r="BO714" s="211" t="s">
        <v>921</v>
      </c>
      <c r="BP714" s="212" t="s">
        <v>8</v>
      </c>
      <c r="BQ714" s="178"/>
      <c r="BR714" s="210"/>
      <c r="BS714" s="211" t="s">
        <v>921</v>
      </c>
      <c r="BT714" s="212" t="s">
        <v>8</v>
      </c>
      <c r="BU714" s="178"/>
    </row>
    <row r="715" s="105" customFormat="1" spans="1:73">
      <c r="A715" s="221"/>
      <c r="B715" s="205" t="s">
        <v>849</v>
      </c>
      <c r="C715" s="142"/>
      <c r="D715" s="207"/>
      <c r="E715" s="132"/>
      <c r="F715" s="138"/>
      <c r="G715" s="143" t="s">
        <v>922</v>
      </c>
      <c r="H715" s="167"/>
      <c r="I715" s="178"/>
      <c r="J715" s="210"/>
      <c r="K715" s="211" t="s">
        <v>922</v>
      </c>
      <c r="L715" s="212" t="s">
        <v>8</v>
      </c>
      <c r="M715" s="178"/>
      <c r="N715" s="210"/>
      <c r="O715" s="211" t="s">
        <v>922</v>
      </c>
      <c r="P715" s="212" t="s">
        <v>8</v>
      </c>
      <c r="Q715" s="178"/>
      <c r="R715" s="210"/>
      <c r="S715" s="211" t="s">
        <v>922</v>
      </c>
      <c r="T715" s="212" t="s">
        <v>8</v>
      </c>
      <c r="U715" s="178"/>
      <c r="V715" s="210"/>
      <c r="W715" s="211" t="s">
        <v>922</v>
      </c>
      <c r="X715" s="213" t="s">
        <v>849</v>
      </c>
      <c r="Y715" s="178"/>
      <c r="Z715" s="210"/>
      <c r="AA715" s="211" t="s">
        <v>922</v>
      </c>
      <c r="AB715" s="212" t="s">
        <v>8</v>
      </c>
      <c r="AC715" s="178"/>
      <c r="AD715" s="210"/>
      <c r="AE715" s="211" t="s">
        <v>922</v>
      </c>
      <c r="AF715" s="212" t="s">
        <v>8</v>
      </c>
      <c r="AG715" s="178"/>
      <c r="AH715" s="210"/>
      <c r="AI715" s="211" t="s">
        <v>922</v>
      </c>
      <c r="AJ715" s="212" t="s">
        <v>8</v>
      </c>
      <c r="AK715" s="178"/>
      <c r="AL715" s="210"/>
      <c r="AM715" s="211" t="s">
        <v>922</v>
      </c>
      <c r="AN715" s="212" t="s">
        <v>8</v>
      </c>
      <c r="AO715" s="178"/>
      <c r="AP715" s="210"/>
      <c r="AQ715" s="211" t="s">
        <v>922</v>
      </c>
      <c r="AR715" s="212" t="s">
        <v>8</v>
      </c>
      <c r="AS715" s="178"/>
      <c r="AT715" s="210"/>
      <c r="AU715" s="211" t="s">
        <v>922</v>
      </c>
      <c r="AV715" s="212" t="s">
        <v>8</v>
      </c>
      <c r="AW715" s="178"/>
      <c r="AX715" s="210"/>
      <c r="AY715" s="211" t="s">
        <v>922</v>
      </c>
      <c r="AZ715" s="213" t="s">
        <v>849</v>
      </c>
      <c r="BA715" s="178"/>
      <c r="BB715" s="210"/>
      <c r="BC715" s="211" t="s">
        <v>922</v>
      </c>
      <c r="BD715" s="212" t="s">
        <v>8</v>
      </c>
      <c r="BE715" s="178"/>
      <c r="BF715" s="210"/>
      <c r="BG715" s="211" t="s">
        <v>922</v>
      </c>
      <c r="BH715" s="212" t="s">
        <v>8</v>
      </c>
      <c r="BI715" s="178"/>
      <c r="BJ715" s="210"/>
      <c r="BK715" s="211" t="s">
        <v>922</v>
      </c>
      <c r="BL715" s="212" t="s">
        <v>8</v>
      </c>
      <c r="BM715" s="178"/>
      <c r="BN715" s="210"/>
      <c r="BO715" s="211" t="s">
        <v>922</v>
      </c>
      <c r="BP715" s="212" t="s">
        <v>8</v>
      </c>
      <c r="BQ715" s="178"/>
      <c r="BR715" s="210"/>
      <c r="BS715" s="211" t="s">
        <v>922</v>
      </c>
      <c r="BT715" s="212" t="s">
        <v>8</v>
      </c>
      <c r="BU715" s="178"/>
    </row>
    <row r="716" s="105" customFormat="1" spans="1:73">
      <c r="A716" s="221"/>
      <c r="B716" s="205" t="s">
        <v>132</v>
      </c>
      <c r="C716" s="142"/>
      <c r="D716" s="207"/>
      <c r="E716" s="132"/>
      <c r="F716" s="138"/>
      <c r="G716" s="143" t="s">
        <v>923</v>
      </c>
      <c r="H716" s="167"/>
      <c r="I716" s="178"/>
      <c r="J716" s="210"/>
      <c r="K716" s="211" t="s">
        <v>923</v>
      </c>
      <c r="L716" s="212" t="s">
        <v>8</v>
      </c>
      <c r="M716" s="178"/>
      <c r="N716" s="210"/>
      <c r="O716" s="211" t="s">
        <v>923</v>
      </c>
      <c r="P716" s="212" t="s">
        <v>8</v>
      </c>
      <c r="Q716" s="178"/>
      <c r="R716" s="210"/>
      <c r="S716" s="211" t="s">
        <v>923</v>
      </c>
      <c r="T716" s="212" t="s">
        <v>8</v>
      </c>
      <c r="U716" s="178"/>
      <c r="V716" s="210"/>
      <c r="W716" s="211" t="s">
        <v>923</v>
      </c>
      <c r="X716" s="213" t="s">
        <v>132</v>
      </c>
      <c r="Y716" s="178"/>
      <c r="Z716" s="210"/>
      <c r="AA716" s="211" t="s">
        <v>923</v>
      </c>
      <c r="AB716" s="212" t="s">
        <v>8</v>
      </c>
      <c r="AC716" s="178"/>
      <c r="AD716" s="210"/>
      <c r="AE716" s="211" t="s">
        <v>923</v>
      </c>
      <c r="AF716" s="212" t="s">
        <v>8</v>
      </c>
      <c r="AG716" s="178"/>
      <c r="AH716" s="210"/>
      <c r="AI716" s="211" t="s">
        <v>923</v>
      </c>
      <c r="AJ716" s="212" t="s">
        <v>8</v>
      </c>
      <c r="AK716" s="178"/>
      <c r="AL716" s="210"/>
      <c r="AM716" s="211" t="s">
        <v>923</v>
      </c>
      <c r="AN716" s="212" t="s">
        <v>8</v>
      </c>
      <c r="AO716" s="178"/>
      <c r="AP716" s="210"/>
      <c r="AQ716" s="211" t="s">
        <v>923</v>
      </c>
      <c r="AR716" s="212" t="s">
        <v>8</v>
      </c>
      <c r="AS716" s="178"/>
      <c r="AT716" s="210"/>
      <c r="AU716" s="211" t="s">
        <v>923</v>
      </c>
      <c r="AV716" s="212" t="s">
        <v>8</v>
      </c>
      <c r="AW716" s="178"/>
      <c r="AX716" s="210"/>
      <c r="AY716" s="211" t="s">
        <v>923</v>
      </c>
      <c r="AZ716" s="213" t="s">
        <v>132</v>
      </c>
      <c r="BA716" s="178"/>
      <c r="BB716" s="210"/>
      <c r="BC716" s="211" t="s">
        <v>923</v>
      </c>
      <c r="BD716" s="212" t="s">
        <v>8</v>
      </c>
      <c r="BE716" s="178"/>
      <c r="BF716" s="210"/>
      <c r="BG716" s="211" t="s">
        <v>923</v>
      </c>
      <c r="BH716" s="212" t="s">
        <v>8</v>
      </c>
      <c r="BI716" s="178"/>
      <c r="BJ716" s="210"/>
      <c r="BK716" s="211" t="s">
        <v>923</v>
      </c>
      <c r="BL716" s="212" t="s">
        <v>8</v>
      </c>
      <c r="BM716" s="178"/>
      <c r="BN716" s="210"/>
      <c r="BO716" s="211" t="s">
        <v>923</v>
      </c>
      <c r="BP716" s="212" t="s">
        <v>8</v>
      </c>
      <c r="BQ716" s="178"/>
      <c r="BR716" s="210"/>
      <c r="BS716" s="211" t="s">
        <v>923</v>
      </c>
      <c r="BT716" s="212" t="s">
        <v>8</v>
      </c>
      <c r="BU716" s="178"/>
    </row>
    <row r="717" s="105" customFormat="1" spans="1:73">
      <c r="A717" s="221"/>
      <c r="B717" s="205" t="s">
        <v>195</v>
      </c>
      <c r="C717" s="142"/>
      <c r="D717" s="207"/>
      <c r="E717" s="132"/>
      <c r="F717" s="138"/>
      <c r="G717" s="143" t="s">
        <v>924</v>
      </c>
      <c r="H717" s="167"/>
      <c r="I717" s="178"/>
      <c r="J717" s="210"/>
      <c r="K717" s="211" t="s">
        <v>924</v>
      </c>
      <c r="L717" s="212" t="s">
        <v>8</v>
      </c>
      <c r="M717" s="178"/>
      <c r="N717" s="210"/>
      <c r="O717" s="211" t="s">
        <v>924</v>
      </c>
      <c r="P717" s="212" t="s">
        <v>8</v>
      </c>
      <c r="Q717" s="178"/>
      <c r="R717" s="210"/>
      <c r="S717" s="211" t="s">
        <v>924</v>
      </c>
      <c r="T717" s="212" t="s">
        <v>8</v>
      </c>
      <c r="U717" s="178"/>
      <c r="V717" s="210"/>
      <c r="W717" s="211" t="s">
        <v>924</v>
      </c>
      <c r="X717" s="213" t="s">
        <v>195</v>
      </c>
      <c r="Y717" s="178"/>
      <c r="Z717" s="210"/>
      <c r="AA717" s="211" t="s">
        <v>924</v>
      </c>
      <c r="AB717" s="212" t="s">
        <v>8</v>
      </c>
      <c r="AC717" s="178"/>
      <c r="AD717" s="210"/>
      <c r="AE717" s="211" t="s">
        <v>924</v>
      </c>
      <c r="AF717" s="212" t="s">
        <v>8</v>
      </c>
      <c r="AG717" s="178"/>
      <c r="AH717" s="210"/>
      <c r="AI717" s="211" t="s">
        <v>924</v>
      </c>
      <c r="AJ717" s="212" t="s">
        <v>8</v>
      </c>
      <c r="AK717" s="178"/>
      <c r="AL717" s="210"/>
      <c r="AM717" s="211" t="s">
        <v>924</v>
      </c>
      <c r="AN717" s="212" t="s">
        <v>8</v>
      </c>
      <c r="AO717" s="178"/>
      <c r="AP717" s="210"/>
      <c r="AQ717" s="211" t="s">
        <v>924</v>
      </c>
      <c r="AR717" s="212" t="s">
        <v>8</v>
      </c>
      <c r="AS717" s="178"/>
      <c r="AT717" s="210"/>
      <c r="AU717" s="211" t="s">
        <v>924</v>
      </c>
      <c r="AV717" s="212" t="s">
        <v>8</v>
      </c>
      <c r="AW717" s="178"/>
      <c r="AX717" s="210"/>
      <c r="AY717" s="211" t="s">
        <v>924</v>
      </c>
      <c r="AZ717" s="213" t="s">
        <v>195</v>
      </c>
      <c r="BA717" s="178"/>
      <c r="BB717" s="210"/>
      <c r="BC717" s="211" t="s">
        <v>924</v>
      </c>
      <c r="BD717" s="212" t="s">
        <v>8</v>
      </c>
      <c r="BE717" s="178"/>
      <c r="BF717" s="210"/>
      <c r="BG717" s="211" t="s">
        <v>924</v>
      </c>
      <c r="BH717" s="212" t="s">
        <v>8</v>
      </c>
      <c r="BI717" s="178"/>
      <c r="BJ717" s="210"/>
      <c r="BK717" s="211" t="s">
        <v>924</v>
      </c>
      <c r="BL717" s="212" t="s">
        <v>8</v>
      </c>
      <c r="BM717" s="178"/>
      <c r="BN717" s="210"/>
      <c r="BO717" s="211" t="s">
        <v>924</v>
      </c>
      <c r="BP717" s="212" t="s">
        <v>8</v>
      </c>
      <c r="BQ717" s="178"/>
      <c r="BR717" s="210"/>
      <c r="BS717" s="211" t="s">
        <v>924</v>
      </c>
      <c r="BT717" s="212" t="s">
        <v>8</v>
      </c>
      <c r="BU717" s="178"/>
    </row>
    <row r="718" s="105" customFormat="1" spans="1:73">
      <c r="A718" s="221"/>
      <c r="B718" s="205" t="s">
        <v>46</v>
      </c>
      <c r="C718" s="142"/>
      <c r="D718" s="207"/>
      <c r="E718" s="132"/>
      <c r="F718" s="138"/>
      <c r="G718" s="143" t="s">
        <v>925</v>
      </c>
      <c r="H718" s="167"/>
      <c r="I718" s="178"/>
      <c r="J718" s="210"/>
      <c r="K718" s="211" t="s">
        <v>925</v>
      </c>
      <c r="L718" s="212" t="s">
        <v>8</v>
      </c>
      <c r="M718" s="178"/>
      <c r="N718" s="210"/>
      <c r="O718" s="211" t="s">
        <v>925</v>
      </c>
      <c r="P718" s="212" t="s">
        <v>8</v>
      </c>
      <c r="Q718" s="178"/>
      <c r="R718" s="210"/>
      <c r="S718" s="211" t="s">
        <v>925</v>
      </c>
      <c r="T718" s="212" t="s">
        <v>8</v>
      </c>
      <c r="U718" s="178"/>
      <c r="V718" s="210"/>
      <c r="W718" s="211" t="s">
        <v>925</v>
      </c>
      <c r="X718" s="213" t="s">
        <v>46</v>
      </c>
      <c r="Y718" s="178"/>
      <c r="Z718" s="210"/>
      <c r="AA718" s="211" t="s">
        <v>925</v>
      </c>
      <c r="AB718" s="212" t="s">
        <v>8</v>
      </c>
      <c r="AC718" s="178"/>
      <c r="AD718" s="210"/>
      <c r="AE718" s="211" t="s">
        <v>925</v>
      </c>
      <c r="AF718" s="212" t="s">
        <v>8</v>
      </c>
      <c r="AG718" s="178"/>
      <c r="AH718" s="210"/>
      <c r="AI718" s="211" t="s">
        <v>925</v>
      </c>
      <c r="AJ718" s="212" t="s">
        <v>8</v>
      </c>
      <c r="AK718" s="178"/>
      <c r="AL718" s="210"/>
      <c r="AM718" s="211" t="s">
        <v>925</v>
      </c>
      <c r="AN718" s="212" t="s">
        <v>8</v>
      </c>
      <c r="AO718" s="178"/>
      <c r="AP718" s="210"/>
      <c r="AQ718" s="211" t="s">
        <v>925</v>
      </c>
      <c r="AR718" s="212" t="s">
        <v>8</v>
      </c>
      <c r="AS718" s="178"/>
      <c r="AT718" s="210"/>
      <c r="AU718" s="211" t="s">
        <v>925</v>
      </c>
      <c r="AV718" s="212" t="s">
        <v>8</v>
      </c>
      <c r="AW718" s="178"/>
      <c r="AX718" s="210"/>
      <c r="AY718" s="211" t="s">
        <v>925</v>
      </c>
      <c r="AZ718" s="213" t="s">
        <v>46</v>
      </c>
      <c r="BA718" s="178"/>
      <c r="BB718" s="210"/>
      <c r="BC718" s="211" t="s">
        <v>925</v>
      </c>
      <c r="BD718" s="212" t="s">
        <v>8</v>
      </c>
      <c r="BE718" s="178"/>
      <c r="BF718" s="210"/>
      <c r="BG718" s="211" t="s">
        <v>925</v>
      </c>
      <c r="BH718" s="212" t="s">
        <v>8</v>
      </c>
      <c r="BI718" s="178"/>
      <c r="BJ718" s="210"/>
      <c r="BK718" s="211" t="s">
        <v>925</v>
      </c>
      <c r="BL718" s="212" t="s">
        <v>8</v>
      </c>
      <c r="BM718" s="178"/>
      <c r="BN718" s="210"/>
      <c r="BO718" s="211" t="s">
        <v>925</v>
      </c>
      <c r="BP718" s="212" t="s">
        <v>8</v>
      </c>
      <c r="BQ718" s="178"/>
      <c r="BR718" s="210"/>
      <c r="BS718" s="211" t="s">
        <v>925</v>
      </c>
      <c r="BT718" s="212" t="s">
        <v>8</v>
      </c>
      <c r="BU718" s="178"/>
    </row>
    <row r="719" s="105" customFormat="1" spans="1:73">
      <c r="A719" s="221"/>
      <c r="B719" s="205" t="s">
        <v>926</v>
      </c>
      <c r="C719" s="142"/>
      <c r="D719" s="207"/>
      <c r="E719" s="132"/>
      <c r="F719" s="138"/>
      <c r="G719" s="143" t="s">
        <v>927</v>
      </c>
      <c r="H719" s="167"/>
      <c r="I719" s="178"/>
      <c r="J719" s="210"/>
      <c r="K719" s="211" t="s">
        <v>927</v>
      </c>
      <c r="L719" s="212" t="s">
        <v>8</v>
      </c>
      <c r="M719" s="178"/>
      <c r="N719" s="210"/>
      <c r="O719" s="211" t="s">
        <v>927</v>
      </c>
      <c r="P719" s="212" t="s">
        <v>8</v>
      </c>
      <c r="Q719" s="178"/>
      <c r="R719" s="210"/>
      <c r="S719" s="211" t="s">
        <v>927</v>
      </c>
      <c r="T719" s="212" t="s">
        <v>8</v>
      </c>
      <c r="U719" s="178"/>
      <c r="V719" s="210"/>
      <c r="W719" s="211" t="s">
        <v>927</v>
      </c>
      <c r="X719" s="213" t="s">
        <v>926</v>
      </c>
      <c r="Y719" s="178"/>
      <c r="Z719" s="210"/>
      <c r="AA719" s="211" t="s">
        <v>927</v>
      </c>
      <c r="AB719" s="212" t="s">
        <v>8</v>
      </c>
      <c r="AC719" s="178"/>
      <c r="AD719" s="210"/>
      <c r="AE719" s="211" t="s">
        <v>927</v>
      </c>
      <c r="AF719" s="212" t="s">
        <v>8</v>
      </c>
      <c r="AG719" s="178"/>
      <c r="AH719" s="210"/>
      <c r="AI719" s="211" t="s">
        <v>927</v>
      </c>
      <c r="AJ719" s="212" t="s">
        <v>8</v>
      </c>
      <c r="AK719" s="178"/>
      <c r="AL719" s="210"/>
      <c r="AM719" s="211" t="s">
        <v>927</v>
      </c>
      <c r="AN719" s="212" t="s">
        <v>8</v>
      </c>
      <c r="AO719" s="178"/>
      <c r="AP719" s="210"/>
      <c r="AQ719" s="211" t="s">
        <v>927</v>
      </c>
      <c r="AR719" s="212" t="s">
        <v>8</v>
      </c>
      <c r="AS719" s="178"/>
      <c r="AT719" s="210"/>
      <c r="AU719" s="211" t="s">
        <v>927</v>
      </c>
      <c r="AV719" s="212" t="s">
        <v>8</v>
      </c>
      <c r="AW719" s="178"/>
      <c r="AX719" s="210"/>
      <c r="AY719" s="211" t="s">
        <v>927</v>
      </c>
      <c r="AZ719" s="213" t="s">
        <v>926</v>
      </c>
      <c r="BA719" s="178"/>
      <c r="BB719" s="210"/>
      <c r="BC719" s="211" t="s">
        <v>927</v>
      </c>
      <c r="BD719" s="212" t="s">
        <v>8</v>
      </c>
      <c r="BE719" s="178"/>
      <c r="BF719" s="210"/>
      <c r="BG719" s="211" t="s">
        <v>927</v>
      </c>
      <c r="BH719" s="212" t="s">
        <v>8</v>
      </c>
      <c r="BI719" s="178"/>
      <c r="BJ719" s="210"/>
      <c r="BK719" s="211" t="s">
        <v>927</v>
      </c>
      <c r="BL719" s="212" t="s">
        <v>8</v>
      </c>
      <c r="BM719" s="178"/>
      <c r="BN719" s="210"/>
      <c r="BO719" s="211" t="s">
        <v>927</v>
      </c>
      <c r="BP719" s="212" t="s">
        <v>8</v>
      </c>
      <c r="BQ719" s="178"/>
      <c r="BR719" s="210"/>
      <c r="BS719" s="211" t="s">
        <v>927</v>
      </c>
      <c r="BT719" s="212" t="s">
        <v>8</v>
      </c>
      <c r="BU719" s="178"/>
    </row>
    <row r="720" s="105" customFormat="1" spans="1:73">
      <c r="A720" s="221"/>
      <c r="B720" s="205" t="s">
        <v>63</v>
      </c>
      <c r="C720" s="142"/>
      <c r="D720" s="207"/>
      <c r="E720" s="132"/>
      <c r="F720" s="138"/>
      <c r="G720" s="143" t="s">
        <v>928</v>
      </c>
      <c r="H720" s="167"/>
      <c r="I720" s="178"/>
      <c r="J720" s="210"/>
      <c r="K720" s="211" t="s">
        <v>928</v>
      </c>
      <c r="L720" s="212" t="s">
        <v>8</v>
      </c>
      <c r="M720" s="178"/>
      <c r="N720" s="210"/>
      <c r="O720" s="211" t="s">
        <v>928</v>
      </c>
      <c r="P720" s="212" t="s">
        <v>8</v>
      </c>
      <c r="Q720" s="178"/>
      <c r="R720" s="210"/>
      <c r="S720" s="211" t="s">
        <v>928</v>
      </c>
      <c r="T720" s="212" t="s">
        <v>8</v>
      </c>
      <c r="U720" s="178"/>
      <c r="V720" s="210"/>
      <c r="W720" s="211" t="s">
        <v>928</v>
      </c>
      <c r="X720" s="213" t="s">
        <v>63</v>
      </c>
      <c r="Y720" s="178"/>
      <c r="Z720" s="210"/>
      <c r="AA720" s="211" t="s">
        <v>928</v>
      </c>
      <c r="AB720" s="212" t="s">
        <v>8</v>
      </c>
      <c r="AC720" s="178"/>
      <c r="AD720" s="210"/>
      <c r="AE720" s="211" t="s">
        <v>928</v>
      </c>
      <c r="AF720" s="212" t="s">
        <v>8</v>
      </c>
      <c r="AG720" s="178"/>
      <c r="AH720" s="210"/>
      <c r="AI720" s="211" t="s">
        <v>928</v>
      </c>
      <c r="AJ720" s="212" t="s">
        <v>8</v>
      </c>
      <c r="AK720" s="178"/>
      <c r="AL720" s="210"/>
      <c r="AM720" s="211" t="s">
        <v>928</v>
      </c>
      <c r="AN720" s="212" t="s">
        <v>8</v>
      </c>
      <c r="AO720" s="178"/>
      <c r="AP720" s="210"/>
      <c r="AQ720" s="211" t="s">
        <v>928</v>
      </c>
      <c r="AR720" s="212" t="s">
        <v>8</v>
      </c>
      <c r="AS720" s="178"/>
      <c r="AT720" s="210"/>
      <c r="AU720" s="211" t="s">
        <v>928</v>
      </c>
      <c r="AV720" s="212" t="s">
        <v>8</v>
      </c>
      <c r="AW720" s="178"/>
      <c r="AX720" s="210"/>
      <c r="AY720" s="211" t="s">
        <v>928</v>
      </c>
      <c r="AZ720" s="213" t="s">
        <v>63</v>
      </c>
      <c r="BA720" s="178"/>
      <c r="BB720" s="210"/>
      <c r="BC720" s="211" t="s">
        <v>928</v>
      </c>
      <c r="BD720" s="212" t="s">
        <v>8</v>
      </c>
      <c r="BE720" s="178"/>
      <c r="BF720" s="210"/>
      <c r="BG720" s="211" t="s">
        <v>928</v>
      </c>
      <c r="BH720" s="212" t="s">
        <v>8</v>
      </c>
      <c r="BI720" s="178"/>
      <c r="BJ720" s="210"/>
      <c r="BK720" s="211" t="s">
        <v>928</v>
      </c>
      <c r="BL720" s="212" t="s">
        <v>8</v>
      </c>
      <c r="BM720" s="178"/>
      <c r="BN720" s="210"/>
      <c r="BO720" s="211" t="s">
        <v>928</v>
      </c>
      <c r="BP720" s="212" t="s">
        <v>8</v>
      </c>
      <c r="BQ720" s="178"/>
      <c r="BR720" s="210"/>
      <c r="BS720" s="211" t="s">
        <v>928</v>
      </c>
      <c r="BT720" s="212" t="s">
        <v>8</v>
      </c>
      <c r="BU720" s="178"/>
    </row>
    <row r="721" s="105" customFormat="1" spans="1:73">
      <c r="A721" s="221"/>
      <c r="B721" s="205" t="s">
        <v>158</v>
      </c>
      <c r="C721" s="142"/>
      <c r="D721" s="207"/>
      <c r="E721" s="132"/>
      <c r="F721" s="138"/>
      <c r="G721" s="143" t="s">
        <v>929</v>
      </c>
      <c r="H721" s="167"/>
      <c r="I721" s="178"/>
      <c r="J721" s="210"/>
      <c r="K721" s="211" t="s">
        <v>929</v>
      </c>
      <c r="L721" s="212" t="s">
        <v>8</v>
      </c>
      <c r="M721" s="178"/>
      <c r="N721" s="210"/>
      <c r="O721" s="211" t="s">
        <v>929</v>
      </c>
      <c r="P721" s="212" t="s">
        <v>8</v>
      </c>
      <c r="Q721" s="178"/>
      <c r="R721" s="210"/>
      <c r="S721" s="211" t="s">
        <v>929</v>
      </c>
      <c r="T721" s="212" t="s">
        <v>8</v>
      </c>
      <c r="U721" s="178"/>
      <c r="V721" s="210"/>
      <c r="W721" s="211" t="s">
        <v>929</v>
      </c>
      <c r="X721" s="213" t="s">
        <v>158</v>
      </c>
      <c r="Y721" s="178"/>
      <c r="Z721" s="210"/>
      <c r="AA721" s="211" t="s">
        <v>929</v>
      </c>
      <c r="AB721" s="212" t="s">
        <v>8</v>
      </c>
      <c r="AC721" s="178"/>
      <c r="AD721" s="210"/>
      <c r="AE721" s="211" t="s">
        <v>929</v>
      </c>
      <c r="AF721" s="212" t="s">
        <v>8</v>
      </c>
      <c r="AG721" s="178"/>
      <c r="AH721" s="210"/>
      <c r="AI721" s="211" t="s">
        <v>929</v>
      </c>
      <c r="AJ721" s="212" t="s">
        <v>8</v>
      </c>
      <c r="AK721" s="178"/>
      <c r="AL721" s="210"/>
      <c r="AM721" s="211" t="s">
        <v>929</v>
      </c>
      <c r="AN721" s="212" t="s">
        <v>8</v>
      </c>
      <c r="AO721" s="178"/>
      <c r="AP721" s="210"/>
      <c r="AQ721" s="211" t="s">
        <v>929</v>
      </c>
      <c r="AR721" s="212" t="s">
        <v>8</v>
      </c>
      <c r="AS721" s="178"/>
      <c r="AT721" s="210"/>
      <c r="AU721" s="211" t="s">
        <v>929</v>
      </c>
      <c r="AV721" s="212" t="s">
        <v>8</v>
      </c>
      <c r="AW721" s="178"/>
      <c r="AX721" s="210"/>
      <c r="AY721" s="211" t="s">
        <v>929</v>
      </c>
      <c r="AZ721" s="213" t="s">
        <v>158</v>
      </c>
      <c r="BA721" s="178"/>
      <c r="BB721" s="210"/>
      <c r="BC721" s="211" t="s">
        <v>929</v>
      </c>
      <c r="BD721" s="212" t="s">
        <v>8</v>
      </c>
      <c r="BE721" s="178"/>
      <c r="BF721" s="210"/>
      <c r="BG721" s="211" t="s">
        <v>929</v>
      </c>
      <c r="BH721" s="212" t="s">
        <v>8</v>
      </c>
      <c r="BI721" s="178"/>
      <c r="BJ721" s="210"/>
      <c r="BK721" s="211" t="s">
        <v>929</v>
      </c>
      <c r="BL721" s="212" t="s">
        <v>8</v>
      </c>
      <c r="BM721" s="178"/>
      <c r="BN721" s="210"/>
      <c r="BO721" s="211" t="s">
        <v>929</v>
      </c>
      <c r="BP721" s="212" t="s">
        <v>8</v>
      </c>
      <c r="BQ721" s="178"/>
      <c r="BR721" s="210"/>
      <c r="BS721" s="211" t="s">
        <v>929</v>
      </c>
      <c r="BT721" s="212" t="s">
        <v>8</v>
      </c>
      <c r="BU721" s="178"/>
    </row>
    <row r="722" s="105" customFormat="1" spans="1:73">
      <c r="A722" s="221"/>
      <c r="B722" s="205" t="s">
        <v>46</v>
      </c>
      <c r="C722" s="142"/>
      <c r="D722" s="207"/>
      <c r="E722" s="132"/>
      <c r="F722" s="138"/>
      <c r="G722" s="143" t="s">
        <v>930</v>
      </c>
      <c r="H722" s="167"/>
      <c r="I722" s="178"/>
      <c r="J722" s="210"/>
      <c r="K722" s="211" t="s">
        <v>930</v>
      </c>
      <c r="L722" s="212" t="s">
        <v>8</v>
      </c>
      <c r="M722" s="178"/>
      <c r="N722" s="210"/>
      <c r="O722" s="211" t="s">
        <v>930</v>
      </c>
      <c r="P722" s="212" t="s">
        <v>8</v>
      </c>
      <c r="Q722" s="178"/>
      <c r="R722" s="210"/>
      <c r="S722" s="211" t="s">
        <v>930</v>
      </c>
      <c r="T722" s="212" t="s">
        <v>8</v>
      </c>
      <c r="U722" s="178"/>
      <c r="V722" s="210"/>
      <c r="W722" s="211" t="s">
        <v>930</v>
      </c>
      <c r="X722" s="213" t="s">
        <v>46</v>
      </c>
      <c r="Y722" s="178"/>
      <c r="Z722" s="210"/>
      <c r="AA722" s="211" t="s">
        <v>930</v>
      </c>
      <c r="AB722" s="212" t="s">
        <v>8</v>
      </c>
      <c r="AC722" s="178"/>
      <c r="AD722" s="210"/>
      <c r="AE722" s="211" t="s">
        <v>930</v>
      </c>
      <c r="AF722" s="212" t="s">
        <v>8</v>
      </c>
      <c r="AG722" s="178"/>
      <c r="AH722" s="210"/>
      <c r="AI722" s="211" t="s">
        <v>930</v>
      </c>
      <c r="AJ722" s="212" t="s">
        <v>8</v>
      </c>
      <c r="AK722" s="178"/>
      <c r="AL722" s="210"/>
      <c r="AM722" s="211" t="s">
        <v>930</v>
      </c>
      <c r="AN722" s="212" t="s">
        <v>8</v>
      </c>
      <c r="AO722" s="178"/>
      <c r="AP722" s="210"/>
      <c r="AQ722" s="211" t="s">
        <v>930</v>
      </c>
      <c r="AR722" s="212" t="s">
        <v>8</v>
      </c>
      <c r="AS722" s="178"/>
      <c r="AT722" s="210"/>
      <c r="AU722" s="211" t="s">
        <v>930</v>
      </c>
      <c r="AV722" s="212" t="s">
        <v>8</v>
      </c>
      <c r="AW722" s="178"/>
      <c r="AX722" s="210"/>
      <c r="AY722" s="211" t="s">
        <v>930</v>
      </c>
      <c r="AZ722" s="213" t="s">
        <v>46</v>
      </c>
      <c r="BA722" s="178"/>
      <c r="BB722" s="210"/>
      <c r="BC722" s="211" t="s">
        <v>930</v>
      </c>
      <c r="BD722" s="212" t="s">
        <v>8</v>
      </c>
      <c r="BE722" s="178"/>
      <c r="BF722" s="210"/>
      <c r="BG722" s="211" t="s">
        <v>930</v>
      </c>
      <c r="BH722" s="212" t="s">
        <v>8</v>
      </c>
      <c r="BI722" s="178"/>
      <c r="BJ722" s="210"/>
      <c r="BK722" s="211" t="s">
        <v>930</v>
      </c>
      <c r="BL722" s="212" t="s">
        <v>8</v>
      </c>
      <c r="BM722" s="178"/>
      <c r="BN722" s="210"/>
      <c r="BO722" s="211" t="s">
        <v>930</v>
      </c>
      <c r="BP722" s="212" t="s">
        <v>8</v>
      </c>
      <c r="BQ722" s="178"/>
      <c r="BR722" s="210"/>
      <c r="BS722" s="211" t="s">
        <v>930</v>
      </c>
      <c r="BT722" s="212" t="s">
        <v>8</v>
      </c>
      <c r="BU722" s="178"/>
    </row>
    <row r="723" s="105" customFormat="1" spans="1:73">
      <c r="A723" s="221"/>
      <c r="B723" s="205" t="s">
        <v>86</v>
      </c>
      <c r="C723" s="142"/>
      <c r="D723" s="207"/>
      <c r="E723" s="132"/>
      <c r="F723" s="138"/>
      <c r="G723" s="143" t="s">
        <v>931</v>
      </c>
      <c r="H723" s="167"/>
      <c r="I723" s="178"/>
      <c r="J723" s="210"/>
      <c r="K723" s="211" t="s">
        <v>931</v>
      </c>
      <c r="L723" s="212" t="s">
        <v>8</v>
      </c>
      <c r="M723" s="178"/>
      <c r="N723" s="210"/>
      <c r="O723" s="211" t="s">
        <v>931</v>
      </c>
      <c r="P723" s="212" t="s">
        <v>8</v>
      </c>
      <c r="Q723" s="178"/>
      <c r="R723" s="210"/>
      <c r="S723" s="211" t="s">
        <v>931</v>
      </c>
      <c r="T723" s="212" t="s">
        <v>8</v>
      </c>
      <c r="U723" s="178"/>
      <c r="V723" s="210"/>
      <c r="W723" s="211" t="s">
        <v>931</v>
      </c>
      <c r="X723" s="213" t="s">
        <v>86</v>
      </c>
      <c r="Y723" s="178"/>
      <c r="Z723" s="210"/>
      <c r="AA723" s="211" t="s">
        <v>931</v>
      </c>
      <c r="AB723" s="212" t="s">
        <v>8</v>
      </c>
      <c r="AC723" s="178"/>
      <c r="AD723" s="210"/>
      <c r="AE723" s="211" t="s">
        <v>931</v>
      </c>
      <c r="AF723" s="212" t="s">
        <v>8</v>
      </c>
      <c r="AG723" s="178"/>
      <c r="AH723" s="210"/>
      <c r="AI723" s="211" t="s">
        <v>931</v>
      </c>
      <c r="AJ723" s="212" t="s">
        <v>8</v>
      </c>
      <c r="AK723" s="178"/>
      <c r="AL723" s="210"/>
      <c r="AM723" s="211" t="s">
        <v>931</v>
      </c>
      <c r="AN723" s="212" t="s">
        <v>8</v>
      </c>
      <c r="AO723" s="178"/>
      <c r="AP723" s="210"/>
      <c r="AQ723" s="211" t="s">
        <v>931</v>
      </c>
      <c r="AR723" s="212" t="s">
        <v>8</v>
      </c>
      <c r="AS723" s="178"/>
      <c r="AT723" s="210"/>
      <c r="AU723" s="211" t="s">
        <v>931</v>
      </c>
      <c r="AV723" s="212" t="s">
        <v>8</v>
      </c>
      <c r="AW723" s="178"/>
      <c r="AX723" s="210"/>
      <c r="AY723" s="211" t="s">
        <v>931</v>
      </c>
      <c r="AZ723" s="213" t="s">
        <v>86</v>
      </c>
      <c r="BA723" s="178"/>
      <c r="BB723" s="210"/>
      <c r="BC723" s="211" t="s">
        <v>931</v>
      </c>
      <c r="BD723" s="212" t="s">
        <v>8</v>
      </c>
      <c r="BE723" s="178"/>
      <c r="BF723" s="210"/>
      <c r="BG723" s="211" t="s">
        <v>931</v>
      </c>
      <c r="BH723" s="212" t="s">
        <v>8</v>
      </c>
      <c r="BI723" s="178"/>
      <c r="BJ723" s="210"/>
      <c r="BK723" s="211" t="s">
        <v>931</v>
      </c>
      <c r="BL723" s="212" t="s">
        <v>8</v>
      </c>
      <c r="BM723" s="178"/>
      <c r="BN723" s="210"/>
      <c r="BO723" s="211" t="s">
        <v>931</v>
      </c>
      <c r="BP723" s="212" t="s">
        <v>8</v>
      </c>
      <c r="BQ723" s="178"/>
      <c r="BR723" s="210"/>
      <c r="BS723" s="211" t="s">
        <v>931</v>
      </c>
      <c r="BT723" s="212" t="s">
        <v>8</v>
      </c>
      <c r="BU723" s="178"/>
    </row>
    <row r="724" s="105" customFormat="1" spans="1:73">
      <c r="A724" s="221"/>
      <c r="B724" s="205" t="s">
        <v>63</v>
      </c>
      <c r="C724" s="142"/>
      <c r="D724" s="207"/>
      <c r="E724" s="132"/>
      <c r="F724" s="138"/>
      <c r="G724" s="143" t="s">
        <v>932</v>
      </c>
      <c r="H724" s="167"/>
      <c r="I724" s="178"/>
      <c r="J724" s="210"/>
      <c r="K724" s="211" t="s">
        <v>932</v>
      </c>
      <c r="L724" s="212" t="s">
        <v>8</v>
      </c>
      <c r="M724" s="178"/>
      <c r="N724" s="210"/>
      <c r="O724" s="211" t="s">
        <v>932</v>
      </c>
      <c r="P724" s="212" t="s">
        <v>8</v>
      </c>
      <c r="Q724" s="178"/>
      <c r="R724" s="210"/>
      <c r="S724" s="211" t="s">
        <v>932</v>
      </c>
      <c r="T724" s="212" t="s">
        <v>8</v>
      </c>
      <c r="U724" s="178"/>
      <c r="V724" s="210"/>
      <c r="W724" s="211" t="s">
        <v>932</v>
      </c>
      <c r="X724" s="213" t="s">
        <v>63</v>
      </c>
      <c r="Y724" s="178"/>
      <c r="Z724" s="210"/>
      <c r="AA724" s="211" t="s">
        <v>932</v>
      </c>
      <c r="AB724" s="212" t="s">
        <v>8</v>
      </c>
      <c r="AC724" s="178"/>
      <c r="AD724" s="210"/>
      <c r="AE724" s="211" t="s">
        <v>932</v>
      </c>
      <c r="AF724" s="212" t="s">
        <v>8</v>
      </c>
      <c r="AG724" s="178"/>
      <c r="AH724" s="210"/>
      <c r="AI724" s="211" t="s">
        <v>932</v>
      </c>
      <c r="AJ724" s="212" t="s">
        <v>8</v>
      </c>
      <c r="AK724" s="178"/>
      <c r="AL724" s="210"/>
      <c r="AM724" s="211" t="s">
        <v>932</v>
      </c>
      <c r="AN724" s="212" t="s">
        <v>8</v>
      </c>
      <c r="AO724" s="178"/>
      <c r="AP724" s="210"/>
      <c r="AQ724" s="211" t="s">
        <v>932</v>
      </c>
      <c r="AR724" s="212" t="s">
        <v>8</v>
      </c>
      <c r="AS724" s="178"/>
      <c r="AT724" s="210"/>
      <c r="AU724" s="211" t="s">
        <v>932</v>
      </c>
      <c r="AV724" s="212" t="s">
        <v>8</v>
      </c>
      <c r="AW724" s="178"/>
      <c r="AX724" s="210"/>
      <c r="AY724" s="211" t="s">
        <v>932</v>
      </c>
      <c r="AZ724" s="213" t="s">
        <v>63</v>
      </c>
      <c r="BA724" s="178"/>
      <c r="BB724" s="210"/>
      <c r="BC724" s="211" t="s">
        <v>932</v>
      </c>
      <c r="BD724" s="212" t="s">
        <v>8</v>
      </c>
      <c r="BE724" s="178"/>
      <c r="BF724" s="210"/>
      <c r="BG724" s="211" t="s">
        <v>932</v>
      </c>
      <c r="BH724" s="212" t="s">
        <v>8</v>
      </c>
      <c r="BI724" s="178"/>
      <c r="BJ724" s="210"/>
      <c r="BK724" s="211" t="s">
        <v>932</v>
      </c>
      <c r="BL724" s="212" t="s">
        <v>8</v>
      </c>
      <c r="BM724" s="178"/>
      <c r="BN724" s="210"/>
      <c r="BO724" s="211" t="s">
        <v>932</v>
      </c>
      <c r="BP724" s="212" t="s">
        <v>8</v>
      </c>
      <c r="BQ724" s="178"/>
      <c r="BR724" s="210"/>
      <c r="BS724" s="211" t="s">
        <v>932</v>
      </c>
      <c r="BT724" s="212" t="s">
        <v>8</v>
      </c>
      <c r="BU724" s="178"/>
    </row>
    <row r="725" s="105" customFormat="1" spans="1:73">
      <c r="A725" s="221"/>
      <c r="B725" s="205" t="s">
        <v>765</v>
      </c>
      <c r="C725" s="142"/>
      <c r="D725" s="207"/>
      <c r="E725" s="132"/>
      <c r="F725" s="138"/>
      <c r="G725" s="143" t="s">
        <v>933</v>
      </c>
      <c r="H725" s="167"/>
      <c r="I725" s="178"/>
      <c r="J725" s="210"/>
      <c r="K725" s="211" t="s">
        <v>933</v>
      </c>
      <c r="L725" s="212" t="s">
        <v>8</v>
      </c>
      <c r="M725" s="178"/>
      <c r="N725" s="210"/>
      <c r="O725" s="211" t="s">
        <v>933</v>
      </c>
      <c r="P725" s="212" t="s">
        <v>8</v>
      </c>
      <c r="Q725" s="178"/>
      <c r="R725" s="210"/>
      <c r="S725" s="211" t="s">
        <v>933</v>
      </c>
      <c r="T725" s="212" t="s">
        <v>8</v>
      </c>
      <c r="U725" s="178"/>
      <c r="V725" s="210"/>
      <c r="W725" s="211" t="s">
        <v>933</v>
      </c>
      <c r="X725" s="213" t="s">
        <v>765</v>
      </c>
      <c r="Y725" s="178"/>
      <c r="Z725" s="210"/>
      <c r="AA725" s="211" t="s">
        <v>933</v>
      </c>
      <c r="AB725" s="212" t="s">
        <v>8</v>
      </c>
      <c r="AC725" s="178"/>
      <c r="AD725" s="210"/>
      <c r="AE725" s="211" t="s">
        <v>933</v>
      </c>
      <c r="AF725" s="212" t="s">
        <v>8</v>
      </c>
      <c r="AG725" s="178"/>
      <c r="AH725" s="210"/>
      <c r="AI725" s="211" t="s">
        <v>933</v>
      </c>
      <c r="AJ725" s="212" t="s">
        <v>8</v>
      </c>
      <c r="AK725" s="178"/>
      <c r="AL725" s="210"/>
      <c r="AM725" s="211" t="s">
        <v>933</v>
      </c>
      <c r="AN725" s="212" t="s">
        <v>8</v>
      </c>
      <c r="AO725" s="178"/>
      <c r="AP725" s="210"/>
      <c r="AQ725" s="211" t="s">
        <v>933</v>
      </c>
      <c r="AR725" s="212" t="s">
        <v>8</v>
      </c>
      <c r="AS725" s="178"/>
      <c r="AT725" s="210"/>
      <c r="AU725" s="211" t="s">
        <v>933</v>
      </c>
      <c r="AV725" s="212" t="s">
        <v>8</v>
      </c>
      <c r="AW725" s="178"/>
      <c r="AX725" s="210"/>
      <c r="AY725" s="211" t="s">
        <v>933</v>
      </c>
      <c r="AZ725" s="213" t="s">
        <v>765</v>
      </c>
      <c r="BA725" s="178"/>
      <c r="BB725" s="210"/>
      <c r="BC725" s="211" t="s">
        <v>933</v>
      </c>
      <c r="BD725" s="212" t="s">
        <v>8</v>
      </c>
      <c r="BE725" s="178"/>
      <c r="BF725" s="210"/>
      <c r="BG725" s="211" t="s">
        <v>933</v>
      </c>
      <c r="BH725" s="212" t="s">
        <v>8</v>
      </c>
      <c r="BI725" s="178"/>
      <c r="BJ725" s="210"/>
      <c r="BK725" s="211" t="s">
        <v>933</v>
      </c>
      <c r="BL725" s="212" t="s">
        <v>8</v>
      </c>
      <c r="BM725" s="178"/>
      <c r="BN725" s="210"/>
      <c r="BO725" s="211" t="s">
        <v>933</v>
      </c>
      <c r="BP725" s="212" t="s">
        <v>8</v>
      </c>
      <c r="BQ725" s="178"/>
      <c r="BR725" s="210"/>
      <c r="BS725" s="211" t="s">
        <v>933</v>
      </c>
      <c r="BT725" s="212" t="s">
        <v>8</v>
      </c>
      <c r="BU725" s="178"/>
    </row>
    <row r="726" s="105" customFormat="1" spans="1:73">
      <c r="A726" s="221"/>
      <c r="B726" s="205" t="s">
        <v>46</v>
      </c>
      <c r="C726" s="142"/>
      <c r="D726" s="207"/>
      <c r="E726" s="132"/>
      <c r="F726" s="138"/>
      <c r="G726" s="143" t="s">
        <v>934</v>
      </c>
      <c r="H726" s="167"/>
      <c r="I726" s="178"/>
      <c r="J726" s="210"/>
      <c r="K726" s="211" t="s">
        <v>934</v>
      </c>
      <c r="L726" s="212" t="s">
        <v>8</v>
      </c>
      <c r="M726" s="178"/>
      <c r="N726" s="210"/>
      <c r="O726" s="211" t="s">
        <v>934</v>
      </c>
      <c r="P726" s="212" t="s">
        <v>8</v>
      </c>
      <c r="Q726" s="178"/>
      <c r="R726" s="210"/>
      <c r="S726" s="211" t="s">
        <v>934</v>
      </c>
      <c r="T726" s="212" t="s">
        <v>8</v>
      </c>
      <c r="U726" s="178"/>
      <c r="V726" s="210"/>
      <c r="W726" s="211" t="s">
        <v>934</v>
      </c>
      <c r="X726" s="213" t="s">
        <v>46</v>
      </c>
      <c r="Y726" s="178"/>
      <c r="Z726" s="210"/>
      <c r="AA726" s="211" t="s">
        <v>934</v>
      </c>
      <c r="AB726" s="212" t="s">
        <v>8</v>
      </c>
      <c r="AC726" s="178"/>
      <c r="AD726" s="210"/>
      <c r="AE726" s="211" t="s">
        <v>934</v>
      </c>
      <c r="AF726" s="212" t="s">
        <v>8</v>
      </c>
      <c r="AG726" s="178"/>
      <c r="AH726" s="210"/>
      <c r="AI726" s="211" t="s">
        <v>934</v>
      </c>
      <c r="AJ726" s="212" t="s">
        <v>8</v>
      </c>
      <c r="AK726" s="178"/>
      <c r="AL726" s="210"/>
      <c r="AM726" s="211" t="s">
        <v>934</v>
      </c>
      <c r="AN726" s="212" t="s">
        <v>8</v>
      </c>
      <c r="AO726" s="178"/>
      <c r="AP726" s="210"/>
      <c r="AQ726" s="211" t="s">
        <v>934</v>
      </c>
      <c r="AR726" s="212" t="s">
        <v>8</v>
      </c>
      <c r="AS726" s="178"/>
      <c r="AT726" s="210"/>
      <c r="AU726" s="211" t="s">
        <v>934</v>
      </c>
      <c r="AV726" s="212" t="s">
        <v>8</v>
      </c>
      <c r="AW726" s="178"/>
      <c r="AX726" s="210"/>
      <c r="AY726" s="211" t="s">
        <v>934</v>
      </c>
      <c r="AZ726" s="213" t="s">
        <v>46</v>
      </c>
      <c r="BA726" s="178"/>
      <c r="BB726" s="210"/>
      <c r="BC726" s="211" t="s">
        <v>934</v>
      </c>
      <c r="BD726" s="212" t="s">
        <v>8</v>
      </c>
      <c r="BE726" s="178"/>
      <c r="BF726" s="210"/>
      <c r="BG726" s="211" t="s">
        <v>934</v>
      </c>
      <c r="BH726" s="212" t="s">
        <v>8</v>
      </c>
      <c r="BI726" s="178"/>
      <c r="BJ726" s="210"/>
      <c r="BK726" s="211" t="s">
        <v>934</v>
      </c>
      <c r="BL726" s="212" t="s">
        <v>8</v>
      </c>
      <c r="BM726" s="178"/>
      <c r="BN726" s="210"/>
      <c r="BO726" s="211" t="s">
        <v>934</v>
      </c>
      <c r="BP726" s="212" t="s">
        <v>8</v>
      </c>
      <c r="BQ726" s="178"/>
      <c r="BR726" s="210"/>
      <c r="BS726" s="211" t="s">
        <v>934</v>
      </c>
      <c r="BT726" s="212" t="s">
        <v>8</v>
      </c>
      <c r="BU726" s="178"/>
    </row>
    <row r="727" s="105" customFormat="1" spans="1:73">
      <c r="A727" s="221"/>
      <c r="B727" s="205" t="s">
        <v>120</v>
      </c>
      <c r="C727" s="142"/>
      <c r="D727" s="207"/>
      <c r="E727" s="132"/>
      <c r="F727" s="138"/>
      <c r="G727" s="143" t="s">
        <v>935</v>
      </c>
      <c r="H727" s="167"/>
      <c r="I727" s="178"/>
      <c r="J727" s="210"/>
      <c r="K727" s="211" t="s">
        <v>935</v>
      </c>
      <c r="L727" s="212" t="s">
        <v>8</v>
      </c>
      <c r="M727" s="178"/>
      <c r="N727" s="210"/>
      <c r="O727" s="211" t="s">
        <v>935</v>
      </c>
      <c r="P727" s="212" t="s">
        <v>8</v>
      </c>
      <c r="Q727" s="178"/>
      <c r="R727" s="210"/>
      <c r="S727" s="211" t="s">
        <v>935</v>
      </c>
      <c r="T727" s="212" t="s">
        <v>8</v>
      </c>
      <c r="U727" s="178"/>
      <c r="V727" s="210"/>
      <c r="W727" s="211" t="s">
        <v>935</v>
      </c>
      <c r="X727" s="213" t="s">
        <v>120</v>
      </c>
      <c r="Y727" s="178"/>
      <c r="Z727" s="210"/>
      <c r="AA727" s="211" t="s">
        <v>935</v>
      </c>
      <c r="AB727" s="212" t="s">
        <v>8</v>
      </c>
      <c r="AC727" s="178"/>
      <c r="AD727" s="210"/>
      <c r="AE727" s="211" t="s">
        <v>935</v>
      </c>
      <c r="AF727" s="212" t="s">
        <v>8</v>
      </c>
      <c r="AG727" s="178"/>
      <c r="AH727" s="210"/>
      <c r="AI727" s="211" t="s">
        <v>935</v>
      </c>
      <c r="AJ727" s="212" t="s">
        <v>8</v>
      </c>
      <c r="AK727" s="178"/>
      <c r="AL727" s="210"/>
      <c r="AM727" s="211" t="s">
        <v>935</v>
      </c>
      <c r="AN727" s="212" t="s">
        <v>8</v>
      </c>
      <c r="AO727" s="178"/>
      <c r="AP727" s="210"/>
      <c r="AQ727" s="211" t="s">
        <v>935</v>
      </c>
      <c r="AR727" s="212" t="s">
        <v>8</v>
      </c>
      <c r="AS727" s="178"/>
      <c r="AT727" s="210"/>
      <c r="AU727" s="211" t="s">
        <v>935</v>
      </c>
      <c r="AV727" s="212" t="s">
        <v>8</v>
      </c>
      <c r="AW727" s="178"/>
      <c r="AX727" s="210"/>
      <c r="AY727" s="211" t="s">
        <v>935</v>
      </c>
      <c r="AZ727" s="213" t="s">
        <v>120</v>
      </c>
      <c r="BA727" s="178"/>
      <c r="BB727" s="210"/>
      <c r="BC727" s="211" t="s">
        <v>935</v>
      </c>
      <c r="BD727" s="212" t="s">
        <v>8</v>
      </c>
      <c r="BE727" s="178"/>
      <c r="BF727" s="210"/>
      <c r="BG727" s="211" t="s">
        <v>935</v>
      </c>
      <c r="BH727" s="212" t="s">
        <v>8</v>
      </c>
      <c r="BI727" s="178"/>
      <c r="BJ727" s="210"/>
      <c r="BK727" s="211" t="s">
        <v>935</v>
      </c>
      <c r="BL727" s="212" t="s">
        <v>8</v>
      </c>
      <c r="BM727" s="178"/>
      <c r="BN727" s="210"/>
      <c r="BO727" s="211" t="s">
        <v>935</v>
      </c>
      <c r="BP727" s="212" t="s">
        <v>8</v>
      </c>
      <c r="BQ727" s="178"/>
      <c r="BR727" s="210"/>
      <c r="BS727" s="211" t="s">
        <v>935</v>
      </c>
      <c r="BT727" s="212" t="s">
        <v>8</v>
      </c>
      <c r="BU727" s="178"/>
    </row>
    <row r="728" s="105" customFormat="1" spans="1:73">
      <c r="A728" s="221"/>
      <c r="B728" s="205" t="s">
        <v>46</v>
      </c>
      <c r="C728" s="142"/>
      <c r="D728" s="207"/>
      <c r="E728" s="132"/>
      <c r="F728" s="138"/>
      <c r="G728" s="143" t="s">
        <v>936</v>
      </c>
      <c r="H728" s="167"/>
      <c r="I728" s="178"/>
      <c r="J728" s="210"/>
      <c r="K728" s="211" t="s">
        <v>936</v>
      </c>
      <c r="L728" s="212" t="s">
        <v>8</v>
      </c>
      <c r="M728" s="178"/>
      <c r="N728" s="210"/>
      <c r="O728" s="211" t="s">
        <v>936</v>
      </c>
      <c r="P728" s="212" t="s">
        <v>8</v>
      </c>
      <c r="Q728" s="178"/>
      <c r="R728" s="210"/>
      <c r="S728" s="211" t="s">
        <v>936</v>
      </c>
      <c r="T728" s="212" t="s">
        <v>8</v>
      </c>
      <c r="U728" s="178"/>
      <c r="V728" s="210"/>
      <c r="W728" s="211" t="s">
        <v>936</v>
      </c>
      <c r="X728" s="213" t="s">
        <v>46</v>
      </c>
      <c r="Y728" s="178"/>
      <c r="Z728" s="210"/>
      <c r="AA728" s="211" t="s">
        <v>936</v>
      </c>
      <c r="AB728" s="212" t="s">
        <v>8</v>
      </c>
      <c r="AC728" s="178"/>
      <c r="AD728" s="210"/>
      <c r="AE728" s="211" t="s">
        <v>936</v>
      </c>
      <c r="AF728" s="212" t="s">
        <v>8</v>
      </c>
      <c r="AG728" s="178"/>
      <c r="AH728" s="210"/>
      <c r="AI728" s="211" t="s">
        <v>936</v>
      </c>
      <c r="AJ728" s="212" t="s">
        <v>8</v>
      </c>
      <c r="AK728" s="178"/>
      <c r="AL728" s="210"/>
      <c r="AM728" s="211" t="s">
        <v>936</v>
      </c>
      <c r="AN728" s="212" t="s">
        <v>8</v>
      </c>
      <c r="AO728" s="178"/>
      <c r="AP728" s="210"/>
      <c r="AQ728" s="211" t="s">
        <v>936</v>
      </c>
      <c r="AR728" s="212" t="s">
        <v>8</v>
      </c>
      <c r="AS728" s="178"/>
      <c r="AT728" s="210"/>
      <c r="AU728" s="211" t="s">
        <v>936</v>
      </c>
      <c r="AV728" s="212" t="s">
        <v>8</v>
      </c>
      <c r="AW728" s="178"/>
      <c r="AX728" s="210"/>
      <c r="AY728" s="211" t="s">
        <v>936</v>
      </c>
      <c r="AZ728" s="213" t="s">
        <v>46</v>
      </c>
      <c r="BA728" s="178"/>
      <c r="BB728" s="210"/>
      <c r="BC728" s="211" t="s">
        <v>936</v>
      </c>
      <c r="BD728" s="212" t="s">
        <v>8</v>
      </c>
      <c r="BE728" s="178"/>
      <c r="BF728" s="210"/>
      <c r="BG728" s="211" t="s">
        <v>936</v>
      </c>
      <c r="BH728" s="212" t="s">
        <v>8</v>
      </c>
      <c r="BI728" s="178"/>
      <c r="BJ728" s="210"/>
      <c r="BK728" s="211" t="s">
        <v>936</v>
      </c>
      <c r="BL728" s="212" t="s">
        <v>8</v>
      </c>
      <c r="BM728" s="178"/>
      <c r="BN728" s="210"/>
      <c r="BO728" s="211" t="s">
        <v>936</v>
      </c>
      <c r="BP728" s="212" t="s">
        <v>8</v>
      </c>
      <c r="BQ728" s="178"/>
      <c r="BR728" s="210"/>
      <c r="BS728" s="211" t="s">
        <v>936</v>
      </c>
      <c r="BT728" s="212" t="s">
        <v>8</v>
      </c>
      <c r="BU728" s="178"/>
    </row>
    <row r="729" s="105" customFormat="1" spans="1:73">
      <c r="A729" s="221"/>
      <c r="B729" s="205" t="s">
        <v>926</v>
      </c>
      <c r="C729" s="142"/>
      <c r="D729" s="207"/>
      <c r="E729" s="132"/>
      <c r="F729" s="138"/>
      <c r="G729" s="143" t="s">
        <v>937</v>
      </c>
      <c r="H729" s="167"/>
      <c r="I729" s="178"/>
      <c r="J729" s="210"/>
      <c r="K729" s="211" t="s">
        <v>937</v>
      </c>
      <c r="L729" s="212" t="s">
        <v>8</v>
      </c>
      <c r="M729" s="178"/>
      <c r="N729" s="210"/>
      <c r="O729" s="211" t="s">
        <v>937</v>
      </c>
      <c r="P729" s="212" t="s">
        <v>8</v>
      </c>
      <c r="Q729" s="178"/>
      <c r="R729" s="210"/>
      <c r="S729" s="211" t="s">
        <v>937</v>
      </c>
      <c r="T729" s="212" t="s">
        <v>8</v>
      </c>
      <c r="U729" s="178"/>
      <c r="V729" s="210"/>
      <c r="W729" s="211" t="s">
        <v>937</v>
      </c>
      <c r="X729" s="213" t="s">
        <v>926</v>
      </c>
      <c r="Y729" s="178"/>
      <c r="Z729" s="210"/>
      <c r="AA729" s="211" t="s">
        <v>937</v>
      </c>
      <c r="AB729" s="212" t="s">
        <v>8</v>
      </c>
      <c r="AC729" s="178"/>
      <c r="AD729" s="210"/>
      <c r="AE729" s="211" t="s">
        <v>937</v>
      </c>
      <c r="AF729" s="212" t="s">
        <v>8</v>
      </c>
      <c r="AG729" s="178"/>
      <c r="AH729" s="210"/>
      <c r="AI729" s="211" t="s">
        <v>937</v>
      </c>
      <c r="AJ729" s="212" t="s">
        <v>8</v>
      </c>
      <c r="AK729" s="178"/>
      <c r="AL729" s="210"/>
      <c r="AM729" s="211" t="s">
        <v>937</v>
      </c>
      <c r="AN729" s="212" t="s">
        <v>8</v>
      </c>
      <c r="AO729" s="178"/>
      <c r="AP729" s="210"/>
      <c r="AQ729" s="211" t="s">
        <v>937</v>
      </c>
      <c r="AR729" s="212" t="s">
        <v>8</v>
      </c>
      <c r="AS729" s="178"/>
      <c r="AT729" s="210"/>
      <c r="AU729" s="211" t="s">
        <v>937</v>
      </c>
      <c r="AV729" s="212" t="s">
        <v>8</v>
      </c>
      <c r="AW729" s="178"/>
      <c r="AX729" s="210"/>
      <c r="AY729" s="211" t="s">
        <v>937</v>
      </c>
      <c r="AZ729" s="213" t="s">
        <v>926</v>
      </c>
      <c r="BA729" s="178"/>
      <c r="BB729" s="210"/>
      <c r="BC729" s="211" t="s">
        <v>937</v>
      </c>
      <c r="BD729" s="212" t="s">
        <v>8</v>
      </c>
      <c r="BE729" s="178"/>
      <c r="BF729" s="210"/>
      <c r="BG729" s="211" t="s">
        <v>937</v>
      </c>
      <c r="BH729" s="212" t="s">
        <v>8</v>
      </c>
      <c r="BI729" s="178"/>
      <c r="BJ729" s="210"/>
      <c r="BK729" s="211" t="s">
        <v>937</v>
      </c>
      <c r="BL729" s="212" t="s">
        <v>8</v>
      </c>
      <c r="BM729" s="178"/>
      <c r="BN729" s="210"/>
      <c r="BO729" s="211" t="s">
        <v>937</v>
      </c>
      <c r="BP729" s="212" t="s">
        <v>8</v>
      </c>
      <c r="BQ729" s="178"/>
      <c r="BR729" s="210"/>
      <c r="BS729" s="211" t="s">
        <v>937</v>
      </c>
      <c r="BT729" s="212" t="s">
        <v>8</v>
      </c>
      <c r="BU729" s="178"/>
    </row>
    <row r="730" s="105" customFormat="1" spans="1:73">
      <c r="A730" s="221"/>
      <c r="B730" s="205" t="s">
        <v>46</v>
      </c>
      <c r="C730" s="142"/>
      <c r="D730" s="207"/>
      <c r="E730" s="132"/>
      <c r="F730" s="138"/>
      <c r="G730" s="143" t="s">
        <v>938</v>
      </c>
      <c r="H730" s="167"/>
      <c r="I730" s="178"/>
      <c r="J730" s="210"/>
      <c r="K730" s="211" t="s">
        <v>938</v>
      </c>
      <c r="L730" s="212" t="s">
        <v>8</v>
      </c>
      <c r="M730" s="178"/>
      <c r="N730" s="210"/>
      <c r="O730" s="211" t="s">
        <v>938</v>
      </c>
      <c r="P730" s="212" t="s">
        <v>8</v>
      </c>
      <c r="Q730" s="178"/>
      <c r="R730" s="210"/>
      <c r="S730" s="211" t="s">
        <v>938</v>
      </c>
      <c r="T730" s="212" t="s">
        <v>8</v>
      </c>
      <c r="U730" s="178"/>
      <c r="V730" s="210"/>
      <c r="W730" s="211" t="s">
        <v>938</v>
      </c>
      <c r="X730" s="213" t="s">
        <v>46</v>
      </c>
      <c r="Y730" s="178"/>
      <c r="Z730" s="210"/>
      <c r="AA730" s="211" t="s">
        <v>938</v>
      </c>
      <c r="AB730" s="212" t="s">
        <v>8</v>
      </c>
      <c r="AC730" s="178"/>
      <c r="AD730" s="210"/>
      <c r="AE730" s="211" t="s">
        <v>938</v>
      </c>
      <c r="AF730" s="212" t="s">
        <v>8</v>
      </c>
      <c r="AG730" s="178"/>
      <c r="AH730" s="210"/>
      <c r="AI730" s="211" t="s">
        <v>938</v>
      </c>
      <c r="AJ730" s="212" t="s">
        <v>8</v>
      </c>
      <c r="AK730" s="178"/>
      <c r="AL730" s="210"/>
      <c r="AM730" s="211" t="s">
        <v>938</v>
      </c>
      <c r="AN730" s="212" t="s">
        <v>8</v>
      </c>
      <c r="AO730" s="178"/>
      <c r="AP730" s="210"/>
      <c r="AQ730" s="211" t="s">
        <v>938</v>
      </c>
      <c r="AR730" s="212" t="s">
        <v>8</v>
      </c>
      <c r="AS730" s="178"/>
      <c r="AT730" s="210"/>
      <c r="AU730" s="211" t="s">
        <v>938</v>
      </c>
      <c r="AV730" s="212" t="s">
        <v>8</v>
      </c>
      <c r="AW730" s="178"/>
      <c r="AX730" s="210"/>
      <c r="AY730" s="211" t="s">
        <v>938</v>
      </c>
      <c r="AZ730" s="213" t="s">
        <v>46</v>
      </c>
      <c r="BA730" s="178"/>
      <c r="BB730" s="210"/>
      <c r="BC730" s="211" t="s">
        <v>938</v>
      </c>
      <c r="BD730" s="212" t="s">
        <v>8</v>
      </c>
      <c r="BE730" s="178"/>
      <c r="BF730" s="210"/>
      <c r="BG730" s="211" t="s">
        <v>938</v>
      </c>
      <c r="BH730" s="212" t="s">
        <v>8</v>
      </c>
      <c r="BI730" s="178"/>
      <c r="BJ730" s="210"/>
      <c r="BK730" s="211" t="s">
        <v>938</v>
      </c>
      <c r="BL730" s="212" t="s">
        <v>8</v>
      </c>
      <c r="BM730" s="178"/>
      <c r="BN730" s="210"/>
      <c r="BO730" s="211" t="s">
        <v>938</v>
      </c>
      <c r="BP730" s="212" t="s">
        <v>8</v>
      </c>
      <c r="BQ730" s="178"/>
      <c r="BR730" s="210"/>
      <c r="BS730" s="211" t="s">
        <v>938</v>
      </c>
      <c r="BT730" s="212" t="s">
        <v>8</v>
      </c>
      <c r="BU730" s="178"/>
    </row>
    <row r="731" s="105" customFormat="1" spans="1:73">
      <c r="A731" s="221"/>
      <c r="B731" s="205" t="s">
        <v>155</v>
      </c>
      <c r="C731" s="142"/>
      <c r="D731" s="207"/>
      <c r="E731" s="132"/>
      <c r="F731" s="138"/>
      <c r="G731" s="143" t="s">
        <v>939</v>
      </c>
      <c r="H731" s="167"/>
      <c r="I731" s="178"/>
      <c r="J731" s="210"/>
      <c r="K731" s="211" t="s">
        <v>939</v>
      </c>
      <c r="L731" s="212" t="s">
        <v>8</v>
      </c>
      <c r="M731" s="178"/>
      <c r="N731" s="210"/>
      <c r="O731" s="211" t="s">
        <v>939</v>
      </c>
      <c r="P731" s="212" t="s">
        <v>8</v>
      </c>
      <c r="Q731" s="178"/>
      <c r="R731" s="210"/>
      <c r="S731" s="211" t="s">
        <v>939</v>
      </c>
      <c r="T731" s="212" t="s">
        <v>8</v>
      </c>
      <c r="U731" s="178"/>
      <c r="V731" s="210"/>
      <c r="W731" s="211" t="s">
        <v>939</v>
      </c>
      <c r="X731" s="213" t="s">
        <v>155</v>
      </c>
      <c r="Y731" s="178"/>
      <c r="Z731" s="210"/>
      <c r="AA731" s="211" t="s">
        <v>939</v>
      </c>
      <c r="AB731" s="212" t="s">
        <v>8</v>
      </c>
      <c r="AC731" s="178"/>
      <c r="AD731" s="210"/>
      <c r="AE731" s="211" t="s">
        <v>939</v>
      </c>
      <c r="AF731" s="212" t="s">
        <v>8</v>
      </c>
      <c r="AG731" s="178"/>
      <c r="AH731" s="210"/>
      <c r="AI731" s="211" t="s">
        <v>939</v>
      </c>
      <c r="AJ731" s="212" t="s">
        <v>8</v>
      </c>
      <c r="AK731" s="178"/>
      <c r="AL731" s="210"/>
      <c r="AM731" s="211" t="s">
        <v>939</v>
      </c>
      <c r="AN731" s="212" t="s">
        <v>8</v>
      </c>
      <c r="AO731" s="178"/>
      <c r="AP731" s="210"/>
      <c r="AQ731" s="211" t="s">
        <v>939</v>
      </c>
      <c r="AR731" s="212" t="s">
        <v>8</v>
      </c>
      <c r="AS731" s="178"/>
      <c r="AT731" s="210"/>
      <c r="AU731" s="211" t="s">
        <v>939</v>
      </c>
      <c r="AV731" s="212" t="s">
        <v>8</v>
      </c>
      <c r="AW731" s="178"/>
      <c r="AX731" s="210"/>
      <c r="AY731" s="211" t="s">
        <v>939</v>
      </c>
      <c r="AZ731" s="213" t="s">
        <v>155</v>
      </c>
      <c r="BA731" s="178"/>
      <c r="BB731" s="210"/>
      <c r="BC731" s="211" t="s">
        <v>939</v>
      </c>
      <c r="BD731" s="212" t="s">
        <v>8</v>
      </c>
      <c r="BE731" s="178"/>
      <c r="BF731" s="210"/>
      <c r="BG731" s="211" t="s">
        <v>939</v>
      </c>
      <c r="BH731" s="212" t="s">
        <v>8</v>
      </c>
      <c r="BI731" s="178"/>
      <c r="BJ731" s="210"/>
      <c r="BK731" s="211" t="s">
        <v>939</v>
      </c>
      <c r="BL731" s="212" t="s">
        <v>8</v>
      </c>
      <c r="BM731" s="178"/>
      <c r="BN731" s="210"/>
      <c r="BO731" s="211" t="s">
        <v>939</v>
      </c>
      <c r="BP731" s="212" t="s">
        <v>8</v>
      </c>
      <c r="BQ731" s="178"/>
      <c r="BR731" s="210"/>
      <c r="BS731" s="211" t="s">
        <v>939</v>
      </c>
      <c r="BT731" s="212" t="s">
        <v>8</v>
      </c>
      <c r="BU731" s="178"/>
    </row>
    <row r="732" s="105" customFormat="1" spans="1:73">
      <c r="A732" s="221"/>
      <c r="B732" s="205" t="s">
        <v>46</v>
      </c>
      <c r="C732" s="142"/>
      <c r="D732" s="207"/>
      <c r="E732" s="132"/>
      <c r="F732" s="138"/>
      <c r="G732" s="143" t="s">
        <v>940</v>
      </c>
      <c r="H732" s="167"/>
      <c r="I732" s="178"/>
      <c r="J732" s="210"/>
      <c r="K732" s="211" t="s">
        <v>940</v>
      </c>
      <c r="L732" s="212" t="s">
        <v>8</v>
      </c>
      <c r="M732" s="178"/>
      <c r="N732" s="210"/>
      <c r="O732" s="211" t="s">
        <v>940</v>
      </c>
      <c r="P732" s="212" t="s">
        <v>8</v>
      </c>
      <c r="Q732" s="178"/>
      <c r="R732" s="210"/>
      <c r="S732" s="211" t="s">
        <v>940</v>
      </c>
      <c r="T732" s="212" t="s">
        <v>8</v>
      </c>
      <c r="U732" s="178"/>
      <c r="V732" s="210"/>
      <c r="W732" s="211" t="s">
        <v>940</v>
      </c>
      <c r="X732" s="213" t="s">
        <v>46</v>
      </c>
      <c r="Y732" s="178"/>
      <c r="Z732" s="210"/>
      <c r="AA732" s="211" t="s">
        <v>940</v>
      </c>
      <c r="AB732" s="212" t="s">
        <v>8</v>
      </c>
      <c r="AC732" s="178"/>
      <c r="AD732" s="210"/>
      <c r="AE732" s="211" t="s">
        <v>940</v>
      </c>
      <c r="AF732" s="212" t="s">
        <v>8</v>
      </c>
      <c r="AG732" s="178"/>
      <c r="AH732" s="210"/>
      <c r="AI732" s="211" t="s">
        <v>940</v>
      </c>
      <c r="AJ732" s="212" t="s">
        <v>8</v>
      </c>
      <c r="AK732" s="178"/>
      <c r="AL732" s="210"/>
      <c r="AM732" s="211" t="s">
        <v>940</v>
      </c>
      <c r="AN732" s="212" t="s">
        <v>8</v>
      </c>
      <c r="AO732" s="178"/>
      <c r="AP732" s="210"/>
      <c r="AQ732" s="211" t="s">
        <v>940</v>
      </c>
      <c r="AR732" s="212" t="s">
        <v>8</v>
      </c>
      <c r="AS732" s="178"/>
      <c r="AT732" s="210"/>
      <c r="AU732" s="211" t="s">
        <v>940</v>
      </c>
      <c r="AV732" s="212" t="s">
        <v>8</v>
      </c>
      <c r="AW732" s="178"/>
      <c r="AX732" s="210"/>
      <c r="AY732" s="211" t="s">
        <v>940</v>
      </c>
      <c r="AZ732" s="213" t="s">
        <v>46</v>
      </c>
      <c r="BA732" s="178"/>
      <c r="BB732" s="210"/>
      <c r="BC732" s="211" t="s">
        <v>940</v>
      </c>
      <c r="BD732" s="212" t="s">
        <v>8</v>
      </c>
      <c r="BE732" s="178"/>
      <c r="BF732" s="210"/>
      <c r="BG732" s="211" t="s">
        <v>940</v>
      </c>
      <c r="BH732" s="212" t="s">
        <v>8</v>
      </c>
      <c r="BI732" s="178"/>
      <c r="BJ732" s="210"/>
      <c r="BK732" s="211" t="s">
        <v>940</v>
      </c>
      <c r="BL732" s="212" t="s">
        <v>8</v>
      </c>
      <c r="BM732" s="178"/>
      <c r="BN732" s="210"/>
      <c r="BO732" s="211" t="s">
        <v>940</v>
      </c>
      <c r="BP732" s="212" t="s">
        <v>8</v>
      </c>
      <c r="BQ732" s="178"/>
      <c r="BR732" s="210"/>
      <c r="BS732" s="211" t="s">
        <v>940</v>
      </c>
      <c r="BT732" s="212" t="s">
        <v>8</v>
      </c>
      <c r="BU732" s="178"/>
    </row>
    <row r="733" s="105" customFormat="1" spans="1:73">
      <c r="A733" s="221"/>
      <c r="B733" s="205" t="s">
        <v>86</v>
      </c>
      <c r="C733" s="142"/>
      <c r="D733" s="207"/>
      <c r="E733" s="132"/>
      <c r="F733" s="138"/>
      <c r="G733" s="143" t="s">
        <v>941</v>
      </c>
      <c r="H733" s="167"/>
      <c r="I733" s="178"/>
      <c r="J733" s="210"/>
      <c r="K733" s="211" t="s">
        <v>941</v>
      </c>
      <c r="L733" s="212" t="s">
        <v>8</v>
      </c>
      <c r="M733" s="178"/>
      <c r="N733" s="210"/>
      <c r="O733" s="211" t="s">
        <v>941</v>
      </c>
      <c r="P733" s="212" t="s">
        <v>8</v>
      </c>
      <c r="Q733" s="178"/>
      <c r="R733" s="210"/>
      <c r="S733" s="211" t="s">
        <v>941</v>
      </c>
      <c r="T733" s="212" t="s">
        <v>8</v>
      </c>
      <c r="U733" s="178"/>
      <c r="V733" s="210"/>
      <c r="W733" s="211" t="s">
        <v>941</v>
      </c>
      <c r="X733" s="213" t="s">
        <v>86</v>
      </c>
      <c r="Y733" s="178"/>
      <c r="Z733" s="210"/>
      <c r="AA733" s="211" t="s">
        <v>941</v>
      </c>
      <c r="AB733" s="212" t="s">
        <v>8</v>
      </c>
      <c r="AC733" s="178"/>
      <c r="AD733" s="210"/>
      <c r="AE733" s="211" t="s">
        <v>941</v>
      </c>
      <c r="AF733" s="212" t="s">
        <v>8</v>
      </c>
      <c r="AG733" s="178"/>
      <c r="AH733" s="210"/>
      <c r="AI733" s="211" t="s">
        <v>941</v>
      </c>
      <c r="AJ733" s="212" t="s">
        <v>8</v>
      </c>
      <c r="AK733" s="178"/>
      <c r="AL733" s="210"/>
      <c r="AM733" s="211" t="s">
        <v>941</v>
      </c>
      <c r="AN733" s="212" t="s">
        <v>8</v>
      </c>
      <c r="AO733" s="178"/>
      <c r="AP733" s="210"/>
      <c r="AQ733" s="211" t="s">
        <v>941</v>
      </c>
      <c r="AR733" s="212" t="s">
        <v>8</v>
      </c>
      <c r="AS733" s="178"/>
      <c r="AT733" s="210"/>
      <c r="AU733" s="211" t="s">
        <v>941</v>
      </c>
      <c r="AV733" s="212" t="s">
        <v>8</v>
      </c>
      <c r="AW733" s="178"/>
      <c r="AX733" s="210"/>
      <c r="AY733" s="211" t="s">
        <v>941</v>
      </c>
      <c r="AZ733" s="213" t="s">
        <v>86</v>
      </c>
      <c r="BA733" s="178"/>
      <c r="BB733" s="210"/>
      <c r="BC733" s="211" t="s">
        <v>941</v>
      </c>
      <c r="BD733" s="212" t="s">
        <v>8</v>
      </c>
      <c r="BE733" s="178"/>
      <c r="BF733" s="210"/>
      <c r="BG733" s="211" t="s">
        <v>941</v>
      </c>
      <c r="BH733" s="212" t="s">
        <v>8</v>
      </c>
      <c r="BI733" s="178"/>
      <c r="BJ733" s="210"/>
      <c r="BK733" s="211" t="s">
        <v>941</v>
      </c>
      <c r="BL733" s="212" t="s">
        <v>8</v>
      </c>
      <c r="BM733" s="178"/>
      <c r="BN733" s="210"/>
      <c r="BO733" s="211" t="s">
        <v>941</v>
      </c>
      <c r="BP733" s="212" t="s">
        <v>8</v>
      </c>
      <c r="BQ733" s="178"/>
      <c r="BR733" s="210"/>
      <c r="BS733" s="211" t="s">
        <v>941</v>
      </c>
      <c r="BT733" s="212" t="s">
        <v>8</v>
      </c>
      <c r="BU733" s="178"/>
    </row>
    <row r="734" s="105" customFormat="1" spans="1:73">
      <c r="A734" s="221"/>
      <c r="B734" s="205" t="s">
        <v>46</v>
      </c>
      <c r="C734" s="142"/>
      <c r="D734" s="207"/>
      <c r="E734" s="132"/>
      <c r="F734" s="138"/>
      <c r="G734" s="143" t="s">
        <v>942</v>
      </c>
      <c r="H734" s="167"/>
      <c r="I734" s="178"/>
      <c r="J734" s="210"/>
      <c r="K734" s="211" t="s">
        <v>942</v>
      </c>
      <c r="L734" s="212" t="s">
        <v>8</v>
      </c>
      <c r="M734" s="178"/>
      <c r="N734" s="210"/>
      <c r="O734" s="211" t="s">
        <v>942</v>
      </c>
      <c r="P734" s="212" t="s">
        <v>8</v>
      </c>
      <c r="Q734" s="178"/>
      <c r="R734" s="210"/>
      <c r="S734" s="211" t="s">
        <v>942</v>
      </c>
      <c r="T734" s="212" t="s">
        <v>8</v>
      </c>
      <c r="U734" s="178"/>
      <c r="V734" s="210"/>
      <c r="W734" s="211" t="s">
        <v>942</v>
      </c>
      <c r="X734" s="213" t="s">
        <v>46</v>
      </c>
      <c r="Y734" s="178"/>
      <c r="Z734" s="210"/>
      <c r="AA734" s="211" t="s">
        <v>942</v>
      </c>
      <c r="AB734" s="212" t="s">
        <v>8</v>
      </c>
      <c r="AC734" s="178"/>
      <c r="AD734" s="210"/>
      <c r="AE734" s="211" t="s">
        <v>942</v>
      </c>
      <c r="AF734" s="212" t="s">
        <v>8</v>
      </c>
      <c r="AG734" s="178"/>
      <c r="AH734" s="210"/>
      <c r="AI734" s="211" t="s">
        <v>942</v>
      </c>
      <c r="AJ734" s="212" t="s">
        <v>8</v>
      </c>
      <c r="AK734" s="178"/>
      <c r="AL734" s="210"/>
      <c r="AM734" s="211" t="s">
        <v>942</v>
      </c>
      <c r="AN734" s="212" t="s">
        <v>8</v>
      </c>
      <c r="AO734" s="178"/>
      <c r="AP734" s="210"/>
      <c r="AQ734" s="211" t="s">
        <v>942</v>
      </c>
      <c r="AR734" s="212" t="s">
        <v>8</v>
      </c>
      <c r="AS734" s="178"/>
      <c r="AT734" s="210"/>
      <c r="AU734" s="211" t="s">
        <v>942</v>
      </c>
      <c r="AV734" s="212" t="s">
        <v>8</v>
      </c>
      <c r="AW734" s="178"/>
      <c r="AX734" s="210"/>
      <c r="AY734" s="211" t="s">
        <v>942</v>
      </c>
      <c r="AZ734" s="213" t="s">
        <v>46</v>
      </c>
      <c r="BA734" s="178"/>
      <c r="BB734" s="210"/>
      <c r="BC734" s="211" t="s">
        <v>942</v>
      </c>
      <c r="BD734" s="212" t="s">
        <v>8</v>
      </c>
      <c r="BE734" s="178"/>
      <c r="BF734" s="210"/>
      <c r="BG734" s="211" t="s">
        <v>942</v>
      </c>
      <c r="BH734" s="212" t="s">
        <v>8</v>
      </c>
      <c r="BI734" s="178"/>
      <c r="BJ734" s="210"/>
      <c r="BK734" s="211" t="s">
        <v>942</v>
      </c>
      <c r="BL734" s="212" t="s">
        <v>8</v>
      </c>
      <c r="BM734" s="178"/>
      <c r="BN734" s="210"/>
      <c r="BO734" s="211" t="s">
        <v>942</v>
      </c>
      <c r="BP734" s="212" t="s">
        <v>8</v>
      </c>
      <c r="BQ734" s="178"/>
      <c r="BR734" s="210"/>
      <c r="BS734" s="211" t="s">
        <v>942</v>
      </c>
      <c r="BT734" s="212" t="s">
        <v>8</v>
      </c>
      <c r="BU734" s="178"/>
    </row>
    <row r="735" s="105" customFormat="1" spans="1:73">
      <c r="A735" s="221"/>
      <c r="B735" s="205" t="s">
        <v>120</v>
      </c>
      <c r="C735" s="142"/>
      <c r="D735" s="207"/>
      <c r="E735" s="132"/>
      <c r="F735" s="138"/>
      <c r="G735" s="143" t="s">
        <v>943</v>
      </c>
      <c r="H735" s="167"/>
      <c r="I735" s="178"/>
      <c r="J735" s="210"/>
      <c r="K735" s="211" t="s">
        <v>943</v>
      </c>
      <c r="L735" s="212" t="s">
        <v>8</v>
      </c>
      <c r="M735" s="178"/>
      <c r="N735" s="210"/>
      <c r="O735" s="211" t="s">
        <v>943</v>
      </c>
      <c r="P735" s="212" t="s">
        <v>8</v>
      </c>
      <c r="Q735" s="178"/>
      <c r="R735" s="210"/>
      <c r="S735" s="211" t="s">
        <v>943</v>
      </c>
      <c r="T735" s="212" t="s">
        <v>8</v>
      </c>
      <c r="U735" s="178"/>
      <c r="V735" s="210"/>
      <c r="W735" s="211" t="s">
        <v>943</v>
      </c>
      <c r="X735" s="213" t="s">
        <v>120</v>
      </c>
      <c r="Y735" s="178"/>
      <c r="Z735" s="210"/>
      <c r="AA735" s="211" t="s">
        <v>943</v>
      </c>
      <c r="AB735" s="212" t="s">
        <v>8</v>
      </c>
      <c r="AC735" s="178"/>
      <c r="AD735" s="210"/>
      <c r="AE735" s="211" t="s">
        <v>943</v>
      </c>
      <c r="AF735" s="212" t="s">
        <v>8</v>
      </c>
      <c r="AG735" s="178"/>
      <c r="AH735" s="210"/>
      <c r="AI735" s="211" t="s">
        <v>943</v>
      </c>
      <c r="AJ735" s="212" t="s">
        <v>8</v>
      </c>
      <c r="AK735" s="178"/>
      <c r="AL735" s="210"/>
      <c r="AM735" s="211" t="s">
        <v>943</v>
      </c>
      <c r="AN735" s="212" t="s">
        <v>8</v>
      </c>
      <c r="AO735" s="178"/>
      <c r="AP735" s="210"/>
      <c r="AQ735" s="211" t="s">
        <v>943</v>
      </c>
      <c r="AR735" s="212" t="s">
        <v>8</v>
      </c>
      <c r="AS735" s="178"/>
      <c r="AT735" s="210"/>
      <c r="AU735" s="211" t="s">
        <v>943</v>
      </c>
      <c r="AV735" s="212" t="s">
        <v>8</v>
      </c>
      <c r="AW735" s="178"/>
      <c r="AX735" s="210"/>
      <c r="AY735" s="211" t="s">
        <v>943</v>
      </c>
      <c r="AZ735" s="213" t="s">
        <v>120</v>
      </c>
      <c r="BA735" s="178"/>
      <c r="BB735" s="210"/>
      <c r="BC735" s="211" t="s">
        <v>943</v>
      </c>
      <c r="BD735" s="212" t="s">
        <v>8</v>
      </c>
      <c r="BE735" s="178"/>
      <c r="BF735" s="210"/>
      <c r="BG735" s="211" t="s">
        <v>943</v>
      </c>
      <c r="BH735" s="212" t="s">
        <v>8</v>
      </c>
      <c r="BI735" s="178"/>
      <c r="BJ735" s="210"/>
      <c r="BK735" s="211" t="s">
        <v>943</v>
      </c>
      <c r="BL735" s="212" t="s">
        <v>8</v>
      </c>
      <c r="BM735" s="178"/>
      <c r="BN735" s="210"/>
      <c r="BO735" s="211" t="s">
        <v>943</v>
      </c>
      <c r="BP735" s="212" t="s">
        <v>8</v>
      </c>
      <c r="BQ735" s="178"/>
      <c r="BR735" s="210"/>
      <c r="BS735" s="211" t="s">
        <v>943</v>
      </c>
      <c r="BT735" s="212" t="s">
        <v>8</v>
      </c>
      <c r="BU735" s="178"/>
    </row>
    <row r="736" s="105" customFormat="1" spans="1:73">
      <c r="A736" s="221"/>
      <c r="B736" s="205" t="s">
        <v>46</v>
      </c>
      <c r="C736" s="142"/>
      <c r="D736" s="207"/>
      <c r="E736" s="132"/>
      <c r="F736" s="138"/>
      <c r="G736" s="143" t="s">
        <v>944</v>
      </c>
      <c r="H736" s="167"/>
      <c r="I736" s="178"/>
      <c r="J736" s="210"/>
      <c r="K736" s="211" t="s">
        <v>944</v>
      </c>
      <c r="L736" s="212" t="s">
        <v>8</v>
      </c>
      <c r="M736" s="178"/>
      <c r="N736" s="210"/>
      <c r="O736" s="211" t="s">
        <v>944</v>
      </c>
      <c r="P736" s="212" t="s">
        <v>8</v>
      </c>
      <c r="Q736" s="178"/>
      <c r="R736" s="210"/>
      <c r="S736" s="211" t="s">
        <v>944</v>
      </c>
      <c r="T736" s="212" t="s">
        <v>8</v>
      </c>
      <c r="U736" s="178"/>
      <c r="V736" s="210"/>
      <c r="W736" s="211" t="s">
        <v>944</v>
      </c>
      <c r="X736" s="213" t="s">
        <v>46</v>
      </c>
      <c r="Y736" s="178"/>
      <c r="Z736" s="210"/>
      <c r="AA736" s="211" t="s">
        <v>944</v>
      </c>
      <c r="AB736" s="212" t="s">
        <v>8</v>
      </c>
      <c r="AC736" s="178"/>
      <c r="AD736" s="210"/>
      <c r="AE736" s="211" t="s">
        <v>944</v>
      </c>
      <c r="AF736" s="212" t="s">
        <v>8</v>
      </c>
      <c r="AG736" s="178"/>
      <c r="AH736" s="210"/>
      <c r="AI736" s="211" t="s">
        <v>944</v>
      </c>
      <c r="AJ736" s="212" t="s">
        <v>8</v>
      </c>
      <c r="AK736" s="178"/>
      <c r="AL736" s="210"/>
      <c r="AM736" s="211" t="s">
        <v>944</v>
      </c>
      <c r="AN736" s="212" t="s">
        <v>8</v>
      </c>
      <c r="AO736" s="178"/>
      <c r="AP736" s="210"/>
      <c r="AQ736" s="211" t="s">
        <v>944</v>
      </c>
      <c r="AR736" s="212" t="s">
        <v>8</v>
      </c>
      <c r="AS736" s="178"/>
      <c r="AT736" s="210"/>
      <c r="AU736" s="211" t="s">
        <v>944</v>
      </c>
      <c r="AV736" s="212" t="s">
        <v>8</v>
      </c>
      <c r="AW736" s="178"/>
      <c r="AX736" s="210"/>
      <c r="AY736" s="211" t="s">
        <v>944</v>
      </c>
      <c r="AZ736" s="213" t="s">
        <v>46</v>
      </c>
      <c r="BA736" s="178"/>
      <c r="BB736" s="210"/>
      <c r="BC736" s="211" t="s">
        <v>944</v>
      </c>
      <c r="BD736" s="212" t="s">
        <v>8</v>
      </c>
      <c r="BE736" s="178"/>
      <c r="BF736" s="210"/>
      <c r="BG736" s="211" t="s">
        <v>944</v>
      </c>
      <c r="BH736" s="212" t="s">
        <v>8</v>
      </c>
      <c r="BI736" s="178"/>
      <c r="BJ736" s="210"/>
      <c r="BK736" s="211" t="s">
        <v>944</v>
      </c>
      <c r="BL736" s="212" t="s">
        <v>8</v>
      </c>
      <c r="BM736" s="178"/>
      <c r="BN736" s="210"/>
      <c r="BO736" s="211" t="s">
        <v>944</v>
      </c>
      <c r="BP736" s="212" t="s">
        <v>8</v>
      </c>
      <c r="BQ736" s="178"/>
      <c r="BR736" s="210"/>
      <c r="BS736" s="211" t="s">
        <v>944</v>
      </c>
      <c r="BT736" s="212" t="s">
        <v>8</v>
      </c>
      <c r="BU736" s="178"/>
    </row>
    <row r="737" s="105" customFormat="1" spans="1:73">
      <c r="A737" s="221"/>
      <c r="B737" s="205" t="s">
        <v>155</v>
      </c>
      <c r="C737" s="142"/>
      <c r="D737" s="207"/>
      <c r="E737" s="132"/>
      <c r="F737" s="138"/>
      <c r="G737" s="143" t="s">
        <v>945</v>
      </c>
      <c r="H737" s="167"/>
      <c r="I737" s="178"/>
      <c r="J737" s="210"/>
      <c r="K737" s="211" t="s">
        <v>945</v>
      </c>
      <c r="L737" s="212" t="s">
        <v>8</v>
      </c>
      <c r="M737" s="178"/>
      <c r="N737" s="210"/>
      <c r="O737" s="211" t="s">
        <v>945</v>
      </c>
      <c r="P737" s="212" t="s">
        <v>8</v>
      </c>
      <c r="Q737" s="178"/>
      <c r="R737" s="210"/>
      <c r="S737" s="211" t="s">
        <v>945</v>
      </c>
      <c r="T737" s="212" t="s">
        <v>8</v>
      </c>
      <c r="U737" s="178"/>
      <c r="V737" s="210"/>
      <c r="W737" s="211" t="s">
        <v>945</v>
      </c>
      <c r="X737" s="213" t="s">
        <v>155</v>
      </c>
      <c r="Y737" s="178"/>
      <c r="Z737" s="210"/>
      <c r="AA737" s="211" t="s">
        <v>945</v>
      </c>
      <c r="AB737" s="212" t="s">
        <v>8</v>
      </c>
      <c r="AC737" s="178"/>
      <c r="AD737" s="210"/>
      <c r="AE737" s="211" t="s">
        <v>945</v>
      </c>
      <c r="AF737" s="212" t="s">
        <v>8</v>
      </c>
      <c r="AG737" s="178"/>
      <c r="AH737" s="210"/>
      <c r="AI737" s="211" t="s">
        <v>945</v>
      </c>
      <c r="AJ737" s="212" t="s">
        <v>8</v>
      </c>
      <c r="AK737" s="178"/>
      <c r="AL737" s="210"/>
      <c r="AM737" s="211" t="s">
        <v>945</v>
      </c>
      <c r="AN737" s="212" t="s">
        <v>8</v>
      </c>
      <c r="AO737" s="178"/>
      <c r="AP737" s="210"/>
      <c r="AQ737" s="211" t="s">
        <v>945</v>
      </c>
      <c r="AR737" s="212" t="s">
        <v>8</v>
      </c>
      <c r="AS737" s="178"/>
      <c r="AT737" s="210"/>
      <c r="AU737" s="211" t="s">
        <v>945</v>
      </c>
      <c r="AV737" s="212" t="s">
        <v>8</v>
      </c>
      <c r="AW737" s="178"/>
      <c r="AX737" s="210"/>
      <c r="AY737" s="211" t="s">
        <v>945</v>
      </c>
      <c r="AZ737" s="213" t="s">
        <v>155</v>
      </c>
      <c r="BA737" s="178"/>
      <c r="BB737" s="210"/>
      <c r="BC737" s="211" t="s">
        <v>945</v>
      </c>
      <c r="BD737" s="212" t="s">
        <v>8</v>
      </c>
      <c r="BE737" s="178"/>
      <c r="BF737" s="210"/>
      <c r="BG737" s="211" t="s">
        <v>945</v>
      </c>
      <c r="BH737" s="212" t="s">
        <v>8</v>
      </c>
      <c r="BI737" s="178"/>
      <c r="BJ737" s="210"/>
      <c r="BK737" s="211" t="s">
        <v>945</v>
      </c>
      <c r="BL737" s="212" t="s">
        <v>8</v>
      </c>
      <c r="BM737" s="178"/>
      <c r="BN737" s="210"/>
      <c r="BO737" s="211" t="s">
        <v>945</v>
      </c>
      <c r="BP737" s="212" t="s">
        <v>8</v>
      </c>
      <c r="BQ737" s="178"/>
      <c r="BR737" s="210"/>
      <c r="BS737" s="211" t="s">
        <v>945</v>
      </c>
      <c r="BT737" s="212" t="s">
        <v>8</v>
      </c>
      <c r="BU737" s="178"/>
    </row>
    <row r="738" s="105" customFormat="1" spans="1:73">
      <c r="A738" s="221"/>
      <c r="B738" s="205" t="s">
        <v>46</v>
      </c>
      <c r="C738" s="142"/>
      <c r="D738" s="207"/>
      <c r="E738" s="132"/>
      <c r="F738" s="138"/>
      <c r="G738" s="143" t="s">
        <v>946</v>
      </c>
      <c r="H738" s="167"/>
      <c r="I738" s="178"/>
      <c r="J738" s="210"/>
      <c r="K738" s="211" t="s">
        <v>946</v>
      </c>
      <c r="L738" s="212" t="s">
        <v>8</v>
      </c>
      <c r="M738" s="178"/>
      <c r="N738" s="210"/>
      <c r="O738" s="211" t="s">
        <v>946</v>
      </c>
      <c r="P738" s="212" t="s">
        <v>8</v>
      </c>
      <c r="Q738" s="178"/>
      <c r="R738" s="210"/>
      <c r="S738" s="211" t="s">
        <v>946</v>
      </c>
      <c r="T738" s="212" t="s">
        <v>8</v>
      </c>
      <c r="U738" s="178"/>
      <c r="V738" s="210"/>
      <c r="W738" s="211" t="s">
        <v>946</v>
      </c>
      <c r="X738" s="213" t="s">
        <v>46</v>
      </c>
      <c r="Y738" s="178"/>
      <c r="Z738" s="210"/>
      <c r="AA738" s="211" t="s">
        <v>946</v>
      </c>
      <c r="AB738" s="212" t="s">
        <v>8</v>
      </c>
      <c r="AC738" s="178"/>
      <c r="AD738" s="210"/>
      <c r="AE738" s="211" t="s">
        <v>946</v>
      </c>
      <c r="AF738" s="212" t="s">
        <v>8</v>
      </c>
      <c r="AG738" s="178"/>
      <c r="AH738" s="210"/>
      <c r="AI738" s="211" t="s">
        <v>946</v>
      </c>
      <c r="AJ738" s="212" t="s">
        <v>8</v>
      </c>
      <c r="AK738" s="178"/>
      <c r="AL738" s="210"/>
      <c r="AM738" s="211" t="s">
        <v>946</v>
      </c>
      <c r="AN738" s="212" t="s">
        <v>8</v>
      </c>
      <c r="AO738" s="178"/>
      <c r="AP738" s="210"/>
      <c r="AQ738" s="211" t="s">
        <v>946</v>
      </c>
      <c r="AR738" s="212" t="s">
        <v>8</v>
      </c>
      <c r="AS738" s="178"/>
      <c r="AT738" s="210"/>
      <c r="AU738" s="211" t="s">
        <v>946</v>
      </c>
      <c r="AV738" s="212" t="s">
        <v>8</v>
      </c>
      <c r="AW738" s="178"/>
      <c r="AX738" s="210"/>
      <c r="AY738" s="211" t="s">
        <v>946</v>
      </c>
      <c r="AZ738" s="213" t="s">
        <v>46</v>
      </c>
      <c r="BA738" s="178"/>
      <c r="BB738" s="210"/>
      <c r="BC738" s="211" t="s">
        <v>946</v>
      </c>
      <c r="BD738" s="212" t="s">
        <v>8</v>
      </c>
      <c r="BE738" s="178"/>
      <c r="BF738" s="210"/>
      <c r="BG738" s="211" t="s">
        <v>946</v>
      </c>
      <c r="BH738" s="212" t="s">
        <v>8</v>
      </c>
      <c r="BI738" s="178"/>
      <c r="BJ738" s="210"/>
      <c r="BK738" s="211" t="s">
        <v>946</v>
      </c>
      <c r="BL738" s="212" t="s">
        <v>8</v>
      </c>
      <c r="BM738" s="178"/>
      <c r="BN738" s="210"/>
      <c r="BO738" s="211" t="s">
        <v>946</v>
      </c>
      <c r="BP738" s="212" t="s">
        <v>8</v>
      </c>
      <c r="BQ738" s="178"/>
      <c r="BR738" s="210"/>
      <c r="BS738" s="211" t="s">
        <v>946</v>
      </c>
      <c r="BT738" s="212" t="s">
        <v>8</v>
      </c>
      <c r="BU738" s="178"/>
    </row>
    <row r="739" s="105" customFormat="1" spans="1:73">
      <c r="A739" s="221"/>
      <c r="B739" s="205" t="s">
        <v>926</v>
      </c>
      <c r="C739" s="142"/>
      <c r="D739" s="207"/>
      <c r="E739" s="132"/>
      <c r="F739" s="138"/>
      <c r="G739" s="143" t="s">
        <v>947</v>
      </c>
      <c r="H739" s="167"/>
      <c r="I739" s="178"/>
      <c r="J739" s="210"/>
      <c r="K739" s="211" t="s">
        <v>947</v>
      </c>
      <c r="L739" s="212" t="s">
        <v>8</v>
      </c>
      <c r="M739" s="178"/>
      <c r="N739" s="210"/>
      <c r="O739" s="211" t="s">
        <v>947</v>
      </c>
      <c r="P739" s="212" t="s">
        <v>8</v>
      </c>
      <c r="Q739" s="178"/>
      <c r="R739" s="210"/>
      <c r="S739" s="211" t="s">
        <v>947</v>
      </c>
      <c r="T739" s="212" t="s">
        <v>8</v>
      </c>
      <c r="U739" s="178"/>
      <c r="V739" s="210"/>
      <c r="W739" s="211" t="s">
        <v>947</v>
      </c>
      <c r="X739" s="213" t="s">
        <v>926</v>
      </c>
      <c r="Y739" s="178"/>
      <c r="Z739" s="210"/>
      <c r="AA739" s="211" t="s">
        <v>947</v>
      </c>
      <c r="AB739" s="212" t="s">
        <v>8</v>
      </c>
      <c r="AC739" s="178"/>
      <c r="AD739" s="210"/>
      <c r="AE739" s="211" t="s">
        <v>947</v>
      </c>
      <c r="AF739" s="212" t="s">
        <v>8</v>
      </c>
      <c r="AG739" s="178"/>
      <c r="AH739" s="210"/>
      <c r="AI739" s="211" t="s">
        <v>947</v>
      </c>
      <c r="AJ739" s="212" t="s">
        <v>8</v>
      </c>
      <c r="AK739" s="178"/>
      <c r="AL739" s="210"/>
      <c r="AM739" s="211" t="s">
        <v>947</v>
      </c>
      <c r="AN739" s="212" t="s">
        <v>8</v>
      </c>
      <c r="AO739" s="178"/>
      <c r="AP739" s="210"/>
      <c r="AQ739" s="211" t="s">
        <v>947</v>
      </c>
      <c r="AR739" s="212" t="s">
        <v>8</v>
      </c>
      <c r="AS739" s="178"/>
      <c r="AT739" s="210"/>
      <c r="AU739" s="211" t="s">
        <v>947</v>
      </c>
      <c r="AV739" s="212" t="s">
        <v>8</v>
      </c>
      <c r="AW739" s="178"/>
      <c r="AX739" s="210"/>
      <c r="AY739" s="211" t="s">
        <v>947</v>
      </c>
      <c r="AZ739" s="213" t="s">
        <v>926</v>
      </c>
      <c r="BA739" s="178"/>
      <c r="BB739" s="210"/>
      <c r="BC739" s="211" t="s">
        <v>947</v>
      </c>
      <c r="BD739" s="212" t="s">
        <v>8</v>
      </c>
      <c r="BE739" s="178"/>
      <c r="BF739" s="210"/>
      <c r="BG739" s="211" t="s">
        <v>947</v>
      </c>
      <c r="BH739" s="212" t="s">
        <v>8</v>
      </c>
      <c r="BI739" s="178"/>
      <c r="BJ739" s="210"/>
      <c r="BK739" s="211" t="s">
        <v>947</v>
      </c>
      <c r="BL739" s="212" t="s">
        <v>8</v>
      </c>
      <c r="BM739" s="178"/>
      <c r="BN739" s="210"/>
      <c r="BO739" s="211" t="s">
        <v>947</v>
      </c>
      <c r="BP739" s="212" t="s">
        <v>8</v>
      </c>
      <c r="BQ739" s="178"/>
      <c r="BR739" s="210"/>
      <c r="BS739" s="211" t="s">
        <v>947</v>
      </c>
      <c r="BT739" s="212" t="s">
        <v>8</v>
      </c>
      <c r="BU739" s="178"/>
    </row>
    <row r="740" s="105" customFormat="1" spans="1:73">
      <c r="A740" s="221"/>
      <c r="B740" s="205" t="s">
        <v>46</v>
      </c>
      <c r="C740" s="142"/>
      <c r="D740" s="207"/>
      <c r="E740" s="132"/>
      <c r="F740" s="138"/>
      <c r="G740" s="143" t="s">
        <v>948</v>
      </c>
      <c r="H740" s="167"/>
      <c r="I740" s="178"/>
      <c r="J740" s="210"/>
      <c r="K740" s="211" t="s">
        <v>948</v>
      </c>
      <c r="L740" s="212" t="s">
        <v>8</v>
      </c>
      <c r="M740" s="178"/>
      <c r="N740" s="210"/>
      <c r="O740" s="211" t="s">
        <v>948</v>
      </c>
      <c r="P740" s="212" t="s">
        <v>8</v>
      </c>
      <c r="Q740" s="178"/>
      <c r="R740" s="210"/>
      <c r="S740" s="211" t="s">
        <v>948</v>
      </c>
      <c r="T740" s="212" t="s">
        <v>8</v>
      </c>
      <c r="U740" s="178"/>
      <c r="V740" s="210"/>
      <c r="W740" s="211" t="s">
        <v>948</v>
      </c>
      <c r="X740" s="213" t="s">
        <v>46</v>
      </c>
      <c r="Y740" s="178"/>
      <c r="Z740" s="210"/>
      <c r="AA740" s="211" t="s">
        <v>948</v>
      </c>
      <c r="AB740" s="212" t="s">
        <v>8</v>
      </c>
      <c r="AC740" s="178"/>
      <c r="AD740" s="210"/>
      <c r="AE740" s="211" t="s">
        <v>948</v>
      </c>
      <c r="AF740" s="212" t="s">
        <v>8</v>
      </c>
      <c r="AG740" s="178"/>
      <c r="AH740" s="210"/>
      <c r="AI740" s="211" t="s">
        <v>948</v>
      </c>
      <c r="AJ740" s="212" t="s">
        <v>8</v>
      </c>
      <c r="AK740" s="178"/>
      <c r="AL740" s="210"/>
      <c r="AM740" s="211" t="s">
        <v>948</v>
      </c>
      <c r="AN740" s="212" t="s">
        <v>8</v>
      </c>
      <c r="AO740" s="178"/>
      <c r="AP740" s="210"/>
      <c r="AQ740" s="211" t="s">
        <v>948</v>
      </c>
      <c r="AR740" s="212" t="s">
        <v>8</v>
      </c>
      <c r="AS740" s="178"/>
      <c r="AT740" s="210"/>
      <c r="AU740" s="211" t="s">
        <v>948</v>
      </c>
      <c r="AV740" s="212" t="s">
        <v>8</v>
      </c>
      <c r="AW740" s="178"/>
      <c r="AX740" s="210"/>
      <c r="AY740" s="211" t="s">
        <v>948</v>
      </c>
      <c r="AZ740" s="213" t="s">
        <v>46</v>
      </c>
      <c r="BA740" s="178"/>
      <c r="BB740" s="210"/>
      <c r="BC740" s="211" t="s">
        <v>948</v>
      </c>
      <c r="BD740" s="212" t="s">
        <v>8</v>
      </c>
      <c r="BE740" s="178"/>
      <c r="BF740" s="210"/>
      <c r="BG740" s="211" t="s">
        <v>948</v>
      </c>
      <c r="BH740" s="212" t="s">
        <v>8</v>
      </c>
      <c r="BI740" s="178"/>
      <c r="BJ740" s="210"/>
      <c r="BK740" s="211" t="s">
        <v>948</v>
      </c>
      <c r="BL740" s="212" t="s">
        <v>8</v>
      </c>
      <c r="BM740" s="178"/>
      <c r="BN740" s="210"/>
      <c r="BO740" s="211" t="s">
        <v>948</v>
      </c>
      <c r="BP740" s="212" t="s">
        <v>8</v>
      </c>
      <c r="BQ740" s="178"/>
      <c r="BR740" s="210"/>
      <c r="BS740" s="211" t="s">
        <v>948</v>
      </c>
      <c r="BT740" s="212" t="s">
        <v>8</v>
      </c>
      <c r="BU740" s="178"/>
    </row>
    <row r="741" s="105" customFormat="1" spans="1:73">
      <c r="A741" s="221"/>
      <c r="B741" s="205" t="s">
        <v>86</v>
      </c>
      <c r="C741" s="142"/>
      <c r="D741" s="207"/>
      <c r="E741" s="132"/>
      <c r="F741" s="138"/>
      <c r="G741" s="143" t="s">
        <v>949</v>
      </c>
      <c r="H741" s="167"/>
      <c r="I741" s="178"/>
      <c r="J741" s="210"/>
      <c r="K741" s="211" t="s">
        <v>949</v>
      </c>
      <c r="L741" s="212" t="s">
        <v>8</v>
      </c>
      <c r="M741" s="178"/>
      <c r="N741" s="210"/>
      <c r="O741" s="211" t="s">
        <v>949</v>
      </c>
      <c r="P741" s="212" t="s">
        <v>8</v>
      </c>
      <c r="Q741" s="178"/>
      <c r="R741" s="210"/>
      <c r="S741" s="211" t="s">
        <v>949</v>
      </c>
      <c r="T741" s="212" t="s">
        <v>8</v>
      </c>
      <c r="U741" s="178"/>
      <c r="V741" s="210"/>
      <c r="W741" s="211" t="s">
        <v>949</v>
      </c>
      <c r="X741" s="213" t="s">
        <v>86</v>
      </c>
      <c r="Y741" s="178"/>
      <c r="Z741" s="210"/>
      <c r="AA741" s="211" t="s">
        <v>949</v>
      </c>
      <c r="AB741" s="212" t="s">
        <v>8</v>
      </c>
      <c r="AC741" s="178"/>
      <c r="AD741" s="210"/>
      <c r="AE741" s="211" t="s">
        <v>949</v>
      </c>
      <c r="AF741" s="212" t="s">
        <v>8</v>
      </c>
      <c r="AG741" s="178"/>
      <c r="AH741" s="210"/>
      <c r="AI741" s="211" t="s">
        <v>949</v>
      </c>
      <c r="AJ741" s="212" t="s">
        <v>8</v>
      </c>
      <c r="AK741" s="178"/>
      <c r="AL741" s="210"/>
      <c r="AM741" s="211" t="s">
        <v>949</v>
      </c>
      <c r="AN741" s="212" t="s">
        <v>8</v>
      </c>
      <c r="AO741" s="178"/>
      <c r="AP741" s="210"/>
      <c r="AQ741" s="211" t="s">
        <v>949</v>
      </c>
      <c r="AR741" s="212" t="s">
        <v>8</v>
      </c>
      <c r="AS741" s="178"/>
      <c r="AT741" s="210"/>
      <c r="AU741" s="211" t="s">
        <v>949</v>
      </c>
      <c r="AV741" s="212" t="s">
        <v>8</v>
      </c>
      <c r="AW741" s="178"/>
      <c r="AX741" s="210"/>
      <c r="AY741" s="211" t="s">
        <v>949</v>
      </c>
      <c r="AZ741" s="213" t="s">
        <v>86</v>
      </c>
      <c r="BA741" s="178"/>
      <c r="BB741" s="210"/>
      <c r="BC741" s="211" t="s">
        <v>949</v>
      </c>
      <c r="BD741" s="212" t="s">
        <v>8</v>
      </c>
      <c r="BE741" s="178"/>
      <c r="BF741" s="210"/>
      <c r="BG741" s="211" t="s">
        <v>949</v>
      </c>
      <c r="BH741" s="212" t="s">
        <v>8</v>
      </c>
      <c r="BI741" s="178"/>
      <c r="BJ741" s="210"/>
      <c r="BK741" s="211" t="s">
        <v>949</v>
      </c>
      <c r="BL741" s="212" t="s">
        <v>8</v>
      </c>
      <c r="BM741" s="178"/>
      <c r="BN741" s="210"/>
      <c r="BO741" s="211" t="s">
        <v>949</v>
      </c>
      <c r="BP741" s="212" t="s">
        <v>8</v>
      </c>
      <c r="BQ741" s="178"/>
      <c r="BR741" s="210"/>
      <c r="BS741" s="211" t="s">
        <v>949</v>
      </c>
      <c r="BT741" s="212" t="s">
        <v>8</v>
      </c>
      <c r="BU741" s="178"/>
    </row>
    <row r="742" s="105" customFormat="1" spans="1:73">
      <c r="A742" s="221"/>
      <c r="B742" s="205" t="s">
        <v>46</v>
      </c>
      <c r="C742" s="142"/>
      <c r="D742" s="207"/>
      <c r="E742" s="132"/>
      <c r="F742" s="138"/>
      <c r="G742" s="143" t="s">
        <v>950</v>
      </c>
      <c r="H742" s="167"/>
      <c r="I742" s="178"/>
      <c r="J742" s="210"/>
      <c r="K742" s="211" t="s">
        <v>950</v>
      </c>
      <c r="L742" s="212" t="s">
        <v>8</v>
      </c>
      <c r="M742" s="178"/>
      <c r="N742" s="210"/>
      <c r="O742" s="211" t="s">
        <v>950</v>
      </c>
      <c r="P742" s="212" t="s">
        <v>8</v>
      </c>
      <c r="Q742" s="178"/>
      <c r="R742" s="210"/>
      <c r="S742" s="211" t="s">
        <v>950</v>
      </c>
      <c r="T742" s="212" t="s">
        <v>8</v>
      </c>
      <c r="U742" s="178"/>
      <c r="V742" s="210"/>
      <c r="W742" s="211" t="s">
        <v>950</v>
      </c>
      <c r="X742" s="213" t="s">
        <v>46</v>
      </c>
      <c r="Y742" s="178"/>
      <c r="Z742" s="210"/>
      <c r="AA742" s="211" t="s">
        <v>950</v>
      </c>
      <c r="AB742" s="212" t="s">
        <v>8</v>
      </c>
      <c r="AC742" s="178"/>
      <c r="AD742" s="210"/>
      <c r="AE742" s="211" t="s">
        <v>950</v>
      </c>
      <c r="AF742" s="212" t="s">
        <v>8</v>
      </c>
      <c r="AG742" s="178"/>
      <c r="AH742" s="210"/>
      <c r="AI742" s="211" t="s">
        <v>950</v>
      </c>
      <c r="AJ742" s="212" t="s">
        <v>8</v>
      </c>
      <c r="AK742" s="178"/>
      <c r="AL742" s="210"/>
      <c r="AM742" s="211" t="s">
        <v>950</v>
      </c>
      <c r="AN742" s="212" t="s">
        <v>8</v>
      </c>
      <c r="AO742" s="178"/>
      <c r="AP742" s="210"/>
      <c r="AQ742" s="211" t="s">
        <v>950</v>
      </c>
      <c r="AR742" s="212" t="s">
        <v>8</v>
      </c>
      <c r="AS742" s="178"/>
      <c r="AT742" s="210"/>
      <c r="AU742" s="211" t="s">
        <v>950</v>
      </c>
      <c r="AV742" s="212" t="s">
        <v>8</v>
      </c>
      <c r="AW742" s="178"/>
      <c r="AX742" s="210"/>
      <c r="AY742" s="211" t="s">
        <v>950</v>
      </c>
      <c r="AZ742" s="213" t="s">
        <v>46</v>
      </c>
      <c r="BA742" s="178"/>
      <c r="BB742" s="210"/>
      <c r="BC742" s="211" t="s">
        <v>950</v>
      </c>
      <c r="BD742" s="212" t="s">
        <v>8</v>
      </c>
      <c r="BE742" s="178"/>
      <c r="BF742" s="210"/>
      <c r="BG742" s="211" t="s">
        <v>950</v>
      </c>
      <c r="BH742" s="212" t="s">
        <v>8</v>
      </c>
      <c r="BI742" s="178"/>
      <c r="BJ742" s="210"/>
      <c r="BK742" s="211" t="s">
        <v>950</v>
      </c>
      <c r="BL742" s="212" t="s">
        <v>8</v>
      </c>
      <c r="BM742" s="178"/>
      <c r="BN742" s="210"/>
      <c r="BO742" s="211" t="s">
        <v>950</v>
      </c>
      <c r="BP742" s="212" t="s">
        <v>8</v>
      </c>
      <c r="BQ742" s="178"/>
      <c r="BR742" s="210"/>
      <c r="BS742" s="211" t="s">
        <v>950</v>
      </c>
      <c r="BT742" s="212" t="s">
        <v>8</v>
      </c>
      <c r="BU742" s="178"/>
    </row>
    <row r="743" s="105" customFormat="1" spans="1:73">
      <c r="A743" s="221"/>
      <c r="B743" s="205" t="s">
        <v>120</v>
      </c>
      <c r="C743" s="142"/>
      <c r="D743" s="207"/>
      <c r="E743" s="132"/>
      <c r="F743" s="138"/>
      <c r="G743" s="143" t="s">
        <v>951</v>
      </c>
      <c r="H743" s="167"/>
      <c r="I743" s="178"/>
      <c r="J743" s="210"/>
      <c r="K743" s="211" t="s">
        <v>951</v>
      </c>
      <c r="L743" s="212" t="s">
        <v>8</v>
      </c>
      <c r="M743" s="178"/>
      <c r="N743" s="210"/>
      <c r="O743" s="211" t="s">
        <v>951</v>
      </c>
      <c r="P743" s="212" t="s">
        <v>8</v>
      </c>
      <c r="Q743" s="178"/>
      <c r="R743" s="210"/>
      <c r="S743" s="211" t="s">
        <v>951</v>
      </c>
      <c r="T743" s="212" t="s">
        <v>8</v>
      </c>
      <c r="U743" s="178"/>
      <c r="V743" s="210"/>
      <c r="W743" s="211" t="s">
        <v>951</v>
      </c>
      <c r="X743" s="213" t="s">
        <v>120</v>
      </c>
      <c r="Y743" s="178"/>
      <c r="Z743" s="210"/>
      <c r="AA743" s="211" t="s">
        <v>951</v>
      </c>
      <c r="AB743" s="212" t="s">
        <v>8</v>
      </c>
      <c r="AC743" s="178"/>
      <c r="AD743" s="210"/>
      <c r="AE743" s="211" t="s">
        <v>951</v>
      </c>
      <c r="AF743" s="212" t="s">
        <v>8</v>
      </c>
      <c r="AG743" s="178"/>
      <c r="AH743" s="210"/>
      <c r="AI743" s="211" t="s">
        <v>951</v>
      </c>
      <c r="AJ743" s="212" t="s">
        <v>8</v>
      </c>
      <c r="AK743" s="178"/>
      <c r="AL743" s="210"/>
      <c r="AM743" s="211" t="s">
        <v>951</v>
      </c>
      <c r="AN743" s="212" t="s">
        <v>8</v>
      </c>
      <c r="AO743" s="178"/>
      <c r="AP743" s="210"/>
      <c r="AQ743" s="211" t="s">
        <v>951</v>
      </c>
      <c r="AR743" s="212" t="s">
        <v>8</v>
      </c>
      <c r="AS743" s="178"/>
      <c r="AT743" s="210"/>
      <c r="AU743" s="211" t="s">
        <v>951</v>
      </c>
      <c r="AV743" s="212" t="s">
        <v>8</v>
      </c>
      <c r="AW743" s="178"/>
      <c r="AX743" s="210"/>
      <c r="AY743" s="211" t="s">
        <v>951</v>
      </c>
      <c r="AZ743" s="213" t="s">
        <v>120</v>
      </c>
      <c r="BA743" s="178"/>
      <c r="BB743" s="210"/>
      <c r="BC743" s="211" t="s">
        <v>951</v>
      </c>
      <c r="BD743" s="212" t="s">
        <v>8</v>
      </c>
      <c r="BE743" s="178"/>
      <c r="BF743" s="210"/>
      <c r="BG743" s="211" t="s">
        <v>951</v>
      </c>
      <c r="BH743" s="212" t="s">
        <v>8</v>
      </c>
      <c r="BI743" s="178"/>
      <c r="BJ743" s="210"/>
      <c r="BK743" s="211" t="s">
        <v>951</v>
      </c>
      <c r="BL743" s="212" t="s">
        <v>8</v>
      </c>
      <c r="BM743" s="178"/>
      <c r="BN743" s="210"/>
      <c r="BO743" s="211" t="s">
        <v>951</v>
      </c>
      <c r="BP743" s="212" t="s">
        <v>8</v>
      </c>
      <c r="BQ743" s="178"/>
      <c r="BR743" s="210"/>
      <c r="BS743" s="211" t="s">
        <v>951</v>
      </c>
      <c r="BT743" s="212" t="s">
        <v>8</v>
      </c>
      <c r="BU743" s="178"/>
    </row>
    <row r="744" s="105" customFormat="1" spans="1:73">
      <c r="A744" s="221"/>
      <c r="B744" s="205" t="s">
        <v>46</v>
      </c>
      <c r="C744" s="142"/>
      <c r="D744" s="207"/>
      <c r="E744" s="132"/>
      <c r="F744" s="138"/>
      <c r="G744" s="143" t="s">
        <v>952</v>
      </c>
      <c r="H744" s="167"/>
      <c r="I744" s="178"/>
      <c r="J744" s="210"/>
      <c r="K744" s="211" t="s">
        <v>952</v>
      </c>
      <c r="L744" s="212" t="s">
        <v>8</v>
      </c>
      <c r="M744" s="178"/>
      <c r="N744" s="210"/>
      <c r="O744" s="211" t="s">
        <v>952</v>
      </c>
      <c r="P744" s="212" t="s">
        <v>8</v>
      </c>
      <c r="Q744" s="178"/>
      <c r="R744" s="210"/>
      <c r="S744" s="211" t="s">
        <v>952</v>
      </c>
      <c r="T744" s="212" t="s">
        <v>8</v>
      </c>
      <c r="U744" s="178"/>
      <c r="V744" s="210"/>
      <c r="W744" s="211" t="s">
        <v>952</v>
      </c>
      <c r="X744" s="213" t="s">
        <v>46</v>
      </c>
      <c r="Y744" s="178"/>
      <c r="Z744" s="210"/>
      <c r="AA744" s="211" t="s">
        <v>952</v>
      </c>
      <c r="AB744" s="212" t="s">
        <v>8</v>
      </c>
      <c r="AC744" s="178"/>
      <c r="AD744" s="210"/>
      <c r="AE744" s="211" t="s">
        <v>952</v>
      </c>
      <c r="AF744" s="212" t="s">
        <v>8</v>
      </c>
      <c r="AG744" s="178"/>
      <c r="AH744" s="210"/>
      <c r="AI744" s="211" t="s">
        <v>952</v>
      </c>
      <c r="AJ744" s="212" t="s">
        <v>8</v>
      </c>
      <c r="AK744" s="178"/>
      <c r="AL744" s="210"/>
      <c r="AM744" s="211" t="s">
        <v>952</v>
      </c>
      <c r="AN744" s="212" t="s">
        <v>8</v>
      </c>
      <c r="AO744" s="178"/>
      <c r="AP744" s="210"/>
      <c r="AQ744" s="211" t="s">
        <v>952</v>
      </c>
      <c r="AR744" s="212" t="s">
        <v>8</v>
      </c>
      <c r="AS744" s="178"/>
      <c r="AT744" s="210"/>
      <c r="AU744" s="211" t="s">
        <v>952</v>
      </c>
      <c r="AV744" s="212" t="s">
        <v>8</v>
      </c>
      <c r="AW744" s="178"/>
      <c r="AX744" s="210"/>
      <c r="AY744" s="211" t="s">
        <v>952</v>
      </c>
      <c r="AZ744" s="213" t="s">
        <v>46</v>
      </c>
      <c r="BA744" s="178"/>
      <c r="BB744" s="210"/>
      <c r="BC744" s="211" t="s">
        <v>952</v>
      </c>
      <c r="BD744" s="212" t="s">
        <v>8</v>
      </c>
      <c r="BE744" s="178"/>
      <c r="BF744" s="210"/>
      <c r="BG744" s="211" t="s">
        <v>952</v>
      </c>
      <c r="BH744" s="212" t="s">
        <v>8</v>
      </c>
      <c r="BI744" s="178"/>
      <c r="BJ744" s="210"/>
      <c r="BK744" s="211" t="s">
        <v>952</v>
      </c>
      <c r="BL744" s="212" t="s">
        <v>8</v>
      </c>
      <c r="BM744" s="178"/>
      <c r="BN744" s="210"/>
      <c r="BO744" s="211" t="s">
        <v>952</v>
      </c>
      <c r="BP744" s="212" t="s">
        <v>8</v>
      </c>
      <c r="BQ744" s="178"/>
      <c r="BR744" s="210"/>
      <c r="BS744" s="211" t="s">
        <v>952</v>
      </c>
      <c r="BT744" s="212" t="s">
        <v>8</v>
      </c>
      <c r="BU744" s="178"/>
    </row>
    <row r="745" s="105" customFormat="1" spans="1:73">
      <c r="A745" s="221"/>
      <c r="B745" s="205" t="s">
        <v>926</v>
      </c>
      <c r="C745" s="142"/>
      <c r="D745" s="207"/>
      <c r="E745" s="132"/>
      <c r="F745" s="138"/>
      <c r="G745" s="143" t="s">
        <v>953</v>
      </c>
      <c r="H745" s="167"/>
      <c r="I745" s="178"/>
      <c r="J745" s="210"/>
      <c r="K745" s="211" t="s">
        <v>953</v>
      </c>
      <c r="L745" s="212" t="s">
        <v>8</v>
      </c>
      <c r="M745" s="178"/>
      <c r="N745" s="210"/>
      <c r="O745" s="211" t="s">
        <v>953</v>
      </c>
      <c r="P745" s="212" t="s">
        <v>8</v>
      </c>
      <c r="Q745" s="178"/>
      <c r="R745" s="210"/>
      <c r="S745" s="211" t="s">
        <v>953</v>
      </c>
      <c r="T745" s="212" t="s">
        <v>8</v>
      </c>
      <c r="U745" s="178"/>
      <c r="V745" s="210"/>
      <c r="W745" s="211" t="s">
        <v>953</v>
      </c>
      <c r="X745" s="213" t="s">
        <v>926</v>
      </c>
      <c r="Y745" s="178"/>
      <c r="Z745" s="210"/>
      <c r="AA745" s="211" t="s">
        <v>953</v>
      </c>
      <c r="AB745" s="212" t="s">
        <v>8</v>
      </c>
      <c r="AC745" s="178"/>
      <c r="AD745" s="210"/>
      <c r="AE745" s="211" t="s">
        <v>953</v>
      </c>
      <c r="AF745" s="212" t="s">
        <v>8</v>
      </c>
      <c r="AG745" s="178"/>
      <c r="AH745" s="210"/>
      <c r="AI745" s="211" t="s">
        <v>953</v>
      </c>
      <c r="AJ745" s="212" t="s">
        <v>8</v>
      </c>
      <c r="AK745" s="178"/>
      <c r="AL745" s="210"/>
      <c r="AM745" s="211" t="s">
        <v>953</v>
      </c>
      <c r="AN745" s="212" t="s">
        <v>8</v>
      </c>
      <c r="AO745" s="178"/>
      <c r="AP745" s="210"/>
      <c r="AQ745" s="211" t="s">
        <v>953</v>
      </c>
      <c r="AR745" s="212" t="s">
        <v>8</v>
      </c>
      <c r="AS745" s="178"/>
      <c r="AT745" s="210"/>
      <c r="AU745" s="211" t="s">
        <v>953</v>
      </c>
      <c r="AV745" s="212" t="s">
        <v>8</v>
      </c>
      <c r="AW745" s="178"/>
      <c r="AX745" s="210"/>
      <c r="AY745" s="211" t="s">
        <v>953</v>
      </c>
      <c r="AZ745" s="213" t="s">
        <v>926</v>
      </c>
      <c r="BA745" s="178"/>
      <c r="BB745" s="210"/>
      <c r="BC745" s="211" t="s">
        <v>953</v>
      </c>
      <c r="BD745" s="212" t="s">
        <v>8</v>
      </c>
      <c r="BE745" s="178"/>
      <c r="BF745" s="210"/>
      <c r="BG745" s="211" t="s">
        <v>953</v>
      </c>
      <c r="BH745" s="212" t="s">
        <v>8</v>
      </c>
      <c r="BI745" s="178"/>
      <c r="BJ745" s="210"/>
      <c r="BK745" s="211" t="s">
        <v>953</v>
      </c>
      <c r="BL745" s="212" t="s">
        <v>8</v>
      </c>
      <c r="BM745" s="178"/>
      <c r="BN745" s="210"/>
      <c r="BO745" s="211" t="s">
        <v>953</v>
      </c>
      <c r="BP745" s="212" t="s">
        <v>8</v>
      </c>
      <c r="BQ745" s="178"/>
      <c r="BR745" s="210"/>
      <c r="BS745" s="211" t="s">
        <v>953</v>
      </c>
      <c r="BT745" s="212" t="s">
        <v>8</v>
      </c>
      <c r="BU745" s="178"/>
    </row>
    <row r="746" s="105" customFormat="1" spans="1:73">
      <c r="A746" s="221"/>
      <c r="B746" s="205" t="s">
        <v>46</v>
      </c>
      <c r="C746" s="142"/>
      <c r="D746" s="207"/>
      <c r="E746" s="132"/>
      <c r="F746" s="138"/>
      <c r="G746" s="143" t="s">
        <v>954</v>
      </c>
      <c r="H746" s="167"/>
      <c r="I746" s="178"/>
      <c r="J746" s="210"/>
      <c r="K746" s="211" t="s">
        <v>954</v>
      </c>
      <c r="L746" s="212" t="s">
        <v>8</v>
      </c>
      <c r="M746" s="178"/>
      <c r="N746" s="210"/>
      <c r="O746" s="211" t="s">
        <v>954</v>
      </c>
      <c r="P746" s="212" t="s">
        <v>8</v>
      </c>
      <c r="Q746" s="178"/>
      <c r="R746" s="210"/>
      <c r="S746" s="211" t="s">
        <v>954</v>
      </c>
      <c r="T746" s="212" t="s">
        <v>8</v>
      </c>
      <c r="U746" s="178"/>
      <c r="V746" s="210"/>
      <c r="W746" s="211" t="s">
        <v>954</v>
      </c>
      <c r="X746" s="213" t="s">
        <v>46</v>
      </c>
      <c r="Y746" s="178"/>
      <c r="Z746" s="210"/>
      <c r="AA746" s="211" t="s">
        <v>954</v>
      </c>
      <c r="AB746" s="212" t="s">
        <v>8</v>
      </c>
      <c r="AC746" s="178"/>
      <c r="AD746" s="210"/>
      <c r="AE746" s="211" t="s">
        <v>954</v>
      </c>
      <c r="AF746" s="212" t="s">
        <v>8</v>
      </c>
      <c r="AG746" s="178"/>
      <c r="AH746" s="210"/>
      <c r="AI746" s="211" t="s">
        <v>954</v>
      </c>
      <c r="AJ746" s="212" t="s">
        <v>8</v>
      </c>
      <c r="AK746" s="178"/>
      <c r="AL746" s="210"/>
      <c r="AM746" s="211" t="s">
        <v>954</v>
      </c>
      <c r="AN746" s="212" t="s">
        <v>8</v>
      </c>
      <c r="AO746" s="178"/>
      <c r="AP746" s="210"/>
      <c r="AQ746" s="211" t="s">
        <v>954</v>
      </c>
      <c r="AR746" s="212" t="s">
        <v>8</v>
      </c>
      <c r="AS746" s="178"/>
      <c r="AT746" s="210"/>
      <c r="AU746" s="211" t="s">
        <v>954</v>
      </c>
      <c r="AV746" s="212" t="s">
        <v>8</v>
      </c>
      <c r="AW746" s="178"/>
      <c r="AX746" s="210"/>
      <c r="AY746" s="211" t="s">
        <v>954</v>
      </c>
      <c r="AZ746" s="213" t="s">
        <v>46</v>
      </c>
      <c r="BA746" s="178"/>
      <c r="BB746" s="210"/>
      <c r="BC746" s="211" t="s">
        <v>954</v>
      </c>
      <c r="BD746" s="212" t="s">
        <v>8</v>
      </c>
      <c r="BE746" s="178"/>
      <c r="BF746" s="210"/>
      <c r="BG746" s="211" t="s">
        <v>954</v>
      </c>
      <c r="BH746" s="212" t="s">
        <v>8</v>
      </c>
      <c r="BI746" s="178"/>
      <c r="BJ746" s="210"/>
      <c r="BK746" s="211" t="s">
        <v>954</v>
      </c>
      <c r="BL746" s="212" t="s">
        <v>8</v>
      </c>
      <c r="BM746" s="178"/>
      <c r="BN746" s="210"/>
      <c r="BO746" s="211" t="s">
        <v>954</v>
      </c>
      <c r="BP746" s="212" t="s">
        <v>8</v>
      </c>
      <c r="BQ746" s="178"/>
      <c r="BR746" s="210"/>
      <c r="BS746" s="211" t="s">
        <v>954</v>
      </c>
      <c r="BT746" s="212" t="s">
        <v>8</v>
      </c>
      <c r="BU746" s="178"/>
    </row>
    <row r="747" s="105" customFormat="1" spans="1:73">
      <c r="A747" s="221"/>
      <c r="B747" s="205" t="s">
        <v>86</v>
      </c>
      <c r="C747" s="142"/>
      <c r="D747" s="207"/>
      <c r="E747" s="132"/>
      <c r="F747" s="138"/>
      <c r="G747" s="143" t="s">
        <v>955</v>
      </c>
      <c r="H747" s="167"/>
      <c r="I747" s="178"/>
      <c r="J747" s="210"/>
      <c r="K747" s="211" t="s">
        <v>955</v>
      </c>
      <c r="L747" s="212" t="s">
        <v>8</v>
      </c>
      <c r="M747" s="178"/>
      <c r="N747" s="210"/>
      <c r="O747" s="211" t="s">
        <v>955</v>
      </c>
      <c r="P747" s="212" t="s">
        <v>8</v>
      </c>
      <c r="Q747" s="178"/>
      <c r="R747" s="210"/>
      <c r="S747" s="211" t="s">
        <v>955</v>
      </c>
      <c r="T747" s="212" t="s">
        <v>8</v>
      </c>
      <c r="U747" s="178"/>
      <c r="V747" s="210"/>
      <c r="W747" s="211" t="s">
        <v>955</v>
      </c>
      <c r="X747" s="213" t="s">
        <v>86</v>
      </c>
      <c r="Y747" s="178"/>
      <c r="Z747" s="210"/>
      <c r="AA747" s="211" t="s">
        <v>955</v>
      </c>
      <c r="AB747" s="212" t="s">
        <v>8</v>
      </c>
      <c r="AC747" s="178"/>
      <c r="AD747" s="210"/>
      <c r="AE747" s="211" t="s">
        <v>955</v>
      </c>
      <c r="AF747" s="212" t="s">
        <v>8</v>
      </c>
      <c r="AG747" s="178"/>
      <c r="AH747" s="210"/>
      <c r="AI747" s="211" t="s">
        <v>955</v>
      </c>
      <c r="AJ747" s="212" t="s">
        <v>8</v>
      </c>
      <c r="AK747" s="178"/>
      <c r="AL747" s="210"/>
      <c r="AM747" s="211" t="s">
        <v>955</v>
      </c>
      <c r="AN747" s="212" t="s">
        <v>8</v>
      </c>
      <c r="AO747" s="178"/>
      <c r="AP747" s="210"/>
      <c r="AQ747" s="211" t="s">
        <v>955</v>
      </c>
      <c r="AR747" s="212" t="s">
        <v>8</v>
      </c>
      <c r="AS747" s="178"/>
      <c r="AT747" s="210"/>
      <c r="AU747" s="211" t="s">
        <v>955</v>
      </c>
      <c r="AV747" s="212" t="s">
        <v>8</v>
      </c>
      <c r="AW747" s="178"/>
      <c r="AX747" s="210"/>
      <c r="AY747" s="211" t="s">
        <v>955</v>
      </c>
      <c r="AZ747" s="213" t="s">
        <v>86</v>
      </c>
      <c r="BA747" s="178"/>
      <c r="BB747" s="210"/>
      <c r="BC747" s="211" t="s">
        <v>955</v>
      </c>
      <c r="BD747" s="212" t="s">
        <v>8</v>
      </c>
      <c r="BE747" s="178"/>
      <c r="BF747" s="210"/>
      <c r="BG747" s="211" t="s">
        <v>955</v>
      </c>
      <c r="BH747" s="212" t="s">
        <v>8</v>
      </c>
      <c r="BI747" s="178"/>
      <c r="BJ747" s="210"/>
      <c r="BK747" s="211" t="s">
        <v>955</v>
      </c>
      <c r="BL747" s="212" t="s">
        <v>8</v>
      </c>
      <c r="BM747" s="178"/>
      <c r="BN747" s="210"/>
      <c r="BO747" s="211" t="s">
        <v>955</v>
      </c>
      <c r="BP747" s="212" t="s">
        <v>8</v>
      </c>
      <c r="BQ747" s="178"/>
      <c r="BR747" s="210"/>
      <c r="BS747" s="211" t="s">
        <v>955</v>
      </c>
      <c r="BT747" s="212" t="s">
        <v>8</v>
      </c>
      <c r="BU747" s="178"/>
    </row>
    <row r="748" s="105" customFormat="1" spans="1:73">
      <c r="A748" s="221"/>
      <c r="B748" s="205" t="s">
        <v>46</v>
      </c>
      <c r="C748" s="142"/>
      <c r="D748" s="207"/>
      <c r="E748" s="132"/>
      <c r="F748" s="138"/>
      <c r="G748" s="143" t="s">
        <v>956</v>
      </c>
      <c r="H748" s="167"/>
      <c r="I748" s="178"/>
      <c r="J748" s="210"/>
      <c r="K748" s="211" t="s">
        <v>956</v>
      </c>
      <c r="L748" s="212" t="s">
        <v>8</v>
      </c>
      <c r="M748" s="178"/>
      <c r="N748" s="210"/>
      <c r="O748" s="211" t="s">
        <v>956</v>
      </c>
      <c r="P748" s="212" t="s">
        <v>8</v>
      </c>
      <c r="Q748" s="178"/>
      <c r="R748" s="210"/>
      <c r="S748" s="211" t="s">
        <v>956</v>
      </c>
      <c r="T748" s="212" t="s">
        <v>8</v>
      </c>
      <c r="U748" s="178"/>
      <c r="V748" s="210"/>
      <c r="W748" s="211" t="s">
        <v>956</v>
      </c>
      <c r="X748" s="213" t="s">
        <v>46</v>
      </c>
      <c r="Y748" s="178"/>
      <c r="Z748" s="210"/>
      <c r="AA748" s="211" t="s">
        <v>956</v>
      </c>
      <c r="AB748" s="212" t="s">
        <v>8</v>
      </c>
      <c r="AC748" s="178"/>
      <c r="AD748" s="210"/>
      <c r="AE748" s="211" t="s">
        <v>956</v>
      </c>
      <c r="AF748" s="212" t="s">
        <v>8</v>
      </c>
      <c r="AG748" s="178"/>
      <c r="AH748" s="210"/>
      <c r="AI748" s="211" t="s">
        <v>956</v>
      </c>
      <c r="AJ748" s="212" t="s">
        <v>8</v>
      </c>
      <c r="AK748" s="178"/>
      <c r="AL748" s="210"/>
      <c r="AM748" s="211" t="s">
        <v>956</v>
      </c>
      <c r="AN748" s="212" t="s">
        <v>8</v>
      </c>
      <c r="AO748" s="178"/>
      <c r="AP748" s="210"/>
      <c r="AQ748" s="211" t="s">
        <v>956</v>
      </c>
      <c r="AR748" s="212" t="s">
        <v>8</v>
      </c>
      <c r="AS748" s="178"/>
      <c r="AT748" s="210"/>
      <c r="AU748" s="211" t="s">
        <v>956</v>
      </c>
      <c r="AV748" s="212" t="s">
        <v>8</v>
      </c>
      <c r="AW748" s="178"/>
      <c r="AX748" s="210"/>
      <c r="AY748" s="211" t="s">
        <v>956</v>
      </c>
      <c r="AZ748" s="213" t="s">
        <v>46</v>
      </c>
      <c r="BA748" s="178"/>
      <c r="BB748" s="210"/>
      <c r="BC748" s="211" t="s">
        <v>956</v>
      </c>
      <c r="BD748" s="212" t="s">
        <v>8</v>
      </c>
      <c r="BE748" s="178"/>
      <c r="BF748" s="210"/>
      <c r="BG748" s="211" t="s">
        <v>956</v>
      </c>
      <c r="BH748" s="212" t="s">
        <v>8</v>
      </c>
      <c r="BI748" s="178"/>
      <c r="BJ748" s="210"/>
      <c r="BK748" s="211" t="s">
        <v>956</v>
      </c>
      <c r="BL748" s="212" t="s">
        <v>8</v>
      </c>
      <c r="BM748" s="178"/>
      <c r="BN748" s="210"/>
      <c r="BO748" s="211" t="s">
        <v>956</v>
      </c>
      <c r="BP748" s="212" t="s">
        <v>8</v>
      </c>
      <c r="BQ748" s="178"/>
      <c r="BR748" s="210"/>
      <c r="BS748" s="211" t="s">
        <v>956</v>
      </c>
      <c r="BT748" s="212" t="s">
        <v>8</v>
      </c>
      <c r="BU748" s="178"/>
    </row>
    <row r="749" s="105" customFormat="1" spans="1:73">
      <c r="A749" s="221"/>
      <c r="B749" s="205" t="s">
        <v>155</v>
      </c>
      <c r="C749" s="142"/>
      <c r="D749" s="207"/>
      <c r="E749" s="132"/>
      <c r="F749" s="138"/>
      <c r="G749" s="143" t="s">
        <v>957</v>
      </c>
      <c r="H749" s="167"/>
      <c r="I749" s="178"/>
      <c r="J749" s="210"/>
      <c r="K749" s="211" t="s">
        <v>957</v>
      </c>
      <c r="L749" s="212" t="s">
        <v>8</v>
      </c>
      <c r="M749" s="178"/>
      <c r="N749" s="210"/>
      <c r="O749" s="211" t="s">
        <v>957</v>
      </c>
      <c r="P749" s="212" t="s">
        <v>8</v>
      </c>
      <c r="Q749" s="178"/>
      <c r="R749" s="210"/>
      <c r="S749" s="211" t="s">
        <v>957</v>
      </c>
      <c r="T749" s="212" t="s">
        <v>8</v>
      </c>
      <c r="U749" s="178"/>
      <c r="V749" s="210"/>
      <c r="W749" s="211" t="s">
        <v>957</v>
      </c>
      <c r="X749" s="213" t="s">
        <v>155</v>
      </c>
      <c r="Y749" s="178"/>
      <c r="Z749" s="210"/>
      <c r="AA749" s="211" t="s">
        <v>957</v>
      </c>
      <c r="AB749" s="212" t="s">
        <v>8</v>
      </c>
      <c r="AC749" s="178"/>
      <c r="AD749" s="210"/>
      <c r="AE749" s="211" t="s">
        <v>957</v>
      </c>
      <c r="AF749" s="212" t="s">
        <v>8</v>
      </c>
      <c r="AG749" s="178"/>
      <c r="AH749" s="210"/>
      <c r="AI749" s="211" t="s">
        <v>957</v>
      </c>
      <c r="AJ749" s="212" t="s">
        <v>8</v>
      </c>
      <c r="AK749" s="178"/>
      <c r="AL749" s="210"/>
      <c r="AM749" s="211" t="s">
        <v>957</v>
      </c>
      <c r="AN749" s="212" t="s">
        <v>8</v>
      </c>
      <c r="AO749" s="178"/>
      <c r="AP749" s="210"/>
      <c r="AQ749" s="211" t="s">
        <v>957</v>
      </c>
      <c r="AR749" s="212" t="s">
        <v>8</v>
      </c>
      <c r="AS749" s="178"/>
      <c r="AT749" s="210"/>
      <c r="AU749" s="211" t="s">
        <v>957</v>
      </c>
      <c r="AV749" s="212" t="s">
        <v>8</v>
      </c>
      <c r="AW749" s="178"/>
      <c r="AX749" s="210"/>
      <c r="AY749" s="211" t="s">
        <v>957</v>
      </c>
      <c r="AZ749" s="213" t="s">
        <v>155</v>
      </c>
      <c r="BA749" s="178"/>
      <c r="BB749" s="210"/>
      <c r="BC749" s="211" t="s">
        <v>957</v>
      </c>
      <c r="BD749" s="212" t="s">
        <v>8</v>
      </c>
      <c r="BE749" s="178"/>
      <c r="BF749" s="210"/>
      <c r="BG749" s="211" t="s">
        <v>957</v>
      </c>
      <c r="BH749" s="212" t="s">
        <v>8</v>
      </c>
      <c r="BI749" s="178"/>
      <c r="BJ749" s="210"/>
      <c r="BK749" s="211" t="s">
        <v>957</v>
      </c>
      <c r="BL749" s="212" t="s">
        <v>8</v>
      </c>
      <c r="BM749" s="178"/>
      <c r="BN749" s="210"/>
      <c r="BO749" s="211" t="s">
        <v>957</v>
      </c>
      <c r="BP749" s="212" t="s">
        <v>8</v>
      </c>
      <c r="BQ749" s="178"/>
      <c r="BR749" s="210"/>
      <c r="BS749" s="211" t="s">
        <v>957</v>
      </c>
      <c r="BT749" s="212" t="s">
        <v>8</v>
      </c>
      <c r="BU749" s="178"/>
    </row>
    <row r="750" s="105" customFormat="1" spans="1:73">
      <c r="A750" s="221"/>
      <c r="B750" s="205" t="s">
        <v>147</v>
      </c>
      <c r="C750" s="142"/>
      <c r="D750" s="207"/>
      <c r="E750" s="132"/>
      <c r="F750" s="138"/>
      <c r="G750" s="143" t="s">
        <v>958</v>
      </c>
      <c r="H750" s="167"/>
      <c r="I750" s="178"/>
      <c r="J750" s="210"/>
      <c r="K750" s="211" t="s">
        <v>958</v>
      </c>
      <c r="L750" s="212" t="s">
        <v>8</v>
      </c>
      <c r="M750" s="178"/>
      <c r="N750" s="210"/>
      <c r="O750" s="211" t="s">
        <v>958</v>
      </c>
      <c r="P750" s="212" t="s">
        <v>8</v>
      </c>
      <c r="Q750" s="178"/>
      <c r="R750" s="210"/>
      <c r="S750" s="211" t="s">
        <v>958</v>
      </c>
      <c r="T750" s="212" t="s">
        <v>8</v>
      </c>
      <c r="U750" s="178"/>
      <c r="V750" s="210"/>
      <c r="W750" s="211" t="s">
        <v>958</v>
      </c>
      <c r="X750" s="213" t="s">
        <v>147</v>
      </c>
      <c r="Y750" s="178"/>
      <c r="Z750" s="210"/>
      <c r="AA750" s="211" t="s">
        <v>958</v>
      </c>
      <c r="AB750" s="212" t="s">
        <v>8</v>
      </c>
      <c r="AC750" s="178"/>
      <c r="AD750" s="210"/>
      <c r="AE750" s="211" t="s">
        <v>958</v>
      </c>
      <c r="AF750" s="212" t="s">
        <v>8</v>
      </c>
      <c r="AG750" s="178"/>
      <c r="AH750" s="210"/>
      <c r="AI750" s="211" t="s">
        <v>958</v>
      </c>
      <c r="AJ750" s="212" t="s">
        <v>8</v>
      </c>
      <c r="AK750" s="178"/>
      <c r="AL750" s="210"/>
      <c r="AM750" s="211" t="s">
        <v>958</v>
      </c>
      <c r="AN750" s="212" t="s">
        <v>8</v>
      </c>
      <c r="AO750" s="178"/>
      <c r="AP750" s="210"/>
      <c r="AQ750" s="211" t="s">
        <v>958</v>
      </c>
      <c r="AR750" s="212" t="s">
        <v>8</v>
      </c>
      <c r="AS750" s="178"/>
      <c r="AT750" s="210"/>
      <c r="AU750" s="211" t="s">
        <v>958</v>
      </c>
      <c r="AV750" s="212" t="s">
        <v>8</v>
      </c>
      <c r="AW750" s="178"/>
      <c r="AX750" s="210"/>
      <c r="AY750" s="211" t="s">
        <v>958</v>
      </c>
      <c r="AZ750" s="213" t="s">
        <v>147</v>
      </c>
      <c r="BA750" s="178"/>
      <c r="BB750" s="210"/>
      <c r="BC750" s="211" t="s">
        <v>958</v>
      </c>
      <c r="BD750" s="212" t="s">
        <v>8</v>
      </c>
      <c r="BE750" s="178"/>
      <c r="BF750" s="210"/>
      <c r="BG750" s="211" t="s">
        <v>958</v>
      </c>
      <c r="BH750" s="212" t="s">
        <v>8</v>
      </c>
      <c r="BI750" s="178"/>
      <c r="BJ750" s="210"/>
      <c r="BK750" s="211" t="s">
        <v>958</v>
      </c>
      <c r="BL750" s="212" t="s">
        <v>8</v>
      </c>
      <c r="BM750" s="178"/>
      <c r="BN750" s="210"/>
      <c r="BO750" s="211" t="s">
        <v>958</v>
      </c>
      <c r="BP750" s="212" t="s">
        <v>8</v>
      </c>
      <c r="BQ750" s="178"/>
      <c r="BR750" s="210"/>
      <c r="BS750" s="211" t="s">
        <v>958</v>
      </c>
      <c r="BT750" s="212" t="s">
        <v>8</v>
      </c>
      <c r="BU750" s="178"/>
    </row>
    <row r="751" s="105" customFormat="1" spans="1:73">
      <c r="A751" s="221"/>
      <c r="B751" s="205" t="s">
        <v>286</v>
      </c>
      <c r="C751" s="142"/>
      <c r="D751" s="207"/>
      <c r="E751" s="132"/>
      <c r="F751" s="138"/>
      <c r="G751" s="143" t="s">
        <v>959</v>
      </c>
      <c r="H751" s="167"/>
      <c r="I751" s="178"/>
      <c r="J751" s="210"/>
      <c r="K751" s="211" t="s">
        <v>959</v>
      </c>
      <c r="L751" s="212" t="s">
        <v>8</v>
      </c>
      <c r="M751" s="178"/>
      <c r="N751" s="210"/>
      <c r="O751" s="211" t="s">
        <v>959</v>
      </c>
      <c r="P751" s="212" t="s">
        <v>8</v>
      </c>
      <c r="Q751" s="178"/>
      <c r="R751" s="210"/>
      <c r="S751" s="211" t="s">
        <v>959</v>
      </c>
      <c r="T751" s="212" t="s">
        <v>8</v>
      </c>
      <c r="U751" s="178"/>
      <c r="V751" s="210"/>
      <c r="W751" s="211" t="s">
        <v>959</v>
      </c>
      <c r="X751" s="213" t="s">
        <v>286</v>
      </c>
      <c r="Y751" s="178"/>
      <c r="Z751" s="210"/>
      <c r="AA751" s="211" t="s">
        <v>959</v>
      </c>
      <c r="AB751" s="212" t="s">
        <v>8</v>
      </c>
      <c r="AC751" s="178"/>
      <c r="AD751" s="210"/>
      <c r="AE751" s="211" t="s">
        <v>959</v>
      </c>
      <c r="AF751" s="212" t="s">
        <v>8</v>
      </c>
      <c r="AG751" s="178"/>
      <c r="AH751" s="210"/>
      <c r="AI751" s="211" t="s">
        <v>959</v>
      </c>
      <c r="AJ751" s="212" t="s">
        <v>8</v>
      </c>
      <c r="AK751" s="178"/>
      <c r="AL751" s="210"/>
      <c r="AM751" s="211" t="s">
        <v>959</v>
      </c>
      <c r="AN751" s="212" t="s">
        <v>8</v>
      </c>
      <c r="AO751" s="178"/>
      <c r="AP751" s="210"/>
      <c r="AQ751" s="211" t="s">
        <v>959</v>
      </c>
      <c r="AR751" s="212" t="s">
        <v>8</v>
      </c>
      <c r="AS751" s="178"/>
      <c r="AT751" s="210"/>
      <c r="AU751" s="211" t="s">
        <v>959</v>
      </c>
      <c r="AV751" s="212" t="s">
        <v>8</v>
      </c>
      <c r="AW751" s="178"/>
      <c r="AX751" s="210"/>
      <c r="AY751" s="211" t="s">
        <v>959</v>
      </c>
      <c r="AZ751" s="213" t="s">
        <v>286</v>
      </c>
      <c r="BA751" s="178"/>
      <c r="BB751" s="210"/>
      <c r="BC751" s="211" t="s">
        <v>959</v>
      </c>
      <c r="BD751" s="212" t="s">
        <v>8</v>
      </c>
      <c r="BE751" s="178"/>
      <c r="BF751" s="210"/>
      <c r="BG751" s="211" t="s">
        <v>959</v>
      </c>
      <c r="BH751" s="212" t="s">
        <v>8</v>
      </c>
      <c r="BI751" s="178"/>
      <c r="BJ751" s="210"/>
      <c r="BK751" s="211" t="s">
        <v>959</v>
      </c>
      <c r="BL751" s="212" t="s">
        <v>8</v>
      </c>
      <c r="BM751" s="178"/>
      <c r="BN751" s="210"/>
      <c r="BO751" s="211" t="s">
        <v>959</v>
      </c>
      <c r="BP751" s="212" t="s">
        <v>8</v>
      </c>
      <c r="BQ751" s="178"/>
      <c r="BR751" s="210"/>
      <c r="BS751" s="211" t="s">
        <v>959</v>
      </c>
      <c r="BT751" s="212" t="s">
        <v>8</v>
      </c>
      <c r="BU751" s="178"/>
    </row>
    <row r="752" s="105" customFormat="1" spans="1:73">
      <c r="A752" s="221"/>
      <c r="B752" s="205" t="s">
        <v>668</v>
      </c>
      <c r="C752" s="142"/>
      <c r="D752" s="207"/>
      <c r="E752" s="132"/>
      <c r="F752" s="138"/>
      <c r="G752" s="143" t="s">
        <v>960</v>
      </c>
      <c r="H752" s="167"/>
      <c r="I752" s="178"/>
      <c r="J752" s="210"/>
      <c r="K752" s="211" t="s">
        <v>960</v>
      </c>
      <c r="L752" s="212" t="s">
        <v>8</v>
      </c>
      <c r="M752" s="178"/>
      <c r="N752" s="210"/>
      <c r="O752" s="211" t="s">
        <v>960</v>
      </c>
      <c r="P752" s="212" t="s">
        <v>8</v>
      </c>
      <c r="Q752" s="178"/>
      <c r="R752" s="210"/>
      <c r="S752" s="211" t="s">
        <v>960</v>
      </c>
      <c r="T752" s="212" t="s">
        <v>8</v>
      </c>
      <c r="U752" s="178"/>
      <c r="V752" s="210"/>
      <c r="W752" s="211" t="s">
        <v>960</v>
      </c>
      <c r="X752" s="213" t="s">
        <v>668</v>
      </c>
      <c r="Y752" s="178"/>
      <c r="Z752" s="210"/>
      <c r="AA752" s="211" t="s">
        <v>960</v>
      </c>
      <c r="AB752" s="212" t="s">
        <v>8</v>
      </c>
      <c r="AC752" s="178"/>
      <c r="AD752" s="210"/>
      <c r="AE752" s="211" t="s">
        <v>960</v>
      </c>
      <c r="AF752" s="212" t="s">
        <v>8</v>
      </c>
      <c r="AG752" s="178"/>
      <c r="AH752" s="210"/>
      <c r="AI752" s="211" t="s">
        <v>960</v>
      </c>
      <c r="AJ752" s="212" t="s">
        <v>8</v>
      </c>
      <c r="AK752" s="178"/>
      <c r="AL752" s="210"/>
      <c r="AM752" s="211" t="s">
        <v>960</v>
      </c>
      <c r="AN752" s="212" t="s">
        <v>8</v>
      </c>
      <c r="AO752" s="178"/>
      <c r="AP752" s="210"/>
      <c r="AQ752" s="211" t="s">
        <v>960</v>
      </c>
      <c r="AR752" s="212" t="s">
        <v>8</v>
      </c>
      <c r="AS752" s="178"/>
      <c r="AT752" s="210"/>
      <c r="AU752" s="211" t="s">
        <v>960</v>
      </c>
      <c r="AV752" s="212" t="s">
        <v>8</v>
      </c>
      <c r="AW752" s="178"/>
      <c r="AX752" s="210"/>
      <c r="AY752" s="211" t="s">
        <v>960</v>
      </c>
      <c r="AZ752" s="213" t="s">
        <v>668</v>
      </c>
      <c r="BA752" s="178"/>
      <c r="BB752" s="210"/>
      <c r="BC752" s="211" t="s">
        <v>960</v>
      </c>
      <c r="BD752" s="212" t="s">
        <v>8</v>
      </c>
      <c r="BE752" s="178"/>
      <c r="BF752" s="210"/>
      <c r="BG752" s="211" t="s">
        <v>960</v>
      </c>
      <c r="BH752" s="212" t="s">
        <v>8</v>
      </c>
      <c r="BI752" s="178"/>
      <c r="BJ752" s="210"/>
      <c r="BK752" s="211" t="s">
        <v>960</v>
      </c>
      <c r="BL752" s="212" t="s">
        <v>8</v>
      </c>
      <c r="BM752" s="178"/>
      <c r="BN752" s="210"/>
      <c r="BO752" s="211" t="s">
        <v>960</v>
      </c>
      <c r="BP752" s="212" t="s">
        <v>8</v>
      </c>
      <c r="BQ752" s="178"/>
      <c r="BR752" s="210"/>
      <c r="BS752" s="211" t="s">
        <v>960</v>
      </c>
      <c r="BT752" s="212" t="s">
        <v>8</v>
      </c>
      <c r="BU752" s="178"/>
    </row>
    <row r="753" s="105" customFormat="1" spans="1:73">
      <c r="A753" s="221"/>
      <c r="B753" s="205" t="s">
        <v>298</v>
      </c>
      <c r="C753" s="142"/>
      <c r="D753" s="207"/>
      <c r="E753" s="132"/>
      <c r="F753" s="138"/>
      <c r="G753" s="143" t="s">
        <v>961</v>
      </c>
      <c r="H753" s="167"/>
      <c r="I753" s="178"/>
      <c r="J753" s="210"/>
      <c r="K753" s="211" t="s">
        <v>961</v>
      </c>
      <c r="L753" s="212" t="s">
        <v>8</v>
      </c>
      <c r="M753" s="178"/>
      <c r="N753" s="210"/>
      <c r="O753" s="211" t="s">
        <v>961</v>
      </c>
      <c r="P753" s="212" t="s">
        <v>8</v>
      </c>
      <c r="Q753" s="178"/>
      <c r="R753" s="210"/>
      <c r="S753" s="211" t="s">
        <v>961</v>
      </c>
      <c r="T753" s="212" t="s">
        <v>8</v>
      </c>
      <c r="U753" s="178"/>
      <c r="V753" s="210"/>
      <c r="W753" s="211" t="s">
        <v>961</v>
      </c>
      <c r="X753" s="213" t="s">
        <v>298</v>
      </c>
      <c r="Y753" s="178"/>
      <c r="Z753" s="210"/>
      <c r="AA753" s="211" t="s">
        <v>961</v>
      </c>
      <c r="AB753" s="212" t="s">
        <v>8</v>
      </c>
      <c r="AC753" s="178"/>
      <c r="AD753" s="210"/>
      <c r="AE753" s="211" t="s">
        <v>961</v>
      </c>
      <c r="AF753" s="212" t="s">
        <v>8</v>
      </c>
      <c r="AG753" s="178"/>
      <c r="AH753" s="210"/>
      <c r="AI753" s="211" t="s">
        <v>961</v>
      </c>
      <c r="AJ753" s="212" t="s">
        <v>8</v>
      </c>
      <c r="AK753" s="178"/>
      <c r="AL753" s="210"/>
      <c r="AM753" s="211" t="s">
        <v>961</v>
      </c>
      <c r="AN753" s="212" t="s">
        <v>8</v>
      </c>
      <c r="AO753" s="178"/>
      <c r="AP753" s="210"/>
      <c r="AQ753" s="211" t="s">
        <v>961</v>
      </c>
      <c r="AR753" s="212" t="s">
        <v>8</v>
      </c>
      <c r="AS753" s="178"/>
      <c r="AT753" s="210"/>
      <c r="AU753" s="211" t="s">
        <v>961</v>
      </c>
      <c r="AV753" s="212" t="s">
        <v>8</v>
      </c>
      <c r="AW753" s="178"/>
      <c r="AX753" s="210"/>
      <c r="AY753" s="211" t="s">
        <v>961</v>
      </c>
      <c r="AZ753" s="213" t="s">
        <v>298</v>
      </c>
      <c r="BA753" s="178"/>
      <c r="BB753" s="210"/>
      <c r="BC753" s="211" t="s">
        <v>961</v>
      </c>
      <c r="BD753" s="212" t="s">
        <v>8</v>
      </c>
      <c r="BE753" s="178"/>
      <c r="BF753" s="210"/>
      <c r="BG753" s="211" t="s">
        <v>961</v>
      </c>
      <c r="BH753" s="212" t="s">
        <v>8</v>
      </c>
      <c r="BI753" s="178"/>
      <c r="BJ753" s="210"/>
      <c r="BK753" s="211" t="s">
        <v>961</v>
      </c>
      <c r="BL753" s="212" t="s">
        <v>8</v>
      </c>
      <c r="BM753" s="178"/>
      <c r="BN753" s="210"/>
      <c r="BO753" s="211" t="s">
        <v>961</v>
      </c>
      <c r="BP753" s="212" t="s">
        <v>8</v>
      </c>
      <c r="BQ753" s="178"/>
      <c r="BR753" s="210"/>
      <c r="BS753" s="211" t="s">
        <v>961</v>
      </c>
      <c r="BT753" s="212" t="s">
        <v>8</v>
      </c>
      <c r="BU753" s="178"/>
    </row>
    <row r="754" s="105" customFormat="1" spans="1:73">
      <c r="A754" s="221"/>
      <c r="B754" s="205" t="s">
        <v>42</v>
      </c>
      <c r="C754" s="142"/>
      <c r="D754" s="207"/>
      <c r="E754" s="132"/>
      <c r="F754" s="138"/>
      <c r="G754" s="143" t="s">
        <v>962</v>
      </c>
      <c r="H754" s="167"/>
      <c r="I754" s="178"/>
      <c r="J754" s="210"/>
      <c r="K754" s="211" t="s">
        <v>962</v>
      </c>
      <c r="L754" s="212" t="s">
        <v>8</v>
      </c>
      <c r="M754" s="178"/>
      <c r="N754" s="210"/>
      <c r="O754" s="211" t="s">
        <v>962</v>
      </c>
      <c r="P754" s="212" t="s">
        <v>8</v>
      </c>
      <c r="Q754" s="178"/>
      <c r="R754" s="210"/>
      <c r="S754" s="211" t="s">
        <v>962</v>
      </c>
      <c r="T754" s="212" t="s">
        <v>8</v>
      </c>
      <c r="U754" s="178"/>
      <c r="V754" s="210"/>
      <c r="W754" s="211" t="s">
        <v>962</v>
      </c>
      <c r="X754" s="213" t="s">
        <v>42</v>
      </c>
      <c r="Y754" s="178"/>
      <c r="Z754" s="210"/>
      <c r="AA754" s="211" t="s">
        <v>962</v>
      </c>
      <c r="AB754" s="212" t="s">
        <v>8</v>
      </c>
      <c r="AC754" s="178"/>
      <c r="AD754" s="210"/>
      <c r="AE754" s="211" t="s">
        <v>962</v>
      </c>
      <c r="AF754" s="212" t="s">
        <v>8</v>
      </c>
      <c r="AG754" s="178"/>
      <c r="AH754" s="210"/>
      <c r="AI754" s="211" t="s">
        <v>962</v>
      </c>
      <c r="AJ754" s="212" t="s">
        <v>8</v>
      </c>
      <c r="AK754" s="178"/>
      <c r="AL754" s="210"/>
      <c r="AM754" s="211" t="s">
        <v>962</v>
      </c>
      <c r="AN754" s="212" t="s">
        <v>8</v>
      </c>
      <c r="AO754" s="178"/>
      <c r="AP754" s="210"/>
      <c r="AQ754" s="211" t="s">
        <v>962</v>
      </c>
      <c r="AR754" s="212" t="s">
        <v>8</v>
      </c>
      <c r="AS754" s="178"/>
      <c r="AT754" s="210"/>
      <c r="AU754" s="211" t="s">
        <v>962</v>
      </c>
      <c r="AV754" s="212" t="s">
        <v>8</v>
      </c>
      <c r="AW754" s="178"/>
      <c r="AX754" s="210"/>
      <c r="AY754" s="211" t="s">
        <v>962</v>
      </c>
      <c r="AZ754" s="213" t="s">
        <v>42</v>
      </c>
      <c r="BA754" s="178"/>
      <c r="BB754" s="210"/>
      <c r="BC754" s="211" t="s">
        <v>962</v>
      </c>
      <c r="BD754" s="212" t="s">
        <v>8</v>
      </c>
      <c r="BE754" s="178"/>
      <c r="BF754" s="210"/>
      <c r="BG754" s="211" t="s">
        <v>962</v>
      </c>
      <c r="BH754" s="212" t="s">
        <v>8</v>
      </c>
      <c r="BI754" s="178"/>
      <c r="BJ754" s="210"/>
      <c r="BK754" s="211" t="s">
        <v>962</v>
      </c>
      <c r="BL754" s="212" t="s">
        <v>8</v>
      </c>
      <c r="BM754" s="178"/>
      <c r="BN754" s="210"/>
      <c r="BO754" s="211" t="s">
        <v>962</v>
      </c>
      <c r="BP754" s="212" t="s">
        <v>8</v>
      </c>
      <c r="BQ754" s="178"/>
      <c r="BR754" s="210"/>
      <c r="BS754" s="211" t="s">
        <v>962</v>
      </c>
      <c r="BT754" s="212" t="s">
        <v>8</v>
      </c>
      <c r="BU754" s="178"/>
    </row>
    <row r="755" s="105" customFormat="1" spans="1:73">
      <c r="A755" s="221"/>
      <c r="B755" s="205" t="s">
        <v>42</v>
      </c>
      <c r="C755" s="142"/>
      <c r="D755" s="207"/>
      <c r="E755" s="132"/>
      <c r="F755" s="138"/>
      <c r="G755" s="143" t="s">
        <v>963</v>
      </c>
      <c r="H755" s="167"/>
      <c r="I755" s="178"/>
      <c r="J755" s="210"/>
      <c r="K755" s="211" t="s">
        <v>963</v>
      </c>
      <c r="L755" s="212" t="s">
        <v>8</v>
      </c>
      <c r="M755" s="178"/>
      <c r="N755" s="210"/>
      <c r="O755" s="211" t="s">
        <v>963</v>
      </c>
      <c r="P755" s="212" t="s">
        <v>8</v>
      </c>
      <c r="Q755" s="178"/>
      <c r="R755" s="210"/>
      <c r="S755" s="211" t="s">
        <v>963</v>
      </c>
      <c r="T755" s="212" t="s">
        <v>8</v>
      </c>
      <c r="U755" s="178"/>
      <c r="V755" s="210"/>
      <c r="W755" s="211" t="s">
        <v>963</v>
      </c>
      <c r="X755" s="213" t="s">
        <v>42</v>
      </c>
      <c r="Y755" s="178"/>
      <c r="Z755" s="210"/>
      <c r="AA755" s="211" t="s">
        <v>963</v>
      </c>
      <c r="AB755" s="212" t="s">
        <v>8</v>
      </c>
      <c r="AC755" s="178"/>
      <c r="AD755" s="210"/>
      <c r="AE755" s="211" t="s">
        <v>963</v>
      </c>
      <c r="AF755" s="212" t="s">
        <v>8</v>
      </c>
      <c r="AG755" s="178"/>
      <c r="AH755" s="210"/>
      <c r="AI755" s="211" t="s">
        <v>963</v>
      </c>
      <c r="AJ755" s="212" t="s">
        <v>8</v>
      </c>
      <c r="AK755" s="178"/>
      <c r="AL755" s="210"/>
      <c r="AM755" s="211" t="s">
        <v>963</v>
      </c>
      <c r="AN755" s="212" t="s">
        <v>8</v>
      </c>
      <c r="AO755" s="178"/>
      <c r="AP755" s="210"/>
      <c r="AQ755" s="211" t="s">
        <v>963</v>
      </c>
      <c r="AR755" s="212" t="s">
        <v>8</v>
      </c>
      <c r="AS755" s="178"/>
      <c r="AT755" s="210"/>
      <c r="AU755" s="211" t="s">
        <v>963</v>
      </c>
      <c r="AV755" s="212" t="s">
        <v>8</v>
      </c>
      <c r="AW755" s="178"/>
      <c r="AX755" s="210"/>
      <c r="AY755" s="211" t="s">
        <v>963</v>
      </c>
      <c r="AZ755" s="213" t="s">
        <v>42</v>
      </c>
      <c r="BA755" s="178"/>
      <c r="BB755" s="210"/>
      <c r="BC755" s="211" t="s">
        <v>963</v>
      </c>
      <c r="BD755" s="212" t="s">
        <v>8</v>
      </c>
      <c r="BE755" s="178"/>
      <c r="BF755" s="210"/>
      <c r="BG755" s="211" t="s">
        <v>963</v>
      </c>
      <c r="BH755" s="212" t="s">
        <v>8</v>
      </c>
      <c r="BI755" s="178"/>
      <c r="BJ755" s="210"/>
      <c r="BK755" s="211" t="s">
        <v>963</v>
      </c>
      <c r="BL755" s="212" t="s">
        <v>8</v>
      </c>
      <c r="BM755" s="178"/>
      <c r="BN755" s="210"/>
      <c r="BO755" s="211" t="s">
        <v>963</v>
      </c>
      <c r="BP755" s="212" t="s">
        <v>8</v>
      </c>
      <c r="BQ755" s="178"/>
      <c r="BR755" s="210"/>
      <c r="BS755" s="211" t="s">
        <v>963</v>
      </c>
      <c r="BT755" s="212" t="s">
        <v>8</v>
      </c>
      <c r="BU755" s="178"/>
    </row>
    <row r="756" ht="12.75" customHeight="1" spans="1:73">
      <c r="A756" s="165"/>
      <c r="B756" s="166"/>
      <c r="C756" s="166"/>
      <c r="D756" s="232"/>
      <c r="E756" s="233"/>
      <c r="F756" s="234"/>
      <c r="G756" s="235"/>
      <c r="H756" s="236"/>
      <c r="I756" s="237"/>
      <c r="J756" s="238"/>
      <c r="K756" s="239"/>
      <c r="L756" s="240"/>
      <c r="M756" s="178"/>
      <c r="N756" s="238"/>
      <c r="O756" s="239"/>
      <c r="P756" s="240"/>
      <c r="Q756" s="178"/>
      <c r="R756" s="238"/>
      <c r="S756" s="239"/>
      <c r="T756" s="240"/>
      <c r="U756" s="178"/>
      <c r="V756" s="238"/>
      <c r="W756" s="239"/>
      <c r="X756" s="240"/>
      <c r="Y756" s="178"/>
      <c r="Z756" s="238"/>
      <c r="AA756" s="239"/>
      <c r="AB756" s="240"/>
      <c r="AC756" s="178"/>
      <c r="AD756" s="238"/>
      <c r="AE756" s="239"/>
      <c r="AF756" s="240"/>
      <c r="AG756" s="178"/>
      <c r="AH756" s="238"/>
      <c r="AI756" s="239"/>
      <c r="AJ756" s="240"/>
      <c r="AK756" s="178"/>
      <c r="AL756" s="238"/>
      <c r="AM756" s="239"/>
      <c r="AN756" s="240"/>
      <c r="AO756" s="178"/>
      <c r="AP756" s="238"/>
      <c r="AQ756" s="239"/>
      <c r="AR756" s="240"/>
      <c r="AS756" s="178"/>
      <c r="AT756" s="238"/>
      <c r="AU756" s="239"/>
      <c r="AV756" s="240"/>
      <c r="AW756" s="178"/>
      <c r="AX756" s="238"/>
      <c r="AY756" s="239"/>
      <c r="AZ756" s="240"/>
      <c r="BA756" s="178"/>
      <c r="BB756" s="238"/>
      <c r="BC756" s="239"/>
      <c r="BD756" s="240"/>
      <c r="BE756" s="178"/>
      <c r="BF756" s="238"/>
      <c r="BG756" s="239"/>
      <c r="BH756" s="240"/>
      <c r="BI756" s="178"/>
      <c r="BJ756" s="238"/>
      <c r="BK756" s="239"/>
      <c r="BL756" s="240"/>
      <c r="BM756" s="178"/>
      <c r="BN756" s="238"/>
      <c r="BO756" s="239"/>
      <c r="BP756" s="240"/>
      <c r="BQ756" s="178"/>
      <c r="BR756" s="238"/>
      <c r="BS756" s="239"/>
      <c r="BT756" s="240"/>
      <c r="BU756" s="178"/>
    </row>
    <row r="757" spans="1:73">
      <c r="A757" s="165"/>
      <c r="B757" s="166"/>
      <c r="C757" s="166"/>
      <c r="E757" s="132"/>
      <c r="F757" s="218"/>
      <c r="G757" s="143"/>
      <c r="H757" s="241"/>
      <c r="I757" s="198"/>
      <c r="J757" s="219"/>
      <c r="K757" s="211"/>
      <c r="L757" s="242"/>
      <c r="M757" s="178"/>
      <c r="N757" s="219"/>
      <c r="O757" s="211"/>
      <c r="P757" s="242"/>
      <c r="Q757" s="178"/>
      <c r="R757" s="219"/>
      <c r="S757" s="211"/>
      <c r="T757" s="242"/>
      <c r="U757" s="178"/>
      <c r="V757" s="219"/>
      <c r="W757" s="211"/>
      <c r="X757" s="242"/>
      <c r="Y757" s="178"/>
      <c r="Z757" s="219"/>
      <c r="AA757" s="211"/>
      <c r="AB757" s="242"/>
      <c r="AC757" s="178"/>
      <c r="AD757" s="219"/>
      <c r="AE757" s="211"/>
      <c r="AF757" s="242"/>
      <c r="AG757" s="178"/>
      <c r="AH757" s="219"/>
      <c r="AI757" s="211"/>
      <c r="AJ757" s="242"/>
      <c r="AK757" s="178"/>
      <c r="AL757" s="219"/>
      <c r="AM757" s="211"/>
      <c r="AN757" s="242"/>
      <c r="AO757" s="178"/>
      <c r="AP757" s="219"/>
      <c r="AQ757" s="211"/>
      <c r="AR757" s="242"/>
      <c r="AS757" s="178"/>
      <c r="AT757" s="219"/>
      <c r="AU757" s="211"/>
      <c r="AV757" s="242"/>
      <c r="AW757" s="178"/>
      <c r="AX757" s="219"/>
      <c r="AY757" s="211"/>
      <c r="AZ757" s="242"/>
      <c r="BA757" s="178"/>
      <c r="BB757" s="219"/>
      <c r="BC757" s="211"/>
      <c r="BD757" s="242"/>
      <c r="BE757" s="178"/>
      <c r="BF757" s="219"/>
      <c r="BG757" s="211"/>
      <c r="BH757" s="242"/>
      <c r="BI757" s="178"/>
      <c r="BJ757" s="219"/>
      <c r="BK757" s="211"/>
      <c r="BL757" s="242"/>
      <c r="BM757" s="178"/>
      <c r="BN757" s="219"/>
      <c r="BO757" s="211"/>
      <c r="BP757" s="242"/>
      <c r="BQ757" s="178"/>
      <c r="BR757" s="219"/>
      <c r="BS757" s="211"/>
      <c r="BT757" s="242"/>
      <c r="BU757" s="178"/>
    </row>
    <row r="758" spans="1:73">
      <c r="A758" s="165"/>
      <c r="B758" s="166"/>
      <c r="C758" s="166"/>
      <c r="E758" s="130"/>
      <c r="F758" s="133" t="s">
        <v>964</v>
      </c>
      <c r="G758" s="161"/>
      <c r="H758" s="225"/>
      <c r="I758" s="198"/>
      <c r="J758" s="199" t="s">
        <v>964</v>
      </c>
      <c r="K758" s="200"/>
      <c r="L758" s="226"/>
      <c r="M758" s="178"/>
      <c r="N758" s="199" t="s">
        <v>964</v>
      </c>
      <c r="O758" s="200"/>
      <c r="P758" s="226"/>
      <c r="Q758" s="178"/>
      <c r="R758" s="199" t="s">
        <v>964</v>
      </c>
      <c r="S758" s="200"/>
      <c r="T758" s="226"/>
      <c r="U758" s="178"/>
      <c r="V758" s="199" t="s">
        <v>964</v>
      </c>
      <c r="W758" s="200"/>
      <c r="X758" s="226"/>
      <c r="Y758" s="178"/>
      <c r="Z758" s="199" t="s">
        <v>964</v>
      </c>
      <c r="AA758" s="200"/>
      <c r="AB758" s="226"/>
      <c r="AC758" s="178"/>
      <c r="AD758" s="199" t="s">
        <v>964</v>
      </c>
      <c r="AE758" s="200"/>
      <c r="AF758" s="226"/>
      <c r="AG758" s="178"/>
      <c r="AH758" s="199" t="s">
        <v>964</v>
      </c>
      <c r="AI758" s="200"/>
      <c r="AJ758" s="226"/>
      <c r="AK758" s="178"/>
      <c r="AL758" s="199" t="s">
        <v>964</v>
      </c>
      <c r="AM758" s="200"/>
      <c r="AN758" s="226"/>
      <c r="AO758" s="178"/>
      <c r="AP758" s="199" t="s">
        <v>964</v>
      </c>
      <c r="AQ758" s="200"/>
      <c r="AR758" s="226"/>
      <c r="AS758" s="178"/>
      <c r="AT758" s="199" t="s">
        <v>964</v>
      </c>
      <c r="AU758" s="200"/>
      <c r="AV758" s="226"/>
      <c r="AW758" s="178"/>
      <c r="AX758" s="199" t="s">
        <v>964</v>
      </c>
      <c r="AY758" s="200"/>
      <c r="AZ758" s="226"/>
      <c r="BA758" s="178"/>
      <c r="BB758" s="199" t="s">
        <v>964</v>
      </c>
      <c r="BC758" s="200"/>
      <c r="BD758" s="226"/>
      <c r="BE758" s="178"/>
      <c r="BF758" s="199" t="s">
        <v>964</v>
      </c>
      <c r="BG758" s="200"/>
      <c r="BH758" s="226"/>
      <c r="BI758" s="178"/>
      <c r="BJ758" s="199" t="s">
        <v>964</v>
      </c>
      <c r="BK758" s="200"/>
      <c r="BL758" s="226"/>
      <c r="BM758" s="178"/>
      <c r="BN758" s="199" t="s">
        <v>964</v>
      </c>
      <c r="BO758" s="200"/>
      <c r="BP758" s="226"/>
      <c r="BQ758" s="178"/>
      <c r="BR758" s="199" t="s">
        <v>964</v>
      </c>
      <c r="BS758" s="200"/>
      <c r="BT758" s="226"/>
      <c r="BU758" s="178"/>
    </row>
    <row r="759" spans="1:73">
      <c r="A759" s="136" t="s">
        <v>36</v>
      </c>
      <c r="B759" s="137" t="s">
        <v>37</v>
      </c>
      <c r="C759" s="137" t="s">
        <v>38</v>
      </c>
      <c r="E759" s="130"/>
      <c r="F759" s="138"/>
      <c r="G759" s="139" t="s">
        <v>39</v>
      </c>
      <c r="H759" s="140" t="s">
        <v>40</v>
      </c>
      <c r="I759" s="231"/>
      <c r="J759" s="138"/>
      <c r="K759" s="139" t="s">
        <v>39</v>
      </c>
      <c r="L759" s="203" t="s">
        <v>40</v>
      </c>
      <c r="M759" s="105"/>
      <c r="N759" s="138"/>
      <c r="O759" s="139" t="s">
        <v>39</v>
      </c>
      <c r="P759" s="203" t="s">
        <v>40</v>
      </c>
      <c r="R759" s="138"/>
      <c r="S759" s="139" t="s">
        <v>39</v>
      </c>
      <c r="T759" s="203" t="s">
        <v>40</v>
      </c>
      <c r="V759" s="138"/>
      <c r="W759" s="139" t="s">
        <v>39</v>
      </c>
      <c r="X759" s="203" t="s">
        <v>40</v>
      </c>
      <c r="Z759" s="138"/>
      <c r="AA759" s="139" t="s">
        <v>39</v>
      </c>
      <c r="AB759" s="203" t="s">
        <v>40</v>
      </c>
      <c r="AD759" s="138"/>
      <c r="AE759" s="139" t="s">
        <v>39</v>
      </c>
      <c r="AF759" s="203" t="s">
        <v>40</v>
      </c>
      <c r="AH759" s="138"/>
      <c r="AI759" s="139" t="s">
        <v>39</v>
      </c>
      <c r="AJ759" s="203" t="s">
        <v>40</v>
      </c>
      <c r="AL759" s="138"/>
      <c r="AM759" s="139" t="s">
        <v>39</v>
      </c>
      <c r="AN759" s="203" t="s">
        <v>40</v>
      </c>
      <c r="AP759" s="138"/>
      <c r="AQ759" s="139" t="s">
        <v>39</v>
      </c>
      <c r="AR759" s="203" t="s">
        <v>40</v>
      </c>
      <c r="AT759" s="138"/>
      <c r="AU759" s="139" t="s">
        <v>39</v>
      </c>
      <c r="AV759" s="203" t="s">
        <v>40</v>
      </c>
      <c r="AX759" s="138"/>
      <c r="AY759" s="139" t="s">
        <v>39</v>
      </c>
      <c r="AZ759" s="203" t="s">
        <v>40</v>
      </c>
      <c r="BB759" s="138"/>
      <c r="BC759" s="139" t="s">
        <v>39</v>
      </c>
      <c r="BD759" s="203" t="s">
        <v>40</v>
      </c>
      <c r="BF759" s="138"/>
      <c r="BG759" s="139" t="s">
        <v>39</v>
      </c>
      <c r="BH759" s="203" t="s">
        <v>40</v>
      </c>
      <c r="BJ759" s="138"/>
      <c r="BK759" s="139" t="s">
        <v>39</v>
      </c>
      <c r="BL759" s="203" t="s">
        <v>40</v>
      </c>
      <c r="BN759" s="138"/>
      <c r="BO759" s="139" t="s">
        <v>39</v>
      </c>
      <c r="BP759" s="203" t="s">
        <v>40</v>
      </c>
      <c r="BR759" s="138"/>
      <c r="BS759" s="139" t="s">
        <v>39</v>
      </c>
      <c r="BT759" s="203" t="s">
        <v>40</v>
      </c>
    </row>
    <row r="760" spans="1:73">
      <c r="A760" s="204" t="s">
        <v>965</v>
      </c>
      <c r="B760" s="205" t="s">
        <v>61</v>
      </c>
      <c r="C760" s="142"/>
      <c r="D760" s="207"/>
      <c r="E760" s="132"/>
      <c r="F760" s="138"/>
      <c r="G760" s="143" t="s">
        <v>966</v>
      </c>
      <c r="H760" s="209"/>
      <c r="I760" s="198"/>
      <c r="J760" s="210"/>
      <c r="K760" s="211" t="s">
        <v>966</v>
      </c>
      <c r="L760" s="213" t="s">
        <v>61</v>
      </c>
      <c r="M760" s="178"/>
      <c r="N760" s="210"/>
      <c r="O760" s="211" t="s">
        <v>966</v>
      </c>
      <c r="P760" s="213" t="s">
        <v>61</v>
      </c>
      <c r="Q760" s="178"/>
      <c r="R760" s="210"/>
      <c r="S760" s="211" t="s">
        <v>966</v>
      </c>
      <c r="T760" s="213" t="s">
        <v>61</v>
      </c>
      <c r="U760" s="178"/>
      <c r="V760" s="210"/>
      <c r="W760" s="211" t="s">
        <v>966</v>
      </c>
      <c r="X760" s="213" t="s">
        <v>61</v>
      </c>
      <c r="Y760" s="178"/>
      <c r="Z760" s="210"/>
      <c r="AA760" s="211" t="s">
        <v>966</v>
      </c>
      <c r="AB760" s="213" t="s">
        <v>61</v>
      </c>
      <c r="AC760" s="178"/>
      <c r="AD760" s="210"/>
      <c r="AE760" s="211" t="s">
        <v>966</v>
      </c>
      <c r="AF760" s="213" t="s">
        <v>61</v>
      </c>
      <c r="AG760" s="178"/>
      <c r="AH760" s="210"/>
      <c r="AI760" s="211" t="s">
        <v>966</v>
      </c>
      <c r="AJ760" s="213" t="s">
        <v>61</v>
      </c>
      <c r="AK760" s="178"/>
      <c r="AL760" s="210"/>
      <c r="AM760" s="211" t="s">
        <v>966</v>
      </c>
      <c r="AN760" s="213" t="s">
        <v>61</v>
      </c>
      <c r="AO760" s="178"/>
      <c r="AP760" s="210"/>
      <c r="AQ760" s="211" t="s">
        <v>966</v>
      </c>
      <c r="AR760" s="213" t="s">
        <v>61</v>
      </c>
      <c r="AS760" s="178"/>
      <c r="AT760" s="210"/>
      <c r="AU760" s="211" t="s">
        <v>966</v>
      </c>
      <c r="AV760" s="213" t="s">
        <v>61</v>
      </c>
      <c r="AW760" s="178"/>
      <c r="AX760" s="210"/>
      <c r="AY760" s="211" t="s">
        <v>966</v>
      </c>
      <c r="AZ760" s="213" t="s">
        <v>61</v>
      </c>
      <c r="BA760" s="178"/>
      <c r="BB760" s="210"/>
      <c r="BC760" s="211" t="s">
        <v>966</v>
      </c>
      <c r="BD760" s="213" t="s">
        <v>61</v>
      </c>
      <c r="BE760" s="178"/>
      <c r="BF760" s="210"/>
      <c r="BG760" s="211" t="s">
        <v>966</v>
      </c>
      <c r="BH760" s="213" t="s">
        <v>61</v>
      </c>
      <c r="BI760" s="178"/>
      <c r="BJ760" s="210"/>
      <c r="BK760" s="211" t="s">
        <v>966</v>
      </c>
      <c r="BL760" s="213" t="s">
        <v>61</v>
      </c>
      <c r="BM760" s="178"/>
      <c r="BN760" s="210"/>
      <c r="BO760" s="211" t="s">
        <v>966</v>
      </c>
      <c r="BP760" s="213" t="s">
        <v>61</v>
      </c>
      <c r="BQ760" s="178"/>
      <c r="BR760" s="210"/>
      <c r="BS760" s="211" t="s">
        <v>966</v>
      </c>
      <c r="BT760" s="213" t="s">
        <v>61</v>
      </c>
      <c r="BU760" s="178"/>
    </row>
    <row r="761" spans="1:73">
      <c r="A761" s="204" t="s">
        <v>967</v>
      </c>
      <c r="B761" s="205" t="s">
        <v>284</v>
      </c>
      <c r="C761" s="142"/>
      <c r="D761" s="207"/>
      <c r="E761" s="132"/>
      <c r="F761" s="138"/>
      <c r="G761" s="143" t="s">
        <v>968</v>
      </c>
      <c r="H761" s="209"/>
      <c r="I761" s="198"/>
      <c r="J761" s="210"/>
      <c r="K761" s="211" t="s">
        <v>968</v>
      </c>
      <c r="L761" s="213" t="s">
        <v>284</v>
      </c>
      <c r="M761" s="178"/>
      <c r="N761" s="210"/>
      <c r="O761" s="211" t="s">
        <v>968</v>
      </c>
      <c r="P761" s="213" t="s">
        <v>284</v>
      </c>
      <c r="Q761" s="178"/>
      <c r="R761" s="210"/>
      <c r="S761" s="211" t="s">
        <v>968</v>
      </c>
      <c r="T761" s="213" t="s">
        <v>284</v>
      </c>
      <c r="U761" s="178"/>
      <c r="V761" s="210"/>
      <c r="W761" s="211" t="s">
        <v>968</v>
      </c>
      <c r="X761" s="213" t="s">
        <v>284</v>
      </c>
      <c r="Y761" s="178"/>
      <c r="Z761" s="210"/>
      <c r="AA761" s="211" t="s">
        <v>968</v>
      </c>
      <c r="AB761" s="213" t="s">
        <v>284</v>
      </c>
      <c r="AC761" s="178"/>
      <c r="AD761" s="210"/>
      <c r="AE761" s="211" t="s">
        <v>968</v>
      </c>
      <c r="AF761" s="213" t="s">
        <v>284</v>
      </c>
      <c r="AG761" s="178"/>
      <c r="AH761" s="210"/>
      <c r="AI761" s="211" t="s">
        <v>968</v>
      </c>
      <c r="AJ761" s="213" t="s">
        <v>284</v>
      </c>
      <c r="AK761" s="178"/>
      <c r="AL761" s="210"/>
      <c r="AM761" s="211" t="s">
        <v>968</v>
      </c>
      <c r="AN761" s="213" t="s">
        <v>284</v>
      </c>
      <c r="AO761" s="178"/>
      <c r="AP761" s="210"/>
      <c r="AQ761" s="211" t="s">
        <v>968</v>
      </c>
      <c r="AR761" s="213" t="s">
        <v>284</v>
      </c>
      <c r="AS761" s="178"/>
      <c r="AT761" s="210"/>
      <c r="AU761" s="211" t="s">
        <v>968</v>
      </c>
      <c r="AV761" s="213" t="s">
        <v>284</v>
      </c>
      <c r="AW761" s="178"/>
      <c r="AX761" s="210"/>
      <c r="AY761" s="211" t="s">
        <v>968</v>
      </c>
      <c r="AZ761" s="213" t="s">
        <v>284</v>
      </c>
      <c r="BA761" s="178"/>
      <c r="BB761" s="210"/>
      <c r="BC761" s="211" t="s">
        <v>968</v>
      </c>
      <c r="BD761" s="213" t="s">
        <v>284</v>
      </c>
      <c r="BE761" s="178"/>
      <c r="BF761" s="210"/>
      <c r="BG761" s="211" t="s">
        <v>968</v>
      </c>
      <c r="BH761" s="213" t="s">
        <v>284</v>
      </c>
      <c r="BI761" s="178"/>
      <c r="BJ761" s="210"/>
      <c r="BK761" s="211" t="s">
        <v>968</v>
      </c>
      <c r="BL761" s="213" t="s">
        <v>284</v>
      </c>
      <c r="BM761" s="178"/>
      <c r="BN761" s="210"/>
      <c r="BO761" s="211" t="s">
        <v>968</v>
      </c>
      <c r="BP761" s="213" t="s">
        <v>284</v>
      </c>
      <c r="BQ761" s="178"/>
      <c r="BR761" s="210"/>
      <c r="BS761" s="211" t="s">
        <v>968</v>
      </c>
      <c r="BT761" s="213" t="s">
        <v>284</v>
      </c>
      <c r="BU761" s="178"/>
    </row>
    <row r="762" spans="1:73">
      <c r="A762" s="165"/>
      <c r="B762" s="166"/>
      <c r="C762" s="166"/>
      <c r="D762" s="207"/>
      <c r="E762" s="132"/>
      <c r="F762" s="138"/>
      <c r="G762" s="243"/>
      <c r="H762" s="209"/>
      <c r="I762" s="198"/>
      <c r="J762" s="210"/>
      <c r="K762" s="244"/>
      <c r="L762" s="222"/>
      <c r="M762" s="178"/>
      <c r="N762" s="210"/>
      <c r="O762" s="244"/>
      <c r="P762" s="222"/>
      <c r="Q762" s="178"/>
      <c r="R762" s="210"/>
      <c r="S762" s="244"/>
      <c r="T762" s="222"/>
      <c r="U762" s="178"/>
      <c r="V762" s="210"/>
      <c r="W762" s="244"/>
      <c r="X762" s="222"/>
      <c r="Y762" s="178"/>
      <c r="Z762" s="210"/>
      <c r="AA762" s="244"/>
      <c r="AB762" s="222"/>
      <c r="AC762" s="178"/>
      <c r="AD762" s="210"/>
      <c r="AE762" s="244"/>
      <c r="AF762" s="222"/>
      <c r="AG762" s="178"/>
      <c r="AH762" s="210"/>
      <c r="AI762" s="244"/>
      <c r="AJ762" s="222"/>
      <c r="AK762" s="178"/>
      <c r="AL762" s="210"/>
      <c r="AM762" s="244"/>
      <c r="AN762" s="222"/>
      <c r="AO762" s="178"/>
      <c r="AP762" s="210"/>
      <c r="AQ762" s="244"/>
      <c r="AR762" s="222"/>
      <c r="AS762" s="178"/>
      <c r="AT762" s="210"/>
      <c r="AU762" s="244"/>
      <c r="AV762" s="222"/>
      <c r="AW762" s="178"/>
      <c r="AX762" s="210"/>
      <c r="AY762" s="244"/>
      <c r="AZ762" s="222"/>
      <c r="BA762" s="178"/>
      <c r="BB762" s="210"/>
      <c r="BC762" s="244"/>
      <c r="BD762" s="222"/>
      <c r="BE762" s="178"/>
      <c r="BF762" s="210"/>
      <c r="BG762" s="244"/>
      <c r="BH762" s="222"/>
      <c r="BI762" s="178"/>
      <c r="BJ762" s="210"/>
      <c r="BK762" s="244"/>
      <c r="BL762" s="222"/>
      <c r="BM762" s="178"/>
      <c r="BN762" s="210"/>
      <c r="BO762" s="244"/>
      <c r="BP762" s="222"/>
      <c r="BQ762" s="178"/>
      <c r="BR762" s="210"/>
      <c r="BS762" s="244"/>
      <c r="BT762" s="222"/>
      <c r="BU762" s="178"/>
    </row>
    <row r="763" spans="1:73">
      <c r="A763" s="165"/>
      <c r="B763" s="166"/>
      <c r="C763" s="166"/>
      <c r="E763" s="132"/>
      <c r="F763" s="218"/>
      <c r="G763" s="243"/>
      <c r="H763" s="167"/>
      <c r="I763" s="198"/>
      <c r="J763" s="219"/>
      <c r="K763" s="244"/>
      <c r="L763" s="213"/>
      <c r="M763" s="178"/>
      <c r="N763" s="219"/>
      <c r="O763" s="244"/>
      <c r="P763" s="213"/>
      <c r="Q763" s="178"/>
      <c r="R763" s="219"/>
      <c r="S763" s="244"/>
      <c r="T763" s="213"/>
      <c r="U763" s="178"/>
      <c r="V763" s="219"/>
      <c r="W763" s="244"/>
      <c r="X763" s="213"/>
      <c r="Y763" s="178"/>
      <c r="Z763" s="219"/>
      <c r="AA763" s="244"/>
      <c r="AB763" s="213"/>
      <c r="AC763" s="178"/>
      <c r="AD763" s="219"/>
      <c r="AE763" s="244"/>
      <c r="AF763" s="213"/>
      <c r="AG763" s="178"/>
      <c r="AH763" s="219"/>
      <c r="AI763" s="244"/>
      <c r="AJ763" s="213"/>
      <c r="AK763" s="178"/>
      <c r="AL763" s="219"/>
      <c r="AM763" s="244"/>
      <c r="AN763" s="213"/>
      <c r="AO763" s="178"/>
      <c r="AP763" s="219"/>
      <c r="AQ763" s="244"/>
      <c r="AR763" s="213"/>
      <c r="AS763" s="178"/>
      <c r="AT763" s="219"/>
      <c r="AU763" s="244"/>
      <c r="AV763" s="213"/>
      <c r="AW763" s="178"/>
      <c r="AX763" s="219"/>
      <c r="AY763" s="244"/>
      <c r="AZ763" s="213"/>
      <c r="BA763" s="178"/>
      <c r="BB763" s="219"/>
      <c r="BC763" s="244"/>
      <c r="BD763" s="213"/>
      <c r="BE763" s="178"/>
      <c r="BF763" s="219"/>
      <c r="BG763" s="244"/>
      <c r="BH763" s="213"/>
      <c r="BI763" s="178"/>
      <c r="BJ763" s="219"/>
      <c r="BK763" s="244"/>
      <c r="BL763" s="213"/>
      <c r="BM763" s="178"/>
      <c r="BN763" s="219"/>
      <c r="BO763" s="244"/>
      <c r="BP763" s="213"/>
      <c r="BQ763" s="178"/>
      <c r="BR763" s="219"/>
      <c r="BS763" s="244"/>
      <c r="BT763" s="213"/>
      <c r="BU763" s="178"/>
    </row>
    <row r="764" spans="1:73">
      <c r="A764" s="165"/>
      <c r="B764" s="166"/>
      <c r="C764" s="166"/>
      <c r="E764" s="130"/>
      <c r="F764" s="138" t="s">
        <v>969</v>
      </c>
      <c r="G764" s="161"/>
      <c r="H764" s="225"/>
      <c r="I764" s="198"/>
      <c r="J764" s="210" t="s">
        <v>969</v>
      </c>
      <c r="K764" s="200"/>
      <c r="L764" s="226"/>
      <c r="M764" s="178"/>
      <c r="N764" s="210" t="s">
        <v>969</v>
      </c>
      <c r="O764" s="200"/>
      <c r="P764" s="226"/>
      <c r="Q764" s="178"/>
      <c r="R764" s="210" t="s">
        <v>969</v>
      </c>
      <c r="S764" s="200"/>
      <c r="T764" s="226"/>
      <c r="U764" s="178"/>
      <c r="V764" s="210" t="s">
        <v>969</v>
      </c>
      <c r="W764" s="200"/>
      <c r="X764" s="226"/>
      <c r="Y764" s="178"/>
      <c r="Z764" s="210" t="s">
        <v>969</v>
      </c>
      <c r="AA764" s="200"/>
      <c r="AB764" s="226"/>
      <c r="AC764" s="178"/>
      <c r="AD764" s="210" t="s">
        <v>969</v>
      </c>
      <c r="AE764" s="200"/>
      <c r="AF764" s="226"/>
      <c r="AG764" s="178"/>
      <c r="AH764" s="210" t="s">
        <v>969</v>
      </c>
      <c r="AI764" s="200"/>
      <c r="AJ764" s="226"/>
      <c r="AK764" s="178"/>
      <c r="AL764" s="210" t="s">
        <v>969</v>
      </c>
      <c r="AM764" s="200"/>
      <c r="AN764" s="226"/>
      <c r="AO764" s="178"/>
      <c r="AP764" s="210" t="s">
        <v>969</v>
      </c>
      <c r="AQ764" s="200"/>
      <c r="AR764" s="226"/>
      <c r="AS764" s="178"/>
      <c r="AT764" s="210" t="s">
        <v>969</v>
      </c>
      <c r="AU764" s="200"/>
      <c r="AV764" s="226"/>
      <c r="AW764" s="178"/>
      <c r="AX764" s="210" t="s">
        <v>969</v>
      </c>
      <c r="AY764" s="200"/>
      <c r="AZ764" s="226"/>
      <c r="BA764" s="178"/>
      <c r="BB764" s="210" t="s">
        <v>969</v>
      </c>
      <c r="BC764" s="200"/>
      <c r="BD764" s="226"/>
      <c r="BE764" s="178"/>
      <c r="BF764" s="210" t="s">
        <v>969</v>
      </c>
      <c r="BG764" s="200"/>
      <c r="BH764" s="226"/>
      <c r="BI764" s="178"/>
      <c r="BJ764" s="210" t="s">
        <v>969</v>
      </c>
      <c r="BK764" s="200"/>
      <c r="BL764" s="226"/>
      <c r="BM764" s="178"/>
      <c r="BN764" s="210" t="s">
        <v>969</v>
      </c>
      <c r="BO764" s="200"/>
      <c r="BP764" s="226"/>
      <c r="BQ764" s="178"/>
      <c r="BR764" s="210" t="s">
        <v>969</v>
      </c>
      <c r="BS764" s="200"/>
      <c r="BT764" s="226"/>
      <c r="BU764" s="178"/>
    </row>
    <row r="765" spans="1:73">
      <c r="A765" s="136" t="s">
        <v>36</v>
      </c>
      <c r="B765" s="137" t="s">
        <v>37</v>
      </c>
      <c r="C765" s="137" t="s">
        <v>38</v>
      </c>
      <c r="E765" s="130"/>
      <c r="F765" s="138"/>
      <c r="G765" s="139" t="s">
        <v>39</v>
      </c>
      <c r="H765" s="140" t="s">
        <v>40</v>
      </c>
      <c r="I765" s="231"/>
      <c r="J765" s="138"/>
      <c r="K765" s="139" t="s">
        <v>39</v>
      </c>
      <c r="L765" s="203" t="s">
        <v>40</v>
      </c>
      <c r="M765" s="105"/>
      <c r="N765" s="138"/>
      <c r="O765" s="139" t="s">
        <v>39</v>
      </c>
      <c r="P765" s="203" t="s">
        <v>40</v>
      </c>
      <c r="R765" s="138"/>
      <c r="S765" s="139" t="s">
        <v>39</v>
      </c>
      <c r="T765" s="203" t="s">
        <v>40</v>
      </c>
      <c r="V765" s="138"/>
      <c r="W765" s="139" t="s">
        <v>39</v>
      </c>
      <c r="X765" s="203" t="s">
        <v>40</v>
      </c>
      <c r="Z765" s="138"/>
      <c r="AA765" s="139" t="s">
        <v>39</v>
      </c>
      <c r="AB765" s="203" t="s">
        <v>40</v>
      </c>
      <c r="AD765" s="138"/>
      <c r="AE765" s="139" t="s">
        <v>39</v>
      </c>
      <c r="AF765" s="203" t="s">
        <v>40</v>
      </c>
      <c r="AH765" s="138"/>
      <c r="AI765" s="139" t="s">
        <v>39</v>
      </c>
      <c r="AJ765" s="203" t="s">
        <v>40</v>
      </c>
      <c r="AL765" s="138"/>
      <c r="AM765" s="139" t="s">
        <v>39</v>
      </c>
      <c r="AN765" s="203" t="s">
        <v>40</v>
      </c>
      <c r="AP765" s="138"/>
      <c r="AQ765" s="139" t="s">
        <v>39</v>
      </c>
      <c r="AR765" s="203" t="s">
        <v>40</v>
      </c>
      <c r="AT765" s="138"/>
      <c r="AU765" s="139" t="s">
        <v>39</v>
      </c>
      <c r="AV765" s="203" t="s">
        <v>40</v>
      </c>
      <c r="AX765" s="138"/>
      <c r="AY765" s="139" t="s">
        <v>39</v>
      </c>
      <c r="AZ765" s="203" t="s">
        <v>40</v>
      </c>
      <c r="BB765" s="138"/>
      <c r="BC765" s="139" t="s">
        <v>39</v>
      </c>
      <c r="BD765" s="203" t="s">
        <v>40</v>
      </c>
      <c r="BF765" s="138"/>
      <c r="BG765" s="139" t="s">
        <v>39</v>
      </c>
      <c r="BH765" s="203" t="s">
        <v>40</v>
      </c>
      <c r="BJ765" s="138"/>
      <c r="BK765" s="139" t="s">
        <v>39</v>
      </c>
      <c r="BL765" s="203" t="s">
        <v>40</v>
      </c>
      <c r="BN765" s="138"/>
      <c r="BO765" s="139" t="s">
        <v>39</v>
      </c>
      <c r="BP765" s="203" t="s">
        <v>40</v>
      </c>
      <c r="BR765" s="138"/>
      <c r="BS765" s="139" t="s">
        <v>39</v>
      </c>
      <c r="BT765" s="203" t="s">
        <v>40</v>
      </c>
    </row>
    <row r="766" spans="1:73">
      <c r="A766" s="204" t="s">
        <v>970</v>
      </c>
      <c r="B766" s="205" t="s">
        <v>46</v>
      </c>
      <c r="C766" s="142"/>
      <c r="D766" s="207"/>
      <c r="E766" s="132"/>
      <c r="F766" s="138"/>
      <c r="G766" s="143" t="s">
        <v>971</v>
      </c>
      <c r="H766" s="209"/>
      <c r="I766" s="198"/>
      <c r="J766" s="210"/>
      <c r="K766" s="211" t="s">
        <v>971</v>
      </c>
      <c r="L766" s="213" t="s">
        <v>46</v>
      </c>
      <c r="M766" s="178"/>
      <c r="N766" s="210"/>
      <c r="O766" s="211" t="s">
        <v>971</v>
      </c>
      <c r="P766" s="213" t="s">
        <v>46</v>
      </c>
      <c r="Q766" s="178"/>
      <c r="R766" s="210"/>
      <c r="S766" s="211" t="s">
        <v>971</v>
      </c>
      <c r="T766" s="213" t="s">
        <v>46</v>
      </c>
      <c r="U766" s="178"/>
      <c r="V766" s="210"/>
      <c r="W766" s="211" t="s">
        <v>971</v>
      </c>
      <c r="X766" s="213" t="s">
        <v>46</v>
      </c>
      <c r="Y766" s="178"/>
      <c r="Z766" s="210"/>
      <c r="AA766" s="211" t="s">
        <v>971</v>
      </c>
      <c r="AB766" s="213" t="s">
        <v>46</v>
      </c>
      <c r="AC766" s="178"/>
      <c r="AD766" s="210"/>
      <c r="AE766" s="211" t="s">
        <v>971</v>
      </c>
      <c r="AF766" s="213" t="s">
        <v>46</v>
      </c>
      <c r="AG766" s="178"/>
      <c r="AH766" s="210"/>
      <c r="AI766" s="211" t="s">
        <v>971</v>
      </c>
      <c r="AJ766" s="213" t="s">
        <v>46</v>
      </c>
      <c r="AK766" s="178"/>
      <c r="AL766" s="210"/>
      <c r="AM766" s="211" t="s">
        <v>971</v>
      </c>
      <c r="AN766" s="213" t="s">
        <v>46</v>
      </c>
      <c r="AO766" s="178"/>
      <c r="AP766" s="210"/>
      <c r="AQ766" s="211" t="s">
        <v>971</v>
      </c>
      <c r="AR766" s="213" t="s">
        <v>46</v>
      </c>
      <c r="AS766" s="178"/>
      <c r="AT766" s="210"/>
      <c r="AU766" s="211" t="s">
        <v>971</v>
      </c>
      <c r="AV766" s="213" t="s">
        <v>46</v>
      </c>
      <c r="AW766" s="178"/>
      <c r="AX766" s="210"/>
      <c r="AY766" s="211" t="s">
        <v>971</v>
      </c>
      <c r="AZ766" s="213" t="s">
        <v>46</v>
      </c>
      <c r="BA766" s="178"/>
      <c r="BB766" s="210"/>
      <c r="BC766" s="211" t="s">
        <v>971</v>
      </c>
      <c r="BD766" s="213" t="s">
        <v>46</v>
      </c>
      <c r="BE766" s="178"/>
      <c r="BF766" s="210"/>
      <c r="BG766" s="211" t="s">
        <v>971</v>
      </c>
      <c r="BH766" s="213" t="s">
        <v>46</v>
      </c>
      <c r="BI766" s="178"/>
      <c r="BJ766" s="210"/>
      <c r="BK766" s="211" t="s">
        <v>971</v>
      </c>
      <c r="BL766" s="213" t="s">
        <v>46</v>
      </c>
      <c r="BM766" s="178"/>
      <c r="BN766" s="210"/>
      <c r="BO766" s="211" t="s">
        <v>971</v>
      </c>
      <c r="BP766" s="213" t="s">
        <v>46</v>
      </c>
      <c r="BQ766" s="178"/>
      <c r="BR766" s="210"/>
      <c r="BS766" s="211" t="s">
        <v>971</v>
      </c>
      <c r="BT766" s="213" t="s">
        <v>46</v>
      </c>
      <c r="BU766" s="178"/>
    </row>
    <row r="767" spans="1:73">
      <c r="A767" s="204" t="s">
        <v>972</v>
      </c>
      <c r="B767" s="205" t="s">
        <v>46</v>
      </c>
      <c r="C767" s="142"/>
      <c r="D767" s="207"/>
      <c r="E767" s="132"/>
      <c r="F767" s="138"/>
      <c r="G767" s="143" t="s">
        <v>973</v>
      </c>
      <c r="H767" s="209"/>
      <c r="I767" s="198"/>
      <c r="J767" s="210"/>
      <c r="K767" s="211" t="s">
        <v>973</v>
      </c>
      <c r="L767" s="213" t="s">
        <v>46</v>
      </c>
      <c r="M767" s="178"/>
      <c r="N767" s="210"/>
      <c r="O767" s="211" t="s">
        <v>973</v>
      </c>
      <c r="P767" s="213" t="s">
        <v>46</v>
      </c>
      <c r="Q767" s="178"/>
      <c r="R767" s="210"/>
      <c r="S767" s="211" t="s">
        <v>973</v>
      </c>
      <c r="T767" s="213" t="s">
        <v>46</v>
      </c>
      <c r="U767" s="178"/>
      <c r="V767" s="210"/>
      <c r="W767" s="211" t="s">
        <v>973</v>
      </c>
      <c r="X767" s="213" t="s">
        <v>46</v>
      </c>
      <c r="Y767" s="178"/>
      <c r="Z767" s="210"/>
      <c r="AA767" s="211" t="s">
        <v>973</v>
      </c>
      <c r="AB767" s="213" t="s">
        <v>46</v>
      </c>
      <c r="AC767" s="178"/>
      <c r="AD767" s="210"/>
      <c r="AE767" s="211" t="s">
        <v>973</v>
      </c>
      <c r="AF767" s="213" t="s">
        <v>46</v>
      </c>
      <c r="AG767" s="178"/>
      <c r="AH767" s="210"/>
      <c r="AI767" s="211" t="s">
        <v>973</v>
      </c>
      <c r="AJ767" s="213" t="s">
        <v>46</v>
      </c>
      <c r="AK767" s="178"/>
      <c r="AL767" s="210"/>
      <c r="AM767" s="211" t="s">
        <v>973</v>
      </c>
      <c r="AN767" s="213" t="s">
        <v>46</v>
      </c>
      <c r="AO767" s="178"/>
      <c r="AP767" s="210"/>
      <c r="AQ767" s="211" t="s">
        <v>973</v>
      </c>
      <c r="AR767" s="213" t="s">
        <v>46</v>
      </c>
      <c r="AS767" s="178"/>
      <c r="AT767" s="210"/>
      <c r="AU767" s="211" t="s">
        <v>973</v>
      </c>
      <c r="AV767" s="213" t="s">
        <v>46</v>
      </c>
      <c r="AW767" s="178"/>
      <c r="AX767" s="210"/>
      <c r="AY767" s="211" t="s">
        <v>973</v>
      </c>
      <c r="AZ767" s="213" t="s">
        <v>46</v>
      </c>
      <c r="BA767" s="178"/>
      <c r="BB767" s="210"/>
      <c r="BC767" s="211" t="s">
        <v>973</v>
      </c>
      <c r="BD767" s="213" t="s">
        <v>46</v>
      </c>
      <c r="BE767" s="178"/>
      <c r="BF767" s="210"/>
      <c r="BG767" s="211" t="s">
        <v>973</v>
      </c>
      <c r="BH767" s="213" t="s">
        <v>46</v>
      </c>
      <c r="BI767" s="178"/>
      <c r="BJ767" s="210"/>
      <c r="BK767" s="211" t="s">
        <v>973</v>
      </c>
      <c r="BL767" s="213" t="s">
        <v>46</v>
      </c>
      <c r="BM767" s="178"/>
      <c r="BN767" s="210"/>
      <c r="BO767" s="211" t="s">
        <v>973</v>
      </c>
      <c r="BP767" s="213" t="s">
        <v>46</v>
      </c>
      <c r="BQ767" s="178"/>
      <c r="BR767" s="210"/>
      <c r="BS767" s="211" t="s">
        <v>973</v>
      </c>
      <c r="BT767" s="213" t="s">
        <v>46</v>
      </c>
      <c r="BU767" s="178"/>
    </row>
    <row r="768" spans="1:73">
      <c r="A768" s="204" t="s">
        <v>974</v>
      </c>
      <c r="B768" s="205" t="s">
        <v>63</v>
      </c>
      <c r="C768" s="142"/>
      <c r="D768" s="207"/>
      <c r="E768" s="132"/>
      <c r="F768" s="138"/>
      <c r="G768" s="143" t="s">
        <v>975</v>
      </c>
      <c r="H768" s="209"/>
      <c r="I768" s="198"/>
      <c r="J768" s="210"/>
      <c r="K768" s="211" t="s">
        <v>975</v>
      </c>
      <c r="L768" s="213" t="s">
        <v>63</v>
      </c>
      <c r="M768" s="178"/>
      <c r="N768" s="210"/>
      <c r="O768" s="211" t="s">
        <v>975</v>
      </c>
      <c r="P768" s="213" t="s">
        <v>63</v>
      </c>
      <c r="Q768" s="178"/>
      <c r="R768" s="210"/>
      <c r="S768" s="211" t="s">
        <v>975</v>
      </c>
      <c r="T768" s="213" t="s">
        <v>63</v>
      </c>
      <c r="U768" s="178"/>
      <c r="V768" s="210"/>
      <c r="W768" s="211" t="s">
        <v>975</v>
      </c>
      <c r="X768" s="213" t="s">
        <v>63</v>
      </c>
      <c r="Y768" s="178"/>
      <c r="Z768" s="210"/>
      <c r="AA768" s="211" t="s">
        <v>975</v>
      </c>
      <c r="AB768" s="213" t="s">
        <v>63</v>
      </c>
      <c r="AC768" s="178"/>
      <c r="AD768" s="210"/>
      <c r="AE768" s="211" t="s">
        <v>975</v>
      </c>
      <c r="AF768" s="213" t="s">
        <v>63</v>
      </c>
      <c r="AG768" s="178"/>
      <c r="AH768" s="210"/>
      <c r="AI768" s="211" t="s">
        <v>975</v>
      </c>
      <c r="AJ768" s="213" t="s">
        <v>63</v>
      </c>
      <c r="AK768" s="178"/>
      <c r="AL768" s="210"/>
      <c r="AM768" s="211" t="s">
        <v>975</v>
      </c>
      <c r="AN768" s="213" t="s">
        <v>63</v>
      </c>
      <c r="AO768" s="178"/>
      <c r="AP768" s="210"/>
      <c r="AQ768" s="211" t="s">
        <v>975</v>
      </c>
      <c r="AR768" s="213" t="s">
        <v>63</v>
      </c>
      <c r="AS768" s="178"/>
      <c r="AT768" s="210"/>
      <c r="AU768" s="211" t="s">
        <v>975</v>
      </c>
      <c r="AV768" s="213" t="s">
        <v>63</v>
      </c>
      <c r="AW768" s="178"/>
      <c r="AX768" s="210"/>
      <c r="AY768" s="211" t="s">
        <v>975</v>
      </c>
      <c r="AZ768" s="213" t="s">
        <v>63</v>
      </c>
      <c r="BA768" s="178"/>
      <c r="BB768" s="210"/>
      <c r="BC768" s="211" t="s">
        <v>975</v>
      </c>
      <c r="BD768" s="213" t="s">
        <v>63</v>
      </c>
      <c r="BE768" s="178"/>
      <c r="BF768" s="210"/>
      <c r="BG768" s="211" t="s">
        <v>975</v>
      </c>
      <c r="BH768" s="213" t="s">
        <v>63</v>
      </c>
      <c r="BI768" s="178"/>
      <c r="BJ768" s="210"/>
      <c r="BK768" s="211" t="s">
        <v>975</v>
      </c>
      <c r="BL768" s="213" t="s">
        <v>63</v>
      </c>
      <c r="BM768" s="178"/>
      <c r="BN768" s="210"/>
      <c r="BO768" s="211" t="s">
        <v>975</v>
      </c>
      <c r="BP768" s="213" t="s">
        <v>63</v>
      </c>
      <c r="BQ768" s="178"/>
      <c r="BR768" s="210"/>
      <c r="BS768" s="211" t="s">
        <v>975</v>
      </c>
      <c r="BT768" s="213" t="s">
        <v>63</v>
      </c>
      <c r="BU768" s="178"/>
    </row>
    <row r="769" spans="1:73">
      <c r="A769" s="204" t="s">
        <v>976</v>
      </c>
      <c r="B769" s="205" t="s">
        <v>46</v>
      </c>
      <c r="C769" s="142"/>
      <c r="D769" s="207"/>
      <c r="E769" s="132"/>
      <c r="F769" s="138"/>
      <c r="G769" s="143" t="s">
        <v>977</v>
      </c>
      <c r="H769" s="209"/>
      <c r="I769" s="198"/>
      <c r="J769" s="210"/>
      <c r="K769" s="211" t="s">
        <v>977</v>
      </c>
      <c r="L769" s="213" t="s">
        <v>46</v>
      </c>
      <c r="M769" s="178"/>
      <c r="N769" s="210"/>
      <c r="O769" s="211" t="s">
        <v>977</v>
      </c>
      <c r="P769" s="213" t="s">
        <v>46</v>
      </c>
      <c r="Q769" s="178"/>
      <c r="R769" s="210"/>
      <c r="S769" s="211" t="s">
        <v>977</v>
      </c>
      <c r="T769" s="213" t="s">
        <v>46</v>
      </c>
      <c r="U769" s="178"/>
      <c r="V769" s="210"/>
      <c r="W769" s="211" t="s">
        <v>977</v>
      </c>
      <c r="X769" s="213" t="s">
        <v>46</v>
      </c>
      <c r="Y769" s="178"/>
      <c r="Z769" s="210"/>
      <c r="AA769" s="211" t="s">
        <v>977</v>
      </c>
      <c r="AB769" s="213" t="s">
        <v>46</v>
      </c>
      <c r="AC769" s="178"/>
      <c r="AD769" s="210"/>
      <c r="AE769" s="211" t="s">
        <v>977</v>
      </c>
      <c r="AF769" s="213" t="s">
        <v>46</v>
      </c>
      <c r="AG769" s="178"/>
      <c r="AH769" s="210"/>
      <c r="AI769" s="211" t="s">
        <v>977</v>
      </c>
      <c r="AJ769" s="213" t="s">
        <v>46</v>
      </c>
      <c r="AK769" s="178"/>
      <c r="AL769" s="210"/>
      <c r="AM769" s="211" t="s">
        <v>977</v>
      </c>
      <c r="AN769" s="213" t="s">
        <v>46</v>
      </c>
      <c r="AO769" s="178"/>
      <c r="AP769" s="210"/>
      <c r="AQ769" s="211" t="s">
        <v>977</v>
      </c>
      <c r="AR769" s="213" t="s">
        <v>46</v>
      </c>
      <c r="AS769" s="178"/>
      <c r="AT769" s="210"/>
      <c r="AU769" s="211" t="s">
        <v>977</v>
      </c>
      <c r="AV769" s="213" t="s">
        <v>46</v>
      </c>
      <c r="AW769" s="178"/>
      <c r="AX769" s="210"/>
      <c r="AY769" s="211" t="s">
        <v>977</v>
      </c>
      <c r="AZ769" s="213" t="s">
        <v>46</v>
      </c>
      <c r="BA769" s="178"/>
      <c r="BB769" s="210"/>
      <c r="BC769" s="211" t="s">
        <v>977</v>
      </c>
      <c r="BD769" s="213" t="s">
        <v>46</v>
      </c>
      <c r="BE769" s="178"/>
      <c r="BF769" s="210"/>
      <c r="BG769" s="211" t="s">
        <v>977</v>
      </c>
      <c r="BH769" s="213" t="s">
        <v>46</v>
      </c>
      <c r="BI769" s="178"/>
      <c r="BJ769" s="210"/>
      <c r="BK769" s="211" t="s">
        <v>977</v>
      </c>
      <c r="BL769" s="213" t="s">
        <v>46</v>
      </c>
      <c r="BM769" s="178"/>
      <c r="BN769" s="210"/>
      <c r="BO769" s="211" t="s">
        <v>977</v>
      </c>
      <c r="BP769" s="213" t="s">
        <v>46</v>
      </c>
      <c r="BQ769" s="178"/>
      <c r="BR769" s="210"/>
      <c r="BS769" s="211" t="s">
        <v>977</v>
      </c>
      <c r="BT769" s="213" t="s">
        <v>46</v>
      </c>
      <c r="BU769" s="178"/>
    </row>
    <row r="770" spans="1:73">
      <c r="A770" s="165"/>
      <c r="B770" s="166"/>
      <c r="C770" s="166"/>
      <c r="D770" s="207"/>
      <c r="E770" s="132"/>
      <c r="F770" s="138"/>
      <c r="G770" s="243"/>
      <c r="H770" s="209"/>
      <c r="I770" s="198"/>
      <c r="J770" s="210"/>
      <c r="K770" s="244"/>
      <c r="L770" s="222"/>
      <c r="M770" s="178"/>
      <c r="N770" s="210"/>
      <c r="O770" s="244"/>
      <c r="P770" s="222"/>
      <c r="Q770" s="178"/>
      <c r="R770" s="210"/>
      <c r="S770" s="244"/>
      <c r="T770" s="222"/>
      <c r="U770" s="178"/>
      <c r="V770" s="210"/>
      <c r="W770" s="244"/>
      <c r="X770" s="222"/>
      <c r="Y770" s="178"/>
      <c r="Z770" s="210"/>
      <c r="AA770" s="244"/>
      <c r="AB770" s="222"/>
      <c r="AC770" s="178"/>
      <c r="AD770" s="210"/>
      <c r="AE770" s="244"/>
      <c r="AF770" s="222"/>
      <c r="AG770" s="178"/>
      <c r="AH770" s="210"/>
      <c r="AI770" s="244"/>
      <c r="AJ770" s="222"/>
      <c r="AK770" s="178"/>
      <c r="AL770" s="210"/>
      <c r="AM770" s="244"/>
      <c r="AN770" s="222"/>
      <c r="AO770" s="178"/>
      <c r="AP770" s="210"/>
      <c r="AQ770" s="244"/>
      <c r="AR770" s="222"/>
      <c r="AS770" s="178"/>
      <c r="AT770" s="210"/>
      <c r="AU770" s="244"/>
      <c r="AV770" s="222"/>
      <c r="AW770" s="178"/>
      <c r="AX770" s="210"/>
      <c r="AY770" s="244"/>
      <c r="AZ770" s="222"/>
      <c r="BA770" s="178"/>
      <c r="BB770" s="210"/>
      <c r="BC770" s="244"/>
      <c r="BD770" s="222"/>
      <c r="BE770" s="178"/>
      <c r="BF770" s="210"/>
      <c r="BG770" s="244"/>
      <c r="BH770" s="222"/>
      <c r="BI770" s="178"/>
      <c r="BJ770" s="210"/>
      <c r="BK770" s="244"/>
      <c r="BL770" s="222"/>
      <c r="BM770" s="178"/>
      <c r="BN770" s="210"/>
      <c r="BO770" s="244"/>
      <c r="BP770" s="222"/>
      <c r="BQ770" s="178"/>
      <c r="BR770" s="210"/>
      <c r="BS770" s="244"/>
      <c r="BT770" s="222"/>
      <c r="BU770" s="178"/>
    </row>
    <row r="771" spans="1:73">
      <c r="A771" s="165"/>
      <c r="B771" s="166"/>
      <c r="C771" s="131"/>
      <c r="E771" s="132"/>
      <c r="F771" s="218"/>
      <c r="G771" s="243"/>
      <c r="H771" s="167"/>
      <c r="I771" s="198"/>
      <c r="J771" s="219"/>
      <c r="K771" s="244"/>
      <c r="L771" s="213"/>
      <c r="M771" s="178"/>
      <c r="N771" s="219"/>
      <c r="O771" s="244"/>
      <c r="P771" s="213"/>
      <c r="Q771" s="178"/>
      <c r="R771" s="219"/>
      <c r="S771" s="244"/>
      <c r="T771" s="213"/>
      <c r="U771" s="178"/>
      <c r="V771" s="219"/>
      <c r="W771" s="244"/>
      <c r="X771" s="213"/>
      <c r="Y771" s="178"/>
      <c r="Z771" s="219"/>
      <c r="AA771" s="244"/>
      <c r="AB771" s="213"/>
      <c r="AC771" s="178"/>
      <c r="AD771" s="219"/>
      <c r="AE771" s="244"/>
      <c r="AF771" s="213"/>
      <c r="AG771" s="178"/>
      <c r="AH771" s="219"/>
      <c r="AI771" s="244"/>
      <c r="AJ771" s="213"/>
      <c r="AK771" s="178"/>
      <c r="AL771" s="219"/>
      <c r="AM771" s="244"/>
      <c r="AN771" s="213"/>
      <c r="AO771" s="178"/>
      <c r="AP771" s="219"/>
      <c r="AQ771" s="244"/>
      <c r="AR771" s="213"/>
      <c r="AS771" s="178"/>
      <c r="AT771" s="219"/>
      <c r="AU771" s="244"/>
      <c r="AV771" s="213"/>
      <c r="AW771" s="178"/>
      <c r="AX771" s="219"/>
      <c r="AY771" s="244"/>
      <c r="AZ771" s="213"/>
      <c r="BA771" s="178"/>
      <c r="BB771" s="219"/>
      <c r="BC771" s="244"/>
      <c r="BD771" s="213"/>
      <c r="BE771" s="178"/>
      <c r="BF771" s="219"/>
      <c r="BG771" s="244"/>
      <c r="BH771" s="213"/>
      <c r="BI771" s="178"/>
      <c r="BJ771" s="219"/>
      <c r="BK771" s="244"/>
      <c r="BL771" s="213"/>
      <c r="BM771" s="178"/>
      <c r="BN771" s="219"/>
      <c r="BO771" s="244"/>
      <c r="BP771" s="213"/>
      <c r="BQ771" s="178"/>
      <c r="BR771" s="219"/>
      <c r="BS771" s="244"/>
      <c r="BT771" s="213"/>
      <c r="BU771" s="178"/>
    </row>
    <row r="772" spans="1:73">
      <c r="A772" s="159"/>
      <c r="B772" s="148"/>
      <c r="C772" s="159"/>
      <c r="D772" s="160"/>
      <c r="E772" s="130"/>
      <c r="F772" s="138" t="s">
        <v>978</v>
      </c>
      <c r="G772" s="161"/>
      <c r="H772" s="162"/>
      <c r="I772" s="245"/>
      <c r="J772" s="210" t="s">
        <v>978</v>
      </c>
      <c r="K772" s="200"/>
      <c r="L772" s="246"/>
      <c r="M772" s="178"/>
      <c r="N772" s="210" t="s">
        <v>978</v>
      </c>
      <c r="O772" s="200"/>
      <c r="P772" s="246"/>
      <c r="Q772" s="178"/>
      <c r="R772" s="210" t="s">
        <v>978</v>
      </c>
      <c r="S772" s="200"/>
      <c r="T772" s="246"/>
      <c r="U772" s="178"/>
      <c r="V772" s="210" t="s">
        <v>978</v>
      </c>
      <c r="W772" s="200"/>
      <c r="X772" s="246"/>
      <c r="Y772" s="178"/>
      <c r="Z772" s="210" t="s">
        <v>978</v>
      </c>
      <c r="AA772" s="200"/>
      <c r="AB772" s="246"/>
      <c r="AC772" s="178"/>
      <c r="AD772" s="210" t="s">
        <v>978</v>
      </c>
      <c r="AE772" s="200"/>
      <c r="AF772" s="246"/>
      <c r="AG772" s="178"/>
      <c r="AH772" s="210" t="s">
        <v>978</v>
      </c>
      <c r="AI772" s="200"/>
      <c r="AJ772" s="246"/>
      <c r="AK772" s="178"/>
      <c r="AL772" s="210" t="s">
        <v>978</v>
      </c>
      <c r="AM772" s="200"/>
      <c r="AN772" s="246"/>
      <c r="AO772" s="178"/>
      <c r="AP772" s="210" t="s">
        <v>978</v>
      </c>
      <c r="AQ772" s="200"/>
      <c r="AR772" s="246"/>
      <c r="AS772" s="178"/>
      <c r="AT772" s="210" t="s">
        <v>978</v>
      </c>
      <c r="AU772" s="200"/>
      <c r="AV772" s="246"/>
      <c r="AW772" s="178"/>
      <c r="AX772" s="210" t="s">
        <v>978</v>
      </c>
      <c r="AY772" s="200"/>
      <c r="AZ772" s="246"/>
      <c r="BA772" s="178"/>
      <c r="BB772" s="210" t="s">
        <v>978</v>
      </c>
      <c r="BC772" s="200"/>
      <c r="BD772" s="246"/>
      <c r="BE772" s="178"/>
      <c r="BF772" s="210" t="s">
        <v>978</v>
      </c>
      <c r="BG772" s="200"/>
      <c r="BH772" s="246"/>
      <c r="BI772" s="178"/>
      <c r="BJ772" s="210" t="s">
        <v>978</v>
      </c>
      <c r="BK772" s="200"/>
      <c r="BL772" s="246"/>
      <c r="BM772" s="178"/>
      <c r="BN772" s="210" t="s">
        <v>978</v>
      </c>
      <c r="BO772" s="200"/>
      <c r="BP772" s="246"/>
      <c r="BQ772" s="178"/>
      <c r="BR772" s="210" t="s">
        <v>978</v>
      </c>
      <c r="BS772" s="200"/>
      <c r="BT772" s="246"/>
      <c r="BU772" s="178"/>
    </row>
    <row r="773" spans="1:73">
      <c r="A773" s="136" t="s">
        <v>36</v>
      </c>
      <c r="B773" s="137" t="s">
        <v>37</v>
      </c>
      <c r="C773" s="137" t="s">
        <v>38</v>
      </c>
      <c r="D773" s="160"/>
      <c r="E773" s="130"/>
      <c r="F773" s="138"/>
      <c r="G773" s="139" t="s">
        <v>39</v>
      </c>
      <c r="H773" s="140" t="s">
        <v>40</v>
      </c>
      <c r="J773" s="138"/>
      <c r="K773" s="139" t="s">
        <v>39</v>
      </c>
      <c r="L773" s="203" t="s">
        <v>40</v>
      </c>
      <c r="N773" s="138"/>
      <c r="O773" s="139" t="s">
        <v>39</v>
      </c>
      <c r="P773" s="203" t="s">
        <v>40</v>
      </c>
      <c r="R773" s="138"/>
      <c r="S773" s="139" t="s">
        <v>39</v>
      </c>
      <c r="T773" s="203" t="s">
        <v>40</v>
      </c>
      <c r="V773" s="138"/>
      <c r="W773" s="139" t="s">
        <v>39</v>
      </c>
      <c r="X773" s="203" t="s">
        <v>40</v>
      </c>
      <c r="Z773" s="138"/>
      <c r="AA773" s="139" t="s">
        <v>39</v>
      </c>
      <c r="AB773" s="203" t="s">
        <v>40</v>
      </c>
      <c r="AD773" s="138"/>
      <c r="AE773" s="139" t="s">
        <v>39</v>
      </c>
      <c r="AF773" s="203" t="s">
        <v>40</v>
      </c>
      <c r="AH773" s="138"/>
      <c r="AI773" s="139" t="s">
        <v>39</v>
      </c>
      <c r="AJ773" s="203" t="s">
        <v>40</v>
      </c>
      <c r="AL773" s="138"/>
      <c r="AM773" s="139" t="s">
        <v>39</v>
      </c>
      <c r="AN773" s="203" t="s">
        <v>40</v>
      </c>
      <c r="AP773" s="138"/>
      <c r="AQ773" s="139" t="s">
        <v>39</v>
      </c>
      <c r="AR773" s="203" t="s">
        <v>40</v>
      </c>
      <c r="AT773" s="138"/>
      <c r="AU773" s="139" t="s">
        <v>39</v>
      </c>
      <c r="AV773" s="203" t="s">
        <v>40</v>
      </c>
      <c r="AX773" s="138"/>
      <c r="AY773" s="139" t="s">
        <v>39</v>
      </c>
      <c r="AZ773" s="203" t="s">
        <v>40</v>
      </c>
      <c r="BB773" s="138"/>
      <c r="BC773" s="139" t="s">
        <v>39</v>
      </c>
      <c r="BD773" s="203" t="s">
        <v>40</v>
      </c>
      <c r="BF773" s="138"/>
      <c r="BG773" s="139" t="s">
        <v>39</v>
      </c>
      <c r="BH773" s="203" t="s">
        <v>40</v>
      </c>
      <c r="BJ773" s="138"/>
      <c r="BK773" s="139" t="s">
        <v>39</v>
      </c>
      <c r="BL773" s="203" t="s">
        <v>40</v>
      </c>
      <c r="BN773" s="138"/>
      <c r="BO773" s="139" t="s">
        <v>39</v>
      </c>
      <c r="BP773" s="203" t="s">
        <v>40</v>
      </c>
      <c r="BR773" s="138"/>
      <c r="BS773" s="139" t="s">
        <v>39</v>
      </c>
      <c r="BT773" s="203" t="s">
        <v>40</v>
      </c>
    </row>
    <row r="774" spans="1:73">
      <c r="A774" s="221"/>
      <c r="B774" s="205" t="s">
        <v>46</v>
      </c>
      <c r="C774" s="142"/>
      <c r="D774" s="207"/>
      <c r="E774" s="132"/>
      <c r="F774" s="138"/>
      <c r="G774" s="143" t="s">
        <v>979</v>
      </c>
      <c r="H774" s="167"/>
      <c r="I774" s="245"/>
      <c r="J774" s="210"/>
      <c r="K774" s="211" t="s">
        <v>979</v>
      </c>
      <c r="L774" s="213" t="s">
        <v>46</v>
      </c>
      <c r="M774" s="178"/>
      <c r="N774" s="210"/>
      <c r="O774" s="211" t="s">
        <v>979</v>
      </c>
      <c r="P774" s="213" t="s">
        <v>46</v>
      </c>
      <c r="Q774" s="178"/>
      <c r="R774" s="210"/>
      <c r="S774" s="211" t="s">
        <v>979</v>
      </c>
      <c r="T774" s="213" t="s">
        <v>46</v>
      </c>
      <c r="U774" s="178"/>
      <c r="V774" s="210"/>
      <c r="W774" s="211" t="s">
        <v>979</v>
      </c>
      <c r="X774" s="212" t="s">
        <v>63</v>
      </c>
      <c r="Y774" s="178"/>
      <c r="Z774" s="210"/>
      <c r="AA774" s="211" t="s">
        <v>979</v>
      </c>
      <c r="AB774" s="213" t="s">
        <v>46</v>
      </c>
      <c r="AC774" s="178"/>
      <c r="AD774" s="210"/>
      <c r="AE774" s="211" t="s">
        <v>979</v>
      </c>
      <c r="AF774" s="213" t="s">
        <v>46</v>
      </c>
      <c r="AG774" s="178"/>
      <c r="AH774" s="210"/>
      <c r="AI774" s="211" t="s">
        <v>979</v>
      </c>
      <c r="AJ774" s="213" t="s">
        <v>46</v>
      </c>
      <c r="AK774" s="178"/>
      <c r="AL774" s="210"/>
      <c r="AM774" s="211" t="s">
        <v>979</v>
      </c>
      <c r="AN774" s="213" t="s">
        <v>46</v>
      </c>
      <c r="AO774" s="178"/>
      <c r="AP774" s="210"/>
      <c r="AQ774" s="211" t="s">
        <v>979</v>
      </c>
      <c r="AR774" s="213" t="s">
        <v>46</v>
      </c>
      <c r="AS774" s="178"/>
      <c r="AT774" s="210"/>
      <c r="AU774" s="211" t="s">
        <v>979</v>
      </c>
      <c r="AV774" s="213" t="s">
        <v>46</v>
      </c>
      <c r="AW774" s="178"/>
      <c r="AX774" s="210"/>
      <c r="AY774" s="211" t="s">
        <v>979</v>
      </c>
      <c r="AZ774" s="212" t="s">
        <v>63</v>
      </c>
      <c r="BA774" s="178"/>
      <c r="BB774" s="210"/>
      <c r="BC774" s="211" t="s">
        <v>979</v>
      </c>
      <c r="BD774" s="213" t="s">
        <v>46</v>
      </c>
      <c r="BE774" s="178"/>
      <c r="BF774" s="210"/>
      <c r="BG774" s="211" t="s">
        <v>979</v>
      </c>
      <c r="BH774" s="213" t="s">
        <v>46</v>
      </c>
      <c r="BI774" s="178"/>
      <c r="BJ774" s="210"/>
      <c r="BK774" s="211" t="s">
        <v>979</v>
      </c>
      <c r="BL774" s="213" t="s">
        <v>46</v>
      </c>
      <c r="BM774" s="178"/>
      <c r="BN774" s="210"/>
      <c r="BO774" s="211" t="s">
        <v>979</v>
      </c>
      <c r="BP774" s="213" t="s">
        <v>46</v>
      </c>
      <c r="BQ774" s="178"/>
      <c r="BR774" s="210"/>
      <c r="BS774" s="211" t="s">
        <v>979</v>
      </c>
      <c r="BT774" s="213" t="s">
        <v>46</v>
      </c>
      <c r="BU774" s="178"/>
    </row>
    <row r="775" spans="1:73">
      <c r="A775" s="221"/>
      <c r="B775" s="205" t="s">
        <v>186</v>
      </c>
      <c r="C775" s="142"/>
      <c r="D775" s="207"/>
      <c r="E775" s="132"/>
      <c r="F775" s="138"/>
      <c r="G775" s="143" t="s">
        <v>980</v>
      </c>
      <c r="H775" s="167"/>
      <c r="I775" s="245"/>
      <c r="J775" s="210"/>
      <c r="K775" s="211" t="s">
        <v>980</v>
      </c>
      <c r="L775" s="213" t="s">
        <v>186</v>
      </c>
      <c r="M775" s="178"/>
      <c r="N775" s="210"/>
      <c r="O775" s="211" t="s">
        <v>980</v>
      </c>
      <c r="P775" s="213" t="s">
        <v>186</v>
      </c>
      <c r="Q775" s="178"/>
      <c r="R775" s="210"/>
      <c r="S775" s="211" t="s">
        <v>980</v>
      </c>
      <c r="T775" s="213" t="s">
        <v>186</v>
      </c>
      <c r="U775" s="178"/>
      <c r="V775" s="210"/>
      <c r="W775" s="211" t="s">
        <v>980</v>
      </c>
      <c r="X775" s="213" t="s">
        <v>186</v>
      </c>
      <c r="Y775" s="178"/>
      <c r="Z775" s="210"/>
      <c r="AA775" s="211" t="s">
        <v>980</v>
      </c>
      <c r="AB775" s="213" t="s">
        <v>186</v>
      </c>
      <c r="AC775" s="178"/>
      <c r="AD775" s="210"/>
      <c r="AE775" s="211" t="s">
        <v>980</v>
      </c>
      <c r="AF775" s="213" t="s">
        <v>186</v>
      </c>
      <c r="AG775" s="178"/>
      <c r="AH775" s="210"/>
      <c r="AI775" s="211" t="s">
        <v>980</v>
      </c>
      <c r="AJ775" s="213" t="s">
        <v>186</v>
      </c>
      <c r="AK775" s="178"/>
      <c r="AL775" s="210"/>
      <c r="AM775" s="211" t="s">
        <v>980</v>
      </c>
      <c r="AN775" s="213" t="s">
        <v>186</v>
      </c>
      <c r="AO775" s="178"/>
      <c r="AP775" s="210"/>
      <c r="AQ775" s="211" t="s">
        <v>980</v>
      </c>
      <c r="AR775" s="213" t="s">
        <v>186</v>
      </c>
      <c r="AS775" s="178"/>
      <c r="AT775" s="210"/>
      <c r="AU775" s="211" t="s">
        <v>980</v>
      </c>
      <c r="AV775" s="213" t="s">
        <v>186</v>
      </c>
      <c r="AW775" s="178"/>
      <c r="AX775" s="210"/>
      <c r="AY775" s="211" t="s">
        <v>980</v>
      </c>
      <c r="AZ775" s="213" t="s">
        <v>186</v>
      </c>
      <c r="BA775" s="178"/>
      <c r="BB775" s="210"/>
      <c r="BC775" s="211" t="s">
        <v>980</v>
      </c>
      <c r="BD775" s="213" t="s">
        <v>186</v>
      </c>
      <c r="BE775" s="178"/>
      <c r="BF775" s="210"/>
      <c r="BG775" s="211" t="s">
        <v>980</v>
      </c>
      <c r="BH775" s="213" t="s">
        <v>186</v>
      </c>
      <c r="BI775" s="178"/>
      <c r="BJ775" s="210"/>
      <c r="BK775" s="211" t="s">
        <v>980</v>
      </c>
      <c r="BL775" s="213" t="s">
        <v>186</v>
      </c>
      <c r="BM775" s="178"/>
      <c r="BN775" s="210"/>
      <c r="BO775" s="211" t="s">
        <v>980</v>
      </c>
      <c r="BP775" s="213" t="s">
        <v>186</v>
      </c>
      <c r="BQ775" s="178"/>
      <c r="BR775" s="210"/>
      <c r="BS775" s="211" t="s">
        <v>980</v>
      </c>
      <c r="BT775" s="213" t="s">
        <v>186</v>
      </c>
      <c r="BU775" s="178"/>
    </row>
    <row r="776" spans="1:73">
      <c r="A776" s="221"/>
      <c r="B776" s="205" t="s">
        <v>46</v>
      </c>
      <c r="C776" s="142"/>
      <c r="D776" s="207"/>
      <c r="E776" s="132"/>
      <c r="F776" s="138"/>
      <c r="G776" s="143" t="s">
        <v>981</v>
      </c>
      <c r="H776" s="167"/>
      <c r="I776" s="245"/>
      <c r="J776" s="210"/>
      <c r="K776" s="211" t="s">
        <v>981</v>
      </c>
      <c r="L776" s="213" t="s">
        <v>46</v>
      </c>
      <c r="M776" s="178"/>
      <c r="N776" s="210"/>
      <c r="O776" s="211" t="s">
        <v>981</v>
      </c>
      <c r="P776" s="213" t="s">
        <v>46</v>
      </c>
      <c r="Q776" s="178"/>
      <c r="R776" s="210"/>
      <c r="S776" s="211" t="s">
        <v>981</v>
      </c>
      <c r="T776" s="213" t="s">
        <v>46</v>
      </c>
      <c r="U776" s="178"/>
      <c r="V776" s="210"/>
      <c r="W776" s="211" t="s">
        <v>981</v>
      </c>
      <c r="X776" s="212" t="s">
        <v>63</v>
      </c>
      <c r="Y776" s="178"/>
      <c r="Z776" s="210"/>
      <c r="AA776" s="211" t="s">
        <v>981</v>
      </c>
      <c r="AB776" s="213" t="s">
        <v>46</v>
      </c>
      <c r="AC776" s="178"/>
      <c r="AD776" s="210"/>
      <c r="AE776" s="211" t="s">
        <v>981</v>
      </c>
      <c r="AF776" s="213" t="s">
        <v>46</v>
      </c>
      <c r="AG776" s="178"/>
      <c r="AH776" s="210"/>
      <c r="AI776" s="211" t="s">
        <v>981</v>
      </c>
      <c r="AJ776" s="213" t="s">
        <v>46</v>
      </c>
      <c r="AK776" s="178"/>
      <c r="AL776" s="210"/>
      <c r="AM776" s="211" t="s">
        <v>981</v>
      </c>
      <c r="AN776" s="213" t="s">
        <v>46</v>
      </c>
      <c r="AO776" s="178"/>
      <c r="AP776" s="210"/>
      <c r="AQ776" s="211" t="s">
        <v>981</v>
      </c>
      <c r="AR776" s="213" t="s">
        <v>46</v>
      </c>
      <c r="AS776" s="178"/>
      <c r="AT776" s="210"/>
      <c r="AU776" s="211" t="s">
        <v>981</v>
      </c>
      <c r="AV776" s="213" t="s">
        <v>46</v>
      </c>
      <c r="AW776" s="178"/>
      <c r="AX776" s="210"/>
      <c r="AY776" s="211" t="s">
        <v>981</v>
      </c>
      <c r="AZ776" s="212" t="s">
        <v>63</v>
      </c>
      <c r="BA776" s="178"/>
      <c r="BB776" s="210"/>
      <c r="BC776" s="211" t="s">
        <v>981</v>
      </c>
      <c r="BD776" s="213" t="s">
        <v>46</v>
      </c>
      <c r="BE776" s="178"/>
      <c r="BF776" s="210"/>
      <c r="BG776" s="211" t="s">
        <v>981</v>
      </c>
      <c r="BH776" s="213" t="s">
        <v>46</v>
      </c>
      <c r="BI776" s="178"/>
      <c r="BJ776" s="210"/>
      <c r="BK776" s="211" t="s">
        <v>981</v>
      </c>
      <c r="BL776" s="213" t="s">
        <v>46</v>
      </c>
      <c r="BM776" s="178"/>
      <c r="BN776" s="210"/>
      <c r="BO776" s="211" t="s">
        <v>981</v>
      </c>
      <c r="BP776" s="213" t="s">
        <v>46</v>
      </c>
      <c r="BQ776" s="178"/>
      <c r="BR776" s="210"/>
      <c r="BS776" s="211" t="s">
        <v>981</v>
      </c>
      <c r="BT776" s="213" t="s">
        <v>46</v>
      </c>
      <c r="BU776" s="178"/>
    </row>
    <row r="777" spans="1:73">
      <c r="A777" s="165"/>
      <c r="B777" s="166"/>
      <c r="C777" s="166"/>
      <c r="D777" s="160"/>
      <c r="E777" s="130"/>
      <c r="F777" s="138"/>
      <c r="G777" s="149"/>
      <c r="H777" s="167"/>
      <c r="I777" s="198"/>
      <c r="J777" s="210"/>
      <c r="K777" s="229"/>
      <c r="L777" s="213"/>
      <c r="M777" s="178"/>
      <c r="N777" s="210"/>
      <c r="O777" s="229"/>
      <c r="P777" s="213"/>
      <c r="Q777" s="178"/>
      <c r="R777" s="210"/>
      <c r="S777" s="229"/>
      <c r="T777" s="213"/>
      <c r="U777" s="178"/>
      <c r="V777" s="210"/>
      <c r="W777" s="229"/>
      <c r="X777" s="213"/>
      <c r="Y777" s="178"/>
      <c r="Z777" s="210"/>
      <c r="AA777" s="229"/>
      <c r="AB777" s="213"/>
      <c r="AC777" s="178"/>
      <c r="AD777" s="210"/>
      <c r="AE777" s="229"/>
      <c r="AF777" s="213"/>
      <c r="AG777" s="178"/>
      <c r="AH777" s="210"/>
      <c r="AI777" s="229"/>
      <c r="AJ777" s="213"/>
      <c r="AK777" s="178"/>
      <c r="AL777" s="210"/>
      <c r="AM777" s="229"/>
      <c r="AN777" s="213"/>
      <c r="AO777" s="178"/>
      <c r="AP777" s="210"/>
      <c r="AQ777" s="229"/>
      <c r="AR777" s="213"/>
      <c r="AS777" s="178"/>
      <c r="AT777" s="210"/>
      <c r="AU777" s="229"/>
      <c r="AV777" s="213"/>
      <c r="AW777" s="178"/>
      <c r="AX777" s="210"/>
      <c r="AY777" s="229"/>
      <c r="AZ777" s="213"/>
      <c r="BA777" s="178"/>
      <c r="BB777" s="210"/>
      <c r="BC777" s="229"/>
      <c r="BD777" s="213"/>
      <c r="BE777" s="178"/>
      <c r="BF777" s="210"/>
      <c r="BG777" s="229"/>
      <c r="BH777" s="213"/>
      <c r="BI777" s="178"/>
      <c r="BJ777" s="210"/>
      <c r="BK777" s="229"/>
      <c r="BL777" s="213"/>
      <c r="BM777" s="178"/>
      <c r="BN777" s="210"/>
      <c r="BO777" s="229"/>
      <c r="BP777" s="213"/>
      <c r="BQ777" s="178"/>
      <c r="BR777" s="210"/>
      <c r="BS777" s="229"/>
      <c r="BT777" s="213"/>
      <c r="BU777" s="178"/>
    </row>
    <row r="778" spans="1:73">
      <c r="A778" s="166"/>
      <c r="B778" s="166"/>
      <c r="C778" s="166"/>
      <c r="D778" s="160"/>
      <c r="E778" s="130"/>
      <c r="F778" s="158"/>
      <c r="G778" s="149"/>
      <c r="H778" s="167"/>
      <c r="I778" s="178"/>
      <c r="J778" s="247"/>
      <c r="K778" s="229"/>
      <c r="L778" s="213"/>
      <c r="M778" s="178"/>
      <c r="N778" s="247"/>
      <c r="O778" s="229"/>
      <c r="P778" s="213"/>
      <c r="Q778" s="178"/>
      <c r="R778" s="247"/>
      <c r="S778" s="229"/>
      <c r="T778" s="213"/>
      <c r="U778" s="178"/>
      <c r="V778" s="247"/>
      <c r="W778" s="229"/>
      <c r="X778" s="213"/>
      <c r="Y778" s="178"/>
      <c r="Z778" s="247"/>
      <c r="AA778" s="229"/>
      <c r="AB778" s="213"/>
      <c r="AC778" s="178"/>
      <c r="AD778" s="247"/>
      <c r="AE778" s="229"/>
      <c r="AF778" s="213"/>
      <c r="AG778" s="178"/>
      <c r="AH778" s="247"/>
      <c r="AI778" s="229"/>
      <c r="AJ778" s="213"/>
      <c r="AK778" s="178"/>
      <c r="AL778" s="247"/>
      <c r="AM778" s="229"/>
      <c r="AN778" s="213"/>
      <c r="AO778" s="178"/>
      <c r="AP778" s="247"/>
      <c r="AQ778" s="229"/>
      <c r="AR778" s="213"/>
      <c r="AS778" s="178"/>
      <c r="AT778" s="247"/>
      <c r="AU778" s="229"/>
      <c r="AV778" s="213"/>
      <c r="AW778" s="178"/>
      <c r="AX778" s="247"/>
      <c r="AY778" s="229"/>
      <c r="AZ778" s="213"/>
      <c r="BA778" s="178"/>
      <c r="BB778" s="247"/>
      <c r="BC778" s="229"/>
      <c r="BD778" s="213"/>
      <c r="BE778" s="178"/>
      <c r="BF778" s="247"/>
      <c r="BG778" s="229"/>
      <c r="BH778" s="213"/>
      <c r="BI778" s="178"/>
      <c r="BJ778" s="247"/>
      <c r="BK778" s="229"/>
      <c r="BL778" s="213"/>
      <c r="BM778" s="178"/>
      <c r="BN778" s="247"/>
      <c r="BO778" s="229"/>
      <c r="BP778" s="213"/>
      <c r="BQ778" s="178"/>
      <c r="BR778" s="247"/>
      <c r="BS778" s="229"/>
      <c r="BT778" s="213"/>
      <c r="BU778" s="178"/>
    </row>
    <row r="779" spans="1:73">
      <c r="A779" s="159"/>
      <c r="B779" s="148"/>
      <c r="C779" s="159"/>
      <c r="D779" s="160"/>
      <c r="E779" s="130"/>
      <c r="F779" s="138" t="s">
        <v>982</v>
      </c>
      <c r="G779" s="161"/>
      <c r="H779" s="162"/>
      <c r="I779" s="245"/>
      <c r="J779" s="210" t="s">
        <v>982</v>
      </c>
      <c r="K779" s="200"/>
      <c r="L779" s="246"/>
      <c r="M779" s="178"/>
      <c r="N779" s="210" t="s">
        <v>982</v>
      </c>
      <c r="O779" s="200"/>
      <c r="P779" s="246"/>
      <c r="Q779" s="178"/>
      <c r="R779" s="210" t="s">
        <v>982</v>
      </c>
      <c r="S779" s="200"/>
      <c r="T779" s="246"/>
      <c r="U779" s="178"/>
      <c r="V779" s="210" t="s">
        <v>982</v>
      </c>
      <c r="W779" s="200"/>
      <c r="X779" s="246"/>
      <c r="Y779" s="178"/>
      <c r="Z779" s="210" t="s">
        <v>982</v>
      </c>
      <c r="AA779" s="200"/>
      <c r="AB779" s="246"/>
      <c r="AC779" s="178"/>
      <c r="AD779" s="210" t="s">
        <v>982</v>
      </c>
      <c r="AE779" s="200"/>
      <c r="AF779" s="246"/>
      <c r="AG779" s="178"/>
      <c r="AH779" s="210" t="s">
        <v>982</v>
      </c>
      <c r="AI779" s="200"/>
      <c r="AJ779" s="246"/>
      <c r="AK779" s="178"/>
      <c r="AL779" s="210" t="s">
        <v>982</v>
      </c>
      <c r="AM779" s="200"/>
      <c r="AN779" s="246"/>
      <c r="AO779" s="178"/>
      <c r="AP779" s="210" t="s">
        <v>982</v>
      </c>
      <c r="AQ779" s="200"/>
      <c r="AR779" s="246"/>
      <c r="AS779" s="178"/>
      <c r="AT779" s="210" t="s">
        <v>982</v>
      </c>
      <c r="AU779" s="200"/>
      <c r="AV779" s="246"/>
      <c r="AW779" s="178"/>
      <c r="AX779" s="210" t="s">
        <v>982</v>
      </c>
      <c r="AY779" s="200"/>
      <c r="AZ779" s="246"/>
      <c r="BA779" s="178"/>
      <c r="BB779" s="210" t="s">
        <v>982</v>
      </c>
      <c r="BC779" s="200"/>
      <c r="BD779" s="246"/>
      <c r="BE779" s="178"/>
      <c r="BF779" s="210" t="s">
        <v>982</v>
      </c>
      <c r="BG779" s="200"/>
      <c r="BH779" s="246"/>
      <c r="BI779" s="178"/>
      <c r="BJ779" s="210" t="s">
        <v>982</v>
      </c>
      <c r="BK779" s="200"/>
      <c r="BL779" s="246"/>
      <c r="BM779" s="178"/>
      <c r="BN779" s="210" t="s">
        <v>982</v>
      </c>
      <c r="BO779" s="200"/>
      <c r="BP779" s="246"/>
      <c r="BQ779" s="178"/>
      <c r="BR779" s="210" t="s">
        <v>982</v>
      </c>
      <c r="BS779" s="200"/>
      <c r="BT779" s="246"/>
      <c r="BU779" s="178"/>
    </row>
    <row r="780" spans="1:73">
      <c r="A780" s="136" t="s">
        <v>36</v>
      </c>
      <c r="B780" s="137" t="s">
        <v>37</v>
      </c>
      <c r="C780" s="137" t="s">
        <v>38</v>
      </c>
      <c r="D780" s="160"/>
      <c r="E780" s="130"/>
      <c r="F780" s="138"/>
      <c r="G780" s="139" t="s">
        <v>39</v>
      </c>
      <c r="H780" s="140" t="s">
        <v>40</v>
      </c>
      <c r="J780" s="138"/>
      <c r="K780" s="139" t="s">
        <v>39</v>
      </c>
      <c r="L780" s="203" t="s">
        <v>40</v>
      </c>
      <c r="N780" s="138"/>
      <c r="O780" s="139" t="s">
        <v>39</v>
      </c>
      <c r="P780" s="203" t="s">
        <v>40</v>
      </c>
      <c r="R780" s="138"/>
      <c r="S780" s="139" t="s">
        <v>39</v>
      </c>
      <c r="T780" s="203" t="s">
        <v>40</v>
      </c>
      <c r="V780" s="138"/>
      <c r="W780" s="139" t="s">
        <v>39</v>
      </c>
      <c r="X780" s="203" t="s">
        <v>40</v>
      </c>
      <c r="Z780" s="138"/>
      <c r="AA780" s="139" t="s">
        <v>39</v>
      </c>
      <c r="AB780" s="203" t="s">
        <v>40</v>
      </c>
      <c r="AD780" s="138"/>
      <c r="AE780" s="139" t="s">
        <v>39</v>
      </c>
      <c r="AF780" s="203" t="s">
        <v>40</v>
      </c>
      <c r="AH780" s="138"/>
      <c r="AI780" s="139" t="s">
        <v>39</v>
      </c>
      <c r="AJ780" s="203" t="s">
        <v>40</v>
      </c>
      <c r="AL780" s="138"/>
      <c r="AM780" s="139" t="s">
        <v>39</v>
      </c>
      <c r="AN780" s="203" t="s">
        <v>40</v>
      </c>
      <c r="AP780" s="138"/>
      <c r="AQ780" s="139" t="s">
        <v>39</v>
      </c>
      <c r="AR780" s="203" t="s">
        <v>40</v>
      </c>
      <c r="AT780" s="138"/>
      <c r="AU780" s="139" t="s">
        <v>39</v>
      </c>
      <c r="AV780" s="203" t="s">
        <v>40</v>
      </c>
      <c r="AX780" s="138"/>
      <c r="AY780" s="139" t="s">
        <v>39</v>
      </c>
      <c r="AZ780" s="203" t="s">
        <v>40</v>
      </c>
      <c r="BB780" s="138"/>
      <c r="BC780" s="139" t="s">
        <v>39</v>
      </c>
      <c r="BD780" s="203" t="s">
        <v>40</v>
      </c>
      <c r="BF780" s="138"/>
      <c r="BG780" s="139" t="s">
        <v>39</v>
      </c>
      <c r="BH780" s="203" t="s">
        <v>40</v>
      </c>
      <c r="BJ780" s="138"/>
      <c r="BK780" s="139" t="s">
        <v>39</v>
      </c>
      <c r="BL780" s="203" t="s">
        <v>40</v>
      </c>
      <c r="BN780" s="138"/>
      <c r="BO780" s="139" t="s">
        <v>39</v>
      </c>
      <c r="BP780" s="203" t="s">
        <v>40</v>
      </c>
      <c r="BR780" s="138"/>
      <c r="BS780" s="139" t="s">
        <v>39</v>
      </c>
      <c r="BT780" s="203" t="s">
        <v>40</v>
      </c>
    </row>
    <row r="781" spans="1:73">
      <c r="A781" s="153"/>
      <c r="B781" s="142" t="s">
        <v>46</v>
      </c>
      <c r="C781" s="142"/>
      <c r="D781" s="160"/>
      <c r="E781" s="130"/>
      <c r="F781" s="138"/>
      <c r="G781" s="163" t="s">
        <v>983</v>
      </c>
      <c r="H781" s="167"/>
      <c r="I781" s="245"/>
      <c r="J781" s="210"/>
      <c r="K781" s="227" t="s">
        <v>983</v>
      </c>
      <c r="L781" s="213" t="s">
        <v>46</v>
      </c>
      <c r="M781" s="178"/>
      <c r="N781" s="210"/>
      <c r="O781" s="227" t="s">
        <v>983</v>
      </c>
      <c r="P781" s="213" t="s">
        <v>46</v>
      </c>
      <c r="Q781" s="178"/>
      <c r="R781" s="210"/>
      <c r="S781" s="227" t="s">
        <v>983</v>
      </c>
      <c r="T781" s="213" t="s">
        <v>46</v>
      </c>
      <c r="U781" s="178"/>
      <c r="V781" s="210"/>
      <c r="W781" s="227" t="s">
        <v>983</v>
      </c>
      <c r="X781" s="213" t="s">
        <v>46</v>
      </c>
      <c r="Y781" s="178"/>
      <c r="Z781" s="210"/>
      <c r="AA781" s="227" t="s">
        <v>983</v>
      </c>
      <c r="AB781" s="213" t="s">
        <v>46</v>
      </c>
      <c r="AC781" s="178"/>
      <c r="AD781" s="210"/>
      <c r="AE781" s="227" t="s">
        <v>983</v>
      </c>
      <c r="AF781" s="213" t="s">
        <v>46</v>
      </c>
      <c r="AG781" s="178"/>
      <c r="AH781" s="210"/>
      <c r="AI781" s="227" t="s">
        <v>983</v>
      </c>
      <c r="AJ781" s="213" t="s">
        <v>46</v>
      </c>
      <c r="AK781" s="178"/>
      <c r="AL781" s="210"/>
      <c r="AM781" s="227" t="s">
        <v>983</v>
      </c>
      <c r="AN781" s="213" t="s">
        <v>46</v>
      </c>
      <c r="AO781" s="178"/>
      <c r="AP781" s="210"/>
      <c r="AQ781" s="227" t="s">
        <v>983</v>
      </c>
      <c r="AR781" s="213" t="s">
        <v>46</v>
      </c>
      <c r="AS781" s="178"/>
      <c r="AT781" s="210"/>
      <c r="AU781" s="227" t="s">
        <v>983</v>
      </c>
      <c r="AV781" s="213" t="s">
        <v>46</v>
      </c>
      <c r="AW781" s="178"/>
      <c r="AX781" s="210"/>
      <c r="AY781" s="227" t="s">
        <v>983</v>
      </c>
      <c r="AZ781" s="213" t="s">
        <v>46</v>
      </c>
      <c r="BA781" s="178"/>
      <c r="BB781" s="210"/>
      <c r="BC781" s="227" t="s">
        <v>983</v>
      </c>
      <c r="BD781" s="213" t="s">
        <v>46</v>
      </c>
      <c r="BE781" s="178"/>
      <c r="BF781" s="210"/>
      <c r="BG781" s="227" t="s">
        <v>983</v>
      </c>
      <c r="BH781" s="213" t="s">
        <v>46</v>
      </c>
      <c r="BI781" s="178"/>
      <c r="BJ781" s="210"/>
      <c r="BK781" s="227" t="s">
        <v>983</v>
      </c>
      <c r="BL781" s="213" t="s">
        <v>46</v>
      </c>
      <c r="BM781" s="178"/>
      <c r="BN781" s="210"/>
      <c r="BO781" s="227" t="s">
        <v>983</v>
      </c>
      <c r="BP781" s="213" t="s">
        <v>46</v>
      </c>
      <c r="BQ781" s="178"/>
      <c r="BR781" s="210"/>
      <c r="BS781" s="227" t="s">
        <v>983</v>
      </c>
      <c r="BT781" s="213" t="s">
        <v>46</v>
      </c>
      <c r="BU781" s="178"/>
    </row>
    <row r="782" spans="1:73">
      <c r="A782" s="153"/>
      <c r="B782" s="142" t="s">
        <v>46</v>
      </c>
      <c r="C782" s="142"/>
      <c r="D782" s="160"/>
      <c r="E782" s="130"/>
      <c r="F782" s="138"/>
      <c r="G782" s="163" t="s">
        <v>984</v>
      </c>
      <c r="H782" s="167"/>
      <c r="I782" s="245"/>
      <c r="J782" s="210"/>
      <c r="K782" s="227" t="s">
        <v>984</v>
      </c>
      <c r="L782" s="213" t="s">
        <v>46</v>
      </c>
      <c r="M782" s="178"/>
      <c r="N782" s="210"/>
      <c r="O782" s="227" t="s">
        <v>984</v>
      </c>
      <c r="P782" s="213" t="s">
        <v>46</v>
      </c>
      <c r="Q782" s="178"/>
      <c r="R782" s="210"/>
      <c r="S782" s="227" t="s">
        <v>984</v>
      </c>
      <c r="T782" s="213" t="s">
        <v>46</v>
      </c>
      <c r="U782" s="178"/>
      <c r="V782" s="210"/>
      <c r="W782" s="227" t="s">
        <v>984</v>
      </c>
      <c r="X782" s="213" t="s">
        <v>46</v>
      </c>
      <c r="Y782" s="178"/>
      <c r="Z782" s="210"/>
      <c r="AA782" s="227" t="s">
        <v>984</v>
      </c>
      <c r="AB782" s="213" t="s">
        <v>46</v>
      </c>
      <c r="AC782" s="178"/>
      <c r="AD782" s="210"/>
      <c r="AE782" s="227" t="s">
        <v>984</v>
      </c>
      <c r="AF782" s="213" t="s">
        <v>46</v>
      </c>
      <c r="AG782" s="178"/>
      <c r="AH782" s="210"/>
      <c r="AI782" s="227" t="s">
        <v>984</v>
      </c>
      <c r="AJ782" s="213" t="s">
        <v>46</v>
      </c>
      <c r="AK782" s="178"/>
      <c r="AL782" s="210"/>
      <c r="AM782" s="227" t="s">
        <v>984</v>
      </c>
      <c r="AN782" s="213" t="s">
        <v>46</v>
      </c>
      <c r="AO782" s="178"/>
      <c r="AP782" s="210"/>
      <c r="AQ782" s="227" t="s">
        <v>984</v>
      </c>
      <c r="AR782" s="213" t="s">
        <v>46</v>
      </c>
      <c r="AS782" s="178"/>
      <c r="AT782" s="210"/>
      <c r="AU782" s="227" t="s">
        <v>984</v>
      </c>
      <c r="AV782" s="213" t="s">
        <v>46</v>
      </c>
      <c r="AW782" s="178"/>
      <c r="AX782" s="210"/>
      <c r="AY782" s="227" t="s">
        <v>984</v>
      </c>
      <c r="AZ782" s="213" t="s">
        <v>46</v>
      </c>
      <c r="BA782" s="178"/>
      <c r="BB782" s="210"/>
      <c r="BC782" s="227" t="s">
        <v>984</v>
      </c>
      <c r="BD782" s="213" t="s">
        <v>46</v>
      </c>
      <c r="BE782" s="178"/>
      <c r="BF782" s="210"/>
      <c r="BG782" s="227" t="s">
        <v>984</v>
      </c>
      <c r="BH782" s="213" t="s">
        <v>46</v>
      </c>
      <c r="BI782" s="178"/>
      <c r="BJ782" s="210"/>
      <c r="BK782" s="227" t="s">
        <v>984</v>
      </c>
      <c r="BL782" s="213" t="s">
        <v>46</v>
      </c>
      <c r="BM782" s="178"/>
      <c r="BN782" s="210"/>
      <c r="BO782" s="227" t="s">
        <v>984</v>
      </c>
      <c r="BP782" s="213" t="s">
        <v>46</v>
      </c>
      <c r="BQ782" s="178"/>
      <c r="BR782" s="210"/>
      <c r="BS782" s="227" t="s">
        <v>984</v>
      </c>
      <c r="BT782" s="213" t="s">
        <v>46</v>
      </c>
      <c r="BU782" s="178"/>
    </row>
    <row r="783" spans="1:73">
      <c r="A783" s="153"/>
      <c r="B783" s="142" t="s">
        <v>46</v>
      </c>
      <c r="C783" s="142"/>
      <c r="D783" s="160"/>
      <c r="E783" s="130"/>
      <c r="F783" s="138"/>
      <c r="G783" s="163" t="s">
        <v>985</v>
      </c>
      <c r="H783" s="167"/>
      <c r="I783" s="245"/>
      <c r="J783" s="210"/>
      <c r="K783" s="227" t="s">
        <v>985</v>
      </c>
      <c r="L783" s="213" t="s">
        <v>46</v>
      </c>
      <c r="M783" s="178"/>
      <c r="N783" s="210"/>
      <c r="O783" s="227" t="s">
        <v>985</v>
      </c>
      <c r="P783" s="213" t="s">
        <v>46</v>
      </c>
      <c r="Q783" s="178"/>
      <c r="R783" s="210"/>
      <c r="S783" s="227" t="s">
        <v>985</v>
      </c>
      <c r="T783" s="213" t="s">
        <v>46</v>
      </c>
      <c r="U783" s="178"/>
      <c r="V783" s="210"/>
      <c r="W783" s="227" t="s">
        <v>985</v>
      </c>
      <c r="X783" s="213" t="s">
        <v>46</v>
      </c>
      <c r="Y783" s="178"/>
      <c r="Z783" s="210"/>
      <c r="AA783" s="227" t="s">
        <v>985</v>
      </c>
      <c r="AB783" s="213" t="s">
        <v>46</v>
      </c>
      <c r="AC783" s="178"/>
      <c r="AD783" s="210"/>
      <c r="AE783" s="227" t="s">
        <v>985</v>
      </c>
      <c r="AF783" s="213" t="s">
        <v>46</v>
      </c>
      <c r="AG783" s="178"/>
      <c r="AH783" s="210"/>
      <c r="AI783" s="227" t="s">
        <v>985</v>
      </c>
      <c r="AJ783" s="213" t="s">
        <v>46</v>
      </c>
      <c r="AK783" s="178"/>
      <c r="AL783" s="210"/>
      <c r="AM783" s="227" t="s">
        <v>985</v>
      </c>
      <c r="AN783" s="213" t="s">
        <v>46</v>
      </c>
      <c r="AO783" s="178"/>
      <c r="AP783" s="210"/>
      <c r="AQ783" s="227" t="s">
        <v>985</v>
      </c>
      <c r="AR783" s="213" t="s">
        <v>46</v>
      </c>
      <c r="AS783" s="178"/>
      <c r="AT783" s="210"/>
      <c r="AU783" s="227" t="s">
        <v>985</v>
      </c>
      <c r="AV783" s="213" t="s">
        <v>46</v>
      </c>
      <c r="AW783" s="178"/>
      <c r="AX783" s="210"/>
      <c r="AY783" s="227" t="s">
        <v>985</v>
      </c>
      <c r="AZ783" s="213" t="s">
        <v>46</v>
      </c>
      <c r="BA783" s="178"/>
      <c r="BB783" s="210"/>
      <c r="BC783" s="227" t="s">
        <v>985</v>
      </c>
      <c r="BD783" s="213" t="s">
        <v>46</v>
      </c>
      <c r="BE783" s="178"/>
      <c r="BF783" s="210"/>
      <c r="BG783" s="227" t="s">
        <v>985</v>
      </c>
      <c r="BH783" s="213" t="s">
        <v>46</v>
      </c>
      <c r="BI783" s="178"/>
      <c r="BJ783" s="210"/>
      <c r="BK783" s="227" t="s">
        <v>985</v>
      </c>
      <c r="BL783" s="213" t="s">
        <v>46</v>
      </c>
      <c r="BM783" s="178"/>
      <c r="BN783" s="210"/>
      <c r="BO783" s="227" t="s">
        <v>985</v>
      </c>
      <c r="BP783" s="213" t="s">
        <v>46</v>
      </c>
      <c r="BQ783" s="178"/>
      <c r="BR783" s="210"/>
      <c r="BS783" s="227" t="s">
        <v>985</v>
      </c>
      <c r="BT783" s="213" t="s">
        <v>46</v>
      </c>
      <c r="BU783" s="178"/>
    </row>
    <row r="784" spans="1:73">
      <c r="A784" s="153"/>
      <c r="B784" s="142" t="s">
        <v>46</v>
      </c>
      <c r="C784" s="142"/>
      <c r="D784" s="160"/>
      <c r="E784" s="130"/>
      <c r="F784" s="138"/>
      <c r="G784" s="163" t="s">
        <v>986</v>
      </c>
      <c r="H784" s="167"/>
      <c r="I784" s="245"/>
      <c r="J784" s="210"/>
      <c r="K784" s="227" t="s">
        <v>986</v>
      </c>
      <c r="L784" s="213" t="s">
        <v>46</v>
      </c>
      <c r="M784" s="178"/>
      <c r="N784" s="210"/>
      <c r="O784" s="227" t="s">
        <v>986</v>
      </c>
      <c r="P784" s="213" t="s">
        <v>46</v>
      </c>
      <c r="Q784" s="178"/>
      <c r="R784" s="210"/>
      <c r="S784" s="227" t="s">
        <v>986</v>
      </c>
      <c r="T784" s="213" t="s">
        <v>46</v>
      </c>
      <c r="U784" s="178"/>
      <c r="V784" s="210"/>
      <c r="W784" s="227" t="s">
        <v>986</v>
      </c>
      <c r="X784" s="213" t="s">
        <v>46</v>
      </c>
      <c r="Y784" s="178"/>
      <c r="Z784" s="210"/>
      <c r="AA784" s="227" t="s">
        <v>986</v>
      </c>
      <c r="AB784" s="213" t="s">
        <v>46</v>
      </c>
      <c r="AC784" s="178"/>
      <c r="AD784" s="210"/>
      <c r="AE784" s="227" t="s">
        <v>986</v>
      </c>
      <c r="AF784" s="213" t="s">
        <v>46</v>
      </c>
      <c r="AG784" s="178"/>
      <c r="AH784" s="210"/>
      <c r="AI784" s="227" t="s">
        <v>986</v>
      </c>
      <c r="AJ784" s="213" t="s">
        <v>46</v>
      </c>
      <c r="AK784" s="178"/>
      <c r="AL784" s="210"/>
      <c r="AM784" s="227" t="s">
        <v>986</v>
      </c>
      <c r="AN784" s="213" t="s">
        <v>46</v>
      </c>
      <c r="AO784" s="178"/>
      <c r="AP784" s="210"/>
      <c r="AQ784" s="227" t="s">
        <v>986</v>
      </c>
      <c r="AR784" s="213" t="s">
        <v>46</v>
      </c>
      <c r="AS784" s="178"/>
      <c r="AT784" s="210"/>
      <c r="AU784" s="227" t="s">
        <v>986</v>
      </c>
      <c r="AV784" s="213" t="s">
        <v>46</v>
      </c>
      <c r="AW784" s="178"/>
      <c r="AX784" s="210"/>
      <c r="AY784" s="227" t="s">
        <v>986</v>
      </c>
      <c r="AZ784" s="213" t="s">
        <v>46</v>
      </c>
      <c r="BA784" s="178"/>
      <c r="BB784" s="210"/>
      <c r="BC784" s="227" t="s">
        <v>986</v>
      </c>
      <c r="BD784" s="213" t="s">
        <v>46</v>
      </c>
      <c r="BE784" s="178"/>
      <c r="BF784" s="210"/>
      <c r="BG784" s="227" t="s">
        <v>986</v>
      </c>
      <c r="BH784" s="213" t="s">
        <v>46</v>
      </c>
      <c r="BI784" s="178"/>
      <c r="BJ784" s="210"/>
      <c r="BK784" s="227" t="s">
        <v>986</v>
      </c>
      <c r="BL784" s="213" t="s">
        <v>46</v>
      </c>
      <c r="BM784" s="178"/>
      <c r="BN784" s="210"/>
      <c r="BO784" s="227" t="s">
        <v>986</v>
      </c>
      <c r="BP784" s="213" t="s">
        <v>46</v>
      </c>
      <c r="BQ784" s="178"/>
      <c r="BR784" s="210"/>
      <c r="BS784" s="227" t="s">
        <v>986</v>
      </c>
      <c r="BT784" s="213" t="s">
        <v>46</v>
      </c>
      <c r="BU784" s="178"/>
    </row>
    <row r="785" spans="1:73">
      <c r="A785" s="153"/>
      <c r="B785" s="142" t="s">
        <v>46</v>
      </c>
      <c r="C785" s="142"/>
      <c r="D785" s="160"/>
      <c r="E785" s="130"/>
      <c r="F785" s="138"/>
      <c r="G785" s="163" t="s">
        <v>987</v>
      </c>
      <c r="H785" s="167"/>
      <c r="I785" s="245"/>
      <c r="J785" s="210"/>
      <c r="K785" s="227" t="s">
        <v>987</v>
      </c>
      <c r="L785" s="213" t="s">
        <v>46</v>
      </c>
      <c r="M785" s="178"/>
      <c r="N785" s="210"/>
      <c r="O785" s="227" t="s">
        <v>987</v>
      </c>
      <c r="P785" s="213" t="s">
        <v>46</v>
      </c>
      <c r="Q785" s="178"/>
      <c r="R785" s="210"/>
      <c r="S785" s="227" t="s">
        <v>987</v>
      </c>
      <c r="T785" s="213" t="s">
        <v>46</v>
      </c>
      <c r="U785" s="178"/>
      <c r="V785" s="210"/>
      <c r="W785" s="227" t="s">
        <v>987</v>
      </c>
      <c r="X785" s="213" t="s">
        <v>46</v>
      </c>
      <c r="Y785" s="178"/>
      <c r="Z785" s="210"/>
      <c r="AA785" s="227" t="s">
        <v>987</v>
      </c>
      <c r="AB785" s="213" t="s">
        <v>46</v>
      </c>
      <c r="AC785" s="178"/>
      <c r="AD785" s="210"/>
      <c r="AE785" s="227" t="s">
        <v>987</v>
      </c>
      <c r="AF785" s="213" t="s">
        <v>46</v>
      </c>
      <c r="AG785" s="178"/>
      <c r="AH785" s="210"/>
      <c r="AI785" s="227" t="s">
        <v>987</v>
      </c>
      <c r="AJ785" s="213" t="s">
        <v>46</v>
      </c>
      <c r="AK785" s="178"/>
      <c r="AL785" s="210"/>
      <c r="AM785" s="227" t="s">
        <v>987</v>
      </c>
      <c r="AN785" s="213" t="s">
        <v>46</v>
      </c>
      <c r="AO785" s="178"/>
      <c r="AP785" s="210"/>
      <c r="AQ785" s="227" t="s">
        <v>987</v>
      </c>
      <c r="AR785" s="213" t="s">
        <v>46</v>
      </c>
      <c r="AS785" s="178"/>
      <c r="AT785" s="210"/>
      <c r="AU785" s="227" t="s">
        <v>987</v>
      </c>
      <c r="AV785" s="213" t="s">
        <v>46</v>
      </c>
      <c r="AW785" s="178"/>
      <c r="AX785" s="210"/>
      <c r="AY785" s="227" t="s">
        <v>987</v>
      </c>
      <c r="AZ785" s="213" t="s">
        <v>46</v>
      </c>
      <c r="BA785" s="178"/>
      <c r="BB785" s="210"/>
      <c r="BC785" s="227" t="s">
        <v>987</v>
      </c>
      <c r="BD785" s="213" t="s">
        <v>46</v>
      </c>
      <c r="BE785" s="178"/>
      <c r="BF785" s="210"/>
      <c r="BG785" s="227" t="s">
        <v>987</v>
      </c>
      <c r="BH785" s="213" t="s">
        <v>46</v>
      </c>
      <c r="BI785" s="178"/>
      <c r="BJ785" s="210"/>
      <c r="BK785" s="227" t="s">
        <v>987</v>
      </c>
      <c r="BL785" s="213" t="s">
        <v>46</v>
      </c>
      <c r="BM785" s="178"/>
      <c r="BN785" s="210"/>
      <c r="BO785" s="227" t="s">
        <v>987</v>
      </c>
      <c r="BP785" s="213" t="s">
        <v>46</v>
      </c>
      <c r="BQ785" s="178"/>
      <c r="BR785" s="210"/>
      <c r="BS785" s="227" t="s">
        <v>987</v>
      </c>
      <c r="BT785" s="213" t="s">
        <v>46</v>
      </c>
      <c r="BU785" s="178"/>
    </row>
    <row r="786" spans="1:73">
      <c r="A786" s="153"/>
      <c r="B786" s="142" t="s">
        <v>46</v>
      </c>
      <c r="C786" s="142"/>
      <c r="D786" s="160"/>
      <c r="E786" s="130"/>
      <c r="F786" s="138"/>
      <c r="G786" s="163" t="s">
        <v>988</v>
      </c>
      <c r="H786" s="167"/>
      <c r="I786" s="245"/>
      <c r="J786" s="210"/>
      <c r="K786" s="227" t="s">
        <v>988</v>
      </c>
      <c r="L786" s="213" t="s">
        <v>46</v>
      </c>
      <c r="M786" s="178"/>
      <c r="N786" s="210"/>
      <c r="O786" s="227" t="s">
        <v>988</v>
      </c>
      <c r="P786" s="213" t="s">
        <v>46</v>
      </c>
      <c r="Q786" s="178"/>
      <c r="R786" s="210"/>
      <c r="S786" s="227" t="s">
        <v>988</v>
      </c>
      <c r="T786" s="213" t="s">
        <v>46</v>
      </c>
      <c r="U786" s="178"/>
      <c r="V786" s="210"/>
      <c r="W786" s="227" t="s">
        <v>988</v>
      </c>
      <c r="X786" s="213" t="s">
        <v>46</v>
      </c>
      <c r="Y786" s="178"/>
      <c r="Z786" s="210"/>
      <c r="AA786" s="227" t="s">
        <v>988</v>
      </c>
      <c r="AB786" s="213" t="s">
        <v>46</v>
      </c>
      <c r="AC786" s="178"/>
      <c r="AD786" s="210"/>
      <c r="AE786" s="227" t="s">
        <v>988</v>
      </c>
      <c r="AF786" s="213" t="s">
        <v>46</v>
      </c>
      <c r="AG786" s="178"/>
      <c r="AH786" s="210"/>
      <c r="AI786" s="227" t="s">
        <v>988</v>
      </c>
      <c r="AJ786" s="213" t="s">
        <v>46</v>
      </c>
      <c r="AK786" s="178"/>
      <c r="AL786" s="210"/>
      <c r="AM786" s="227" t="s">
        <v>988</v>
      </c>
      <c r="AN786" s="213" t="s">
        <v>46</v>
      </c>
      <c r="AO786" s="178"/>
      <c r="AP786" s="210"/>
      <c r="AQ786" s="227" t="s">
        <v>988</v>
      </c>
      <c r="AR786" s="213" t="s">
        <v>46</v>
      </c>
      <c r="AS786" s="178"/>
      <c r="AT786" s="210"/>
      <c r="AU786" s="227" t="s">
        <v>988</v>
      </c>
      <c r="AV786" s="213" t="s">
        <v>46</v>
      </c>
      <c r="AW786" s="178"/>
      <c r="AX786" s="210"/>
      <c r="AY786" s="227" t="s">
        <v>988</v>
      </c>
      <c r="AZ786" s="213" t="s">
        <v>46</v>
      </c>
      <c r="BA786" s="178"/>
      <c r="BB786" s="210"/>
      <c r="BC786" s="227" t="s">
        <v>988</v>
      </c>
      <c r="BD786" s="213" t="s">
        <v>46</v>
      </c>
      <c r="BE786" s="178"/>
      <c r="BF786" s="210"/>
      <c r="BG786" s="227" t="s">
        <v>988</v>
      </c>
      <c r="BH786" s="213" t="s">
        <v>46</v>
      </c>
      <c r="BI786" s="178"/>
      <c r="BJ786" s="210"/>
      <c r="BK786" s="227" t="s">
        <v>988</v>
      </c>
      <c r="BL786" s="213" t="s">
        <v>46</v>
      </c>
      <c r="BM786" s="178"/>
      <c r="BN786" s="210"/>
      <c r="BO786" s="227" t="s">
        <v>988</v>
      </c>
      <c r="BP786" s="213" t="s">
        <v>46</v>
      </c>
      <c r="BQ786" s="178"/>
      <c r="BR786" s="210"/>
      <c r="BS786" s="227" t="s">
        <v>988</v>
      </c>
      <c r="BT786" s="213" t="s">
        <v>46</v>
      </c>
      <c r="BU786" s="178"/>
    </row>
    <row r="787" spans="1:73">
      <c r="A787" s="165"/>
      <c r="B787" s="166"/>
      <c r="C787" s="166"/>
      <c r="D787" s="160"/>
      <c r="E787" s="130"/>
      <c r="F787" s="138"/>
      <c r="G787" s="149"/>
      <c r="H787" s="167"/>
      <c r="I787" s="245"/>
      <c r="J787" s="210"/>
      <c r="K787" s="229"/>
      <c r="L787" s="213"/>
      <c r="M787" s="178"/>
      <c r="N787" s="210"/>
      <c r="O787" s="229"/>
      <c r="P787" s="213"/>
      <c r="Q787" s="178"/>
      <c r="R787" s="210"/>
      <c r="S787" s="229"/>
      <c r="T787" s="213"/>
      <c r="U787" s="178"/>
      <c r="V787" s="210"/>
      <c r="W787" s="229"/>
      <c r="X787" s="213"/>
      <c r="Y787" s="178"/>
      <c r="Z787" s="210"/>
      <c r="AA787" s="229"/>
      <c r="AB787" s="213"/>
      <c r="AC787" s="178"/>
      <c r="AD787" s="210"/>
      <c r="AE787" s="229"/>
      <c r="AF787" s="213"/>
      <c r="AG787" s="178"/>
      <c r="AH787" s="210"/>
      <c r="AI787" s="229"/>
      <c r="AJ787" s="213"/>
      <c r="AK787" s="178"/>
      <c r="AL787" s="210"/>
      <c r="AM787" s="229"/>
      <c r="AN787" s="213"/>
      <c r="AO787" s="178"/>
      <c r="AP787" s="210"/>
      <c r="AQ787" s="229"/>
      <c r="AR787" s="213"/>
      <c r="AS787" s="178"/>
      <c r="AT787" s="210"/>
      <c r="AU787" s="229"/>
      <c r="AV787" s="213"/>
      <c r="AW787" s="178"/>
      <c r="AX787" s="210"/>
      <c r="AY787" s="229"/>
      <c r="AZ787" s="213"/>
      <c r="BA787" s="178"/>
      <c r="BB787" s="210"/>
      <c r="BC787" s="229"/>
      <c r="BD787" s="213"/>
      <c r="BE787" s="178"/>
      <c r="BF787" s="210"/>
      <c r="BG787" s="229"/>
      <c r="BH787" s="213"/>
      <c r="BI787" s="178"/>
      <c r="BJ787" s="210"/>
      <c r="BK787" s="229"/>
      <c r="BL787" s="213"/>
      <c r="BM787" s="178"/>
      <c r="BN787" s="210"/>
      <c r="BO787" s="229"/>
      <c r="BP787" s="213"/>
      <c r="BQ787" s="178"/>
      <c r="BR787" s="210"/>
      <c r="BS787" s="229"/>
      <c r="BT787" s="213"/>
      <c r="BU787" s="178"/>
    </row>
    <row r="788" spans="1:73">
      <c r="A788" s="166"/>
      <c r="B788" s="166"/>
      <c r="C788" s="166"/>
      <c r="D788" s="160"/>
      <c r="E788" s="130"/>
      <c r="F788" s="158"/>
      <c r="G788" s="149"/>
      <c r="H788" s="167"/>
      <c r="I788" s="245"/>
      <c r="J788" s="247"/>
      <c r="K788" s="229"/>
      <c r="L788" s="213"/>
      <c r="M788" s="178"/>
      <c r="N788" s="247"/>
      <c r="O788" s="229"/>
      <c r="P788" s="213"/>
      <c r="Q788" s="178"/>
      <c r="R788" s="247"/>
      <c r="S788" s="229"/>
      <c r="T788" s="213"/>
      <c r="U788" s="178"/>
      <c r="V788" s="247"/>
      <c r="W788" s="229"/>
      <c r="X788" s="213"/>
      <c r="Y788" s="178"/>
      <c r="Z788" s="247"/>
      <c r="AA788" s="229"/>
      <c r="AB788" s="213"/>
      <c r="AC788" s="178"/>
      <c r="AD788" s="247"/>
      <c r="AE788" s="229"/>
      <c r="AF788" s="213"/>
      <c r="AG788" s="178"/>
      <c r="AH788" s="247"/>
      <c r="AI788" s="229"/>
      <c r="AJ788" s="213"/>
      <c r="AK788" s="178"/>
      <c r="AL788" s="247"/>
      <c r="AM788" s="229"/>
      <c r="AN788" s="213"/>
      <c r="AO788" s="178"/>
      <c r="AP788" s="247"/>
      <c r="AQ788" s="229"/>
      <c r="AR788" s="213"/>
      <c r="AS788" s="178"/>
      <c r="AT788" s="247"/>
      <c r="AU788" s="229"/>
      <c r="AV788" s="213"/>
      <c r="AW788" s="178"/>
      <c r="AX788" s="247"/>
      <c r="AY788" s="229"/>
      <c r="AZ788" s="213"/>
      <c r="BA788" s="178"/>
      <c r="BB788" s="247"/>
      <c r="BC788" s="229"/>
      <c r="BD788" s="213"/>
      <c r="BE788" s="178"/>
      <c r="BF788" s="247"/>
      <c r="BG788" s="229"/>
      <c r="BH788" s="213"/>
      <c r="BI788" s="178"/>
      <c r="BJ788" s="247"/>
      <c r="BK788" s="229"/>
      <c r="BL788" s="213"/>
      <c r="BM788" s="178"/>
      <c r="BN788" s="247"/>
      <c r="BO788" s="229"/>
      <c r="BP788" s="213"/>
      <c r="BQ788" s="178"/>
      <c r="BR788" s="247"/>
      <c r="BS788" s="229"/>
      <c r="BT788" s="213"/>
      <c r="BU788" s="178"/>
    </row>
    <row r="789" spans="1:73">
      <c r="A789" s="159"/>
      <c r="B789" s="166"/>
      <c r="C789" s="166"/>
      <c r="D789" s="160"/>
      <c r="E789" s="130"/>
      <c r="F789" s="248"/>
      <c r="G789" s="149"/>
      <c r="H789" s="167"/>
      <c r="I789" s="245"/>
      <c r="J789" s="219"/>
      <c r="K789" s="229"/>
      <c r="L789" s="213"/>
      <c r="M789" s="178"/>
      <c r="N789" s="219"/>
      <c r="O789" s="229"/>
      <c r="P789" s="213"/>
      <c r="Q789" s="178"/>
      <c r="R789" s="219"/>
      <c r="S789" s="229"/>
      <c r="T789" s="213"/>
      <c r="U789" s="178"/>
      <c r="V789" s="219"/>
      <c r="W789" s="229"/>
      <c r="X789" s="213"/>
      <c r="Y789" s="178"/>
      <c r="Z789" s="219"/>
      <c r="AA789" s="229"/>
      <c r="AB789" s="213"/>
      <c r="AC789" s="178"/>
      <c r="AD789" s="219"/>
      <c r="AE789" s="229"/>
      <c r="AF789" s="213"/>
      <c r="AG789" s="178"/>
      <c r="AH789" s="219"/>
      <c r="AI789" s="229"/>
      <c r="AJ789" s="213"/>
      <c r="AK789" s="178"/>
      <c r="AL789" s="219"/>
      <c r="AM789" s="229"/>
      <c r="AN789" s="213"/>
      <c r="AO789" s="178"/>
      <c r="AP789" s="219"/>
      <c r="AQ789" s="229"/>
      <c r="AR789" s="213"/>
      <c r="AS789" s="178"/>
      <c r="AT789" s="219"/>
      <c r="AU789" s="229"/>
      <c r="AV789" s="213"/>
      <c r="AW789" s="178"/>
      <c r="AX789" s="219"/>
      <c r="AY789" s="229"/>
      <c r="AZ789" s="213"/>
      <c r="BA789" s="178"/>
      <c r="BB789" s="219"/>
      <c r="BC789" s="229"/>
      <c r="BD789" s="213"/>
      <c r="BE789" s="178"/>
      <c r="BF789" s="219"/>
      <c r="BG789" s="229"/>
      <c r="BH789" s="213"/>
      <c r="BI789" s="178"/>
      <c r="BJ789" s="219"/>
      <c r="BK789" s="229"/>
      <c r="BL789" s="213"/>
      <c r="BM789" s="178"/>
      <c r="BN789" s="219"/>
      <c r="BO789" s="229"/>
      <c r="BP789" s="213"/>
      <c r="BQ789" s="178"/>
      <c r="BR789" s="219"/>
      <c r="BS789" s="229"/>
      <c r="BT789" s="213"/>
      <c r="BU789" s="178"/>
    </row>
    <row r="790" spans="1:73">
      <c r="A790" s="159"/>
      <c r="B790" s="148"/>
      <c r="C790" s="159"/>
      <c r="D790" s="160"/>
      <c r="E790" s="130"/>
      <c r="F790" s="138" t="s">
        <v>989</v>
      </c>
      <c r="G790" s="161"/>
      <c r="H790" s="162"/>
      <c r="I790" s="245"/>
      <c r="J790" s="210" t="s">
        <v>989</v>
      </c>
      <c r="K790" s="200"/>
      <c r="L790" s="246"/>
      <c r="M790" s="178"/>
      <c r="N790" s="210" t="s">
        <v>989</v>
      </c>
      <c r="O790" s="200"/>
      <c r="P790" s="246"/>
      <c r="Q790" s="178"/>
      <c r="R790" s="210" t="s">
        <v>989</v>
      </c>
      <c r="S790" s="200"/>
      <c r="T790" s="246"/>
      <c r="U790" s="178"/>
      <c r="V790" s="210" t="s">
        <v>989</v>
      </c>
      <c r="W790" s="200"/>
      <c r="X790" s="246"/>
      <c r="Y790" s="178"/>
      <c r="Z790" s="210" t="s">
        <v>989</v>
      </c>
      <c r="AA790" s="200"/>
      <c r="AB790" s="246"/>
      <c r="AC790" s="178"/>
      <c r="AD790" s="210" t="s">
        <v>989</v>
      </c>
      <c r="AE790" s="200"/>
      <c r="AF790" s="246"/>
      <c r="AG790" s="178"/>
      <c r="AH790" s="210" t="s">
        <v>989</v>
      </c>
      <c r="AI790" s="200"/>
      <c r="AJ790" s="246"/>
      <c r="AK790" s="178"/>
      <c r="AL790" s="210" t="s">
        <v>989</v>
      </c>
      <c r="AM790" s="200"/>
      <c r="AN790" s="246"/>
      <c r="AO790" s="178"/>
      <c r="AP790" s="210" t="s">
        <v>989</v>
      </c>
      <c r="AQ790" s="200"/>
      <c r="AR790" s="246"/>
      <c r="AS790" s="178"/>
      <c r="AT790" s="210" t="s">
        <v>989</v>
      </c>
      <c r="AU790" s="200"/>
      <c r="AV790" s="246"/>
      <c r="AW790" s="178"/>
      <c r="AX790" s="210" t="s">
        <v>989</v>
      </c>
      <c r="AY790" s="200"/>
      <c r="AZ790" s="246"/>
      <c r="BA790" s="178"/>
      <c r="BB790" s="210" t="s">
        <v>989</v>
      </c>
      <c r="BC790" s="200"/>
      <c r="BD790" s="246"/>
      <c r="BE790" s="178"/>
      <c r="BF790" s="210" t="s">
        <v>989</v>
      </c>
      <c r="BG790" s="200"/>
      <c r="BH790" s="246"/>
      <c r="BI790" s="178"/>
      <c r="BJ790" s="210" t="s">
        <v>989</v>
      </c>
      <c r="BK790" s="200"/>
      <c r="BL790" s="246"/>
      <c r="BM790" s="178"/>
      <c r="BN790" s="210" t="s">
        <v>989</v>
      </c>
      <c r="BO790" s="200"/>
      <c r="BP790" s="246"/>
      <c r="BQ790" s="178"/>
      <c r="BR790" s="210" t="s">
        <v>989</v>
      </c>
      <c r="BS790" s="200"/>
      <c r="BT790" s="246"/>
      <c r="BU790" s="178"/>
    </row>
    <row r="791" spans="1:73">
      <c r="A791" s="136" t="s">
        <v>36</v>
      </c>
      <c r="B791" s="137" t="s">
        <v>37</v>
      </c>
      <c r="C791" s="137" t="s">
        <v>38</v>
      </c>
      <c r="D791" s="160"/>
      <c r="E791" s="130"/>
      <c r="F791" s="138"/>
      <c r="G791" s="139" t="s">
        <v>39</v>
      </c>
      <c r="H791" s="140" t="s">
        <v>40</v>
      </c>
      <c r="J791" s="138"/>
      <c r="K791" s="139" t="s">
        <v>39</v>
      </c>
      <c r="L791" s="203" t="s">
        <v>40</v>
      </c>
      <c r="N791" s="138"/>
      <c r="O791" s="139" t="s">
        <v>39</v>
      </c>
      <c r="P791" s="203" t="s">
        <v>40</v>
      </c>
      <c r="R791" s="138"/>
      <c r="S791" s="139" t="s">
        <v>39</v>
      </c>
      <c r="T791" s="203" t="s">
        <v>40</v>
      </c>
      <c r="V791" s="138"/>
      <c r="W791" s="139" t="s">
        <v>39</v>
      </c>
      <c r="X791" s="203" t="s">
        <v>40</v>
      </c>
      <c r="Z791" s="138"/>
      <c r="AA791" s="139" t="s">
        <v>39</v>
      </c>
      <c r="AB791" s="203" t="s">
        <v>40</v>
      </c>
      <c r="AD791" s="138"/>
      <c r="AE791" s="139" t="s">
        <v>39</v>
      </c>
      <c r="AF791" s="203" t="s">
        <v>40</v>
      </c>
      <c r="AH791" s="138"/>
      <c r="AI791" s="139" t="s">
        <v>39</v>
      </c>
      <c r="AJ791" s="203" t="s">
        <v>40</v>
      </c>
      <c r="AL791" s="138"/>
      <c r="AM791" s="139" t="s">
        <v>39</v>
      </c>
      <c r="AN791" s="203" t="s">
        <v>40</v>
      </c>
      <c r="AP791" s="138"/>
      <c r="AQ791" s="139" t="s">
        <v>39</v>
      </c>
      <c r="AR791" s="203" t="s">
        <v>40</v>
      </c>
      <c r="AT791" s="138"/>
      <c r="AU791" s="139" t="s">
        <v>39</v>
      </c>
      <c r="AV791" s="203" t="s">
        <v>40</v>
      </c>
      <c r="AX791" s="138"/>
      <c r="AY791" s="139" t="s">
        <v>39</v>
      </c>
      <c r="AZ791" s="203" t="s">
        <v>40</v>
      </c>
      <c r="BB791" s="138"/>
      <c r="BC791" s="139" t="s">
        <v>39</v>
      </c>
      <c r="BD791" s="203" t="s">
        <v>40</v>
      </c>
      <c r="BF791" s="138"/>
      <c r="BG791" s="139" t="s">
        <v>39</v>
      </c>
      <c r="BH791" s="203" t="s">
        <v>40</v>
      </c>
      <c r="BJ791" s="138"/>
      <c r="BK791" s="139" t="s">
        <v>39</v>
      </c>
      <c r="BL791" s="203" t="s">
        <v>40</v>
      </c>
      <c r="BN791" s="138"/>
      <c r="BO791" s="139" t="s">
        <v>39</v>
      </c>
      <c r="BP791" s="203" t="s">
        <v>40</v>
      </c>
      <c r="BR791" s="138"/>
      <c r="BS791" s="139" t="s">
        <v>39</v>
      </c>
      <c r="BT791" s="203" t="s">
        <v>40</v>
      </c>
    </row>
    <row r="792" spans="1:73">
      <c r="A792" s="221"/>
      <c r="B792" s="205" t="s">
        <v>46</v>
      </c>
      <c r="C792" s="142"/>
      <c r="D792" s="207"/>
      <c r="E792" s="132"/>
      <c r="F792" s="138"/>
      <c r="G792" s="143" t="s">
        <v>990</v>
      </c>
      <c r="H792" s="167"/>
      <c r="I792" s="245"/>
      <c r="J792" s="210"/>
      <c r="K792" s="211" t="s">
        <v>990</v>
      </c>
      <c r="L792" s="213" t="s">
        <v>46</v>
      </c>
      <c r="M792" s="178"/>
      <c r="N792" s="210"/>
      <c r="O792" s="211" t="s">
        <v>990</v>
      </c>
      <c r="P792" s="213" t="s">
        <v>46</v>
      </c>
      <c r="Q792" s="178"/>
      <c r="R792" s="210"/>
      <c r="S792" s="211" t="s">
        <v>990</v>
      </c>
      <c r="T792" s="213" t="s">
        <v>46</v>
      </c>
      <c r="U792" s="178"/>
      <c r="V792" s="210"/>
      <c r="W792" s="211" t="s">
        <v>990</v>
      </c>
      <c r="X792" s="212" t="s">
        <v>63</v>
      </c>
      <c r="Y792" s="178"/>
      <c r="Z792" s="210"/>
      <c r="AA792" s="211" t="s">
        <v>990</v>
      </c>
      <c r="AB792" s="213" t="s">
        <v>46</v>
      </c>
      <c r="AC792" s="178"/>
      <c r="AD792" s="210"/>
      <c r="AE792" s="211" t="s">
        <v>990</v>
      </c>
      <c r="AF792" s="212" t="s">
        <v>63</v>
      </c>
      <c r="AG792" s="178"/>
      <c r="AH792" s="210"/>
      <c r="AI792" s="211" t="s">
        <v>990</v>
      </c>
      <c r="AJ792" s="213" t="s">
        <v>46</v>
      </c>
      <c r="AK792" s="178"/>
      <c r="AL792" s="210"/>
      <c r="AM792" s="211" t="s">
        <v>990</v>
      </c>
      <c r="AN792" s="213" t="s">
        <v>46</v>
      </c>
      <c r="AO792" s="178"/>
      <c r="AP792" s="210"/>
      <c r="AQ792" s="211" t="s">
        <v>990</v>
      </c>
      <c r="AR792" s="213" t="s">
        <v>46</v>
      </c>
      <c r="AS792" s="178"/>
      <c r="AT792" s="210"/>
      <c r="AU792" s="211" t="s">
        <v>990</v>
      </c>
      <c r="AV792" s="213" t="s">
        <v>46</v>
      </c>
      <c r="AW792" s="178"/>
      <c r="AX792" s="210"/>
      <c r="AY792" s="211" t="s">
        <v>990</v>
      </c>
      <c r="AZ792" s="212" t="s">
        <v>63</v>
      </c>
      <c r="BA792" s="178"/>
      <c r="BB792" s="210"/>
      <c r="BC792" s="211" t="s">
        <v>990</v>
      </c>
      <c r="BD792" s="213" t="s">
        <v>46</v>
      </c>
      <c r="BE792" s="178"/>
      <c r="BF792" s="210"/>
      <c r="BG792" s="211" t="s">
        <v>990</v>
      </c>
      <c r="BH792" s="213" t="s">
        <v>46</v>
      </c>
      <c r="BI792" s="178"/>
      <c r="BJ792" s="210"/>
      <c r="BK792" s="211" t="s">
        <v>990</v>
      </c>
      <c r="BL792" s="212" t="s">
        <v>63</v>
      </c>
      <c r="BM792" s="178"/>
      <c r="BN792" s="210"/>
      <c r="BO792" s="211" t="s">
        <v>990</v>
      </c>
      <c r="BP792" s="213" t="s">
        <v>46</v>
      </c>
      <c r="BQ792" s="178"/>
      <c r="BR792" s="210"/>
      <c r="BS792" s="211" t="s">
        <v>990</v>
      </c>
      <c r="BT792" s="213" t="s">
        <v>46</v>
      </c>
      <c r="BU792" s="178"/>
    </row>
    <row r="793" spans="1:73">
      <c r="A793" s="221"/>
      <c r="B793" s="205" t="s">
        <v>63</v>
      </c>
      <c r="C793" s="142"/>
      <c r="D793" s="207"/>
      <c r="E793" s="132"/>
      <c r="F793" s="138"/>
      <c r="G793" s="143" t="s">
        <v>991</v>
      </c>
      <c r="H793" s="167"/>
      <c r="I793" s="245"/>
      <c r="J793" s="210"/>
      <c r="K793" s="211" t="s">
        <v>991</v>
      </c>
      <c r="L793" s="213" t="s">
        <v>63</v>
      </c>
      <c r="M793" s="178"/>
      <c r="N793" s="210"/>
      <c r="O793" s="211" t="s">
        <v>991</v>
      </c>
      <c r="P793" s="213" t="s">
        <v>63</v>
      </c>
      <c r="Q793" s="178"/>
      <c r="R793" s="210"/>
      <c r="S793" s="211" t="s">
        <v>991</v>
      </c>
      <c r="T793" s="213" t="s">
        <v>63</v>
      </c>
      <c r="U793" s="178"/>
      <c r="V793" s="210"/>
      <c r="W793" s="211" t="s">
        <v>991</v>
      </c>
      <c r="X793" s="213" t="s">
        <v>63</v>
      </c>
      <c r="Y793" s="178"/>
      <c r="Z793" s="210"/>
      <c r="AA793" s="211" t="s">
        <v>991</v>
      </c>
      <c r="AB793" s="213" t="s">
        <v>63</v>
      </c>
      <c r="AC793" s="178"/>
      <c r="AD793" s="210"/>
      <c r="AE793" s="211" t="s">
        <v>991</v>
      </c>
      <c r="AF793" s="213" t="s">
        <v>63</v>
      </c>
      <c r="AG793" s="178"/>
      <c r="AH793" s="210"/>
      <c r="AI793" s="211" t="s">
        <v>991</v>
      </c>
      <c r="AJ793" s="213" t="s">
        <v>63</v>
      </c>
      <c r="AK793" s="178"/>
      <c r="AL793" s="210"/>
      <c r="AM793" s="211" t="s">
        <v>991</v>
      </c>
      <c r="AN793" s="213" t="s">
        <v>63</v>
      </c>
      <c r="AO793" s="178"/>
      <c r="AP793" s="210"/>
      <c r="AQ793" s="211" t="s">
        <v>991</v>
      </c>
      <c r="AR793" s="213" t="s">
        <v>63</v>
      </c>
      <c r="AS793" s="178"/>
      <c r="AT793" s="210"/>
      <c r="AU793" s="211" t="s">
        <v>991</v>
      </c>
      <c r="AV793" s="213" t="s">
        <v>63</v>
      </c>
      <c r="AW793" s="178"/>
      <c r="AX793" s="210"/>
      <c r="AY793" s="211" t="s">
        <v>991</v>
      </c>
      <c r="AZ793" s="213" t="s">
        <v>63</v>
      </c>
      <c r="BA793" s="178"/>
      <c r="BB793" s="210"/>
      <c r="BC793" s="211" t="s">
        <v>991</v>
      </c>
      <c r="BD793" s="213" t="s">
        <v>63</v>
      </c>
      <c r="BE793" s="178"/>
      <c r="BF793" s="210"/>
      <c r="BG793" s="211" t="s">
        <v>991</v>
      </c>
      <c r="BH793" s="213" t="s">
        <v>63</v>
      </c>
      <c r="BI793" s="178"/>
      <c r="BJ793" s="210"/>
      <c r="BK793" s="211" t="s">
        <v>991</v>
      </c>
      <c r="BL793" s="213" t="s">
        <v>63</v>
      </c>
      <c r="BM793" s="178"/>
      <c r="BN793" s="210"/>
      <c r="BO793" s="211" t="s">
        <v>991</v>
      </c>
      <c r="BP793" s="213" t="s">
        <v>63</v>
      </c>
      <c r="BQ793" s="178"/>
      <c r="BR793" s="210"/>
      <c r="BS793" s="211" t="s">
        <v>991</v>
      </c>
      <c r="BT793" s="213" t="s">
        <v>63</v>
      </c>
      <c r="BU793" s="178"/>
    </row>
    <row r="794" spans="1:73">
      <c r="A794" s="221"/>
      <c r="B794" s="205" t="s">
        <v>83</v>
      </c>
      <c r="C794" s="142"/>
      <c r="D794" s="207"/>
      <c r="E794" s="132"/>
      <c r="F794" s="138"/>
      <c r="G794" s="143" t="s">
        <v>992</v>
      </c>
      <c r="H794" s="167"/>
      <c r="I794" s="245"/>
      <c r="J794" s="210"/>
      <c r="K794" s="211" t="s">
        <v>992</v>
      </c>
      <c r="L794" s="213" t="s">
        <v>83</v>
      </c>
      <c r="M794" s="178"/>
      <c r="N794" s="210"/>
      <c r="O794" s="211" t="s">
        <v>992</v>
      </c>
      <c r="P794" s="213" t="s">
        <v>83</v>
      </c>
      <c r="Q794" s="178"/>
      <c r="R794" s="210"/>
      <c r="S794" s="211" t="s">
        <v>992</v>
      </c>
      <c r="T794" s="213" t="s">
        <v>83</v>
      </c>
      <c r="U794" s="178"/>
      <c r="V794" s="210"/>
      <c r="W794" s="211" t="s">
        <v>992</v>
      </c>
      <c r="X794" s="213" t="s">
        <v>83</v>
      </c>
      <c r="Y794" s="178"/>
      <c r="Z794" s="210"/>
      <c r="AA794" s="211" t="s">
        <v>992</v>
      </c>
      <c r="AB794" s="213" t="s">
        <v>83</v>
      </c>
      <c r="AC794" s="178"/>
      <c r="AD794" s="210"/>
      <c r="AE794" s="211" t="s">
        <v>992</v>
      </c>
      <c r="AF794" s="213" t="s">
        <v>83</v>
      </c>
      <c r="AG794" s="178"/>
      <c r="AH794" s="210"/>
      <c r="AI794" s="211" t="s">
        <v>992</v>
      </c>
      <c r="AJ794" s="213" t="s">
        <v>83</v>
      </c>
      <c r="AK794" s="178"/>
      <c r="AL794" s="210"/>
      <c r="AM794" s="211" t="s">
        <v>992</v>
      </c>
      <c r="AN794" s="213" t="s">
        <v>83</v>
      </c>
      <c r="AO794" s="178"/>
      <c r="AP794" s="210"/>
      <c r="AQ794" s="211" t="s">
        <v>992</v>
      </c>
      <c r="AR794" s="213" t="s">
        <v>83</v>
      </c>
      <c r="AS794" s="178"/>
      <c r="AT794" s="210"/>
      <c r="AU794" s="211" t="s">
        <v>992</v>
      </c>
      <c r="AV794" s="213" t="s">
        <v>83</v>
      </c>
      <c r="AW794" s="178"/>
      <c r="AX794" s="210"/>
      <c r="AY794" s="211" t="s">
        <v>992</v>
      </c>
      <c r="AZ794" s="213" t="s">
        <v>83</v>
      </c>
      <c r="BA794" s="178"/>
      <c r="BB794" s="210"/>
      <c r="BC794" s="211" t="s">
        <v>992</v>
      </c>
      <c r="BD794" s="213" t="s">
        <v>83</v>
      </c>
      <c r="BE794" s="178"/>
      <c r="BF794" s="210"/>
      <c r="BG794" s="211" t="s">
        <v>992</v>
      </c>
      <c r="BH794" s="213" t="s">
        <v>83</v>
      </c>
      <c r="BI794" s="178"/>
      <c r="BJ794" s="210"/>
      <c r="BK794" s="211" t="s">
        <v>992</v>
      </c>
      <c r="BL794" s="212" t="s">
        <v>759</v>
      </c>
      <c r="BM794" s="178"/>
      <c r="BN794" s="210"/>
      <c r="BO794" s="211" t="s">
        <v>992</v>
      </c>
      <c r="BP794" s="213" t="s">
        <v>83</v>
      </c>
      <c r="BQ794" s="178"/>
      <c r="BR794" s="210"/>
      <c r="BS794" s="211" t="s">
        <v>992</v>
      </c>
      <c r="BT794" s="213" t="s">
        <v>83</v>
      </c>
      <c r="BU794" s="178"/>
    </row>
    <row r="795" spans="1:73">
      <c r="A795" s="165"/>
      <c r="B795" s="166"/>
      <c r="C795" s="166"/>
      <c r="D795" s="160"/>
      <c r="E795" s="130"/>
      <c r="F795" s="138"/>
      <c r="G795" s="149"/>
      <c r="H795" s="167"/>
      <c r="I795" s="245"/>
      <c r="J795" s="210"/>
      <c r="K795" s="229"/>
      <c r="L795" s="213"/>
      <c r="M795" s="178"/>
      <c r="N795" s="210"/>
      <c r="O795" s="229"/>
      <c r="P795" s="213"/>
      <c r="Q795" s="178"/>
      <c r="R795" s="210"/>
      <c r="S795" s="229"/>
      <c r="T795" s="213"/>
      <c r="U795" s="178"/>
      <c r="V795" s="210"/>
      <c r="W795" s="229"/>
      <c r="X795" s="213"/>
      <c r="Y795" s="178"/>
      <c r="Z795" s="210"/>
      <c r="AA795" s="229"/>
      <c r="AB795" s="213"/>
      <c r="AC795" s="178"/>
      <c r="AD795" s="210"/>
      <c r="AE795" s="229"/>
      <c r="AF795" s="213"/>
      <c r="AG795" s="178"/>
      <c r="AH795" s="210"/>
      <c r="AI795" s="229"/>
      <c r="AJ795" s="213"/>
      <c r="AK795" s="178"/>
      <c r="AL795" s="210"/>
      <c r="AM795" s="229"/>
      <c r="AN795" s="213"/>
      <c r="AO795" s="178"/>
      <c r="AP795" s="210"/>
      <c r="AQ795" s="229"/>
      <c r="AR795" s="213"/>
      <c r="AS795" s="178"/>
      <c r="AT795" s="210"/>
      <c r="AU795" s="229"/>
      <c r="AV795" s="213"/>
      <c r="AW795" s="178"/>
      <c r="AX795" s="210"/>
      <c r="AY795" s="229"/>
      <c r="AZ795" s="213"/>
      <c r="BA795" s="178"/>
      <c r="BB795" s="210"/>
      <c r="BC795" s="229"/>
      <c r="BD795" s="213"/>
      <c r="BE795" s="178"/>
      <c r="BF795" s="210"/>
      <c r="BG795" s="229"/>
      <c r="BH795" s="213"/>
      <c r="BI795" s="178"/>
      <c r="BJ795" s="210"/>
      <c r="BK795" s="229"/>
      <c r="BL795" s="213"/>
      <c r="BM795" s="178"/>
      <c r="BN795" s="210"/>
      <c r="BO795" s="229"/>
      <c r="BP795" s="213"/>
      <c r="BQ795" s="178"/>
      <c r="BR795" s="210"/>
      <c r="BS795" s="229"/>
      <c r="BT795" s="213"/>
      <c r="BU795" s="178"/>
    </row>
    <row r="796" spans="1:73">
      <c r="A796" s="166"/>
      <c r="B796" s="166"/>
      <c r="C796" s="166"/>
      <c r="D796" s="160"/>
      <c r="E796" s="130"/>
      <c r="F796" s="158"/>
      <c r="G796" s="149"/>
      <c r="H796" s="167"/>
      <c r="I796" s="245"/>
      <c r="J796" s="247"/>
      <c r="K796" s="229"/>
      <c r="L796" s="213"/>
      <c r="M796" s="178"/>
      <c r="N796" s="247"/>
      <c r="O796" s="229"/>
      <c r="P796" s="213"/>
      <c r="Q796" s="178"/>
      <c r="R796" s="247"/>
      <c r="S796" s="229"/>
      <c r="T796" s="213"/>
      <c r="U796" s="178"/>
      <c r="V796" s="247"/>
      <c r="W796" s="229"/>
      <c r="X796" s="213"/>
      <c r="Y796" s="178"/>
      <c r="Z796" s="247"/>
      <c r="AA796" s="229"/>
      <c r="AB796" s="213"/>
      <c r="AC796" s="178"/>
      <c r="AD796" s="247"/>
      <c r="AE796" s="229"/>
      <c r="AF796" s="213"/>
      <c r="AG796" s="178"/>
      <c r="AH796" s="247"/>
      <c r="AI796" s="229"/>
      <c r="AJ796" s="213"/>
      <c r="AK796" s="178"/>
      <c r="AL796" s="247"/>
      <c r="AM796" s="229"/>
      <c r="AN796" s="213"/>
      <c r="AO796" s="178"/>
      <c r="AP796" s="247"/>
      <c r="AQ796" s="229"/>
      <c r="AR796" s="213"/>
      <c r="AS796" s="178"/>
      <c r="AT796" s="247"/>
      <c r="AU796" s="229"/>
      <c r="AV796" s="213"/>
      <c r="AW796" s="178"/>
      <c r="AX796" s="247"/>
      <c r="AY796" s="229"/>
      <c r="AZ796" s="213"/>
      <c r="BA796" s="178"/>
      <c r="BB796" s="247"/>
      <c r="BC796" s="229"/>
      <c r="BD796" s="213"/>
      <c r="BE796" s="178"/>
      <c r="BF796" s="247"/>
      <c r="BG796" s="229"/>
      <c r="BH796" s="213"/>
      <c r="BI796" s="178"/>
      <c r="BJ796" s="247"/>
      <c r="BK796" s="229"/>
      <c r="BL796" s="213"/>
      <c r="BM796" s="178"/>
      <c r="BN796" s="247"/>
      <c r="BO796" s="229"/>
      <c r="BP796" s="213"/>
      <c r="BQ796" s="178"/>
      <c r="BR796" s="247"/>
      <c r="BS796" s="229"/>
      <c r="BT796" s="213"/>
      <c r="BU796" s="178"/>
    </row>
    <row r="797" spans="1:73">
      <c r="A797" s="159"/>
      <c r="B797" s="148"/>
      <c r="C797" s="159"/>
      <c r="D797" s="160"/>
      <c r="E797" s="130"/>
      <c r="F797" s="138" t="s">
        <v>993</v>
      </c>
      <c r="G797" s="161"/>
      <c r="H797" s="162"/>
      <c r="I797" s="245"/>
      <c r="J797" s="210" t="s">
        <v>993</v>
      </c>
      <c r="K797" s="200"/>
      <c r="L797" s="246"/>
      <c r="M797" s="178"/>
      <c r="N797" s="210" t="s">
        <v>993</v>
      </c>
      <c r="O797" s="200"/>
      <c r="P797" s="246"/>
      <c r="Q797" s="178"/>
      <c r="R797" s="210" t="s">
        <v>993</v>
      </c>
      <c r="S797" s="200"/>
      <c r="T797" s="246"/>
      <c r="U797" s="178"/>
      <c r="V797" s="210" t="s">
        <v>993</v>
      </c>
      <c r="W797" s="200"/>
      <c r="X797" s="246"/>
      <c r="Y797" s="178"/>
      <c r="Z797" s="210" t="s">
        <v>993</v>
      </c>
      <c r="AA797" s="200"/>
      <c r="AB797" s="246"/>
      <c r="AC797" s="178"/>
      <c r="AD797" s="210" t="s">
        <v>993</v>
      </c>
      <c r="AE797" s="200"/>
      <c r="AF797" s="246"/>
      <c r="AG797" s="178"/>
      <c r="AH797" s="210" t="s">
        <v>993</v>
      </c>
      <c r="AI797" s="200"/>
      <c r="AJ797" s="246"/>
      <c r="AK797" s="178"/>
      <c r="AL797" s="210" t="s">
        <v>993</v>
      </c>
      <c r="AM797" s="200"/>
      <c r="AN797" s="246"/>
      <c r="AO797" s="178"/>
      <c r="AP797" s="210" t="s">
        <v>993</v>
      </c>
      <c r="AQ797" s="200"/>
      <c r="AR797" s="246"/>
      <c r="AS797" s="178"/>
      <c r="AT797" s="210" t="s">
        <v>993</v>
      </c>
      <c r="AU797" s="200"/>
      <c r="AV797" s="246"/>
      <c r="AW797" s="178"/>
      <c r="AX797" s="210" t="s">
        <v>993</v>
      </c>
      <c r="AY797" s="200"/>
      <c r="AZ797" s="246"/>
      <c r="BA797" s="178"/>
      <c r="BB797" s="210" t="s">
        <v>993</v>
      </c>
      <c r="BC797" s="200"/>
      <c r="BD797" s="246"/>
      <c r="BE797" s="178"/>
      <c r="BF797" s="210" t="s">
        <v>993</v>
      </c>
      <c r="BG797" s="200"/>
      <c r="BH797" s="246"/>
      <c r="BI797" s="178"/>
      <c r="BJ797" s="210" t="s">
        <v>993</v>
      </c>
      <c r="BK797" s="200"/>
      <c r="BL797" s="246"/>
      <c r="BM797" s="178"/>
      <c r="BN797" s="210" t="s">
        <v>993</v>
      </c>
      <c r="BO797" s="200"/>
      <c r="BP797" s="246"/>
      <c r="BQ797" s="178"/>
      <c r="BR797" s="210" t="s">
        <v>993</v>
      </c>
      <c r="BS797" s="200"/>
      <c r="BT797" s="246"/>
      <c r="BU797" s="178"/>
    </row>
    <row r="798" spans="1:73">
      <c r="A798" s="136" t="s">
        <v>36</v>
      </c>
      <c r="B798" s="137" t="s">
        <v>37</v>
      </c>
      <c r="C798" s="137" t="s">
        <v>38</v>
      </c>
      <c r="D798" s="160"/>
      <c r="E798" s="130"/>
      <c r="F798" s="138"/>
      <c r="G798" s="139" t="s">
        <v>39</v>
      </c>
      <c r="H798" s="140" t="s">
        <v>40</v>
      </c>
      <c r="J798" s="138"/>
      <c r="K798" s="139" t="s">
        <v>39</v>
      </c>
      <c r="L798" s="203" t="s">
        <v>40</v>
      </c>
      <c r="N798" s="138"/>
      <c r="O798" s="139" t="s">
        <v>39</v>
      </c>
      <c r="P798" s="203" t="s">
        <v>40</v>
      </c>
      <c r="R798" s="138"/>
      <c r="S798" s="139" t="s">
        <v>39</v>
      </c>
      <c r="T798" s="203" t="s">
        <v>40</v>
      </c>
      <c r="V798" s="138"/>
      <c r="W798" s="139" t="s">
        <v>39</v>
      </c>
      <c r="X798" s="203" t="s">
        <v>40</v>
      </c>
      <c r="Z798" s="138"/>
      <c r="AA798" s="139" t="s">
        <v>39</v>
      </c>
      <c r="AB798" s="203" t="s">
        <v>40</v>
      </c>
      <c r="AD798" s="138"/>
      <c r="AE798" s="139" t="s">
        <v>39</v>
      </c>
      <c r="AF798" s="203" t="s">
        <v>40</v>
      </c>
      <c r="AH798" s="138"/>
      <c r="AI798" s="139" t="s">
        <v>39</v>
      </c>
      <c r="AJ798" s="203" t="s">
        <v>40</v>
      </c>
      <c r="AL798" s="138"/>
      <c r="AM798" s="139" t="s">
        <v>39</v>
      </c>
      <c r="AN798" s="203" t="s">
        <v>40</v>
      </c>
      <c r="AP798" s="138"/>
      <c r="AQ798" s="139" t="s">
        <v>39</v>
      </c>
      <c r="AR798" s="203" t="s">
        <v>40</v>
      </c>
      <c r="AT798" s="138"/>
      <c r="AU798" s="139" t="s">
        <v>39</v>
      </c>
      <c r="AV798" s="203" t="s">
        <v>40</v>
      </c>
      <c r="AX798" s="138"/>
      <c r="AY798" s="139" t="s">
        <v>39</v>
      </c>
      <c r="AZ798" s="203" t="s">
        <v>40</v>
      </c>
      <c r="BB798" s="138"/>
      <c r="BC798" s="139" t="s">
        <v>39</v>
      </c>
      <c r="BD798" s="203" t="s">
        <v>40</v>
      </c>
      <c r="BF798" s="138"/>
      <c r="BG798" s="139" t="s">
        <v>39</v>
      </c>
      <c r="BH798" s="203" t="s">
        <v>40</v>
      </c>
      <c r="BJ798" s="138"/>
      <c r="BK798" s="139" t="s">
        <v>39</v>
      </c>
      <c r="BL798" s="203" t="s">
        <v>40</v>
      </c>
      <c r="BN798" s="138"/>
      <c r="BO798" s="139" t="s">
        <v>39</v>
      </c>
      <c r="BP798" s="203" t="s">
        <v>40</v>
      </c>
      <c r="BR798" s="138"/>
      <c r="BS798" s="139" t="s">
        <v>39</v>
      </c>
      <c r="BT798" s="203" t="s">
        <v>40</v>
      </c>
    </row>
    <row r="799" spans="1:73">
      <c r="A799" s="221"/>
      <c r="B799" s="205" t="s">
        <v>46</v>
      </c>
      <c r="C799" s="142"/>
      <c r="D799" s="207"/>
      <c r="E799" s="132"/>
      <c r="F799" s="138"/>
      <c r="G799" s="143" t="s">
        <v>994</v>
      </c>
      <c r="H799" s="167"/>
      <c r="I799" s="245"/>
      <c r="J799" s="210"/>
      <c r="K799" s="211" t="s">
        <v>994</v>
      </c>
      <c r="L799" s="213" t="s">
        <v>46</v>
      </c>
      <c r="M799" s="178"/>
      <c r="N799" s="210"/>
      <c r="O799" s="211" t="s">
        <v>994</v>
      </c>
      <c r="P799" s="213" t="s">
        <v>46</v>
      </c>
      <c r="Q799" s="178"/>
      <c r="R799" s="210"/>
      <c r="S799" s="211" t="s">
        <v>994</v>
      </c>
      <c r="T799" s="213" t="s">
        <v>46</v>
      </c>
      <c r="U799" s="178"/>
      <c r="V799" s="210"/>
      <c r="W799" s="211" t="s">
        <v>994</v>
      </c>
      <c r="X799" s="212" t="s">
        <v>63</v>
      </c>
      <c r="Y799" s="178"/>
      <c r="Z799" s="210"/>
      <c r="AA799" s="211" t="s">
        <v>994</v>
      </c>
      <c r="AB799" s="213" t="s">
        <v>46</v>
      </c>
      <c r="AC799" s="178"/>
      <c r="AD799" s="210"/>
      <c r="AE799" s="211" t="s">
        <v>994</v>
      </c>
      <c r="AF799" s="213" t="s">
        <v>46</v>
      </c>
      <c r="AG799" s="178"/>
      <c r="AH799" s="210"/>
      <c r="AI799" s="211" t="s">
        <v>994</v>
      </c>
      <c r="AJ799" s="213" t="s">
        <v>46</v>
      </c>
      <c r="AK799" s="178"/>
      <c r="AL799" s="210"/>
      <c r="AM799" s="211" t="s">
        <v>994</v>
      </c>
      <c r="AN799" s="213" t="s">
        <v>46</v>
      </c>
      <c r="AO799" s="178"/>
      <c r="AP799" s="210"/>
      <c r="AQ799" s="211" t="s">
        <v>994</v>
      </c>
      <c r="AR799" s="213" t="s">
        <v>46</v>
      </c>
      <c r="AS799" s="178"/>
      <c r="AT799" s="210"/>
      <c r="AU799" s="211" t="s">
        <v>994</v>
      </c>
      <c r="AV799" s="213" t="s">
        <v>46</v>
      </c>
      <c r="AW799" s="178"/>
      <c r="AX799" s="210"/>
      <c r="AY799" s="211" t="s">
        <v>994</v>
      </c>
      <c r="AZ799" s="212" t="s">
        <v>63</v>
      </c>
      <c r="BA799" s="178"/>
      <c r="BB799" s="210"/>
      <c r="BC799" s="211" t="s">
        <v>994</v>
      </c>
      <c r="BD799" s="213" t="s">
        <v>46</v>
      </c>
      <c r="BE799" s="178"/>
      <c r="BF799" s="210"/>
      <c r="BG799" s="211" t="s">
        <v>994</v>
      </c>
      <c r="BH799" s="213" t="s">
        <v>46</v>
      </c>
      <c r="BI799" s="178"/>
      <c r="BJ799" s="210"/>
      <c r="BK799" s="211" t="s">
        <v>994</v>
      </c>
      <c r="BL799" s="213" t="s">
        <v>46</v>
      </c>
      <c r="BM799" s="178"/>
      <c r="BN799" s="210"/>
      <c r="BO799" s="211" t="s">
        <v>994</v>
      </c>
      <c r="BP799" s="213" t="s">
        <v>46</v>
      </c>
      <c r="BQ799" s="178"/>
      <c r="BR799" s="210"/>
      <c r="BS799" s="211" t="s">
        <v>994</v>
      </c>
      <c r="BT799" s="213" t="s">
        <v>46</v>
      </c>
      <c r="BU799" s="178"/>
    </row>
    <row r="800" spans="1:73">
      <c r="A800" s="165"/>
      <c r="B800" s="166"/>
      <c r="C800" s="166"/>
      <c r="D800" s="160"/>
      <c r="E800" s="130"/>
      <c r="F800" s="138"/>
      <c r="G800" s="149"/>
      <c r="H800" s="167"/>
      <c r="I800" s="245"/>
      <c r="J800" s="210"/>
      <c r="K800" s="229"/>
      <c r="L800" s="213"/>
      <c r="M800" s="178"/>
      <c r="N800" s="210"/>
      <c r="O800" s="229"/>
      <c r="P800" s="213"/>
      <c r="Q800" s="178"/>
      <c r="R800" s="210"/>
      <c r="S800" s="229"/>
      <c r="T800" s="213"/>
      <c r="U800" s="178"/>
      <c r="V800" s="210"/>
      <c r="W800" s="229"/>
      <c r="X800" s="213"/>
      <c r="Y800" s="178"/>
      <c r="Z800" s="210"/>
      <c r="AA800" s="229"/>
      <c r="AB800" s="213"/>
      <c r="AC800" s="178"/>
      <c r="AD800" s="210"/>
      <c r="AE800" s="229"/>
      <c r="AF800" s="213"/>
      <c r="AG800" s="178"/>
      <c r="AH800" s="210"/>
      <c r="AI800" s="229"/>
      <c r="AJ800" s="213"/>
      <c r="AK800" s="178"/>
      <c r="AL800" s="210"/>
      <c r="AM800" s="229"/>
      <c r="AN800" s="213"/>
      <c r="AO800" s="178"/>
      <c r="AP800" s="210"/>
      <c r="AQ800" s="229"/>
      <c r="AR800" s="213"/>
      <c r="AS800" s="178"/>
      <c r="AT800" s="210"/>
      <c r="AU800" s="229"/>
      <c r="AV800" s="213"/>
      <c r="AW800" s="178"/>
      <c r="AX800" s="210"/>
      <c r="AY800" s="229"/>
      <c r="AZ800" s="213"/>
      <c r="BA800" s="178"/>
      <c r="BB800" s="210"/>
      <c r="BC800" s="229"/>
      <c r="BD800" s="213"/>
      <c r="BE800" s="178"/>
      <c r="BF800" s="210"/>
      <c r="BG800" s="229"/>
      <c r="BH800" s="213"/>
      <c r="BI800" s="178"/>
      <c r="BJ800" s="210"/>
      <c r="BK800" s="229"/>
      <c r="BL800" s="213"/>
      <c r="BM800" s="178"/>
      <c r="BN800" s="210"/>
      <c r="BO800" s="229"/>
      <c r="BP800" s="213"/>
      <c r="BQ800" s="178"/>
      <c r="BR800" s="210"/>
      <c r="BS800" s="229"/>
      <c r="BT800" s="213"/>
      <c r="BU800" s="178"/>
    </row>
    <row r="801" spans="1:73">
      <c r="A801" s="159"/>
      <c r="B801" s="166"/>
      <c r="C801" s="166"/>
      <c r="D801" s="160"/>
      <c r="E801" s="130"/>
      <c r="F801" s="248"/>
      <c r="G801" s="149"/>
      <c r="H801" s="167"/>
      <c r="I801" s="245"/>
      <c r="J801" s="219"/>
      <c r="K801" s="229"/>
      <c r="L801" s="213"/>
      <c r="M801" s="178"/>
      <c r="N801" s="219"/>
      <c r="O801" s="229"/>
      <c r="P801" s="213"/>
      <c r="Q801" s="178"/>
      <c r="R801" s="219"/>
      <c r="S801" s="229"/>
      <c r="T801" s="213"/>
      <c r="U801" s="178"/>
      <c r="V801" s="219"/>
      <c r="W801" s="229"/>
      <c r="X801" s="213"/>
      <c r="Y801" s="178"/>
      <c r="Z801" s="219"/>
      <c r="AA801" s="229"/>
      <c r="AB801" s="213"/>
      <c r="AC801" s="178"/>
      <c r="AD801" s="219"/>
      <c r="AE801" s="229"/>
      <c r="AF801" s="213"/>
      <c r="AG801" s="178"/>
      <c r="AH801" s="219"/>
      <c r="AI801" s="229"/>
      <c r="AJ801" s="213"/>
      <c r="AK801" s="178"/>
      <c r="AL801" s="219"/>
      <c r="AM801" s="229"/>
      <c r="AN801" s="213"/>
      <c r="AO801" s="178"/>
      <c r="AP801" s="219"/>
      <c r="AQ801" s="229"/>
      <c r="AR801" s="213"/>
      <c r="AS801" s="178"/>
      <c r="AT801" s="219"/>
      <c r="AU801" s="229"/>
      <c r="AV801" s="213"/>
      <c r="AW801" s="178"/>
      <c r="AX801" s="219"/>
      <c r="AY801" s="229"/>
      <c r="AZ801" s="213"/>
      <c r="BA801" s="178"/>
      <c r="BB801" s="219"/>
      <c r="BC801" s="229"/>
      <c r="BD801" s="213"/>
      <c r="BE801" s="178"/>
      <c r="BF801" s="219"/>
      <c r="BG801" s="229"/>
      <c r="BH801" s="213"/>
      <c r="BI801" s="178"/>
      <c r="BJ801" s="219"/>
      <c r="BK801" s="229"/>
      <c r="BL801" s="213"/>
      <c r="BM801" s="178"/>
      <c r="BN801" s="219"/>
      <c r="BO801" s="229"/>
      <c r="BP801" s="213"/>
      <c r="BQ801" s="178"/>
      <c r="BR801" s="219"/>
      <c r="BS801" s="229"/>
      <c r="BT801" s="213"/>
      <c r="BU801" s="178"/>
    </row>
    <row r="802" spans="1:73">
      <c r="A802" s="159"/>
      <c r="B802" s="148"/>
      <c r="C802" s="159"/>
      <c r="D802" s="160"/>
      <c r="E802" s="130"/>
      <c r="F802" s="138" t="s">
        <v>995</v>
      </c>
      <c r="G802" s="161"/>
      <c r="H802" s="162"/>
      <c r="I802" s="178"/>
      <c r="J802" s="210" t="s">
        <v>995</v>
      </c>
      <c r="K802" s="200"/>
      <c r="L802" s="246"/>
      <c r="M802" s="178"/>
      <c r="N802" s="210" t="s">
        <v>995</v>
      </c>
      <c r="O802" s="200"/>
      <c r="P802" s="246"/>
      <c r="Q802" s="178"/>
      <c r="R802" s="210" t="s">
        <v>995</v>
      </c>
      <c r="S802" s="200"/>
      <c r="T802" s="246"/>
      <c r="U802" s="178"/>
      <c r="V802" s="210" t="s">
        <v>995</v>
      </c>
      <c r="W802" s="200"/>
      <c r="X802" s="246"/>
      <c r="Y802" s="178"/>
      <c r="Z802" s="210" t="s">
        <v>995</v>
      </c>
      <c r="AA802" s="200"/>
      <c r="AB802" s="246"/>
      <c r="AC802" s="178"/>
      <c r="AD802" s="210" t="s">
        <v>995</v>
      </c>
      <c r="AE802" s="200"/>
      <c r="AF802" s="246"/>
      <c r="AG802" s="178"/>
      <c r="AH802" s="210" t="s">
        <v>995</v>
      </c>
      <c r="AI802" s="200"/>
      <c r="AJ802" s="246"/>
      <c r="AK802" s="178"/>
      <c r="AL802" s="210" t="s">
        <v>995</v>
      </c>
      <c r="AM802" s="200"/>
      <c r="AN802" s="246"/>
      <c r="AO802" s="178"/>
      <c r="AP802" s="210" t="s">
        <v>995</v>
      </c>
      <c r="AQ802" s="200"/>
      <c r="AR802" s="246"/>
      <c r="AS802" s="178"/>
      <c r="AT802" s="210" t="s">
        <v>995</v>
      </c>
      <c r="AU802" s="200"/>
      <c r="AV802" s="246"/>
      <c r="AW802" s="178"/>
      <c r="AX802" s="210" t="s">
        <v>995</v>
      </c>
      <c r="AY802" s="200"/>
      <c r="AZ802" s="246"/>
      <c r="BA802" s="178"/>
      <c r="BB802" s="210" t="s">
        <v>995</v>
      </c>
      <c r="BC802" s="200"/>
      <c r="BD802" s="246"/>
      <c r="BE802" s="178"/>
      <c r="BF802" s="210" t="s">
        <v>995</v>
      </c>
      <c r="BG802" s="200"/>
      <c r="BH802" s="246"/>
      <c r="BI802" s="178"/>
      <c r="BJ802" s="210" t="s">
        <v>995</v>
      </c>
      <c r="BK802" s="200"/>
      <c r="BL802" s="246"/>
      <c r="BM802" s="178"/>
      <c r="BN802" s="210" t="s">
        <v>995</v>
      </c>
      <c r="BO802" s="200"/>
      <c r="BP802" s="246"/>
      <c r="BQ802" s="178"/>
      <c r="BR802" s="210" t="s">
        <v>995</v>
      </c>
      <c r="BS802" s="200"/>
      <c r="BT802" s="246"/>
      <c r="BU802" s="178"/>
    </row>
    <row r="803" spans="1:73">
      <c r="A803" s="136" t="s">
        <v>36</v>
      </c>
      <c r="B803" s="137" t="s">
        <v>37</v>
      </c>
      <c r="C803" s="137" t="s">
        <v>38</v>
      </c>
      <c r="D803" s="160"/>
      <c r="E803" s="130"/>
      <c r="F803" s="138"/>
      <c r="G803" s="139" t="s">
        <v>39</v>
      </c>
      <c r="H803" s="140" t="s">
        <v>40</v>
      </c>
      <c r="J803" s="138"/>
      <c r="K803" s="139" t="s">
        <v>39</v>
      </c>
      <c r="L803" s="203" t="s">
        <v>40</v>
      </c>
      <c r="N803" s="138"/>
      <c r="O803" s="139" t="s">
        <v>39</v>
      </c>
      <c r="P803" s="203" t="s">
        <v>40</v>
      </c>
      <c r="R803" s="138"/>
      <c r="S803" s="139" t="s">
        <v>39</v>
      </c>
      <c r="T803" s="203" t="s">
        <v>40</v>
      </c>
      <c r="V803" s="138"/>
      <c r="W803" s="139" t="s">
        <v>39</v>
      </c>
      <c r="X803" s="203" t="s">
        <v>40</v>
      </c>
      <c r="Z803" s="138"/>
      <c r="AA803" s="139" t="s">
        <v>39</v>
      </c>
      <c r="AB803" s="203" t="s">
        <v>40</v>
      </c>
      <c r="AD803" s="138"/>
      <c r="AE803" s="139" t="s">
        <v>39</v>
      </c>
      <c r="AF803" s="203" t="s">
        <v>40</v>
      </c>
      <c r="AH803" s="138"/>
      <c r="AI803" s="139" t="s">
        <v>39</v>
      </c>
      <c r="AJ803" s="203" t="s">
        <v>40</v>
      </c>
      <c r="AL803" s="138"/>
      <c r="AM803" s="139" t="s">
        <v>39</v>
      </c>
      <c r="AN803" s="203" t="s">
        <v>40</v>
      </c>
      <c r="AP803" s="138"/>
      <c r="AQ803" s="139" t="s">
        <v>39</v>
      </c>
      <c r="AR803" s="203" t="s">
        <v>40</v>
      </c>
      <c r="AT803" s="138"/>
      <c r="AU803" s="139" t="s">
        <v>39</v>
      </c>
      <c r="AV803" s="203" t="s">
        <v>40</v>
      </c>
      <c r="AX803" s="138"/>
      <c r="AY803" s="139" t="s">
        <v>39</v>
      </c>
      <c r="AZ803" s="203" t="s">
        <v>40</v>
      </c>
      <c r="BB803" s="138"/>
      <c r="BC803" s="139" t="s">
        <v>39</v>
      </c>
      <c r="BD803" s="203" t="s">
        <v>40</v>
      </c>
      <c r="BF803" s="138"/>
      <c r="BG803" s="139" t="s">
        <v>39</v>
      </c>
      <c r="BH803" s="203" t="s">
        <v>40</v>
      </c>
      <c r="BJ803" s="138"/>
      <c r="BK803" s="139" t="s">
        <v>39</v>
      </c>
      <c r="BL803" s="203" t="s">
        <v>40</v>
      </c>
      <c r="BN803" s="138"/>
      <c r="BO803" s="139" t="s">
        <v>39</v>
      </c>
      <c r="BP803" s="203" t="s">
        <v>40</v>
      </c>
      <c r="BR803" s="138"/>
      <c r="BS803" s="139" t="s">
        <v>39</v>
      </c>
      <c r="BT803" s="203" t="s">
        <v>40</v>
      </c>
    </row>
    <row r="804" spans="1:73">
      <c r="A804" s="249" t="s">
        <v>996</v>
      </c>
      <c r="B804" s="205" t="s">
        <v>46</v>
      </c>
      <c r="C804" s="142"/>
      <c r="D804" s="207"/>
      <c r="E804" s="132"/>
      <c r="F804" s="138"/>
      <c r="G804" s="143" t="s">
        <v>997</v>
      </c>
      <c r="H804" s="167"/>
      <c r="I804" s="250"/>
      <c r="J804" s="210"/>
      <c r="K804" s="211" t="s">
        <v>997</v>
      </c>
      <c r="L804" s="213" t="s">
        <v>46</v>
      </c>
      <c r="M804" s="178"/>
      <c r="N804" s="210"/>
      <c r="O804" s="211" t="s">
        <v>997</v>
      </c>
      <c r="P804" s="213" t="s">
        <v>46</v>
      </c>
      <c r="Q804" s="178"/>
      <c r="R804" s="210"/>
      <c r="S804" s="211" t="s">
        <v>997</v>
      </c>
      <c r="T804" s="213" t="s">
        <v>46</v>
      </c>
      <c r="U804" s="178"/>
      <c r="V804" s="210"/>
      <c r="W804" s="211" t="s">
        <v>997</v>
      </c>
      <c r="X804" s="213" t="s">
        <v>46</v>
      </c>
      <c r="Y804" s="178"/>
      <c r="Z804" s="210"/>
      <c r="AA804" s="211" t="s">
        <v>997</v>
      </c>
      <c r="AB804" s="213" t="s">
        <v>46</v>
      </c>
      <c r="AC804" s="178"/>
      <c r="AD804" s="210"/>
      <c r="AE804" s="211" t="s">
        <v>997</v>
      </c>
      <c r="AF804" s="213" t="s">
        <v>46</v>
      </c>
      <c r="AG804" s="178"/>
      <c r="AH804" s="210"/>
      <c r="AI804" s="211" t="s">
        <v>997</v>
      </c>
      <c r="AJ804" s="213" t="s">
        <v>46</v>
      </c>
      <c r="AK804" s="178"/>
      <c r="AL804" s="210"/>
      <c r="AM804" s="211" t="s">
        <v>997</v>
      </c>
      <c r="AN804" s="213" t="s">
        <v>46</v>
      </c>
      <c r="AO804" s="178"/>
      <c r="AP804" s="210"/>
      <c r="AQ804" s="211" t="s">
        <v>997</v>
      </c>
      <c r="AR804" s="213" t="s">
        <v>46</v>
      </c>
      <c r="AS804" s="178"/>
      <c r="AT804" s="210"/>
      <c r="AU804" s="211" t="s">
        <v>997</v>
      </c>
      <c r="AV804" s="213" t="s">
        <v>46</v>
      </c>
      <c r="AW804" s="178"/>
      <c r="AX804" s="210"/>
      <c r="AY804" s="211" t="s">
        <v>997</v>
      </c>
      <c r="AZ804" s="213" t="s">
        <v>46</v>
      </c>
      <c r="BA804" s="178"/>
      <c r="BB804" s="210"/>
      <c r="BC804" s="211" t="s">
        <v>997</v>
      </c>
      <c r="BD804" s="213" t="s">
        <v>46</v>
      </c>
      <c r="BE804" s="178"/>
      <c r="BF804" s="210"/>
      <c r="BG804" s="211" t="s">
        <v>997</v>
      </c>
      <c r="BH804" s="213" t="s">
        <v>46</v>
      </c>
      <c r="BI804" s="178"/>
      <c r="BJ804" s="210"/>
      <c r="BK804" s="211" t="s">
        <v>997</v>
      </c>
      <c r="BL804" s="213" t="s">
        <v>46</v>
      </c>
      <c r="BM804" s="178"/>
      <c r="BN804" s="210"/>
      <c r="BO804" s="211" t="s">
        <v>997</v>
      </c>
      <c r="BP804" s="213" t="s">
        <v>46</v>
      </c>
      <c r="BQ804" s="178"/>
      <c r="BR804" s="210"/>
      <c r="BS804" s="211" t="s">
        <v>997</v>
      </c>
      <c r="BT804" s="213" t="s">
        <v>46</v>
      </c>
      <c r="BU804" s="178"/>
    </row>
    <row r="805" spans="1:73">
      <c r="A805" s="249" t="s">
        <v>998</v>
      </c>
      <c r="B805" s="205" t="s">
        <v>46</v>
      </c>
      <c r="C805" s="142"/>
      <c r="D805" s="207"/>
      <c r="E805" s="132"/>
      <c r="F805" s="138"/>
      <c r="G805" s="143" t="s">
        <v>999</v>
      </c>
      <c r="H805" s="167"/>
      <c r="I805" s="178"/>
      <c r="J805" s="210"/>
      <c r="K805" s="211" t="s">
        <v>999</v>
      </c>
      <c r="L805" s="213" t="s">
        <v>46</v>
      </c>
      <c r="M805" s="178"/>
      <c r="N805" s="210"/>
      <c r="O805" s="211" t="s">
        <v>999</v>
      </c>
      <c r="P805" s="213" t="s">
        <v>46</v>
      </c>
      <c r="Q805" s="178"/>
      <c r="R805" s="210"/>
      <c r="S805" s="211" t="s">
        <v>999</v>
      </c>
      <c r="T805" s="213" t="s">
        <v>46</v>
      </c>
      <c r="U805" s="178"/>
      <c r="V805" s="210"/>
      <c r="W805" s="211" t="s">
        <v>999</v>
      </c>
      <c r="X805" s="213" t="s">
        <v>46</v>
      </c>
      <c r="Y805" s="178"/>
      <c r="Z805" s="210"/>
      <c r="AA805" s="211" t="s">
        <v>999</v>
      </c>
      <c r="AB805" s="213" t="s">
        <v>46</v>
      </c>
      <c r="AC805" s="178"/>
      <c r="AD805" s="210"/>
      <c r="AE805" s="211" t="s">
        <v>999</v>
      </c>
      <c r="AF805" s="213" t="s">
        <v>46</v>
      </c>
      <c r="AG805" s="178"/>
      <c r="AH805" s="210"/>
      <c r="AI805" s="211" t="s">
        <v>999</v>
      </c>
      <c r="AJ805" s="213" t="s">
        <v>46</v>
      </c>
      <c r="AK805" s="178"/>
      <c r="AL805" s="210"/>
      <c r="AM805" s="211" t="s">
        <v>999</v>
      </c>
      <c r="AN805" s="213" t="s">
        <v>46</v>
      </c>
      <c r="AO805" s="178"/>
      <c r="AP805" s="210"/>
      <c r="AQ805" s="211" t="s">
        <v>999</v>
      </c>
      <c r="AR805" s="213" t="s">
        <v>46</v>
      </c>
      <c r="AS805" s="178"/>
      <c r="AT805" s="210"/>
      <c r="AU805" s="211" t="s">
        <v>999</v>
      </c>
      <c r="AV805" s="213" t="s">
        <v>46</v>
      </c>
      <c r="AW805" s="178"/>
      <c r="AX805" s="210"/>
      <c r="AY805" s="211" t="s">
        <v>999</v>
      </c>
      <c r="AZ805" s="213" t="s">
        <v>46</v>
      </c>
      <c r="BA805" s="178"/>
      <c r="BB805" s="210"/>
      <c r="BC805" s="211" t="s">
        <v>999</v>
      </c>
      <c r="BD805" s="213" t="s">
        <v>46</v>
      </c>
      <c r="BE805" s="178"/>
      <c r="BF805" s="210"/>
      <c r="BG805" s="211" t="s">
        <v>999</v>
      </c>
      <c r="BH805" s="213" t="s">
        <v>46</v>
      </c>
      <c r="BI805" s="178"/>
      <c r="BJ805" s="210"/>
      <c r="BK805" s="211" t="s">
        <v>999</v>
      </c>
      <c r="BL805" s="213" t="s">
        <v>46</v>
      </c>
      <c r="BM805" s="178"/>
      <c r="BN805" s="210"/>
      <c r="BO805" s="211" t="s">
        <v>999</v>
      </c>
      <c r="BP805" s="213" t="s">
        <v>46</v>
      </c>
      <c r="BQ805" s="178"/>
      <c r="BR805" s="210"/>
      <c r="BS805" s="211" t="s">
        <v>999</v>
      </c>
      <c r="BT805" s="213" t="s">
        <v>46</v>
      </c>
      <c r="BU805" s="178"/>
    </row>
    <row r="806" spans="1:73">
      <c r="A806" s="249" t="s">
        <v>1000</v>
      </c>
      <c r="B806" s="205" t="s">
        <v>63</v>
      </c>
      <c r="C806" s="142"/>
      <c r="D806" s="207"/>
      <c r="E806" s="132"/>
      <c r="F806" s="138"/>
      <c r="G806" s="143" t="s">
        <v>1001</v>
      </c>
      <c r="H806" s="167"/>
      <c r="I806" s="245"/>
      <c r="J806" s="210"/>
      <c r="K806" s="211" t="s">
        <v>1001</v>
      </c>
      <c r="L806" s="213" t="s">
        <v>63</v>
      </c>
      <c r="M806" s="178"/>
      <c r="N806" s="210"/>
      <c r="O806" s="211" t="s">
        <v>1001</v>
      </c>
      <c r="P806" s="213" t="s">
        <v>63</v>
      </c>
      <c r="Q806" s="178"/>
      <c r="R806" s="210"/>
      <c r="S806" s="211" t="s">
        <v>1001</v>
      </c>
      <c r="T806" s="213" t="s">
        <v>63</v>
      </c>
      <c r="U806" s="178"/>
      <c r="V806" s="210"/>
      <c r="W806" s="211" t="s">
        <v>1001</v>
      </c>
      <c r="X806" s="213" t="s">
        <v>63</v>
      </c>
      <c r="Y806" s="178"/>
      <c r="Z806" s="210"/>
      <c r="AA806" s="211" t="s">
        <v>1001</v>
      </c>
      <c r="AB806" s="213" t="s">
        <v>63</v>
      </c>
      <c r="AC806" s="178"/>
      <c r="AD806" s="210"/>
      <c r="AE806" s="211" t="s">
        <v>1001</v>
      </c>
      <c r="AF806" s="213" t="s">
        <v>63</v>
      </c>
      <c r="AG806" s="178"/>
      <c r="AH806" s="210"/>
      <c r="AI806" s="211" t="s">
        <v>1001</v>
      </c>
      <c r="AJ806" s="213" t="s">
        <v>63</v>
      </c>
      <c r="AK806" s="178"/>
      <c r="AL806" s="210"/>
      <c r="AM806" s="211" t="s">
        <v>1001</v>
      </c>
      <c r="AN806" s="213" t="s">
        <v>63</v>
      </c>
      <c r="AO806" s="178"/>
      <c r="AP806" s="210"/>
      <c r="AQ806" s="211" t="s">
        <v>1001</v>
      </c>
      <c r="AR806" s="213" t="s">
        <v>63</v>
      </c>
      <c r="AS806" s="178"/>
      <c r="AT806" s="210"/>
      <c r="AU806" s="211" t="s">
        <v>1001</v>
      </c>
      <c r="AV806" s="213" t="s">
        <v>63</v>
      </c>
      <c r="AW806" s="178"/>
      <c r="AX806" s="210"/>
      <c r="AY806" s="211" t="s">
        <v>1001</v>
      </c>
      <c r="AZ806" s="213" t="s">
        <v>63</v>
      </c>
      <c r="BA806" s="178"/>
      <c r="BB806" s="210"/>
      <c r="BC806" s="211" t="s">
        <v>1001</v>
      </c>
      <c r="BD806" s="213" t="s">
        <v>63</v>
      </c>
      <c r="BE806" s="178"/>
      <c r="BF806" s="210"/>
      <c r="BG806" s="211" t="s">
        <v>1001</v>
      </c>
      <c r="BH806" s="213" t="s">
        <v>63</v>
      </c>
      <c r="BI806" s="178"/>
      <c r="BJ806" s="210"/>
      <c r="BK806" s="211" t="s">
        <v>1001</v>
      </c>
      <c r="BL806" s="213" t="s">
        <v>63</v>
      </c>
      <c r="BM806" s="178"/>
      <c r="BN806" s="210"/>
      <c r="BO806" s="211" t="s">
        <v>1001</v>
      </c>
      <c r="BP806" s="213" t="s">
        <v>63</v>
      </c>
      <c r="BQ806" s="178"/>
      <c r="BR806" s="210"/>
      <c r="BS806" s="211" t="s">
        <v>1001</v>
      </c>
      <c r="BT806" s="213" t="s">
        <v>63</v>
      </c>
      <c r="BU806" s="178"/>
    </row>
    <row r="807" spans="1:73">
      <c r="A807" s="249" t="s">
        <v>1002</v>
      </c>
      <c r="B807" s="205" t="s">
        <v>46</v>
      </c>
      <c r="C807" s="142"/>
      <c r="D807" s="207"/>
      <c r="E807" s="132"/>
      <c r="F807" s="138"/>
      <c r="G807" s="143" t="s">
        <v>1003</v>
      </c>
      <c r="H807" s="167"/>
      <c r="I807" s="250"/>
      <c r="J807" s="210"/>
      <c r="K807" s="211" t="s">
        <v>1003</v>
      </c>
      <c r="L807" s="213" t="s">
        <v>46</v>
      </c>
      <c r="M807" s="178"/>
      <c r="N807" s="210"/>
      <c r="O807" s="211" t="s">
        <v>1003</v>
      </c>
      <c r="P807" s="213" t="s">
        <v>46</v>
      </c>
      <c r="Q807" s="178"/>
      <c r="R807" s="210"/>
      <c r="S807" s="211" t="s">
        <v>1003</v>
      </c>
      <c r="T807" s="213" t="s">
        <v>46</v>
      </c>
      <c r="U807" s="178"/>
      <c r="V807" s="210"/>
      <c r="W807" s="211" t="s">
        <v>1003</v>
      </c>
      <c r="X807" s="213" t="s">
        <v>46</v>
      </c>
      <c r="Y807" s="178"/>
      <c r="Z807" s="210"/>
      <c r="AA807" s="211" t="s">
        <v>1003</v>
      </c>
      <c r="AB807" s="213" t="s">
        <v>46</v>
      </c>
      <c r="AC807" s="178"/>
      <c r="AD807" s="210"/>
      <c r="AE807" s="211" t="s">
        <v>1003</v>
      </c>
      <c r="AF807" s="213" t="s">
        <v>46</v>
      </c>
      <c r="AG807" s="178"/>
      <c r="AH807" s="210"/>
      <c r="AI807" s="211" t="s">
        <v>1003</v>
      </c>
      <c r="AJ807" s="213" t="s">
        <v>46</v>
      </c>
      <c r="AK807" s="178"/>
      <c r="AL807" s="210"/>
      <c r="AM807" s="211" t="s">
        <v>1003</v>
      </c>
      <c r="AN807" s="213" t="s">
        <v>46</v>
      </c>
      <c r="AO807" s="178"/>
      <c r="AP807" s="210"/>
      <c r="AQ807" s="211" t="s">
        <v>1003</v>
      </c>
      <c r="AR807" s="213" t="s">
        <v>46</v>
      </c>
      <c r="AS807" s="178"/>
      <c r="AT807" s="210"/>
      <c r="AU807" s="211" t="s">
        <v>1003</v>
      </c>
      <c r="AV807" s="213" t="s">
        <v>46</v>
      </c>
      <c r="AW807" s="178"/>
      <c r="AX807" s="210"/>
      <c r="AY807" s="211" t="s">
        <v>1003</v>
      </c>
      <c r="AZ807" s="213" t="s">
        <v>46</v>
      </c>
      <c r="BA807" s="178"/>
      <c r="BB807" s="210"/>
      <c r="BC807" s="211" t="s">
        <v>1003</v>
      </c>
      <c r="BD807" s="213" t="s">
        <v>46</v>
      </c>
      <c r="BE807" s="178"/>
      <c r="BF807" s="210"/>
      <c r="BG807" s="211" t="s">
        <v>1003</v>
      </c>
      <c r="BH807" s="213" t="s">
        <v>46</v>
      </c>
      <c r="BI807" s="178"/>
      <c r="BJ807" s="210"/>
      <c r="BK807" s="211" t="s">
        <v>1003</v>
      </c>
      <c r="BL807" s="213" t="s">
        <v>46</v>
      </c>
      <c r="BM807" s="178"/>
      <c r="BN807" s="210"/>
      <c r="BO807" s="211" t="s">
        <v>1003</v>
      </c>
      <c r="BP807" s="213" t="s">
        <v>46</v>
      </c>
      <c r="BQ807" s="178"/>
      <c r="BR807" s="210"/>
      <c r="BS807" s="211" t="s">
        <v>1003</v>
      </c>
      <c r="BT807" s="213" t="s">
        <v>46</v>
      </c>
      <c r="BU807" s="178"/>
    </row>
    <row r="808" spans="1:73">
      <c r="A808" s="165"/>
      <c r="B808" s="166"/>
      <c r="C808" s="166"/>
      <c r="D808" s="160"/>
      <c r="E808" s="130"/>
      <c r="F808" s="138"/>
      <c r="G808" s="149"/>
      <c r="H808" s="167"/>
      <c r="I808" s="178"/>
      <c r="J808" s="210"/>
      <c r="K808" s="229"/>
      <c r="L808" s="213"/>
      <c r="M808" s="178"/>
      <c r="N808" s="210"/>
      <c r="O808" s="229"/>
      <c r="P808" s="213"/>
      <c r="Q808" s="178"/>
      <c r="R808" s="210"/>
      <c r="S808" s="229"/>
      <c r="T808" s="213"/>
      <c r="U808" s="178"/>
      <c r="V808" s="210"/>
      <c r="W808" s="229"/>
      <c r="X808" s="213"/>
      <c r="Y808" s="178"/>
      <c r="Z808" s="210"/>
      <c r="AA808" s="229"/>
      <c r="AB808" s="213"/>
      <c r="AC808" s="178"/>
      <c r="AD808" s="210"/>
      <c r="AE808" s="229"/>
      <c r="AF808" s="213"/>
      <c r="AG808" s="178"/>
      <c r="AH808" s="210"/>
      <c r="AI808" s="229"/>
      <c r="AJ808" s="213"/>
      <c r="AK808" s="178"/>
      <c r="AL808" s="210"/>
      <c r="AM808" s="229"/>
      <c r="AN808" s="213"/>
      <c r="AO808" s="178"/>
      <c r="AP808" s="210"/>
      <c r="AQ808" s="229"/>
      <c r="AR808" s="213"/>
      <c r="AS808" s="178"/>
      <c r="AT808" s="210"/>
      <c r="AU808" s="229"/>
      <c r="AV808" s="213"/>
      <c r="AW808" s="178"/>
      <c r="AX808" s="210"/>
      <c r="AY808" s="229"/>
      <c r="AZ808" s="213"/>
      <c r="BA808" s="178"/>
      <c r="BB808" s="210"/>
      <c r="BC808" s="229"/>
      <c r="BD808" s="213"/>
      <c r="BE808" s="178"/>
      <c r="BF808" s="210"/>
      <c r="BG808" s="229"/>
      <c r="BH808" s="213"/>
      <c r="BI808" s="178"/>
      <c r="BJ808" s="210"/>
      <c r="BK808" s="229"/>
      <c r="BL808" s="213"/>
      <c r="BM808" s="178"/>
      <c r="BN808" s="210"/>
      <c r="BO808" s="229"/>
      <c r="BP808" s="213"/>
      <c r="BQ808" s="178"/>
      <c r="BR808" s="210"/>
      <c r="BS808" s="229"/>
      <c r="BT808" s="213"/>
      <c r="BU808" s="178"/>
    </row>
    <row r="809" spans="1:73">
      <c r="A809" s="166"/>
      <c r="B809" s="166"/>
      <c r="C809" s="166"/>
      <c r="D809" s="160"/>
      <c r="E809" s="130"/>
      <c r="F809" s="158"/>
      <c r="G809" s="149"/>
      <c r="H809" s="167"/>
      <c r="I809" s="245"/>
      <c r="J809" s="247"/>
      <c r="K809" s="229"/>
      <c r="L809" s="213"/>
      <c r="M809" s="178"/>
      <c r="N809" s="247"/>
      <c r="O809" s="229"/>
      <c r="P809" s="213"/>
      <c r="Q809" s="178"/>
      <c r="R809" s="247"/>
      <c r="S809" s="229"/>
      <c r="T809" s="213"/>
      <c r="U809" s="178"/>
      <c r="V809" s="247"/>
      <c r="W809" s="229"/>
      <c r="X809" s="213"/>
      <c r="Y809" s="178"/>
      <c r="Z809" s="247"/>
      <c r="AA809" s="229"/>
      <c r="AB809" s="213"/>
      <c r="AC809" s="178"/>
      <c r="AD809" s="247"/>
      <c r="AE809" s="229"/>
      <c r="AF809" s="213"/>
      <c r="AG809" s="178"/>
      <c r="AH809" s="247"/>
      <c r="AI809" s="229"/>
      <c r="AJ809" s="213"/>
      <c r="AK809" s="178"/>
      <c r="AL809" s="247"/>
      <c r="AM809" s="229"/>
      <c r="AN809" s="213"/>
      <c r="AO809" s="178"/>
      <c r="AP809" s="247"/>
      <c r="AQ809" s="229"/>
      <c r="AR809" s="213"/>
      <c r="AS809" s="178"/>
      <c r="AT809" s="247"/>
      <c r="AU809" s="229"/>
      <c r="AV809" s="213"/>
      <c r="AW809" s="178"/>
      <c r="AX809" s="247"/>
      <c r="AY809" s="229"/>
      <c r="AZ809" s="213"/>
      <c r="BA809" s="178"/>
      <c r="BB809" s="247"/>
      <c r="BC809" s="229"/>
      <c r="BD809" s="213"/>
      <c r="BE809" s="178"/>
      <c r="BF809" s="247"/>
      <c r="BG809" s="229"/>
      <c r="BH809" s="213"/>
      <c r="BI809" s="178"/>
      <c r="BJ809" s="247"/>
      <c r="BK809" s="229"/>
      <c r="BL809" s="213"/>
      <c r="BM809" s="178"/>
      <c r="BN809" s="247"/>
      <c r="BO809" s="229"/>
      <c r="BP809" s="213"/>
      <c r="BQ809" s="178"/>
      <c r="BR809" s="247"/>
      <c r="BS809" s="229"/>
      <c r="BT809" s="213"/>
      <c r="BU809" s="178"/>
    </row>
    <row r="810" spans="1:73">
      <c r="A810" s="159"/>
      <c r="B810" s="148"/>
      <c r="C810" s="159"/>
      <c r="D810" s="160"/>
      <c r="E810" s="130"/>
      <c r="F810" s="138" t="s">
        <v>1004</v>
      </c>
      <c r="G810" s="161"/>
      <c r="H810" s="162"/>
      <c r="I810" s="250"/>
      <c r="J810" s="210" t="s">
        <v>1004</v>
      </c>
      <c r="K810" s="200"/>
      <c r="L810" s="246"/>
      <c r="M810" s="178"/>
      <c r="N810" s="210" t="s">
        <v>1004</v>
      </c>
      <c r="O810" s="200"/>
      <c r="P810" s="246"/>
      <c r="Q810" s="178"/>
      <c r="R810" s="210" t="s">
        <v>1004</v>
      </c>
      <c r="S810" s="200"/>
      <c r="T810" s="246"/>
      <c r="U810" s="178"/>
      <c r="V810" s="210" t="s">
        <v>1004</v>
      </c>
      <c r="W810" s="200"/>
      <c r="X810" s="246"/>
      <c r="Y810" s="178"/>
      <c r="Z810" s="210" t="s">
        <v>1004</v>
      </c>
      <c r="AA810" s="200"/>
      <c r="AB810" s="246"/>
      <c r="AC810" s="178"/>
      <c r="AD810" s="210" t="s">
        <v>1004</v>
      </c>
      <c r="AE810" s="200"/>
      <c r="AF810" s="246"/>
      <c r="AG810" s="178"/>
      <c r="AH810" s="210" t="s">
        <v>1004</v>
      </c>
      <c r="AI810" s="200"/>
      <c r="AJ810" s="246"/>
      <c r="AK810" s="178"/>
      <c r="AL810" s="210" t="s">
        <v>1004</v>
      </c>
      <c r="AM810" s="200"/>
      <c r="AN810" s="246"/>
      <c r="AO810" s="178"/>
      <c r="AP810" s="210" t="s">
        <v>1004</v>
      </c>
      <c r="AQ810" s="200"/>
      <c r="AR810" s="246"/>
      <c r="AS810" s="178"/>
      <c r="AT810" s="210" t="s">
        <v>1004</v>
      </c>
      <c r="AU810" s="200"/>
      <c r="AV810" s="246"/>
      <c r="AW810" s="178"/>
      <c r="AX810" s="210" t="s">
        <v>1004</v>
      </c>
      <c r="AY810" s="200"/>
      <c r="AZ810" s="246"/>
      <c r="BA810" s="178"/>
      <c r="BB810" s="210" t="s">
        <v>1004</v>
      </c>
      <c r="BC810" s="200"/>
      <c r="BD810" s="246"/>
      <c r="BE810" s="178"/>
      <c r="BF810" s="210" t="s">
        <v>1004</v>
      </c>
      <c r="BG810" s="200"/>
      <c r="BH810" s="246"/>
      <c r="BI810" s="178"/>
      <c r="BJ810" s="210" t="s">
        <v>1004</v>
      </c>
      <c r="BK810" s="200"/>
      <c r="BL810" s="246"/>
      <c r="BM810" s="178"/>
      <c r="BN810" s="210" t="s">
        <v>1004</v>
      </c>
      <c r="BO810" s="200"/>
      <c r="BP810" s="246"/>
      <c r="BQ810" s="178"/>
      <c r="BR810" s="210" t="s">
        <v>1004</v>
      </c>
      <c r="BS810" s="200"/>
      <c r="BT810" s="246"/>
      <c r="BU810" s="178"/>
    </row>
    <row r="811" spans="1:73">
      <c r="A811" s="136" t="s">
        <v>36</v>
      </c>
      <c r="B811" s="137" t="s">
        <v>37</v>
      </c>
      <c r="C811" s="137" t="s">
        <v>38</v>
      </c>
      <c r="D811" s="160"/>
      <c r="E811" s="130"/>
      <c r="F811" s="138"/>
      <c r="G811" s="139" t="s">
        <v>39</v>
      </c>
      <c r="H811" s="140" t="s">
        <v>40</v>
      </c>
      <c r="I811" s="109"/>
      <c r="J811" s="138"/>
      <c r="K811" s="139" t="s">
        <v>39</v>
      </c>
      <c r="L811" s="203" t="s">
        <v>40</v>
      </c>
      <c r="N811" s="138"/>
      <c r="O811" s="139" t="s">
        <v>39</v>
      </c>
      <c r="P811" s="203" t="s">
        <v>40</v>
      </c>
      <c r="R811" s="138"/>
      <c r="S811" s="139" t="s">
        <v>39</v>
      </c>
      <c r="T811" s="203" t="s">
        <v>40</v>
      </c>
      <c r="V811" s="138"/>
      <c r="W811" s="139" t="s">
        <v>39</v>
      </c>
      <c r="X811" s="203" t="s">
        <v>40</v>
      </c>
      <c r="Z811" s="138"/>
      <c r="AA811" s="139" t="s">
        <v>39</v>
      </c>
      <c r="AB811" s="203" t="s">
        <v>40</v>
      </c>
      <c r="AD811" s="138"/>
      <c r="AE811" s="139" t="s">
        <v>39</v>
      </c>
      <c r="AF811" s="203" t="s">
        <v>40</v>
      </c>
      <c r="AH811" s="138"/>
      <c r="AI811" s="139" t="s">
        <v>39</v>
      </c>
      <c r="AJ811" s="203" t="s">
        <v>40</v>
      </c>
      <c r="AL811" s="138"/>
      <c r="AM811" s="139" t="s">
        <v>39</v>
      </c>
      <c r="AN811" s="203" t="s">
        <v>40</v>
      </c>
      <c r="AP811" s="138"/>
      <c r="AQ811" s="139" t="s">
        <v>39</v>
      </c>
      <c r="AR811" s="203" t="s">
        <v>40</v>
      </c>
      <c r="AT811" s="138"/>
      <c r="AU811" s="139" t="s">
        <v>39</v>
      </c>
      <c r="AV811" s="203" t="s">
        <v>40</v>
      </c>
      <c r="AX811" s="138"/>
      <c r="AY811" s="139" t="s">
        <v>39</v>
      </c>
      <c r="AZ811" s="203" t="s">
        <v>40</v>
      </c>
      <c r="BB811" s="138"/>
      <c r="BC811" s="139" t="s">
        <v>39</v>
      </c>
      <c r="BD811" s="203" t="s">
        <v>40</v>
      </c>
      <c r="BF811" s="138"/>
      <c r="BG811" s="139" t="s">
        <v>39</v>
      </c>
      <c r="BH811" s="203" t="s">
        <v>40</v>
      </c>
      <c r="BJ811" s="138"/>
      <c r="BK811" s="139" t="s">
        <v>39</v>
      </c>
      <c r="BL811" s="203" t="s">
        <v>40</v>
      </c>
      <c r="BN811" s="138"/>
      <c r="BO811" s="139" t="s">
        <v>39</v>
      </c>
      <c r="BP811" s="203" t="s">
        <v>40</v>
      </c>
      <c r="BR811" s="138"/>
      <c r="BS811" s="139" t="s">
        <v>39</v>
      </c>
      <c r="BT811" s="203" t="s">
        <v>40</v>
      </c>
    </row>
    <row r="812" spans="1:73">
      <c r="A812" s="153"/>
      <c r="B812" s="142" t="s">
        <v>46</v>
      </c>
      <c r="C812" s="142"/>
      <c r="D812" s="160"/>
      <c r="E812" s="130"/>
      <c r="F812" s="138"/>
      <c r="G812" s="163" t="s">
        <v>1005</v>
      </c>
      <c r="H812" s="167"/>
      <c r="I812" s="245"/>
      <c r="J812" s="210"/>
      <c r="K812" s="227" t="s">
        <v>1005</v>
      </c>
      <c r="L812" s="213" t="s">
        <v>46</v>
      </c>
      <c r="M812" s="178"/>
      <c r="N812" s="210"/>
      <c r="O812" s="227" t="s">
        <v>1005</v>
      </c>
      <c r="P812" s="213" t="s">
        <v>46</v>
      </c>
      <c r="Q812" s="178"/>
      <c r="R812" s="210"/>
      <c r="S812" s="227" t="s">
        <v>1005</v>
      </c>
      <c r="T812" s="213" t="s">
        <v>46</v>
      </c>
      <c r="U812" s="178"/>
      <c r="V812" s="210"/>
      <c r="W812" s="227" t="s">
        <v>1005</v>
      </c>
      <c r="X812" s="213" t="s">
        <v>46</v>
      </c>
      <c r="Y812" s="178"/>
      <c r="Z812" s="210"/>
      <c r="AA812" s="227" t="s">
        <v>1005</v>
      </c>
      <c r="AB812" s="213" t="s">
        <v>46</v>
      </c>
      <c r="AC812" s="178"/>
      <c r="AD812" s="210"/>
      <c r="AE812" s="227" t="s">
        <v>1005</v>
      </c>
      <c r="AF812" s="213" t="s">
        <v>46</v>
      </c>
      <c r="AG812" s="178"/>
      <c r="AH812" s="210"/>
      <c r="AI812" s="227" t="s">
        <v>1005</v>
      </c>
      <c r="AJ812" s="213" t="s">
        <v>46</v>
      </c>
      <c r="AK812" s="178"/>
      <c r="AL812" s="210"/>
      <c r="AM812" s="227" t="s">
        <v>1005</v>
      </c>
      <c r="AN812" s="213" t="s">
        <v>46</v>
      </c>
      <c r="AO812" s="178"/>
      <c r="AP812" s="210"/>
      <c r="AQ812" s="227" t="s">
        <v>1005</v>
      </c>
      <c r="AR812" s="213" t="s">
        <v>46</v>
      </c>
      <c r="AS812" s="178"/>
      <c r="AT812" s="210"/>
      <c r="AU812" s="227" t="s">
        <v>1005</v>
      </c>
      <c r="AV812" s="213" t="s">
        <v>46</v>
      </c>
      <c r="AW812" s="178"/>
      <c r="AX812" s="210"/>
      <c r="AY812" s="227" t="s">
        <v>1005</v>
      </c>
      <c r="AZ812" s="213" t="s">
        <v>46</v>
      </c>
      <c r="BA812" s="178"/>
      <c r="BB812" s="210"/>
      <c r="BC812" s="227" t="s">
        <v>1005</v>
      </c>
      <c r="BD812" s="213" t="s">
        <v>46</v>
      </c>
      <c r="BE812" s="178"/>
      <c r="BF812" s="210"/>
      <c r="BG812" s="227" t="s">
        <v>1005</v>
      </c>
      <c r="BH812" s="213" t="s">
        <v>46</v>
      </c>
      <c r="BI812" s="178"/>
      <c r="BJ812" s="210"/>
      <c r="BK812" s="227" t="s">
        <v>1005</v>
      </c>
      <c r="BL812" s="213" t="s">
        <v>46</v>
      </c>
      <c r="BM812" s="178"/>
      <c r="BN812" s="210"/>
      <c r="BO812" s="227" t="s">
        <v>1005</v>
      </c>
      <c r="BP812" s="213" t="s">
        <v>46</v>
      </c>
      <c r="BQ812" s="178"/>
      <c r="BR812" s="210"/>
      <c r="BS812" s="227" t="s">
        <v>1005</v>
      </c>
      <c r="BT812" s="213" t="s">
        <v>46</v>
      </c>
      <c r="BU812" s="178"/>
    </row>
    <row r="813" spans="1:73">
      <c r="A813" s="153"/>
      <c r="B813" s="142" t="s">
        <v>63</v>
      </c>
      <c r="C813" s="142"/>
      <c r="D813" s="160"/>
      <c r="E813" s="130"/>
      <c r="F813" s="138"/>
      <c r="G813" s="163" t="s">
        <v>1006</v>
      </c>
      <c r="H813" s="167"/>
      <c r="I813" s="250"/>
      <c r="J813" s="210"/>
      <c r="K813" s="227" t="s">
        <v>1006</v>
      </c>
      <c r="L813" s="213" t="s">
        <v>63</v>
      </c>
      <c r="M813" s="178"/>
      <c r="N813" s="210"/>
      <c r="O813" s="227" t="s">
        <v>1006</v>
      </c>
      <c r="P813" s="213" t="s">
        <v>63</v>
      </c>
      <c r="Q813" s="178"/>
      <c r="R813" s="210"/>
      <c r="S813" s="227" t="s">
        <v>1006</v>
      </c>
      <c r="T813" s="213" t="s">
        <v>63</v>
      </c>
      <c r="U813" s="178"/>
      <c r="V813" s="210"/>
      <c r="W813" s="227" t="s">
        <v>1006</v>
      </c>
      <c r="X813" s="213" t="s">
        <v>63</v>
      </c>
      <c r="Y813" s="178"/>
      <c r="Z813" s="210"/>
      <c r="AA813" s="227" t="s">
        <v>1006</v>
      </c>
      <c r="AB813" s="213" t="s">
        <v>63</v>
      </c>
      <c r="AC813" s="178"/>
      <c r="AD813" s="210"/>
      <c r="AE813" s="227" t="s">
        <v>1006</v>
      </c>
      <c r="AF813" s="213" t="s">
        <v>63</v>
      </c>
      <c r="AG813" s="178"/>
      <c r="AH813" s="210"/>
      <c r="AI813" s="227" t="s">
        <v>1006</v>
      </c>
      <c r="AJ813" s="213" t="s">
        <v>63</v>
      </c>
      <c r="AK813" s="178"/>
      <c r="AL813" s="210"/>
      <c r="AM813" s="227" t="s">
        <v>1006</v>
      </c>
      <c r="AN813" s="213" t="s">
        <v>63</v>
      </c>
      <c r="AO813" s="178"/>
      <c r="AP813" s="210"/>
      <c r="AQ813" s="227" t="s">
        <v>1006</v>
      </c>
      <c r="AR813" s="213" t="s">
        <v>63</v>
      </c>
      <c r="AS813" s="178"/>
      <c r="AT813" s="210"/>
      <c r="AU813" s="227" t="s">
        <v>1006</v>
      </c>
      <c r="AV813" s="213" t="s">
        <v>63</v>
      </c>
      <c r="AW813" s="178"/>
      <c r="AX813" s="210"/>
      <c r="AY813" s="227" t="s">
        <v>1006</v>
      </c>
      <c r="AZ813" s="213" t="s">
        <v>63</v>
      </c>
      <c r="BA813" s="178"/>
      <c r="BB813" s="210"/>
      <c r="BC813" s="227" t="s">
        <v>1006</v>
      </c>
      <c r="BD813" s="213" t="s">
        <v>63</v>
      </c>
      <c r="BE813" s="178"/>
      <c r="BF813" s="210"/>
      <c r="BG813" s="227" t="s">
        <v>1006</v>
      </c>
      <c r="BH813" s="213" t="s">
        <v>63</v>
      </c>
      <c r="BI813" s="178"/>
      <c r="BJ813" s="210"/>
      <c r="BK813" s="227" t="s">
        <v>1006</v>
      </c>
      <c r="BL813" s="213" t="s">
        <v>63</v>
      </c>
      <c r="BM813" s="178"/>
      <c r="BN813" s="210"/>
      <c r="BO813" s="227" t="s">
        <v>1006</v>
      </c>
      <c r="BP813" s="213" t="s">
        <v>63</v>
      </c>
      <c r="BQ813" s="178"/>
      <c r="BR813" s="210"/>
      <c r="BS813" s="227" t="s">
        <v>1006</v>
      </c>
      <c r="BT813" s="213" t="s">
        <v>63</v>
      </c>
      <c r="BU813" s="178"/>
    </row>
    <row r="814" spans="1:73">
      <c r="A814" s="165"/>
      <c r="B814" s="166"/>
      <c r="C814" s="166"/>
      <c r="D814" s="160"/>
      <c r="E814" s="130"/>
      <c r="F814" s="138"/>
      <c r="G814" s="149"/>
      <c r="H814" s="167"/>
      <c r="I814" s="178"/>
      <c r="J814" s="210"/>
      <c r="K814" s="229"/>
      <c r="L814" s="213"/>
      <c r="M814" s="178"/>
      <c r="N814" s="210"/>
      <c r="O814" s="229"/>
      <c r="P814" s="213"/>
      <c r="Q814" s="178"/>
      <c r="R814" s="210"/>
      <c r="S814" s="229"/>
      <c r="T814" s="213"/>
      <c r="U814" s="178"/>
      <c r="V814" s="210"/>
      <c r="W814" s="229"/>
      <c r="X814" s="213"/>
      <c r="Y814" s="178"/>
      <c r="Z814" s="210"/>
      <c r="AA814" s="229"/>
      <c r="AB814" s="213"/>
      <c r="AC814" s="178"/>
      <c r="AD814" s="210"/>
      <c r="AE814" s="229"/>
      <c r="AF814" s="213"/>
      <c r="AG814" s="178"/>
      <c r="AH814" s="210"/>
      <c r="AI814" s="229"/>
      <c r="AJ814" s="213"/>
      <c r="AK814" s="178"/>
      <c r="AL814" s="210"/>
      <c r="AM814" s="229"/>
      <c r="AN814" s="213"/>
      <c r="AO814" s="178"/>
      <c r="AP814" s="210"/>
      <c r="AQ814" s="229"/>
      <c r="AR814" s="213"/>
      <c r="AS814" s="178"/>
      <c r="AT814" s="210"/>
      <c r="AU814" s="229"/>
      <c r="AV814" s="213"/>
      <c r="AW814" s="178"/>
      <c r="AX814" s="210"/>
      <c r="AY814" s="229"/>
      <c r="AZ814" s="213"/>
      <c r="BA814" s="178"/>
      <c r="BB814" s="210"/>
      <c r="BC814" s="229"/>
      <c r="BD814" s="213"/>
      <c r="BE814" s="178"/>
      <c r="BF814" s="210"/>
      <c r="BG814" s="229"/>
      <c r="BH814" s="213"/>
      <c r="BI814" s="178"/>
      <c r="BJ814" s="210"/>
      <c r="BK814" s="229"/>
      <c r="BL814" s="213"/>
      <c r="BM814" s="178"/>
      <c r="BN814" s="210"/>
      <c r="BO814" s="229"/>
      <c r="BP814" s="213"/>
      <c r="BQ814" s="178"/>
      <c r="BR814" s="210"/>
      <c r="BS814" s="229"/>
      <c r="BT814" s="213"/>
      <c r="BU814" s="178"/>
    </row>
    <row r="815" spans="1:73">
      <c r="A815" s="166"/>
      <c r="B815" s="166"/>
      <c r="C815" s="166"/>
      <c r="D815" s="160"/>
      <c r="E815" s="130"/>
      <c r="F815" s="158"/>
      <c r="G815" s="149"/>
      <c r="H815" s="167"/>
      <c r="I815" s="245"/>
      <c r="J815" s="247"/>
      <c r="K815" s="229"/>
      <c r="L815" s="213"/>
      <c r="M815" s="178"/>
      <c r="N815" s="247"/>
      <c r="O815" s="229"/>
      <c r="P815" s="213"/>
      <c r="Q815" s="178"/>
      <c r="R815" s="247"/>
      <c r="S815" s="229"/>
      <c r="T815" s="213"/>
      <c r="U815" s="178"/>
      <c r="V815" s="247"/>
      <c r="W815" s="229"/>
      <c r="X815" s="213"/>
      <c r="Y815" s="178"/>
      <c r="Z815" s="247"/>
      <c r="AA815" s="229"/>
      <c r="AB815" s="213"/>
      <c r="AC815" s="178"/>
      <c r="AD815" s="247"/>
      <c r="AE815" s="229"/>
      <c r="AF815" s="213"/>
      <c r="AG815" s="178"/>
      <c r="AH815" s="247"/>
      <c r="AI815" s="229"/>
      <c r="AJ815" s="213"/>
      <c r="AK815" s="178"/>
      <c r="AL815" s="247"/>
      <c r="AM815" s="229"/>
      <c r="AN815" s="213"/>
      <c r="AO815" s="178"/>
      <c r="AP815" s="247"/>
      <c r="AQ815" s="229"/>
      <c r="AR815" s="213"/>
      <c r="AS815" s="178"/>
      <c r="AT815" s="247"/>
      <c r="AU815" s="229"/>
      <c r="AV815" s="213"/>
      <c r="AW815" s="178"/>
      <c r="AX815" s="247"/>
      <c r="AY815" s="229"/>
      <c r="AZ815" s="213"/>
      <c r="BA815" s="178"/>
      <c r="BB815" s="247"/>
      <c r="BC815" s="229"/>
      <c r="BD815" s="213"/>
      <c r="BE815" s="178"/>
      <c r="BF815" s="247"/>
      <c r="BG815" s="229"/>
      <c r="BH815" s="213"/>
      <c r="BI815" s="178"/>
      <c r="BJ815" s="247"/>
      <c r="BK815" s="229"/>
      <c r="BL815" s="213"/>
      <c r="BM815" s="178"/>
      <c r="BN815" s="247"/>
      <c r="BO815" s="229"/>
      <c r="BP815" s="213"/>
      <c r="BQ815" s="178"/>
      <c r="BR815" s="247"/>
      <c r="BS815" s="229"/>
      <c r="BT815" s="213"/>
      <c r="BU815" s="178"/>
    </row>
    <row r="816" spans="1:73">
      <c r="A816" s="159"/>
      <c r="B816" s="148"/>
      <c r="C816" s="159"/>
      <c r="D816" s="160"/>
      <c r="E816" s="130"/>
      <c r="F816" s="138" t="s">
        <v>1007</v>
      </c>
      <c r="G816" s="161"/>
      <c r="H816" s="162"/>
      <c r="I816" s="250"/>
      <c r="J816" s="210" t="s">
        <v>1007</v>
      </c>
      <c r="K816" s="200"/>
      <c r="L816" s="246"/>
      <c r="M816" s="178"/>
      <c r="N816" s="210" t="s">
        <v>1007</v>
      </c>
      <c r="O816" s="200"/>
      <c r="P816" s="246"/>
      <c r="Q816" s="178"/>
      <c r="R816" s="210" t="s">
        <v>1007</v>
      </c>
      <c r="S816" s="200"/>
      <c r="T816" s="246"/>
      <c r="U816" s="178"/>
      <c r="V816" s="210" t="s">
        <v>1007</v>
      </c>
      <c r="W816" s="200"/>
      <c r="X816" s="246"/>
      <c r="Y816" s="178"/>
      <c r="Z816" s="210" t="s">
        <v>1007</v>
      </c>
      <c r="AA816" s="200"/>
      <c r="AB816" s="246"/>
      <c r="AC816" s="178"/>
      <c r="AD816" s="210" t="s">
        <v>1007</v>
      </c>
      <c r="AE816" s="200"/>
      <c r="AF816" s="246"/>
      <c r="AG816" s="178"/>
      <c r="AH816" s="210" t="s">
        <v>1007</v>
      </c>
      <c r="AI816" s="200"/>
      <c r="AJ816" s="246"/>
      <c r="AK816" s="178"/>
      <c r="AL816" s="210" t="s">
        <v>1007</v>
      </c>
      <c r="AM816" s="200"/>
      <c r="AN816" s="246"/>
      <c r="AO816" s="178"/>
      <c r="AP816" s="210" t="s">
        <v>1007</v>
      </c>
      <c r="AQ816" s="200"/>
      <c r="AR816" s="246"/>
      <c r="AS816" s="178"/>
      <c r="AT816" s="210" t="s">
        <v>1007</v>
      </c>
      <c r="AU816" s="200"/>
      <c r="AV816" s="246"/>
      <c r="AW816" s="178"/>
      <c r="AX816" s="210" t="s">
        <v>1007</v>
      </c>
      <c r="AY816" s="200"/>
      <c r="AZ816" s="246"/>
      <c r="BA816" s="178"/>
      <c r="BB816" s="210" t="s">
        <v>1007</v>
      </c>
      <c r="BC816" s="200"/>
      <c r="BD816" s="246"/>
      <c r="BE816" s="178"/>
      <c r="BF816" s="210" t="s">
        <v>1007</v>
      </c>
      <c r="BG816" s="200"/>
      <c r="BH816" s="246"/>
      <c r="BI816" s="178"/>
      <c r="BJ816" s="210" t="s">
        <v>1007</v>
      </c>
      <c r="BK816" s="200"/>
      <c r="BL816" s="246"/>
      <c r="BM816" s="178"/>
      <c r="BN816" s="210" t="s">
        <v>1007</v>
      </c>
      <c r="BO816" s="200"/>
      <c r="BP816" s="246"/>
      <c r="BQ816" s="178"/>
      <c r="BR816" s="210" t="s">
        <v>1007</v>
      </c>
      <c r="BS816" s="200"/>
      <c r="BT816" s="246"/>
      <c r="BU816" s="178"/>
    </row>
    <row r="817" spans="1:73">
      <c r="A817" s="136" t="s">
        <v>36</v>
      </c>
      <c r="B817" s="137" t="s">
        <v>37</v>
      </c>
      <c r="C817" s="137" t="s">
        <v>38</v>
      </c>
      <c r="D817" s="160"/>
      <c r="E817" s="130"/>
      <c r="F817" s="138"/>
      <c r="G817" s="139" t="s">
        <v>39</v>
      </c>
      <c r="H817" s="140" t="s">
        <v>40</v>
      </c>
      <c r="I817" s="109"/>
      <c r="J817" s="138"/>
      <c r="K817" s="139" t="s">
        <v>39</v>
      </c>
      <c r="L817" s="203" t="s">
        <v>40</v>
      </c>
      <c r="N817" s="138"/>
      <c r="O817" s="139" t="s">
        <v>39</v>
      </c>
      <c r="P817" s="203" t="s">
        <v>40</v>
      </c>
      <c r="R817" s="138"/>
      <c r="S817" s="139" t="s">
        <v>39</v>
      </c>
      <c r="T817" s="203" t="s">
        <v>40</v>
      </c>
      <c r="V817" s="138"/>
      <c r="W817" s="139" t="s">
        <v>39</v>
      </c>
      <c r="X817" s="203" t="s">
        <v>40</v>
      </c>
      <c r="Z817" s="138"/>
      <c r="AA817" s="139" t="s">
        <v>39</v>
      </c>
      <c r="AB817" s="203" t="s">
        <v>40</v>
      </c>
      <c r="AD817" s="138"/>
      <c r="AE817" s="139" t="s">
        <v>39</v>
      </c>
      <c r="AF817" s="203" t="s">
        <v>40</v>
      </c>
      <c r="AH817" s="138"/>
      <c r="AI817" s="139" t="s">
        <v>39</v>
      </c>
      <c r="AJ817" s="203" t="s">
        <v>40</v>
      </c>
      <c r="AL817" s="138"/>
      <c r="AM817" s="139" t="s">
        <v>39</v>
      </c>
      <c r="AN817" s="203" t="s">
        <v>40</v>
      </c>
      <c r="AP817" s="138"/>
      <c r="AQ817" s="139" t="s">
        <v>39</v>
      </c>
      <c r="AR817" s="203" t="s">
        <v>40</v>
      </c>
      <c r="AT817" s="138"/>
      <c r="AU817" s="139" t="s">
        <v>39</v>
      </c>
      <c r="AV817" s="203" t="s">
        <v>40</v>
      </c>
      <c r="AX817" s="138"/>
      <c r="AY817" s="139" t="s">
        <v>39</v>
      </c>
      <c r="AZ817" s="203" t="s">
        <v>40</v>
      </c>
      <c r="BB817" s="138"/>
      <c r="BC817" s="139" t="s">
        <v>39</v>
      </c>
      <c r="BD817" s="203" t="s">
        <v>40</v>
      </c>
      <c r="BF817" s="138"/>
      <c r="BG817" s="139" t="s">
        <v>39</v>
      </c>
      <c r="BH817" s="203" t="s">
        <v>40</v>
      </c>
      <c r="BJ817" s="138"/>
      <c r="BK817" s="139" t="s">
        <v>39</v>
      </c>
      <c r="BL817" s="203" t="s">
        <v>40</v>
      </c>
      <c r="BN817" s="138"/>
      <c r="BO817" s="139" t="s">
        <v>39</v>
      </c>
      <c r="BP817" s="203" t="s">
        <v>40</v>
      </c>
      <c r="BR817" s="138"/>
      <c r="BS817" s="139" t="s">
        <v>39</v>
      </c>
      <c r="BT817" s="203" t="s">
        <v>40</v>
      </c>
    </row>
    <row r="818" spans="1:73">
      <c r="A818" s="153"/>
      <c r="B818" s="142" t="s">
        <v>321</v>
      </c>
      <c r="C818" s="142"/>
      <c r="D818" s="160"/>
      <c r="E818" s="130"/>
      <c r="F818" s="138"/>
      <c r="G818" s="163" t="s">
        <v>1008</v>
      </c>
      <c r="H818" s="167"/>
      <c r="I818" s="245"/>
      <c r="J818" s="210"/>
      <c r="K818" s="227" t="s">
        <v>1008</v>
      </c>
      <c r="L818" s="213" t="s">
        <v>321</v>
      </c>
      <c r="M818" s="178"/>
      <c r="N818" s="210"/>
      <c r="O818" s="227" t="s">
        <v>1008</v>
      </c>
      <c r="P818" s="213" t="s">
        <v>321</v>
      </c>
      <c r="Q818" s="178"/>
      <c r="R818" s="210"/>
      <c r="S818" s="227" t="s">
        <v>1008</v>
      </c>
      <c r="T818" s="213" t="s">
        <v>321</v>
      </c>
      <c r="U818" s="178"/>
      <c r="V818" s="210"/>
      <c r="W818" s="227" t="s">
        <v>1008</v>
      </c>
      <c r="X818" s="213" t="s">
        <v>321</v>
      </c>
      <c r="Y818" s="178"/>
      <c r="Z818" s="210"/>
      <c r="AA818" s="227" t="s">
        <v>1008</v>
      </c>
      <c r="AB818" s="213" t="s">
        <v>321</v>
      </c>
      <c r="AC818" s="178"/>
      <c r="AD818" s="210"/>
      <c r="AE818" s="227" t="s">
        <v>1008</v>
      </c>
      <c r="AF818" s="213" t="s">
        <v>321</v>
      </c>
      <c r="AG818" s="178"/>
      <c r="AH818" s="210"/>
      <c r="AI818" s="227" t="s">
        <v>1008</v>
      </c>
      <c r="AJ818" s="213" t="s">
        <v>321</v>
      </c>
      <c r="AK818" s="178"/>
      <c r="AL818" s="210"/>
      <c r="AM818" s="227" t="s">
        <v>1008</v>
      </c>
      <c r="AN818" s="213" t="s">
        <v>321</v>
      </c>
      <c r="AO818" s="178"/>
      <c r="AP818" s="210"/>
      <c r="AQ818" s="227" t="s">
        <v>1008</v>
      </c>
      <c r="AR818" s="213" t="s">
        <v>321</v>
      </c>
      <c r="AS818" s="178"/>
      <c r="AT818" s="210"/>
      <c r="AU818" s="227" t="s">
        <v>1008</v>
      </c>
      <c r="AV818" s="213" t="s">
        <v>321</v>
      </c>
      <c r="AW818" s="178"/>
      <c r="AX818" s="210"/>
      <c r="AY818" s="227" t="s">
        <v>1008</v>
      </c>
      <c r="AZ818" s="213" t="s">
        <v>321</v>
      </c>
      <c r="BA818" s="178"/>
      <c r="BB818" s="210"/>
      <c r="BC818" s="227" t="s">
        <v>1008</v>
      </c>
      <c r="BD818" s="213" t="s">
        <v>321</v>
      </c>
      <c r="BE818" s="178"/>
      <c r="BF818" s="210"/>
      <c r="BG818" s="227" t="s">
        <v>1008</v>
      </c>
      <c r="BH818" s="213" t="s">
        <v>321</v>
      </c>
      <c r="BI818" s="178"/>
      <c r="BJ818" s="210"/>
      <c r="BK818" s="227" t="s">
        <v>1008</v>
      </c>
      <c r="BL818" s="213" t="s">
        <v>321</v>
      </c>
      <c r="BM818" s="178"/>
      <c r="BN818" s="210"/>
      <c r="BO818" s="227" t="s">
        <v>1008</v>
      </c>
      <c r="BP818" s="213" t="s">
        <v>321</v>
      </c>
      <c r="BQ818" s="178"/>
      <c r="BR818" s="210"/>
      <c r="BS818" s="227" t="s">
        <v>1008</v>
      </c>
      <c r="BT818" s="213" t="s">
        <v>321</v>
      </c>
      <c r="BU818" s="178"/>
    </row>
    <row r="819" spans="1:73">
      <c r="A819" s="165"/>
      <c r="B819" s="166"/>
      <c r="C819" s="166"/>
      <c r="D819" s="160"/>
      <c r="E819" s="130"/>
      <c r="F819" s="138"/>
      <c r="G819" s="149"/>
      <c r="H819" s="167"/>
      <c r="I819" s="245"/>
      <c r="J819" s="210"/>
      <c r="K819" s="229"/>
      <c r="L819" s="213"/>
      <c r="M819" s="178"/>
      <c r="N819" s="210"/>
      <c r="O819" s="229"/>
      <c r="P819" s="213"/>
      <c r="Q819" s="178"/>
      <c r="R819" s="210"/>
      <c r="S819" s="229"/>
      <c r="T819" s="213"/>
      <c r="U819" s="178"/>
      <c r="V819" s="210"/>
      <c r="W819" s="229"/>
      <c r="X819" s="213"/>
      <c r="Y819" s="178"/>
      <c r="Z819" s="210"/>
      <c r="AA819" s="229"/>
      <c r="AB819" s="213"/>
      <c r="AC819" s="178"/>
      <c r="AD819" s="210"/>
      <c r="AE819" s="229"/>
      <c r="AF819" s="213"/>
      <c r="AG819" s="178"/>
      <c r="AH819" s="210"/>
      <c r="AI819" s="229"/>
      <c r="AJ819" s="213"/>
      <c r="AK819" s="178"/>
      <c r="AL819" s="210"/>
      <c r="AM819" s="229"/>
      <c r="AN819" s="213"/>
      <c r="AO819" s="178"/>
      <c r="AP819" s="210"/>
      <c r="AQ819" s="229"/>
      <c r="AR819" s="213"/>
      <c r="AS819" s="178"/>
      <c r="AT819" s="210"/>
      <c r="AU819" s="229"/>
      <c r="AV819" s="213"/>
      <c r="AW819" s="178"/>
      <c r="AX819" s="210"/>
      <c r="AY819" s="229"/>
      <c r="AZ819" s="213"/>
      <c r="BA819" s="178"/>
      <c r="BB819" s="210"/>
      <c r="BC819" s="229"/>
      <c r="BD819" s="213"/>
      <c r="BE819" s="178"/>
      <c r="BF819" s="210"/>
      <c r="BG819" s="229"/>
      <c r="BH819" s="213"/>
      <c r="BI819" s="178"/>
      <c r="BJ819" s="210"/>
      <c r="BK819" s="229"/>
      <c r="BL819" s="213"/>
      <c r="BM819" s="178"/>
      <c r="BN819" s="210"/>
      <c r="BO819" s="229"/>
      <c r="BP819" s="213"/>
      <c r="BQ819" s="178"/>
      <c r="BR819" s="210"/>
      <c r="BS819" s="229"/>
      <c r="BT819" s="213"/>
      <c r="BU819" s="178"/>
    </row>
    <row r="820" spans="1:73">
      <c r="A820" s="166"/>
      <c r="B820" s="166"/>
      <c r="C820" s="166"/>
      <c r="D820" s="160"/>
      <c r="E820" s="130"/>
      <c r="F820" s="158"/>
      <c r="G820" s="149"/>
      <c r="H820" s="167"/>
      <c r="I820" s="245"/>
      <c r="J820" s="247"/>
      <c r="K820" s="229"/>
      <c r="L820" s="213"/>
      <c r="M820" s="178"/>
      <c r="N820" s="247"/>
      <c r="O820" s="229"/>
      <c r="P820" s="213"/>
      <c r="Q820" s="178"/>
      <c r="R820" s="247"/>
      <c r="S820" s="229"/>
      <c r="T820" s="213"/>
      <c r="U820" s="178"/>
      <c r="V820" s="247"/>
      <c r="W820" s="229"/>
      <c r="X820" s="213"/>
      <c r="Y820" s="178"/>
      <c r="Z820" s="247"/>
      <c r="AA820" s="229"/>
      <c r="AB820" s="213"/>
      <c r="AC820" s="178"/>
      <c r="AD820" s="247"/>
      <c r="AE820" s="229"/>
      <c r="AF820" s="213"/>
      <c r="AG820" s="178"/>
      <c r="AH820" s="247"/>
      <c r="AI820" s="229"/>
      <c r="AJ820" s="213"/>
      <c r="AK820" s="178"/>
      <c r="AL820" s="247"/>
      <c r="AM820" s="229"/>
      <c r="AN820" s="213"/>
      <c r="AO820" s="178"/>
      <c r="AP820" s="247"/>
      <c r="AQ820" s="229"/>
      <c r="AR820" s="213"/>
      <c r="AS820" s="178"/>
      <c r="AT820" s="247"/>
      <c r="AU820" s="229"/>
      <c r="AV820" s="213"/>
      <c r="AW820" s="178"/>
      <c r="AX820" s="247"/>
      <c r="AY820" s="229"/>
      <c r="AZ820" s="213"/>
      <c r="BA820" s="178"/>
      <c r="BB820" s="247"/>
      <c r="BC820" s="229"/>
      <c r="BD820" s="213"/>
      <c r="BE820" s="178"/>
      <c r="BF820" s="247"/>
      <c r="BG820" s="229"/>
      <c r="BH820" s="213"/>
      <c r="BI820" s="178"/>
      <c r="BJ820" s="247"/>
      <c r="BK820" s="229"/>
      <c r="BL820" s="213"/>
      <c r="BM820" s="178"/>
      <c r="BN820" s="247"/>
      <c r="BO820" s="229"/>
      <c r="BP820" s="213"/>
      <c r="BQ820" s="178"/>
      <c r="BR820" s="247"/>
      <c r="BS820" s="229"/>
      <c r="BT820" s="213"/>
      <c r="BU820" s="178"/>
    </row>
    <row r="821" spans="1:73">
      <c r="A821" s="159"/>
      <c r="B821" s="148"/>
      <c r="C821" s="159"/>
      <c r="D821" s="160"/>
      <c r="E821" s="130"/>
      <c r="F821" s="138" t="s">
        <v>1009</v>
      </c>
      <c r="G821" s="161"/>
      <c r="H821" s="162"/>
      <c r="I821" s="245"/>
      <c r="J821" s="210" t="s">
        <v>1009</v>
      </c>
      <c r="K821" s="200"/>
      <c r="L821" s="246"/>
      <c r="M821" s="178"/>
      <c r="N821" s="210" t="s">
        <v>1009</v>
      </c>
      <c r="O821" s="200"/>
      <c r="P821" s="246"/>
      <c r="Q821" s="178"/>
      <c r="R821" s="210" t="s">
        <v>1009</v>
      </c>
      <c r="S821" s="200"/>
      <c r="T821" s="246"/>
      <c r="U821" s="178"/>
      <c r="V821" s="210" t="s">
        <v>1009</v>
      </c>
      <c r="W821" s="200"/>
      <c r="X821" s="246"/>
      <c r="Y821" s="178"/>
      <c r="Z821" s="210" t="s">
        <v>1009</v>
      </c>
      <c r="AA821" s="200"/>
      <c r="AB821" s="246"/>
      <c r="AC821" s="178"/>
      <c r="AD821" s="210" t="s">
        <v>1009</v>
      </c>
      <c r="AE821" s="200"/>
      <c r="AF821" s="246"/>
      <c r="AG821" s="178"/>
      <c r="AH821" s="210" t="s">
        <v>1009</v>
      </c>
      <c r="AI821" s="200"/>
      <c r="AJ821" s="246"/>
      <c r="AK821" s="178"/>
      <c r="AL821" s="210" t="s">
        <v>1009</v>
      </c>
      <c r="AM821" s="200"/>
      <c r="AN821" s="246"/>
      <c r="AO821" s="178"/>
      <c r="AP821" s="210" t="s">
        <v>1009</v>
      </c>
      <c r="AQ821" s="200"/>
      <c r="AR821" s="246"/>
      <c r="AS821" s="178"/>
      <c r="AT821" s="210" t="s">
        <v>1009</v>
      </c>
      <c r="AU821" s="200"/>
      <c r="AV821" s="246"/>
      <c r="AW821" s="178"/>
      <c r="AX821" s="210" t="s">
        <v>1009</v>
      </c>
      <c r="AY821" s="200"/>
      <c r="AZ821" s="246"/>
      <c r="BA821" s="178"/>
      <c r="BB821" s="210" t="s">
        <v>1009</v>
      </c>
      <c r="BC821" s="200"/>
      <c r="BD821" s="246"/>
      <c r="BE821" s="178"/>
      <c r="BF821" s="210" t="s">
        <v>1009</v>
      </c>
      <c r="BG821" s="200"/>
      <c r="BH821" s="246"/>
      <c r="BI821" s="178"/>
      <c r="BJ821" s="210" t="s">
        <v>1009</v>
      </c>
      <c r="BK821" s="200"/>
      <c r="BL821" s="246"/>
      <c r="BM821" s="178"/>
      <c r="BN821" s="210" t="s">
        <v>1009</v>
      </c>
      <c r="BO821" s="200"/>
      <c r="BP821" s="246"/>
      <c r="BQ821" s="178"/>
      <c r="BR821" s="210" t="s">
        <v>1009</v>
      </c>
      <c r="BS821" s="200"/>
      <c r="BT821" s="246"/>
      <c r="BU821" s="178"/>
    </row>
    <row r="822" spans="1:73">
      <c r="A822" s="136" t="s">
        <v>36</v>
      </c>
      <c r="B822" s="137" t="s">
        <v>37</v>
      </c>
      <c r="C822" s="137" t="s">
        <v>38</v>
      </c>
      <c r="D822" s="160"/>
      <c r="E822" s="130"/>
      <c r="F822" s="138"/>
      <c r="G822" s="139" t="s">
        <v>39</v>
      </c>
      <c r="H822" s="140" t="s">
        <v>40</v>
      </c>
      <c r="J822" s="138"/>
      <c r="K822" s="139" t="s">
        <v>39</v>
      </c>
      <c r="L822" s="203" t="s">
        <v>40</v>
      </c>
      <c r="N822" s="138"/>
      <c r="O822" s="139" t="s">
        <v>39</v>
      </c>
      <c r="P822" s="203" t="s">
        <v>40</v>
      </c>
      <c r="R822" s="138"/>
      <c r="S822" s="139" t="s">
        <v>39</v>
      </c>
      <c r="T822" s="203" t="s">
        <v>40</v>
      </c>
      <c r="V822" s="138"/>
      <c r="W822" s="139" t="s">
        <v>39</v>
      </c>
      <c r="X822" s="203" t="s">
        <v>40</v>
      </c>
      <c r="Z822" s="138"/>
      <c r="AA822" s="139" t="s">
        <v>39</v>
      </c>
      <c r="AB822" s="203" t="s">
        <v>40</v>
      </c>
      <c r="AD822" s="138"/>
      <c r="AE822" s="139" t="s">
        <v>39</v>
      </c>
      <c r="AF822" s="203" t="s">
        <v>40</v>
      </c>
      <c r="AH822" s="138"/>
      <c r="AI822" s="139" t="s">
        <v>39</v>
      </c>
      <c r="AJ822" s="203" t="s">
        <v>40</v>
      </c>
      <c r="AL822" s="138"/>
      <c r="AM822" s="139" t="s">
        <v>39</v>
      </c>
      <c r="AN822" s="203" t="s">
        <v>40</v>
      </c>
      <c r="AP822" s="138"/>
      <c r="AQ822" s="139" t="s">
        <v>39</v>
      </c>
      <c r="AR822" s="203" t="s">
        <v>40</v>
      </c>
      <c r="AT822" s="138"/>
      <c r="AU822" s="139" t="s">
        <v>39</v>
      </c>
      <c r="AV822" s="203" t="s">
        <v>40</v>
      </c>
      <c r="AX822" s="138"/>
      <c r="AY822" s="139" t="s">
        <v>39</v>
      </c>
      <c r="AZ822" s="203" t="s">
        <v>40</v>
      </c>
      <c r="BB822" s="138"/>
      <c r="BC822" s="139" t="s">
        <v>39</v>
      </c>
      <c r="BD822" s="203" t="s">
        <v>40</v>
      </c>
      <c r="BF822" s="138"/>
      <c r="BG822" s="139" t="s">
        <v>39</v>
      </c>
      <c r="BH822" s="203" t="s">
        <v>40</v>
      </c>
      <c r="BJ822" s="138"/>
      <c r="BK822" s="139" t="s">
        <v>39</v>
      </c>
      <c r="BL822" s="203" t="s">
        <v>40</v>
      </c>
      <c r="BN822" s="138"/>
      <c r="BO822" s="139" t="s">
        <v>39</v>
      </c>
      <c r="BP822" s="203" t="s">
        <v>40</v>
      </c>
      <c r="BR822" s="138"/>
      <c r="BS822" s="139" t="s">
        <v>39</v>
      </c>
      <c r="BT822" s="203" t="s">
        <v>40</v>
      </c>
    </row>
    <row r="823" spans="1:73">
      <c r="A823" s="221"/>
      <c r="B823" s="205" t="s">
        <v>46</v>
      </c>
      <c r="C823" s="142"/>
      <c r="D823" s="207"/>
      <c r="E823" s="132"/>
      <c r="F823" s="138"/>
      <c r="G823" s="143" t="s">
        <v>1010</v>
      </c>
      <c r="H823" s="167"/>
      <c r="I823" s="245"/>
      <c r="J823" s="210"/>
      <c r="K823" s="211" t="s">
        <v>1010</v>
      </c>
      <c r="L823" s="213" t="s">
        <v>46</v>
      </c>
      <c r="M823" s="178"/>
      <c r="N823" s="210"/>
      <c r="O823" s="211" t="s">
        <v>1010</v>
      </c>
      <c r="P823" s="213" t="s">
        <v>46</v>
      </c>
      <c r="Q823" s="178"/>
      <c r="R823" s="210"/>
      <c r="S823" s="211" t="s">
        <v>1010</v>
      </c>
      <c r="T823" s="213" t="s">
        <v>46</v>
      </c>
      <c r="U823" s="178"/>
      <c r="V823" s="210"/>
      <c r="W823" s="211" t="s">
        <v>1010</v>
      </c>
      <c r="X823" s="213" t="s">
        <v>46</v>
      </c>
      <c r="Y823" s="178"/>
      <c r="Z823" s="210"/>
      <c r="AA823" s="211" t="s">
        <v>1010</v>
      </c>
      <c r="AB823" s="213" t="s">
        <v>46</v>
      </c>
      <c r="AC823" s="178"/>
      <c r="AD823" s="210"/>
      <c r="AE823" s="211" t="s">
        <v>1010</v>
      </c>
      <c r="AF823" s="213" t="s">
        <v>46</v>
      </c>
      <c r="AG823" s="178"/>
      <c r="AH823" s="210"/>
      <c r="AI823" s="211" t="s">
        <v>1010</v>
      </c>
      <c r="AJ823" s="213" t="s">
        <v>46</v>
      </c>
      <c r="AK823" s="178"/>
      <c r="AL823" s="210"/>
      <c r="AM823" s="211" t="s">
        <v>1010</v>
      </c>
      <c r="AN823" s="213" t="s">
        <v>46</v>
      </c>
      <c r="AO823" s="178"/>
      <c r="AP823" s="210"/>
      <c r="AQ823" s="211" t="s">
        <v>1010</v>
      </c>
      <c r="AR823" s="213" t="s">
        <v>46</v>
      </c>
      <c r="AS823" s="178"/>
      <c r="AT823" s="210"/>
      <c r="AU823" s="211" t="s">
        <v>1010</v>
      </c>
      <c r="AV823" s="213" t="s">
        <v>46</v>
      </c>
      <c r="AW823" s="178"/>
      <c r="AX823" s="210"/>
      <c r="AY823" s="211" t="s">
        <v>1010</v>
      </c>
      <c r="AZ823" s="213" t="s">
        <v>46</v>
      </c>
      <c r="BA823" s="178"/>
      <c r="BB823" s="210"/>
      <c r="BC823" s="211" t="s">
        <v>1010</v>
      </c>
      <c r="BD823" s="213" t="s">
        <v>46</v>
      </c>
      <c r="BE823" s="178"/>
      <c r="BF823" s="210"/>
      <c r="BG823" s="211" t="s">
        <v>1010</v>
      </c>
      <c r="BH823" s="213" t="s">
        <v>46</v>
      </c>
      <c r="BI823" s="178"/>
      <c r="BJ823" s="210"/>
      <c r="BK823" s="211" t="s">
        <v>1010</v>
      </c>
      <c r="BL823" s="213" t="s">
        <v>46</v>
      </c>
      <c r="BM823" s="178"/>
      <c r="BN823" s="210"/>
      <c r="BO823" s="211" t="s">
        <v>1010</v>
      </c>
      <c r="BP823" s="213" t="s">
        <v>46</v>
      </c>
      <c r="BQ823" s="178"/>
      <c r="BR823" s="210"/>
      <c r="BS823" s="211" t="s">
        <v>1010</v>
      </c>
      <c r="BT823" s="213" t="s">
        <v>46</v>
      </c>
      <c r="BU823" s="178"/>
    </row>
    <row r="824" spans="1:73">
      <c r="A824" s="221"/>
      <c r="B824" s="205" t="s">
        <v>46</v>
      </c>
      <c r="C824" s="142"/>
      <c r="D824" s="207"/>
      <c r="E824" s="132"/>
      <c r="F824" s="138"/>
      <c r="G824" s="143" t="s">
        <v>1011</v>
      </c>
      <c r="H824" s="167"/>
      <c r="I824" s="245"/>
      <c r="J824" s="210"/>
      <c r="K824" s="211" t="s">
        <v>1011</v>
      </c>
      <c r="L824" s="213" t="s">
        <v>46</v>
      </c>
      <c r="M824" s="178"/>
      <c r="N824" s="210"/>
      <c r="O824" s="211" t="s">
        <v>1011</v>
      </c>
      <c r="P824" s="213" t="s">
        <v>46</v>
      </c>
      <c r="Q824" s="178"/>
      <c r="R824" s="210"/>
      <c r="S824" s="211" t="s">
        <v>1011</v>
      </c>
      <c r="T824" s="213" t="s">
        <v>46</v>
      </c>
      <c r="U824" s="178"/>
      <c r="V824" s="210"/>
      <c r="W824" s="211" t="s">
        <v>1011</v>
      </c>
      <c r="X824" s="213" t="s">
        <v>46</v>
      </c>
      <c r="Y824" s="178"/>
      <c r="Z824" s="210"/>
      <c r="AA824" s="211" t="s">
        <v>1011</v>
      </c>
      <c r="AB824" s="213" t="s">
        <v>46</v>
      </c>
      <c r="AC824" s="178"/>
      <c r="AD824" s="210"/>
      <c r="AE824" s="211" t="s">
        <v>1011</v>
      </c>
      <c r="AF824" s="213" t="s">
        <v>46</v>
      </c>
      <c r="AG824" s="178"/>
      <c r="AH824" s="210"/>
      <c r="AI824" s="211" t="s">
        <v>1011</v>
      </c>
      <c r="AJ824" s="213" t="s">
        <v>46</v>
      </c>
      <c r="AK824" s="178"/>
      <c r="AL824" s="210"/>
      <c r="AM824" s="211" t="s">
        <v>1011</v>
      </c>
      <c r="AN824" s="213" t="s">
        <v>46</v>
      </c>
      <c r="AO824" s="178"/>
      <c r="AP824" s="210"/>
      <c r="AQ824" s="211" t="s">
        <v>1011</v>
      </c>
      <c r="AR824" s="213" t="s">
        <v>46</v>
      </c>
      <c r="AS824" s="178"/>
      <c r="AT824" s="210"/>
      <c r="AU824" s="211" t="s">
        <v>1011</v>
      </c>
      <c r="AV824" s="213" t="s">
        <v>46</v>
      </c>
      <c r="AW824" s="178"/>
      <c r="AX824" s="210"/>
      <c r="AY824" s="211" t="s">
        <v>1011</v>
      </c>
      <c r="AZ824" s="213" t="s">
        <v>46</v>
      </c>
      <c r="BA824" s="178"/>
      <c r="BB824" s="210"/>
      <c r="BC824" s="211" t="s">
        <v>1011</v>
      </c>
      <c r="BD824" s="213" t="s">
        <v>46</v>
      </c>
      <c r="BE824" s="178"/>
      <c r="BF824" s="210"/>
      <c r="BG824" s="211" t="s">
        <v>1011</v>
      </c>
      <c r="BH824" s="213" t="s">
        <v>46</v>
      </c>
      <c r="BI824" s="178"/>
      <c r="BJ824" s="210"/>
      <c r="BK824" s="211" t="s">
        <v>1011</v>
      </c>
      <c r="BL824" s="213" t="s">
        <v>46</v>
      </c>
      <c r="BM824" s="178"/>
      <c r="BN824" s="210"/>
      <c r="BO824" s="211" t="s">
        <v>1011</v>
      </c>
      <c r="BP824" s="213" t="s">
        <v>46</v>
      </c>
      <c r="BQ824" s="178"/>
      <c r="BR824" s="210"/>
      <c r="BS824" s="211" t="s">
        <v>1011</v>
      </c>
      <c r="BT824" s="213" t="s">
        <v>46</v>
      </c>
      <c r="BU824" s="178"/>
    </row>
    <row r="825" spans="1:73">
      <c r="A825" s="221"/>
      <c r="B825" s="205" t="s">
        <v>63</v>
      </c>
      <c r="C825" s="142"/>
      <c r="D825" s="207"/>
      <c r="E825" s="132"/>
      <c r="F825" s="138"/>
      <c r="G825" s="143" t="s">
        <v>1012</v>
      </c>
      <c r="H825" s="167"/>
      <c r="I825" s="245"/>
      <c r="J825" s="210"/>
      <c r="K825" s="211" t="s">
        <v>1012</v>
      </c>
      <c r="L825" s="213" t="s">
        <v>63</v>
      </c>
      <c r="M825" s="178"/>
      <c r="N825" s="210"/>
      <c r="O825" s="211" t="s">
        <v>1012</v>
      </c>
      <c r="P825" s="213" t="s">
        <v>63</v>
      </c>
      <c r="Q825" s="178"/>
      <c r="R825" s="210"/>
      <c r="S825" s="211" t="s">
        <v>1012</v>
      </c>
      <c r="T825" s="213" t="s">
        <v>63</v>
      </c>
      <c r="U825" s="178"/>
      <c r="V825" s="210"/>
      <c r="W825" s="211" t="s">
        <v>1012</v>
      </c>
      <c r="X825" s="213" t="s">
        <v>63</v>
      </c>
      <c r="Y825" s="178"/>
      <c r="Z825" s="210"/>
      <c r="AA825" s="211" t="s">
        <v>1012</v>
      </c>
      <c r="AB825" s="213" t="s">
        <v>63</v>
      </c>
      <c r="AC825" s="178"/>
      <c r="AD825" s="210"/>
      <c r="AE825" s="211" t="s">
        <v>1012</v>
      </c>
      <c r="AF825" s="213" t="s">
        <v>63</v>
      </c>
      <c r="AG825" s="178"/>
      <c r="AH825" s="210"/>
      <c r="AI825" s="211" t="s">
        <v>1012</v>
      </c>
      <c r="AJ825" s="213" t="s">
        <v>63</v>
      </c>
      <c r="AK825" s="178"/>
      <c r="AL825" s="210"/>
      <c r="AM825" s="211" t="s">
        <v>1012</v>
      </c>
      <c r="AN825" s="213" t="s">
        <v>63</v>
      </c>
      <c r="AO825" s="178"/>
      <c r="AP825" s="210"/>
      <c r="AQ825" s="211" t="s">
        <v>1012</v>
      </c>
      <c r="AR825" s="213" t="s">
        <v>63</v>
      </c>
      <c r="AS825" s="178"/>
      <c r="AT825" s="210"/>
      <c r="AU825" s="211" t="s">
        <v>1012</v>
      </c>
      <c r="AV825" s="213" t="s">
        <v>63</v>
      </c>
      <c r="AW825" s="178"/>
      <c r="AX825" s="210"/>
      <c r="AY825" s="211" t="s">
        <v>1012</v>
      </c>
      <c r="AZ825" s="213" t="s">
        <v>63</v>
      </c>
      <c r="BA825" s="178"/>
      <c r="BB825" s="210"/>
      <c r="BC825" s="211" t="s">
        <v>1012</v>
      </c>
      <c r="BD825" s="213" t="s">
        <v>63</v>
      </c>
      <c r="BE825" s="178"/>
      <c r="BF825" s="210"/>
      <c r="BG825" s="211" t="s">
        <v>1012</v>
      </c>
      <c r="BH825" s="213" t="s">
        <v>63</v>
      </c>
      <c r="BI825" s="178"/>
      <c r="BJ825" s="210"/>
      <c r="BK825" s="211" t="s">
        <v>1012</v>
      </c>
      <c r="BL825" s="213" t="s">
        <v>63</v>
      </c>
      <c r="BM825" s="178"/>
      <c r="BN825" s="210"/>
      <c r="BO825" s="211" t="s">
        <v>1012</v>
      </c>
      <c r="BP825" s="213" t="s">
        <v>63</v>
      </c>
      <c r="BQ825" s="178"/>
      <c r="BR825" s="210"/>
      <c r="BS825" s="211" t="s">
        <v>1012</v>
      </c>
      <c r="BT825" s="213" t="s">
        <v>63</v>
      </c>
      <c r="BU825" s="178"/>
    </row>
    <row r="826" spans="1:73">
      <c r="A826" s="221"/>
      <c r="B826" s="205" t="s">
        <v>63</v>
      </c>
      <c r="C826" s="142"/>
      <c r="D826" s="207"/>
      <c r="E826" s="132"/>
      <c r="F826" s="138"/>
      <c r="G826" s="143" t="s">
        <v>1013</v>
      </c>
      <c r="H826" s="167"/>
      <c r="I826" s="245"/>
      <c r="J826" s="210"/>
      <c r="K826" s="211" t="s">
        <v>1013</v>
      </c>
      <c r="L826" s="213" t="s">
        <v>63</v>
      </c>
      <c r="M826" s="178"/>
      <c r="N826" s="210"/>
      <c r="O826" s="211" t="s">
        <v>1013</v>
      </c>
      <c r="P826" s="213" t="s">
        <v>63</v>
      </c>
      <c r="Q826" s="178"/>
      <c r="R826" s="210"/>
      <c r="S826" s="211" t="s">
        <v>1013</v>
      </c>
      <c r="T826" s="213" t="s">
        <v>63</v>
      </c>
      <c r="U826" s="178"/>
      <c r="V826" s="210"/>
      <c r="W826" s="211" t="s">
        <v>1013</v>
      </c>
      <c r="X826" s="213" t="s">
        <v>63</v>
      </c>
      <c r="Y826" s="178"/>
      <c r="Z826" s="210"/>
      <c r="AA826" s="211" t="s">
        <v>1013</v>
      </c>
      <c r="AB826" s="213" t="s">
        <v>63</v>
      </c>
      <c r="AC826" s="178"/>
      <c r="AD826" s="210"/>
      <c r="AE826" s="211" t="s">
        <v>1013</v>
      </c>
      <c r="AF826" s="213" t="s">
        <v>63</v>
      </c>
      <c r="AG826" s="178"/>
      <c r="AH826" s="210"/>
      <c r="AI826" s="211" t="s">
        <v>1013</v>
      </c>
      <c r="AJ826" s="213" t="s">
        <v>63</v>
      </c>
      <c r="AK826" s="178"/>
      <c r="AL826" s="210"/>
      <c r="AM826" s="211" t="s">
        <v>1013</v>
      </c>
      <c r="AN826" s="213" t="s">
        <v>63</v>
      </c>
      <c r="AO826" s="178"/>
      <c r="AP826" s="210"/>
      <c r="AQ826" s="211" t="s">
        <v>1013</v>
      </c>
      <c r="AR826" s="213" t="s">
        <v>63</v>
      </c>
      <c r="AS826" s="178"/>
      <c r="AT826" s="210"/>
      <c r="AU826" s="211" t="s">
        <v>1013</v>
      </c>
      <c r="AV826" s="213" t="s">
        <v>63</v>
      </c>
      <c r="AW826" s="178"/>
      <c r="AX826" s="210"/>
      <c r="AY826" s="211" t="s">
        <v>1013</v>
      </c>
      <c r="AZ826" s="213" t="s">
        <v>63</v>
      </c>
      <c r="BA826" s="178"/>
      <c r="BB826" s="210"/>
      <c r="BC826" s="211" t="s">
        <v>1013</v>
      </c>
      <c r="BD826" s="213" t="s">
        <v>63</v>
      </c>
      <c r="BE826" s="178"/>
      <c r="BF826" s="210"/>
      <c r="BG826" s="211" t="s">
        <v>1013</v>
      </c>
      <c r="BH826" s="213" t="s">
        <v>63</v>
      </c>
      <c r="BI826" s="178"/>
      <c r="BJ826" s="210"/>
      <c r="BK826" s="211" t="s">
        <v>1013</v>
      </c>
      <c r="BL826" s="213" t="s">
        <v>63</v>
      </c>
      <c r="BM826" s="178"/>
      <c r="BN826" s="210"/>
      <c r="BO826" s="211" t="s">
        <v>1013</v>
      </c>
      <c r="BP826" s="213" t="s">
        <v>63</v>
      </c>
      <c r="BQ826" s="178"/>
      <c r="BR826" s="210"/>
      <c r="BS826" s="211" t="s">
        <v>1013</v>
      </c>
      <c r="BT826" s="213" t="s">
        <v>63</v>
      </c>
      <c r="BU826" s="178"/>
    </row>
    <row r="827" spans="1:73">
      <c r="A827" s="165"/>
      <c r="B827" s="166"/>
      <c r="C827" s="166"/>
      <c r="D827" s="160"/>
      <c r="E827" s="130"/>
      <c r="F827" s="138"/>
      <c r="G827" s="149"/>
      <c r="H827" s="167"/>
      <c r="I827" s="245"/>
      <c r="J827" s="210"/>
      <c r="K827" s="229"/>
      <c r="L827" s="213"/>
      <c r="M827" s="178"/>
      <c r="N827" s="210"/>
      <c r="O827" s="229"/>
      <c r="P827" s="213"/>
      <c r="Q827" s="178"/>
      <c r="R827" s="210"/>
      <c r="S827" s="229"/>
      <c r="T827" s="213"/>
      <c r="U827" s="178"/>
      <c r="V827" s="210"/>
      <c r="W827" s="229"/>
      <c r="X827" s="213"/>
      <c r="Y827" s="178"/>
      <c r="Z827" s="210"/>
      <c r="AA827" s="229"/>
      <c r="AB827" s="213"/>
      <c r="AC827" s="178"/>
      <c r="AD827" s="210"/>
      <c r="AE827" s="229"/>
      <c r="AF827" s="213"/>
      <c r="AG827" s="178"/>
      <c r="AH827" s="210"/>
      <c r="AI827" s="229"/>
      <c r="AJ827" s="213"/>
      <c r="AK827" s="178"/>
      <c r="AL827" s="210"/>
      <c r="AM827" s="229"/>
      <c r="AN827" s="213"/>
      <c r="AO827" s="178"/>
      <c r="AP827" s="210"/>
      <c r="AQ827" s="229"/>
      <c r="AR827" s="213"/>
      <c r="AS827" s="178"/>
      <c r="AT827" s="210"/>
      <c r="AU827" s="229"/>
      <c r="AV827" s="213"/>
      <c r="AW827" s="178"/>
      <c r="AX827" s="210"/>
      <c r="AY827" s="229"/>
      <c r="AZ827" s="213"/>
      <c r="BA827" s="178"/>
      <c r="BB827" s="210"/>
      <c r="BC827" s="229"/>
      <c r="BD827" s="213"/>
      <c r="BE827" s="178"/>
      <c r="BF827" s="210"/>
      <c r="BG827" s="229"/>
      <c r="BH827" s="213"/>
      <c r="BI827" s="178"/>
      <c r="BJ827" s="210"/>
      <c r="BK827" s="229"/>
      <c r="BL827" s="213"/>
      <c r="BM827" s="178"/>
      <c r="BN827" s="210"/>
      <c r="BO827" s="229"/>
      <c r="BP827" s="213"/>
      <c r="BQ827" s="178"/>
      <c r="BR827" s="210"/>
      <c r="BS827" s="229"/>
      <c r="BT827" s="213"/>
      <c r="BU827" s="178"/>
    </row>
    <row r="828" spans="1:73">
      <c r="A828" s="166"/>
      <c r="B828" s="166"/>
      <c r="C828" s="166"/>
      <c r="D828" s="160"/>
      <c r="E828" s="130"/>
      <c r="F828" s="158"/>
      <c r="G828" s="149"/>
      <c r="H828" s="167"/>
      <c r="I828" s="245"/>
      <c r="J828" s="247"/>
      <c r="K828" s="229"/>
      <c r="L828" s="213"/>
      <c r="M828" s="178"/>
      <c r="N828" s="247"/>
      <c r="O828" s="229"/>
      <c r="P828" s="213"/>
      <c r="Q828" s="178"/>
      <c r="R828" s="247"/>
      <c r="S828" s="229"/>
      <c r="T828" s="213"/>
      <c r="U828" s="178"/>
      <c r="V828" s="247"/>
      <c r="W828" s="229"/>
      <c r="X828" s="213"/>
      <c r="Y828" s="178"/>
      <c r="Z828" s="247"/>
      <c r="AA828" s="229"/>
      <c r="AB828" s="213"/>
      <c r="AC828" s="178"/>
      <c r="AD828" s="247"/>
      <c r="AE828" s="229"/>
      <c r="AF828" s="213"/>
      <c r="AG828" s="178"/>
      <c r="AH828" s="247"/>
      <c r="AI828" s="229"/>
      <c r="AJ828" s="213"/>
      <c r="AK828" s="178"/>
      <c r="AL828" s="247"/>
      <c r="AM828" s="229"/>
      <c r="AN828" s="213"/>
      <c r="AO828" s="178"/>
      <c r="AP828" s="247"/>
      <c r="AQ828" s="229"/>
      <c r="AR828" s="213"/>
      <c r="AS828" s="178"/>
      <c r="AT828" s="247"/>
      <c r="AU828" s="229"/>
      <c r="AV828" s="213"/>
      <c r="AW828" s="178"/>
      <c r="AX828" s="247"/>
      <c r="AY828" s="229"/>
      <c r="AZ828" s="213"/>
      <c r="BA828" s="178"/>
      <c r="BB828" s="247"/>
      <c r="BC828" s="229"/>
      <c r="BD828" s="213"/>
      <c r="BE828" s="178"/>
      <c r="BF828" s="247"/>
      <c r="BG828" s="229"/>
      <c r="BH828" s="213"/>
      <c r="BI828" s="178"/>
      <c r="BJ828" s="247"/>
      <c r="BK828" s="229"/>
      <c r="BL828" s="213"/>
      <c r="BM828" s="178"/>
      <c r="BN828" s="247"/>
      <c r="BO828" s="229"/>
      <c r="BP828" s="213"/>
      <c r="BQ828" s="178"/>
      <c r="BR828" s="247"/>
      <c r="BS828" s="229"/>
      <c r="BT828" s="213"/>
      <c r="BU828" s="178"/>
    </row>
    <row r="829" spans="1:73">
      <c r="A829" s="159"/>
      <c r="B829" s="148"/>
      <c r="C829" s="159"/>
      <c r="D829" s="160"/>
      <c r="E829" s="130"/>
      <c r="F829" s="138" t="s">
        <v>1014</v>
      </c>
      <c r="G829" s="161"/>
      <c r="H829" s="162"/>
      <c r="I829" s="245"/>
      <c r="J829" s="210" t="s">
        <v>1014</v>
      </c>
      <c r="K829" s="200"/>
      <c r="L829" s="246"/>
      <c r="M829" s="178"/>
      <c r="N829" s="210" t="s">
        <v>1014</v>
      </c>
      <c r="O829" s="200"/>
      <c r="P829" s="246"/>
      <c r="Q829" s="178"/>
      <c r="R829" s="210" t="s">
        <v>1014</v>
      </c>
      <c r="S829" s="200"/>
      <c r="T829" s="246"/>
      <c r="U829" s="178"/>
      <c r="V829" s="210" t="s">
        <v>1014</v>
      </c>
      <c r="W829" s="200"/>
      <c r="X829" s="246"/>
      <c r="Y829" s="178"/>
      <c r="Z829" s="210" t="s">
        <v>1014</v>
      </c>
      <c r="AA829" s="200"/>
      <c r="AB829" s="246"/>
      <c r="AC829" s="178"/>
      <c r="AD829" s="210" t="s">
        <v>1014</v>
      </c>
      <c r="AE829" s="200"/>
      <c r="AF829" s="246"/>
      <c r="AG829" s="178"/>
      <c r="AH829" s="210" t="s">
        <v>1014</v>
      </c>
      <c r="AI829" s="200"/>
      <c r="AJ829" s="246"/>
      <c r="AK829" s="178"/>
      <c r="AL829" s="210" t="s">
        <v>1014</v>
      </c>
      <c r="AM829" s="200"/>
      <c r="AN829" s="246"/>
      <c r="AO829" s="178"/>
      <c r="AP829" s="210" t="s">
        <v>1014</v>
      </c>
      <c r="AQ829" s="200"/>
      <c r="AR829" s="246"/>
      <c r="AS829" s="178"/>
      <c r="AT829" s="210" t="s">
        <v>1014</v>
      </c>
      <c r="AU829" s="200"/>
      <c r="AV829" s="246"/>
      <c r="AW829" s="178"/>
      <c r="AX829" s="210" t="s">
        <v>1014</v>
      </c>
      <c r="AY829" s="200"/>
      <c r="AZ829" s="246"/>
      <c r="BA829" s="178"/>
      <c r="BB829" s="210" t="s">
        <v>1014</v>
      </c>
      <c r="BC829" s="200"/>
      <c r="BD829" s="246"/>
      <c r="BE829" s="178"/>
      <c r="BF829" s="210" t="s">
        <v>1014</v>
      </c>
      <c r="BG829" s="200"/>
      <c r="BH829" s="246"/>
      <c r="BI829" s="178"/>
      <c r="BJ829" s="210" t="s">
        <v>1014</v>
      </c>
      <c r="BK829" s="200"/>
      <c r="BL829" s="246"/>
      <c r="BM829" s="178"/>
      <c r="BN829" s="210" t="s">
        <v>1014</v>
      </c>
      <c r="BO829" s="200"/>
      <c r="BP829" s="246"/>
      <c r="BQ829" s="178"/>
      <c r="BR829" s="210" t="s">
        <v>1014</v>
      </c>
      <c r="BS829" s="200"/>
      <c r="BT829" s="246"/>
      <c r="BU829" s="178"/>
    </row>
    <row r="830" spans="1:73">
      <c r="A830" s="136" t="s">
        <v>36</v>
      </c>
      <c r="B830" s="137" t="s">
        <v>37</v>
      </c>
      <c r="C830" s="137" t="s">
        <v>38</v>
      </c>
      <c r="D830" s="160"/>
      <c r="E830" s="130"/>
      <c r="F830" s="138"/>
      <c r="G830" s="139" t="s">
        <v>39</v>
      </c>
      <c r="H830" s="140" t="s">
        <v>40</v>
      </c>
      <c r="J830" s="138"/>
      <c r="K830" s="139" t="s">
        <v>39</v>
      </c>
      <c r="L830" s="203" t="s">
        <v>40</v>
      </c>
      <c r="N830" s="138"/>
      <c r="O830" s="139" t="s">
        <v>39</v>
      </c>
      <c r="P830" s="203" t="s">
        <v>40</v>
      </c>
      <c r="R830" s="138"/>
      <c r="S830" s="139" t="s">
        <v>39</v>
      </c>
      <c r="T830" s="203" t="s">
        <v>40</v>
      </c>
      <c r="V830" s="138"/>
      <c r="W830" s="139" t="s">
        <v>39</v>
      </c>
      <c r="X830" s="203" t="s">
        <v>40</v>
      </c>
      <c r="Z830" s="138"/>
      <c r="AA830" s="139" t="s">
        <v>39</v>
      </c>
      <c r="AB830" s="203" t="s">
        <v>40</v>
      </c>
      <c r="AD830" s="138"/>
      <c r="AE830" s="139" t="s">
        <v>39</v>
      </c>
      <c r="AF830" s="203" t="s">
        <v>40</v>
      </c>
      <c r="AH830" s="138"/>
      <c r="AI830" s="139" t="s">
        <v>39</v>
      </c>
      <c r="AJ830" s="203" t="s">
        <v>40</v>
      </c>
      <c r="AL830" s="138"/>
      <c r="AM830" s="139" t="s">
        <v>39</v>
      </c>
      <c r="AN830" s="203" t="s">
        <v>40</v>
      </c>
      <c r="AP830" s="138"/>
      <c r="AQ830" s="139" t="s">
        <v>39</v>
      </c>
      <c r="AR830" s="203" t="s">
        <v>40</v>
      </c>
      <c r="AT830" s="138"/>
      <c r="AU830" s="139" t="s">
        <v>39</v>
      </c>
      <c r="AV830" s="203" t="s">
        <v>40</v>
      </c>
      <c r="AX830" s="138"/>
      <c r="AY830" s="139" t="s">
        <v>39</v>
      </c>
      <c r="AZ830" s="203" t="s">
        <v>40</v>
      </c>
      <c r="BB830" s="138"/>
      <c r="BC830" s="139" t="s">
        <v>39</v>
      </c>
      <c r="BD830" s="203" t="s">
        <v>40</v>
      </c>
      <c r="BF830" s="138"/>
      <c r="BG830" s="139" t="s">
        <v>39</v>
      </c>
      <c r="BH830" s="203" t="s">
        <v>40</v>
      </c>
      <c r="BJ830" s="138"/>
      <c r="BK830" s="139" t="s">
        <v>39</v>
      </c>
      <c r="BL830" s="203" t="s">
        <v>40</v>
      </c>
      <c r="BN830" s="138"/>
      <c r="BO830" s="139" t="s">
        <v>39</v>
      </c>
      <c r="BP830" s="203" t="s">
        <v>40</v>
      </c>
      <c r="BR830" s="138"/>
      <c r="BS830" s="139" t="s">
        <v>39</v>
      </c>
      <c r="BT830" s="203" t="s">
        <v>40</v>
      </c>
    </row>
    <row r="831" spans="1:73">
      <c r="A831" s="221"/>
      <c r="B831" s="205" t="s">
        <v>321</v>
      </c>
      <c r="C831" s="142"/>
      <c r="D831" s="207"/>
      <c r="E831" s="132"/>
      <c r="F831" s="138"/>
      <c r="G831" s="143" t="s">
        <v>1015</v>
      </c>
      <c r="H831" s="167"/>
      <c r="I831" s="245"/>
      <c r="J831" s="210"/>
      <c r="K831" s="211" t="s">
        <v>1015</v>
      </c>
      <c r="L831" s="213" t="s">
        <v>321</v>
      </c>
      <c r="M831" s="178"/>
      <c r="N831" s="210"/>
      <c r="O831" s="211" t="s">
        <v>1015</v>
      </c>
      <c r="P831" s="213" t="s">
        <v>321</v>
      </c>
      <c r="Q831" s="178"/>
      <c r="R831" s="210"/>
      <c r="S831" s="211" t="s">
        <v>1015</v>
      </c>
      <c r="T831" s="213" t="s">
        <v>321</v>
      </c>
      <c r="U831" s="178"/>
      <c r="V831" s="210"/>
      <c r="W831" s="211" t="s">
        <v>1015</v>
      </c>
      <c r="X831" s="213" t="s">
        <v>321</v>
      </c>
      <c r="Y831" s="178"/>
      <c r="Z831" s="210"/>
      <c r="AA831" s="211" t="s">
        <v>1015</v>
      </c>
      <c r="AB831" s="213" t="s">
        <v>321</v>
      </c>
      <c r="AC831" s="178"/>
      <c r="AD831" s="210"/>
      <c r="AE831" s="211" t="s">
        <v>1015</v>
      </c>
      <c r="AF831" s="213" t="s">
        <v>321</v>
      </c>
      <c r="AG831" s="178"/>
      <c r="AH831" s="210"/>
      <c r="AI831" s="211" t="s">
        <v>1015</v>
      </c>
      <c r="AJ831" s="213" t="s">
        <v>321</v>
      </c>
      <c r="AK831" s="178"/>
      <c r="AL831" s="210"/>
      <c r="AM831" s="211" t="s">
        <v>1015</v>
      </c>
      <c r="AN831" s="213" t="s">
        <v>321</v>
      </c>
      <c r="AO831" s="178"/>
      <c r="AP831" s="210"/>
      <c r="AQ831" s="211" t="s">
        <v>1015</v>
      </c>
      <c r="AR831" s="213" t="s">
        <v>321</v>
      </c>
      <c r="AS831" s="178"/>
      <c r="AT831" s="210"/>
      <c r="AU831" s="211" t="s">
        <v>1015</v>
      </c>
      <c r="AV831" s="213" t="s">
        <v>321</v>
      </c>
      <c r="AW831" s="178"/>
      <c r="AX831" s="210"/>
      <c r="AY831" s="211" t="s">
        <v>1015</v>
      </c>
      <c r="AZ831" s="213" t="s">
        <v>321</v>
      </c>
      <c r="BA831" s="178"/>
      <c r="BB831" s="210"/>
      <c r="BC831" s="211" t="s">
        <v>1015</v>
      </c>
      <c r="BD831" s="213" t="s">
        <v>321</v>
      </c>
      <c r="BE831" s="178"/>
      <c r="BF831" s="210"/>
      <c r="BG831" s="211" t="s">
        <v>1015</v>
      </c>
      <c r="BH831" s="213" t="s">
        <v>321</v>
      </c>
      <c r="BI831" s="178"/>
      <c r="BJ831" s="210"/>
      <c r="BK831" s="211" t="s">
        <v>1015</v>
      </c>
      <c r="BL831" s="213" t="s">
        <v>321</v>
      </c>
      <c r="BM831" s="178"/>
      <c r="BN831" s="210"/>
      <c r="BO831" s="211" t="s">
        <v>1015</v>
      </c>
      <c r="BP831" s="213" t="s">
        <v>321</v>
      </c>
      <c r="BQ831" s="178"/>
      <c r="BR831" s="210"/>
      <c r="BS831" s="211" t="s">
        <v>1015</v>
      </c>
      <c r="BT831" s="213" t="s">
        <v>321</v>
      </c>
      <c r="BU831" s="178"/>
    </row>
    <row r="832" spans="1:73">
      <c r="A832" s="221"/>
      <c r="B832" s="205" t="s">
        <v>321</v>
      </c>
      <c r="C832" s="142"/>
      <c r="D832" s="207"/>
      <c r="E832" s="132"/>
      <c r="F832" s="138"/>
      <c r="G832" s="143" t="s">
        <v>1016</v>
      </c>
      <c r="H832" s="167"/>
      <c r="I832" s="245"/>
      <c r="J832" s="210"/>
      <c r="K832" s="211" t="s">
        <v>1016</v>
      </c>
      <c r="L832" s="213" t="s">
        <v>321</v>
      </c>
      <c r="M832" s="178"/>
      <c r="N832" s="210"/>
      <c r="O832" s="211" t="s">
        <v>1016</v>
      </c>
      <c r="P832" s="213" t="s">
        <v>321</v>
      </c>
      <c r="Q832" s="178"/>
      <c r="R832" s="210"/>
      <c r="S832" s="211" t="s">
        <v>1016</v>
      </c>
      <c r="T832" s="213" t="s">
        <v>321</v>
      </c>
      <c r="U832" s="178"/>
      <c r="V832" s="210"/>
      <c r="W832" s="211" t="s">
        <v>1016</v>
      </c>
      <c r="X832" s="213" t="s">
        <v>321</v>
      </c>
      <c r="Y832" s="178"/>
      <c r="Z832" s="210"/>
      <c r="AA832" s="211" t="s">
        <v>1016</v>
      </c>
      <c r="AB832" s="213" t="s">
        <v>321</v>
      </c>
      <c r="AC832" s="178"/>
      <c r="AD832" s="210"/>
      <c r="AE832" s="211" t="s">
        <v>1016</v>
      </c>
      <c r="AF832" s="213" t="s">
        <v>321</v>
      </c>
      <c r="AG832" s="178"/>
      <c r="AH832" s="210"/>
      <c r="AI832" s="211" t="s">
        <v>1016</v>
      </c>
      <c r="AJ832" s="213" t="s">
        <v>321</v>
      </c>
      <c r="AK832" s="178"/>
      <c r="AL832" s="210"/>
      <c r="AM832" s="211" t="s">
        <v>1016</v>
      </c>
      <c r="AN832" s="213" t="s">
        <v>321</v>
      </c>
      <c r="AO832" s="178"/>
      <c r="AP832" s="210"/>
      <c r="AQ832" s="211" t="s">
        <v>1016</v>
      </c>
      <c r="AR832" s="213" t="s">
        <v>321</v>
      </c>
      <c r="AS832" s="178"/>
      <c r="AT832" s="210"/>
      <c r="AU832" s="211" t="s">
        <v>1016</v>
      </c>
      <c r="AV832" s="213" t="s">
        <v>321</v>
      </c>
      <c r="AW832" s="178"/>
      <c r="AX832" s="210"/>
      <c r="AY832" s="211" t="s">
        <v>1016</v>
      </c>
      <c r="AZ832" s="213" t="s">
        <v>321</v>
      </c>
      <c r="BA832" s="178"/>
      <c r="BB832" s="210"/>
      <c r="BC832" s="211" t="s">
        <v>1016</v>
      </c>
      <c r="BD832" s="213" t="s">
        <v>321</v>
      </c>
      <c r="BE832" s="178"/>
      <c r="BF832" s="210"/>
      <c r="BG832" s="211" t="s">
        <v>1016</v>
      </c>
      <c r="BH832" s="213" t="s">
        <v>321</v>
      </c>
      <c r="BI832" s="178"/>
      <c r="BJ832" s="210"/>
      <c r="BK832" s="211" t="s">
        <v>1016</v>
      </c>
      <c r="BL832" s="213" t="s">
        <v>321</v>
      </c>
      <c r="BM832" s="178"/>
      <c r="BN832" s="210"/>
      <c r="BO832" s="211" t="s">
        <v>1016</v>
      </c>
      <c r="BP832" s="213" t="s">
        <v>321</v>
      </c>
      <c r="BQ832" s="178"/>
      <c r="BR832" s="210"/>
      <c r="BS832" s="211" t="s">
        <v>1016</v>
      </c>
      <c r="BT832" s="213" t="s">
        <v>321</v>
      </c>
      <c r="BU832" s="178"/>
    </row>
    <row r="833" spans="1:73">
      <c r="A833" s="165"/>
      <c r="B833" s="166"/>
      <c r="C833" s="166"/>
      <c r="D833" s="160"/>
      <c r="E833" s="130"/>
      <c r="F833" s="138"/>
      <c r="G833" s="149"/>
      <c r="H833" s="167"/>
      <c r="I833" s="245"/>
      <c r="J833" s="210"/>
      <c r="K833" s="229"/>
      <c r="L833" s="213"/>
      <c r="M833" s="178"/>
      <c r="N833" s="210"/>
      <c r="O833" s="229"/>
      <c r="P833" s="213"/>
      <c r="Q833" s="178"/>
      <c r="R833" s="210"/>
      <c r="S833" s="229"/>
      <c r="T833" s="213"/>
      <c r="U833" s="178"/>
      <c r="V833" s="210"/>
      <c r="W833" s="229"/>
      <c r="X833" s="213"/>
      <c r="Y833" s="178"/>
      <c r="Z833" s="210"/>
      <c r="AA833" s="229"/>
      <c r="AB833" s="213"/>
      <c r="AC833" s="178"/>
      <c r="AD833" s="210"/>
      <c r="AE833" s="229"/>
      <c r="AF833" s="213"/>
      <c r="AG833" s="178"/>
      <c r="AH833" s="210"/>
      <c r="AI833" s="229"/>
      <c r="AJ833" s="213"/>
      <c r="AK833" s="178"/>
      <c r="AL833" s="210"/>
      <c r="AM833" s="229"/>
      <c r="AN833" s="213"/>
      <c r="AO833" s="178"/>
      <c r="AP833" s="210"/>
      <c r="AQ833" s="229"/>
      <c r="AR833" s="213"/>
      <c r="AS833" s="178"/>
      <c r="AT833" s="210"/>
      <c r="AU833" s="229"/>
      <c r="AV833" s="213"/>
      <c r="AW833" s="178"/>
      <c r="AX833" s="210"/>
      <c r="AY833" s="229"/>
      <c r="AZ833" s="213"/>
      <c r="BA833" s="178"/>
      <c r="BB833" s="210"/>
      <c r="BC833" s="229"/>
      <c r="BD833" s="213"/>
      <c r="BE833" s="178"/>
      <c r="BF833" s="210"/>
      <c r="BG833" s="229"/>
      <c r="BH833" s="213"/>
      <c r="BI833" s="178"/>
      <c r="BJ833" s="210"/>
      <c r="BK833" s="229"/>
      <c r="BL833" s="213"/>
      <c r="BM833" s="178"/>
      <c r="BN833" s="210"/>
      <c r="BO833" s="229"/>
      <c r="BP833" s="213"/>
      <c r="BQ833" s="178"/>
      <c r="BR833" s="210"/>
      <c r="BS833" s="229"/>
      <c r="BT833" s="213"/>
      <c r="BU833" s="178"/>
    </row>
    <row r="834" spans="1:73">
      <c r="A834" s="166"/>
      <c r="B834" s="166"/>
      <c r="C834" s="166"/>
      <c r="D834" s="160"/>
      <c r="E834" s="130"/>
      <c r="F834" s="158"/>
      <c r="G834" s="149"/>
      <c r="H834" s="167"/>
      <c r="I834" s="245"/>
      <c r="J834" s="247"/>
      <c r="K834" s="229"/>
      <c r="L834" s="213"/>
      <c r="M834" s="178"/>
      <c r="N834" s="247"/>
      <c r="O834" s="229"/>
      <c r="P834" s="213"/>
      <c r="Q834" s="178"/>
      <c r="R834" s="247"/>
      <c r="S834" s="229"/>
      <c r="T834" s="213"/>
      <c r="U834" s="178"/>
      <c r="V834" s="247"/>
      <c r="W834" s="229"/>
      <c r="X834" s="213"/>
      <c r="Y834" s="178"/>
      <c r="Z834" s="247"/>
      <c r="AA834" s="229"/>
      <c r="AB834" s="213"/>
      <c r="AC834" s="178"/>
      <c r="AD834" s="247"/>
      <c r="AE834" s="229"/>
      <c r="AF834" s="213"/>
      <c r="AG834" s="178"/>
      <c r="AH834" s="247"/>
      <c r="AI834" s="229"/>
      <c r="AJ834" s="213"/>
      <c r="AK834" s="178"/>
      <c r="AL834" s="247"/>
      <c r="AM834" s="229"/>
      <c r="AN834" s="213"/>
      <c r="AO834" s="178"/>
      <c r="AP834" s="247"/>
      <c r="AQ834" s="229"/>
      <c r="AR834" s="213"/>
      <c r="AS834" s="178"/>
      <c r="AT834" s="247"/>
      <c r="AU834" s="229"/>
      <c r="AV834" s="213"/>
      <c r="AW834" s="178"/>
      <c r="AX834" s="247"/>
      <c r="AY834" s="229"/>
      <c r="AZ834" s="213"/>
      <c r="BA834" s="178"/>
      <c r="BB834" s="247"/>
      <c r="BC834" s="229"/>
      <c r="BD834" s="213"/>
      <c r="BE834" s="178"/>
      <c r="BF834" s="247"/>
      <c r="BG834" s="229"/>
      <c r="BH834" s="213"/>
      <c r="BI834" s="178"/>
      <c r="BJ834" s="247"/>
      <c r="BK834" s="229"/>
      <c r="BL834" s="213"/>
      <c r="BM834" s="178"/>
      <c r="BN834" s="247"/>
      <c r="BO834" s="229"/>
      <c r="BP834" s="213"/>
      <c r="BQ834" s="178"/>
      <c r="BR834" s="247"/>
      <c r="BS834" s="229"/>
      <c r="BT834" s="213"/>
      <c r="BU834" s="178"/>
    </row>
    <row r="835" spans="1:73">
      <c r="A835" s="159"/>
      <c r="B835" s="148"/>
      <c r="C835" s="159"/>
      <c r="D835" s="160"/>
      <c r="E835" s="130"/>
      <c r="F835" s="138" t="s">
        <v>1017</v>
      </c>
      <c r="G835" s="161"/>
      <c r="H835" s="162"/>
      <c r="I835" s="245"/>
      <c r="J835" s="210" t="s">
        <v>1017</v>
      </c>
      <c r="K835" s="200"/>
      <c r="L835" s="246"/>
      <c r="M835" s="178"/>
      <c r="N835" s="210" t="s">
        <v>1017</v>
      </c>
      <c r="O835" s="200"/>
      <c r="P835" s="246"/>
      <c r="Q835" s="178"/>
      <c r="R835" s="210" t="s">
        <v>1017</v>
      </c>
      <c r="S835" s="200"/>
      <c r="T835" s="246"/>
      <c r="U835" s="178"/>
      <c r="V835" s="210" t="s">
        <v>1017</v>
      </c>
      <c r="W835" s="200"/>
      <c r="X835" s="246"/>
      <c r="Y835" s="178"/>
      <c r="Z835" s="210" t="s">
        <v>1017</v>
      </c>
      <c r="AA835" s="200"/>
      <c r="AB835" s="246"/>
      <c r="AC835" s="178"/>
      <c r="AD835" s="210" t="s">
        <v>1017</v>
      </c>
      <c r="AE835" s="200"/>
      <c r="AF835" s="246"/>
      <c r="AG835" s="178"/>
      <c r="AH835" s="210" t="s">
        <v>1017</v>
      </c>
      <c r="AI835" s="200"/>
      <c r="AJ835" s="246"/>
      <c r="AK835" s="178"/>
      <c r="AL835" s="210" t="s">
        <v>1017</v>
      </c>
      <c r="AM835" s="200"/>
      <c r="AN835" s="246"/>
      <c r="AO835" s="178"/>
      <c r="AP835" s="210" t="s">
        <v>1017</v>
      </c>
      <c r="AQ835" s="200"/>
      <c r="AR835" s="246"/>
      <c r="AS835" s="178"/>
      <c r="AT835" s="210" t="s">
        <v>1017</v>
      </c>
      <c r="AU835" s="200"/>
      <c r="AV835" s="246"/>
      <c r="AW835" s="178"/>
      <c r="AX835" s="210" t="s">
        <v>1017</v>
      </c>
      <c r="AY835" s="200"/>
      <c r="AZ835" s="246"/>
      <c r="BA835" s="178"/>
      <c r="BB835" s="210" t="s">
        <v>1017</v>
      </c>
      <c r="BC835" s="200"/>
      <c r="BD835" s="246"/>
      <c r="BE835" s="178"/>
      <c r="BF835" s="210" t="s">
        <v>1017</v>
      </c>
      <c r="BG835" s="200"/>
      <c r="BH835" s="246"/>
      <c r="BI835" s="178"/>
      <c r="BJ835" s="210" t="s">
        <v>1017</v>
      </c>
      <c r="BK835" s="200"/>
      <c r="BL835" s="246"/>
      <c r="BM835" s="178"/>
      <c r="BN835" s="210" t="s">
        <v>1017</v>
      </c>
      <c r="BO835" s="200"/>
      <c r="BP835" s="246"/>
      <c r="BQ835" s="178"/>
      <c r="BR835" s="210" t="s">
        <v>1017</v>
      </c>
      <c r="BS835" s="200"/>
      <c r="BT835" s="246"/>
      <c r="BU835" s="178"/>
    </row>
    <row r="836" spans="1:73">
      <c r="A836" s="136" t="s">
        <v>36</v>
      </c>
      <c r="B836" s="137" t="s">
        <v>37</v>
      </c>
      <c r="C836" s="137" t="s">
        <v>38</v>
      </c>
      <c r="D836" s="160"/>
      <c r="E836" s="130"/>
      <c r="F836" s="138"/>
      <c r="G836" s="139" t="s">
        <v>39</v>
      </c>
      <c r="H836" s="140" t="s">
        <v>40</v>
      </c>
      <c r="J836" s="138"/>
      <c r="K836" s="139" t="s">
        <v>39</v>
      </c>
      <c r="L836" s="203" t="s">
        <v>40</v>
      </c>
      <c r="N836" s="138"/>
      <c r="O836" s="139" t="s">
        <v>39</v>
      </c>
      <c r="P836" s="203" t="s">
        <v>40</v>
      </c>
      <c r="R836" s="138"/>
      <c r="S836" s="139" t="s">
        <v>39</v>
      </c>
      <c r="T836" s="203" t="s">
        <v>40</v>
      </c>
      <c r="V836" s="138"/>
      <c r="W836" s="139" t="s">
        <v>39</v>
      </c>
      <c r="X836" s="203" t="s">
        <v>40</v>
      </c>
      <c r="Z836" s="138"/>
      <c r="AA836" s="139" t="s">
        <v>39</v>
      </c>
      <c r="AB836" s="203" t="s">
        <v>40</v>
      </c>
      <c r="AD836" s="138"/>
      <c r="AE836" s="139" t="s">
        <v>39</v>
      </c>
      <c r="AF836" s="203" t="s">
        <v>40</v>
      </c>
      <c r="AH836" s="138"/>
      <c r="AI836" s="139" t="s">
        <v>39</v>
      </c>
      <c r="AJ836" s="203" t="s">
        <v>40</v>
      </c>
      <c r="AL836" s="138"/>
      <c r="AM836" s="139" t="s">
        <v>39</v>
      </c>
      <c r="AN836" s="203" t="s">
        <v>40</v>
      </c>
      <c r="AP836" s="138"/>
      <c r="AQ836" s="139" t="s">
        <v>39</v>
      </c>
      <c r="AR836" s="203" t="s">
        <v>40</v>
      </c>
      <c r="AT836" s="138"/>
      <c r="AU836" s="139" t="s">
        <v>39</v>
      </c>
      <c r="AV836" s="203" t="s">
        <v>40</v>
      </c>
      <c r="AX836" s="138"/>
      <c r="AY836" s="139" t="s">
        <v>39</v>
      </c>
      <c r="AZ836" s="203" t="s">
        <v>40</v>
      </c>
      <c r="BB836" s="138"/>
      <c r="BC836" s="139" t="s">
        <v>39</v>
      </c>
      <c r="BD836" s="203" t="s">
        <v>40</v>
      </c>
      <c r="BF836" s="138"/>
      <c r="BG836" s="139" t="s">
        <v>39</v>
      </c>
      <c r="BH836" s="203" t="s">
        <v>40</v>
      </c>
      <c r="BJ836" s="138"/>
      <c r="BK836" s="139" t="s">
        <v>39</v>
      </c>
      <c r="BL836" s="203" t="s">
        <v>40</v>
      </c>
      <c r="BN836" s="138"/>
      <c r="BO836" s="139" t="s">
        <v>39</v>
      </c>
      <c r="BP836" s="203" t="s">
        <v>40</v>
      </c>
      <c r="BR836" s="138"/>
      <c r="BS836" s="139" t="s">
        <v>39</v>
      </c>
      <c r="BT836" s="203" t="s">
        <v>40</v>
      </c>
    </row>
    <row r="837" spans="1:73">
      <c r="A837" s="221"/>
      <c r="B837" s="205" t="s">
        <v>46</v>
      </c>
      <c r="C837" s="142"/>
      <c r="D837" s="207"/>
      <c r="E837" s="132"/>
      <c r="F837" s="138"/>
      <c r="G837" s="143" t="s">
        <v>1018</v>
      </c>
      <c r="H837" s="167"/>
      <c r="I837" s="245"/>
      <c r="J837" s="210"/>
      <c r="K837" s="211" t="s">
        <v>1018</v>
      </c>
      <c r="L837" s="213" t="s">
        <v>46</v>
      </c>
      <c r="M837" s="178"/>
      <c r="N837" s="210"/>
      <c r="O837" s="211" t="s">
        <v>1018</v>
      </c>
      <c r="P837" s="213" t="s">
        <v>46</v>
      </c>
      <c r="Q837" s="178"/>
      <c r="R837" s="210"/>
      <c r="S837" s="211" t="s">
        <v>1018</v>
      </c>
      <c r="T837" s="213" t="s">
        <v>46</v>
      </c>
      <c r="U837" s="178"/>
      <c r="V837" s="210"/>
      <c r="W837" s="211" t="s">
        <v>1018</v>
      </c>
      <c r="X837" s="213" t="s">
        <v>46</v>
      </c>
      <c r="Y837" s="178"/>
      <c r="Z837" s="210"/>
      <c r="AA837" s="211" t="s">
        <v>1018</v>
      </c>
      <c r="AB837" s="213" t="s">
        <v>46</v>
      </c>
      <c r="AC837" s="178"/>
      <c r="AD837" s="210"/>
      <c r="AE837" s="211" t="s">
        <v>1018</v>
      </c>
      <c r="AF837" s="213" t="s">
        <v>46</v>
      </c>
      <c r="AG837" s="178"/>
      <c r="AH837" s="210"/>
      <c r="AI837" s="211" t="s">
        <v>1018</v>
      </c>
      <c r="AJ837" s="213" t="s">
        <v>46</v>
      </c>
      <c r="AK837" s="178"/>
      <c r="AL837" s="210"/>
      <c r="AM837" s="211" t="s">
        <v>1018</v>
      </c>
      <c r="AN837" s="213" t="s">
        <v>46</v>
      </c>
      <c r="AO837" s="178"/>
      <c r="AP837" s="210"/>
      <c r="AQ837" s="211" t="s">
        <v>1018</v>
      </c>
      <c r="AR837" s="213" t="s">
        <v>46</v>
      </c>
      <c r="AS837" s="178"/>
      <c r="AT837" s="210"/>
      <c r="AU837" s="211" t="s">
        <v>1018</v>
      </c>
      <c r="AV837" s="213" t="s">
        <v>46</v>
      </c>
      <c r="AW837" s="178"/>
      <c r="AX837" s="210"/>
      <c r="AY837" s="211" t="s">
        <v>1018</v>
      </c>
      <c r="AZ837" s="213" t="s">
        <v>46</v>
      </c>
      <c r="BA837" s="178"/>
      <c r="BB837" s="210"/>
      <c r="BC837" s="211" t="s">
        <v>1018</v>
      </c>
      <c r="BD837" s="213" t="s">
        <v>46</v>
      </c>
      <c r="BE837" s="178"/>
      <c r="BF837" s="210"/>
      <c r="BG837" s="211" t="s">
        <v>1018</v>
      </c>
      <c r="BH837" s="213" t="s">
        <v>46</v>
      </c>
      <c r="BI837" s="178"/>
      <c r="BJ837" s="210"/>
      <c r="BK837" s="211" t="s">
        <v>1018</v>
      </c>
      <c r="BL837" s="213" t="s">
        <v>46</v>
      </c>
      <c r="BM837" s="178"/>
      <c r="BN837" s="210"/>
      <c r="BO837" s="211" t="s">
        <v>1018</v>
      </c>
      <c r="BP837" s="213" t="s">
        <v>46</v>
      </c>
      <c r="BQ837" s="178"/>
      <c r="BR837" s="210"/>
      <c r="BS837" s="211" t="s">
        <v>1018</v>
      </c>
      <c r="BT837" s="213" t="s">
        <v>46</v>
      </c>
      <c r="BU837" s="178"/>
    </row>
    <row r="838" spans="1:73">
      <c r="A838" s="221"/>
      <c r="B838" s="205" t="s">
        <v>63</v>
      </c>
      <c r="C838" s="142"/>
      <c r="D838" s="207"/>
      <c r="E838" s="132"/>
      <c r="F838" s="138"/>
      <c r="G838" s="143" t="s">
        <v>1019</v>
      </c>
      <c r="H838" s="167"/>
      <c r="I838" s="245"/>
      <c r="J838" s="210"/>
      <c r="K838" s="211" t="s">
        <v>1019</v>
      </c>
      <c r="L838" s="213" t="s">
        <v>63</v>
      </c>
      <c r="M838" s="178"/>
      <c r="N838" s="210"/>
      <c r="O838" s="211" t="s">
        <v>1019</v>
      </c>
      <c r="P838" s="213" t="s">
        <v>63</v>
      </c>
      <c r="Q838" s="178"/>
      <c r="R838" s="210"/>
      <c r="S838" s="211" t="s">
        <v>1019</v>
      </c>
      <c r="T838" s="213" t="s">
        <v>63</v>
      </c>
      <c r="U838" s="178"/>
      <c r="V838" s="210"/>
      <c r="W838" s="211" t="s">
        <v>1019</v>
      </c>
      <c r="X838" s="213" t="s">
        <v>63</v>
      </c>
      <c r="Y838" s="178"/>
      <c r="Z838" s="210"/>
      <c r="AA838" s="211" t="s">
        <v>1019</v>
      </c>
      <c r="AB838" s="213" t="s">
        <v>63</v>
      </c>
      <c r="AC838" s="178"/>
      <c r="AD838" s="210"/>
      <c r="AE838" s="211" t="s">
        <v>1019</v>
      </c>
      <c r="AF838" s="213" t="s">
        <v>63</v>
      </c>
      <c r="AG838" s="178"/>
      <c r="AH838" s="210"/>
      <c r="AI838" s="211" t="s">
        <v>1019</v>
      </c>
      <c r="AJ838" s="213" t="s">
        <v>63</v>
      </c>
      <c r="AK838" s="178"/>
      <c r="AL838" s="210"/>
      <c r="AM838" s="211" t="s">
        <v>1019</v>
      </c>
      <c r="AN838" s="213" t="s">
        <v>63</v>
      </c>
      <c r="AO838" s="178"/>
      <c r="AP838" s="210"/>
      <c r="AQ838" s="211" t="s">
        <v>1019</v>
      </c>
      <c r="AR838" s="213" t="s">
        <v>63</v>
      </c>
      <c r="AS838" s="178"/>
      <c r="AT838" s="210"/>
      <c r="AU838" s="211" t="s">
        <v>1019</v>
      </c>
      <c r="AV838" s="213" t="s">
        <v>63</v>
      </c>
      <c r="AW838" s="178"/>
      <c r="AX838" s="210"/>
      <c r="AY838" s="211" t="s">
        <v>1019</v>
      </c>
      <c r="AZ838" s="213" t="s">
        <v>63</v>
      </c>
      <c r="BA838" s="178"/>
      <c r="BB838" s="210"/>
      <c r="BC838" s="211" t="s">
        <v>1019</v>
      </c>
      <c r="BD838" s="213" t="s">
        <v>63</v>
      </c>
      <c r="BE838" s="178"/>
      <c r="BF838" s="210"/>
      <c r="BG838" s="211" t="s">
        <v>1019</v>
      </c>
      <c r="BH838" s="213" t="s">
        <v>63</v>
      </c>
      <c r="BI838" s="178"/>
      <c r="BJ838" s="210"/>
      <c r="BK838" s="211" t="s">
        <v>1019</v>
      </c>
      <c r="BL838" s="213" t="s">
        <v>63</v>
      </c>
      <c r="BM838" s="178"/>
      <c r="BN838" s="210"/>
      <c r="BO838" s="211" t="s">
        <v>1019</v>
      </c>
      <c r="BP838" s="213" t="s">
        <v>63</v>
      </c>
      <c r="BQ838" s="178"/>
      <c r="BR838" s="210"/>
      <c r="BS838" s="211" t="s">
        <v>1019</v>
      </c>
      <c r="BT838" s="213" t="s">
        <v>63</v>
      </c>
      <c r="BU838" s="178"/>
    </row>
    <row r="839" spans="1:73">
      <c r="A839" s="165"/>
      <c r="B839" s="166"/>
      <c r="C839" s="166"/>
      <c r="D839" s="160"/>
      <c r="E839" s="130"/>
      <c r="F839" s="138"/>
      <c r="G839" s="149"/>
      <c r="H839" s="167"/>
      <c r="I839" s="245"/>
      <c r="J839" s="210"/>
      <c r="K839" s="229"/>
      <c r="L839" s="213"/>
      <c r="M839" s="178"/>
      <c r="N839" s="210"/>
      <c r="O839" s="229"/>
      <c r="P839" s="213"/>
      <c r="Q839" s="178"/>
      <c r="R839" s="210"/>
      <c r="S839" s="229"/>
      <c r="T839" s="213"/>
      <c r="U839" s="178"/>
      <c r="V839" s="210"/>
      <c r="W839" s="229"/>
      <c r="X839" s="213"/>
      <c r="Y839" s="178"/>
      <c r="Z839" s="210"/>
      <c r="AA839" s="229"/>
      <c r="AB839" s="213"/>
      <c r="AC839" s="178"/>
      <c r="AD839" s="210"/>
      <c r="AE839" s="229"/>
      <c r="AF839" s="213"/>
      <c r="AG839" s="178"/>
      <c r="AH839" s="210"/>
      <c r="AI839" s="229"/>
      <c r="AJ839" s="213"/>
      <c r="AK839" s="178"/>
      <c r="AL839" s="210"/>
      <c r="AM839" s="229"/>
      <c r="AN839" s="213"/>
      <c r="AO839" s="178"/>
      <c r="AP839" s="210"/>
      <c r="AQ839" s="229"/>
      <c r="AR839" s="213"/>
      <c r="AS839" s="178"/>
      <c r="AT839" s="210"/>
      <c r="AU839" s="229"/>
      <c r="AV839" s="213"/>
      <c r="AW839" s="178"/>
      <c r="AX839" s="210"/>
      <c r="AY839" s="229"/>
      <c r="AZ839" s="213"/>
      <c r="BA839" s="178"/>
      <c r="BB839" s="210"/>
      <c r="BC839" s="229"/>
      <c r="BD839" s="213"/>
      <c r="BE839" s="178"/>
      <c r="BF839" s="210"/>
      <c r="BG839" s="229"/>
      <c r="BH839" s="213"/>
      <c r="BI839" s="178"/>
      <c r="BJ839" s="210"/>
      <c r="BK839" s="229"/>
      <c r="BL839" s="213"/>
      <c r="BM839" s="178"/>
      <c r="BN839" s="210"/>
      <c r="BO839" s="229"/>
      <c r="BP839" s="213"/>
      <c r="BQ839" s="178"/>
      <c r="BR839" s="210"/>
      <c r="BS839" s="229"/>
      <c r="BT839" s="213"/>
      <c r="BU839" s="178"/>
    </row>
    <row r="840" spans="1:73">
      <c r="A840" s="166"/>
      <c r="B840" s="166"/>
      <c r="C840" s="166"/>
      <c r="D840" s="160"/>
      <c r="E840" s="130"/>
      <c r="F840" s="158"/>
      <c r="G840" s="149"/>
      <c r="H840" s="167"/>
      <c r="I840" s="245"/>
      <c r="J840" s="247"/>
      <c r="K840" s="229"/>
      <c r="L840" s="213"/>
      <c r="M840" s="178"/>
      <c r="N840" s="247"/>
      <c r="O840" s="229"/>
      <c r="P840" s="213"/>
      <c r="Q840" s="178"/>
      <c r="R840" s="247"/>
      <c r="S840" s="229"/>
      <c r="T840" s="213"/>
      <c r="U840" s="178"/>
      <c r="V840" s="247"/>
      <c r="W840" s="229"/>
      <c r="X840" s="213"/>
      <c r="Y840" s="178"/>
      <c r="Z840" s="247"/>
      <c r="AA840" s="229"/>
      <c r="AB840" s="213"/>
      <c r="AC840" s="178"/>
      <c r="AD840" s="247"/>
      <c r="AE840" s="229"/>
      <c r="AF840" s="213"/>
      <c r="AG840" s="178"/>
      <c r="AH840" s="247"/>
      <c r="AI840" s="229"/>
      <c r="AJ840" s="213"/>
      <c r="AK840" s="178"/>
      <c r="AL840" s="247"/>
      <c r="AM840" s="229"/>
      <c r="AN840" s="213"/>
      <c r="AO840" s="178"/>
      <c r="AP840" s="247"/>
      <c r="AQ840" s="229"/>
      <c r="AR840" s="213"/>
      <c r="AS840" s="178"/>
      <c r="AT840" s="247"/>
      <c r="AU840" s="229"/>
      <c r="AV840" s="213"/>
      <c r="AW840" s="178"/>
      <c r="AX840" s="247"/>
      <c r="AY840" s="229"/>
      <c r="AZ840" s="213"/>
      <c r="BA840" s="178"/>
      <c r="BB840" s="247"/>
      <c r="BC840" s="229"/>
      <c r="BD840" s="213"/>
      <c r="BE840" s="178"/>
      <c r="BF840" s="247"/>
      <c r="BG840" s="229"/>
      <c r="BH840" s="213"/>
      <c r="BI840" s="178"/>
      <c r="BJ840" s="247"/>
      <c r="BK840" s="229"/>
      <c r="BL840" s="213"/>
      <c r="BM840" s="178"/>
      <c r="BN840" s="247"/>
      <c r="BO840" s="229"/>
      <c r="BP840" s="213"/>
      <c r="BQ840" s="178"/>
      <c r="BR840" s="247"/>
      <c r="BS840" s="229"/>
      <c r="BT840" s="213"/>
      <c r="BU840" s="178"/>
    </row>
    <row r="841" spans="1:73">
      <c r="A841" s="159"/>
      <c r="B841" s="148"/>
      <c r="C841" s="159"/>
      <c r="D841" s="160"/>
      <c r="E841" s="130"/>
      <c r="F841" s="138" t="s">
        <v>1020</v>
      </c>
      <c r="G841" s="161"/>
      <c r="H841" s="162"/>
      <c r="I841" s="245"/>
      <c r="J841" s="210" t="s">
        <v>1020</v>
      </c>
      <c r="K841" s="200"/>
      <c r="L841" s="246"/>
      <c r="M841" s="178"/>
      <c r="N841" s="210" t="s">
        <v>1020</v>
      </c>
      <c r="O841" s="200"/>
      <c r="P841" s="246"/>
      <c r="Q841" s="178"/>
      <c r="R841" s="210" t="s">
        <v>1020</v>
      </c>
      <c r="S841" s="200"/>
      <c r="T841" s="246"/>
      <c r="U841" s="178"/>
      <c r="V841" s="210" t="s">
        <v>1020</v>
      </c>
      <c r="W841" s="200"/>
      <c r="X841" s="246"/>
      <c r="Y841" s="178"/>
      <c r="Z841" s="210" t="s">
        <v>1020</v>
      </c>
      <c r="AA841" s="200"/>
      <c r="AB841" s="246"/>
      <c r="AC841" s="178"/>
      <c r="AD841" s="210" t="s">
        <v>1020</v>
      </c>
      <c r="AE841" s="200"/>
      <c r="AF841" s="246"/>
      <c r="AG841" s="178"/>
      <c r="AH841" s="210" t="s">
        <v>1020</v>
      </c>
      <c r="AI841" s="200"/>
      <c r="AJ841" s="246"/>
      <c r="AK841" s="178"/>
      <c r="AL841" s="210" t="s">
        <v>1020</v>
      </c>
      <c r="AM841" s="200"/>
      <c r="AN841" s="246"/>
      <c r="AO841" s="178"/>
      <c r="AP841" s="210" t="s">
        <v>1020</v>
      </c>
      <c r="AQ841" s="200"/>
      <c r="AR841" s="246"/>
      <c r="AS841" s="178"/>
      <c r="AT841" s="210" t="s">
        <v>1020</v>
      </c>
      <c r="AU841" s="200"/>
      <c r="AV841" s="246"/>
      <c r="AW841" s="178"/>
      <c r="AX841" s="210" t="s">
        <v>1020</v>
      </c>
      <c r="AY841" s="200"/>
      <c r="AZ841" s="246"/>
      <c r="BA841" s="178"/>
      <c r="BB841" s="210" t="s">
        <v>1020</v>
      </c>
      <c r="BC841" s="200"/>
      <c r="BD841" s="246"/>
      <c r="BE841" s="178"/>
      <c r="BF841" s="210" t="s">
        <v>1020</v>
      </c>
      <c r="BG841" s="200"/>
      <c r="BH841" s="246"/>
      <c r="BI841" s="178"/>
      <c r="BJ841" s="210" t="s">
        <v>1020</v>
      </c>
      <c r="BK841" s="200"/>
      <c r="BL841" s="246"/>
      <c r="BM841" s="178"/>
      <c r="BN841" s="210" t="s">
        <v>1020</v>
      </c>
      <c r="BO841" s="200"/>
      <c r="BP841" s="246"/>
      <c r="BQ841" s="178"/>
      <c r="BR841" s="210" t="s">
        <v>1020</v>
      </c>
      <c r="BS841" s="200"/>
      <c r="BT841" s="246"/>
      <c r="BU841" s="178"/>
    </row>
    <row r="842" spans="1:73">
      <c r="A842" s="136" t="s">
        <v>36</v>
      </c>
      <c r="B842" s="137" t="s">
        <v>37</v>
      </c>
      <c r="C842" s="137" t="s">
        <v>38</v>
      </c>
      <c r="D842" s="160"/>
      <c r="E842" s="130"/>
      <c r="F842" s="138"/>
      <c r="G842" s="139" t="s">
        <v>39</v>
      </c>
      <c r="H842" s="140" t="s">
        <v>40</v>
      </c>
      <c r="J842" s="138"/>
      <c r="K842" s="139" t="s">
        <v>39</v>
      </c>
      <c r="L842" s="203" t="s">
        <v>40</v>
      </c>
      <c r="N842" s="138"/>
      <c r="O842" s="139" t="s">
        <v>39</v>
      </c>
      <c r="P842" s="203" t="s">
        <v>40</v>
      </c>
      <c r="R842" s="138"/>
      <c r="S842" s="139" t="s">
        <v>39</v>
      </c>
      <c r="T842" s="203" t="s">
        <v>40</v>
      </c>
      <c r="V842" s="138"/>
      <c r="W842" s="139" t="s">
        <v>39</v>
      </c>
      <c r="X842" s="203" t="s">
        <v>40</v>
      </c>
      <c r="Z842" s="138"/>
      <c r="AA842" s="139" t="s">
        <v>39</v>
      </c>
      <c r="AB842" s="203" t="s">
        <v>40</v>
      </c>
      <c r="AD842" s="138"/>
      <c r="AE842" s="139" t="s">
        <v>39</v>
      </c>
      <c r="AF842" s="203" t="s">
        <v>40</v>
      </c>
      <c r="AH842" s="138"/>
      <c r="AI842" s="139" t="s">
        <v>39</v>
      </c>
      <c r="AJ842" s="203" t="s">
        <v>40</v>
      </c>
      <c r="AL842" s="138"/>
      <c r="AM842" s="139" t="s">
        <v>39</v>
      </c>
      <c r="AN842" s="203" t="s">
        <v>40</v>
      </c>
      <c r="AP842" s="138"/>
      <c r="AQ842" s="139" t="s">
        <v>39</v>
      </c>
      <c r="AR842" s="203" t="s">
        <v>40</v>
      </c>
      <c r="AT842" s="138"/>
      <c r="AU842" s="139" t="s">
        <v>39</v>
      </c>
      <c r="AV842" s="203" t="s">
        <v>40</v>
      </c>
      <c r="AX842" s="138"/>
      <c r="AY842" s="139" t="s">
        <v>39</v>
      </c>
      <c r="AZ842" s="203" t="s">
        <v>40</v>
      </c>
      <c r="BB842" s="138"/>
      <c r="BC842" s="139" t="s">
        <v>39</v>
      </c>
      <c r="BD842" s="203" t="s">
        <v>40</v>
      </c>
      <c r="BF842" s="138"/>
      <c r="BG842" s="139" t="s">
        <v>39</v>
      </c>
      <c r="BH842" s="203" t="s">
        <v>40</v>
      </c>
      <c r="BJ842" s="138"/>
      <c r="BK842" s="139" t="s">
        <v>39</v>
      </c>
      <c r="BL842" s="203" t="s">
        <v>40</v>
      </c>
      <c r="BN842" s="138"/>
      <c r="BO842" s="139" t="s">
        <v>39</v>
      </c>
      <c r="BP842" s="203" t="s">
        <v>40</v>
      </c>
      <c r="BR842" s="138"/>
      <c r="BS842" s="139" t="s">
        <v>39</v>
      </c>
      <c r="BT842" s="203" t="s">
        <v>40</v>
      </c>
    </row>
    <row r="843" spans="1:73">
      <c r="A843" s="221"/>
      <c r="B843" s="205" t="s">
        <v>321</v>
      </c>
      <c r="C843" s="142"/>
      <c r="D843" s="207"/>
      <c r="E843" s="132"/>
      <c r="F843" s="138"/>
      <c r="G843" s="143" t="s">
        <v>1021</v>
      </c>
      <c r="H843" s="167"/>
      <c r="I843" s="245"/>
      <c r="J843" s="210"/>
      <c r="K843" s="211" t="s">
        <v>1021</v>
      </c>
      <c r="L843" s="213" t="s">
        <v>321</v>
      </c>
      <c r="M843" s="178"/>
      <c r="N843" s="210"/>
      <c r="O843" s="211" t="s">
        <v>1021</v>
      </c>
      <c r="P843" s="213" t="s">
        <v>321</v>
      </c>
      <c r="Q843" s="178"/>
      <c r="R843" s="210"/>
      <c r="S843" s="211" t="s">
        <v>1021</v>
      </c>
      <c r="T843" s="213" t="s">
        <v>321</v>
      </c>
      <c r="U843" s="178"/>
      <c r="V843" s="210"/>
      <c r="W843" s="211" t="s">
        <v>1021</v>
      </c>
      <c r="X843" s="213" t="s">
        <v>321</v>
      </c>
      <c r="Y843" s="178"/>
      <c r="Z843" s="210"/>
      <c r="AA843" s="211" t="s">
        <v>1021</v>
      </c>
      <c r="AB843" s="213" t="s">
        <v>321</v>
      </c>
      <c r="AC843" s="178"/>
      <c r="AD843" s="210"/>
      <c r="AE843" s="211" t="s">
        <v>1021</v>
      </c>
      <c r="AF843" s="213" t="s">
        <v>321</v>
      </c>
      <c r="AG843" s="178"/>
      <c r="AH843" s="210"/>
      <c r="AI843" s="211" t="s">
        <v>1021</v>
      </c>
      <c r="AJ843" s="213" t="s">
        <v>321</v>
      </c>
      <c r="AK843" s="178"/>
      <c r="AL843" s="210"/>
      <c r="AM843" s="211" t="s">
        <v>1021</v>
      </c>
      <c r="AN843" s="213" t="s">
        <v>321</v>
      </c>
      <c r="AO843" s="178"/>
      <c r="AP843" s="210"/>
      <c r="AQ843" s="211" t="s">
        <v>1021</v>
      </c>
      <c r="AR843" s="213" t="s">
        <v>321</v>
      </c>
      <c r="AS843" s="178"/>
      <c r="AT843" s="210"/>
      <c r="AU843" s="211" t="s">
        <v>1021</v>
      </c>
      <c r="AV843" s="213" t="s">
        <v>321</v>
      </c>
      <c r="AW843" s="178"/>
      <c r="AX843" s="210"/>
      <c r="AY843" s="211" t="s">
        <v>1021</v>
      </c>
      <c r="AZ843" s="213" t="s">
        <v>321</v>
      </c>
      <c r="BA843" s="178"/>
      <c r="BB843" s="210"/>
      <c r="BC843" s="211" t="s">
        <v>1021</v>
      </c>
      <c r="BD843" s="213" t="s">
        <v>321</v>
      </c>
      <c r="BE843" s="178"/>
      <c r="BF843" s="210"/>
      <c r="BG843" s="211" t="s">
        <v>1021</v>
      </c>
      <c r="BH843" s="213" t="s">
        <v>321</v>
      </c>
      <c r="BI843" s="178"/>
      <c r="BJ843" s="210"/>
      <c r="BK843" s="211" t="s">
        <v>1021</v>
      </c>
      <c r="BL843" s="213" t="s">
        <v>321</v>
      </c>
      <c r="BM843" s="178"/>
      <c r="BN843" s="210"/>
      <c r="BO843" s="211" t="s">
        <v>1021</v>
      </c>
      <c r="BP843" s="213" t="s">
        <v>321</v>
      </c>
      <c r="BQ843" s="178"/>
      <c r="BR843" s="210"/>
      <c r="BS843" s="211" t="s">
        <v>1021</v>
      </c>
      <c r="BT843" s="213" t="s">
        <v>321</v>
      </c>
      <c r="BU843" s="178"/>
    </row>
    <row r="844" spans="1:73">
      <c r="A844" s="165"/>
      <c r="B844" s="166"/>
      <c r="C844" s="166"/>
      <c r="D844" s="160"/>
      <c r="E844" s="130"/>
      <c r="F844" s="138"/>
      <c r="G844" s="149"/>
      <c r="H844" s="167"/>
      <c r="I844" s="245"/>
      <c r="J844" s="210"/>
      <c r="K844" s="229"/>
      <c r="L844" s="213"/>
      <c r="M844" s="178"/>
      <c r="N844" s="210"/>
      <c r="O844" s="229"/>
      <c r="P844" s="213"/>
      <c r="Q844" s="178"/>
      <c r="R844" s="210"/>
      <c r="S844" s="229"/>
      <c r="T844" s="213"/>
      <c r="U844" s="178"/>
      <c r="V844" s="210"/>
      <c r="W844" s="229"/>
      <c r="X844" s="213"/>
      <c r="Y844" s="178"/>
      <c r="Z844" s="210"/>
      <c r="AA844" s="229"/>
      <c r="AB844" s="213"/>
      <c r="AC844" s="178"/>
      <c r="AD844" s="210"/>
      <c r="AE844" s="229"/>
      <c r="AF844" s="213"/>
      <c r="AG844" s="178"/>
      <c r="AH844" s="210"/>
      <c r="AI844" s="229"/>
      <c r="AJ844" s="213"/>
      <c r="AK844" s="178"/>
      <c r="AL844" s="210"/>
      <c r="AM844" s="229"/>
      <c r="AN844" s="213"/>
      <c r="AO844" s="178"/>
      <c r="AP844" s="210"/>
      <c r="AQ844" s="229"/>
      <c r="AR844" s="213"/>
      <c r="AS844" s="178"/>
      <c r="AT844" s="210"/>
      <c r="AU844" s="229"/>
      <c r="AV844" s="213"/>
      <c r="AW844" s="178"/>
      <c r="AX844" s="210"/>
      <c r="AY844" s="229"/>
      <c r="AZ844" s="213"/>
      <c r="BA844" s="178"/>
      <c r="BB844" s="210"/>
      <c r="BC844" s="229"/>
      <c r="BD844" s="213"/>
      <c r="BE844" s="178"/>
      <c r="BF844" s="210"/>
      <c r="BG844" s="229"/>
      <c r="BH844" s="213"/>
      <c r="BI844" s="178"/>
      <c r="BJ844" s="210"/>
      <c r="BK844" s="229"/>
      <c r="BL844" s="213"/>
      <c r="BM844" s="178"/>
      <c r="BN844" s="210"/>
      <c r="BO844" s="229"/>
      <c r="BP844" s="213"/>
      <c r="BQ844" s="178"/>
      <c r="BR844" s="210"/>
      <c r="BS844" s="229"/>
      <c r="BT844" s="213"/>
      <c r="BU844" s="178"/>
    </row>
    <row r="845" spans="1:73">
      <c r="A845" s="166"/>
      <c r="B845" s="166"/>
      <c r="C845" s="166"/>
      <c r="D845" s="160"/>
      <c r="E845" s="130"/>
      <c r="F845" s="138"/>
      <c r="G845" s="251"/>
      <c r="H845" s="252"/>
      <c r="I845" s="245"/>
      <c r="J845" s="247"/>
      <c r="K845" s="229"/>
      <c r="L845" s="213"/>
      <c r="M845" s="178"/>
      <c r="N845" s="247"/>
      <c r="O845" s="229"/>
      <c r="P845" s="213"/>
      <c r="Q845" s="178"/>
      <c r="R845" s="247"/>
      <c r="S845" s="229"/>
      <c r="T845" s="213"/>
      <c r="U845" s="178"/>
      <c r="V845" s="247"/>
      <c r="W845" s="229"/>
      <c r="X845" s="213"/>
      <c r="Y845" s="178"/>
      <c r="Z845" s="247"/>
      <c r="AA845" s="229"/>
      <c r="AB845" s="213"/>
      <c r="AC845" s="178"/>
      <c r="AD845" s="247"/>
      <c r="AE845" s="229"/>
      <c r="AF845" s="213"/>
      <c r="AG845" s="178"/>
      <c r="AH845" s="247"/>
      <c r="AI845" s="229"/>
      <c r="AJ845" s="213"/>
      <c r="AK845" s="178"/>
      <c r="AL845" s="247"/>
      <c r="AM845" s="229"/>
      <c r="AN845" s="213"/>
      <c r="AO845" s="178"/>
      <c r="AP845" s="247"/>
      <c r="AQ845" s="229"/>
      <c r="AR845" s="213"/>
      <c r="AS845" s="178"/>
      <c r="AT845" s="247"/>
      <c r="AU845" s="229"/>
      <c r="AV845" s="213"/>
      <c r="AW845" s="178"/>
      <c r="AX845" s="247"/>
      <c r="AY845" s="229"/>
      <c r="AZ845" s="213"/>
      <c r="BA845" s="178"/>
      <c r="BB845" s="247"/>
      <c r="BC845" s="229"/>
      <c r="BD845" s="213"/>
      <c r="BE845" s="178"/>
      <c r="BF845" s="247"/>
      <c r="BG845" s="229"/>
      <c r="BH845" s="213"/>
      <c r="BI845" s="178"/>
      <c r="BJ845" s="247"/>
      <c r="BK845" s="229"/>
      <c r="BL845" s="213"/>
      <c r="BM845" s="178"/>
      <c r="BN845" s="247"/>
      <c r="BO845" s="229"/>
      <c r="BP845" s="213"/>
      <c r="BQ845" s="178"/>
      <c r="BR845" s="247"/>
      <c r="BS845" s="229"/>
      <c r="BT845" s="213"/>
      <c r="BU845" s="178"/>
    </row>
    <row r="846" spans="1:73">
      <c r="A846" s="186"/>
      <c r="B846" s="131"/>
      <c r="C846" s="148"/>
      <c r="E846" s="130"/>
      <c r="F846" s="133" t="s">
        <v>1022</v>
      </c>
      <c r="G846" s="161"/>
      <c r="H846" s="197"/>
      <c r="I846" s="198"/>
      <c r="J846" s="199" t="s">
        <v>1022</v>
      </c>
      <c r="K846" s="200"/>
      <c r="L846" s="201"/>
      <c r="M846" s="178"/>
      <c r="N846" s="199" t="s">
        <v>1022</v>
      </c>
      <c r="O846" s="200"/>
      <c r="P846" s="201"/>
      <c r="Q846" s="178"/>
      <c r="R846" s="199" t="s">
        <v>1022</v>
      </c>
      <c r="S846" s="200"/>
      <c r="T846" s="201"/>
      <c r="U846" s="178"/>
      <c r="V846" s="199" t="s">
        <v>1022</v>
      </c>
      <c r="W846" s="200"/>
      <c r="X846" s="201"/>
      <c r="Y846" s="178"/>
      <c r="Z846" s="199" t="s">
        <v>1022</v>
      </c>
      <c r="AA846" s="200"/>
      <c r="AB846" s="201"/>
      <c r="AC846" s="178"/>
      <c r="AD846" s="199" t="s">
        <v>1022</v>
      </c>
      <c r="AE846" s="200"/>
      <c r="AF846" s="201"/>
      <c r="AG846" s="178"/>
      <c r="AH846" s="199" t="s">
        <v>1022</v>
      </c>
      <c r="AI846" s="200"/>
      <c r="AJ846" s="201"/>
      <c r="AK846" s="178"/>
      <c r="AL846" s="199" t="s">
        <v>1022</v>
      </c>
      <c r="AM846" s="200"/>
      <c r="AN846" s="201"/>
      <c r="AO846" s="178"/>
      <c r="AP846" s="199" t="s">
        <v>1022</v>
      </c>
      <c r="AQ846" s="200"/>
      <c r="AR846" s="201"/>
      <c r="AS846" s="178"/>
      <c r="AT846" s="199" t="s">
        <v>1022</v>
      </c>
      <c r="AU846" s="200"/>
      <c r="AV846" s="201"/>
      <c r="AW846" s="178"/>
      <c r="AX846" s="199" t="s">
        <v>1022</v>
      </c>
      <c r="AY846" s="200"/>
      <c r="AZ846" s="201"/>
      <c r="BA846" s="178"/>
      <c r="BB846" s="199" t="s">
        <v>1022</v>
      </c>
      <c r="BC846" s="200"/>
      <c r="BD846" s="201"/>
      <c r="BE846" s="178"/>
      <c r="BF846" s="199" t="s">
        <v>1022</v>
      </c>
      <c r="BG846" s="200"/>
      <c r="BH846" s="201"/>
      <c r="BI846" s="178"/>
      <c r="BJ846" s="199" t="s">
        <v>1022</v>
      </c>
      <c r="BK846" s="200"/>
      <c r="BL846" s="201"/>
      <c r="BM846" s="178"/>
      <c r="BN846" s="199" t="s">
        <v>1022</v>
      </c>
      <c r="BO846" s="200"/>
      <c r="BP846" s="201"/>
      <c r="BQ846" s="178"/>
      <c r="BR846" s="199" t="s">
        <v>1022</v>
      </c>
      <c r="BS846" s="200"/>
      <c r="BT846" s="201"/>
      <c r="BU846" s="178"/>
    </row>
    <row r="847" spans="1:73">
      <c r="A847" s="136" t="s">
        <v>36</v>
      </c>
      <c r="B847" s="137" t="s">
        <v>37</v>
      </c>
      <c r="C847" s="137" t="s">
        <v>38</v>
      </c>
      <c r="D847" s="202"/>
      <c r="E847" s="130"/>
      <c r="F847" s="138"/>
      <c r="G847" s="139" t="s">
        <v>39</v>
      </c>
      <c r="H847" s="253" t="s">
        <v>40</v>
      </c>
      <c r="I847" s="145"/>
      <c r="J847" s="138"/>
      <c r="K847" s="139" t="s">
        <v>39</v>
      </c>
      <c r="L847" s="203" t="s">
        <v>40</v>
      </c>
      <c r="N847" s="138"/>
      <c r="O847" s="139" t="s">
        <v>39</v>
      </c>
      <c r="P847" s="203" t="s">
        <v>40</v>
      </c>
      <c r="R847" s="138"/>
      <c r="S847" s="139" t="s">
        <v>39</v>
      </c>
      <c r="T847" s="203" t="s">
        <v>40</v>
      </c>
      <c r="V847" s="138"/>
      <c r="W847" s="139" t="s">
        <v>39</v>
      </c>
      <c r="X847" s="203" t="s">
        <v>40</v>
      </c>
      <c r="Z847" s="138"/>
      <c r="AA847" s="139" t="s">
        <v>39</v>
      </c>
      <c r="AB847" s="203" t="s">
        <v>40</v>
      </c>
      <c r="AD847" s="138"/>
      <c r="AE847" s="139" t="s">
        <v>39</v>
      </c>
      <c r="AF847" s="203" t="s">
        <v>40</v>
      </c>
      <c r="AH847" s="138"/>
      <c r="AI847" s="139" t="s">
        <v>39</v>
      </c>
      <c r="AJ847" s="203" t="s">
        <v>40</v>
      </c>
      <c r="AL847" s="138"/>
      <c r="AM847" s="139" t="s">
        <v>39</v>
      </c>
      <c r="AN847" s="203" t="s">
        <v>40</v>
      </c>
      <c r="AP847" s="138"/>
      <c r="AQ847" s="139" t="s">
        <v>39</v>
      </c>
      <c r="AR847" s="203" t="s">
        <v>40</v>
      </c>
      <c r="AT847" s="138"/>
      <c r="AU847" s="139" t="s">
        <v>39</v>
      </c>
      <c r="AV847" s="203" t="s">
        <v>40</v>
      </c>
      <c r="AX847" s="138"/>
      <c r="AY847" s="139" t="s">
        <v>39</v>
      </c>
      <c r="AZ847" s="203" t="s">
        <v>40</v>
      </c>
      <c r="BB847" s="138"/>
      <c r="BC847" s="139" t="s">
        <v>39</v>
      </c>
      <c r="BD847" s="203" t="s">
        <v>40</v>
      </c>
      <c r="BF847" s="138"/>
      <c r="BG847" s="139" t="s">
        <v>39</v>
      </c>
      <c r="BH847" s="203" t="s">
        <v>40</v>
      </c>
      <c r="BJ847" s="138"/>
      <c r="BK847" s="139" t="s">
        <v>39</v>
      </c>
      <c r="BL847" s="203" t="s">
        <v>40</v>
      </c>
      <c r="BN847" s="138"/>
      <c r="BO847" s="139" t="s">
        <v>39</v>
      </c>
      <c r="BP847" s="203" t="s">
        <v>40</v>
      </c>
      <c r="BR847" s="138"/>
      <c r="BS847" s="139" t="s">
        <v>39</v>
      </c>
      <c r="BT847" s="203" t="s">
        <v>40</v>
      </c>
    </row>
    <row r="848" ht="12.75" customHeight="1" spans="1:73">
      <c r="A848" s="221"/>
      <c r="B848" s="205" t="s">
        <v>46</v>
      </c>
      <c r="C848" s="254"/>
      <c r="D848" s="207"/>
      <c r="E848" s="130"/>
      <c r="F848" s="208"/>
      <c r="G848" s="243" t="s">
        <v>810</v>
      </c>
      <c r="H848" s="255"/>
      <c r="I848" s="198"/>
      <c r="J848" s="210"/>
      <c r="K848" s="211" t="s">
        <v>810</v>
      </c>
      <c r="L848" s="212" t="s">
        <v>8</v>
      </c>
      <c r="M848" s="178"/>
      <c r="N848" s="210"/>
      <c r="O848" s="211" t="s">
        <v>810</v>
      </c>
      <c r="P848" s="212" t="s">
        <v>8</v>
      </c>
      <c r="Q848" s="178"/>
      <c r="R848" s="210"/>
      <c r="S848" s="211" t="s">
        <v>810</v>
      </c>
      <c r="T848" s="212" t="s">
        <v>8</v>
      </c>
      <c r="U848" s="178"/>
      <c r="V848" s="210"/>
      <c r="W848" s="211" t="s">
        <v>810</v>
      </c>
      <c r="X848" s="212" t="s">
        <v>8</v>
      </c>
      <c r="Y848" s="178"/>
      <c r="Z848" s="210"/>
      <c r="AA848" s="211" t="s">
        <v>810</v>
      </c>
      <c r="AB848" s="212" t="s">
        <v>8</v>
      </c>
      <c r="AC848" s="178"/>
      <c r="AD848" s="210"/>
      <c r="AE848" s="211" t="s">
        <v>810</v>
      </c>
      <c r="AF848" s="212" t="s">
        <v>8</v>
      </c>
      <c r="AG848" s="178"/>
      <c r="AH848" s="210"/>
      <c r="AI848" s="211" t="s">
        <v>810</v>
      </c>
      <c r="AJ848" s="212" t="s">
        <v>8</v>
      </c>
      <c r="AK848" s="178"/>
      <c r="AL848" s="210"/>
      <c r="AM848" s="211" t="s">
        <v>810</v>
      </c>
      <c r="AN848" s="212" t="s">
        <v>8</v>
      </c>
      <c r="AO848" s="178"/>
      <c r="AP848" s="210"/>
      <c r="AQ848" s="211" t="s">
        <v>810</v>
      </c>
      <c r="AR848" s="212" t="s">
        <v>8</v>
      </c>
      <c r="AS848" s="178"/>
      <c r="AT848" s="210"/>
      <c r="AU848" s="211" t="s">
        <v>810</v>
      </c>
      <c r="AV848" s="213" t="s">
        <v>46</v>
      </c>
      <c r="AW848" s="178"/>
      <c r="AX848" s="210"/>
      <c r="AY848" s="211" t="s">
        <v>810</v>
      </c>
      <c r="AZ848" s="212" t="s">
        <v>8</v>
      </c>
      <c r="BA848" s="178"/>
      <c r="BB848" s="210"/>
      <c r="BC848" s="211" t="s">
        <v>810</v>
      </c>
      <c r="BD848" s="212" t="s">
        <v>8</v>
      </c>
      <c r="BE848" s="178"/>
      <c r="BF848" s="210"/>
      <c r="BG848" s="211" t="s">
        <v>810</v>
      </c>
      <c r="BH848" s="212" t="s">
        <v>8</v>
      </c>
      <c r="BI848" s="178"/>
      <c r="BJ848" s="210"/>
      <c r="BK848" s="211" t="s">
        <v>810</v>
      </c>
      <c r="BL848" s="212" t="s">
        <v>8</v>
      </c>
      <c r="BM848" s="178"/>
      <c r="BN848" s="210"/>
      <c r="BO848" s="211" t="s">
        <v>810</v>
      </c>
      <c r="BP848" s="212" t="s">
        <v>8</v>
      </c>
      <c r="BQ848" s="178"/>
      <c r="BR848" s="210"/>
      <c r="BS848" s="211" t="s">
        <v>810</v>
      </c>
      <c r="BT848" s="212" t="s">
        <v>8</v>
      </c>
      <c r="BU848" s="178"/>
    </row>
    <row r="849" ht="12.75" customHeight="1" spans="1:73">
      <c r="A849" s="221"/>
      <c r="B849" s="205" t="s">
        <v>46</v>
      </c>
      <c r="C849" s="254"/>
      <c r="D849" s="207"/>
      <c r="E849" s="130"/>
      <c r="F849" s="208"/>
      <c r="G849" s="243" t="s">
        <v>1023</v>
      </c>
      <c r="H849" s="255"/>
      <c r="I849" s="198"/>
      <c r="J849" s="210"/>
      <c r="K849" s="211" t="s">
        <v>1023</v>
      </c>
      <c r="L849" s="212" t="s">
        <v>8</v>
      </c>
      <c r="M849" s="178"/>
      <c r="N849" s="210"/>
      <c r="O849" s="211" t="s">
        <v>1023</v>
      </c>
      <c r="P849" s="212" t="s">
        <v>8</v>
      </c>
      <c r="Q849" s="178"/>
      <c r="R849" s="210"/>
      <c r="S849" s="211" t="s">
        <v>1023</v>
      </c>
      <c r="T849" s="212" t="s">
        <v>8</v>
      </c>
      <c r="U849" s="178"/>
      <c r="V849" s="210"/>
      <c r="W849" s="211" t="s">
        <v>1023</v>
      </c>
      <c r="X849" s="212" t="s">
        <v>63</v>
      </c>
      <c r="Y849" s="178"/>
      <c r="Z849" s="210"/>
      <c r="AA849" s="211" t="s">
        <v>1023</v>
      </c>
      <c r="AB849" s="212" t="s">
        <v>63</v>
      </c>
      <c r="AC849" s="178"/>
      <c r="AD849" s="210"/>
      <c r="AE849" s="211" t="s">
        <v>1023</v>
      </c>
      <c r="AF849" s="212" t="s">
        <v>8</v>
      </c>
      <c r="AG849" s="178"/>
      <c r="AH849" s="210"/>
      <c r="AI849" s="211" t="s">
        <v>1023</v>
      </c>
      <c r="AJ849" s="212" t="s">
        <v>8</v>
      </c>
      <c r="AK849" s="178"/>
      <c r="AL849" s="210"/>
      <c r="AM849" s="211" t="s">
        <v>1023</v>
      </c>
      <c r="AN849" s="212" t="s">
        <v>8</v>
      </c>
      <c r="AO849" s="178"/>
      <c r="AP849" s="210"/>
      <c r="AQ849" s="211" t="s">
        <v>1023</v>
      </c>
      <c r="AR849" s="212" t="s">
        <v>8</v>
      </c>
      <c r="AS849" s="178"/>
      <c r="AT849" s="210"/>
      <c r="AU849" s="211" t="s">
        <v>1023</v>
      </c>
      <c r="AV849" s="212" t="s">
        <v>8</v>
      </c>
      <c r="AW849" s="178"/>
      <c r="AX849" s="210"/>
      <c r="AY849" s="211" t="s">
        <v>1023</v>
      </c>
      <c r="AZ849" s="212" t="s">
        <v>63</v>
      </c>
      <c r="BA849" s="178"/>
      <c r="BB849" s="210"/>
      <c r="BC849" s="211" t="s">
        <v>1023</v>
      </c>
      <c r="BD849" s="212" t="s">
        <v>63</v>
      </c>
      <c r="BE849" s="178"/>
      <c r="BF849" s="210"/>
      <c r="BG849" s="211" t="s">
        <v>1023</v>
      </c>
      <c r="BH849" s="212" t="s">
        <v>8</v>
      </c>
      <c r="BI849" s="178"/>
      <c r="BJ849" s="210"/>
      <c r="BK849" s="211" t="s">
        <v>1023</v>
      </c>
      <c r="BL849" s="212" t="s">
        <v>8</v>
      </c>
      <c r="BM849" s="178"/>
      <c r="BN849" s="210"/>
      <c r="BO849" s="211" t="s">
        <v>1023</v>
      </c>
      <c r="BP849" s="212" t="s">
        <v>8</v>
      </c>
      <c r="BQ849" s="178"/>
      <c r="BR849" s="210"/>
      <c r="BS849" s="211" t="s">
        <v>1023</v>
      </c>
      <c r="BT849" s="212" t="s">
        <v>8</v>
      </c>
      <c r="BU849" s="178"/>
    </row>
    <row r="850" ht="12.75" customHeight="1" spans="1:73">
      <c r="A850" s="221"/>
      <c r="B850" s="205" t="s">
        <v>46</v>
      </c>
      <c r="C850" s="254"/>
      <c r="D850" s="207"/>
      <c r="E850" s="130"/>
      <c r="F850" s="208"/>
      <c r="G850" s="243" t="s">
        <v>1024</v>
      </c>
      <c r="H850" s="255"/>
      <c r="I850" s="198"/>
      <c r="J850" s="210"/>
      <c r="K850" s="211" t="s">
        <v>1024</v>
      </c>
      <c r="L850" s="212" t="s">
        <v>8</v>
      </c>
      <c r="M850" s="178"/>
      <c r="N850" s="210"/>
      <c r="O850" s="211" t="s">
        <v>1024</v>
      </c>
      <c r="P850" s="212" t="s">
        <v>8</v>
      </c>
      <c r="Q850" s="178"/>
      <c r="R850" s="210"/>
      <c r="S850" s="211" t="s">
        <v>1024</v>
      </c>
      <c r="T850" s="212" t="s">
        <v>8</v>
      </c>
      <c r="U850" s="178"/>
      <c r="V850" s="210"/>
      <c r="W850" s="211" t="s">
        <v>1024</v>
      </c>
      <c r="X850" s="212" t="s">
        <v>63</v>
      </c>
      <c r="Y850" s="178"/>
      <c r="Z850" s="210"/>
      <c r="AA850" s="211" t="s">
        <v>1024</v>
      </c>
      <c r="AB850" s="212" t="s">
        <v>63</v>
      </c>
      <c r="AC850" s="178"/>
      <c r="AD850" s="210"/>
      <c r="AE850" s="211" t="s">
        <v>1024</v>
      </c>
      <c r="AF850" s="212" t="s">
        <v>8</v>
      </c>
      <c r="AG850" s="178"/>
      <c r="AH850" s="210"/>
      <c r="AI850" s="211" t="s">
        <v>1024</v>
      </c>
      <c r="AJ850" s="212" t="s">
        <v>8</v>
      </c>
      <c r="AK850" s="178"/>
      <c r="AL850" s="210"/>
      <c r="AM850" s="211" t="s">
        <v>1024</v>
      </c>
      <c r="AN850" s="212" t="s">
        <v>8</v>
      </c>
      <c r="AO850" s="178"/>
      <c r="AP850" s="210"/>
      <c r="AQ850" s="211" t="s">
        <v>1024</v>
      </c>
      <c r="AR850" s="212" t="s">
        <v>8</v>
      </c>
      <c r="AS850" s="178"/>
      <c r="AT850" s="210"/>
      <c r="AU850" s="211" t="s">
        <v>1024</v>
      </c>
      <c r="AV850" s="212" t="s">
        <v>8</v>
      </c>
      <c r="AW850" s="178"/>
      <c r="AX850" s="210"/>
      <c r="AY850" s="211" t="s">
        <v>1024</v>
      </c>
      <c r="AZ850" s="212" t="s">
        <v>63</v>
      </c>
      <c r="BA850" s="178"/>
      <c r="BB850" s="210"/>
      <c r="BC850" s="211" t="s">
        <v>1024</v>
      </c>
      <c r="BD850" s="212" t="s">
        <v>63</v>
      </c>
      <c r="BE850" s="178"/>
      <c r="BF850" s="210"/>
      <c r="BG850" s="211" t="s">
        <v>1024</v>
      </c>
      <c r="BH850" s="212" t="s">
        <v>8</v>
      </c>
      <c r="BI850" s="178"/>
      <c r="BJ850" s="210"/>
      <c r="BK850" s="211" t="s">
        <v>1024</v>
      </c>
      <c r="BL850" s="212" t="s">
        <v>8</v>
      </c>
      <c r="BM850" s="178"/>
      <c r="BN850" s="210"/>
      <c r="BO850" s="211" t="s">
        <v>1024</v>
      </c>
      <c r="BP850" s="212" t="s">
        <v>8</v>
      </c>
      <c r="BQ850" s="178"/>
      <c r="BR850" s="210"/>
      <c r="BS850" s="211" t="s">
        <v>1024</v>
      </c>
      <c r="BT850" s="212" t="s">
        <v>8</v>
      </c>
      <c r="BU850" s="178"/>
    </row>
    <row r="851" ht="12.75" customHeight="1" spans="1:73">
      <c r="A851" s="221"/>
      <c r="B851" s="205" t="s">
        <v>46</v>
      </c>
      <c r="C851" s="254"/>
      <c r="D851" s="207"/>
      <c r="E851" s="130"/>
      <c r="F851" s="208"/>
      <c r="G851" s="243" t="s">
        <v>1025</v>
      </c>
      <c r="H851" s="255"/>
      <c r="I851" s="198"/>
      <c r="J851" s="210"/>
      <c r="K851" s="211" t="s">
        <v>1025</v>
      </c>
      <c r="L851" s="212" t="s">
        <v>8</v>
      </c>
      <c r="M851" s="178"/>
      <c r="N851" s="210"/>
      <c r="O851" s="211" t="s">
        <v>1025</v>
      </c>
      <c r="P851" s="212" t="s">
        <v>8</v>
      </c>
      <c r="Q851" s="178"/>
      <c r="R851" s="210"/>
      <c r="S851" s="211" t="s">
        <v>1025</v>
      </c>
      <c r="T851" s="212" t="s">
        <v>8</v>
      </c>
      <c r="U851" s="178"/>
      <c r="V851" s="210"/>
      <c r="W851" s="211" t="s">
        <v>1025</v>
      </c>
      <c r="X851" s="212" t="s">
        <v>63</v>
      </c>
      <c r="Y851" s="178"/>
      <c r="Z851" s="210"/>
      <c r="AA851" s="211" t="s">
        <v>1025</v>
      </c>
      <c r="AB851" s="212" t="s">
        <v>63</v>
      </c>
      <c r="AC851" s="178"/>
      <c r="AD851" s="210"/>
      <c r="AE851" s="211" t="s">
        <v>1025</v>
      </c>
      <c r="AF851" s="212" t="s">
        <v>8</v>
      </c>
      <c r="AG851" s="178"/>
      <c r="AH851" s="210"/>
      <c r="AI851" s="211" t="s">
        <v>1025</v>
      </c>
      <c r="AJ851" s="212" t="s">
        <v>8</v>
      </c>
      <c r="AK851" s="178"/>
      <c r="AL851" s="210"/>
      <c r="AM851" s="211" t="s">
        <v>1025</v>
      </c>
      <c r="AN851" s="212" t="s">
        <v>8</v>
      </c>
      <c r="AO851" s="178"/>
      <c r="AP851" s="210"/>
      <c r="AQ851" s="211" t="s">
        <v>1025</v>
      </c>
      <c r="AR851" s="212" t="s">
        <v>8</v>
      </c>
      <c r="AS851" s="178"/>
      <c r="AT851" s="210"/>
      <c r="AU851" s="211" t="s">
        <v>1025</v>
      </c>
      <c r="AV851" s="212" t="s">
        <v>8</v>
      </c>
      <c r="AW851" s="178"/>
      <c r="AX851" s="210"/>
      <c r="AY851" s="211" t="s">
        <v>1025</v>
      </c>
      <c r="AZ851" s="212" t="s">
        <v>63</v>
      </c>
      <c r="BA851" s="178"/>
      <c r="BB851" s="210"/>
      <c r="BC851" s="211" t="s">
        <v>1025</v>
      </c>
      <c r="BD851" s="212" t="s">
        <v>63</v>
      </c>
      <c r="BE851" s="178"/>
      <c r="BF851" s="210"/>
      <c r="BG851" s="211" t="s">
        <v>1025</v>
      </c>
      <c r="BH851" s="212" t="s">
        <v>8</v>
      </c>
      <c r="BI851" s="178"/>
      <c r="BJ851" s="210"/>
      <c r="BK851" s="211" t="s">
        <v>1025</v>
      </c>
      <c r="BL851" s="212" t="s">
        <v>8</v>
      </c>
      <c r="BM851" s="178"/>
      <c r="BN851" s="210"/>
      <c r="BO851" s="211" t="s">
        <v>1025</v>
      </c>
      <c r="BP851" s="212" t="s">
        <v>8</v>
      </c>
      <c r="BQ851" s="178"/>
      <c r="BR851" s="210"/>
      <c r="BS851" s="211" t="s">
        <v>1025</v>
      </c>
      <c r="BT851" s="212" t="s">
        <v>8</v>
      </c>
      <c r="BU851" s="178"/>
    </row>
    <row r="852" ht="12.75" customHeight="1" spans="1:73">
      <c r="A852" s="221"/>
      <c r="B852" s="205" t="s">
        <v>46</v>
      </c>
      <c r="C852" s="254"/>
      <c r="D852" s="207"/>
      <c r="E852" s="130"/>
      <c r="F852" s="208"/>
      <c r="G852" s="243" t="s">
        <v>1026</v>
      </c>
      <c r="H852" s="255"/>
      <c r="I852" s="198"/>
      <c r="J852" s="210"/>
      <c r="K852" s="211" t="s">
        <v>1026</v>
      </c>
      <c r="L852" s="213" t="s">
        <v>46</v>
      </c>
      <c r="M852" s="178"/>
      <c r="N852" s="210"/>
      <c r="O852" s="211" t="s">
        <v>1026</v>
      </c>
      <c r="P852" s="213" t="s">
        <v>46</v>
      </c>
      <c r="Q852" s="178"/>
      <c r="R852" s="210"/>
      <c r="S852" s="211" t="s">
        <v>1026</v>
      </c>
      <c r="T852" s="213" t="s">
        <v>46</v>
      </c>
      <c r="U852" s="178"/>
      <c r="V852" s="210"/>
      <c r="W852" s="211" t="s">
        <v>1026</v>
      </c>
      <c r="X852" s="212" t="s">
        <v>63</v>
      </c>
      <c r="Y852" s="178"/>
      <c r="Z852" s="210"/>
      <c r="AA852" s="211" t="s">
        <v>1026</v>
      </c>
      <c r="AB852" s="213" t="s">
        <v>46</v>
      </c>
      <c r="AC852" s="178"/>
      <c r="AD852" s="210"/>
      <c r="AE852" s="211" t="s">
        <v>1026</v>
      </c>
      <c r="AF852" s="213" t="s">
        <v>46</v>
      </c>
      <c r="AG852" s="178"/>
      <c r="AH852" s="210"/>
      <c r="AI852" s="211" t="s">
        <v>1026</v>
      </c>
      <c r="AJ852" s="213" t="s">
        <v>46</v>
      </c>
      <c r="AK852" s="178"/>
      <c r="AL852" s="210"/>
      <c r="AM852" s="211" t="s">
        <v>1026</v>
      </c>
      <c r="AN852" s="213" t="s">
        <v>46</v>
      </c>
      <c r="AO852" s="178"/>
      <c r="AP852" s="210"/>
      <c r="AQ852" s="211" t="s">
        <v>1026</v>
      </c>
      <c r="AR852" s="213" t="s">
        <v>46</v>
      </c>
      <c r="AS852" s="178"/>
      <c r="AT852" s="210"/>
      <c r="AU852" s="211" t="s">
        <v>1026</v>
      </c>
      <c r="AV852" s="213" t="s">
        <v>46</v>
      </c>
      <c r="AW852" s="178"/>
      <c r="AX852" s="210"/>
      <c r="AY852" s="211" t="s">
        <v>1026</v>
      </c>
      <c r="AZ852" s="212" t="s">
        <v>63</v>
      </c>
      <c r="BA852" s="178"/>
      <c r="BB852" s="210"/>
      <c r="BC852" s="211" t="s">
        <v>1026</v>
      </c>
      <c r="BD852" s="213" t="s">
        <v>46</v>
      </c>
      <c r="BE852" s="178"/>
      <c r="BF852" s="210"/>
      <c r="BG852" s="211" t="s">
        <v>1026</v>
      </c>
      <c r="BH852" s="213" t="s">
        <v>46</v>
      </c>
      <c r="BI852" s="178"/>
      <c r="BJ852" s="210"/>
      <c r="BK852" s="211" t="s">
        <v>1026</v>
      </c>
      <c r="BL852" s="213" t="s">
        <v>46</v>
      </c>
      <c r="BM852" s="178"/>
      <c r="BN852" s="210"/>
      <c r="BO852" s="211" t="s">
        <v>1026</v>
      </c>
      <c r="BP852" s="213" t="s">
        <v>46</v>
      </c>
      <c r="BQ852" s="178"/>
      <c r="BR852" s="210"/>
      <c r="BS852" s="211" t="s">
        <v>1026</v>
      </c>
      <c r="BT852" s="213" t="s">
        <v>46</v>
      </c>
      <c r="BU852" s="178"/>
    </row>
    <row r="853" ht="12.75" customHeight="1" spans="1:73">
      <c r="A853" s="221"/>
      <c r="B853" s="205" t="s">
        <v>46</v>
      </c>
      <c r="C853" s="254"/>
      <c r="D853" s="207"/>
      <c r="E853" s="130"/>
      <c r="F853" s="208"/>
      <c r="G853" s="243" t="s">
        <v>1027</v>
      </c>
      <c r="H853" s="255"/>
      <c r="I853" s="198"/>
      <c r="J853" s="210"/>
      <c r="K853" s="211" t="s">
        <v>1027</v>
      </c>
      <c r="L853" s="212" t="s">
        <v>8</v>
      </c>
      <c r="M853" s="178"/>
      <c r="N853" s="210"/>
      <c r="O853" s="211" t="s">
        <v>1027</v>
      </c>
      <c r="P853" s="212" t="s">
        <v>8</v>
      </c>
      <c r="Q853" s="178"/>
      <c r="R853" s="210"/>
      <c r="S853" s="211" t="s">
        <v>1027</v>
      </c>
      <c r="T853" s="212" t="s">
        <v>8</v>
      </c>
      <c r="U853" s="178"/>
      <c r="V853" s="210"/>
      <c r="W853" s="211" t="s">
        <v>1027</v>
      </c>
      <c r="X853" s="212" t="s">
        <v>61</v>
      </c>
      <c r="Y853" s="178"/>
      <c r="Z853" s="210"/>
      <c r="AA853" s="211" t="s">
        <v>1027</v>
      </c>
      <c r="AB853" s="212" t="s">
        <v>8</v>
      </c>
      <c r="AC853" s="178"/>
      <c r="AD853" s="210"/>
      <c r="AE853" s="211" t="s">
        <v>1027</v>
      </c>
      <c r="AF853" s="212" t="s">
        <v>8</v>
      </c>
      <c r="AG853" s="178"/>
      <c r="AH853" s="210"/>
      <c r="AI853" s="211" t="s">
        <v>1027</v>
      </c>
      <c r="AJ853" s="212" t="s">
        <v>8</v>
      </c>
      <c r="AK853" s="178"/>
      <c r="AL853" s="210"/>
      <c r="AM853" s="211" t="s">
        <v>1027</v>
      </c>
      <c r="AN853" s="212" t="s">
        <v>8</v>
      </c>
      <c r="AO853" s="178"/>
      <c r="AP853" s="210"/>
      <c r="AQ853" s="211" t="s">
        <v>1027</v>
      </c>
      <c r="AR853" s="212" t="s">
        <v>8</v>
      </c>
      <c r="AS853" s="178"/>
      <c r="AT853" s="210"/>
      <c r="AU853" s="211" t="s">
        <v>1027</v>
      </c>
      <c r="AV853" s="212" t="s">
        <v>8</v>
      </c>
      <c r="AW853" s="178"/>
      <c r="AX853" s="210"/>
      <c r="AY853" s="211" t="s">
        <v>1027</v>
      </c>
      <c r="AZ853" s="212" t="s">
        <v>61</v>
      </c>
      <c r="BA853" s="178"/>
      <c r="BB853" s="210"/>
      <c r="BC853" s="211" t="s">
        <v>1027</v>
      </c>
      <c r="BD853" s="212" t="s">
        <v>8</v>
      </c>
      <c r="BE853" s="178"/>
      <c r="BF853" s="210"/>
      <c r="BG853" s="211" t="s">
        <v>1027</v>
      </c>
      <c r="BH853" s="212" t="s">
        <v>8</v>
      </c>
      <c r="BI853" s="178"/>
      <c r="BJ853" s="210"/>
      <c r="BK853" s="211" t="s">
        <v>1027</v>
      </c>
      <c r="BL853" s="212" t="s">
        <v>8</v>
      </c>
      <c r="BM853" s="178"/>
      <c r="BN853" s="210"/>
      <c r="BO853" s="211" t="s">
        <v>1027</v>
      </c>
      <c r="BP853" s="212" t="s">
        <v>8</v>
      </c>
      <c r="BQ853" s="178"/>
      <c r="BR853" s="210"/>
      <c r="BS853" s="211" t="s">
        <v>1027</v>
      </c>
      <c r="BT853" s="212" t="s">
        <v>8</v>
      </c>
      <c r="BU853" s="178"/>
    </row>
    <row r="854" ht="12.75" customHeight="1" spans="1:73">
      <c r="A854" s="221"/>
      <c r="B854" s="205" t="s">
        <v>46</v>
      </c>
      <c r="C854" s="254"/>
      <c r="D854" s="207"/>
      <c r="E854" s="130"/>
      <c r="F854" s="208"/>
      <c r="G854" s="243" t="s">
        <v>1028</v>
      </c>
      <c r="H854" s="255"/>
      <c r="I854" s="198"/>
      <c r="J854" s="210"/>
      <c r="K854" s="211" t="s">
        <v>1028</v>
      </c>
      <c r="L854" s="212" t="s">
        <v>8</v>
      </c>
      <c r="M854" s="178"/>
      <c r="N854" s="210"/>
      <c r="O854" s="211" t="s">
        <v>1028</v>
      </c>
      <c r="P854" s="212" t="s">
        <v>8</v>
      </c>
      <c r="Q854" s="178"/>
      <c r="R854" s="210"/>
      <c r="S854" s="211" t="s">
        <v>1028</v>
      </c>
      <c r="T854" s="212" t="s">
        <v>8</v>
      </c>
      <c r="U854" s="178"/>
      <c r="V854" s="210"/>
      <c r="W854" s="211" t="s">
        <v>1028</v>
      </c>
      <c r="X854" s="213" t="s">
        <v>46</v>
      </c>
      <c r="Y854" s="178"/>
      <c r="Z854" s="210"/>
      <c r="AA854" s="211" t="s">
        <v>1028</v>
      </c>
      <c r="AB854" s="212" t="s">
        <v>8</v>
      </c>
      <c r="AC854" s="178"/>
      <c r="AD854" s="210"/>
      <c r="AE854" s="211" t="s">
        <v>1028</v>
      </c>
      <c r="AF854" s="212" t="s">
        <v>8</v>
      </c>
      <c r="AG854" s="178"/>
      <c r="AH854" s="210"/>
      <c r="AI854" s="211" t="s">
        <v>1028</v>
      </c>
      <c r="AJ854" s="212" t="s">
        <v>8</v>
      </c>
      <c r="AK854" s="178"/>
      <c r="AL854" s="210"/>
      <c r="AM854" s="211" t="s">
        <v>1028</v>
      </c>
      <c r="AN854" s="212" t="s">
        <v>8</v>
      </c>
      <c r="AO854" s="178"/>
      <c r="AP854" s="210"/>
      <c r="AQ854" s="211" t="s">
        <v>1028</v>
      </c>
      <c r="AR854" s="212" t="s">
        <v>8</v>
      </c>
      <c r="AS854" s="178"/>
      <c r="AT854" s="210"/>
      <c r="AU854" s="211" t="s">
        <v>1028</v>
      </c>
      <c r="AV854" s="212" t="s">
        <v>8</v>
      </c>
      <c r="AW854" s="178"/>
      <c r="AX854" s="210"/>
      <c r="AY854" s="211" t="s">
        <v>1028</v>
      </c>
      <c r="AZ854" s="213" t="s">
        <v>46</v>
      </c>
      <c r="BA854" s="178"/>
      <c r="BB854" s="210"/>
      <c r="BC854" s="211" t="s">
        <v>1028</v>
      </c>
      <c r="BD854" s="212" t="s">
        <v>8</v>
      </c>
      <c r="BE854" s="178"/>
      <c r="BF854" s="210"/>
      <c r="BG854" s="211" t="s">
        <v>1028</v>
      </c>
      <c r="BH854" s="212" t="s">
        <v>8</v>
      </c>
      <c r="BI854" s="178"/>
      <c r="BJ854" s="210"/>
      <c r="BK854" s="211" t="s">
        <v>1028</v>
      </c>
      <c r="BL854" s="212" t="s">
        <v>8</v>
      </c>
      <c r="BM854" s="178"/>
      <c r="BN854" s="210"/>
      <c r="BO854" s="211" t="s">
        <v>1028</v>
      </c>
      <c r="BP854" s="212" t="s">
        <v>8</v>
      </c>
      <c r="BQ854" s="178"/>
      <c r="BR854" s="210"/>
      <c r="BS854" s="211" t="s">
        <v>1028</v>
      </c>
      <c r="BT854" s="212" t="s">
        <v>8</v>
      </c>
      <c r="BU854" s="178"/>
    </row>
    <row r="855" spans="1:73">
      <c r="A855" s="166"/>
      <c r="B855" s="166"/>
      <c r="C855" s="166"/>
      <c r="D855" s="160"/>
      <c r="E855" s="130"/>
      <c r="F855" s="138"/>
      <c r="G855" s="256"/>
      <c r="H855" s="252"/>
      <c r="I855" s="245"/>
      <c r="J855" s="210"/>
      <c r="K855" s="229"/>
      <c r="L855" s="213"/>
      <c r="M855" s="178"/>
      <c r="N855" s="210"/>
      <c r="O855" s="229"/>
      <c r="P855" s="213"/>
      <c r="Q855" s="178"/>
      <c r="R855" s="210"/>
      <c r="S855" s="229"/>
      <c r="T855" s="213"/>
      <c r="U855" s="178"/>
      <c r="V855" s="210"/>
      <c r="W855" s="229"/>
      <c r="X855" s="213"/>
      <c r="Y855" s="178"/>
      <c r="Z855" s="210"/>
      <c r="AA855" s="229"/>
      <c r="AB855" s="213"/>
      <c r="AC855" s="178"/>
      <c r="AD855" s="210"/>
      <c r="AE855" s="229"/>
      <c r="AF855" s="213"/>
      <c r="AG855" s="178"/>
      <c r="AH855" s="210"/>
      <c r="AI855" s="229"/>
      <c r="AJ855" s="213"/>
      <c r="AK855" s="178"/>
      <c r="AL855" s="210"/>
      <c r="AM855" s="229"/>
      <c r="AN855" s="213"/>
      <c r="AO855" s="178"/>
      <c r="AP855" s="210"/>
      <c r="AQ855" s="229"/>
      <c r="AR855" s="213"/>
      <c r="AS855" s="178"/>
      <c r="AT855" s="210"/>
      <c r="AU855" s="229"/>
      <c r="AV855" s="213"/>
      <c r="AW855" s="178"/>
      <c r="AX855" s="210"/>
      <c r="AY855" s="229"/>
      <c r="AZ855" s="213"/>
      <c r="BA855" s="178"/>
      <c r="BB855" s="210"/>
      <c r="BC855" s="229"/>
      <c r="BD855" s="213"/>
      <c r="BE855" s="178"/>
      <c r="BF855" s="210"/>
      <c r="BG855" s="229"/>
      <c r="BH855" s="213"/>
      <c r="BI855" s="178"/>
      <c r="BJ855" s="210"/>
      <c r="BK855" s="229"/>
      <c r="BL855" s="213"/>
      <c r="BM855" s="178"/>
      <c r="BN855" s="210"/>
      <c r="BO855" s="229"/>
      <c r="BP855" s="213"/>
      <c r="BQ855" s="178"/>
      <c r="BR855" s="210"/>
      <c r="BS855" s="229"/>
      <c r="BT855" s="213"/>
      <c r="BU855" s="178"/>
    </row>
    <row r="856" spans="1:73">
      <c r="A856" s="166"/>
      <c r="B856" s="166"/>
      <c r="C856" s="166"/>
      <c r="D856" s="160"/>
      <c r="E856" s="130"/>
      <c r="F856" s="158"/>
      <c r="G856" s="256"/>
      <c r="H856" s="167"/>
      <c r="I856" s="245"/>
      <c r="J856" s="247"/>
      <c r="K856" s="229"/>
      <c r="L856" s="213"/>
      <c r="M856" s="178"/>
      <c r="N856" s="247"/>
      <c r="O856" s="229"/>
      <c r="P856" s="213"/>
      <c r="Q856" s="178"/>
      <c r="R856" s="247"/>
      <c r="S856" s="229"/>
      <c r="T856" s="213"/>
      <c r="U856" s="178"/>
      <c r="V856" s="247"/>
      <c r="W856" s="229"/>
      <c r="X856" s="213"/>
      <c r="Y856" s="178"/>
      <c r="Z856" s="247"/>
      <c r="AA856" s="229"/>
      <c r="AB856" s="213"/>
      <c r="AC856" s="178"/>
      <c r="AD856" s="247"/>
      <c r="AE856" s="229"/>
      <c r="AF856" s="213"/>
      <c r="AG856" s="178"/>
      <c r="AH856" s="247"/>
      <c r="AI856" s="229"/>
      <c r="AJ856" s="213"/>
      <c r="AK856" s="178"/>
      <c r="AL856" s="247"/>
      <c r="AM856" s="229"/>
      <c r="AN856" s="213"/>
      <c r="AO856" s="178"/>
      <c r="AP856" s="247"/>
      <c r="AQ856" s="229"/>
      <c r="AR856" s="213"/>
      <c r="AS856" s="178"/>
      <c r="AT856" s="247"/>
      <c r="AU856" s="229"/>
      <c r="AV856" s="213"/>
      <c r="AW856" s="178"/>
      <c r="AX856" s="247"/>
      <c r="AY856" s="229"/>
      <c r="AZ856" s="213"/>
      <c r="BA856" s="178"/>
      <c r="BB856" s="247"/>
      <c r="BC856" s="229"/>
      <c r="BD856" s="213"/>
      <c r="BE856" s="178"/>
      <c r="BF856" s="247"/>
      <c r="BG856" s="229"/>
      <c r="BH856" s="213"/>
      <c r="BI856" s="178"/>
      <c r="BJ856" s="247"/>
      <c r="BK856" s="229"/>
      <c r="BL856" s="213"/>
      <c r="BM856" s="178"/>
      <c r="BN856" s="247"/>
      <c r="BO856" s="229"/>
      <c r="BP856" s="213"/>
      <c r="BQ856" s="178"/>
      <c r="BR856" s="247"/>
      <c r="BS856" s="229"/>
      <c r="BT856" s="213"/>
      <c r="BU856" s="178"/>
    </row>
    <row r="857" spans="1:73">
      <c r="E857" s="132"/>
      <c r="F857" s="138" t="s">
        <v>1029</v>
      </c>
      <c r="G857" s="108"/>
      <c r="H857" s="257"/>
      <c r="I857" s="245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78"/>
      <c r="AP857" s="178"/>
      <c r="AQ857" s="178"/>
      <c r="AR857" s="178"/>
      <c r="AS857" s="178"/>
      <c r="AT857" s="178"/>
      <c r="AU857" s="178"/>
      <c r="AV857" s="178"/>
      <c r="AW857" s="178"/>
      <c r="AX857" s="178"/>
      <c r="AY857" s="178"/>
      <c r="AZ857" s="178"/>
      <c r="BA857" s="178"/>
      <c r="BB857" s="178"/>
      <c r="BC857" s="178"/>
      <c r="BD857" s="178"/>
      <c r="BE857" s="178"/>
      <c r="BF857" s="178"/>
      <c r="BG857" s="178"/>
      <c r="BH857" s="178"/>
      <c r="BI857" s="178"/>
      <c r="BJ857" s="178"/>
      <c r="BK857" s="178"/>
      <c r="BL857" s="178"/>
      <c r="BM857" s="178"/>
      <c r="BN857" s="178"/>
      <c r="BO857" s="178"/>
      <c r="BP857" s="178"/>
      <c r="BQ857" s="178"/>
      <c r="BR857" s="178"/>
      <c r="BS857" s="178"/>
      <c r="BT857" s="178"/>
      <c r="BU857" s="258"/>
    </row>
    <row r="858" spans="1:73">
      <c r="E858" s="132"/>
      <c r="F858" s="138"/>
      <c r="G858" s="139" t="s">
        <v>39</v>
      </c>
      <c r="H858" s="140" t="s">
        <v>40</v>
      </c>
    </row>
    <row r="859" spans="1:73">
      <c r="E859" s="132"/>
      <c r="F859" s="158"/>
      <c r="G859" s="259" t="s">
        <v>1030</v>
      </c>
      <c r="H859" s="260" t="s">
        <v>63</v>
      </c>
    </row>
    <row r="860" spans="1:73">
      <c r="A860" s="261"/>
      <c r="E860" s="132"/>
      <c r="F860" s="125" t="s">
        <v>1031</v>
      </c>
      <c r="G860" s="126"/>
      <c r="H860" s="127"/>
    </row>
    <row r="861" spans="1:73">
      <c r="E861" s="132"/>
      <c r="F861" s="262"/>
      <c r="G861" s="263"/>
      <c r="H861" s="264"/>
    </row>
    <row r="862" spans="1:73">
      <c r="E862" s="132"/>
      <c r="F862" s="262" t="s">
        <v>1032</v>
      </c>
      <c r="G862" s="265"/>
      <c r="H862" s="264"/>
    </row>
    <row r="863" spans="1:73">
      <c r="E863" s="132"/>
      <c r="F863" s="266"/>
      <c r="G863" s="267"/>
      <c r="H863" s="268"/>
    </row>
    <row r="864" spans="1:73">
      <c r="E864" s="132"/>
      <c r="F864" s="269" t="s">
        <v>1033</v>
      </c>
      <c r="G864" s="270"/>
      <c r="H864" s="271"/>
    </row>
    <row r="865" spans="1:8">
      <c r="E865" s="132"/>
      <c r="F865" s="208"/>
      <c r="G865" s="139" t="s">
        <v>39</v>
      </c>
      <c r="H865" s="140" t="s">
        <v>40</v>
      </c>
    </row>
    <row r="866" spans="1:8">
      <c r="E866" s="132"/>
      <c r="F866" s="218"/>
      <c r="G866" s="259" t="s">
        <v>1030</v>
      </c>
      <c r="H866" s="272" t="s">
        <v>46</v>
      </c>
    </row>
    <row r="867" spans="1:8">
      <c r="A867" s="273"/>
      <c r="E867" s="274"/>
      <c r="F867" s="275" t="s">
        <v>740</v>
      </c>
      <c r="G867" s="276"/>
      <c r="H867" s="277"/>
    </row>
    <row r="868" spans="1:8">
      <c r="A868" s="273"/>
      <c r="E868" s="274"/>
      <c r="F868" s="275"/>
      <c r="G868" s="139" t="s">
        <v>39</v>
      </c>
      <c r="H868" s="140" t="s">
        <v>40</v>
      </c>
    </row>
    <row r="869" spans="1:8">
      <c r="A869" s="273"/>
      <c r="E869" s="274"/>
      <c r="F869" s="278"/>
      <c r="G869" s="259"/>
      <c r="H869" s="272"/>
    </row>
    <row r="870" spans="1:8">
      <c r="A870" s="273"/>
      <c r="E870" s="274"/>
      <c r="F870" s="275" t="s">
        <v>750</v>
      </c>
      <c r="G870" s="279"/>
      <c r="H870" s="280"/>
    </row>
    <row r="871" spans="1:8">
      <c r="A871" s="273"/>
      <c r="E871" s="274"/>
      <c r="F871" s="275"/>
      <c r="G871" s="139" t="s">
        <v>39</v>
      </c>
      <c r="H871" s="140" t="s">
        <v>40</v>
      </c>
    </row>
    <row r="872" spans="1:8">
      <c r="A872" s="273"/>
      <c r="E872" s="274"/>
      <c r="F872" s="278"/>
      <c r="G872" s="259"/>
      <c r="H872" s="272"/>
    </row>
    <row r="873" spans="1:8">
      <c r="A873" s="273"/>
      <c r="E873" s="274"/>
      <c r="F873" s="275" t="s">
        <v>766</v>
      </c>
      <c r="G873" s="279"/>
      <c r="H873" s="280"/>
    </row>
    <row r="874" spans="1:8">
      <c r="A874" s="273"/>
      <c r="E874" s="274"/>
      <c r="F874" s="275"/>
      <c r="G874" s="139" t="s">
        <v>39</v>
      </c>
      <c r="H874" s="140" t="s">
        <v>40</v>
      </c>
    </row>
    <row r="875" spans="1:8">
      <c r="A875" s="273"/>
      <c r="E875" s="274"/>
      <c r="F875" s="278"/>
      <c r="G875" s="259"/>
      <c r="H875" s="272"/>
    </row>
    <row r="876" spans="1:8">
      <c r="A876" s="273"/>
      <c r="E876" s="274"/>
      <c r="F876" s="275" t="s">
        <v>777</v>
      </c>
      <c r="G876" s="279"/>
      <c r="H876" s="280"/>
    </row>
    <row r="877" spans="1:8">
      <c r="A877" s="273"/>
      <c r="E877" s="274"/>
      <c r="F877" s="275"/>
      <c r="G877" s="139" t="s">
        <v>39</v>
      </c>
      <c r="H877" s="140" t="s">
        <v>40</v>
      </c>
    </row>
    <row r="878" spans="1:8">
      <c r="A878" s="273"/>
      <c r="E878" s="274"/>
      <c r="F878" s="278"/>
      <c r="G878" s="259"/>
      <c r="H878" s="272"/>
    </row>
    <row r="879" spans="1:8">
      <c r="A879" s="273"/>
      <c r="E879" s="274"/>
      <c r="F879" s="275" t="s">
        <v>795</v>
      </c>
      <c r="G879" s="279"/>
      <c r="H879" s="280"/>
    </row>
    <row r="880" spans="1:8">
      <c r="A880" s="273"/>
      <c r="E880" s="274"/>
      <c r="F880" s="275"/>
      <c r="G880" s="139" t="s">
        <v>39</v>
      </c>
      <c r="H880" s="140" t="s">
        <v>40</v>
      </c>
    </row>
    <row r="881" spans="1:8">
      <c r="A881" s="273"/>
      <c r="E881" s="274"/>
      <c r="F881" s="278"/>
      <c r="G881" s="259"/>
      <c r="H881" s="272"/>
    </row>
    <row r="882" spans="1:8">
      <c r="A882" s="273"/>
      <c r="E882" s="274"/>
      <c r="F882" s="275" t="s">
        <v>812</v>
      </c>
      <c r="G882" s="279"/>
      <c r="H882" s="280"/>
    </row>
    <row r="883" spans="1:8">
      <c r="A883" s="273"/>
      <c r="E883" s="274"/>
      <c r="F883" s="275"/>
      <c r="G883" s="139" t="s">
        <v>39</v>
      </c>
      <c r="H883" s="140" t="s">
        <v>40</v>
      </c>
    </row>
    <row r="884" spans="1:8">
      <c r="A884" s="273"/>
      <c r="E884" s="274"/>
      <c r="F884" s="278"/>
      <c r="G884" s="259"/>
      <c r="H884" s="272"/>
    </row>
    <row r="885" spans="1:8">
      <c r="A885" s="273"/>
      <c r="E885" s="274"/>
      <c r="F885" s="275" t="s">
        <v>830</v>
      </c>
      <c r="G885" s="281"/>
      <c r="H885" s="282"/>
    </row>
    <row r="886" spans="1:8">
      <c r="A886" s="273"/>
      <c r="E886" s="274"/>
      <c r="F886" s="275"/>
      <c r="G886" s="139" t="s">
        <v>39</v>
      </c>
      <c r="H886" s="140" t="s">
        <v>40</v>
      </c>
    </row>
    <row r="887" spans="1:8">
      <c r="A887" s="273"/>
      <c r="E887" s="274"/>
      <c r="F887" s="278"/>
      <c r="G887" s="259"/>
      <c r="H887" s="272"/>
    </row>
    <row r="888" spans="1:8">
      <c r="E888" s="274"/>
      <c r="F888" s="275" t="s">
        <v>839</v>
      </c>
      <c r="G888" s="276"/>
      <c r="H888" s="277"/>
    </row>
    <row r="889" spans="1:8">
      <c r="E889" s="274"/>
      <c r="F889" s="275"/>
      <c r="G889" s="139" t="s">
        <v>39</v>
      </c>
      <c r="H889" s="140" t="s">
        <v>40</v>
      </c>
    </row>
    <row r="890" spans="1:8">
      <c r="E890" s="274"/>
      <c r="F890" s="278"/>
      <c r="G890" s="259"/>
      <c r="H890" s="260"/>
    </row>
    <row r="891" spans="1:8">
      <c r="E891" s="274"/>
      <c r="F891" s="275" t="s">
        <v>964</v>
      </c>
      <c r="G891" s="276"/>
      <c r="H891" s="277"/>
    </row>
    <row r="892" spans="1:8">
      <c r="E892" s="274"/>
      <c r="F892" s="275"/>
      <c r="G892" s="139" t="s">
        <v>39</v>
      </c>
      <c r="H892" s="140" t="s">
        <v>40</v>
      </c>
    </row>
    <row r="893" spans="1:8">
      <c r="E893" s="274"/>
      <c r="F893" s="278"/>
      <c r="G893" s="259"/>
      <c r="H893" s="260"/>
    </row>
    <row r="894" spans="1:8">
      <c r="E894" s="274"/>
      <c r="F894" s="275" t="s">
        <v>969</v>
      </c>
      <c r="G894" s="276"/>
      <c r="H894" s="277"/>
    </row>
    <row r="895" spans="1:8">
      <c r="E895" s="274"/>
      <c r="F895" s="275"/>
      <c r="G895" s="139" t="s">
        <v>39</v>
      </c>
      <c r="H895" s="140" t="s">
        <v>40</v>
      </c>
    </row>
    <row r="896" spans="1:8">
      <c r="E896" s="274"/>
      <c r="F896" s="278"/>
      <c r="G896" s="259"/>
      <c r="H896" s="260"/>
    </row>
    <row r="897" spans="1:8">
      <c r="E897" s="274"/>
      <c r="F897" s="275" t="s">
        <v>1034</v>
      </c>
      <c r="G897" s="276"/>
      <c r="H897" s="277"/>
    </row>
    <row r="898" spans="1:8">
      <c r="E898" s="274"/>
      <c r="F898" s="275"/>
      <c r="G898" s="139" t="s">
        <v>39</v>
      </c>
      <c r="H898" s="140" t="s">
        <v>40</v>
      </c>
    </row>
    <row r="899" spans="1:8">
      <c r="E899" s="274"/>
      <c r="F899" s="278"/>
      <c r="G899" s="259"/>
      <c r="H899" s="260"/>
    </row>
    <row r="900" spans="1:8">
      <c r="E900" s="274"/>
      <c r="F900" s="275" t="s">
        <v>859</v>
      </c>
      <c r="G900" s="276"/>
      <c r="H900" s="277"/>
    </row>
    <row r="901" spans="1:8">
      <c r="E901" s="274"/>
      <c r="F901" s="275"/>
      <c r="G901" s="139" t="s">
        <v>39</v>
      </c>
      <c r="H901" s="140" t="s">
        <v>40</v>
      </c>
    </row>
    <row r="902" spans="1:8">
      <c r="E902" s="274"/>
      <c r="F902" s="278"/>
      <c r="G902" s="259"/>
      <c r="H902" s="260"/>
    </row>
    <row r="903" spans="1:8">
      <c r="E903" s="274"/>
      <c r="F903" s="275" t="s">
        <v>1035</v>
      </c>
      <c r="G903" s="276"/>
      <c r="H903" s="277"/>
    </row>
    <row r="904" spans="1:8">
      <c r="E904" s="274"/>
      <c r="F904" s="275"/>
      <c r="G904" s="139" t="s">
        <v>39</v>
      </c>
      <c r="H904" s="140" t="s">
        <v>40</v>
      </c>
    </row>
    <row r="905" spans="1:8">
      <c r="E905" s="274"/>
      <c r="F905" s="283"/>
      <c r="G905" s="259" t="s">
        <v>1030</v>
      </c>
      <c r="H905" s="260" t="s">
        <v>63</v>
      </c>
    </row>
    <row r="906" ht="14.55" spans="1:8">
      <c r="E906" s="284"/>
      <c r="F906" s="285" t="s">
        <v>1031</v>
      </c>
      <c r="G906" s="286"/>
      <c r="H906" s="287"/>
    </row>
    <row r="907" spans="1:8">
      <c r="A907" s="288"/>
    </row>
  </sheetData>
  <mergeCells count="80">
    <mergeCell ref="J562:L562"/>
    <mergeCell ref="N562:P562"/>
    <mergeCell ref="R562:T562"/>
    <mergeCell ref="V562:X562"/>
    <mergeCell ref="Z562:AB562"/>
    <mergeCell ref="AD562:AF562"/>
    <mergeCell ref="AH562:AJ562"/>
    <mergeCell ref="AL562:AN562"/>
    <mergeCell ref="AP562:AR562"/>
    <mergeCell ref="AT562:AV562"/>
    <mergeCell ref="AX562:AZ562"/>
    <mergeCell ref="BB562:BD562"/>
    <mergeCell ref="BF562:BH562"/>
    <mergeCell ref="BJ562:BL562"/>
    <mergeCell ref="BN562:BP562"/>
    <mergeCell ref="BR562:BT562"/>
    <mergeCell ref="J563:L563"/>
    <mergeCell ref="N563:P563"/>
    <mergeCell ref="R563:T563"/>
    <mergeCell ref="V563:X563"/>
    <mergeCell ref="Z563:AB563"/>
    <mergeCell ref="AD563:AF563"/>
    <mergeCell ref="AH563:AJ563"/>
    <mergeCell ref="AL563:AN563"/>
    <mergeCell ref="AP563:AR563"/>
    <mergeCell ref="AT563:AV563"/>
    <mergeCell ref="AX563:AZ563"/>
    <mergeCell ref="BB563:BD563"/>
    <mergeCell ref="BF563:BH563"/>
    <mergeCell ref="BJ563:BL563"/>
    <mergeCell ref="BN563:BP563"/>
    <mergeCell ref="BR563:BT563"/>
    <mergeCell ref="J564:L564"/>
    <mergeCell ref="N564:P564"/>
    <mergeCell ref="R564:T564"/>
    <mergeCell ref="V564:X564"/>
    <mergeCell ref="Z564:AB564"/>
    <mergeCell ref="AD564:AF564"/>
    <mergeCell ref="AH564:AJ564"/>
    <mergeCell ref="AL564:AN564"/>
    <mergeCell ref="AP564:AR564"/>
    <mergeCell ref="AT564:AV564"/>
    <mergeCell ref="AX564:AZ564"/>
    <mergeCell ref="BB564:BD564"/>
    <mergeCell ref="BF564:BH564"/>
    <mergeCell ref="BJ564:BL564"/>
    <mergeCell ref="BN564:BP564"/>
    <mergeCell ref="BR564:BT564"/>
    <mergeCell ref="J565:L565"/>
    <mergeCell ref="N565:P565"/>
    <mergeCell ref="R565:T565"/>
    <mergeCell ref="V565:X565"/>
    <mergeCell ref="Z565:AB565"/>
    <mergeCell ref="AD565:AF565"/>
    <mergeCell ref="AH565:AJ565"/>
    <mergeCell ref="AL565:AN565"/>
    <mergeCell ref="AP565:AR565"/>
    <mergeCell ref="AT565:AV565"/>
    <mergeCell ref="AX565:AZ565"/>
    <mergeCell ref="BB565:BD565"/>
    <mergeCell ref="BF565:BH565"/>
    <mergeCell ref="BJ565:BL565"/>
    <mergeCell ref="BN565:BP565"/>
    <mergeCell ref="BR565:BT565"/>
    <mergeCell ref="J566:L566"/>
    <mergeCell ref="N566:P566"/>
    <mergeCell ref="R566:T566"/>
    <mergeCell ref="V566:X566"/>
    <mergeCell ref="Z566:AB566"/>
    <mergeCell ref="AD566:AF566"/>
    <mergeCell ref="AH566:AJ566"/>
    <mergeCell ref="AL566:AN566"/>
    <mergeCell ref="AP566:AR566"/>
    <mergeCell ref="AT566:AV566"/>
    <mergeCell ref="AX566:AZ566"/>
    <mergeCell ref="BB566:BD566"/>
    <mergeCell ref="BF566:BH566"/>
    <mergeCell ref="BJ566:BL566"/>
    <mergeCell ref="BN566:BP566"/>
    <mergeCell ref="BR566:BT566"/>
  </mergeCells>
  <pageMargins left="0.75" right="0.75" top="1" bottom="1" header="0.512" footer="0.512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R34"/>
  <sheetViews>
    <sheetView showGridLines="0" tabSelected="1" workbookViewId="0">
      <pane xSplit="3" ySplit="8" topLeftCell="D9" activePane="bottomRight" state="frozen"/>
      <selection/>
      <selection pane="topRight"/>
      <selection pane="bottomLeft"/>
      <selection pane="bottomRight" activeCell="B35" sqref="B35"/>
    </sheetView>
  </sheetViews>
  <sheetFormatPr defaultColWidth="20.6296296296296" defaultRowHeight="13.2"/>
  <cols>
    <col min="1" max="1" width="1.5" style="29" customWidth="1"/>
    <col min="2" max="2" width="16.5" style="30" customWidth="1"/>
    <col min="3" max="3" width="10.1111111111111" style="31" customWidth="1"/>
    <col min="4" max="4" width="70.6296296296296" style="30" customWidth="1"/>
    <col min="5" max="6" width="39.5" style="30" customWidth="1"/>
    <col min="7" max="7" width="8" style="31" customWidth="1"/>
    <col min="8" max="8" width="8" style="30" customWidth="1"/>
    <col min="9" max="9" width="6.25" style="30" customWidth="1"/>
    <col min="10" max="10" width="8" style="30" customWidth="1"/>
    <col min="11" max="11" width="7.62962962962963" style="30" customWidth="1"/>
    <col min="12" max="12" width="7.37962962962963" style="30" customWidth="1"/>
    <col min="13" max="13" width="10" style="30" customWidth="1"/>
    <col min="14" max="14" width="10.1296296296296" style="30" customWidth="1"/>
    <col min="15" max="15" width="7.37962962962963" style="30" customWidth="1"/>
    <col min="16" max="16" width="10" style="30" customWidth="1"/>
    <col min="17" max="17" width="10.75" style="30" customWidth="1"/>
    <col min="18" max="18" width="13.25" style="30" customWidth="1"/>
    <col min="19" max="19" width="12.6296296296296" style="30" customWidth="1"/>
    <col min="20" max="20" width="15.75" style="30" customWidth="1"/>
    <col min="21" max="21" width="10" style="30" customWidth="1"/>
    <col min="22" max="22" width="10" style="32" customWidth="1"/>
    <col min="23" max="23" width="12.3796296296296" style="32" customWidth="1"/>
    <col min="24" max="24" width="12.3796296296296" style="30" customWidth="1"/>
    <col min="25" max="25" width="1" style="30" customWidth="1"/>
    <col min="26" max="26" width="7.5" style="30" customWidth="1"/>
    <col min="27" max="27" width="11.25" style="30" customWidth="1"/>
    <col min="28" max="28" width="9.12962962962963" style="30" hidden="1" customWidth="1"/>
    <col min="29" max="29" width="9.12962962962963" style="30" customWidth="1"/>
    <col min="30" max="35" width="9.12962962962963" style="30" hidden="1" customWidth="1"/>
    <col min="36" max="39" width="14.5" style="30" customWidth="1"/>
    <col min="40" max="40" width="10.1296296296296" style="30" customWidth="1"/>
    <col min="41" max="41" width="10" style="30" customWidth="1"/>
    <col min="42" max="42" width="11.25" style="30" customWidth="1"/>
    <col min="43" max="46" width="14.5" style="30" customWidth="1"/>
    <col min="47" max="48" width="10" style="30" customWidth="1"/>
    <col min="49" max="49" width="1" style="30" customWidth="1"/>
    <col min="50" max="53" width="16.6296296296296" style="30" customWidth="1"/>
    <col min="54" max="54" width="1" style="30" customWidth="1"/>
    <col min="55" max="55" width="11.3796296296296" style="30" customWidth="1"/>
    <col min="56" max="56" width="1" style="30" customWidth="1"/>
    <col min="57" max="62" width="6.75" style="30" customWidth="1"/>
    <col min="63" max="63" width="1" style="30" customWidth="1"/>
    <col min="64" max="65" width="9.25" style="30" customWidth="1"/>
    <col min="66" max="66" width="8.12962962962963" style="30" customWidth="1"/>
    <col min="67" max="67" width="5.37962962962963" style="30" customWidth="1"/>
    <col min="68" max="68" width="10" style="30" customWidth="1"/>
    <col min="69" max="69" width="4.37962962962963" style="30" customWidth="1"/>
    <col min="70" max="70" width="10" style="30" customWidth="1"/>
    <col min="71" max="71" width="4.37962962962963" style="30" customWidth="1"/>
    <col min="72" max="72" width="10" style="30" customWidth="1"/>
    <col min="73" max="73" width="4.87962962962963" style="27" customWidth="1"/>
    <col min="74" max="74" width="10" style="30" customWidth="1"/>
    <col min="75" max="75" width="4.37962962962963" style="30" customWidth="1"/>
    <col min="76" max="76" width="10" style="30" customWidth="1"/>
    <col min="77" max="77" width="6.87962962962963" style="30" hidden="1" customWidth="1"/>
    <col min="78" max="78" width="7.12962962962963" style="30" hidden="1" customWidth="1"/>
    <col min="79" max="79" width="1" style="30" customWidth="1"/>
    <col min="80" max="80" width="11.25" style="30" customWidth="1"/>
    <col min="81" max="81" width="1" style="30" customWidth="1"/>
    <col min="82" max="82" width="10.8796296296296" style="30" customWidth="1"/>
    <col min="83" max="83" width="11.6296296296296" style="30" customWidth="1"/>
    <col min="84" max="84" width="10.8796296296296" style="30" customWidth="1"/>
    <col min="85" max="85" width="11.6296296296296" style="30" customWidth="1"/>
    <col min="86" max="86" width="1" style="30" customWidth="1"/>
    <col min="87" max="88" width="16" style="30" customWidth="1"/>
    <col min="89" max="89" width="1" style="30" customWidth="1"/>
    <col min="90" max="90" width="12.1296296296296" style="30" customWidth="1"/>
    <col min="91" max="91" width="1" style="30" customWidth="1"/>
    <col min="92" max="92" width="16" style="30" customWidth="1"/>
    <col min="93" max="122" width="1.62962962962963" style="30" customWidth="1"/>
    <col min="123" max="16384" width="20.6296296296296" style="30"/>
  </cols>
  <sheetData>
    <row r="1" spans="1:122"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33"/>
      <c r="AQ1" s="29"/>
      <c r="AR1" s="33"/>
      <c r="AS1" s="33"/>
      <c r="AT1" s="33"/>
      <c r="AU1" s="29"/>
      <c r="AV1" s="29"/>
      <c r="AW1" s="33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</row>
    <row r="2" spans="1:122"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</row>
    <row r="3" spans="1:122"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X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</row>
    <row r="4" spans="1:122"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</row>
    <row r="5" ht="21" spans="1:122">
      <c r="A5"/>
      <c r="B5" s="34" t="s">
        <v>1036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U5" s="30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s="25" customFormat="1" spans="1:122">
      <c r="A6"/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 t="s">
        <v>1037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9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40" t="s">
        <v>1038</v>
      </c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2"/>
      <c r="BY6" s="43"/>
      <c r="BZ6" s="44"/>
      <c r="CB6" s="27"/>
      <c r="CE6" s="36"/>
      <c r="CF6" s="36"/>
      <c r="CG6" s="36"/>
      <c r="CH6" s="36"/>
      <c r="CJ6" s="36"/>
      <c r="CK6" s="36"/>
      <c r="CL6" s="36"/>
      <c r="CM6" s="36"/>
      <c r="CN6" s="36"/>
    </row>
    <row r="7" s="26" customFormat="1" ht="16.5" customHeight="1" spans="1:122">
      <c r="A7"/>
      <c r="B7" s="45" t="s">
        <v>1039</v>
      </c>
      <c r="C7" s="45" t="s">
        <v>1040</v>
      </c>
      <c r="D7" s="46" t="s">
        <v>1041</v>
      </c>
      <c r="E7" s="47" t="s">
        <v>1042</v>
      </c>
      <c r="F7" s="48"/>
      <c r="G7" s="47" t="s">
        <v>1043</v>
      </c>
      <c r="H7" s="48"/>
      <c r="I7" s="46" t="s">
        <v>1044</v>
      </c>
      <c r="J7" s="46" t="s">
        <v>1045</v>
      </c>
      <c r="K7" s="46" t="s">
        <v>1046</v>
      </c>
      <c r="L7" s="47" t="s">
        <v>1047</v>
      </c>
      <c r="M7" s="49"/>
      <c r="N7" s="48"/>
      <c r="O7" s="47" t="s">
        <v>1048</v>
      </c>
      <c r="P7" s="49"/>
      <c r="Q7" s="48"/>
      <c r="R7" s="47" t="s">
        <v>1047</v>
      </c>
      <c r="S7" s="49"/>
      <c r="T7" s="47" t="s">
        <v>1048</v>
      </c>
      <c r="U7" s="46" t="s">
        <v>1049</v>
      </c>
      <c r="V7" s="50" t="s">
        <v>1050</v>
      </c>
      <c r="W7" s="46" t="s">
        <v>1051</v>
      </c>
      <c r="X7" s="46" t="s">
        <v>1052</v>
      </c>
      <c r="Z7" s="51" t="s">
        <v>1053</v>
      </c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3"/>
      <c r="AP7" s="51" t="s">
        <v>1054</v>
      </c>
      <c r="AQ7" s="52"/>
      <c r="AR7" s="52"/>
      <c r="AS7" s="52"/>
      <c r="AT7" s="52"/>
      <c r="AU7" s="52"/>
      <c r="AV7" s="53"/>
      <c r="BE7" s="54" t="s">
        <v>1055</v>
      </c>
      <c r="BF7" s="55"/>
      <c r="BG7" s="47" t="s">
        <v>1056</v>
      </c>
      <c r="BH7" s="48"/>
      <c r="BI7" s="47" t="s">
        <v>1057</v>
      </c>
      <c r="BJ7" s="48"/>
      <c r="BL7" s="54" t="s">
        <v>1058</v>
      </c>
      <c r="BM7" s="55"/>
      <c r="BN7" s="54" t="s">
        <v>1059</v>
      </c>
      <c r="BO7" s="56"/>
      <c r="BP7" s="55"/>
      <c r="BQ7" s="54" t="s">
        <v>1060</v>
      </c>
      <c r="BR7" s="55"/>
      <c r="BS7" s="54" t="s">
        <v>1061</v>
      </c>
      <c r="BT7" s="55"/>
      <c r="BU7" s="54" t="s">
        <v>1062</v>
      </c>
      <c r="BV7" s="55"/>
      <c r="BW7" s="54" t="s">
        <v>1063</v>
      </c>
      <c r="BX7" s="55"/>
      <c r="BY7" s="57"/>
      <c r="BZ7" s="57"/>
      <c r="CA7" s="27"/>
    </row>
    <row r="8" s="26" customFormat="1" ht="36" spans="1:122">
      <c r="A8" s="58"/>
      <c r="B8" s="59"/>
      <c r="C8" s="59"/>
      <c r="D8" s="60"/>
      <c r="E8" s="57" t="s">
        <v>1064</v>
      </c>
      <c r="F8" s="57" t="s">
        <v>1065</v>
      </c>
      <c r="G8" s="57" t="s">
        <v>1066</v>
      </c>
      <c r="H8" s="57" t="s">
        <v>1067</v>
      </c>
      <c r="I8" s="60"/>
      <c r="J8" s="60"/>
      <c r="K8" s="60"/>
      <c r="L8" s="57" t="s">
        <v>1068</v>
      </c>
      <c r="M8" s="57" t="s">
        <v>1069</v>
      </c>
      <c r="N8" s="57" t="s">
        <v>1070</v>
      </c>
      <c r="O8" s="46" t="s">
        <v>1068</v>
      </c>
      <c r="P8" s="46" t="s">
        <v>1069</v>
      </c>
      <c r="Q8" s="46" t="s">
        <v>1070</v>
      </c>
      <c r="R8" s="46" t="s">
        <v>1071</v>
      </c>
      <c r="S8" s="46" t="s">
        <v>1072</v>
      </c>
      <c r="T8" s="61" t="s">
        <v>1071</v>
      </c>
      <c r="U8" s="60"/>
      <c r="V8" s="62"/>
      <c r="W8" s="60"/>
      <c r="X8" s="60"/>
      <c r="Y8" s="26" t="s">
        <v>1073</v>
      </c>
      <c r="Z8" s="63" t="s">
        <v>1074</v>
      </c>
      <c r="AA8" s="57" t="s">
        <v>1075</v>
      </c>
      <c r="AB8" s="54"/>
      <c r="AC8" s="54" t="s">
        <v>1076</v>
      </c>
      <c r="AD8" s="54"/>
      <c r="AE8" s="54"/>
      <c r="AF8" s="57"/>
      <c r="AG8" s="54"/>
      <c r="AH8" s="54"/>
      <c r="AI8" s="57"/>
      <c r="AJ8" s="54" t="s">
        <v>1077</v>
      </c>
      <c r="AK8" s="54" t="s">
        <v>1078</v>
      </c>
      <c r="AL8" s="54" t="s">
        <v>1079</v>
      </c>
      <c r="AM8" s="54" t="s">
        <v>1080</v>
      </c>
      <c r="AN8" s="47" t="s">
        <v>1081</v>
      </c>
      <c r="AO8" s="64"/>
      <c r="AP8" s="57" t="s">
        <v>1075</v>
      </c>
      <c r="AQ8" s="54" t="s">
        <v>1077</v>
      </c>
      <c r="AR8" s="54" t="s">
        <v>1078</v>
      </c>
      <c r="AS8" s="54" t="s">
        <v>1079</v>
      </c>
      <c r="AT8" s="54" t="s">
        <v>1080</v>
      </c>
      <c r="AU8" s="54" t="s">
        <v>1081</v>
      </c>
      <c r="AV8" s="65"/>
      <c r="AW8" s="26" t="s">
        <v>1082</v>
      </c>
      <c r="AX8" s="57" t="s">
        <v>1083</v>
      </c>
      <c r="AY8" s="57" t="s">
        <v>1084</v>
      </c>
      <c r="AZ8" s="57" t="s">
        <v>1085</v>
      </c>
      <c r="BA8" s="57" t="s">
        <v>1086</v>
      </c>
      <c r="BC8" s="57" t="s">
        <v>1087</v>
      </c>
      <c r="BE8" s="63" t="s">
        <v>1066</v>
      </c>
      <c r="BF8" s="63" t="s">
        <v>1067</v>
      </c>
      <c r="BG8" s="63" t="s">
        <v>1066</v>
      </c>
      <c r="BH8" s="63" t="s">
        <v>1067</v>
      </c>
      <c r="BI8" s="63" t="s">
        <v>1066</v>
      </c>
      <c r="BJ8" s="63" t="s">
        <v>1067</v>
      </c>
      <c r="BK8" s="66" t="s">
        <v>1088</v>
      </c>
      <c r="BL8" s="67" t="s">
        <v>1089</v>
      </c>
      <c r="BM8" s="57" t="s">
        <v>1090</v>
      </c>
      <c r="BN8" s="67" t="s">
        <v>1089</v>
      </c>
      <c r="BO8" s="67" t="s">
        <v>1091</v>
      </c>
      <c r="BP8" s="57" t="s">
        <v>1092</v>
      </c>
      <c r="BQ8" s="57" t="s">
        <v>1093</v>
      </c>
      <c r="BR8" s="57" t="s">
        <v>1094</v>
      </c>
      <c r="BS8" s="57" t="s">
        <v>1093</v>
      </c>
      <c r="BT8" s="57" t="s">
        <v>1094</v>
      </c>
      <c r="BU8" s="57" t="s">
        <v>1093</v>
      </c>
      <c r="BV8" s="57" t="s">
        <v>1094</v>
      </c>
      <c r="BW8" s="57" t="s">
        <v>1093</v>
      </c>
      <c r="BX8" s="57" t="s">
        <v>1094</v>
      </c>
      <c r="BY8" s="57"/>
      <c r="BZ8" s="57"/>
      <c r="CA8" s="66" t="s">
        <v>1095</v>
      </c>
      <c r="CB8" s="57" t="s">
        <v>1096</v>
      </c>
      <c r="CD8" s="57" t="s">
        <v>1097</v>
      </c>
      <c r="CE8" s="57" t="s">
        <v>1098</v>
      </c>
      <c r="CF8" s="57" t="s">
        <v>1099</v>
      </c>
      <c r="CG8" s="57" t="s">
        <v>1100</v>
      </c>
      <c r="CI8" s="68" t="s">
        <v>1101</v>
      </c>
      <c r="CJ8" s="68" t="s">
        <v>1102</v>
      </c>
      <c r="CL8" s="68" t="s">
        <v>1103</v>
      </c>
      <c r="CN8" s="68" t="s">
        <v>1104</v>
      </c>
      <c r="CZ8" s="33"/>
    </row>
    <row r="9" s="27" customFormat="1" spans="1:122">
      <c r="A9" s="58"/>
      <c r="B9" s="69" t="s">
        <v>1105</v>
      </c>
      <c r="C9" s="70" t="s">
        <v>1106</v>
      </c>
      <c r="D9" s="71" t="s">
        <v>722</v>
      </c>
      <c r="E9" s="72" t="s">
        <v>8</v>
      </c>
      <c r="F9" s="72" t="s">
        <v>8</v>
      </c>
      <c r="G9" s="72">
        <v>8192</v>
      </c>
      <c r="H9" s="72">
        <v>6144</v>
      </c>
      <c r="I9" s="72">
        <v>3</v>
      </c>
      <c r="J9" s="72" t="s">
        <v>1107</v>
      </c>
      <c r="K9" s="73">
        <v>24</v>
      </c>
      <c r="L9" s="73">
        <v>3</v>
      </c>
      <c r="M9" s="73">
        <v>300</v>
      </c>
      <c r="N9" s="74">
        <f t="shared" ref="N9:N26" si="0">K9/L9*M9</f>
        <v>2400</v>
      </c>
      <c r="O9" s="73">
        <v>3</v>
      </c>
      <c r="P9" s="73">
        <v>255</v>
      </c>
      <c r="Q9" s="74">
        <f t="shared" ref="Q9:Q26" si="1">IF(CB9="single","-",K9/O9*P9)</f>
        <v>2040</v>
      </c>
      <c r="R9" s="75">
        <f t="shared" ref="R9:R26" si="2">N9/BL9*IF(BW9=14,16/7,1)/IF(J9="RAW12",12,IF(J9="RAW14",14,10))*I9</f>
        <v>1645.71428571429</v>
      </c>
      <c r="S9" s="75">
        <f t="shared" ref="S9:S26" si="3">ROUNDUP(K9/L9*M9/BL9,2)</f>
        <v>2400</v>
      </c>
      <c r="T9" s="75">
        <f t="shared" ref="T9:T26" si="4">BP9*8</f>
        <v>1360</v>
      </c>
      <c r="U9" s="75">
        <f>ROUNDDOWN(IF(BA9="-",BP9*10^6/AZ9*8,K9*10^6/BA9)/(AX9*IF(AY9="-",1,IF(RIGHT(C9,10)="LB-MF_auto",1,AY9))+IF(C9="2exp LB-MF_manual",AX10,0)+IF(C9="3exp LB-MF_manual",AX10+AX11,0)),2)</f>
        <v>15</v>
      </c>
      <c r="V9" s="75">
        <f>ROUNDDOWN(IF(BA9="-",BP9*10^6/AZ9*8,K9*10^6/BA9)/(Y9*IF(AY9="-",1,IF(RIGHT(C9,10)="LB-MF_auto",1,AY9))+IF(C9="2exp LB-MF_manual",Y10,0)+IF(C9="3exp LB-MF_manual",Y10+Y11,0)),2)</f>
        <v>15.45</v>
      </c>
      <c r="W9" s="76" t="s">
        <v>1108</v>
      </c>
      <c r="X9" s="76" t="s">
        <v>1109</v>
      </c>
      <c r="Y9" s="77">
        <v>6261</v>
      </c>
      <c r="Z9" s="78">
        <v>2</v>
      </c>
      <c r="AA9" s="78">
        <v>6144</v>
      </c>
      <c r="AB9" s="78"/>
      <c r="AC9" s="78" t="s">
        <v>8</v>
      </c>
      <c r="AD9" s="78"/>
      <c r="AE9" s="78"/>
      <c r="AF9" s="78"/>
      <c r="AG9" s="78"/>
      <c r="AH9" s="78"/>
      <c r="AI9" s="78"/>
      <c r="AJ9" s="78">
        <v>0</v>
      </c>
      <c r="AK9" s="78" t="s">
        <v>8</v>
      </c>
      <c r="AL9" s="78" t="s">
        <v>8</v>
      </c>
      <c r="AM9" s="78" t="s">
        <v>8</v>
      </c>
      <c r="AN9" s="79">
        <f>(BK9-((CG9-CF9+1)/BH9/BF9+Z9+AW9))*IF(AY9="-",1,IF(RIGHT(C9,10)="LB-MF_auto",1,AY9))-IF(AND(RIGHT(C9,3)="DOL",AY9=2),SUM(AB9:AI10),IF(AND(RIGHT(C9,3)="DOL",AY9=3),SUM(AB9:AI11),SUM(AB9:AI9)))</f>
        <v>215</v>
      </c>
      <c r="AO9" s="80">
        <f>ROUNDDOWN(IF(BA9="-",AZ9/8*(1/BP9/1000)*AN9,BA9*(1/K9/1000)*AN9),2)</f>
        <v>2.22</v>
      </c>
      <c r="AP9" s="72">
        <v>8192</v>
      </c>
      <c r="AQ9" s="72">
        <v>0</v>
      </c>
      <c r="AR9" s="72" t="s">
        <v>8</v>
      </c>
      <c r="AS9" s="72" t="s">
        <v>8</v>
      </c>
      <c r="AT9" s="72" t="s">
        <v>8</v>
      </c>
      <c r="AU9" s="79">
        <f t="shared" ref="AU9:AU26" si="5">IF(AP9="-","-",ROUNDDOWN(IF(BA9="-",AZ9/8/BP9,BA9/K9)*R9-AP9-IF(AQ9="-",0,AQ9/4)*CA9-100,0))</f>
        <v>8713</v>
      </c>
      <c r="AV9" s="81">
        <f t="shared" ref="AV9:AV26" si="6">IF(AP9="-","-",ROUNDDOWN((IF(BA9="-",AZ9/8/BP9,BA9/K9)*R9-AP9-IF(AQ9="-",0,AQ9/4)*CA9-100)/R9,2))</f>
        <v>5.29</v>
      </c>
      <c r="AW9" s="77">
        <v>90</v>
      </c>
      <c r="AX9" s="72">
        <v>6451</v>
      </c>
      <c r="AY9" s="72" t="s">
        <v>8</v>
      </c>
      <c r="AZ9" s="72">
        <v>14032</v>
      </c>
      <c r="BA9" s="72">
        <v>248</v>
      </c>
      <c r="BB9" s="77"/>
      <c r="BC9" s="81">
        <f t="shared" ref="BC9:BC26" si="7">ROUNDDOWN(IF(BA9="-",AZ9/8/BP9,BA9/K9),2)</f>
        <v>10.33</v>
      </c>
      <c r="BD9" s="77"/>
      <c r="BE9" s="72">
        <v>1</v>
      </c>
      <c r="BF9" s="72">
        <v>1</v>
      </c>
      <c r="BG9" s="72">
        <v>1</v>
      </c>
      <c r="BH9" s="72">
        <v>1</v>
      </c>
      <c r="BI9" s="82">
        <v>1</v>
      </c>
      <c r="BJ9" s="82">
        <v>1</v>
      </c>
      <c r="BK9" s="83">
        <v>6451</v>
      </c>
      <c r="BL9" s="73">
        <v>1</v>
      </c>
      <c r="BM9" s="74">
        <f t="shared" ref="BM9:BM26" si="8">N9/BL9</f>
        <v>2400</v>
      </c>
      <c r="BN9" s="73">
        <v>2</v>
      </c>
      <c r="BO9" s="73">
        <v>6</v>
      </c>
      <c r="BP9" s="74">
        <f t="shared" ref="BP9:BP26" si="9">IF(CB9="single",N9,Q9)/BN9/BO9</f>
        <v>170</v>
      </c>
      <c r="BQ9" s="73">
        <v>2</v>
      </c>
      <c r="BR9" s="84">
        <f t="shared" ref="BR9:BR26" si="10">IF(CB9="single",N9,Q9)/BQ9</f>
        <v>1020</v>
      </c>
      <c r="BS9" s="73">
        <v>6</v>
      </c>
      <c r="BT9" s="84">
        <f t="shared" ref="BT9:BT26" si="11">BP9/BS9</f>
        <v>28.3333333333333</v>
      </c>
      <c r="BU9" s="85">
        <v>2</v>
      </c>
      <c r="BV9" s="84">
        <f t="shared" ref="BV9:BV26" si="12">BP9/BU9</f>
        <v>85</v>
      </c>
      <c r="BW9" s="85">
        <v>14</v>
      </c>
      <c r="BX9" s="84">
        <f t="shared" ref="BX9:BX26" si="13">N9/BL9/BW9</f>
        <v>171.428571428571</v>
      </c>
      <c r="BY9" s="85"/>
      <c r="BZ9" s="84"/>
      <c r="CA9" s="83">
        <v>0</v>
      </c>
      <c r="CB9" s="72" t="s">
        <v>1110</v>
      </c>
      <c r="CC9" s="86"/>
      <c r="CD9" s="87">
        <v>0</v>
      </c>
      <c r="CE9" s="87">
        <v>8191</v>
      </c>
      <c r="CF9" s="87">
        <v>0</v>
      </c>
      <c r="CG9" s="87">
        <v>6143</v>
      </c>
      <c r="CH9" s="86"/>
      <c r="CI9" s="73">
        <v>8192</v>
      </c>
      <c r="CJ9" s="72">
        <v>6144</v>
      </c>
      <c r="CK9" s="86"/>
      <c r="CL9" s="72" t="s">
        <v>8</v>
      </c>
      <c r="CM9" s="86"/>
      <c r="CN9" s="72" t="s">
        <v>8</v>
      </c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33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</row>
    <row r="10" s="27" customFormat="1" spans="1:122">
      <c r="A10" s="58"/>
      <c r="B10" s="69">
        <v>1</v>
      </c>
      <c r="C10" s="70" t="s">
        <v>1106</v>
      </c>
      <c r="D10" s="71" t="s">
        <v>723</v>
      </c>
      <c r="E10" s="72" t="s">
        <v>1111</v>
      </c>
      <c r="F10" s="72" t="s">
        <v>1111</v>
      </c>
      <c r="G10" s="72">
        <v>4096</v>
      </c>
      <c r="H10" s="72">
        <v>3072</v>
      </c>
      <c r="I10" s="72">
        <v>3</v>
      </c>
      <c r="J10" s="72" t="s">
        <v>1107</v>
      </c>
      <c r="K10" s="73">
        <v>24</v>
      </c>
      <c r="L10" s="73">
        <v>3</v>
      </c>
      <c r="M10" s="73">
        <v>300</v>
      </c>
      <c r="N10" s="74">
        <f t="shared" si="0"/>
        <v>2400</v>
      </c>
      <c r="O10" s="73">
        <v>3</v>
      </c>
      <c r="P10" s="73">
        <v>255</v>
      </c>
      <c r="Q10" s="74">
        <f t="shared" si="1"/>
        <v>2040</v>
      </c>
      <c r="R10" s="75">
        <f t="shared" si="2"/>
        <v>1645.71428571429</v>
      </c>
      <c r="S10" s="75">
        <f t="shared" si="3"/>
        <v>2400</v>
      </c>
      <c r="T10" s="75">
        <f t="shared" si="4"/>
        <v>1360</v>
      </c>
      <c r="U10" s="75">
        <f>ROUNDDOWN(IF(BA10="-",BP10*10^6/AZ10*8,K10*10^6/BA10)/(AX10*IF(AY10="-",1,IF(RIGHT(C10,10)="LB-MF_auto",1,AY10))+IF(C10="2exp LB-MF_manual",AX11,0)+IF(C10="3exp LB-MF_manual",AX11+AX12,0)),2)</f>
        <v>30</v>
      </c>
      <c r="V10" s="75">
        <f>ROUNDDOWN(IF(BA10="-",BP10*10^6/AZ10*8,K10*10^6/BA10)/(Y10*IF(AY10="-",1,IF(RIGHT(C10,10)="LB-MF_auto",1,AY10))+IF(C10="2exp LB-MF_manual",Y11,0)+IF(C10="3exp LB-MF_manual",Y11+Y12,0)),2)</f>
        <v>36.27</v>
      </c>
      <c r="W10" s="76" t="s">
        <v>1108</v>
      </c>
      <c r="X10" s="76" t="s">
        <v>1112</v>
      </c>
      <c r="Y10" s="77">
        <v>3136</v>
      </c>
      <c r="Z10" s="78">
        <v>2</v>
      </c>
      <c r="AA10" s="78">
        <v>3072</v>
      </c>
      <c r="AB10" s="78"/>
      <c r="AC10" s="78" t="s">
        <v>8</v>
      </c>
      <c r="AD10" s="78"/>
      <c r="AE10" s="78"/>
      <c r="AF10" s="78"/>
      <c r="AG10" s="78"/>
      <c r="AH10" s="78"/>
      <c r="AI10" s="78"/>
      <c r="AJ10" s="78">
        <v>768</v>
      </c>
      <c r="AK10" s="78" t="s">
        <v>8</v>
      </c>
      <c r="AL10" s="78" t="s">
        <v>8</v>
      </c>
      <c r="AM10" s="78" t="s">
        <v>8</v>
      </c>
      <c r="AN10" s="79">
        <f>(BK10-((CG10-CF10+1)/BH10/BF10+Z10+AW10))*IF(AY10="-",1,IF(RIGHT(C10,10)="LB-MF_auto",1,AY10))-IF(AND(RIGHT(C10,3)="DOL",AY10=2),SUM(AB10:AI11),IF(AND(RIGHT(C10,3)="DOL",AY10=3),SUM(AB10:AI12),SUM(AB10:AI10)))</f>
        <v>669</v>
      </c>
      <c r="AO10" s="80">
        <f>ROUNDDOWN(IF(BA10="-",AZ10/8*(1/BP10/1000)*AN10,BA10*(1/K10/1000)*AN10),2)</f>
        <v>5.88</v>
      </c>
      <c r="AP10" s="72">
        <v>4096</v>
      </c>
      <c r="AQ10" s="72">
        <v>4096</v>
      </c>
      <c r="AR10" s="72" t="s">
        <v>8</v>
      </c>
      <c r="AS10" s="72" t="s">
        <v>8</v>
      </c>
      <c r="AT10" s="72" t="s">
        <v>8</v>
      </c>
      <c r="AU10" s="79">
        <f t="shared" si="5"/>
        <v>9248</v>
      </c>
      <c r="AV10" s="81">
        <f t="shared" si="6"/>
        <v>5.61</v>
      </c>
      <c r="AW10" s="77">
        <v>48</v>
      </c>
      <c r="AX10" s="72">
        <v>3791</v>
      </c>
      <c r="AY10" s="72" t="s">
        <v>8</v>
      </c>
      <c r="AZ10" s="72">
        <v>11904</v>
      </c>
      <c r="BA10" s="72">
        <v>211</v>
      </c>
      <c r="BB10" s="77"/>
      <c r="BC10" s="81">
        <f t="shared" si="7"/>
        <v>8.79</v>
      </c>
      <c r="BD10" s="77"/>
      <c r="BE10" s="72">
        <v>1</v>
      </c>
      <c r="BF10" s="72">
        <v>1</v>
      </c>
      <c r="BG10" s="72">
        <v>2</v>
      </c>
      <c r="BH10" s="72">
        <v>2</v>
      </c>
      <c r="BI10" s="82">
        <v>1</v>
      </c>
      <c r="BJ10" s="82">
        <v>1</v>
      </c>
      <c r="BK10" s="83">
        <v>3791</v>
      </c>
      <c r="BL10" s="73">
        <v>1</v>
      </c>
      <c r="BM10" s="74">
        <f t="shared" si="8"/>
        <v>2400</v>
      </c>
      <c r="BN10" s="73">
        <v>2</v>
      </c>
      <c r="BO10" s="73">
        <v>6</v>
      </c>
      <c r="BP10" s="74">
        <f t="shared" si="9"/>
        <v>170</v>
      </c>
      <c r="BQ10" s="73">
        <v>2</v>
      </c>
      <c r="BR10" s="84">
        <f t="shared" si="10"/>
        <v>1020</v>
      </c>
      <c r="BS10" s="73">
        <v>6</v>
      </c>
      <c r="BT10" s="84">
        <f t="shared" si="11"/>
        <v>28.3333333333333</v>
      </c>
      <c r="BU10" s="85">
        <v>2</v>
      </c>
      <c r="BV10" s="84">
        <f t="shared" si="12"/>
        <v>85</v>
      </c>
      <c r="BW10" s="85">
        <v>14</v>
      </c>
      <c r="BX10" s="84">
        <f t="shared" si="13"/>
        <v>171.428571428571</v>
      </c>
      <c r="BY10" s="85"/>
      <c r="BZ10" s="84"/>
      <c r="CA10" s="83">
        <v>1</v>
      </c>
      <c r="CB10" s="72" t="s">
        <v>1110</v>
      </c>
      <c r="CC10" s="86"/>
      <c r="CD10" s="87">
        <v>0</v>
      </c>
      <c r="CE10" s="87">
        <v>8191</v>
      </c>
      <c r="CF10" s="87">
        <v>0</v>
      </c>
      <c r="CG10" s="87">
        <v>6143</v>
      </c>
      <c r="CH10" s="86"/>
      <c r="CI10" s="73">
        <v>4096</v>
      </c>
      <c r="CJ10" s="72">
        <v>3072</v>
      </c>
      <c r="CK10" s="86"/>
      <c r="CL10" s="72" t="s">
        <v>8</v>
      </c>
      <c r="CM10" s="86"/>
      <c r="CN10" s="72" t="s">
        <v>8</v>
      </c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33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</row>
    <row r="11" s="27" customFormat="1" spans="1:122">
      <c r="A11" s="58"/>
      <c r="B11" s="69">
        <v>2</v>
      </c>
      <c r="C11" s="70" t="s">
        <v>1106</v>
      </c>
      <c r="D11" s="71" t="s">
        <v>722</v>
      </c>
      <c r="E11" s="72" t="s">
        <v>8</v>
      </c>
      <c r="F11" s="72" t="s">
        <v>8</v>
      </c>
      <c r="G11" s="72">
        <v>4096</v>
      </c>
      <c r="H11" s="72">
        <v>3072</v>
      </c>
      <c r="I11" s="72">
        <v>3</v>
      </c>
      <c r="J11" s="72" t="s">
        <v>1107</v>
      </c>
      <c r="K11" s="73">
        <v>24</v>
      </c>
      <c r="L11" s="73">
        <v>3</v>
      </c>
      <c r="M11" s="73">
        <v>300</v>
      </c>
      <c r="N11" s="74">
        <f t="shared" si="0"/>
        <v>2400</v>
      </c>
      <c r="O11" s="73">
        <v>3</v>
      </c>
      <c r="P11" s="73">
        <v>255</v>
      </c>
      <c r="Q11" s="74">
        <f t="shared" si="1"/>
        <v>2040</v>
      </c>
      <c r="R11" s="75">
        <f t="shared" si="2"/>
        <v>1645.71428571429</v>
      </c>
      <c r="S11" s="75">
        <f t="shared" si="3"/>
        <v>2400</v>
      </c>
      <c r="T11" s="75">
        <f t="shared" si="4"/>
        <v>1360</v>
      </c>
      <c r="U11" s="75">
        <f>ROUNDDOWN(IF(BA11="-",BP11*10^6/AZ11*8,K11*10^6/BA11)/(AX11*IF(AY11="-",1,IF(RIGHT(C11,10)="LB-MF_auto",1,AY11))+IF(C11="2exp LB-MF_manual",AX12,0)+IF(C11="3exp LB-MF_manual",AX12+AX13,0)),2)</f>
        <v>30</v>
      </c>
      <c r="V11" s="75">
        <f>ROUNDDOWN(IF(BA11="-",BP11*10^6/AZ11*8,K11*10^6/BA11)/(Y11*IF(AY11="-",1,IF(RIGHT(C11,10)="LB-MF_auto",1,AY11))+IF(C11="2exp LB-MF_manual",Y12,0)+IF(C11="3exp LB-MF_manual",Y12+Y13,0)),2)</f>
        <v>30.34</v>
      </c>
      <c r="W11" s="76" t="s">
        <v>1108</v>
      </c>
      <c r="X11" s="76" t="s">
        <v>1109</v>
      </c>
      <c r="Y11" s="77">
        <v>3189</v>
      </c>
      <c r="Z11" s="78">
        <v>2</v>
      </c>
      <c r="AA11" s="78">
        <v>3072</v>
      </c>
      <c r="AB11" s="78"/>
      <c r="AC11" s="78" t="s">
        <v>8</v>
      </c>
      <c r="AD11" s="78"/>
      <c r="AE11" s="78"/>
      <c r="AF11" s="78"/>
      <c r="AG11" s="78"/>
      <c r="AH11" s="78"/>
      <c r="AI11" s="78"/>
      <c r="AJ11" s="78">
        <v>1536</v>
      </c>
      <c r="AK11" s="78" t="s">
        <v>8</v>
      </c>
      <c r="AL11" s="78" t="s">
        <v>8</v>
      </c>
      <c r="AM11" s="78" t="s">
        <v>8</v>
      </c>
      <c r="AN11" s="79">
        <f>(BK11-((CG11-CF11+1)/BH11/BF11+Z11+AW11))*IF(AY11="-",1,IF(RIGHT(C11,10)="LB-MF_auto",1,AY11))-IF(AND(RIGHT(C11,3)="DOL",AY11=2),SUM(AB11:AI12),IF(AND(RIGHT(C11,3)="DOL",AY11=3),SUM(AB11:AI13),SUM(AB11:AI11)))</f>
        <v>61</v>
      </c>
      <c r="AO11" s="80">
        <f>ROUNDDOWN(IF(BA11="-",AZ11/8*(1/BP11/1000)*AN11,BA11*(1/K11/1000)*AN11),2)</f>
        <v>0.63</v>
      </c>
      <c r="AP11" s="72">
        <v>4096</v>
      </c>
      <c r="AQ11" s="72">
        <v>2048</v>
      </c>
      <c r="AR11" s="72" t="s">
        <v>8</v>
      </c>
      <c r="AS11" s="72" t="s">
        <v>8</v>
      </c>
      <c r="AT11" s="72" t="s">
        <v>8</v>
      </c>
      <c r="AU11" s="79">
        <f t="shared" si="5"/>
        <v>11785</v>
      </c>
      <c r="AV11" s="81">
        <f t="shared" si="6"/>
        <v>7.16</v>
      </c>
      <c r="AW11" s="77">
        <v>90</v>
      </c>
      <c r="AX11" s="72">
        <v>3225</v>
      </c>
      <c r="AY11" s="72" t="s">
        <v>8</v>
      </c>
      <c r="AZ11" s="72">
        <v>14032</v>
      </c>
      <c r="BA11" s="72">
        <v>248</v>
      </c>
      <c r="BB11" s="77"/>
      <c r="BC11" s="81">
        <f t="shared" si="7"/>
        <v>10.33</v>
      </c>
      <c r="BD11" s="77"/>
      <c r="BE11" s="72">
        <v>1</v>
      </c>
      <c r="BF11" s="72">
        <v>1</v>
      </c>
      <c r="BG11" s="72">
        <v>1</v>
      </c>
      <c r="BH11" s="72">
        <v>1</v>
      </c>
      <c r="BI11" s="82">
        <v>1</v>
      </c>
      <c r="BJ11" s="82">
        <v>1</v>
      </c>
      <c r="BK11" s="83">
        <v>3225</v>
      </c>
      <c r="BL11" s="73">
        <v>1</v>
      </c>
      <c r="BM11" s="74">
        <f t="shared" si="8"/>
        <v>2400</v>
      </c>
      <c r="BN11" s="73">
        <v>2</v>
      </c>
      <c r="BO11" s="73">
        <v>6</v>
      </c>
      <c r="BP11" s="74">
        <f t="shared" si="9"/>
        <v>170</v>
      </c>
      <c r="BQ11" s="73">
        <v>2</v>
      </c>
      <c r="BR11" s="84">
        <f t="shared" si="10"/>
        <v>1020</v>
      </c>
      <c r="BS11" s="73">
        <v>6</v>
      </c>
      <c r="BT11" s="84">
        <f t="shared" si="11"/>
        <v>28.3333333333333</v>
      </c>
      <c r="BU11" s="85">
        <v>2</v>
      </c>
      <c r="BV11" s="84">
        <f t="shared" si="12"/>
        <v>85</v>
      </c>
      <c r="BW11" s="85">
        <v>14</v>
      </c>
      <c r="BX11" s="84">
        <f t="shared" si="13"/>
        <v>171.428571428571</v>
      </c>
      <c r="BY11" s="85"/>
      <c r="BZ11" s="84"/>
      <c r="CA11" s="83">
        <v>2</v>
      </c>
      <c r="CB11" s="72" t="s">
        <v>1110</v>
      </c>
      <c r="CC11" s="86"/>
      <c r="CD11" s="87">
        <v>2048</v>
      </c>
      <c r="CE11" s="87">
        <v>6143</v>
      </c>
      <c r="CF11" s="87">
        <v>1536</v>
      </c>
      <c r="CG11" s="87">
        <v>4607</v>
      </c>
      <c r="CH11" s="86"/>
      <c r="CI11" s="73">
        <v>4096</v>
      </c>
      <c r="CJ11" s="72">
        <v>3072</v>
      </c>
      <c r="CK11" s="86"/>
      <c r="CL11" s="72" t="s">
        <v>8</v>
      </c>
      <c r="CM11" s="86"/>
      <c r="CN11" s="72" t="s">
        <v>8</v>
      </c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33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</row>
    <row r="12" s="27" customFormat="1" spans="1:122">
      <c r="A12" s="58"/>
      <c r="B12" s="88">
        <v>3</v>
      </c>
      <c r="C12" s="89" t="s">
        <v>1113</v>
      </c>
      <c r="D12" s="71" t="s">
        <v>724</v>
      </c>
      <c r="E12" s="72" t="s">
        <v>1111</v>
      </c>
      <c r="F12" s="72" t="s">
        <v>1111</v>
      </c>
      <c r="G12" s="72">
        <v>4096</v>
      </c>
      <c r="H12" s="72">
        <v>3072</v>
      </c>
      <c r="I12" s="72">
        <v>3</v>
      </c>
      <c r="J12" s="72" t="s">
        <v>1114</v>
      </c>
      <c r="K12" s="73">
        <v>24</v>
      </c>
      <c r="L12" s="73">
        <v>3</v>
      </c>
      <c r="M12" s="73">
        <v>300</v>
      </c>
      <c r="N12" s="74">
        <f t="shared" si="0"/>
        <v>2400</v>
      </c>
      <c r="O12" s="73">
        <v>3</v>
      </c>
      <c r="P12" s="73">
        <v>255</v>
      </c>
      <c r="Q12" s="74">
        <f t="shared" si="1"/>
        <v>2040</v>
      </c>
      <c r="R12" s="75">
        <f t="shared" si="2"/>
        <v>1371.42857142857</v>
      </c>
      <c r="S12" s="75">
        <f t="shared" si="3"/>
        <v>2400</v>
      </c>
      <c r="T12" s="75">
        <f t="shared" si="4"/>
        <v>1360</v>
      </c>
      <c r="U12" s="90">
        <f>ROUNDDOWN(IF(BA12="-",BP12*10^6/AZ12*8,K12*10^6/BA12)/(AX12*IF(AY12="-",1,IF(RIGHT(C12,10)="LB-MF_auto",1,AY12))+IF(C12="2exp LB-MF_manual",AX13,0)+IF(C12="3exp LB-MF_manual",AX13+AX14,0)),2)</f>
        <v>30</v>
      </c>
      <c r="V12" s="90">
        <f>ROUNDDOWN(IF(BA12="-",BP12*10^6/AZ12*8,K12*10^6/BA12)/(Y12*IF(AY12="-",1,IF(RIGHT(C12,10)="LB-MF_auto",1,AY12))+IF(C12="2exp LB-MF_manual",Y13,0)+IF(C12="3exp LB-MF_manual",Y13+Y14,0)),2)</f>
        <v>30.31</v>
      </c>
      <c r="W12" s="76" t="s">
        <v>1115</v>
      </c>
      <c r="X12" s="76" t="s">
        <v>1116</v>
      </c>
      <c r="Y12" s="77">
        <v>3142</v>
      </c>
      <c r="Z12" s="78">
        <v>2</v>
      </c>
      <c r="AA12" s="78">
        <v>3072</v>
      </c>
      <c r="AB12" s="78"/>
      <c r="AC12" s="78">
        <v>0</v>
      </c>
      <c r="AD12" s="78"/>
      <c r="AE12" s="78"/>
      <c r="AF12" s="78"/>
      <c r="AG12" s="78"/>
      <c r="AH12" s="78"/>
      <c r="AI12" s="78"/>
      <c r="AJ12" s="78" t="s">
        <v>8</v>
      </c>
      <c r="AK12" s="78" t="s">
        <v>8</v>
      </c>
      <c r="AL12" s="78">
        <v>0</v>
      </c>
      <c r="AM12" s="78">
        <v>752</v>
      </c>
      <c r="AN12" s="91">
        <f>(BK12-((CG12-CF12+1)/BH12/BF12+Z12+AW12))*IF(AY12="-",1,IF(RIGHT(C12,10)="LB-MF_auto",1,AY12))-IF(AND(RIGHT(C12,3)="DOL",AY12=2),SUM(AB12:AI13),IF(AND(RIGHT(C12,3)="DOL",AY12=3),SUM(AB12:AI14),SUM(AB12:AI12)))</f>
        <v>52</v>
      </c>
      <c r="AO12" s="92">
        <f>ROUNDDOWN(IF(BA12="-",AZ12/8*(1/BP12/1000)*AN12,BA12*(1/K12/1000)*AN12),2)</f>
        <v>0.54</v>
      </c>
      <c r="AP12" s="72">
        <v>4096</v>
      </c>
      <c r="AQ12" s="72" t="s">
        <v>8</v>
      </c>
      <c r="AR12" s="72" t="s">
        <v>8</v>
      </c>
      <c r="AS12" s="72">
        <v>0</v>
      </c>
      <c r="AT12" s="72">
        <v>508</v>
      </c>
      <c r="AU12" s="79">
        <f t="shared" si="5"/>
        <v>10204</v>
      </c>
      <c r="AV12" s="81">
        <f t="shared" si="6"/>
        <v>7.44</v>
      </c>
      <c r="AW12" s="77">
        <v>48</v>
      </c>
      <c r="AX12" s="93">
        <v>3174</v>
      </c>
      <c r="AY12" s="93">
        <v>1</v>
      </c>
      <c r="AZ12" s="72">
        <v>14256</v>
      </c>
      <c r="BA12" s="72">
        <v>252</v>
      </c>
      <c r="BB12" s="77"/>
      <c r="BC12" s="81">
        <f t="shared" si="7"/>
        <v>10.5</v>
      </c>
      <c r="BD12" s="77"/>
      <c r="BE12" s="72">
        <v>1</v>
      </c>
      <c r="BF12" s="72">
        <v>1</v>
      </c>
      <c r="BG12" s="72">
        <v>2</v>
      </c>
      <c r="BH12" s="72">
        <v>2</v>
      </c>
      <c r="BI12" s="82">
        <v>1</v>
      </c>
      <c r="BJ12" s="82">
        <v>1</v>
      </c>
      <c r="BK12" s="83">
        <v>3174</v>
      </c>
      <c r="BL12" s="73">
        <v>1</v>
      </c>
      <c r="BM12" s="74">
        <f t="shared" si="8"/>
        <v>2400</v>
      </c>
      <c r="BN12" s="73">
        <v>2</v>
      </c>
      <c r="BO12" s="73">
        <v>6</v>
      </c>
      <c r="BP12" s="74">
        <f t="shared" si="9"/>
        <v>170</v>
      </c>
      <c r="BQ12" s="73">
        <v>2</v>
      </c>
      <c r="BR12" s="84">
        <f t="shared" si="10"/>
        <v>1020</v>
      </c>
      <c r="BS12" s="73">
        <v>6</v>
      </c>
      <c r="BT12" s="84">
        <f t="shared" si="11"/>
        <v>28.3333333333333</v>
      </c>
      <c r="BU12" s="85">
        <v>2</v>
      </c>
      <c r="BV12" s="84">
        <f t="shared" si="12"/>
        <v>85</v>
      </c>
      <c r="BW12" s="85">
        <v>14</v>
      </c>
      <c r="BX12" s="84">
        <f t="shared" si="13"/>
        <v>171.428571428571</v>
      </c>
      <c r="BY12" s="85"/>
      <c r="BZ12" s="84"/>
      <c r="CA12" s="83">
        <v>0</v>
      </c>
      <c r="CB12" s="72" t="s">
        <v>1110</v>
      </c>
      <c r="CC12" s="86"/>
      <c r="CD12" s="87">
        <v>0</v>
      </c>
      <c r="CE12" s="87">
        <v>8191</v>
      </c>
      <c r="CF12" s="87">
        <v>0</v>
      </c>
      <c r="CG12" s="87">
        <v>6143</v>
      </c>
      <c r="CH12" s="86"/>
      <c r="CI12" s="73">
        <v>4096</v>
      </c>
      <c r="CJ12" s="72">
        <v>3072</v>
      </c>
      <c r="CK12" s="86"/>
      <c r="CL12" s="72" t="s">
        <v>8</v>
      </c>
      <c r="CM12" s="86"/>
      <c r="CN12" s="72">
        <v>4</v>
      </c>
      <c r="CO12" s="86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33"/>
      <c r="DA12" s="86"/>
      <c r="DB12" s="86"/>
      <c r="DC12" s="86"/>
      <c r="DD12" s="86"/>
      <c r="DE12" s="86"/>
      <c r="DF12" s="86"/>
      <c r="DG12" s="86"/>
      <c r="DH12" s="86"/>
      <c r="DI12" s="86"/>
      <c r="DJ12" s="86"/>
      <c r="DK12" s="86"/>
      <c r="DL12" s="86"/>
      <c r="DM12" s="86"/>
      <c r="DN12" s="86"/>
      <c r="DO12" s="86"/>
      <c r="DP12" s="86"/>
      <c r="DQ12" s="86"/>
      <c r="DR12" s="86"/>
    </row>
    <row r="13" s="27" customFormat="1" spans="1:122">
      <c r="A13" s="58"/>
      <c r="B13" s="94"/>
      <c r="C13" s="95"/>
      <c r="D13" s="71" t="s">
        <v>1117</v>
      </c>
      <c r="E13" s="72" t="s">
        <v>8</v>
      </c>
      <c r="F13" s="72" t="s">
        <v>8</v>
      </c>
      <c r="G13" s="72" t="s">
        <v>8</v>
      </c>
      <c r="H13" s="72" t="s">
        <v>8</v>
      </c>
      <c r="I13" s="72">
        <v>3</v>
      </c>
      <c r="J13" s="72" t="s">
        <v>1114</v>
      </c>
      <c r="K13" s="73">
        <v>24</v>
      </c>
      <c r="L13" s="73">
        <v>3</v>
      </c>
      <c r="M13" s="73">
        <v>300</v>
      </c>
      <c r="N13" s="74">
        <f t="shared" si="0"/>
        <v>2400</v>
      </c>
      <c r="O13" s="73">
        <v>3</v>
      </c>
      <c r="P13" s="73">
        <v>255</v>
      </c>
      <c r="Q13" s="74">
        <f t="shared" si="1"/>
        <v>2040</v>
      </c>
      <c r="R13" s="75">
        <f t="shared" si="2"/>
        <v>1371.42857142857</v>
      </c>
      <c r="S13" s="75">
        <f t="shared" si="3"/>
        <v>2400</v>
      </c>
      <c r="T13" s="75">
        <f t="shared" si="4"/>
        <v>1360</v>
      </c>
      <c r="U13" s="96"/>
      <c r="V13" s="96"/>
      <c r="W13" s="76" t="s">
        <v>1108</v>
      </c>
      <c r="X13" s="76" t="s">
        <v>1109</v>
      </c>
      <c r="Y13" s="77">
        <v>3142</v>
      </c>
      <c r="Z13" s="78" t="s">
        <v>8</v>
      </c>
      <c r="AA13" s="78" t="s">
        <v>8</v>
      </c>
      <c r="AB13" s="78"/>
      <c r="AC13" s="78" t="s">
        <v>8</v>
      </c>
      <c r="AD13" s="78"/>
      <c r="AE13" s="78"/>
      <c r="AF13" s="78"/>
      <c r="AG13" s="78"/>
      <c r="AH13" s="78"/>
      <c r="AI13" s="78"/>
      <c r="AJ13" s="78" t="s">
        <v>8</v>
      </c>
      <c r="AK13" s="78" t="s">
        <v>8</v>
      </c>
      <c r="AL13" s="78" t="s">
        <v>8</v>
      </c>
      <c r="AM13" s="78" t="s">
        <v>8</v>
      </c>
      <c r="AN13" s="97"/>
      <c r="AO13" s="98"/>
      <c r="AP13" s="72" t="s">
        <v>8</v>
      </c>
      <c r="AQ13" s="72" t="s">
        <v>8</v>
      </c>
      <c r="AR13" s="72" t="s">
        <v>8</v>
      </c>
      <c r="AS13" s="72" t="s">
        <v>8</v>
      </c>
      <c r="AT13" s="72" t="s">
        <v>8</v>
      </c>
      <c r="AU13" s="79" t="str">
        <f t="shared" si="5"/>
        <v>-</v>
      </c>
      <c r="AV13" s="81" t="str">
        <f t="shared" si="6"/>
        <v>-</v>
      </c>
      <c r="AW13" s="77">
        <v>48</v>
      </c>
      <c r="AX13" s="99"/>
      <c r="AY13" s="99"/>
      <c r="AZ13" s="72">
        <v>14256</v>
      </c>
      <c r="BA13" s="72">
        <v>252</v>
      </c>
      <c r="BB13" s="77"/>
      <c r="BC13" s="81">
        <f t="shared" si="7"/>
        <v>10.5</v>
      </c>
      <c r="BD13" s="77"/>
      <c r="BE13" s="72" t="s">
        <v>8</v>
      </c>
      <c r="BF13" s="72" t="s">
        <v>8</v>
      </c>
      <c r="BG13" s="72" t="s">
        <v>8</v>
      </c>
      <c r="BH13" s="72" t="s">
        <v>8</v>
      </c>
      <c r="BI13" s="82" t="s">
        <v>8</v>
      </c>
      <c r="BJ13" s="82" t="s">
        <v>8</v>
      </c>
      <c r="BK13" s="83"/>
      <c r="BL13" s="73">
        <v>1</v>
      </c>
      <c r="BM13" s="74">
        <f t="shared" si="8"/>
        <v>2400</v>
      </c>
      <c r="BN13" s="73">
        <v>2</v>
      </c>
      <c r="BO13" s="73">
        <v>6</v>
      </c>
      <c r="BP13" s="74">
        <f t="shared" si="9"/>
        <v>170</v>
      </c>
      <c r="BQ13" s="73">
        <v>2</v>
      </c>
      <c r="BR13" s="84">
        <f t="shared" si="10"/>
        <v>1020</v>
      </c>
      <c r="BS13" s="73">
        <v>6</v>
      </c>
      <c r="BT13" s="84">
        <f t="shared" si="11"/>
        <v>28.3333333333333</v>
      </c>
      <c r="BU13" s="85">
        <v>2</v>
      </c>
      <c r="BV13" s="84">
        <f t="shared" si="12"/>
        <v>85</v>
      </c>
      <c r="BW13" s="85">
        <v>14</v>
      </c>
      <c r="BX13" s="84">
        <f t="shared" si="13"/>
        <v>171.428571428571</v>
      </c>
      <c r="BY13" s="85"/>
      <c r="BZ13" s="84"/>
      <c r="CA13" s="83">
        <v>0</v>
      </c>
      <c r="CB13" s="72" t="s">
        <v>1110</v>
      </c>
      <c r="CC13" s="86"/>
      <c r="CD13" s="87" t="s">
        <v>8</v>
      </c>
      <c r="CE13" s="87" t="s">
        <v>8</v>
      </c>
      <c r="CF13" s="87" t="s">
        <v>8</v>
      </c>
      <c r="CG13" s="87" t="s">
        <v>8</v>
      </c>
      <c r="CH13" s="86"/>
      <c r="CI13" s="73" t="s">
        <v>8</v>
      </c>
      <c r="CJ13" s="72" t="s">
        <v>8</v>
      </c>
      <c r="CK13" s="86"/>
      <c r="CL13" s="72" t="s">
        <v>8</v>
      </c>
      <c r="CM13" s="86"/>
      <c r="CN13" s="72">
        <v>1</v>
      </c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33"/>
      <c r="DA13" s="86"/>
      <c r="DB13" s="86"/>
      <c r="DC13" s="86"/>
      <c r="DD13" s="86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  <c r="DP13" s="86"/>
      <c r="DQ13" s="86"/>
      <c r="DR13" s="86"/>
    </row>
    <row r="14" s="27" customFormat="1" spans="1:122">
      <c r="A14" s="58"/>
      <c r="B14" s="69">
        <v>4</v>
      </c>
      <c r="C14" s="70" t="s">
        <v>1106</v>
      </c>
      <c r="D14" s="71" t="s">
        <v>723</v>
      </c>
      <c r="E14" s="72" t="s">
        <v>1111</v>
      </c>
      <c r="F14" s="72" t="s">
        <v>1111</v>
      </c>
      <c r="G14" s="72">
        <v>4096</v>
      </c>
      <c r="H14" s="72">
        <v>3072</v>
      </c>
      <c r="I14" s="72">
        <v>3</v>
      </c>
      <c r="J14" s="72" t="s">
        <v>1114</v>
      </c>
      <c r="K14" s="73">
        <v>24</v>
      </c>
      <c r="L14" s="73">
        <v>3</v>
      </c>
      <c r="M14" s="73">
        <v>300</v>
      </c>
      <c r="N14" s="74">
        <f t="shared" si="0"/>
        <v>2400</v>
      </c>
      <c r="O14" s="73">
        <v>3</v>
      </c>
      <c r="P14" s="73">
        <v>255</v>
      </c>
      <c r="Q14" s="74">
        <f t="shared" si="1"/>
        <v>2040</v>
      </c>
      <c r="R14" s="75">
        <f t="shared" si="2"/>
        <v>1371.42857142857</v>
      </c>
      <c r="S14" s="75">
        <f t="shared" si="3"/>
        <v>2400</v>
      </c>
      <c r="T14" s="75">
        <f t="shared" si="4"/>
        <v>1360</v>
      </c>
      <c r="U14" s="75">
        <f t="shared" ref="U14:U20" si="14">ROUNDDOWN(IF(BA14="-",BP14*10^6/AZ14*8,K14*10^6/BA14)/(AX14*IF(AY14="-",1,IF(RIGHT(C14,10)="LB-MF_auto",1,AY14))+IF(C14="2exp LB-MF_manual",AX15,0)+IF(C14="3exp LB-MF_manual",AX15+AX16,0)),2)</f>
        <v>30</v>
      </c>
      <c r="V14" s="75">
        <f t="shared" ref="V14:V20" si="15">ROUNDDOWN(IF(BA14="-",BP14*10^6/AZ14*8,K14*10^6/BA14)/(Y14*IF(AY14="-",1,IF(RIGHT(C14,10)="LB-MF_auto",1,AY14))+IF(C14="2exp LB-MF_manual",Y15,0)+IF(C14="3exp LB-MF_manual",Y15+Y16,0)),2)</f>
        <v>36.27</v>
      </c>
      <c r="W14" s="76" t="s">
        <v>1108</v>
      </c>
      <c r="X14" s="76" t="s">
        <v>1112</v>
      </c>
      <c r="Y14" s="77">
        <v>3136</v>
      </c>
      <c r="Z14" s="78">
        <v>2</v>
      </c>
      <c r="AA14" s="78">
        <v>3072</v>
      </c>
      <c r="AB14" s="78"/>
      <c r="AC14" s="78" t="s">
        <v>8</v>
      </c>
      <c r="AD14" s="78"/>
      <c r="AE14" s="78"/>
      <c r="AF14" s="78"/>
      <c r="AG14" s="78"/>
      <c r="AH14" s="78"/>
      <c r="AI14" s="78"/>
      <c r="AJ14" s="78">
        <v>768</v>
      </c>
      <c r="AK14" s="78" t="s">
        <v>8</v>
      </c>
      <c r="AL14" s="78" t="s">
        <v>8</v>
      </c>
      <c r="AM14" s="78" t="s">
        <v>8</v>
      </c>
      <c r="AN14" s="79">
        <f t="shared" ref="AN14:AN20" si="16">(BK14-((CG14-CF14+1)/BH14/BF14+Z14+AW14))*IF(AY14="-",1,IF(RIGHT(C14,10)="LB-MF_auto",1,AY14))-IF(AND(RIGHT(C14,3)="DOL",AY14=2),SUM(AB14:AI15),IF(AND(RIGHT(C14,3)="DOL",AY14=3),SUM(AB14:AI16),SUM(AB14:AI14)))</f>
        <v>669</v>
      </c>
      <c r="AO14" s="80">
        <f t="shared" ref="AO14:AO20" si="17">ROUNDDOWN(IF(BA14="-",AZ14/8*(1/BP14/1000)*AN14,BA14*(1/K14/1000)*AN14),2)</f>
        <v>5.88</v>
      </c>
      <c r="AP14" s="72">
        <v>4096</v>
      </c>
      <c r="AQ14" s="72">
        <v>4096</v>
      </c>
      <c r="AR14" s="72" t="s">
        <v>8</v>
      </c>
      <c r="AS14" s="72" t="s">
        <v>8</v>
      </c>
      <c r="AT14" s="72" t="s">
        <v>8</v>
      </c>
      <c r="AU14" s="79">
        <f t="shared" si="5"/>
        <v>6837</v>
      </c>
      <c r="AV14" s="81">
        <f t="shared" si="6"/>
        <v>4.98</v>
      </c>
      <c r="AW14" s="77">
        <v>48</v>
      </c>
      <c r="AX14" s="72">
        <v>3791</v>
      </c>
      <c r="AY14" s="72" t="s">
        <v>8</v>
      </c>
      <c r="AZ14" s="72">
        <v>11904</v>
      </c>
      <c r="BA14" s="72">
        <v>211</v>
      </c>
      <c r="BB14" s="77"/>
      <c r="BC14" s="81">
        <f t="shared" si="7"/>
        <v>8.79</v>
      </c>
      <c r="BD14" s="77"/>
      <c r="BE14" s="72">
        <v>1</v>
      </c>
      <c r="BF14" s="72">
        <v>1</v>
      </c>
      <c r="BG14" s="72">
        <v>2</v>
      </c>
      <c r="BH14" s="72">
        <v>2</v>
      </c>
      <c r="BI14" s="82">
        <v>1</v>
      </c>
      <c r="BJ14" s="82">
        <v>1</v>
      </c>
      <c r="BK14" s="83">
        <v>3791</v>
      </c>
      <c r="BL14" s="73">
        <v>1</v>
      </c>
      <c r="BM14" s="74">
        <f t="shared" si="8"/>
        <v>2400</v>
      </c>
      <c r="BN14" s="73">
        <v>2</v>
      </c>
      <c r="BO14" s="73">
        <v>6</v>
      </c>
      <c r="BP14" s="74">
        <f t="shared" si="9"/>
        <v>170</v>
      </c>
      <c r="BQ14" s="73">
        <v>2</v>
      </c>
      <c r="BR14" s="84">
        <f t="shared" si="10"/>
        <v>1020</v>
      </c>
      <c r="BS14" s="73">
        <v>6</v>
      </c>
      <c r="BT14" s="84">
        <f t="shared" si="11"/>
        <v>28.3333333333333</v>
      </c>
      <c r="BU14" s="85">
        <v>2</v>
      </c>
      <c r="BV14" s="84">
        <f t="shared" si="12"/>
        <v>85</v>
      </c>
      <c r="BW14" s="85">
        <v>14</v>
      </c>
      <c r="BX14" s="84">
        <f t="shared" si="13"/>
        <v>171.428571428571</v>
      </c>
      <c r="BY14" s="85"/>
      <c r="BZ14" s="84"/>
      <c r="CA14" s="83">
        <v>1</v>
      </c>
      <c r="CB14" s="72" t="s">
        <v>1110</v>
      </c>
      <c r="CC14" s="86"/>
      <c r="CD14" s="87">
        <v>0</v>
      </c>
      <c r="CE14" s="87">
        <v>8191</v>
      </c>
      <c r="CF14" s="87">
        <v>0</v>
      </c>
      <c r="CG14" s="87">
        <v>6143</v>
      </c>
      <c r="CH14" s="86"/>
      <c r="CI14" s="73">
        <v>4096</v>
      </c>
      <c r="CJ14" s="72">
        <v>3072</v>
      </c>
      <c r="CK14" s="86"/>
      <c r="CL14" s="72" t="s">
        <v>8</v>
      </c>
      <c r="CM14" s="86"/>
      <c r="CN14" s="72" t="s">
        <v>8</v>
      </c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33"/>
      <c r="DA14" s="86"/>
      <c r="DB14" s="86"/>
      <c r="DC14" s="86"/>
      <c r="DD14" s="86"/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86"/>
      <c r="DR14" s="86"/>
    </row>
    <row r="15" s="27" customFormat="1" spans="1:122">
      <c r="A15" s="58"/>
      <c r="B15" s="69">
        <v>5</v>
      </c>
      <c r="C15" s="70" t="s">
        <v>1106</v>
      </c>
      <c r="D15" s="71" t="s">
        <v>725</v>
      </c>
      <c r="E15" s="72" t="s">
        <v>1111</v>
      </c>
      <c r="F15" s="72" t="s">
        <v>1111</v>
      </c>
      <c r="G15" s="72">
        <v>4096</v>
      </c>
      <c r="H15" s="72">
        <v>2304</v>
      </c>
      <c r="I15" s="72">
        <v>3</v>
      </c>
      <c r="J15" s="72" t="s">
        <v>1107</v>
      </c>
      <c r="K15" s="73">
        <v>24</v>
      </c>
      <c r="L15" s="73">
        <v>3</v>
      </c>
      <c r="M15" s="73">
        <v>300</v>
      </c>
      <c r="N15" s="74">
        <f t="shared" si="0"/>
        <v>2400</v>
      </c>
      <c r="O15" s="73">
        <v>3</v>
      </c>
      <c r="P15" s="73">
        <v>255</v>
      </c>
      <c r="Q15" s="74">
        <f t="shared" si="1"/>
        <v>2040</v>
      </c>
      <c r="R15" s="75">
        <f t="shared" si="2"/>
        <v>1645.71428571429</v>
      </c>
      <c r="S15" s="75">
        <f t="shared" si="3"/>
        <v>2400</v>
      </c>
      <c r="T15" s="75">
        <f t="shared" si="4"/>
        <v>1360</v>
      </c>
      <c r="U15" s="75">
        <f t="shared" si="14"/>
        <v>60.01</v>
      </c>
      <c r="V15" s="75">
        <f t="shared" si="15"/>
        <v>80.43</v>
      </c>
      <c r="W15" s="76" t="s">
        <v>1108</v>
      </c>
      <c r="X15" s="76" t="s">
        <v>1112</v>
      </c>
      <c r="Y15" s="77">
        <v>2368</v>
      </c>
      <c r="Z15" s="78">
        <v>2</v>
      </c>
      <c r="AA15" s="78">
        <v>2304</v>
      </c>
      <c r="AB15" s="78"/>
      <c r="AC15" s="78" t="s">
        <v>8</v>
      </c>
      <c r="AD15" s="78"/>
      <c r="AE15" s="78"/>
      <c r="AF15" s="78"/>
      <c r="AG15" s="78"/>
      <c r="AH15" s="78"/>
      <c r="AI15" s="78"/>
      <c r="AJ15" s="78" t="s">
        <v>8</v>
      </c>
      <c r="AK15" s="78">
        <v>576</v>
      </c>
      <c r="AL15" s="78" t="s">
        <v>8</v>
      </c>
      <c r="AM15" s="78" t="s">
        <v>8</v>
      </c>
      <c r="AN15" s="79">
        <f t="shared" si="16"/>
        <v>820</v>
      </c>
      <c r="AO15" s="80">
        <f t="shared" si="17"/>
        <v>4.3</v>
      </c>
      <c r="AP15" s="72">
        <v>4096</v>
      </c>
      <c r="AQ15" s="72" t="s">
        <v>8</v>
      </c>
      <c r="AR15" s="72">
        <v>508</v>
      </c>
      <c r="AS15" s="72" t="s">
        <v>8</v>
      </c>
      <c r="AT15" s="72" t="s">
        <v>8</v>
      </c>
      <c r="AU15" s="79">
        <f t="shared" si="5"/>
        <v>4444</v>
      </c>
      <c r="AV15" s="81">
        <f t="shared" si="6"/>
        <v>2.7</v>
      </c>
      <c r="AW15" s="77">
        <v>48</v>
      </c>
      <c r="AX15" s="72">
        <v>3174</v>
      </c>
      <c r="AY15" s="72" t="s">
        <v>8</v>
      </c>
      <c r="AZ15" s="72">
        <v>7136</v>
      </c>
      <c r="BA15" s="72">
        <v>126</v>
      </c>
      <c r="BB15" s="77"/>
      <c r="BC15" s="81">
        <f t="shared" si="7"/>
        <v>5.25</v>
      </c>
      <c r="BD15" s="77"/>
      <c r="BE15" s="72">
        <v>1</v>
      </c>
      <c r="BF15" s="72">
        <v>1</v>
      </c>
      <c r="BG15" s="72">
        <v>2</v>
      </c>
      <c r="BH15" s="72">
        <v>2</v>
      </c>
      <c r="BI15" s="82">
        <v>1</v>
      </c>
      <c r="BJ15" s="82">
        <v>1</v>
      </c>
      <c r="BK15" s="83">
        <v>3174</v>
      </c>
      <c r="BL15" s="73">
        <v>1</v>
      </c>
      <c r="BM15" s="74">
        <f t="shared" si="8"/>
        <v>2400</v>
      </c>
      <c r="BN15" s="73">
        <v>2</v>
      </c>
      <c r="BO15" s="73">
        <v>6</v>
      </c>
      <c r="BP15" s="74">
        <f t="shared" si="9"/>
        <v>170</v>
      </c>
      <c r="BQ15" s="73">
        <v>2</v>
      </c>
      <c r="BR15" s="84">
        <f t="shared" si="10"/>
        <v>1020</v>
      </c>
      <c r="BS15" s="73">
        <v>6</v>
      </c>
      <c r="BT15" s="84">
        <f t="shared" si="11"/>
        <v>28.3333333333333</v>
      </c>
      <c r="BU15" s="85">
        <v>2</v>
      </c>
      <c r="BV15" s="84">
        <f t="shared" si="12"/>
        <v>85</v>
      </c>
      <c r="BW15" s="85">
        <v>14</v>
      </c>
      <c r="BX15" s="84">
        <f t="shared" si="13"/>
        <v>171.428571428571</v>
      </c>
      <c r="BY15" s="85"/>
      <c r="BZ15" s="84"/>
      <c r="CA15" s="83">
        <v>0</v>
      </c>
      <c r="CB15" s="72" t="s">
        <v>1110</v>
      </c>
      <c r="CC15" s="86"/>
      <c r="CD15" s="87">
        <v>0</v>
      </c>
      <c r="CE15" s="87">
        <v>8191</v>
      </c>
      <c r="CF15" s="87">
        <v>768</v>
      </c>
      <c r="CG15" s="87">
        <v>5375</v>
      </c>
      <c r="CH15" s="86"/>
      <c r="CI15" s="73">
        <v>4096</v>
      </c>
      <c r="CJ15" s="72">
        <v>2304</v>
      </c>
      <c r="CK15" s="86"/>
      <c r="CL15" s="72" t="s">
        <v>8</v>
      </c>
      <c r="CM15" s="86"/>
      <c r="CN15" s="72" t="s">
        <v>8</v>
      </c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33"/>
      <c r="DA15" s="86"/>
      <c r="DB15" s="86"/>
      <c r="DC15" s="86"/>
      <c r="DD15" s="86"/>
      <c r="DE15" s="86"/>
      <c r="DF15" s="86"/>
      <c r="DG15" s="86"/>
      <c r="DH15" s="86"/>
      <c r="DI15" s="86"/>
      <c r="DJ15" s="86"/>
      <c r="DK15" s="86"/>
      <c r="DL15" s="86"/>
      <c r="DM15" s="86"/>
      <c r="DN15" s="86"/>
      <c r="DO15" s="86"/>
      <c r="DP15" s="86"/>
      <c r="DQ15" s="86"/>
      <c r="DR15" s="86"/>
    </row>
    <row r="16" s="27" customFormat="1" spans="1:122">
      <c r="A16" s="58"/>
      <c r="B16" s="69">
        <v>6</v>
      </c>
      <c r="C16" s="70" t="s">
        <v>1106</v>
      </c>
      <c r="D16" s="71" t="s">
        <v>726</v>
      </c>
      <c r="E16" s="72" t="s">
        <v>1111</v>
      </c>
      <c r="F16" s="72" t="s">
        <v>1111</v>
      </c>
      <c r="G16" s="72">
        <v>2048</v>
      </c>
      <c r="H16" s="72">
        <v>1152</v>
      </c>
      <c r="I16" s="72">
        <v>3</v>
      </c>
      <c r="J16" s="72" t="s">
        <v>1107</v>
      </c>
      <c r="K16" s="73">
        <v>24</v>
      </c>
      <c r="L16" s="73">
        <v>3</v>
      </c>
      <c r="M16" s="73">
        <v>300</v>
      </c>
      <c r="N16" s="74">
        <f t="shared" si="0"/>
        <v>2400</v>
      </c>
      <c r="O16" s="73">
        <v>3</v>
      </c>
      <c r="P16" s="73">
        <v>255</v>
      </c>
      <c r="Q16" s="74">
        <f t="shared" si="1"/>
        <v>2040</v>
      </c>
      <c r="R16" s="75">
        <f t="shared" si="2"/>
        <v>1645.71428571429</v>
      </c>
      <c r="S16" s="75">
        <f t="shared" si="3"/>
        <v>2400</v>
      </c>
      <c r="T16" s="75">
        <f t="shared" si="4"/>
        <v>1360</v>
      </c>
      <c r="U16" s="75">
        <f t="shared" si="14"/>
        <v>120.07</v>
      </c>
      <c r="V16" s="75">
        <f t="shared" si="15"/>
        <v>262.28</v>
      </c>
      <c r="W16" s="76" t="s">
        <v>1108</v>
      </c>
      <c r="X16" s="76" t="s">
        <v>1112</v>
      </c>
      <c r="Y16" s="77">
        <v>1204</v>
      </c>
      <c r="Z16" s="78">
        <v>2</v>
      </c>
      <c r="AA16" s="78">
        <v>1152</v>
      </c>
      <c r="AB16" s="78"/>
      <c r="AC16" s="78" t="s">
        <v>8</v>
      </c>
      <c r="AD16" s="78"/>
      <c r="AE16" s="78"/>
      <c r="AF16" s="78"/>
      <c r="AG16" s="78"/>
      <c r="AH16" s="78"/>
      <c r="AI16" s="78"/>
      <c r="AJ16" s="78" t="s">
        <v>8</v>
      </c>
      <c r="AK16" s="78" t="s">
        <v>8</v>
      </c>
      <c r="AL16" s="78" t="s">
        <v>8</v>
      </c>
      <c r="AM16" s="78" t="s">
        <v>8</v>
      </c>
      <c r="AN16" s="79">
        <f t="shared" si="16"/>
        <v>1446</v>
      </c>
      <c r="AO16" s="80">
        <f t="shared" si="17"/>
        <v>4.57</v>
      </c>
      <c r="AP16" s="72">
        <v>2048</v>
      </c>
      <c r="AQ16" s="72" t="s">
        <v>8</v>
      </c>
      <c r="AR16" s="72" t="s">
        <v>8</v>
      </c>
      <c r="AS16" s="72" t="s">
        <v>8</v>
      </c>
      <c r="AT16" s="72" t="s">
        <v>8</v>
      </c>
      <c r="AU16" s="79">
        <f t="shared" si="5"/>
        <v>3063</v>
      </c>
      <c r="AV16" s="81">
        <f t="shared" si="6"/>
        <v>1.86</v>
      </c>
      <c r="AW16" s="77">
        <v>30</v>
      </c>
      <c r="AX16" s="72">
        <v>2630</v>
      </c>
      <c r="AY16" s="72" t="s">
        <v>8</v>
      </c>
      <c r="AZ16" s="72">
        <v>4264</v>
      </c>
      <c r="BA16" s="72">
        <v>76</v>
      </c>
      <c r="BB16" s="77"/>
      <c r="BC16" s="81">
        <f t="shared" si="7"/>
        <v>3.16</v>
      </c>
      <c r="BD16" s="77"/>
      <c r="BE16" s="72">
        <v>1</v>
      </c>
      <c r="BF16" s="72">
        <v>1</v>
      </c>
      <c r="BG16" s="72">
        <v>4</v>
      </c>
      <c r="BH16" s="72">
        <v>4</v>
      </c>
      <c r="BI16" s="82">
        <v>1</v>
      </c>
      <c r="BJ16" s="82">
        <v>1</v>
      </c>
      <c r="BK16" s="83">
        <v>2630</v>
      </c>
      <c r="BL16" s="73">
        <v>1</v>
      </c>
      <c r="BM16" s="74">
        <f t="shared" si="8"/>
        <v>2400</v>
      </c>
      <c r="BN16" s="73">
        <v>2</v>
      </c>
      <c r="BO16" s="73">
        <v>6</v>
      </c>
      <c r="BP16" s="74">
        <f t="shared" si="9"/>
        <v>170</v>
      </c>
      <c r="BQ16" s="73">
        <v>2</v>
      </c>
      <c r="BR16" s="84">
        <f t="shared" si="10"/>
        <v>1020</v>
      </c>
      <c r="BS16" s="73">
        <v>6</v>
      </c>
      <c r="BT16" s="84">
        <f t="shared" si="11"/>
        <v>28.3333333333333</v>
      </c>
      <c r="BU16" s="85">
        <v>2</v>
      </c>
      <c r="BV16" s="84">
        <f t="shared" si="12"/>
        <v>85</v>
      </c>
      <c r="BW16" s="85">
        <v>14</v>
      </c>
      <c r="BX16" s="84">
        <f t="shared" si="13"/>
        <v>171.428571428571</v>
      </c>
      <c r="BY16" s="85"/>
      <c r="BZ16" s="84"/>
      <c r="CA16" s="83">
        <v>0</v>
      </c>
      <c r="CB16" s="72" t="s">
        <v>1110</v>
      </c>
      <c r="CC16" s="86"/>
      <c r="CD16" s="87">
        <v>0</v>
      </c>
      <c r="CE16" s="87">
        <v>8191</v>
      </c>
      <c r="CF16" s="87">
        <v>768</v>
      </c>
      <c r="CG16" s="87">
        <v>5375</v>
      </c>
      <c r="CH16" s="86"/>
      <c r="CI16" s="73">
        <v>2048</v>
      </c>
      <c r="CJ16" s="72">
        <v>1152</v>
      </c>
      <c r="CK16" s="86"/>
      <c r="CL16" s="72" t="s">
        <v>8</v>
      </c>
      <c r="CM16" s="86"/>
      <c r="CN16" s="72" t="s">
        <v>8</v>
      </c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33"/>
      <c r="DA16" s="86"/>
      <c r="DB16" s="86"/>
      <c r="DC16" s="86"/>
      <c r="DD16" s="86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86"/>
      <c r="DR16" s="86"/>
    </row>
    <row r="17" s="27" customFormat="1" spans="1:122">
      <c r="A17" s="58"/>
      <c r="B17" s="69">
        <v>7</v>
      </c>
      <c r="C17" s="70" t="s">
        <v>1106</v>
      </c>
      <c r="D17" s="71" t="s">
        <v>726</v>
      </c>
      <c r="E17" s="72" t="s">
        <v>1111</v>
      </c>
      <c r="F17" s="72" t="s">
        <v>1111</v>
      </c>
      <c r="G17" s="72">
        <v>2048</v>
      </c>
      <c r="H17" s="72">
        <v>1152</v>
      </c>
      <c r="I17" s="72">
        <v>3</v>
      </c>
      <c r="J17" s="72" t="s">
        <v>1107</v>
      </c>
      <c r="K17" s="73">
        <v>24</v>
      </c>
      <c r="L17" s="73">
        <v>3</v>
      </c>
      <c r="M17" s="73">
        <v>300</v>
      </c>
      <c r="N17" s="74">
        <f t="shared" si="0"/>
        <v>2400</v>
      </c>
      <c r="O17" s="73">
        <v>3</v>
      </c>
      <c r="P17" s="73">
        <v>255</v>
      </c>
      <c r="Q17" s="74">
        <f t="shared" si="1"/>
        <v>2040</v>
      </c>
      <c r="R17" s="75">
        <f t="shared" si="2"/>
        <v>1645.71428571429</v>
      </c>
      <c r="S17" s="75">
        <f t="shared" si="3"/>
        <v>2400</v>
      </c>
      <c r="T17" s="75">
        <f t="shared" si="4"/>
        <v>1360</v>
      </c>
      <c r="U17" s="75">
        <f t="shared" si="14"/>
        <v>240.32</v>
      </c>
      <c r="V17" s="75">
        <f t="shared" si="15"/>
        <v>262.28</v>
      </c>
      <c r="W17" s="76" t="s">
        <v>1108</v>
      </c>
      <c r="X17" s="76" t="s">
        <v>1112</v>
      </c>
      <c r="Y17" s="77">
        <v>1204</v>
      </c>
      <c r="Z17" s="78">
        <v>2</v>
      </c>
      <c r="AA17" s="78">
        <v>1152</v>
      </c>
      <c r="AB17" s="78"/>
      <c r="AC17" s="78" t="s">
        <v>8</v>
      </c>
      <c r="AD17" s="78"/>
      <c r="AE17" s="78"/>
      <c r="AF17" s="78"/>
      <c r="AG17" s="78"/>
      <c r="AH17" s="78"/>
      <c r="AI17" s="78"/>
      <c r="AJ17" s="78" t="s">
        <v>8</v>
      </c>
      <c r="AK17" s="78" t="s">
        <v>8</v>
      </c>
      <c r="AL17" s="78" t="s">
        <v>8</v>
      </c>
      <c r="AM17" s="78" t="s">
        <v>8</v>
      </c>
      <c r="AN17" s="79">
        <f t="shared" si="16"/>
        <v>130</v>
      </c>
      <c r="AO17" s="80">
        <f t="shared" si="17"/>
        <v>0.41</v>
      </c>
      <c r="AP17" s="72">
        <v>2048</v>
      </c>
      <c r="AQ17" s="72" t="s">
        <v>8</v>
      </c>
      <c r="AR17" s="72" t="s">
        <v>8</v>
      </c>
      <c r="AS17" s="72" t="s">
        <v>8</v>
      </c>
      <c r="AT17" s="72" t="s">
        <v>8</v>
      </c>
      <c r="AU17" s="79">
        <f t="shared" si="5"/>
        <v>3063</v>
      </c>
      <c r="AV17" s="81">
        <f t="shared" si="6"/>
        <v>1.86</v>
      </c>
      <c r="AW17" s="77">
        <v>30</v>
      </c>
      <c r="AX17" s="72">
        <v>1314</v>
      </c>
      <c r="AY17" s="72" t="s">
        <v>8</v>
      </c>
      <c r="AZ17" s="72">
        <v>4264</v>
      </c>
      <c r="BA17" s="72">
        <v>76</v>
      </c>
      <c r="BB17" s="77"/>
      <c r="BC17" s="81">
        <f t="shared" si="7"/>
        <v>3.16</v>
      </c>
      <c r="BD17" s="77"/>
      <c r="BE17" s="72">
        <v>1</v>
      </c>
      <c r="BF17" s="72">
        <v>1</v>
      </c>
      <c r="BG17" s="72">
        <v>4</v>
      </c>
      <c r="BH17" s="72">
        <v>4</v>
      </c>
      <c r="BI17" s="82">
        <v>1</v>
      </c>
      <c r="BJ17" s="82">
        <v>1</v>
      </c>
      <c r="BK17" s="83">
        <v>1314</v>
      </c>
      <c r="BL17" s="73">
        <v>1</v>
      </c>
      <c r="BM17" s="74">
        <f t="shared" si="8"/>
        <v>2400</v>
      </c>
      <c r="BN17" s="73">
        <v>2</v>
      </c>
      <c r="BO17" s="73">
        <v>6</v>
      </c>
      <c r="BP17" s="74">
        <f t="shared" si="9"/>
        <v>170</v>
      </c>
      <c r="BQ17" s="73">
        <v>2</v>
      </c>
      <c r="BR17" s="84">
        <f t="shared" si="10"/>
        <v>1020</v>
      </c>
      <c r="BS17" s="73">
        <v>6</v>
      </c>
      <c r="BT17" s="84">
        <f t="shared" si="11"/>
        <v>28.3333333333333</v>
      </c>
      <c r="BU17" s="85">
        <v>2</v>
      </c>
      <c r="BV17" s="84">
        <f t="shared" si="12"/>
        <v>85</v>
      </c>
      <c r="BW17" s="85">
        <v>14</v>
      </c>
      <c r="BX17" s="84">
        <f t="shared" si="13"/>
        <v>171.428571428571</v>
      </c>
      <c r="BY17" s="85"/>
      <c r="BZ17" s="84"/>
      <c r="CA17" s="83">
        <v>0</v>
      </c>
      <c r="CB17" s="72" t="s">
        <v>1110</v>
      </c>
      <c r="CC17" s="86"/>
      <c r="CD17" s="87">
        <v>0</v>
      </c>
      <c r="CE17" s="87">
        <v>8191</v>
      </c>
      <c r="CF17" s="87">
        <v>768</v>
      </c>
      <c r="CG17" s="87">
        <v>5375</v>
      </c>
      <c r="CH17" s="86"/>
      <c r="CI17" s="73">
        <v>2048</v>
      </c>
      <c r="CJ17" s="72">
        <v>1152</v>
      </c>
      <c r="CK17" s="86"/>
      <c r="CL17" s="72" t="s">
        <v>8</v>
      </c>
      <c r="CM17" s="86"/>
      <c r="CN17" s="72" t="s">
        <v>8</v>
      </c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33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</row>
    <row r="18" s="27" customFormat="1" spans="1:122">
      <c r="A18" s="58"/>
      <c r="B18" s="69">
        <v>8</v>
      </c>
      <c r="C18" s="70" t="s">
        <v>1106</v>
      </c>
      <c r="D18" s="71" t="s">
        <v>727</v>
      </c>
      <c r="E18" s="72" t="s">
        <v>1111</v>
      </c>
      <c r="F18" s="72" t="s">
        <v>1111</v>
      </c>
      <c r="G18" s="72">
        <v>2048</v>
      </c>
      <c r="H18" s="72">
        <v>1536</v>
      </c>
      <c r="I18" s="72">
        <v>3</v>
      </c>
      <c r="J18" s="72" t="s">
        <v>1107</v>
      </c>
      <c r="K18" s="73">
        <v>24</v>
      </c>
      <c r="L18" s="73">
        <v>3</v>
      </c>
      <c r="M18" s="73">
        <v>300</v>
      </c>
      <c r="N18" s="74">
        <f t="shared" si="0"/>
        <v>2400</v>
      </c>
      <c r="O18" s="73">
        <v>3</v>
      </c>
      <c r="P18" s="73">
        <v>255</v>
      </c>
      <c r="Q18" s="74">
        <f t="shared" si="1"/>
        <v>2040</v>
      </c>
      <c r="R18" s="75">
        <f t="shared" si="2"/>
        <v>1645.71428571429</v>
      </c>
      <c r="S18" s="75">
        <f t="shared" si="3"/>
        <v>2400</v>
      </c>
      <c r="T18" s="75">
        <f t="shared" si="4"/>
        <v>1360</v>
      </c>
      <c r="U18" s="75">
        <f t="shared" si="14"/>
        <v>30</v>
      </c>
      <c r="V18" s="75">
        <f t="shared" si="15"/>
        <v>127</v>
      </c>
      <c r="W18" s="76" t="s">
        <v>1108</v>
      </c>
      <c r="X18" s="76" t="s">
        <v>1112</v>
      </c>
      <c r="Y18" s="77">
        <v>1588</v>
      </c>
      <c r="Z18" s="78">
        <v>2</v>
      </c>
      <c r="AA18" s="78">
        <v>1536</v>
      </c>
      <c r="AB18" s="78"/>
      <c r="AC18" s="78" t="s">
        <v>8</v>
      </c>
      <c r="AD18" s="78"/>
      <c r="AE18" s="78"/>
      <c r="AF18" s="78"/>
      <c r="AG18" s="78"/>
      <c r="AH18" s="78"/>
      <c r="AI18" s="78"/>
      <c r="AJ18" s="78">
        <v>384</v>
      </c>
      <c r="AK18" s="78" t="s">
        <v>8</v>
      </c>
      <c r="AL18" s="78" t="s">
        <v>8</v>
      </c>
      <c r="AM18" s="78" t="s">
        <v>8</v>
      </c>
      <c r="AN18" s="79">
        <f t="shared" si="16"/>
        <v>5154</v>
      </c>
      <c r="AO18" s="80">
        <f t="shared" si="17"/>
        <v>25.55</v>
      </c>
      <c r="AP18" s="72">
        <v>2048</v>
      </c>
      <c r="AQ18" s="72">
        <v>2048</v>
      </c>
      <c r="AR18" s="72" t="s">
        <v>8</v>
      </c>
      <c r="AS18" s="72" t="s">
        <v>8</v>
      </c>
      <c r="AT18" s="72" t="s">
        <v>8</v>
      </c>
      <c r="AU18" s="79">
        <f t="shared" si="5"/>
        <v>5500</v>
      </c>
      <c r="AV18" s="81">
        <f t="shared" si="6"/>
        <v>3.34</v>
      </c>
      <c r="AW18" s="77">
        <v>30</v>
      </c>
      <c r="AX18" s="72">
        <v>6722</v>
      </c>
      <c r="AY18" s="72" t="s">
        <v>8</v>
      </c>
      <c r="AZ18" s="72">
        <v>6728</v>
      </c>
      <c r="BA18" s="72">
        <v>119</v>
      </c>
      <c r="BB18" s="77"/>
      <c r="BC18" s="81">
        <f t="shared" si="7"/>
        <v>4.95</v>
      </c>
      <c r="BD18" s="77"/>
      <c r="BE18" s="72">
        <v>1</v>
      </c>
      <c r="BF18" s="72">
        <v>1</v>
      </c>
      <c r="BG18" s="72">
        <v>4</v>
      </c>
      <c r="BH18" s="72">
        <v>4</v>
      </c>
      <c r="BI18" s="82">
        <v>1</v>
      </c>
      <c r="BJ18" s="82">
        <v>1</v>
      </c>
      <c r="BK18" s="83">
        <v>6722</v>
      </c>
      <c r="BL18" s="73">
        <v>1</v>
      </c>
      <c r="BM18" s="74">
        <f t="shared" si="8"/>
        <v>2400</v>
      </c>
      <c r="BN18" s="73">
        <v>2</v>
      </c>
      <c r="BO18" s="73">
        <v>6</v>
      </c>
      <c r="BP18" s="74">
        <f t="shared" si="9"/>
        <v>170</v>
      </c>
      <c r="BQ18" s="73">
        <v>2</v>
      </c>
      <c r="BR18" s="84">
        <f t="shared" si="10"/>
        <v>1020</v>
      </c>
      <c r="BS18" s="73">
        <v>6</v>
      </c>
      <c r="BT18" s="84">
        <f t="shared" si="11"/>
        <v>28.3333333333333</v>
      </c>
      <c r="BU18" s="85">
        <v>2</v>
      </c>
      <c r="BV18" s="84">
        <f t="shared" si="12"/>
        <v>85</v>
      </c>
      <c r="BW18" s="85">
        <v>14</v>
      </c>
      <c r="BX18" s="84">
        <f t="shared" si="13"/>
        <v>171.428571428571</v>
      </c>
      <c r="BY18" s="85"/>
      <c r="BZ18" s="84"/>
      <c r="CA18" s="83">
        <v>1</v>
      </c>
      <c r="CB18" s="72" t="s">
        <v>1110</v>
      </c>
      <c r="CC18" s="86"/>
      <c r="CD18" s="87">
        <v>0</v>
      </c>
      <c r="CE18" s="87">
        <v>8191</v>
      </c>
      <c r="CF18" s="87">
        <v>0</v>
      </c>
      <c r="CG18" s="87">
        <v>6143</v>
      </c>
      <c r="CH18" s="86"/>
      <c r="CI18" s="73">
        <v>2048</v>
      </c>
      <c r="CJ18" s="72">
        <v>1536</v>
      </c>
      <c r="CK18" s="86"/>
      <c r="CL18" s="72" t="s">
        <v>8</v>
      </c>
      <c r="CM18" s="86"/>
      <c r="CN18" s="72" t="s">
        <v>8</v>
      </c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33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</row>
    <row r="19" s="27" customFormat="1" spans="1:122">
      <c r="A19" s="58"/>
      <c r="B19" s="69">
        <v>9</v>
      </c>
      <c r="C19" s="70" t="s">
        <v>1106</v>
      </c>
      <c r="D19" s="71" t="s">
        <v>728</v>
      </c>
      <c r="E19" s="72" t="s">
        <v>8</v>
      </c>
      <c r="F19" s="72" t="s">
        <v>8</v>
      </c>
      <c r="G19" s="72">
        <v>4096</v>
      </c>
      <c r="H19" s="72">
        <v>3072</v>
      </c>
      <c r="I19" s="72">
        <v>3</v>
      </c>
      <c r="J19" s="72" t="s">
        <v>1107</v>
      </c>
      <c r="K19" s="73">
        <v>24</v>
      </c>
      <c r="L19" s="73">
        <v>3</v>
      </c>
      <c r="M19" s="73">
        <v>300</v>
      </c>
      <c r="N19" s="74">
        <f t="shared" si="0"/>
        <v>2400</v>
      </c>
      <c r="O19" s="73">
        <v>3</v>
      </c>
      <c r="P19" s="73">
        <v>255</v>
      </c>
      <c r="Q19" s="74">
        <f t="shared" si="1"/>
        <v>2040</v>
      </c>
      <c r="R19" s="75">
        <f t="shared" si="2"/>
        <v>1645.71428571429</v>
      </c>
      <c r="S19" s="75">
        <f t="shared" si="3"/>
        <v>2400</v>
      </c>
      <c r="T19" s="75">
        <f t="shared" si="4"/>
        <v>1360</v>
      </c>
      <c r="U19" s="75">
        <f t="shared" si="14"/>
        <v>30</v>
      </c>
      <c r="V19" s="75">
        <f t="shared" si="15"/>
        <v>30.34</v>
      </c>
      <c r="W19" s="76" t="s">
        <v>1108</v>
      </c>
      <c r="X19" s="76" t="s">
        <v>1109</v>
      </c>
      <c r="Y19" s="77">
        <v>3189</v>
      </c>
      <c r="Z19" s="78">
        <v>2</v>
      </c>
      <c r="AA19" s="78">
        <v>3072</v>
      </c>
      <c r="AB19" s="78"/>
      <c r="AC19" s="78" t="s">
        <v>8</v>
      </c>
      <c r="AD19" s="78"/>
      <c r="AE19" s="78"/>
      <c r="AF19" s="78"/>
      <c r="AG19" s="78"/>
      <c r="AH19" s="78"/>
      <c r="AI19" s="78"/>
      <c r="AJ19" s="78">
        <v>1536</v>
      </c>
      <c r="AK19" s="78" t="s">
        <v>8</v>
      </c>
      <c r="AL19" s="78" t="s">
        <v>8</v>
      </c>
      <c r="AM19" s="78" t="s">
        <v>8</v>
      </c>
      <c r="AN19" s="79">
        <f t="shared" si="16"/>
        <v>61</v>
      </c>
      <c r="AO19" s="80">
        <f t="shared" si="17"/>
        <v>0.63</v>
      </c>
      <c r="AP19" s="72">
        <v>4096</v>
      </c>
      <c r="AQ19" s="72">
        <v>2048</v>
      </c>
      <c r="AR19" s="72" t="s">
        <v>8</v>
      </c>
      <c r="AS19" s="72" t="s">
        <v>8</v>
      </c>
      <c r="AT19" s="72" t="s">
        <v>8</v>
      </c>
      <c r="AU19" s="79">
        <f t="shared" si="5"/>
        <v>11785</v>
      </c>
      <c r="AV19" s="81">
        <f t="shared" si="6"/>
        <v>7.16</v>
      </c>
      <c r="AW19" s="77">
        <v>90</v>
      </c>
      <c r="AX19" s="72">
        <v>3225</v>
      </c>
      <c r="AY19" s="72" t="s">
        <v>8</v>
      </c>
      <c r="AZ19" s="72">
        <v>14032</v>
      </c>
      <c r="BA19" s="72">
        <v>248</v>
      </c>
      <c r="BB19" s="77"/>
      <c r="BC19" s="81">
        <f t="shared" si="7"/>
        <v>10.33</v>
      </c>
      <c r="BD19" s="77"/>
      <c r="BE19" s="72">
        <v>1</v>
      </c>
      <c r="BF19" s="72">
        <v>1</v>
      </c>
      <c r="BG19" s="72">
        <v>1</v>
      </c>
      <c r="BH19" s="72">
        <v>1</v>
      </c>
      <c r="BI19" s="82">
        <v>1</v>
      </c>
      <c r="BJ19" s="82">
        <v>1</v>
      </c>
      <c r="BK19" s="83">
        <v>3225</v>
      </c>
      <c r="BL19" s="73">
        <v>1</v>
      </c>
      <c r="BM19" s="74">
        <f t="shared" si="8"/>
        <v>2400</v>
      </c>
      <c r="BN19" s="73">
        <v>2</v>
      </c>
      <c r="BO19" s="73">
        <v>6</v>
      </c>
      <c r="BP19" s="74">
        <f t="shared" si="9"/>
        <v>170</v>
      </c>
      <c r="BQ19" s="73">
        <v>2</v>
      </c>
      <c r="BR19" s="84">
        <f t="shared" si="10"/>
        <v>1020</v>
      </c>
      <c r="BS19" s="73">
        <v>6</v>
      </c>
      <c r="BT19" s="84">
        <f t="shared" si="11"/>
        <v>28.3333333333333</v>
      </c>
      <c r="BU19" s="85">
        <v>2</v>
      </c>
      <c r="BV19" s="84">
        <f t="shared" si="12"/>
        <v>85</v>
      </c>
      <c r="BW19" s="85">
        <v>14</v>
      </c>
      <c r="BX19" s="84">
        <f t="shared" si="13"/>
        <v>171.428571428571</v>
      </c>
      <c r="BY19" s="85"/>
      <c r="BZ19" s="84"/>
      <c r="CA19" s="83">
        <v>2</v>
      </c>
      <c r="CB19" s="72" t="s">
        <v>1110</v>
      </c>
      <c r="CC19" s="86"/>
      <c r="CD19" s="87">
        <v>2048</v>
      </c>
      <c r="CE19" s="87">
        <v>6143</v>
      </c>
      <c r="CF19" s="87">
        <v>1536</v>
      </c>
      <c r="CG19" s="87">
        <v>4607</v>
      </c>
      <c r="CH19" s="86"/>
      <c r="CI19" s="73">
        <v>4096</v>
      </c>
      <c r="CJ19" s="72">
        <v>3072</v>
      </c>
      <c r="CK19" s="86"/>
      <c r="CL19" s="72" t="s">
        <v>8</v>
      </c>
      <c r="CM19" s="86"/>
      <c r="CN19" s="72" t="s">
        <v>8</v>
      </c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33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</row>
    <row r="20" s="27" customFormat="1" spans="1:122">
      <c r="A20" s="58"/>
      <c r="B20" s="88">
        <v>10</v>
      </c>
      <c r="C20" s="89" t="s">
        <v>1113</v>
      </c>
      <c r="D20" s="71" t="s">
        <v>729</v>
      </c>
      <c r="E20" s="72" t="s">
        <v>1111</v>
      </c>
      <c r="F20" s="72" t="s">
        <v>1111</v>
      </c>
      <c r="G20" s="72">
        <v>4096</v>
      </c>
      <c r="H20" s="72">
        <v>2304</v>
      </c>
      <c r="I20" s="72">
        <v>3</v>
      </c>
      <c r="J20" s="72" t="s">
        <v>1114</v>
      </c>
      <c r="K20" s="73">
        <v>24</v>
      </c>
      <c r="L20" s="73">
        <v>3</v>
      </c>
      <c r="M20" s="73">
        <v>300</v>
      </c>
      <c r="N20" s="74">
        <f t="shared" si="0"/>
        <v>2400</v>
      </c>
      <c r="O20" s="73">
        <v>3</v>
      </c>
      <c r="P20" s="73">
        <v>255</v>
      </c>
      <c r="Q20" s="74">
        <f t="shared" si="1"/>
        <v>2040</v>
      </c>
      <c r="R20" s="75">
        <f t="shared" si="2"/>
        <v>1371.42857142857</v>
      </c>
      <c r="S20" s="75">
        <f t="shared" si="3"/>
        <v>2400</v>
      </c>
      <c r="T20" s="75">
        <f t="shared" si="4"/>
        <v>1360</v>
      </c>
      <c r="U20" s="90">
        <f t="shared" si="14"/>
        <v>30</v>
      </c>
      <c r="V20" s="90">
        <f t="shared" si="15"/>
        <v>40.11</v>
      </c>
      <c r="W20" s="76" t="s">
        <v>1115</v>
      </c>
      <c r="X20" s="76" t="s">
        <v>1116</v>
      </c>
      <c r="Y20" s="77">
        <v>2374</v>
      </c>
      <c r="Z20" s="78">
        <v>2</v>
      </c>
      <c r="AA20" s="78">
        <v>2304</v>
      </c>
      <c r="AB20" s="78"/>
      <c r="AC20" s="78">
        <v>0</v>
      </c>
      <c r="AD20" s="78"/>
      <c r="AE20" s="78"/>
      <c r="AF20" s="78"/>
      <c r="AG20" s="78"/>
      <c r="AH20" s="78"/>
      <c r="AI20" s="78"/>
      <c r="AJ20" s="78" t="s">
        <v>8</v>
      </c>
      <c r="AK20" s="78" t="s">
        <v>8</v>
      </c>
      <c r="AL20" s="78">
        <v>0</v>
      </c>
      <c r="AM20" s="78">
        <v>576</v>
      </c>
      <c r="AN20" s="91">
        <f t="shared" si="16"/>
        <v>820</v>
      </c>
      <c r="AO20" s="92">
        <f t="shared" si="17"/>
        <v>8.61</v>
      </c>
      <c r="AP20" s="72">
        <v>4096</v>
      </c>
      <c r="AQ20" s="72" t="s">
        <v>8</v>
      </c>
      <c r="AR20" s="72" t="s">
        <v>8</v>
      </c>
      <c r="AS20" s="72">
        <v>0</v>
      </c>
      <c r="AT20" s="72">
        <v>508</v>
      </c>
      <c r="AU20" s="79">
        <f t="shared" si="5"/>
        <v>10204</v>
      </c>
      <c r="AV20" s="81">
        <f t="shared" si="6"/>
        <v>7.44</v>
      </c>
      <c r="AW20" s="77">
        <v>48</v>
      </c>
      <c r="AX20" s="93">
        <v>3174</v>
      </c>
      <c r="AY20" s="93">
        <v>1</v>
      </c>
      <c r="AZ20" s="72">
        <v>14256</v>
      </c>
      <c r="BA20" s="72">
        <v>252</v>
      </c>
      <c r="BB20" s="77"/>
      <c r="BC20" s="81">
        <f t="shared" si="7"/>
        <v>10.5</v>
      </c>
      <c r="BD20" s="77"/>
      <c r="BE20" s="72">
        <v>1</v>
      </c>
      <c r="BF20" s="72">
        <v>1</v>
      </c>
      <c r="BG20" s="72">
        <v>2</v>
      </c>
      <c r="BH20" s="72">
        <v>2</v>
      </c>
      <c r="BI20" s="82">
        <v>1</v>
      </c>
      <c r="BJ20" s="82">
        <v>1</v>
      </c>
      <c r="BK20" s="83">
        <v>3174</v>
      </c>
      <c r="BL20" s="73">
        <v>1</v>
      </c>
      <c r="BM20" s="74">
        <f t="shared" si="8"/>
        <v>2400</v>
      </c>
      <c r="BN20" s="73">
        <v>2</v>
      </c>
      <c r="BO20" s="73">
        <v>6</v>
      </c>
      <c r="BP20" s="74">
        <f t="shared" si="9"/>
        <v>170</v>
      </c>
      <c r="BQ20" s="73">
        <v>2</v>
      </c>
      <c r="BR20" s="84">
        <f t="shared" si="10"/>
        <v>1020</v>
      </c>
      <c r="BS20" s="73">
        <v>6</v>
      </c>
      <c r="BT20" s="84">
        <f t="shared" si="11"/>
        <v>28.3333333333333</v>
      </c>
      <c r="BU20" s="85">
        <v>2</v>
      </c>
      <c r="BV20" s="84">
        <f t="shared" si="12"/>
        <v>85</v>
      </c>
      <c r="BW20" s="85">
        <v>14</v>
      </c>
      <c r="BX20" s="84">
        <f t="shared" si="13"/>
        <v>171.428571428571</v>
      </c>
      <c r="BY20" s="85"/>
      <c r="BZ20" s="84"/>
      <c r="CA20" s="83">
        <v>0</v>
      </c>
      <c r="CB20" s="72" t="s">
        <v>1110</v>
      </c>
      <c r="CC20" s="86"/>
      <c r="CD20" s="87">
        <v>0</v>
      </c>
      <c r="CE20" s="87">
        <v>8191</v>
      </c>
      <c r="CF20" s="87">
        <v>768</v>
      </c>
      <c r="CG20" s="87">
        <v>5375</v>
      </c>
      <c r="CH20" s="86"/>
      <c r="CI20" s="73">
        <v>4096</v>
      </c>
      <c r="CJ20" s="72">
        <v>2304</v>
      </c>
      <c r="CK20" s="86"/>
      <c r="CL20" s="72" t="s">
        <v>8</v>
      </c>
      <c r="CM20" s="86"/>
      <c r="CN20" s="72">
        <v>4</v>
      </c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33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</row>
    <row r="21" s="27" customFormat="1" spans="1:122">
      <c r="A21" s="58"/>
      <c r="B21" s="94"/>
      <c r="C21" s="95"/>
      <c r="D21" s="71" t="s">
        <v>1118</v>
      </c>
      <c r="E21" s="72" t="s">
        <v>8</v>
      </c>
      <c r="F21" s="72" t="s">
        <v>8</v>
      </c>
      <c r="G21" s="72" t="s">
        <v>8</v>
      </c>
      <c r="H21" s="72" t="s">
        <v>8</v>
      </c>
      <c r="I21" s="72">
        <v>3</v>
      </c>
      <c r="J21" s="72" t="s">
        <v>1114</v>
      </c>
      <c r="K21" s="73">
        <v>24</v>
      </c>
      <c r="L21" s="73">
        <v>3</v>
      </c>
      <c r="M21" s="73">
        <v>300</v>
      </c>
      <c r="N21" s="74">
        <f t="shared" si="0"/>
        <v>2400</v>
      </c>
      <c r="O21" s="73">
        <v>3</v>
      </c>
      <c r="P21" s="73">
        <v>255</v>
      </c>
      <c r="Q21" s="74">
        <f t="shared" si="1"/>
        <v>2040</v>
      </c>
      <c r="R21" s="75">
        <f t="shared" si="2"/>
        <v>1371.42857142857</v>
      </c>
      <c r="S21" s="75">
        <f t="shared" si="3"/>
        <v>2400</v>
      </c>
      <c r="T21" s="75">
        <f t="shared" si="4"/>
        <v>1360</v>
      </c>
      <c r="U21" s="96"/>
      <c r="V21" s="96"/>
      <c r="W21" s="76" t="s">
        <v>1108</v>
      </c>
      <c r="X21" s="76" t="s">
        <v>1109</v>
      </c>
      <c r="Y21" s="77">
        <v>2374</v>
      </c>
      <c r="Z21" s="78" t="s">
        <v>8</v>
      </c>
      <c r="AA21" s="78" t="s">
        <v>8</v>
      </c>
      <c r="AB21" s="78"/>
      <c r="AC21" s="78" t="s">
        <v>8</v>
      </c>
      <c r="AD21" s="78"/>
      <c r="AE21" s="78"/>
      <c r="AF21" s="78"/>
      <c r="AG21" s="78"/>
      <c r="AH21" s="78"/>
      <c r="AI21" s="78"/>
      <c r="AJ21" s="78" t="s">
        <v>8</v>
      </c>
      <c r="AK21" s="78" t="s">
        <v>8</v>
      </c>
      <c r="AL21" s="78" t="s">
        <v>8</v>
      </c>
      <c r="AM21" s="78" t="s">
        <v>8</v>
      </c>
      <c r="AN21" s="97"/>
      <c r="AO21" s="98"/>
      <c r="AP21" s="72" t="s">
        <v>8</v>
      </c>
      <c r="AQ21" s="72" t="s">
        <v>8</v>
      </c>
      <c r="AR21" s="72" t="s">
        <v>8</v>
      </c>
      <c r="AS21" s="72" t="s">
        <v>8</v>
      </c>
      <c r="AT21" s="72" t="s">
        <v>8</v>
      </c>
      <c r="AU21" s="79" t="str">
        <f t="shared" si="5"/>
        <v>-</v>
      </c>
      <c r="AV21" s="81" t="str">
        <f t="shared" si="6"/>
        <v>-</v>
      </c>
      <c r="AW21" s="77">
        <v>48</v>
      </c>
      <c r="AX21" s="99"/>
      <c r="AY21" s="99"/>
      <c r="AZ21" s="72">
        <v>14256</v>
      </c>
      <c r="BA21" s="72">
        <v>252</v>
      </c>
      <c r="BB21" s="77"/>
      <c r="BC21" s="81">
        <f t="shared" si="7"/>
        <v>10.5</v>
      </c>
      <c r="BD21" s="77"/>
      <c r="BE21" s="72" t="s">
        <v>8</v>
      </c>
      <c r="BF21" s="72" t="s">
        <v>8</v>
      </c>
      <c r="BG21" s="72" t="s">
        <v>8</v>
      </c>
      <c r="BH21" s="72" t="s">
        <v>8</v>
      </c>
      <c r="BI21" s="82" t="s">
        <v>8</v>
      </c>
      <c r="BJ21" s="82" t="s">
        <v>8</v>
      </c>
      <c r="BK21" s="83">
        <v>3174</v>
      </c>
      <c r="BL21" s="73">
        <v>1</v>
      </c>
      <c r="BM21" s="74">
        <f t="shared" si="8"/>
        <v>2400</v>
      </c>
      <c r="BN21" s="73">
        <v>2</v>
      </c>
      <c r="BO21" s="73">
        <v>6</v>
      </c>
      <c r="BP21" s="74">
        <f t="shared" si="9"/>
        <v>170</v>
      </c>
      <c r="BQ21" s="73">
        <v>2</v>
      </c>
      <c r="BR21" s="84">
        <f t="shared" si="10"/>
        <v>1020</v>
      </c>
      <c r="BS21" s="73">
        <v>6</v>
      </c>
      <c r="BT21" s="84">
        <f t="shared" si="11"/>
        <v>28.3333333333333</v>
      </c>
      <c r="BU21" s="85">
        <v>2</v>
      </c>
      <c r="BV21" s="84">
        <f t="shared" si="12"/>
        <v>85</v>
      </c>
      <c r="BW21" s="85">
        <v>14</v>
      </c>
      <c r="BX21" s="84">
        <f t="shared" si="13"/>
        <v>171.428571428571</v>
      </c>
      <c r="BY21" s="85"/>
      <c r="BZ21" s="84"/>
      <c r="CA21" s="83">
        <v>0</v>
      </c>
      <c r="CB21" s="72" t="s">
        <v>1110</v>
      </c>
      <c r="CC21" s="86"/>
      <c r="CD21" s="87" t="s">
        <v>8</v>
      </c>
      <c r="CE21" s="87" t="s">
        <v>8</v>
      </c>
      <c r="CF21" s="87" t="s">
        <v>8</v>
      </c>
      <c r="CG21" s="87" t="s">
        <v>8</v>
      </c>
      <c r="CH21" s="86"/>
      <c r="CI21" s="73" t="s">
        <v>8</v>
      </c>
      <c r="CJ21" s="72" t="s">
        <v>8</v>
      </c>
      <c r="CK21" s="86"/>
      <c r="CL21" s="72" t="s">
        <v>8</v>
      </c>
      <c r="CM21" s="86"/>
      <c r="CN21" s="72">
        <v>1</v>
      </c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33"/>
      <c r="DA21" s="86"/>
      <c r="DB21" s="86"/>
      <c r="DC21" s="86"/>
      <c r="DD21" s="86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</row>
    <row r="22" s="27" customFormat="1" spans="1:122">
      <c r="A22" s="58"/>
      <c r="B22" s="69">
        <v>11</v>
      </c>
      <c r="C22" s="70" t="s">
        <v>1106</v>
      </c>
      <c r="D22" s="71" t="s">
        <v>723</v>
      </c>
      <c r="E22" s="72" t="s">
        <v>1111</v>
      </c>
      <c r="F22" s="72" t="s">
        <v>1111</v>
      </c>
      <c r="G22" s="72">
        <v>4096</v>
      </c>
      <c r="H22" s="72">
        <v>2304</v>
      </c>
      <c r="I22" s="72">
        <v>3</v>
      </c>
      <c r="J22" s="72" t="s">
        <v>1114</v>
      </c>
      <c r="K22" s="73">
        <v>24</v>
      </c>
      <c r="L22" s="73">
        <v>3</v>
      </c>
      <c r="M22" s="73">
        <v>300</v>
      </c>
      <c r="N22" s="74">
        <f t="shared" si="0"/>
        <v>2400</v>
      </c>
      <c r="O22" s="73">
        <v>3</v>
      </c>
      <c r="P22" s="73">
        <v>255</v>
      </c>
      <c r="Q22" s="74">
        <f t="shared" si="1"/>
        <v>2040</v>
      </c>
      <c r="R22" s="75">
        <f t="shared" si="2"/>
        <v>1371.42857142857</v>
      </c>
      <c r="S22" s="75">
        <f t="shared" si="3"/>
        <v>2400</v>
      </c>
      <c r="T22" s="75">
        <f t="shared" si="4"/>
        <v>1360</v>
      </c>
      <c r="U22" s="75">
        <f>ROUNDDOWN(IF(BA22="-",BP22*10^6/AZ22*8,K22*10^6/BA22)/(AX22*IF(AY22="-",1,IF(RIGHT(C22,10)="LB-MF_auto",1,AY22))+IF(C22="2exp LB-MF_manual",#REF!,0)+IF(C22="3exp LB-MF_manual",#REF!+AX23,0)),2)</f>
        <v>30</v>
      </c>
      <c r="V22" s="75">
        <f>ROUNDDOWN(IF(BA22="-",BP22*10^6/AZ22*8,K22*10^6/BA22)/(Y22*IF(AY22="-",1,IF(RIGHT(C22,10)="LB-MF_auto",1,AY22))+IF(C22="2exp LB-MF_manual",#REF!,0)+IF(C22="3exp LB-MF_manual",#REF!+Y23,0)),2)</f>
        <v>48.03</v>
      </c>
      <c r="W22" s="76" t="s">
        <v>1108</v>
      </c>
      <c r="X22" s="76" t="s">
        <v>1112</v>
      </c>
      <c r="Y22" s="77">
        <v>2368</v>
      </c>
      <c r="Z22" s="78">
        <v>2</v>
      </c>
      <c r="AA22" s="78">
        <v>2304</v>
      </c>
      <c r="AB22" s="78"/>
      <c r="AC22" s="78" t="s">
        <v>8</v>
      </c>
      <c r="AD22" s="78"/>
      <c r="AE22" s="78"/>
      <c r="AF22" s="78"/>
      <c r="AG22" s="78"/>
      <c r="AH22" s="78"/>
      <c r="AI22" s="78"/>
      <c r="AJ22" s="78">
        <v>576</v>
      </c>
      <c r="AK22" s="78" t="s">
        <v>8</v>
      </c>
      <c r="AL22" s="78" t="s">
        <v>8</v>
      </c>
      <c r="AM22" s="78" t="s">
        <v>8</v>
      </c>
      <c r="AN22" s="79">
        <f>(BK22-((CG22-CF22+1)/BH22/BF22+Z22+AW22))*IF(AY22="-",1,IF(RIGHT(C22,10)="LB-MF_auto",1,AY22))-IF(AND(RIGHT(C22,3)="DOL",AY22=2),SUM(AB22:AI22),IF(AND(RIGHT(C22,3)="DOL",AY22=3),SUM(AB22:AI23),SUM(AB22:AI22)))</f>
        <v>1437</v>
      </c>
      <c r="AO22" s="80">
        <f t="shared" ref="AO22:AO26" si="18">ROUNDDOWN(IF(BA22="-",AZ22/8*(1/BP22/1000)*AN22,BA22*(1/K22/1000)*AN22),2)</f>
        <v>12.63</v>
      </c>
      <c r="AP22" s="72">
        <v>4096</v>
      </c>
      <c r="AQ22" s="72">
        <v>4096</v>
      </c>
      <c r="AR22" s="72" t="s">
        <v>8</v>
      </c>
      <c r="AS22" s="72" t="s">
        <v>8</v>
      </c>
      <c r="AT22" s="72" t="s">
        <v>8</v>
      </c>
      <c r="AU22" s="79">
        <f t="shared" si="5"/>
        <v>6837</v>
      </c>
      <c r="AV22" s="81">
        <f t="shared" si="6"/>
        <v>4.98</v>
      </c>
      <c r="AW22" s="77">
        <v>48</v>
      </c>
      <c r="AX22" s="72">
        <v>3791</v>
      </c>
      <c r="AY22" s="72" t="s">
        <v>8</v>
      </c>
      <c r="AZ22" s="72">
        <v>11904</v>
      </c>
      <c r="BA22" s="72">
        <v>211</v>
      </c>
      <c r="BB22" s="77"/>
      <c r="BC22" s="81">
        <f t="shared" si="7"/>
        <v>8.79</v>
      </c>
      <c r="BD22" s="77"/>
      <c r="BE22" s="72">
        <v>1</v>
      </c>
      <c r="BF22" s="72">
        <v>1</v>
      </c>
      <c r="BG22" s="72">
        <v>2</v>
      </c>
      <c r="BH22" s="72">
        <v>2</v>
      </c>
      <c r="BI22" s="82">
        <v>1</v>
      </c>
      <c r="BJ22" s="82">
        <v>1</v>
      </c>
      <c r="BK22" s="83">
        <v>3791</v>
      </c>
      <c r="BL22" s="73">
        <v>1</v>
      </c>
      <c r="BM22" s="74">
        <f t="shared" si="8"/>
        <v>2400</v>
      </c>
      <c r="BN22" s="73">
        <v>2</v>
      </c>
      <c r="BO22" s="73">
        <v>6</v>
      </c>
      <c r="BP22" s="74">
        <f t="shared" si="9"/>
        <v>170</v>
      </c>
      <c r="BQ22" s="73">
        <v>2</v>
      </c>
      <c r="BR22" s="84">
        <f t="shared" si="10"/>
        <v>1020</v>
      </c>
      <c r="BS22" s="73">
        <v>6</v>
      </c>
      <c r="BT22" s="84">
        <f t="shared" si="11"/>
        <v>28.3333333333333</v>
      </c>
      <c r="BU22" s="85">
        <v>2</v>
      </c>
      <c r="BV22" s="84">
        <f t="shared" si="12"/>
        <v>85</v>
      </c>
      <c r="BW22" s="85">
        <v>14</v>
      </c>
      <c r="BX22" s="84">
        <f t="shared" si="13"/>
        <v>171.428571428571</v>
      </c>
      <c r="BY22" s="85"/>
      <c r="BZ22" s="84"/>
      <c r="CA22" s="83">
        <v>1</v>
      </c>
      <c r="CB22" s="72" t="s">
        <v>1110</v>
      </c>
      <c r="CC22" s="86"/>
      <c r="CD22" s="87">
        <v>0</v>
      </c>
      <c r="CE22" s="87">
        <v>8191</v>
      </c>
      <c r="CF22" s="87">
        <v>768</v>
      </c>
      <c r="CG22" s="87">
        <v>5375</v>
      </c>
      <c r="CH22" s="86"/>
      <c r="CI22" s="73">
        <v>4096</v>
      </c>
      <c r="CJ22" s="72">
        <v>2304</v>
      </c>
      <c r="CK22" s="86"/>
      <c r="CL22" s="72" t="s">
        <v>8</v>
      </c>
      <c r="CM22" s="86"/>
      <c r="CN22" s="72" t="s">
        <v>8</v>
      </c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33"/>
      <c r="DA22" s="86"/>
      <c r="DB22" s="86"/>
      <c r="DC22" s="86"/>
      <c r="DD22" s="86"/>
      <c r="DE22" s="86"/>
      <c r="DF22" s="86"/>
      <c r="DG22" s="86"/>
      <c r="DH22" s="86"/>
      <c r="DI22" s="86"/>
      <c r="DJ22" s="86"/>
      <c r="DK22" s="86"/>
      <c r="DL22" s="86"/>
      <c r="DM22" s="86"/>
      <c r="DN22" s="86"/>
      <c r="DO22" s="86"/>
      <c r="DP22" s="86"/>
      <c r="DQ22" s="86"/>
      <c r="DR22" s="86"/>
    </row>
    <row r="23" s="27" customFormat="1" spans="1:122">
      <c r="A23" s="58"/>
      <c r="B23" s="69">
        <v>12</v>
      </c>
      <c r="C23" s="70" t="s">
        <v>1106</v>
      </c>
      <c r="D23" s="71" t="s">
        <v>727</v>
      </c>
      <c r="E23" s="72" t="s">
        <v>1111</v>
      </c>
      <c r="F23" s="72" t="s">
        <v>1111</v>
      </c>
      <c r="G23" s="72">
        <v>2048</v>
      </c>
      <c r="H23" s="72">
        <v>1152</v>
      </c>
      <c r="I23" s="72">
        <v>3</v>
      </c>
      <c r="J23" s="72" t="s">
        <v>1107</v>
      </c>
      <c r="K23" s="73">
        <v>24</v>
      </c>
      <c r="L23" s="73">
        <v>3</v>
      </c>
      <c r="M23" s="73">
        <v>300</v>
      </c>
      <c r="N23" s="74">
        <f t="shared" si="0"/>
        <v>2400</v>
      </c>
      <c r="O23" s="73">
        <v>3</v>
      </c>
      <c r="P23" s="73">
        <v>255</v>
      </c>
      <c r="Q23" s="74">
        <f t="shared" si="1"/>
        <v>2040</v>
      </c>
      <c r="R23" s="75">
        <f t="shared" si="2"/>
        <v>1645.71428571429</v>
      </c>
      <c r="S23" s="75">
        <f t="shared" si="3"/>
        <v>2400</v>
      </c>
      <c r="T23" s="75">
        <f t="shared" si="4"/>
        <v>1360</v>
      </c>
      <c r="U23" s="75">
        <f>ROUNDDOWN(IF(BA23="-",BP23*10^6/AZ23*8,K23*10^6/BA23)/(AX23*IF(AY23="-",1,IF(RIGHT(C23,10)="LB-MF_auto",1,AY23))+IF(C23="2exp LB-MF_manual",AX24,0)+IF(C23="3exp LB-MF_manual",AX24+AX25,0)),2)</f>
        <v>120.04</v>
      </c>
      <c r="V23" s="75">
        <f>ROUNDDOWN(IF(BA23="-",BP23*10^6/AZ23*8,K23*10^6/BA23)/(Y23*IF(AY23="-",1,IF(RIGHT(C23,10)="LB-MF_auto",1,AY23))+IF(C23="2exp LB-MF_manual",Y24,0)+IF(C23="3exp LB-MF_manual",Y24+Y25,0)),2)</f>
        <v>167.5</v>
      </c>
      <c r="W23" s="76" t="s">
        <v>1108</v>
      </c>
      <c r="X23" s="76" t="s">
        <v>1112</v>
      </c>
      <c r="Y23" s="77">
        <v>1204</v>
      </c>
      <c r="Z23" s="78">
        <v>2</v>
      </c>
      <c r="AA23" s="78">
        <v>1152</v>
      </c>
      <c r="AB23" s="78"/>
      <c r="AC23" s="78" t="s">
        <v>8</v>
      </c>
      <c r="AD23" s="78"/>
      <c r="AE23" s="78"/>
      <c r="AF23" s="78"/>
      <c r="AG23" s="78"/>
      <c r="AH23" s="78"/>
      <c r="AI23" s="78"/>
      <c r="AJ23" s="78">
        <v>288</v>
      </c>
      <c r="AK23" s="78" t="s">
        <v>8</v>
      </c>
      <c r="AL23" s="78" t="s">
        <v>8</v>
      </c>
      <c r="AM23" s="78" t="s">
        <v>8</v>
      </c>
      <c r="AN23" s="79">
        <f>(BK23-((CG23-CF23+1)/BH23/BF23+Z23+AW23))*IF(AY23="-",1,IF(RIGHT(C23,10)="LB-MF_auto",1,AY23))-IF(AND(RIGHT(C23,3)="DOL",AY23=2),SUM(AB23:AI24),IF(AND(RIGHT(C23,3)="DOL",AY23=3),SUM(AB23:AI25),SUM(AB23:AI23)))</f>
        <v>496</v>
      </c>
      <c r="AO23" s="80">
        <f t="shared" si="18"/>
        <v>2.45</v>
      </c>
      <c r="AP23" s="72">
        <v>2048</v>
      </c>
      <c r="AQ23" s="72">
        <v>2048</v>
      </c>
      <c r="AR23" s="72" t="s">
        <v>8</v>
      </c>
      <c r="AS23" s="72" t="s">
        <v>8</v>
      </c>
      <c r="AT23" s="72" t="s">
        <v>8</v>
      </c>
      <c r="AU23" s="79">
        <f t="shared" si="5"/>
        <v>5500</v>
      </c>
      <c r="AV23" s="81">
        <f t="shared" si="6"/>
        <v>3.34</v>
      </c>
      <c r="AW23" s="77">
        <v>30</v>
      </c>
      <c r="AX23" s="72">
        <v>1680</v>
      </c>
      <c r="AY23" s="72" t="s">
        <v>8</v>
      </c>
      <c r="AZ23" s="72">
        <v>6728</v>
      </c>
      <c r="BA23" s="72">
        <v>119</v>
      </c>
      <c r="BB23" s="77"/>
      <c r="BC23" s="81">
        <f t="shared" si="7"/>
        <v>4.95</v>
      </c>
      <c r="BD23" s="77"/>
      <c r="BE23" s="72">
        <v>1</v>
      </c>
      <c r="BF23" s="72">
        <v>1</v>
      </c>
      <c r="BG23" s="72">
        <v>4</v>
      </c>
      <c r="BH23" s="72">
        <v>4</v>
      </c>
      <c r="BI23" s="82">
        <v>1</v>
      </c>
      <c r="BJ23" s="82">
        <v>1</v>
      </c>
      <c r="BK23" s="83">
        <v>1680</v>
      </c>
      <c r="BL23" s="73">
        <v>1</v>
      </c>
      <c r="BM23" s="74">
        <f t="shared" si="8"/>
        <v>2400</v>
      </c>
      <c r="BN23" s="73">
        <v>2</v>
      </c>
      <c r="BO23" s="73">
        <v>6</v>
      </c>
      <c r="BP23" s="74">
        <f t="shared" si="9"/>
        <v>170</v>
      </c>
      <c r="BQ23" s="73">
        <v>2</v>
      </c>
      <c r="BR23" s="84">
        <f t="shared" si="10"/>
        <v>1020</v>
      </c>
      <c r="BS23" s="73">
        <v>6</v>
      </c>
      <c r="BT23" s="84">
        <f t="shared" si="11"/>
        <v>28.3333333333333</v>
      </c>
      <c r="BU23" s="85">
        <v>2</v>
      </c>
      <c r="BV23" s="84">
        <f t="shared" si="12"/>
        <v>85</v>
      </c>
      <c r="BW23" s="85">
        <v>14</v>
      </c>
      <c r="BX23" s="84">
        <f t="shared" si="13"/>
        <v>171.428571428571</v>
      </c>
      <c r="BY23" s="85"/>
      <c r="BZ23" s="84"/>
      <c r="CA23" s="83">
        <v>1</v>
      </c>
      <c r="CB23" s="72" t="s">
        <v>1110</v>
      </c>
      <c r="CC23" s="86"/>
      <c r="CD23" s="87">
        <v>0</v>
      </c>
      <c r="CE23" s="87">
        <v>8191</v>
      </c>
      <c r="CF23" s="87">
        <v>768</v>
      </c>
      <c r="CG23" s="87">
        <v>5375</v>
      </c>
      <c r="CH23" s="86"/>
      <c r="CI23" s="73">
        <v>2048</v>
      </c>
      <c r="CJ23" s="72">
        <v>1152</v>
      </c>
      <c r="CK23" s="86"/>
      <c r="CL23" s="72" t="s">
        <v>8</v>
      </c>
      <c r="CM23" s="86"/>
      <c r="CN23" s="72" t="s">
        <v>8</v>
      </c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33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</row>
    <row r="24" s="27" customFormat="1" spans="1:122">
      <c r="A24" s="58"/>
      <c r="B24" s="69">
        <v>13</v>
      </c>
      <c r="C24" s="70" t="s">
        <v>1106</v>
      </c>
      <c r="D24" s="71" t="s">
        <v>725</v>
      </c>
      <c r="E24" s="72" t="s">
        <v>1111</v>
      </c>
      <c r="F24" s="72" t="s">
        <v>1111</v>
      </c>
      <c r="G24" s="72">
        <v>3840</v>
      </c>
      <c r="H24" s="72">
        <v>2160</v>
      </c>
      <c r="I24" s="72">
        <v>3</v>
      </c>
      <c r="J24" s="72" t="s">
        <v>1107</v>
      </c>
      <c r="K24" s="73">
        <v>24</v>
      </c>
      <c r="L24" s="73">
        <v>3</v>
      </c>
      <c r="M24" s="73">
        <v>300</v>
      </c>
      <c r="N24" s="74">
        <f t="shared" si="0"/>
        <v>2400</v>
      </c>
      <c r="O24" s="73">
        <v>3</v>
      </c>
      <c r="P24" s="73">
        <v>255</v>
      </c>
      <c r="Q24" s="74">
        <f t="shared" si="1"/>
        <v>2040</v>
      </c>
      <c r="R24" s="75">
        <f t="shared" si="2"/>
        <v>1645.71428571429</v>
      </c>
      <c r="S24" s="75">
        <f t="shared" si="3"/>
        <v>2400</v>
      </c>
      <c r="T24" s="75">
        <f t="shared" si="4"/>
        <v>1360</v>
      </c>
      <c r="U24" s="75">
        <f>ROUNDDOWN(IF(BA24="-",BP24*10^6/AZ24*8,K24*10^6/BA24)/(AX24*IF(AY24="-",1,IF(RIGHT(C24,10)="LB-MF_auto",1,AY24))+IF(C24="2exp LB-MF_manual",AX25,0)+IF(C24="3exp LB-MF_manual",AX25+AX26,0)),2)</f>
        <v>60.01</v>
      </c>
      <c r="V24" s="75">
        <f>ROUNDDOWN(IF(BA24="-",BP24*10^6/AZ24*8,K24*10^6/BA24)/(Y24*IF(AY24="-",1,IF(RIGHT(C24,10)="LB-MF_auto",1,AY24))+IF(C24="2exp LB-MF_manual",Y25,0)+IF(C24="3exp LB-MF_manual",Y25+Y26,0)),2)</f>
        <v>85.64</v>
      </c>
      <c r="W24" s="76" t="s">
        <v>1108</v>
      </c>
      <c r="X24" s="76" t="s">
        <v>1112</v>
      </c>
      <c r="Y24" s="77">
        <v>2224</v>
      </c>
      <c r="Z24" s="78">
        <v>2</v>
      </c>
      <c r="AA24" s="78">
        <v>2160</v>
      </c>
      <c r="AB24" s="78"/>
      <c r="AC24" s="78" t="s">
        <v>8</v>
      </c>
      <c r="AD24" s="78"/>
      <c r="AE24" s="78"/>
      <c r="AF24" s="78"/>
      <c r="AG24" s="78"/>
      <c r="AH24" s="78"/>
      <c r="AI24" s="78"/>
      <c r="AJ24" s="78" t="s">
        <v>8</v>
      </c>
      <c r="AK24" s="78">
        <v>528</v>
      </c>
      <c r="AL24" s="78" t="s">
        <v>8</v>
      </c>
      <c r="AM24" s="78" t="s">
        <v>8</v>
      </c>
      <c r="AN24" s="79">
        <f>(BK24-((CG24-CF24+1)/BH24/BF24+Z24+AW24))*IF(AY24="-",1,IF(RIGHT(C24,10)="LB-MF_auto",1,AY24))-IF(AND(RIGHT(C24,3)="DOL",AY24=2),SUM(AB24:AI25),IF(AND(RIGHT(C24,3)="DOL",AY24=3),SUM(AB24:AI26),SUM(AB24:AI24)))</f>
        <v>964</v>
      </c>
      <c r="AO24" s="80">
        <f t="shared" si="18"/>
        <v>5.06</v>
      </c>
      <c r="AP24" s="72">
        <v>3840</v>
      </c>
      <c r="AQ24" s="72" t="s">
        <v>8</v>
      </c>
      <c r="AR24" s="72">
        <v>480</v>
      </c>
      <c r="AS24" s="72" t="s">
        <v>8</v>
      </c>
      <c r="AT24" s="72" t="s">
        <v>8</v>
      </c>
      <c r="AU24" s="79">
        <f t="shared" si="5"/>
        <v>4700</v>
      </c>
      <c r="AV24" s="81">
        <f t="shared" si="6"/>
        <v>2.85</v>
      </c>
      <c r="AW24" s="77">
        <v>48</v>
      </c>
      <c r="AX24" s="72">
        <v>3174</v>
      </c>
      <c r="AY24" s="72" t="s">
        <v>8</v>
      </c>
      <c r="AZ24" s="72">
        <v>7136</v>
      </c>
      <c r="BA24" s="72">
        <v>126</v>
      </c>
      <c r="BB24" s="77"/>
      <c r="BC24" s="81">
        <f t="shared" si="7"/>
        <v>5.25</v>
      </c>
      <c r="BD24" s="77"/>
      <c r="BE24" s="72">
        <v>1</v>
      </c>
      <c r="BF24" s="72">
        <v>1</v>
      </c>
      <c r="BG24" s="72">
        <v>2</v>
      </c>
      <c r="BH24" s="72">
        <v>2</v>
      </c>
      <c r="BI24" s="82">
        <v>1</v>
      </c>
      <c r="BJ24" s="82">
        <v>1</v>
      </c>
      <c r="BK24" s="83">
        <v>3174</v>
      </c>
      <c r="BL24" s="73">
        <v>1</v>
      </c>
      <c r="BM24" s="74">
        <f t="shared" si="8"/>
        <v>2400</v>
      </c>
      <c r="BN24" s="73">
        <v>2</v>
      </c>
      <c r="BO24" s="73">
        <v>6</v>
      </c>
      <c r="BP24" s="74">
        <f t="shared" si="9"/>
        <v>170</v>
      </c>
      <c r="BQ24" s="73">
        <v>2</v>
      </c>
      <c r="BR24" s="84">
        <f t="shared" si="10"/>
        <v>1020</v>
      </c>
      <c r="BS24" s="73">
        <v>6</v>
      </c>
      <c r="BT24" s="84">
        <f t="shared" si="11"/>
        <v>28.3333333333333</v>
      </c>
      <c r="BU24" s="85">
        <v>2</v>
      </c>
      <c r="BV24" s="84">
        <f t="shared" si="12"/>
        <v>85</v>
      </c>
      <c r="BW24" s="85">
        <v>14</v>
      </c>
      <c r="BX24" s="84">
        <f t="shared" si="13"/>
        <v>171.428571428571</v>
      </c>
      <c r="BY24" s="85"/>
      <c r="BZ24" s="84"/>
      <c r="CA24" s="83">
        <v>0</v>
      </c>
      <c r="CB24" s="72" t="s">
        <v>1110</v>
      </c>
      <c r="CC24" s="86"/>
      <c r="CD24" s="87">
        <v>0</v>
      </c>
      <c r="CE24" s="87">
        <v>8191</v>
      </c>
      <c r="CF24" s="87">
        <v>912</v>
      </c>
      <c r="CG24" s="87">
        <v>5231</v>
      </c>
      <c r="CH24" s="86"/>
      <c r="CI24" s="73">
        <v>3840</v>
      </c>
      <c r="CJ24" s="72">
        <v>2160</v>
      </c>
      <c r="CK24" s="86"/>
      <c r="CL24" s="72" t="s">
        <v>8</v>
      </c>
      <c r="CM24" s="86"/>
      <c r="CN24" s="72" t="s">
        <v>8</v>
      </c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33"/>
      <c r="DA24" s="86"/>
      <c r="DB24" s="86"/>
      <c r="DC24" s="86"/>
      <c r="DD24" s="86"/>
      <c r="DE24" s="86"/>
      <c r="DF24" s="86"/>
      <c r="DG24" s="86"/>
      <c r="DH24" s="86"/>
      <c r="DI24" s="86"/>
      <c r="DJ24" s="86"/>
      <c r="DK24" s="86"/>
      <c r="DL24" s="86"/>
      <c r="DM24" s="86"/>
      <c r="DN24" s="86"/>
      <c r="DO24" s="86"/>
      <c r="DP24" s="86"/>
      <c r="DQ24" s="86"/>
      <c r="DR24" s="86"/>
    </row>
    <row r="25" s="27" customFormat="1" spans="1:122">
      <c r="A25" s="58"/>
      <c r="B25" s="69">
        <v>14</v>
      </c>
      <c r="C25" s="70" t="s">
        <v>1106</v>
      </c>
      <c r="D25" s="71" t="s">
        <v>727</v>
      </c>
      <c r="E25" s="72" t="s">
        <v>1111</v>
      </c>
      <c r="F25" s="72" t="s">
        <v>1111</v>
      </c>
      <c r="G25" s="72">
        <v>2048</v>
      </c>
      <c r="H25" s="72">
        <v>1152</v>
      </c>
      <c r="I25" s="72">
        <v>3</v>
      </c>
      <c r="J25" s="72" t="s">
        <v>1107</v>
      </c>
      <c r="K25" s="73">
        <v>24</v>
      </c>
      <c r="L25" s="73">
        <v>3</v>
      </c>
      <c r="M25" s="73">
        <v>300</v>
      </c>
      <c r="N25" s="74">
        <f t="shared" si="0"/>
        <v>2400</v>
      </c>
      <c r="O25" s="73">
        <v>3</v>
      </c>
      <c r="P25" s="73">
        <v>255</v>
      </c>
      <c r="Q25" s="74">
        <f t="shared" si="1"/>
        <v>2040</v>
      </c>
      <c r="R25" s="75">
        <f t="shared" si="2"/>
        <v>1645.71428571429</v>
      </c>
      <c r="S25" s="75">
        <f t="shared" si="3"/>
        <v>2400</v>
      </c>
      <c r="T25" s="75">
        <f t="shared" si="4"/>
        <v>1360</v>
      </c>
      <c r="U25" s="75">
        <f>ROUNDDOWN(IF(BA25="-",BP25*10^6/AZ25*8,K25*10^6/BA25)/(AX25*IF(AY25="-",1,IF(RIGHT(C25,10)="LB-MF_auto",1,AY25))+IF(C25="2exp LB-MF_manual",AX26,0)+IF(C25="3exp LB-MF_manual",AX26+AX27,0)),2)</f>
        <v>30</v>
      </c>
      <c r="V25" s="75">
        <f>ROUNDDOWN(IF(BA25="-",BP25*10^6/AZ25*8,K25*10^6/BA25)/(Y25*IF(AY25="-",1,IF(RIGHT(C25,10)="LB-MF_auto",1,AY25))+IF(C25="2exp LB-MF_manual",Y26,0)+IF(C25="3exp LB-MF_manual",Y26+Y27,0)),2)</f>
        <v>167.5</v>
      </c>
      <c r="W25" s="76" t="s">
        <v>1108</v>
      </c>
      <c r="X25" s="76" t="s">
        <v>1112</v>
      </c>
      <c r="Y25" s="77">
        <v>1204</v>
      </c>
      <c r="Z25" s="78">
        <v>2</v>
      </c>
      <c r="AA25" s="78">
        <v>1152</v>
      </c>
      <c r="AB25" s="78"/>
      <c r="AC25" s="78" t="s">
        <v>8</v>
      </c>
      <c r="AD25" s="78"/>
      <c r="AE25" s="78"/>
      <c r="AF25" s="78"/>
      <c r="AG25" s="78"/>
      <c r="AH25" s="78"/>
      <c r="AI25" s="78"/>
      <c r="AJ25" s="78">
        <v>288</v>
      </c>
      <c r="AK25" s="78" t="s">
        <v>8</v>
      </c>
      <c r="AL25" s="78" t="s">
        <v>8</v>
      </c>
      <c r="AM25" s="78" t="s">
        <v>8</v>
      </c>
      <c r="AN25" s="79">
        <f>(BK25-((CG25-CF25+1)/BH25/BF25+Z25+AW25))*IF(AY25="-",1,IF(RIGHT(C25,10)="LB-MF_auto",1,AY25))-IF(AND(RIGHT(C25,3)="DOL",AY25=2),SUM(AB25:AI26),IF(AND(RIGHT(C25,3)="DOL",AY25=3),SUM(AB25:AI27),SUM(AB25:AI25)))</f>
        <v>5538</v>
      </c>
      <c r="AO25" s="80">
        <f t="shared" si="18"/>
        <v>27.45</v>
      </c>
      <c r="AP25" s="72">
        <v>2048</v>
      </c>
      <c r="AQ25" s="72">
        <v>2048</v>
      </c>
      <c r="AR25" s="72" t="s">
        <v>8</v>
      </c>
      <c r="AS25" s="72" t="s">
        <v>8</v>
      </c>
      <c r="AT25" s="72" t="s">
        <v>8</v>
      </c>
      <c r="AU25" s="79">
        <f t="shared" si="5"/>
        <v>5500</v>
      </c>
      <c r="AV25" s="81">
        <f t="shared" si="6"/>
        <v>3.34</v>
      </c>
      <c r="AW25" s="77">
        <v>30</v>
      </c>
      <c r="AX25" s="72">
        <v>6722</v>
      </c>
      <c r="AY25" s="72" t="s">
        <v>8</v>
      </c>
      <c r="AZ25" s="72">
        <v>6728</v>
      </c>
      <c r="BA25" s="72">
        <v>119</v>
      </c>
      <c r="BB25" s="77"/>
      <c r="BC25" s="81">
        <f t="shared" si="7"/>
        <v>4.95</v>
      </c>
      <c r="BD25" s="77"/>
      <c r="BE25" s="72">
        <v>1</v>
      </c>
      <c r="BF25" s="72">
        <v>1</v>
      </c>
      <c r="BG25" s="72">
        <v>4</v>
      </c>
      <c r="BH25" s="72">
        <v>4</v>
      </c>
      <c r="BI25" s="82">
        <v>1</v>
      </c>
      <c r="BJ25" s="82">
        <v>1</v>
      </c>
      <c r="BK25" s="83">
        <v>6722</v>
      </c>
      <c r="BL25" s="73">
        <v>1</v>
      </c>
      <c r="BM25" s="74">
        <f t="shared" si="8"/>
        <v>2400</v>
      </c>
      <c r="BN25" s="73">
        <v>2</v>
      </c>
      <c r="BO25" s="73">
        <v>6</v>
      </c>
      <c r="BP25" s="74">
        <f t="shared" si="9"/>
        <v>170</v>
      </c>
      <c r="BQ25" s="73">
        <v>2</v>
      </c>
      <c r="BR25" s="84">
        <f t="shared" si="10"/>
        <v>1020</v>
      </c>
      <c r="BS25" s="73">
        <v>6</v>
      </c>
      <c r="BT25" s="84">
        <f t="shared" si="11"/>
        <v>28.3333333333333</v>
      </c>
      <c r="BU25" s="85">
        <v>2</v>
      </c>
      <c r="BV25" s="84">
        <f t="shared" si="12"/>
        <v>85</v>
      </c>
      <c r="BW25" s="85">
        <v>14</v>
      </c>
      <c r="BX25" s="84">
        <f t="shared" si="13"/>
        <v>171.428571428571</v>
      </c>
      <c r="BY25" s="85"/>
      <c r="BZ25" s="84"/>
      <c r="CA25" s="83">
        <v>1</v>
      </c>
      <c r="CB25" s="72" t="s">
        <v>1110</v>
      </c>
      <c r="CC25" s="86"/>
      <c r="CD25" s="87">
        <v>0</v>
      </c>
      <c r="CE25" s="87">
        <v>8191</v>
      </c>
      <c r="CF25" s="87">
        <v>768</v>
      </c>
      <c r="CG25" s="87">
        <v>5375</v>
      </c>
      <c r="CH25" s="86"/>
      <c r="CI25" s="73">
        <v>2048</v>
      </c>
      <c r="CJ25" s="72">
        <v>1152</v>
      </c>
      <c r="CK25" s="86"/>
      <c r="CL25" s="72" t="s">
        <v>8</v>
      </c>
      <c r="CM25" s="86"/>
      <c r="CN25" s="72" t="s">
        <v>8</v>
      </c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33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</row>
    <row r="26" s="27" customFormat="1" spans="1:122">
      <c r="A26" s="58"/>
      <c r="B26" s="69" t="s">
        <v>1119</v>
      </c>
      <c r="C26" s="70" t="s">
        <v>1106</v>
      </c>
      <c r="D26" s="71" t="s">
        <v>723</v>
      </c>
      <c r="E26" s="72" t="s">
        <v>1111</v>
      </c>
      <c r="F26" s="72" t="s">
        <v>1111</v>
      </c>
      <c r="G26" s="72">
        <v>4096</v>
      </c>
      <c r="H26" s="72">
        <v>3072</v>
      </c>
      <c r="I26" s="72">
        <v>3</v>
      </c>
      <c r="J26" s="72" t="s">
        <v>1107</v>
      </c>
      <c r="K26" s="73">
        <v>24</v>
      </c>
      <c r="L26" s="73">
        <v>3</v>
      </c>
      <c r="M26" s="73">
        <v>300</v>
      </c>
      <c r="N26" s="74">
        <f t="shared" si="0"/>
        <v>2400</v>
      </c>
      <c r="O26" s="73">
        <v>3</v>
      </c>
      <c r="P26" s="73">
        <v>255</v>
      </c>
      <c r="Q26" s="74">
        <f t="shared" si="1"/>
        <v>2040</v>
      </c>
      <c r="R26" s="75">
        <f t="shared" si="2"/>
        <v>1645.71428571429</v>
      </c>
      <c r="S26" s="75">
        <f t="shared" si="3"/>
        <v>2400</v>
      </c>
      <c r="T26" s="75">
        <f t="shared" si="4"/>
        <v>1360</v>
      </c>
      <c r="U26" s="75">
        <f>ROUNDDOWN(IF(BA26="-",BP26*10^6/AZ26*8,K26*10^6/BA26)/(AX26*IF(AY26="-",1,IF(RIGHT(C26,10)="LB-MF_auto",1,AY26))+IF(C26="2exp LB-MF_manual",AX27,0)+IF(C26="3exp LB-MF_manual",AX27+AX28,0)),2)</f>
        <v>30</v>
      </c>
      <c r="V26" s="75">
        <f>ROUNDDOWN(IF(BA26="-",BP26*10^6/AZ26*8,K26*10^6/BA26)/(Y26*IF(AY26="-",1,IF(RIGHT(C26,10)="LB-MF_auto",1,AY26))+IF(C26="2exp LB-MF_manual",Y27,0)+IF(C26="3exp LB-MF_manual",Y27+Y28,0)),2)</f>
        <v>36.27</v>
      </c>
      <c r="W26" s="76" t="s">
        <v>1108</v>
      </c>
      <c r="X26" s="76" t="s">
        <v>1112</v>
      </c>
      <c r="Y26" s="77">
        <v>3136</v>
      </c>
      <c r="Z26" s="78">
        <v>2</v>
      </c>
      <c r="AA26" s="78">
        <v>3072</v>
      </c>
      <c r="AB26" s="78"/>
      <c r="AC26" s="78" t="s">
        <v>8</v>
      </c>
      <c r="AD26" s="78"/>
      <c r="AE26" s="78"/>
      <c r="AF26" s="78"/>
      <c r="AG26" s="78"/>
      <c r="AH26" s="78"/>
      <c r="AI26" s="78"/>
      <c r="AJ26" s="78">
        <v>768</v>
      </c>
      <c r="AK26" s="78" t="s">
        <v>8</v>
      </c>
      <c r="AL26" s="78" t="s">
        <v>8</v>
      </c>
      <c r="AM26" s="78" t="s">
        <v>8</v>
      </c>
      <c r="AN26" s="79">
        <f>(BK26-((CG26-CF26+1)/BH26/BF26+Z26+AW26))*IF(AY26="-",1,IF(RIGHT(C26,10)="LB-MF_auto",1,AY26))-IF(AND(RIGHT(C26,3)="DOL",AY26=2),SUM(AB26:AI27),IF(AND(RIGHT(C26,3)="DOL",AY26=3),SUM(AB26:AI28),SUM(AB26:AI26)))</f>
        <v>669</v>
      </c>
      <c r="AO26" s="80">
        <f t="shared" si="18"/>
        <v>5.88</v>
      </c>
      <c r="AP26" s="72">
        <v>4096</v>
      </c>
      <c r="AQ26" s="72">
        <v>4096</v>
      </c>
      <c r="AR26" s="72" t="s">
        <v>8</v>
      </c>
      <c r="AS26" s="72" t="s">
        <v>8</v>
      </c>
      <c r="AT26" s="72" t="s">
        <v>8</v>
      </c>
      <c r="AU26" s="79">
        <f t="shared" si="5"/>
        <v>9248</v>
      </c>
      <c r="AV26" s="81">
        <f t="shared" si="6"/>
        <v>5.61</v>
      </c>
      <c r="AW26" s="77">
        <v>48</v>
      </c>
      <c r="AX26" s="72">
        <v>3791</v>
      </c>
      <c r="AY26" s="72" t="s">
        <v>8</v>
      </c>
      <c r="AZ26" s="72">
        <v>11904</v>
      </c>
      <c r="BA26" s="72">
        <v>211</v>
      </c>
      <c r="BB26" s="77"/>
      <c r="BC26" s="81">
        <f t="shared" si="7"/>
        <v>8.79</v>
      </c>
      <c r="BD26" s="77"/>
      <c r="BE26" s="72">
        <v>1</v>
      </c>
      <c r="BF26" s="72">
        <v>1</v>
      </c>
      <c r="BG26" s="72">
        <v>2</v>
      </c>
      <c r="BH26" s="72">
        <v>2</v>
      </c>
      <c r="BI26" s="82">
        <v>1</v>
      </c>
      <c r="BJ26" s="82">
        <v>1</v>
      </c>
      <c r="BK26" s="83">
        <v>3791</v>
      </c>
      <c r="BL26" s="73">
        <v>1</v>
      </c>
      <c r="BM26" s="74">
        <f t="shared" si="8"/>
        <v>2400</v>
      </c>
      <c r="BN26" s="73">
        <v>2</v>
      </c>
      <c r="BO26" s="73">
        <v>6</v>
      </c>
      <c r="BP26" s="74">
        <f t="shared" si="9"/>
        <v>170</v>
      </c>
      <c r="BQ26" s="73">
        <v>2</v>
      </c>
      <c r="BR26" s="84">
        <f t="shared" si="10"/>
        <v>1020</v>
      </c>
      <c r="BS26" s="73">
        <v>6</v>
      </c>
      <c r="BT26" s="84">
        <f t="shared" si="11"/>
        <v>28.3333333333333</v>
      </c>
      <c r="BU26" s="85">
        <v>2</v>
      </c>
      <c r="BV26" s="84">
        <f t="shared" si="12"/>
        <v>85</v>
      </c>
      <c r="BW26" s="85">
        <v>14</v>
      </c>
      <c r="BX26" s="84">
        <f t="shared" si="13"/>
        <v>171.428571428571</v>
      </c>
      <c r="BY26" s="85"/>
      <c r="BZ26" s="84"/>
      <c r="CA26" s="83">
        <v>1</v>
      </c>
      <c r="CB26" s="72" t="s">
        <v>1110</v>
      </c>
      <c r="CC26" s="86"/>
      <c r="CD26" s="87">
        <v>0</v>
      </c>
      <c r="CE26" s="87">
        <v>8191</v>
      </c>
      <c r="CF26" s="87">
        <v>0</v>
      </c>
      <c r="CG26" s="87">
        <v>6143</v>
      </c>
      <c r="CH26" s="86"/>
      <c r="CI26" s="73">
        <v>4096</v>
      </c>
      <c r="CJ26" s="72">
        <v>3072</v>
      </c>
      <c r="CK26" s="86"/>
      <c r="CL26" s="72" t="s">
        <v>8</v>
      </c>
      <c r="CM26" s="86"/>
      <c r="CN26" s="72" t="s">
        <v>8</v>
      </c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33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</row>
    <row r="27" s="28" customFormat="1" spans="1:122">
      <c r="A27" s="58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100"/>
      <c r="X27" s="100"/>
      <c r="Y27" s="33"/>
      <c r="Z27" s="101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N27" s="33"/>
      <c r="CO27" s="102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</row>
    <row r="28" spans="1:122">
      <c r="B28" s="29"/>
      <c r="C28" s="103"/>
      <c r="D28" s="29"/>
      <c r="E28" s="29"/>
      <c r="F28" s="29"/>
      <c r="G28" s="103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33"/>
      <c r="W28" s="33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33"/>
      <c r="AJ28" s="29"/>
      <c r="AK28" s="29"/>
      <c r="AL28" s="29"/>
      <c r="AM28" s="29"/>
      <c r="AN28" s="29"/>
      <c r="AO28" s="29"/>
      <c r="AP28" s="29"/>
      <c r="AQ28" s="33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86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</row>
    <row r="29" spans="1:122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M29" s="33"/>
    </row>
    <row r="30" spans="1:122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M30" s="33"/>
    </row>
    <row r="31" spans="1:122">
      <c r="A31" s="33"/>
      <c r="B31" s="33" t="s">
        <v>1120</v>
      </c>
      <c r="C31" s="33"/>
    </row>
    <row r="32" spans="1:122">
      <c r="B32" s="30" t="s">
        <v>1121</v>
      </c>
    </row>
    <row r="33" spans="2:21">
      <c r="B33" s="30" t="s">
        <v>1122</v>
      </c>
      <c r="U33" s="104"/>
    </row>
    <row r="34" spans="2:21">
      <c r="B34" s="30" t="s">
        <v>1123</v>
      </c>
    </row>
  </sheetData>
  <mergeCells count="47">
    <mergeCell ref="Z6:AV6"/>
    <mergeCell ref="BL6:BX6"/>
    <mergeCell ref="E7:F7"/>
    <mergeCell ref="G7:H7"/>
    <mergeCell ref="L7:N7"/>
    <mergeCell ref="O7:Q7"/>
    <mergeCell ref="R7:S7"/>
    <mergeCell ref="Z7:AO7"/>
    <mergeCell ref="AP7:AV7"/>
    <mergeCell ref="BE7:BF7"/>
    <mergeCell ref="BG7:BH7"/>
    <mergeCell ref="BI7:BJ7"/>
    <mergeCell ref="BL7:BM7"/>
    <mergeCell ref="BN7:BP7"/>
    <mergeCell ref="BQ7:BR7"/>
    <mergeCell ref="BS7:BT7"/>
    <mergeCell ref="BU7:BV7"/>
    <mergeCell ref="BW7:BX7"/>
    <mergeCell ref="BY7:BZ7"/>
    <mergeCell ref="AN8:AO8"/>
    <mergeCell ref="AU8:AV8"/>
    <mergeCell ref="B7:B8"/>
    <mergeCell ref="B12:B13"/>
    <mergeCell ref="B20:B21"/>
    <mergeCell ref="C7:C8"/>
    <mergeCell ref="C12:C13"/>
    <mergeCell ref="C20:C21"/>
    <mergeCell ref="D7:D8"/>
    <mergeCell ref="I7:I8"/>
    <mergeCell ref="J7:J8"/>
    <mergeCell ref="K7:K8"/>
    <mergeCell ref="U7:U8"/>
    <mergeCell ref="U12:U13"/>
    <mergeCell ref="U20:U21"/>
    <mergeCell ref="V7:V8"/>
    <mergeCell ref="V12:V13"/>
    <mergeCell ref="V20:V21"/>
    <mergeCell ref="W7:W8"/>
    <mergeCell ref="X7:X8"/>
    <mergeCell ref="AN12:AN13"/>
    <mergeCell ref="AN20:AN21"/>
    <mergeCell ref="AO12:AO13"/>
    <mergeCell ref="AO20:AO21"/>
    <mergeCell ref="AX12:AX13"/>
    <mergeCell ref="AX20:AX21"/>
    <mergeCell ref="AY12:AY13"/>
    <mergeCell ref="AY20:AY21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3:G4044"/>
  <sheetViews>
    <sheetView showGridLines="0" workbookViewId="0">
      <pane ySplit="11" topLeftCell="A12" activePane="bottomLeft" state="frozen"/>
      <selection/>
      <selection pane="bottomLeft" activeCell="A1" sqref="A1"/>
    </sheetView>
  </sheetViews>
  <sheetFormatPr defaultColWidth="9" defaultRowHeight="13.2" outlineLevelCol="6"/>
  <cols>
    <col min="2" max="2" width="25.6296296296296" customWidth="1"/>
    <col min="3" max="4" width="28.1296296296296" customWidth="1"/>
  </cols>
  <sheetData>
    <row r="3" ht="36.6" spans="2:7">
      <c r="B3" s="18" t="s">
        <v>1124</v>
      </c>
      <c r="C3" s="18"/>
      <c r="G3" s="18"/>
    </row>
    <row r="4" ht="36.6" spans="2:7">
      <c r="C4" s="18"/>
    </row>
    <row r="5" ht="36.6" spans="2:7">
      <c r="C5" s="18"/>
    </row>
    <row r="6" ht="36.6" spans="2:7">
      <c r="C6" s="18"/>
    </row>
    <row r="11" ht="28.8" spans="2:7">
      <c r="B11" s="19" t="s">
        <v>1125</v>
      </c>
      <c r="C11" s="19" t="s">
        <v>1126</v>
      </c>
      <c r="D11" s="19" t="s">
        <v>1127</v>
      </c>
    </row>
    <row r="12" ht="14.4" spans="2:7">
      <c r="B12" s="20">
        <v>0</v>
      </c>
      <c r="C12" s="21">
        <f>20*LOG(D12)</f>
        <v>0</v>
      </c>
      <c r="D12" s="21">
        <f>16384/(16384-B12)</f>
        <v>1</v>
      </c>
    </row>
    <row r="13" ht="14.4" spans="2:7">
      <c r="B13" s="20">
        <v>4</v>
      </c>
      <c r="C13" s="21">
        <f t="shared" ref="C13:C76" si="0">20*LOG(D13)</f>
        <v>0.00212083742674126</v>
      </c>
      <c r="D13" s="21">
        <f t="shared" ref="D13:D76" si="1">16384/(16384-B13)</f>
        <v>1.0002442002442</v>
      </c>
    </row>
    <row r="14" ht="14.4" spans="2:7">
      <c r="B14" s="20">
        <v>8</v>
      </c>
      <c r="C14" s="21">
        <f t="shared" si="0"/>
        <v>0.00424219282574943</v>
      </c>
      <c r="D14" s="21">
        <f t="shared" si="1"/>
        <v>1.00048851978505</v>
      </c>
    </row>
    <row r="15" ht="14.4" spans="2:7">
      <c r="B15" s="20">
        <v>12</v>
      </c>
      <c r="C15" s="21">
        <f t="shared" si="0"/>
        <v>0.00636406645009594</v>
      </c>
      <c r="D15" s="21">
        <f t="shared" si="1"/>
        <v>1.00073295870999</v>
      </c>
    </row>
    <row r="16" ht="14.4" spans="2:7">
      <c r="B16" s="20">
        <v>16</v>
      </c>
      <c r="C16" s="21">
        <f t="shared" si="0"/>
        <v>0.00848645855303588</v>
      </c>
      <c r="D16" s="21">
        <f t="shared" si="1"/>
        <v>1.00097751710655</v>
      </c>
    </row>
    <row r="17" ht="14.4" spans="2:4">
      <c r="B17" s="20">
        <v>20</v>
      </c>
      <c r="C17" s="21">
        <f t="shared" si="0"/>
        <v>0.0106093693880112</v>
      </c>
      <c r="D17" s="21">
        <f t="shared" si="1"/>
        <v>1.00122219506233</v>
      </c>
    </row>
    <row r="18" ht="14.4" spans="2:4">
      <c r="B18" s="20">
        <v>24</v>
      </c>
      <c r="C18" s="21">
        <f t="shared" si="0"/>
        <v>0.01273279920865</v>
      </c>
      <c r="D18" s="21">
        <f t="shared" si="1"/>
        <v>1.00146699266504</v>
      </c>
    </row>
    <row r="19" ht="14.4" spans="2:4">
      <c r="B19" s="20">
        <v>28</v>
      </c>
      <c r="C19" s="21">
        <f t="shared" si="0"/>
        <v>0.0148567482687675</v>
      </c>
      <c r="D19" s="21">
        <f t="shared" si="1"/>
        <v>1.00171191000245</v>
      </c>
    </row>
    <row r="20" ht="14.4" spans="2:4">
      <c r="B20" s="20">
        <v>32</v>
      </c>
      <c r="C20" s="21">
        <f t="shared" si="0"/>
        <v>0.01698121682236</v>
      </c>
      <c r="D20" s="21">
        <f t="shared" si="1"/>
        <v>1.00195694716243</v>
      </c>
    </row>
    <row r="21" ht="14.4" spans="2:4">
      <c r="B21" s="20">
        <v>36</v>
      </c>
      <c r="C21" s="21">
        <f t="shared" si="0"/>
        <v>0.0191062051236172</v>
      </c>
      <c r="D21" s="21">
        <f t="shared" si="1"/>
        <v>1.00220210423293</v>
      </c>
    </row>
    <row r="22" ht="14.4" spans="2:4">
      <c r="B22" s="20">
        <v>40</v>
      </c>
      <c r="C22" s="21">
        <f t="shared" si="0"/>
        <v>0.0212317134269119</v>
      </c>
      <c r="D22" s="21">
        <f t="shared" si="1"/>
        <v>1.00244738130201</v>
      </c>
    </row>
    <row r="23" ht="14.4" spans="2:4">
      <c r="B23" s="20">
        <v>44</v>
      </c>
      <c r="C23" s="21">
        <f t="shared" si="0"/>
        <v>0.0233577419868014</v>
      </c>
      <c r="D23" s="21">
        <f t="shared" si="1"/>
        <v>1.00269277845777</v>
      </c>
    </row>
    <row r="24" ht="14.4" spans="2:4">
      <c r="B24" s="20">
        <v>48</v>
      </c>
      <c r="C24" s="21">
        <f t="shared" si="0"/>
        <v>0.0254842910580344</v>
      </c>
      <c r="D24" s="21">
        <f t="shared" si="1"/>
        <v>1.00293829578844</v>
      </c>
    </row>
    <row r="25" ht="14.4" spans="2:4">
      <c r="B25" s="20">
        <v>52</v>
      </c>
      <c r="C25" s="21">
        <f t="shared" si="0"/>
        <v>0.0276113608955443</v>
      </c>
      <c r="D25" s="21">
        <f t="shared" si="1"/>
        <v>1.00318393338232</v>
      </c>
    </row>
    <row r="26" ht="14.4" spans="2:4">
      <c r="B26" s="20">
        <v>56</v>
      </c>
      <c r="C26" s="21">
        <f t="shared" si="0"/>
        <v>0.0297389517544527</v>
      </c>
      <c r="D26" s="21">
        <f t="shared" si="1"/>
        <v>1.00342969132778</v>
      </c>
    </row>
    <row r="27" ht="14.4" spans="2:4">
      <c r="B27" s="20">
        <v>60</v>
      </c>
      <c r="C27" s="21">
        <f t="shared" si="0"/>
        <v>0.0318670638900681</v>
      </c>
      <c r="D27" s="21">
        <f t="shared" si="1"/>
        <v>1.00367556971331</v>
      </c>
    </row>
    <row r="28" ht="14.4" spans="2:4">
      <c r="B28" s="20">
        <v>64</v>
      </c>
      <c r="C28" s="21">
        <f t="shared" si="0"/>
        <v>0.0339956975578877</v>
      </c>
      <c r="D28" s="21">
        <f t="shared" si="1"/>
        <v>1.00392156862745</v>
      </c>
    </row>
    <row r="29" ht="14.4" spans="2:4">
      <c r="B29" s="20">
        <v>68</v>
      </c>
      <c r="C29" s="21">
        <f t="shared" si="0"/>
        <v>0.0361248530135943</v>
      </c>
      <c r="D29" s="21">
        <f t="shared" si="1"/>
        <v>1.00416768815886</v>
      </c>
    </row>
    <row r="30" ht="14.4" spans="2:4">
      <c r="B30" s="20">
        <v>72</v>
      </c>
      <c r="C30" s="21">
        <f t="shared" si="0"/>
        <v>0.0382545305130635</v>
      </c>
      <c r="D30" s="21">
        <f t="shared" si="1"/>
        <v>1.00441392839627</v>
      </c>
    </row>
    <row r="31" ht="14.4" spans="2:4">
      <c r="B31" s="20">
        <v>76</v>
      </c>
      <c r="C31" s="21">
        <f t="shared" si="0"/>
        <v>0.0403847303123512</v>
      </c>
      <c r="D31" s="21">
        <f t="shared" si="1"/>
        <v>1.0046602894285</v>
      </c>
    </row>
    <row r="32" ht="14.4" spans="2:4">
      <c r="B32" s="20">
        <v>80</v>
      </c>
      <c r="C32" s="21">
        <f t="shared" si="0"/>
        <v>0.0425154526677105</v>
      </c>
      <c r="D32" s="21">
        <f t="shared" si="1"/>
        <v>1.00490677134446</v>
      </c>
    </row>
    <row r="33" ht="14.4" spans="2:4">
      <c r="B33" s="20">
        <v>84</v>
      </c>
      <c r="C33" s="21">
        <f t="shared" si="0"/>
        <v>0.044646697835579</v>
      </c>
      <c r="D33" s="21">
        <f t="shared" si="1"/>
        <v>1.00515337423313</v>
      </c>
    </row>
    <row r="34" ht="14.4" spans="2:4">
      <c r="B34" s="20">
        <v>88</v>
      </c>
      <c r="C34" s="21">
        <f t="shared" si="0"/>
        <v>0.0467784660725804</v>
      </c>
      <c r="D34" s="21">
        <f t="shared" si="1"/>
        <v>1.0054000981836</v>
      </c>
    </row>
    <row r="35" ht="14.4" spans="2:4">
      <c r="B35" s="20">
        <v>92</v>
      </c>
      <c r="C35" s="21">
        <f t="shared" si="0"/>
        <v>0.048910757635533</v>
      </c>
      <c r="D35" s="21">
        <f t="shared" si="1"/>
        <v>1.00564694328505</v>
      </c>
    </row>
    <row r="36" ht="14.4" spans="2:4">
      <c r="B36" s="20">
        <v>96</v>
      </c>
      <c r="C36" s="21">
        <f t="shared" si="0"/>
        <v>0.0510435727814396</v>
      </c>
      <c r="D36" s="21">
        <f t="shared" si="1"/>
        <v>1.00589390962672</v>
      </c>
    </row>
    <row r="37" ht="14.4" spans="2:4">
      <c r="B37" s="20">
        <v>100</v>
      </c>
      <c r="C37" s="21">
        <f t="shared" si="0"/>
        <v>0.0531769117674963</v>
      </c>
      <c r="D37" s="21">
        <f t="shared" si="1"/>
        <v>1.00614099729796</v>
      </c>
    </row>
    <row r="38" ht="14.4" spans="2:4">
      <c r="B38" s="20">
        <v>104</v>
      </c>
      <c r="C38" s="21">
        <f t="shared" si="0"/>
        <v>0.0553107748510859</v>
      </c>
      <c r="D38" s="21">
        <f t="shared" si="1"/>
        <v>1.00638820638821</v>
      </c>
    </row>
    <row r="39" ht="14.4" spans="2:4">
      <c r="B39" s="20">
        <v>108</v>
      </c>
      <c r="C39" s="21">
        <f t="shared" si="0"/>
        <v>0.0574451622897811</v>
      </c>
      <c r="D39" s="21">
        <f t="shared" si="1"/>
        <v>1.00663553698697</v>
      </c>
    </row>
    <row r="40" ht="14.4" spans="2:4">
      <c r="B40" s="20">
        <v>112</v>
      </c>
      <c r="C40" s="21">
        <f t="shared" si="0"/>
        <v>0.0595800743413476</v>
      </c>
      <c r="D40" s="21">
        <f t="shared" si="1"/>
        <v>1.00688298918387</v>
      </c>
    </row>
    <row r="41" ht="14.4" spans="2:4">
      <c r="B41" s="20">
        <v>116</v>
      </c>
      <c r="C41" s="21">
        <f t="shared" si="0"/>
        <v>0.0617155112637356</v>
      </c>
      <c r="D41" s="21">
        <f t="shared" si="1"/>
        <v>1.0071305630686</v>
      </c>
    </row>
    <row r="42" ht="14.4" spans="2:4">
      <c r="B42" s="20">
        <v>120</v>
      </c>
      <c r="C42" s="21">
        <f t="shared" si="0"/>
        <v>0.0638514733150904</v>
      </c>
      <c r="D42" s="21">
        <f t="shared" si="1"/>
        <v>1.00737825873094</v>
      </c>
    </row>
    <row r="43" ht="14.4" spans="2:4">
      <c r="B43" s="20">
        <v>124</v>
      </c>
      <c r="C43" s="21">
        <f t="shared" si="0"/>
        <v>0.0659879607537465</v>
      </c>
      <c r="D43" s="21">
        <f t="shared" si="1"/>
        <v>1.00762607626076</v>
      </c>
    </row>
    <row r="44" ht="14.4" spans="2:4">
      <c r="B44" s="20">
        <v>128</v>
      </c>
      <c r="C44" s="21">
        <f t="shared" si="0"/>
        <v>0.0681249738382299</v>
      </c>
      <c r="D44" s="21">
        <f t="shared" si="1"/>
        <v>1.00787401574803</v>
      </c>
    </row>
    <row r="45" ht="14.4" spans="2:4">
      <c r="B45" s="20">
        <v>132</v>
      </c>
      <c r="C45" s="21">
        <f t="shared" si="0"/>
        <v>0.0702625128272541</v>
      </c>
      <c r="D45" s="21">
        <f t="shared" si="1"/>
        <v>1.0081220772828</v>
      </c>
    </row>
    <row r="46" ht="14.4" spans="2:4">
      <c r="B46" s="20">
        <v>136</v>
      </c>
      <c r="C46" s="21">
        <f t="shared" si="0"/>
        <v>0.0724005779797285</v>
      </c>
      <c r="D46" s="21">
        <f t="shared" si="1"/>
        <v>1.00837026095519</v>
      </c>
    </row>
    <row r="47" ht="14.4" spans="2:4">
      <c r="B47" s="20">
        <v>140</v>
      </c>
      <c r="C47" s="21">
        <f t="shared" si="0"/>
        <v>0.0745391695547484</v>
      </c>
      <c r="D47" s="21">
        <f t="shared" si="1"/>
        <v>1.00861856685545</v>
      </c>
    </row>
    <row r="48" ht="14.4" spans="2:4">
      <c r="B48" s="20">
        <v>144</v>
      </c>
      <c r="C48" s="21">
        <f t="shared" si="0"/>
        <v>0.0766782878116039</v>
      </c>
      <c r="D48" s="21">
        <f t="shared" si="1"/>
        <v>1.00886699507389</v>
      </c>
    </row>
    <row r="49" ht="14.4" spans="2:4">
      <c r="B49" s="20">
        <v>148</v>
      </c>
      <c r="C49" s="21">
        <f t="shared" si="0"/>
        <v>0.0788179330097786</v>
      </c>
      <c r="D49" s="21">
        <f t="shared" si="1"/>
        <v>1.00911554570091</v>
      </c>
    </row>
    <row r="50" ht="14.4" spans="2:4">
      <c r="B50" s="20">
        <v>152</v>
      </c>
      <c r="C50" s="21">
        <f t="shared" si="0"/>
        <v>0.0809581054089437</v>
      </c>
      <c r="D50" s="21">
        <f t="shared" si="1"/>
        <v>1.00936421882701</v>
      </c>
    </row>
    <row r="51" ht="14.4" spans="2:4">
      <c r="B51" s="20">
        <v>156</v>
      </c>
      <c r="C51" s="21">
        <f t="shared" si="0"/>
        <v>0.0830988052689626</v>
      </c>
      <c r="D51" s="21">
        <f t="shared" si="1"/>
        <v>1.00961301454277</v>
      </c>
    </row>
    <row r="52" ht="14.4" spans="2:4">
      <c r="B52" s="20">
        <v>160</v>
      </c>
      <c r="C52" s="21">
        <f t="shared" si="0"/>
        <v>0.085240032849896</v>
      </c>
      <c r="D52" s="21">
        <f t="shared" si="1"/>
        <v>1.00986193293886</v>
      </c>
    </row>
    <row r="53" ht="14.4" spans="2:4">
      <c r="B53" s="20">
        <v>164</v>
      </c>
      <c r="C53" s="21">
        <f t="shared" si="0"/>
        <v>0.0873817884119899</v>
      </c>
      <c r="D53" s="21">
        <f t="shared" si="1"/>
        <v>1.01011097410604</v>
      </c>
    </row>
    <row r="54" ht="14.4" spans="2:4">
      <c r="B54" s="20">
        <v>168</v>
      </c>
      <c r="C54" s="21">
        <f t="shared" si="0"/>
        <v>0.0895240722156895</v>
      </c>
      <c r="D54" s="21">
        <f t="shared" si="1"/>
        <v>1.01036013813518</v>
      </c>
    </row>
    <row r="55" ht="14.4" spans="2:4">
      <c r="B55" s="20">
        <v>172</v>
      </c>
      <c r="C55" s="21">
        <f t="shared" si="0"/>
        <v>0.0916668845216259</v>
      </c>
      <c r="D55" s="21">
        <f t="shared" si="1"/>
        <v>1.0106094251172</v>
      </c>
    </row>
    <row r="56" ht="14.4" spans="2:4">
      <c r="B56" s="20">
        <v>176</v>
      </c>
      <c r="C56" s="21">
        <f t="shared" si="0"/>
        <v>0.0938102255906299</v>
      </c>
      <c r="D56" s="21">
        <f t="shared" si="1"/>
        <v>1.01085883514314</v>
      </c>
    </row>
    <row r="57" ht="14.4" spans="2:4">
      <c r="B57" s="20">
        <v>180</v>
      </c>
      <c r="C57" s="21">
        <f t="shared" si="0"/>
        <v>0.0959540956837222</v>
      </c>
      <c r="D57" s="21">
        <f t="shared" si="1"/>
        <v>1.01110836830412</v>
      </c>
    </row>
    <row r="58" ht="14.4" spans="2:4">
      <c r="B58" s="20">
        <v>184</v>
      </c>
      <c r="C58" s="21">
        <f t="shared" si="0"/>
        <v>0.098098495062116</v>
      </c>
      <c r="D58" s="21">
        <f t="shared" si="1"/>
        <v>1.01135802469136</v>
      </c>
    </row>
    <row r="59" ht="14.4" spans="2:4">
      <c r="B59" s="20">
        <v>188</v>
      </c>
      <c r="C59" s="21">
        <f t="shared" si="0"/>
        <v>0.100243423987219</v>
      </c>
      <c r="D59" s="21">
        <f t="shared" si="1"/>
        <v>1.01160780439615</v>
      </c>
    </row>
    <row r="60" ht="14.4" spans="2:4">
      <c r="B60" s="20">
        <v>192</v>
      </c>
      <c r="C60" s="21">
        <f t="shared" si="0"/>
        <v>0.102388882720632</v>
      </c>
      <c r="D60" s="21">
        <f t="shared" si="1"/>
        <v>1.01185770750988</v>
      </c>
    </row>
    <row r="61" ht="14.4" spans="2:4">
      <c r="B61" s="20">
        <v>196</v>
      </c>
      <c r="C61" s="21">
        <f t="shared" si="0"/>
        <v>0.104534871524153</v>
      </c>
      <c r="D61" s="21">
        <f t="shared" si="1"/>
        <v>1.01210773412404</v>
      </c>
    </row>
    <row r="62" ht="14.4" spans="2:4">
      <c r="B62" s="20">
        <v>200</v>
      </c>
      <c r="C62" s="21">
        <f t="shared" si="0"/>
        <v>0.106681390659768</v>
      </c>
      <c r="D62" s="21">
        <f t="shared" si="1"/>
        <v>1.0123578843302</v>
      </c>
    </row>
    <row r="63" ht="14.4" spans="2:4">
      <c r="B63" s="20">
        <v>204</v>
      </c>
      <c r="C63" s="21">
        <f t="shared" si="0"/>
        <v>0.108828440389665</v>
      </c>
      <c r="D63" s="21">
        <f t="shared" si="1"/>
        <v>1.01260815822002</v>
      </c>
    </row>
    <row r="64" ht="14.4" spans="2:4">
      <c r="B64" s="20">
        <v>208</v>
      </c>
      <c r="C64" s="21">
        <f t="shared" si="0"/>
        <v>0.110976020976217</v>
      </c>
      <c r="D64" s="21">
        <f t="shared" si="1"/>
        <v>1.01285855588526</v>
      </c>
    </row>
    <row r="65" ht="14.4" spans="2:4">
      <c r="B65" s="20">
        <v>212</v>
      </c>
      <c r="C65" s="21">
        <f t="shared" si="0"/>
        <v>0.113124132682002</v>
      </c>
      <c r="D65" s="21">
        <f t="shared" si="1"/>
        <v>1.01310907741776</v>
      </c>
    </row>
    <row r="66" ht="14.4" spans="2:4">
      <c r="B66" s="20">
        <v>216</v>
      </c>
      <c r="C66" s="21">
        <f t="shared" si="0"/>
        <v>0.115272775769784</v>
      </c>
      <c r="D66" s="21">
        <f t="shared" si="1"/>
        <v>1.01335972290945</v>
      </c>
    </row>
    <row r="67" ht="14.4" spans="2:4">
      <c r="B67" s="20">
        <v>220</v>
      </c>
      <c r="C67" s="21">
        <f t="shared" si="0"/>
        <v>0.117421950502525</v>
      </c>
      <c r="D67" s="21">
        <f t="shared" si="1"/>
        <v>1.01361049245236</v>
      </c>
    </row>
    <row r="68" ht="14.4" spans="2:4">
      <c r="B68" s="20">
        <v>224</v>
      </c>
      <c r="C68" s="21">
        <f t="shared" si="0"/>
        <v>0.119571657143388</v>
      </c>
      <c r="D68" s="21">
        <f t="shared" si="1"/>
        <v>1.01386138613861</v>
      </c>
    </row>
    <row r="69" ht="14.4" spans="2:4">
      <c r="B69" s="20">
        <v>228</v>
      </c>
      <c r="C69" s="21">
        <f t="shared" si="0"/>
        <v>0.121721895955722</v>
      </c>
      <c r="D69" s="21">
        <f t="shared" si="1"/>
        <v>1.01411240406041</v>
      </c>
    </row>
    <row r="70" ht="14.4" spans="2:4">
      <c r="B70" s="20">
        <v>232</v>
      </c>
      <c r="C70" s="21">
        <f t="shared" si="0"/>
        <v>0.123872667203077</v>
      </c>
      <c r="D70" s="21">
        <f t="shared" si="1"/>
        <v>1.01436354631005</v>
      </c>
    </row>
    <row r="71" ht="14.4" spans="2:4">
      <c r="B71" s="20">
        <v>236</v>
      </c>
      <c r="C71" s="21">
        <f t="shared" si="0"/>
        <v>0.126023971149198</v>
      </c>
      <c r="D71" s="21">
        <f t="shared" si="1"/>
        <v>1.01461481297994</v>
      </c>
    </row>
    <row r="72" ht="14.4" spans="2:4">
      <c r="B72" s="20">
        <v>240</v>
      </c>
      <c r="C72" s="21">
        <f t="shared" si="0"/>
        <v>0.128175808058028</v>
      </c>
      <c r="D72" s="21">
        <f t="shared" si="1"/>
        <v>1.01486620416254</v>
      </c>
    </row>
    <row r="73" ht="14.4" spans="2:4">
      <c r="B73" s="20">
        <v>244</v>
      </c>
      <c r="C73" s="21">
        <f t="shared" si="0"/>
        <v>0.130328178193703</v>
      </c>
      <c r="D73" s="21">
        <f t="shared" si="1"/>
        <v>1.01511771995043</v>
      </c>
    </row>
    <row r="74" ht="14.4" spans="2:4">
      <c r="B74" s="20">
        <v>248</v>
      </c>
      <c r="C74" s="21">
        <f t="shared" si="0"/>
        <v>0.132481081820554</v>
      </c>
      <c r="D74" s="21">
        <f t="shared" si="1"/>
        <v>1.01536936043629</v>
      </c>
    </row>
    <row r="75" ht="14.4" spans="2:4">
      <c r="B75" s="20">
        <v>252</v>
      </c>
      <c r="C75" s="21">
        <f t="shared" si="0"/>
        <v>0.134634519203115</v>
      </c>
      <c r="D75" s="21">
        <f t="shared" si="1"/>
        <v>1.01562112571287</v>
      </c>
    </row>
    <row r="76" ht="14.4" spans="2:4">
      <c r="B76" s="20">
        <v>256</v>
      </c>
      <c r="C76" s="21">
        <f t="shared" si="0"/>
        <v>0.136788490606109</v>
      </c>
      <c r="D76" s="21">
        <f t="shared" si="1"/>
        <v>1.01587301587302</v>
      </c>
    </row>
    <row r="77" ht="14.4" spans="2:4">
      <c r="B77" s="20">
        <v>260</v>
      </c>
      <c r="C77" s="21">
        <f t="shared" ref="C77:C140" si="2">20*LOG(D77)</f>
        <v>0.138942996294463</v>
      </c>
      <c r="D77" s="21">
        <f t="shared" ref="D77:D140" si="3">16384/(16384-B77)</f>
        <v>1.01612503100967</v>
      </c>
    </row>
    <row r="78" ht="14.4" spans="2:4">
      <c r="B78" s="20">
        <v>264</v>
      </c>
      <c r="C78" s="21">
        <f t="shared" si="2"/>
        <v>0.141098036533298</v>
      </c>
      <c r="D78" s="21">
        <f t="shared" si="3"/>
        <v>1.01637717121588</v>
      </c>
    </row>
    <row r="79" ht="14.4" spans="2:4">
      <c r="B79" s="20">
        <v>268</v>
      </c>
      <c r="C79" s="21">
        <f t="shared" si="2"/>
        <v>0.143253611587932</v>
      </c>
      <c r="D79" s="21">
        <f t="shared" si="3"/>
        <v>1.01662943658476</v>
      </c>
    </row>
    <row r="80" ht="14.4" spans="2:4">
      <c r="B80" s="20">
        <v>272</v>
      </c>
      <c r="C80" s="21">
        <f t="shared" si="2"/>
        <v>0.145409721723879</v>
      </c>
      <c r="D80" s="21">
        <f t="shared" si="3"/>
        <v>1.01688182720953</v>
      </c>
    </row>
    <row r="81" ht="14.4" spans="2:4">
      <c r="B81" s="20">
        <v>276</v>
      </c>
      <c r="C81" s="21">
        <f t="shared" si="2"/>
        <v>0.147566367206856</v>
      </c>
      <c r="D81" s="21">
        <f t="shared" si="3"/>
        <v>1.01713434318351</v>
      </c>
    </row>
    <row r="82" ht="14.4" spans="2:4">
      <c r="B82" s="20">
        <v>280</v>
      </c>
      <c r="C82" s="21">
        <f t="shared" si="2"/>
        <v>0.149723548302773</v>
      </c>
      <c r="D82" s="21">
        <f t="shared" si="3"/>
        <v>1.0173869846001</v>
      </c>
    </row>
    <row r="83" ht="14.4" spans="2:4">
      <c r="B83" s="20">
        <v>284</v>
      </c>
      <c r="C83" s="21">
        <f t="shared" si="2"/>
        <v>0.151881265277741</v>
      </c>
      <c r="D83" s="21">
        <f t="shared" si="3"/>
        <v>1.0176397515528</v>
      </c>
    </row>
    <row r="84" ht="14.4" spans="2:4">
      <c r="B84" s="20">
        <v>288</v>
      </c>
      <c r="C84" s="21">
        <f t="shared" si="2"/>
        <v>0.154039518398066</v>
      </c>
      <c r="D84" s="21">
        <f t="shared" si="3"/>
        <v>1.01789264413519</v>
      </c>
    </row>
    <row r="85" ht="14.4" spans="2:4">
      <c r="B85" s="20">
        <v>292</v>
      </c>
      <c r="C85" s="21">
        <f t="shared" si="2"/>
        <v>0.156198307930259</v>
      </c>
      <c r="D85" s="21">
        <f t="shared" si="3"/>
        <v>1.01814566244096</v>
      </c>
    </row>
    <row r="86" ht="14.4" spans="2:4">
      <c r="B86" s="20">
        <v>296</v>
      </c>
      <c r="C86" s="21">
        <f t="shared" si="2"/>
        <v>0.158357634141023</v>
      </c>
      <c r="D86" s="21">
        <f t="shared" si="3"/>
        <v>1.0183988065639</v>
      </c>
    </row>
    <row r="87" ht="14.4" spans="2:4">
      <c r="B87" s="20">
        <v>300</v>
      </c>
      <c r="C87" s="21">
        <f t="shared" si="2"/>
        <v>0.160517497297265</v>
      </c>
      <c r="D87" s="21">
        <f t="shared" si="3"/>
        <v>1.01865207659786</v>
      </c>
    </row>
    <row r="88" ht="14.4" spans="2:4">
      <c r="B88" s="20">
        <v>304</v>
      </c>
      <c r="C88" s="21">
        <f t="shared" si="2"/>
        <v>0.162677897666085</v>
      </c>
      <c r="D88" s="21">
        <f t="shared" si="3"/>
        <v>1.01890547263682</v>
      </c>
    </row>
    <row r="89" ht="14.4" spans="2:4">
      <c r="B89" s="20">
        <v>308</v>
      </c>
      <c r="C89" s="21">
        <f t="shared" si="2"/>
        <v>0.16483883551479</v>
      </c>
      <c r="D89" s="21">
        <f t="shared" si="3"/>
        <v>1.01915899477482</v>
      </c>
    </row>
    <row r="90" ht="14.4" spans="2:4">
      <c r="B90" s="20">
        <v>312</v>
      </c>
      <c r="C90" s="21">
        <f t="shared" si="2"/>
        <v>0.16700031111088</v>
      </c>
      <c r="D90" s="21">
        <f t="shared" si="3"/>
        <v>1.01941264310602</v>
      </c>
    </row>
    <row r="91" ht="14.4" spans="2:4">
      <c r="B91" s="20">
        <v>316</v>
      </c>
      <c r="C91" s="21">
        <f t="shared" si="2"/>
        <v>0.169162324722059</v>
      </c>
      <c r="D91" s="21">
        <f t="shared" si="3"/>
        <v>1.01966641772467</v>
      </c>
    </row>
    <row r="92" ht="14.4" spans="2:4">
      <c r="B92" s="20">
        <v>320</v>
      </c>
      <c r="C92" s="21">
        <f t="shared" si="2"/>
        <v>0.171324876616228</v>
      </c>
      <c r="D92" s="21">
        <f t="shared" si="3"/>
        <v>1.0199203187251</v>
      </c>
    </row>
    <row r="93" ht="14.4" spans="2:4">
      <c r="B93" s="20">
        <v>324</v>
      </c>
      <c r="C93" s="21">
        <f t="shared" si="2"/>
        <v>0.173487967061491</v>
      </c>
      <c r="D93" s="21">
        <f t="shared" si="3"/>
        <v>1.02017434620174</v>
      </c>
    </row>
    <row r="94" ht="14.4" spans="2:4">
      <c r="B94" s="20">
        <v>328</v>
      </c>
      <c r="C94" s="21">
        <f t="shared" si="2"/>
        <v>0.175651596326152</v>
      </c>
      <c r="D94" s="21">
        <f t="shared" si="3"/>
        <v>1.02042850024913</v>
      </c>
    </row>
    <row r="95" ht="14.4" spans="2:4">
      <c r="B95" s="20">
        <v>332</v>
      </c>
      <c r="C95" s="21">
        <f t="shared" si="2"/>
        <v>0.177815764678712</v>
      </c>
      <c r="D95" s="21">
        <f t="shared" si="3"/>
        <v>1.02068278096187</v>
      </c>
    </row>
    <row r="96" ht="14.4" spans="2:4">
      <c r="B96" s="20">
        <v>336</v>
      </c>
      <c r="C96" s="21">
        <f t="shared" si="2"/>
        <v>0.179980472387876</v>
      </c>
      <c r="D96" s="21">
        <f t="shared" si="3"/>
        <v>1.0209371884347</v>
      </c>
    </row>
    <row r="97" ht="14.4" spans="2:4">
      <c r="B97" s="20">
        <v>340</v>
      </c>
      <c r="C97" s="21">
        <f t="shared" si="2"/>
        <v>0.182145719722551</v>
      </c>
      <c r="D97" s="21">
        <f t="shared" si="3"/>
        <v>1.0211917227624</v>
      </c>
    </row>
    <row r="98" ht="14.4" spans="2:4">
      <c r="B98" s="20">
        <v>344</v>
      </c>
      <c r="C98" s="21">
        <f t="shared" si="2"/>
        <v>0.18431150695184</v>
      </c>
      <c r="D98" s="21">
        <f t="shared" si="3"/>
        <v>1.0214463840399</v>
      </c>
    </row>
    <row r="99" ht="14.4" spans="2:4">
      <c r="B99" s="20">
        <v>348</v>
      </c>
      <c r="C99" s="21">
        <f t="shared" si="2"/>
        <v>0.186477834345055</v>
      </c>
      <c r="D99" s="21">
        <f t="shared" si="3"/>
        <v>1.02170117236219</v>
      </c>
    </row>
    <row r="100" ht="14.4" spans="2:4">
      <c r="B100" s="20">
        <v>352</v>
      </c>
      <c r="C100" s="21">
        <f t="shared" si="2"/>
        <v>0.1886447021717</v>
      </c>
      <c r="D100" s="21">
        <f t="shared" si="3"/>
        <v>1.02195608782435</v>
      </c>
    </row>
    <row r="101" ht="14.4" spans="2:4">
      <c r="B101" s="20">
        <v>356</v>
      </c>
      <c r="C101" s="21">
        <f t="shared" si="2"/>
        <v>0.190812110701492</v>
      </c>
      <c r="D101" s="21">
        <f t="shared" si="3"/>
        <v>1.02221113052159</v>
      </c>
    </row>
    <row r="102" ht="14.4" spans="2:4">
      <c r="B102" s="20">
        <v>360</v>
      </c>
      <c r="C102" s="21">
        <f t="shared" si="2"/>
        <v>0.192980060204339</v>
      </c>
      <c r="D102" s="21">
        <f t="shared" si="3"/>
        <v>1.02246630054918</v>
      </c>
    </row>
    <row r="103" ht="14.4" spans="2:4">
      <c r="B103" s="20">
        <v>364</v>
      </c>
      <c r="C103" s="21">
        <f t="shared" si="2"/>
        <v>0.195148550950357</v>
      </c>
      <c r="D103" s="21">
        <f t="shared" si="3"/>
        <v>1.0227215980025</v>
      </c>
    </row>
    <row r="104" ht="14.4" spans="2:4">
      <c r="B104" s="20">
        <v>368</v>
      </c>
      <c r="C104" s="21">
        <f t="shared" si="2"/>
        <v>0.197317583209866</v>
      </c>
      <c r="D104" s="21">
        <f t="shared" si="3"/>
        <v>1.02297702297702</v>
      </c>
    </row>
    <row r="105" ht="14.4" spans="2:4">
      <c r="B105" s="20">
        <v>372</v>
      </c>
      <c r="C105" s="21">
        <f t="shared" si="2"/>
        <v>0.199487157253385</v>
      </c>
      <c r="D105" s="21">
        <f t="shared" si="3"/>
        <v>1.02323257556832</v>
      </c>
    </row>
    <row r="106" ht="14.4" spans="2:4">
      <c r="B106" s="20">
        <v>376</v>
      </c>
      <c r="C106" s="21">
        <f t="shared" si="2"/>
        <v>0.201657273351635</v>
      </c>
      <c r="D106" s="21">
        <f t="shared" si="3"/>
        <v>1.02348825587206</v>
      </c>
    </row>
    <row r="107" ht="14.4" spans="2:4">
      <c r="B107" s="20">
        <v>380</v>
      </c>
      <c r="C107" s="21">
        <f t="shared" si="2"/>
        <v>0.203827931775544</v>
      </c>
      <c r="D107" s="21">
        <f t="shared" si="3"/>
        <v>1.023744063984</v>
      </c>
    </row>
    <row r="108" ht="14.4" spans="2:4">
      <c r="B108" s="20">
        <v>384</v>
      </c>
      <c r="C108" s="21">
        <f t="shared" si="2"/>
        <v>0.205999132796239</v>
      </c>
      <c r="D108" s="21">
        <f t="shared" si="3"/>
        <v>1.024</v>
      </c>
    </row>
    <row r="109" ht="14.4" spans="2:4">
      <c r="B109" s="20">
        <v>388</v>
      </c>
      <c r="C109" s="21">
        <f t="shared" si="2"/>
        <v>0.208170876685055</v>
      </c>
      <c r="D109" s="21">
        <f t="shared" si="3"/>
        <v>1.024256064016</v>
      </c>
    </row>
    <row r="110" ht="14.4" spans="2:4">
      <c r="B110" s="20">
        <v>392</v>
      </c>
      <c r="C110" s="21">
        <f t="shared" si="2"/>
        <v>0.210343163713524</v>
      </c>
      <c r="D110" s="21">
        <f t="shared" si="3"/>
        <v>1.02451225612806</v>
      </c>
    </row>
    <row r="111" ht="14.4" spans="2:4">
      <c r="B111" s="20">
        <v>396</v>
      </c>
      <c r="C111" s="21">
        <f t="shared" si="2"/>
        <v>0.212515994153389</v>
      </c>
      <c r="D111" s="21">
        <f t="shared" si="3"/>
        <v>1.02476857643232</v>
      </c>
    </row>
    <row r="112" ht="14.4" spans="2:4">
      <c r="B112" s="20">
        <v>400</v>
      </c>
      <c r="C112" s="21">
        <f t="shared" si="2"/>
        <v>0.214689368276593</v>
      </c>
      <c r="D112" s="21">
        <f t="shared" si="3"/>
        <v>1.02502502502503</v>
      </c>
    </row>
    <row r="113" ht="14.4" spans="2:4">
      <c r="B113" s="20">
        <v>404</v>
      </c>
      <c r="C113" s="21">
        <f t="shared" si="2"/>
        <v>0.216863286355282</v>
      </c>
      <c r="D113" s="21">
        <f t="shared" si="3"/>
        <v>1.0252816020025</v>
      </c>
    </row>
    <row r="114" ht="14.4" spans="2:4">
      <c r="B114" s="20">
        <v>408</v>
      </c>
      <c r="C114" s="21">
        <f t="shared" si="2"/>
        <v>0.219037748661811</v>
      </c>
      <c r="D114" s="21">
        <f t="shared" si="3"/>
        <v>1.02553830746119</v>
      </c>
    </row>
    <row r="115" ht="14.4" spans="2:4">
      <c r="B115" s="20">
        <v>412</v>
      </c>
      <c r="C115" s="21">
        <f t="shared" si="2"/>
        <v>0.221212755468735</v>
      </c>
      <c r="D115" s="21">
        <f t="shared" si="3"/>
        <v>1.02579514149762</v>
      </c>
    </row>
    <row r="116" ht="14.4" spans="2:4">
      <c r="B116" s="20">
        <v>416</v>
      </c>
      <c r="C116" s="21">
        <f t="shared" si="2"/>
        <v>0.223388307048816</v>
      </c>
      <c r="D116" s="21">
        <f t="shared" si="3"/>
        <v>1.02605210420842</v>
      </c>
    </row>
    <row r="117" ht="14.4" spans="2:4">
      <c r="B117" s="20">
        <v>420</v>
      </c>
      <c r="C117" s="21">
        <f t="shared" si="2"/>
        <v>0.225564403675022</v>
      </c>
      <c r="D117" s="21">
        <f t="shared" si="3"/>
        <v>1.0263091956903</v>
      </c>
    </row>
    <row r="118" ht="14.4" spans="2:4">
      <c r="B118" s="20">
        <v>424</v>
      </c>
      <c r="C118" s="21">
        <f t="shared" si="2"/>
        <v>0.227741045620522</v>
      </c>
      <c r="D118" s="21">
        <f t="shared" si="3"/>
        <v>1.0265664160401</v>
      </c>
    </row>
    <row r="119" ht="14.4" spans="2:4">
      <c r="B119" s="20">
        <v>428</v>
      </c>
      <c r="C119" s="21">
        <f t="shared" si="2"/>
        <v>0.229918233158695</v>
      </c>
      <c r="D119" s="21">
        <f t="shared" si="3"/>
        <v>1.02682376535473</v>
      </c>
    </row>
    <row r="120" ht="14.4" spans="2:4">
      <c r="B120" s="20">
        <v>432</v>
      </c>
      <c r="C120" s="21">
        <f t="shared" si="2"/>
        <v>0.232095966563125</v>
      </c>
      <c r="D120" s="21">
        <f t="shared" si="3"/>
        <v>1.02708124373119</v>
      </c>
    </row>
    <row r="121" ht="14.4" spans="2:4">
      <c r="B121" s="20">
        <v>436</v>
      </c>
      <c r="C121" s="21">
        <f t="shared" si="2"/>
        <v>0.234274246107597</v>
      </c>
      <c r="D121" s="21">
        <f t="shared" si="3"/>
        <v>1.02733885126662</v>
      </c>
    </row>
    <row r="122" ht="14.4" spans="2:4">
      <c r="B122" s="20">
        <v>440</v>
      </c>
      <c r="C122" s="21">
        <f t="shared" si="2"/>
        <v>0.23645307206611</v>
      </c>
      <c r="D122" s="21">
        <f t="shared" si="3"/>
        <v>1.0275965880582</v>
      </c>
    </row>
    <row r="123" ht="14.4" spans="2:4">
      <c r="B123" s="20">
        <v>444</v>
      </c>
      <c r="C123" s="21">
        <f t="shared" si="2"/>
        <v>0.238632444712863</v>
      </c>
      <c r="D123" s="21">
        <f t="shared" si="3"/>
        <v>1.02785445420326</v>
      </c>
    </row>
    <row r="124" ht="14.4" spans="2:4">
      <c r="B124" s="20">
        <v>448</v>
      </c>
      <c r="C124" s="21">
        <f t="shared" si="2"/>
        <v>0.240812364322264</v>
      </c>
      <c r="D124" s="21">
        <f t="shared" si="3"/>
        <v>1.0281124497992</v>
      </c>
    </row>
    <row r="125" ht="14.4" spans="2:4">
      <c r="B125" s="20">
        <v>452</v>
      </c>
      <c r="C125" s="21">
        <f t="shared" si="2"/>
        <v>0.242992831168927</v>
      </c>
      <c r="D125" s="21">
        <f t="shared" si="3"/>
        <v>1.02837057494351</v>
      </c>
    </row>
    <row r="126" ht="14.4" spans="2:4">
      <c r="B126" s="20">
        <v>456</v>
      </c>
      <c r="C126" s="21">
        <f t="shared" si="2"/>
        <v>0.245173845527673</v>
      </c>
      <c r="D126" s="21">
        <f t="shared" si="3"/>
        <v>1.0286288297338</v>
      </c>
    </row>
    <row r="127" ht="14.4" spans="2:4">
      <c r="B127" s="20">
        <v>460</v>
      </c>
      <c r="C127" s="21">
        <f t="shared" si="2"/>
        <v>0.247355407673527</v>
      </c>
      <c r="D127" s="21">
        <f t="shared" si="3"/>
        <v>1.02888721426777</v>
      </c>
    </row>
    <row r="128" ht="14.4" spans="2:4">
      <c r="B128" s="20">
        <v>464</v>
      </c>
      <c r="C128" s="21">
        <f t="shared" si="2"/>
        <v>0.249537517881731</v>
      </c>
      <c r="D128" s="21">
        <f t="shared" si="3"/>
        <v>1.02914572864322</v>
      </c>
    </row>
    <row r="129" ht="14.4" spans="2:4">
      <c r="B129" s="20">
        <v>468</v>
      </c>
      <c r="C129" s="21">
        <f t="shared" si="2"/>
        <v>0.25172017642772</v>
      </c>
      <c r="D129" s="21">
        <f t="shared" si="3"/>
        <v>1.02940437295803</v>
      </c>
    </row>
    <row r="130" ht="14.4" spans="2:4">
      <c r="B130" s="20">
        <v>472</v>
      </c>
      <c r="C130" s="21">
        <f t="shared" si="2"/>
        <v>0.253903383587151</v>
      </c>
      <c r="D130" s="21">
        <f t="shared" si="3"/>
        <v>1.02966314731021</v>
      </c>
    </row>
    <row r="131" ht="14.4" spans="2:4">
      <c r="B131" s="20">
        <v>476</v>
      </c>
      <c r="C131" s="21">
        <f t="shared" si="2"/>
        <v>0.25608713963588</v>
      </c>
      <c r="D131" s="21">
        <f t="shared" si="3"/>
        <v>1.02992205179784</v>
      </c>
    </row>
    <row r="132" ht="14.4" spans="2:4">
      <c r="B132" s="20">
        <v>480</v>
      </c>
      <c r="C132" s="21">
        <f t="shared" si="2"/>
        <v>0.258271444849974</v>
      </c>
      <c r="D132" s="21">
        <f t="shared" si="3"/>
        <v>1.03018108651911</v>
      </c>
    </row>
    <row r="133" ht="14.4" spans="2:4">
      <c r="B133" s="20">
        <v>484</v>
      </c>
      <c r="C133" s="21">
        <f t="shared" si="2"/>
        <v>0.260456299505705</v>
      </c>
      <c r="D133" s="21">
        <f t="shared" si="3"/>
        <v>1.03044025157233</v>
      </c>
    </row>
    <row r="134" ht="14.4" spans="2:4">
      <c r="B134" s="20">
        <v>488</v>
      </c>
      <c r="C134" s="21">
        <f t="shared" si="2"/>
        <v>0.26264170387956</v>
      </c>
      <c r="D134" s="21">
        <f t="shared" si="3"/>
        <v>1.03069954705586</v>
      </c>
    </row>
    <row r="135" ht="14.4" spans="2:4">
      <c r="B135" s="20">
        <v>492</v>
      </c>
      <c r="C135" s="21">
        <f t="shared" si="2"/>
        <v>0.26482765824823</v>
      </c>
      <c r="D135" s="21">
        <f t="shared" si="3"/>
        <v>1.03095897306821</v>
      </c>
    </row>
    <row r="136" ht="14.4" spans="2:4">
      <c r="B136" s="20">
        <v>496</v>
      </c>
      <c r="C136" s="21">
        <f t="shared" si="2"/>
        <v>0.267014162888616</v>
      </c>
      <c r="D136" s="21">
        <f t="shared" si="3"/>
        <v>1.03121852970796</v>
      </c>
    </row>
    <row r="137" ht="14.4" spans="2:4">
      <c r="B137" s="20">
        <v>500</v>
      </c>
      <c r="C137" s="21">
        <f t="shared" si="2"/>
        <v>0.269201218077827</v>
      </c>
      <c r="D137" s="21">
        <f t="shared" si="3"/>
        <v>1.03147821707378</v>
      </c>
    </row>
    <row r="138" ht="14.4" spans="2:4">
      <c r="B138" s="20">
        <v>504</v>
      </c>
      <c r="C138" s="21">
        <f t="shared" si="2"/>
        <v>0.271388824093185</v>
      </c>
      <c r="D138" s="21">
        <f t="shared" si="3"/>
        <v>1.03173803526448</v>
      </c>
    </row>
    <row r="139" ht="14.4" spans="2:4">
      <c r="B139" s="20">
        <v>508</v>
      </c>
      <c r="C139" s="21">
        <f t="shared" si="2"/>
        <v>0.27357698121222</v>
      </c>
      <c r="D139" s="21">
        <f t="shared" si="3"/>
        <v>1.03199798437894</v>
      </c>
    </row>
    <row r="140" ht="14.4" spans="2:4">
      <c r="B140" s="20">
        <v>512</v>
      </c>
      <c r="C140" s="21">
        <f t="shared" si="2"/>
        <v>0.275765689712666</v>
      </c>
      <c r="D140" s="21">
        <f t="shared" si="3"/>
        <v>1.03225806451613</v>
      </c>
    </row>
    <row r="141" ht="14.4" spans="2:4">
      <c r="B141" s="20">
        <v>516</v>
      </c>
      <c r="C141" s="21">
        <f t="shared" ref="C141:C204" si="4">20*LOG(D141)</f>
        <v>0.277954949872477</v>
      </c>
      <c r="D141" s="21">
        <f t="shared" ref="D141:D204" si="5">16384/(16384-B141)</f>
        <v>1.03251827577514</v>
      </c>
    </row>
    <row r="142" ht="14.4" spans="2:4">
      <c r="B142" s="20">
        <v>520</v>
      </c>
      <c r="C142" s="21">
        <f t="shared" si="4"/>
        <v>0.28014476196981</v>
      </c>
      <c r="D142" s="21">
        <f t="shared" si="5"/>
        <v>1.03277861825517</v>
      </c>
    </row>
    <row r="143" ht="14.4" spans="2:4">
      <c r="B143" s="20">
        <v>524</v>
      </c>
      <c r="C143" s="21">
        <f t="shared" si="4"/>
        <v>0.282335126283035</v>
      </c>
      <c r="D143" s="21">
        <f t="shared" si="5"/>
        <v>1.03303909205549</v>
      </c>
    </row>
    <row r="144" ht="14.4" spans="2:4">
      <c r="B144" s="20">
        <v>528</v>
      </c>
      <c r="C144" s="21">
        <f t="shared" si="4"/>
        <v>0.284526043090733</v>
      </c>
      <c r="D144" s="21">
        <f t="shared" si="5"/>
        <v>1.03329969727548</v>
      </c>
    </row>
    <row r="145" ht="14.4" spans="2:4">
      <c r="B145" s="20">
        <v>532</v>
      </c>
      <c r="C145" s="21">
        <f t="shared" si="4"/>
        <v>0.286717512671694</v>
      </c>
      <c r="D145" s="21">
        <f t="shared" si="5"/>
        <v>1.03356043401464</v>
      </c>
    </row>
    <row r="146" ht="14.4" spans="2:4">
      <c r="B146" s="20">
        <v>536</v>
      </c>
      <c r="C146" s="21">
        <f t="shared" si="4"/>
        <v>0.288909535304922</v>
      </c>
      <c r="D146" s="21">
        <f t="shared" si="5"/>
        <v>1.03382130237254</v>
      </c>
    </row>
    <row r="147" ht="14.4" spans="2:4">
      <c r="B147" s="20">
        <v>540</v>
      </c>
      <c r="C147" s="21">
        <f t="shared" si="4"/>
        <v>0.291102111269629</v>
      </c>
      <c r="D147" s="21">
        <f t="shared" si="5"/>
        <v>1.03408230244888</v>
      </c>
    </row>
    <row r="148" ht="14.4" spans="2:4">
      <c r="B148" s="20">
        <v>544</v>
      </c>
      <c r="C148" s="21">
        <f t="shared" si="4"/>
        <v>0.293295240845241</v>
      </c>
      <c r="D148" s="21">
        <f t="shared" si="5"/>
        <v>1.03434343434343</v>
      </c>
    </row>
    <row r="149" ht="14.4" spans="2:4">
      <c r="B149" s="20">
        <v>548</v>
      </c>
      <c r="C149" s="21">
        <f t="shared" si="4"/>
        <v>0.295488924311395</v>
      </c>
      <c r="D149" s="21">
        <f t="shared" si="5"/>
        <v>1.0346046981561</v>
      </c>
    </row>
    <row r="150" ht="14.4" spans="2:4">
      <c r="B150" s="20">
        <v>552</v>
      </c>
      <c r="C150" s="21">
        <f t="shared" si="4"/>
        <v>0.297683161947938</v>
      </c>
      <c r="D150" s="21">
        <f t="shared" si="5"/>
        <v>1.03486609398686</v>
      </c>
    </row>
    <row r="151" ht="14.4" spans="2:4">
      <c r="B151" s="20">
        <v>556</v>
      </c>
      <c r="C151" s="21">
        <f t="shared" si="4"/>
        <v>0.299877954034931</v>
      </c>
      <c r="D151" s="21">
        <f t="shared" si="5"/>
        <v>1.03512762193581</v>
      </c>
    </row>
    <row r="152" ht="14.4" spans="2:4">
      <c r="B152" s="20">
        <v>560</v>
      </c>
      <c r="C152" s="21">
        <f t="shared" si="4"/>
        <v>0.302073300852651</v>
      </c>
      <c r="D152" s="21">
        <f t="shared" si="5"/>
        <v>1.03538928210313</v>
      </c>
    </row>
    <row r="153" ht="14.4" spans="2:4">
      <c r="B153" s="20">
        <v>564</v>
      </c>
      <c r="C153" s="21">
        <f t="shared" si="4"/>
        <v>0.304269202681579</v>
      </c>
      <c r="D153" s="21">
        <f t="shared" si="5"/>
        <v>1.03565107458913</v>
      </c>
    </row>
    <row r="154" ht="14.4" spans="2:4">
      <c r="B154" s="20">
        <v>568</v>
      </c>
      <c r="C154" s="21">
        <f t="shared" si="4"/>
        <v>0.306465659802417</v>
      </c>
      <c r="D154" s="21">
        <f t="shared" si="5"/>
        <v>1.03591299949418</v>
      </c>
    </row>
    <row r="155" ht="14.4" spans="2:4">
      <c r="B155" s="20">
        <v>572</v>
      </c>
      <c r="C155" s="21">
        <f t="shared" si="4"/>
        <v>0.308662672496073</v>
      </c>
      <c r="D155" s="21">
        <f t="shared" si="5"/>
        <v>1.0361750569188</v>
      </c>
    </row>
    <row r="156" ht="14.4" spans="2:4">
      <c r="B156" s="20">
        <v>576</v>
      </c>
      <c r="C156" s="21">
        <f t="shared" si="4"/>
        <v>0.310860241043677</v>
      </c>
      <c r="D156" s="21">
        <f t="shared" si="5"/>
        <v>1.03643724696356</v>
      </c>
    </row>
    <row r="157" ht="14.4" spans="2:4">
      <c r="B157" s="20">
        <v>580</v>
      </c>
      <c r="C157" s="21">
        <f t="shared" si="4"/>
        <v>0.313058365726562</v>
      </c>
      <c r="D157" s="21">
        <f t="shared" si="5"/>
        <v>1.03669956972918</v>
      </c>
    </row>
    <row r="158" ht="14.4" spans="2:4">
      <c r="B158" s="20">
        <v>584</v>
      </c>
      <c r="C158" s="21">
        <f t="shared" si="4"/>
        <v>0.315257046826283</v>
      </c>
      <c r="D158" s="21">
        <f t="shared" si="5"/>
        <v>1.03696202531646</v>
      </c>
    </row>
    <row r="159" ht="14.4" spans="2:4">
      <c r="B159" s="20">
        <v>588</v>
      </c>
      <c r="C159" s="21">
        <f t="shared" si="4"/>
        <v>0.317456284624602</v>
      </c>
      <c r="D159" s="21">
        <f t="shared" si="5"/>
        <v>1.03722461382629</v>
      </c>
    </row>
    <row r="160" ht="14.4" spans="2:4">
      <c r="B160" s="20">
        <v>592</v>
      </c>
      <c r="C160" s="21">
        <f t="shared" si="4"/>
        <v>0.319656079403505</v>
      </c>
      <c r="D160" s="21">
        <f t="shared" si="5"/>
        <v>1.03748733535968</v>
      </c>
    </row>
    <row r="161" ht="14.4" spans="2:4">
      <c r="B161" s="20">
        <v>596</v>
      </c>
      <c r="C161" s="21">
        <f t="shared" si="4"/>
        <v>0.321856431445181</v>
      </c>
      <c r="D161" s="21">
        <f t="shared" si="5"/>
        <v>1.03775019001774</v>
      </c>
    </row>
    <row r="162" ht="14.4" spans="2:4">
      <c r="B162" s="20">
        <v>600</v>
      </c>
      <c r="C162" s="21">
        <f t="shared" si="4"/>
        <v>0.324057341032039</v>
      </c>
      <c r="D162" s="21">
        <f t="shared" si="5"/>
        <v>1.03801317790167</v>
      </c>
    </row>
    <row r="163" ht="14.4" spans="2:4">
      <c r="B163" s="20">
        <v>604</v>
      </c>
      <c r="C163" s="21">
        <f t="shared" si="4"/>
        <v>0.326258808446704</v>
      </c>
      <c r="D163" s="21">
        <f t="shared" si="5"/>
        <v>1.0382762991128</v>
      </c>
    </row>
    <row r="164" ht="14.4" spans="2:4">
      <c r="B164" s="20">
        <v>608</v>
      </c>
      <c r="C164" s="21">
        <f t="shared" si="4"/>
        <v>0.328460833972015</v>
      </c>
      <c r="D164" s="21">
        <f t="shared" si="5"/>
        <v>1.03853955375254</v>
      </c>
    </row>
    <row r="165" ht="14.4" spans="2:4">
      <c r="B165" s="20">
        <v>612</v>
      </c>
      <c r="C165" s="21">
        <f t="shared" si="4"/>
        <v>0.330663417891023</v>
      </c>
      <c r="D165" s="21">
        <f t="shared" si="5"/>
        <v>1.03880294192239</v>
      </c>
    </row>
    <row r="166" ht="14.4" spans="2:4">
      <c r="B166" s="20">
        <v>616</v>
      </c>
      <c r="C166" s="21">
        <f t="shared" si="4"/>
        <v>0.332866560486998</v>
      </c>
      <c r="D166" s="21">
        <f t="shared" si="5"/>
        <v>1.039066463724</v>
      </c>
    </row>
    <row r="167" ht="14.4" spans="2:4">
      <c r="B167" s="20">
        <v>620</v>
      </c>
      <c r="C167" s="21">
        <f t="shared" si="4"/>
        <v>0.335070262043426</v>
      </c>
      <c r="D167" s="21">
        <f t="shared" si="5"/>
        <v>1.03933011925907</v>
      </c>
    </row>
    <row r="168" ht="14.4" spans="2:4">
      <c r="B168" s="20">
        <v>624</v>
      </c>
      <c r="C168" s="21">
        <f t="shared" si="4"/>
        <v>0.337274522844005</v>
      </c>
      <c r="D168" s="21">
        <f t="shared" si="5"/>
        <v>1.03959390862944</v>
      </c>
    </row>
    <row r="169" ht="14.4" spans="2:4">
      <c r="B169" s="20">
        <v>628</v>
      </c>
      <c r="C169" s="21">
        <f t="shared" si="4"/>
        <v>0.339479343172652</v>
      </c>
      <c r="D169" s="21">
        <f t="shared" si="5"/>
        <v>1.03985783193704</v>
      </c>
    </row>
    <row r="170" ht="14.4" spans="2:4">
      <c r="B170" s="20">
        <v>632</v>
      </c>
      <c r="C170" s="21">
        <f t="shared" si="4"/>
        <v>0.341684723313498</v>
      </c>
      <c r="D170" s="21">
        <f t="shared" si="5"/>
        <v>1.0401218892839</v>
      </c>
    </row>
    <row r="171" ht="14.4" spans="2:4">
      <c r="B171" s="20">
        <v>636</v>
      </c>
      <c r="C171" s="21">
        <f t="shared" si="4"/>
        <v>0.343890663550895</v>
      </c>
      <c r="D171" s="21">
        <f t="shared" si="5"/>
        <v>1.04038608077216</v>
      </c>
    </row>
    <row r="172" ht="14.4" spans="2:4">
      <c r="B172" s="20">
        <v>640</v>
      </c>
      <c r="C172" s="21">
        <f t="shared" si="4"/>
        <v>0.34609716416941</v>
      </c>
      <c r="D172" s="21">
        <f t="shared" si="5"/>
        <v>1.04065040650407</v>
      </c>
    </row>
    <row r="173" ht="14.4" spans="2:4">
      <c r="B173" s="20">
        <v>644</v>
      </c>
      <c r="C173" s="21">
        <f t="shared" si="4"/>
        <v>0.348304225453819</v>
      </c>
      <c r="D173" s="21">
        <f t="shared" si="5"/>
        <v>1.04091486658196</v>
      </c>
    </row>
    <row r="174" ht="14.4" spans="2:4">
      <c r="B174" s="20">
        <v>648</v>
      </c>
      <c r="C174" s="21">
        <f t="shared" si="4"/>
        <v>0.350511847689129</v>
      </c>
      <c r="D174" s="21">
        <f t="shared" si="5"/>
        <v>1.04117946110829</v>
      </c>
    </row>
    <row r="175" ht="14.4" spans="2:4">
      <c r="B175" s="20">
        <v>652</v>
      </c>
      <c r="C175" s="21">
        <f t="shared" si="4"/>
        <v>0.352720031160552</v>
      </c>
      <c r="D175" s="21">
        <f t="shared" si="5"/>
        <v>1.04144419018561</v>
      </c>
    </row>
    <row r="176" ht="14.4" spans="2:4">
      <c r="B176" s="20">
        <v>656</v>
      </c>
      <c r="C176" s="21">
        <f t="shared" si="4"/>
        <v>0.354928776153526</v>
      </c>
      <c r="D176" s="21">
        <f t="shared" si="5"/>
        <v>1.04170905391658</v>
      </c>
    </row>
    <row r="177" ht="14.4" spans="1:4">
      <c r="B177" s="20">
        <v>660</v>
      </c>
      <c r="C177" s="21">
        <f t="shared" si="4"/>
        <v>0.357138082953703</v>
      </c>
      <c r="D177" s="21">
        <f t="shared" si="5"/>
        <v>1.04197405240397</v>
      </c>
    </row>
    <row r="178" ht="14.4" spans="1:4">
      <c r="B178" s="20">
        <v>664</v>
      </c>
      <c r="C178" s="21">
        <f t="shared" si="4"/>
        <v>0.359347951846953</v>
      </c>
      <c r="D178" s="21">
        <f t="shared" si="5"/>
        <v>1.04223918575064</v>
      </c>
    </row>
    <row r="179" ht="14.4" spans="1:4">
      <c r="B179" s="20">
        <v>668</v>
      </c>
      <c r="C179" s="21">
        <f t="shared" si="4"/>
        <v>0.361558383119365</v>
      </c>
      <c r="D179" s="21">
        <f t="shared" si="5"/>
        <v>1.04250445405956</v>
      </c>
    </row>
    <row r="180" ht="14.4" spans="1:4">
      <c r="B180" s="20">
        <v>672</v>
      </c>
      <c r="C180" s="21">
        <f t="shared" si="4"/>
        <v>0.363769377057245</v>
      </c>
      <c r="D180" s="21">
        <f t="shared" si="5"/>
        <v>1.04276985743381</v>
      </c>
    </row>
    <row r="181" ht="14.4" spans="1:4">
      <c r="B181" s="20">
        <v>676</v>
      </c>
      <c r="C181" s="21">
        <f t="shared" si="4"/>
        <v>0.365980933947121</v>
      </c>
      <c r="D181" s="21">
        <f t="shared" si="5"/>
        <v>1.04303539597657</v>
      </c>
    </row>
    <row r="182" ht="14.4" spans="1:4">
      <c r="B182" s="20">
        <v>680</v>
      </c>
      <c r="C182" s="21">
        <f t="shared" si="4"/>
        <v>0.368193054075739</v>
      </c>
      <c r="D182" s="21">
        <f t="shared" si="5"/>
        <v>1.04330106979114</v>
      </c>
    </row>
    <row r="183" ht="14.4" spans="1:4">
      <c r="B183" s="20">
        <v>684</v>
      </c>
      <c r="C183" s="21">
        <f t="shared" si="4"/>
        <v>0.370405737730059</v>
      </c>
      <c r="D183" s="21">
        <f t="shared" si="5"/>
        <v>1.04356687898089</v>
      </c>
    </row>
    <row r="184" ht="14.4" spans="1:4">
      <c r="B184" s="20">
        <v>688</v>
      </c>
      <c r="C184" s="21">
        <f t="shared" si="4"/>
        <v>0.372618985197269</v>
      </c>
      <c r="D184" s="21">
        <f t="shared" si="5"/>
        <v>1.04383282364934</v>
      </c>
    </row>
    <row r="185" ht="14.4" spans="1:4">
      <c r="B185" s="20">
        <v>692</v>
      </c>
      <c r="C185" s="21">
        <f t="shared" si="4"/>
        <v>0.374832796764769</v>
      </c>
      <c r="D185" s="21">
        <f t="shared" si="5"/>
        <v>1.04409890390008</v>
      </c>
    </row>
    <row r="186" ht="14.4" spans="1:4">
      <c r="B186" s="20">
        <v>696</v>
      </c>
      <c r="C186" s="21">
        <f t="shared" si="4"/>
        <v>0.377047172720183</v>
      </c>
      <c r="D186" s="21">
        <f t="shared" si="5"/>
        <v>1.04436511983682</v>
      </c>
    </row>
    <row r="187" ht="14.4" spans="1:4">
      <c r="B187" s="20">
        <v>700</v>
      </c>
      <c r="C187" s="21">
        <f t="shared" si="4"/>
        <v>0.379262113351352</v>
      </c>
      <c r="D187" s="21">
        <f t="shared" si="5"/>
        <v>1.04463147156338</v>
      </c>
    </row>
    <row r="188" ht="14.4" spans="1:4">
      <c r="B188" s="20">
        <v>704</v>
      </c>
      <c r="C188" s="21">
        <f t="shared" si="4"/>
        <v>0.381477618946343</v>
      </c>
      <c r="D188" s="21">
        <f t="shared" si="5"/>
        <v>1.04489795918367</v>
      </c>
    </row>
    <row r="189" ht="14.4" spans="1:4">
      <c r="B189" s="20">
        <v>708</v>
      </c>
      <c r="C189" s="21">
        <f t="shared" si="4"/>
        <v>0.383693689793434</v>
      </c>
      <c r="D189" s="21">
        <f t="shared" si="5"/>
        <v>1.04516458280174</v>
      </c>
    </row>
    <row r="190" ht="14.4" spans="1:4">
      <c r="B190" s="20">
        <v>712</v>
      </c>
      <c r="C190" s="21">
        <f t="shared" si="4"/>
        <v>0.385910326181136</v>
      </c>
      <c r="D190" s="21">
        <f t="shared" si="5"/>
        <v>1.04543134252169</v>
      </c>
    </row>
    <row r="191" ht="14.4" spans="1:4">
      <c r="B191" s="20">
        <v>716</v>
      </c>
      <c r="C191" s="21">
        <f t="shared" si="4"/>
        <v>0.38812752839817</v>
      </c>
      <c r="D191" s="21">
        <f t="shared" si="5"/>
        <v>1.04569823844779</v>
      </c>
    </row>
    <row r="192" ht="14.4" spans="1:4">
      <c r="A192" s="22"/>
      <c r="B192" s="20">
        <v>720</v>
      </c>
      <c r="C192" s="21">
        <f t="shared" si="4"/>
        <v>0.390345296733483</v>
      </c>
      <c r="D192" s="21">
        <f t="shared" si="5"/>
        <v>1.04596527068437</v>
      </c>
    </row>
    <row r="193" ht="14.4" spans="2:4">
      <c r="B193" s="20">
        <v>724</v>
      </c>
      <c r="C193" s="21">
        <f t="shared" si="4"/>
        <v>0.392563631476244</v>
      </c>
      <c r="D193" s="21">
        <f t="shared" si="5"/>
        <v>1.04623243933589</v>
      </c>
    </row>
    <row r="194" ht="14.4" spans="2:4">
      <c r="B194" s="20">
        <v>728</v>
      </c>
      <c r="C194" s="21">
        <f t="shared" si="4"/>
        <v>0.394782532915841</v>
      </c>
      <c r="D194" s="21">
        <f t="shared" si="5"/>
        <v>1.0464997445069</v>
      </c>
    </row>
    <row r="195" ht="14.4" spans="2:4">
      <c r="B195" s="20">
        <v>732</v>
      </c>
      <c r="C195" s="21">
        <f t="shared" si="4"/>
        <v>0.397002001341884</v>
      </c>
      <c r="D195" s="21">
        <f t="shared" si="5"/>
        <v>1.04676718630207</v>
      </c>
    </row>
    <row r="196" ht="14.4" spans="2:4">
      <c r="B196" s="20">
        <v>736</v>
      </c>
      <c r="C196" s="21">
        <f t="shared" si="4"/>
        <v>0.399222037044211</v>
      </c>
      <c r="D196" s="21">
        <f t="shared" si="5"/>
        <v>1.04703476482618</v>
      </c>
    </row>
    <row r="197" ht="14.4" spans="2:4">
      <c r="B197" s="20">
        <v>740</v>
      </c>
      <c r="C197" s="21">
        <f t="shared" si="4"/>
        <v>0.401442640312874</v>
      </c>
      <c r="D197" s="21">
        <f t="shared" si="5"/>
        <v>1.0473024801841</v>
      </c>
    </row>
    <row r="198" ht="14.4" spans="2:4">
      <c r="B198" s="20">
        <v>744</v>
      </c>
      <c r="C198" s="21">
        <f t="shared" si="4"/>
        <v>0.40366381143815</v>
      </c>
      <c r="D198" s="21">
        <f t="shared" si="5"/>
        <v>1.04757033248082</v>
      </c>
    </row>
    <row r="199" ht="14.4" spans="2:4">
      <c r="B199" s="20">
        <v>748</v>
      </c>
      <c r="C199" s="21">
        <f t="shared" si="4"/>
        <v>0.405885550710545</v>
      </c>
      <c r="D199" s="21">
        <f t="shared" si="5"/>
        <v>1.04783832182144</v>
      </c>
    </row>
    <row r="200" ht="14.4" spans="2:4">
      <c r="B200" s="20">
        <v>752</v>
      </c>
      <c r="C200" s="21">
        <f t="shared" si="4"/>
        <v>0.408107858420778</v>
      </c>
      <c r="D200" s="21">
        <f t="shared" si="5"/>
        <v>1.04810644831116</v>
      </c>
    </row>
    <row r="201" ht="14.4" spans="2:4">
      <c r="B201" s="20">
        <v>756</v>
      </c>
      <c r="C201" s="21">
        <f t="shared" si="4"/>
        <v>0.410330734859797</v>
      </c>
      <c r="D201" s="21">
        <f t="shared" si="5"/>
        <v>1.04837471205529</v>
      </c>
    </row>
    <row r="202" ht="14.4" spans="2:4">
      <c r="B202" s="20">
        <v>760</v>
      </c>
      <c r="C202" s="21">
        <f t="shared" si="4"/>
        <v>0.412554180318775</v>
      </c>
      <c r="D202" s="21">
        <f t="shared" si="5"/>
        <v>1.04864311315924</v>
      </c>
    </row>
    <row r="203" ht="14.4" spans="2:4">
      <c r="B203" s="20">
        <v>764</v>
      </c>
      <c r="C203" s="21">
        <f t="shared" si="4"/>
        <v>0.414778195089104</v>
      </c>
      <c r="D203" s="21">
        <f t="shared" si="5"/>
        <v>1.04891165172855</v>
      </c>
    </row>
    <row r="204" ht="14.4" spans="2:4">
      <c r="B204" s="20">
        <v>768</v>
      </c>
      <c r="C204" s="21">
        <f t="shared" si="4"/>
        <v>0.417002779462403</v>
      </c>
      <c r="D204" s="21">
        <f t="shared" si="5"/>
        <v>1.04918032786885</v>
      </c>
    </row>
    <row r="205" ht="14.4" spans="2:4">
      <c r="B205" s="20">
        <v>772</v>
      </c>
      <c r="C205" s="21">
        <f t="shared" ref="C205:C268" si="6">20*LOG(D205)</f>
        <v>0.419227933730513</v>
      </c>
      <c r="D205" s="21">
        <f t="shared" ref="D205:D268" si="7">16384/(16384-B205)</f>
        <v>1.04944914168588</v>
      </c>
    </row>
    <row r="206" ht="14.4" spans="2:4">
      <c r="B206" s="20">
        <v>776</v>
      </c>
      <c r="C206" s="21">
        <f t="shared" si="6"/>
        <v>0.421453658185501</v>
      </c>
      <c r="D206" s="21">
        <f t="shared" si="7"/>
        <v>1.04971809328549</v>
      </c>
    </row>
    <row r="207" ht="14.4" spans="2:4">
      <c r="B207" s="20">
        <v>780</v>
      </c>
      <c r="C207" s="21">
        <f t="shared" si="6"/>
        <v>0.423679953119659</v>
      </c>
      <c r="D207" s="21">
        <f t="shared" si="7"/>
        <v>1.04998718277365</v>
      </c>
    </row>
    <row r="208" ht="14.4" spans="2:4">
      <c r="B208" s="20">
        <v>784</v>
      </c>
      <c r="C208" s="21">
        <f t="shared" si="6"/>
        <v>0.425906818825503</v>
      </c>
      <c r="D208" s="21">
        <f t="shared" si="7"/>
        <v>1.05025641025641</v>
      </c>
    </row>
    <row r="209" ht="14.4" spans="2:4">
      <c r="B209" s="20">
        <v>788</v>
      </c>
      <c r="C209" s="21">
        <f t="shared" si="6"/>
        <v>0.428134255595772</v>
      </c>
      <c r="D209" s="21">
        <f t="shared" si="7"/>
        <v>1.05052577583996</v>
      </c>
    </row>
    <row r="210" ht="14.4" spans="2:4">
      <c r="B210" s="20">
        <v>792</v>
      </c>
      <c r="C210" s="21">
        <f t="shared" si="6"/>
        <v>0.430362263723434</v>
      </c>
      <c r="D210" s="21">
        <f t="shared" si="7"/>
        <v>1.05079527963058</v>
      </c>
    </row>
    <row r="211" ht="14.4" spans="2:4">
      <c r="B211" s="20">
        <v>796</v>
      </c>
      <c r="C211" s="21">
        <f t="shared" si="6"/>
        <v>0.432590843501681</v>
      </c>
      <c r="D211" s="21">
        <f t="shared" si="7"/>
        <v>1.05106492173467</v>
      </c>
    </row>
    <row r="212" ht="14.4" spans="2:4">
      <c r="B212" s="20">
        <v>800</v>
      </c>
      <c r="C212" s="21">
        <f t="shared" si="6"/>
        <v>0.434819995223929</v>
      </c>
      <c r="D212" s="21">
        <f t="shared" si="7"/>
        <v>1.05133470225873</v>
      </c>
    </row>
    <row r="213" ht="14.4" spans="2:4">
      <c r="B213" s="20">
        <v>804</v>
      </c>
      <c r="C213" s="21">
        <f t="shared" si="6"/>
        <v>0.437049719183822</v>
      </c>
      <c r="D213" s="21">
        <f t="shared" si="7"/>
        <v>1.05160462130937</v>
      </c>
    </row>
    <row r="214" ht="14.4" spans="2:4">
      <c r="B214" s="20">
        <v>808</v>
      </c>
      <c r="C214" s="21">
        <f t="shared" si="6"/>
        <v>0.43928001567523</v>
      </c>
      <c r="D214" s="21">
        <f t="shared" si="7"/>
        <v>1.05187467899332</v>
      </c>
    </row>
    <row r="215" ht="14.4" spans="2:4">
      <c r="B215" s="20">
        <v>812</v>
      </c>
      <c r="C215" s="21">
        <f t="shared" si="6"/>
        <v>0.441510884992248</v>
      </c>
      <c r="D215" s="21">
        <f t="shared" si="7"/>
        <v>1.05214487541742</v>
      </c>
    </row>
    <row r="216" ht="14.4" spans="2:4">
      <c r="B216" s="20">
        <v>816</v>
      </c>
      <c r="C216" s="21">
        <f t="shared" si="6"/>
        <v>0.443742327429201</v>
      </c>
      <c r="D216" s="21">
        <f t="shared" si="7"/>
        <v>1.05241521068859</v>
      </c>
    </row>
    <row r="217" ht="14.4" spans="2:4">
      <c r="B217" s="20">
        <v>820</v>
      </c>
      <c r="C217" s="21">
        <f t="shared" si="6"/>
        <v>0.445974343280637</v>
      </c>
      <c r="D217" s="21">
        <f t="shared" si="7"/>
        <v>1.0526856849139</v>
      </c>
    </row>
    <row r="218" ht="14.4" spans="2:4">
      <c r="B218" s="20">
        <v>824</v>
      </c>
      <c r="C218" s="21">
        <f t="shared" si="6"/>
        <v>0.448206932841332</v>
      </c>
      <c r="D218" s="21">
        <f t="shared" si="7"/>
        <v>1.05295629820051</v>
      </c>
    </row>
    <row r="219" ht="14.4" spans="2:4">
      <c r="B219" s="20">
        <v>828</v>
      </c>
      <c r="C219" s="21">
        <f t="shared" si="6"/>
        <v>0.450440096406292</v>
      </c>
      <c r="D219" s="21">
        <f t="shared" si="7"/>
        <v>1.0532270506557</v>
      </c>
    </row>
    <row r="220" ht="14.4" spans="2:4">
      <c r="B220" s="20">
        <v>832</v>
      </c>
      <c r="C220" s="21">
        <f t="shared" si="6"/>
        <v>0.452673834270748</v>
      </c>
      <c r="D220" s="21">
        <f t="shared" si="7"/>
        <v>1.05349794238683</v>
      </c>
    </row>
    <row r="221" ht="14.4" spans="2:4">
      <c r="B221" s="20">
        <v>836</v>
      </c>
      <c r="C221" s="21">
        <f t="shared" si="6"/>
        <v>0.454908146730159</v>
      </c>
      <c r="D221" s="21">
        <f t="shared" si="7"/>
        <v>1.05376897350142</v>
      </c>
    </row>
    <row r="222" ht="14.4" spans="2:4">
      <c r="B222" s="20">
        <v>840</v>
      </c>
      <c r="C222" s="21">
        <f t="shared" si="6"/>
        <v>0.457143034080213</v>
      </c>
      <c r="D222" s="21">
        <f t="shared" si="7"/>
        <v>1.05404014410705</v>
      </c>
    </row>
    <row r="223" ht="14.4" spans="2:4">
      <c r="B223" s="20">
        <v>844</v>
      </c>
      <c r="C223" s="21">
        <f t="shared" si="6"/>
        <v>0.459378496616825</v>
      </c>
      <c r="D223" s="21">
        <f t="shared" si="7"/>
        <v>1.05431145431145</v>
      </c>
    </row>
    <row r="224" ht="14.4" spans="2:4">
      <c r="B224" s="20">
        <v>848</v>
      </c>
      <c r="C224" s="21">
        <f t="shared" si="6"/>
        <v>0.461614534636142</v>
      </c>
      <c r="D224" s="21">
        <f t="shared" si="7"/>
        <v>1.05458290422245</v>
      </c>
    </row>
    <row r="225" ht="14.4" spans="2:4">
      <c r="B225" s="20">
        <v>852</v>
      </c>
      <c r="C225" s="21">
        <f t="shared" si="6"/>
        <v>0.463851148434536</v>
      </c>
      <c r="D225" s="21">
        <f t="shared" si="7"/>
        <v>1.05485449394798</v>
      </c>
    </row>
    <row r="226" ht="14.4" spans="2:4">
      <c r="B226" s="20">
        <v>856</v>
      </c>
      <c r="C226" s="21">
        <f t="shared" si="6"/>
        <v>0.466088338308607</v>
      </c>
      <c r="D226" s="21">
        <f t="shared" si="7"/>
        <v>1.05512622359608</v>
      </c>
    </row>
    <row r="227" ht="14.4" spans="2:4">
      <c r="B227" s="20">
        <v>860</v>
      </c>
      <c r="C227" s="21">
        <f t="shared" si="6"/>
        <v>0.468326104555189</v>
      </c>
      <c r="D227" s="21">
        <f t="shared" si="7"/>
        <v>1.05539809327493</v>
      </c>
    </row>
    <row r="228" ht="14.4" spans="2:4">
      <c r="B228" s="20">
        <v>864</v>
      </c>
      <c r="C228" s="21">
        <f t="shared" si="6"/>
        <v>0.470564447471342</v>
      </c>
      <c r="D228" s="21">
        <f t="shared" si="7"/>
        <v>1.05567010309278</v>
      </c>
    </row>
    <row r="229" ht="14.4" spans="2:4">
      <c r="B229" s="20">
        <v>868</v>
      </c>
      <c r="C229" s="21">
        <f t="shared" si="6"/>
        <v>0.472803367354358</v>
      </c>
      <c r="D229" s="21">
        <f t="shared" si="7"/>
        <v>1.05594225315803</v>
      </c>
    </row>
    <row r="230" ht="14.4" spans="2:4">
      <c r="B230" s="20">
        <v>872</v>
      </c>
      <c r="C230" s="21">
        <f t="shared" si="6"/>
        <v>0.475042864501756</v>
      </c>
      <c r="D230" s="21">
        <f t="shared" si="7"/>
        <v>1.05621454357916</v>
      </c>
    </row>
    <row r="231" ht="14.4" spans="2:4">
      <c r="B231" s="20">
        <v>876</v>
      </c>
      <c r="C231" s="21">
        <f t="shared" si="6"/>
        <v>0.477282939211287</v>
      </c>
      <c r="D231" s="21">
        <f t="shared" si="7"/>
        <v>1.05648697446479</v>
      </c>
    </row>
    <row r="232" ht="14.4" spans="2:4">
      <c r="B232" s="20">
        <v>880</v>
      </c>
      <c r="C232" s="21">
        <f t="shared" si="6"/>
        <v>0.479523591780932</v>
      </c>
      <c r="D232" s="21">
        <f t="shared" si="7"/>
        <v>1.05675954592363</v>
      </c>
    </row>
    <row r="233" ht="14.4" spans="2:4">
      <c r="B233" s="20">
        <v>884</v>
      </c>
      <c r="C233" s="21">
        <f t="shared" si="6"/>
        <v>0.481764822508905</v>
      </c>
      <c r="D233" s="21">
        <f t="shared" si="7"/>
        <v>1.05703225806452</v>
      </c>
    </row>
    <row r="234" ht="14.4" spans="2:4">
      <c r="B234" s="20">
        <v>888</v>
      </c>
      <c r="C234" s="21">
        <f t="shared" si="6"/>
        <v>0.484006631693647</v>
      </c>
      <c r="D234" s="21">
        <f t="shared" si="7"/>
        <v>1.05730511099639</v>
      </c>
    </row>
    <row r="235" ht="14.4" spans="2:4">
      <c r="B235" s="20">
        <v>892</v>
      </c>
      <c r="C235" s="21">
        <f t="shared" si="6"/>
        <v>0.486249019633831</v>
      </c>
      <c r="D235" s="21">
        <f t="shared" si="7"/>
        <v>1.0575781048283</v>
      </c>
    </row>
    <row r="236" ht="14.4" spans="2:4">
      <c r="B236" s="20">
        <v>896</v>
      </c>
      <c r="C236" s="21">
        <f t="shared" si="6"/>
        <v>0.488491986628366</v>
      </c>
      <c r="D236" s="21">
        <f t="shared" si="7"/>
        <v>1.05785123966942</v>
      </c>
    </row>
    <row r="237" ht="14.4" spans="2:4">
      <c r="B237" s="20">
        <v>900</v>
      </c>
      <c r="C237" s="21">
        <f t="shared" si="6"/>
        <v>0.490735532976385</v>
      </c>
      <c r="D237" s="21">
        <f t="shared" si="7"/>
        <v>1.05812451562904</v>
      </c>
    </row>
    <row r="238" ht="14.4" spans="2:4">
      <c r="B238" s="20">
        <v>904</v>
      </c>
      <c r="C238" s="21">
        <f t="shared" si="6"/>
        <v>0.492979658977258</v>
      </c>
      <c r="D238" s="21">
        <f t="shared" si="7"/>
        <v>1.05839793281654</v>
      </c>
    </row>
    <row r="239" ht="14.4" spans="2:4">
      <c r="B239" s="20">
        <v>908</v>
      </c>
      <c r="C239" s="21">
        <f t="shared" si="6"/>
        <v>0.495224364930588</v>
      </c>
      <c r="D239" s="21">
        <f t="shared" si="7"/>
        <v>1.05867149134143</v>
      </c>
    </row>
    <row r="240" ht="14.4" spans="2:4">
      <c r="B240" s="20">
        <v>912</v>
      </c>
      <c r="C240" s="21">
        <f t="shared" si="6"/>
        <v>0.497469651136206</v>
      </c>
      <c r="D240" s="21">
        <f t="shared" si="7"/>
        <v>1.05894519131334</v>
      </c>
    </row>
    <row r="241" ht="14.4" spans="2:4">
      <c r="B241" s="20">
        <v>916</v>
      </c>
      <c r="C241" s="21">
        <f t="shared" si="6"/>
        <v>0.499715517894178</v>
      </c>
      <c r="D241" s="21">
        <f t="shared" si="7"/>
        <v>1.059219032842</v>
      </c>
    </row>
    <row r="242" ht="14.4" spans="2:4">
      <c r="B242" s="20">
        <v>920</v>
      </c>
      <c r="C242" s="21">
        <f t="shared" si="6"/>
        <v>0.501961965504802</v>
      </c>
      <c r="D242" s="21">
        <f t="shared" si="7"/>
        <v>1.05949301603725</v>
      </c>
    </row>
    <row r="243" ht="14.4" spans="2:4">
      <c r="B243" s="20">
        <v>924</v>
      </c>
      <c r="C243" s="21">
        <f t="shared" si="6"/>
        <v>0.504208994268613</v>
      </c>
      <c r="D243" s="21">
        <f t="shared" si="7"/>
        <v>1.05976714100906</v>
      </c>
    </row>
    <row r="244" ht="14.4" spans="2:4">
      <c r="B244" s="20">
        <v>928</v>
      </c>
      <c r="C244" s="21">
        <f t="shared" si="6"/>
        <v>0.506456604486373</v>
      </c>
      <c r="D244" s="21">
        <f t="shared" si="7"/>
        <v>1.06004140786749</v>
      </c>
    </row>
    <row r="245" ht="14.4" spans="2:4">
      <c r="B245" s="20">
        <v>932</v>
      </c>
      <c r="C245" s="21">
        <f t="shared" si="6"/>
        <v>0.508704796459081</v>
      </c>
      <c r="D245" s="21">
        <f t="shared" si="7"/>
        <v>1.06031581672275</v>
      </c>
    </row>
    <row r="246" ht="14.4" spans="2:4">
      <c r="B246" s="20">
        <v>936</v>
      </c>
      <c r="C246" s="21">
        <f t="shared" si="6"/>
        <v>0.510953570487968</v>
      </c>
      <c r="D246" s="21">
        <f t="shared" si="7"/>
        <v>1.06059036768514</v>
      </c>
    </row>
    <row r="247" ht="14.4" spans="2:4">
      <c r="B247" s="20">
        <v>940</v>
      </c>
      <c r="C247" s="21">
        <f t="shared" si="6"/>
        <v>0.513202926874505</v>
      </c>
      <c r="D247" s="21">
        <f t="shared" si="7"/>
        <v>1.06086506086506</v>
      </c>
    </row>
    <row r="248" ht="14.4" spans="2:4">
      <c r="B248" s="20">
        <v>944</v>
      </c>
      <c r="C248" s="21">
        <f t="shared" si="6"/>
        <v>0.515452865920387</v>
      </c>
      <c r="D248" s="21">
        <f t="shared" si="7"/>
        <v>1.06113989637306</v>
      </c>
    </row>
    <row r="249" ht="14.4" spans="2:4">
      <c r="B249" s="20">
        <v>948</v>
      </c>
      <c r="C249" s="21">
        <f t="shared" si="6"/>
        <v>0.517703387927554</v>
      </c>
      <c r="D249" s="21">
        <f t="shared" si="7"/>
        <v>1.06141487431977</v>
      </c>
    </row>
    <row r="250" ht="14.4" spans="2:4">
      <c r="B250" s="20">
        <v>952</v>
      </c>
      <c r="C250" s="21">
        <f t="shared" si="6"/>
        <v>0.519954493198173</v>
      </c>
      <c r="D250" s="21">
        <f t="shared" si="7"/>
        <v>1.06168999481597</v>
      </c>
    </row>
    <row r="251" ht="14.4" spans="2:4">
      <c r="B251" s="20">
        <v>956</v>
      </c>
      <c r="C251" s="21">
        <f t="shared" si="6"/>
        <v>0.522206182034648</v>
      </c>
      <c r="D251" s="21">
        <f t="shared" si="7"/>
        <v>1.06196525797252</v>
      </c>
    </row>
    <row r="252" ht="14.4" spans="2:4">
      <c r="B252" s="20">
        <v>960</v>
      </c>
      <c r="C252" s="21">
        <f t="shared" si="6"/>
        <v>0.524458454739623</v>
      </c>
      <c r="D252" s="21">
        <f t="shared" si="7"/>
        <v>1.06224066390041</v>
      </c>
    </row>
    <row r="253" ht="14.4" spans="2:4">
      <c r="B253" s="20">
        <v>964</v>
      </c>
      <c r="C253" s="21">
        <f t="shared" si="6"/>
        <v>0.526711311615971</v>
      </c>
      <c r="D253" s="21">
        <f t="shared" si="7"/>
        <v>1.06251621271077</v>
      </c>
    </row>
    <row r="254" ht="14.4" spans="2:4">
      <c r="B254" s="20">
        <v>968</v>
      </c>
      <c r="C254" s="21">
        <f t="shared" si="6"/>
        <v>0.528964752966803</v>
      </c>
      <c r="D254" s="21">
        <f t="shared" si="7"/>
        <v>1.06279190451479</v>
      </c>
    </row>
    <row r="255" ht="14.4" spans="2:4">
      <c r="B255" s="20">
        <v>972</v>
      </c>
      <c r="C255" s="21">
        <f t="shared" si="6"/>
        <v>0.531218779095468</v>
      </c>
      <c r="D255" s="21">
        <f t="shared" si="7"/>
        <v>1.06306773942383</v>
      </c>
    </row>
    <row r="256" ht="14.4" spans="2:4">
      <c r="B256" s="20">
        <v>976</v>
      </c>
      <c r="C256" s="21">
        <f t="shared" si="6"/>
        <v>0.533473390305549</v>
      </c>
      <c r="D256" s="21">
        <f t="shared" si="7"/>
        <v>1.06334371754932</v>
      </c>
    </row>
    <row r="257" ht="14.4" spans="2:4">
      <c r="B257" s="20">
        <v>980</v>
      </c>
      <c r="C257" s="21">
        <f t="shared" si="6"/>
        <v>0.535728586900865</v>
      </c>
      <c r="D257" s="21">
        <f t="shared" si="7"/>
        <v>1.06361983900286</v>
      </c>
    </row>
    <row r="258" ht="14.4" spans="2:4">
      <c r="B258" s="20">
        <v>984</v>
      </c>
      <c r="C258" s="21">
        <f t="shared" si="6"/>
        <v>0.537984369185473</v>
      </c>
      <c r="D258" s="21">
        <f t="shared" si="7"/>
        <v>1.0638961038961</v>
      </c>
    </row>
    <row r="259" ht="14.4" spans="2:4">
      <c r="B259" s="20">
        <v>988</v>
      </c>
      <c r="C259" s="21">
        <f t="shared" si="6"/>
        <v>0.540240737463669</v>
      </c>
      <c r="D259" s="21">
        <f t="shared" si="7"/>
        <v>1.06417251234087</v>
      </c>
    </row>
    <row r="260" ht="14.4" spans="2:4">
      <c r="B260" s="20">
        <v>992</v>
      </c>
      <c r="C260" s="21">
        <f t="shared" si="6"/>
        <v>0.54249769203998</v>
      </c>
      <c r="D260" s="21">
        <f t="shared" si="7"/>
        <v>1.06444906444906</v>
      </c>
    </row>
    <row r="261" ht="14.4" spans="2:4">
      <c r="B261" s="20">
        <v>996</v>
      </c>
      <c r="C261" s="21">
        <f t="shared" si="6"/>
        <v>0.544755233219176</v>
      </c>
      <c r="D261" s="21">
        <f t="shared" si="7"/>
        <v>1.06472576033273</v>
      </c>
    </row>
    <row r="262" ht="14.4" spans="2:4">
      <c r="B262" s="20">
        <v>1000</v>
      </c>
      <c r="C262" s="21">
        <f t="shared" si="6"/>
        <v>0.547013361306267</v>
      </c>
      <c r="D262" s="21">
        <f t="shared" si="7"/>
        <v>1.065002600104</v>
      </c>
    </row>
    <row r="263" ht="14.4" spans="2:4">
      <c r="B263" s="20">
        <v>1004</v>
      </c>
      <c r="C263" s="21">
        <f t="shared" si="6"/>
        <v>0.54927207660649</v>
      </c>
      <c r="D263" s="21">
        <f t="shared" si="7"/>
        <v>1.06527958387516</v>
      </c>
    </row>
    <row r="264" ht="14.4" spans="2:4">
      <c r="B264" s="20">
        <v>1008</v>
      </c>
      <c r="C264" s="21">
        <f t="shared" si="6"/>
        <v>0.551531379425333</v>
      </c>
      <c r="D264" s="21">
        <f t="shared" si="7"/>
        <v>1.06555671175858</v>
      </c>
    </row>
    <row r="265" ht="14.4" spans="2:4">
      <c r="B265" s="20">
        <v>1012</v>
      </c>
      <c r="C265" s="21">
        <f t="shared" si="6"/>
        <v>0.553791270068512</v>
      </c>
      <c r="D265" s="21">
        <f t="shared" si="7"/>
        <v>1.06583398386677</v>
      </c>
    </row>
    <row r="266" ht="14.4" spans="2:4">
      <c r="B266" s="20">
        <v>1016</v>
      </c>
      <c r="C266" s="21">
        <f t="shared" si="6"/>
        <v>0.55605174884199</v>
      </c>
      <c r="D266" s="21">
        <f t="shared" si="7"/>
        <v>1.06611140031234</v>
      </c>
    </row>
    <row r="267" ht="14.4" spans="2:4">
      <c r="B267" s="20">
        <v>1020</v>
      </c>
      <c r="C267" s="21">
        <f t="shared" si="6"/>
        <v>0.558312816051964</v>
      </c>
      <c r="D267" s="21">
        <f t="shared" si="7"/>
        <v>1.06638896120802</v>
      </c>
    </row>
    <row r="268" ht="14.4" spans="2:4">
      <c r="B268" s="20">
        <v>1024</v>
      </c>
      <c r="C268" s="21">
        <f t="shared" si="6"/>
        <v>0.560574472004871</v>
      </c>
      <c r="D268" s="21">
        <f t="shared" si="7"/>
        <v>1.06666666666667</v>
      </c>
    </row>
    <row r="269" ht="14.4" spans="2:4">
      <c r="B269" s="20">
        <v>1028</v>
      </c>
      <c r="C269" s="21">
        <f t="shared" ref="C269:C332" si="8">20*LOG(D269)</f>
        <v>0.562836717007388</v>
      </c>
      <c r="D269" s="21">
        <f t="shared" ref="D269:D332" si="9">16384/(16384-B269)</f>
        <v>1.06694451680125</v>
      </c>
    </row>
    <row r="270" ht="14.4" spans="2:4">
      <c r="B270" s="20">
        <v>1032</v>
      </c>
      <c r="C270" s="21">
        <f t="shared" si="8"/>
        <v>0.565099551366432</v>
      </c>
      <c r="D270" s="21">
        <f t="shared" si="9"/>
        <v>1.06722251172486</v>
      </c>
    </row>
    <row r="271" ht="14.4" spans="2:4">
      <c r="B271" s="20">
        <v>1036</v>
      </c>
      <c r="C271" s="21">
        <f t="shared" si="8"/>
        <v>0.567362975389159</v>
      </c>
      <c r="D271" s="21">
        <f t="shared" si="9"/>
        <v>1.06750065155069</v>
      </c>
    </row>
    <row r="272" ht="14.4" spans="2:4">
      <c r="B272" s="20">
        <v>1040</v>
      </c>
      <c r="C272" s="21">
        <f t="shared" si="8"/>
        <v>0.569626989382967</v>
      </c>
      <c r="D272" s="21">
        <f t="shared" si="9"/>
        <v>1.06777893639208</v>
      </c>
    </row>
    <row r="273" ht="14.4" spans="2:4">
      <c r="B273" s="20">
        <v>1044</v>
      </c>
      <c r="C273" s="21">
        <f t="shared" si="8"/>
        <v>0.571891593655491</v>
      </c>
      <c r="D273" s="21">
        <f t="shared" si="9"/>
        <v>1.06805736636245</v>
      </c>
    </row>
    <row r="274" ht="14.4" spans="2:4">
      <c r="B274" s="20">
        <v>1048</v>
      </c>
      <c r="C274" s="21">
        <f t="shared" si="8"/>
        <v>0.574156788514611</v>
      </c>
      <c r="D274" s="21">
        <f t="shared" si="9"/>
        <v>1.06833594157538</v>
      </c>
    </row>
    <row r="275" ht="14.4" spans="2:4">
      <c r="B275" s="20">
        <v>1052</v>
      </c>
      <c r="C275" s="21">
        <f t="shared" si="8"/>
        <v>0.576422574268444</v>
      </c>
      <c r="D275" s="21">
        <f t="shared" si="9"/>
        <v>1.06861466214453</v>
      </c>
    </row>
    <row r="276" ht="14.4" spans="2:4">
      <c r="B276" s="20">
        <v>1056</v>
      </c>
      <c r="C276" s="21">
        <f t="shared" si="8"/>
        <v>0.57868895122535</v>
      </c>
      <c r="D276" s="21">
        <f t="shared" si="9"/>
        <v>1.06889352818372</v>
      </c>
    </row>
    <row r="277" ht="14.4" spans="2:4">
      <c r="B277" s="20">
        <v>1060</v>
      </c>
      <c r="C277" s="21">
        <f t="shared" si="8"/>
        <v>0.580955919693933</v>
      </c>
      <c r="D277" s="21">
        <f t="shared" si="9"/>
        <v>1.06917253980684</v>
      </c>
    </row>
    <row r="278" ht="14.4" spans="2:4">
      <c r="B278" s="20">
        <v>1064</v>
      </c>
      <c r="C278" s="21">
        <f t="shared" si="8"/>
        <v>0.583223479983032</v>
      </c>
      <c r="D278" s="21">
        <f t="shared" si="9"/>
        <v>1.06945169712794</v>
      </c>
    </row>
    <row r="279" ht="14.4" spans="2:4">
      <c r="B279" s="20">
        <v>1068</v>
      </c>
      <c r="C279" s="21">
        <f t="shared" si="8"/>
        <v>0.585491632401735</v>
      </c>
      <c r="D279" s="21">
        <f t="shared" si="9"/>
        <v>1.06973100026116</v>
      </c>
    </row>
    <row r="280" ht="14.4" spans="2:4">
      <c r="B280" s="20">
        <v>1072</v>
      </c>
      <c r="C280" s="21">
        <f t="shared" si="8"/>
        <v>0.587760377259369</v>
      </c>
      <c r="D280" s="21">
        <f t="shared" si="9"/>
        <v>1.07001044932079</v>
      </c>
    </row>
    <row r="281" ht="14.4" spans="2:4">
      <c r="B281" s="20">
        <v>1076</v>
      </c>
      <c r="C281" s="21">
        <f t="shared" si="8"/>
        <v>0.5900297148655</v>
      </c>
      <c r="D281" s="21">
        <f t="shared" si="9"/>
        <v>1.07029004442122</v>
      </c>
    </row>
    <row r="282" ht="14.4" spans="2:4">
      <c r="B282" s="20">
        <v>1080</v>
      </c>
      <c r="C282" s="21">
        <f t="shared" si="8"/>
        <v>0.592299645529946</v>
      </c>
      <c r="D282" s="21">
        <f t="shared" si="9"/>
        <v>1.07056978567695</v>
      </c>
    </row>
    <row r="283" ht="14.4" spans="2:4">
      <c r="B283" s="20">
        <v>1084</v>
      </c>
      <c r="C283" s="21">
        <f t="shared" si="8"/>
        <v>0.594570169562759</v>
      </c>
      <c r="D283" s="21">
        <f t="shared" si="9"/>
        <v>1.07084967320261</v>
      </c>
    </row>
    <row r="284" ht="14.4" spans="2:4">
      <c r="B284" s="20">
        <v>1088</v>
      </c>
      <c r="C284" s="21">
        <f t="shared" si="8"/>
        <v>0.596841287274237</v>
      </c>
      <c r="D284" s="21">
        <f t="shared" si="9"/>
        <v>1.07112970711297</v>
      </c>
    </row>
    <row r="285" ht="14.4" spans="2:4">
      <c r="B285" s="20">
        <v>1092</v>
      </c>
      <c r="C285" s="21">
        <f t="shared" si="8"/>
        <v>0.599112998974924</v>
      </c>
      <c r="D285" s="21">
        <f t="shared" si="9"/>
        <v>1.07140988752289</v>
      </c>
    </row>
    <row r="286" ht="14.4" spans="2:4">
      <c r="B286" s="20">
        <v>1096</v>
      </c>
      <c r="C286" s="21">
        <f t="shared" si="8"/>
        <v>0.601385304975606</v>
      </c>
      <c r="D286" s="21">
        <f t="shared" si="9"/>
        <v>1.07169021454736</v>
      </c>
    </row>
    <row r="287" ht="14.4" spans="2:4">
      <c r="B287" s="20">
        <v>1100</v>
      </c>
      <c r="C287" s="21">
        <f t="shared" si="8"/>
        <v>0.603658205587309</v>
      </c>
      <c r="D287" s="21">
        <f t="shared" si="9"/>
        <v>1.07197068830149</v>
      </c>
    </row>
    <row r="288" ht="14.4" spans="2:4">
      <c r="B288" s="20">
        <v>1104</v>
      </c>
      <c r="C288" s="21">
        <f t="shared" si="8"/>
        <v>0.605931701121313</v>
      </c>
      <c r="D288" s="21">
        <f t="shared" si="9"/>
        <v>1.07225130890052</v>
      </c>
    </row>
    <row r="289" ht="14.4" spans="2:4">
      <c r="B289" s="20">
        <v>1108</v>
      </c>
      <c r="C289" s="21">
        <f t="shared" si="8"/>
        <v>0.608205791889131</v>
      </c>
      <c r="D289" s="21">
        <f t="shared" si="9"/>
        <v>1.07253207645981</v>
      </c>
    </row>
    <row r="290" ht="14.4" spans="2:4">
      <c r="B290" s="20">
        <v>1112</v>
      </c>
      <c r="C290" s="21">
        <f t="shared" si="8"/>
        <v>0.610480478202528</v>
      </c>
      <c r="D290" s="21">
        <f t="shared" si="9"/>
        <v>1.07281299109481</v>
      </c>
    </row>
    <row r="291" ht="14.4" spans="2:4">
      <c r="B291" s="20">
        <v>1116</v>
      </c>
      <c r="C291" s="21">
        <f t="shared" si="8"/>
        <v>0.612755760373512</v>
      </c>
      <c r="D291" s="21">
        <f t="shared" si="9"/>
        <v>1.07309405292114</v>
      </c>
    </row>
    <row r="292" ht="14.4" spans="2:4">
      <c r="B292" s="20">
        <v>1120</v>
      </c>
      <c r="C292" s="21">
        <f t="shared" si="8"/>
        <v>0.615031638714337</v>
      </c>
      <c r="D292" s="21">
        <f t="shared" si="9"/>
        <v>1.07337526205451</v>
      </c>
    </row>
    <row r="293" ht="14.4" spans="2:4">
      <c r="B293" s="20">
        <v>1124</v>
      </c>
      <c r="C293" s="21">
        <f t="shared" si="8"/>
        <v>0.617308113537501</v>
      </c>
      <c r="D293" s="21">
        <f t="shared" si="9"/>
        <v>1.07365661861075</v>
      </c>
    </row>
    <row r="294" ht="14.4" spans="2:4">
      <c r="B294" s="20">
        <v>1128</v>
      </c>
      <c r="C294" s="21">
        <f t="shared" si="8"/>
        <v>0.619585185155751</v>
      </c>
      <c r="D294" s="21">
        <f t="shared" si="9"/>
        <v>1.07393812270582</v>
      </c>
    </row>
    <row r="295" ht="14.4" spans="2:4">
      <c r="B295" s="20">
        <v>1132</v>
      </c>
      <c r="C295" s="21">
        <f t="shared" si="8"/>
        <v>0.621862853882075</v>
      </c>
      <c r="D295" s="21">
        <f t="shared" si="9"/>
        <v>1.07421977445581</v>
      </c>
    </row>
    <row r="296" ht="14.4" spans="2:4">
      <c r="B296" s="20">
        <v>1136</v>
      </c>
      <c r="C296" s="21">
        <f t="shared" si="8"/>
        <v>0.624141120029711</v>
      </c>
      <c r="D296" s="21">
        <f t="shared" si="9"/>
        <v>1.07450157397692</v>
      </c>
    </row>
    <row r="297" ht="14.4" spans="2:4">
      <c r="B297" s="20">
        <v>1140</v>
      </c>
      <c r="C297" s="21">
        <f t="shared" si="8"/>
        <v>0.626419983912142</v>
      </c>
      <c r="D297" s="21">
        <f t="shared" si="9"/>
        <v>1.07478352138546</v>
      </c>
    </row>
    <row r="298" ht="14.4" spans="2:4">
      <c r="B298" s="20">
        <v>1144</v>
      </c>
      <c r="C298" s="21">
        <f t="shared" si="8"/>
        <v>0.628699445843101</v>
      </c>
      <c r="D298" s="21">
        <f t="shared" si="9"/>
        <v>1.0750656167979</v>
      </c>
    </row>
    <row r="299" ht="14.4" spans="2:4">
      <c r="B299" s="20">
        <v>1148</v>
      </c>
      <c r="C299" s="21">
        <f t="shared" si="8"/>
        <v>0.630979506136563</v>
      </c>
      <c r="D299" s="21">
        <f t="shared" si="9"/>
        <v>1.0753478603308</v>
      </c>
    </row>
    <row r="300" ht="14.4" spans="2:4">
      <c r="B300" s="20">
        <v>1152</v>
      </c>
      <c r="C300" s="21">
        <f t="shared" si="8"/>
        <v>0.633260165106752</v>
      </c>
      <c r="D300" s="21">
        <f t="shared" si="9"/>
        <v>1.07563025210084</v>
      </c>
    </row>
    <row r="301" ht="14.4" spans="2:4">
      <c r="B301" s="20">
        <v>1156</v>
      </c>
      <c r="C301" s="21">
        <f t="shared" si="8"/>
        <v>0.635541423068143</v>
      </c>
      <c r="D301" s="21">
        <f t="shared" si="9"/>
        <v>1.07591279222485</v>
      </c>
    </row>
    <row r="302" ht="14.4" spans="2:4">
      <c r="B302" s="20">
        <v>1160</v>
      </c>
      <c r="C302" s="21">
        <f t="shared" si="8"/>
        <v>0.637823280335454</v>
      </c>
      <c r="D302" s="21">
        <f t="shared" si="9"/>
        <v>1.07619548081976</v>
      </c>
    </row>
    <row r="303" ht="14.4" spans="2:4">
      <c r="B303" s="20">
        <v>1164</v>
      </c>
      <c r="C303" s="21">
        <f t="shared" si="8"/>
        <v>0.640105737223654</v>
      </c>
      <c r="D303" s="21">
        <f t="shared" si="9"/>
        <v>1.07647831800263</v>
      </c>
    </row>
    <row r="304" ht="14.4" spans="2:4">
      <c r="B304" s="20">
        <v>1168</v>
      </c>
      <c r="C304" s="21">
        <f t="shared" si="8"/>
        <v>0.64238879404796</v>
      </c>
      <c r="D304" s="21">
        <f t="shared" si="9"/>
        <v>1.07676130389064</v>
      </c>
    </row>
    <row r="305" ht="14.4" spans="2:4">
      <c r="B305" s="20">
        <v>1172</v>
      </c>
      <c r="C305" s="21">
        <f t="shared" si="8"/>
        <v>0.644672451123838</v>
      </c>
      <c r="D305" s="21">
        <f t="shared" si="9"/>
        <v>1.0770444386011</v>
      </c>
    </row>
    <row r="306" ht="14.4" spans="2:4">
      <c r="B306" s="20">
        <v>1176</v>
      </c>
      <c r="C306" s="21">
        <f t="shared" si="8"/>
        <v>0.646956708767</v>
      </c>
      <c r="D306" s="21">
        <f t="shared" si="9"/>
        <v>1.07732772225145</v>
      </c>
    </row>
    <row r="307" ht="14.4" spans="2:4">
      <c r="B307" s="20">
        <v>1180</v>
      </c>
      <c r="C307" s="21">
        <f t="shared" si="8"/>
        <v>0.649241567293412</v>
      </c>
      <c r="D307" s="21">
        <f t="shared" si="9"/>
        <v>1.07761115495922</v>
      </c>
    </row>
    <row r="308" ht="14.4" spans="2:4">
      <c r="B308" s="20">
        <v>1184</v>
      </c>
      <c r="C308" s="21">
        <f t="shared" si="8"/>
        <v>0.651527027019284</v>
      </c>
      <c r="D308" s="21">
        <f t="shared" si="9"/>
        <v>1.07789473684211</v>
      </c>
    </row>
    <row r="309" ht="14.4" spans="2:4">
      <c r="B309" s="20">
        <v>1188</v>
      </c>
      <c r="C309" s="21">
        <f t="shared" si="8"/>
        <v>0.65381308826108</v>
      </c>
      <c r="D309" s="21">
        <f t="shared" si="9"/>
        <v>1.0781784680179</v>
      </c>
    </row>
    <row r="310" ht="14.4" spans="2:4">
      <c r="B310" s="20">
        <v>1192</v>
      </c>
      <c r="C310" s="21">
        <f t="shared" si="8"/>
        <v>0.656099751335511</v>
      </c>
      <c r="D310" s="21">
        <f t="shared" si="9"/>
        <v>1.07846234860453</v>
      </c>
    </row>
    <row r="311" ht="14.4" spans="2:4">
      <c r="B311" s="20">
        <v>1196</v>
      </c>
      <c r="C311" s="21">
        <f t="shared" si="8"/>
        <v>0.658387016559544</v>
      </c>
      <c r="D311" s="21">
        <f t="shared" si="9"/>
        <v>1.07874637872004</v>
      </c>
    </row>
    <row r="312" ht="14.4" spans="2:4">
      <c r="B312" s="20">
        <v>1200</v>
      </c>
      <c r="C312" s="21">
        <f t="shared" si="8"/>
        <v>0.660674884250385</v>
      </c>
      <c r="D312" s="21">
        <f t="shared" si="9"/>
        <v>1.07903055848261</v>
      </c>
    </row>
    <row r="313" ht="14.4" spans="2:4">
      <c r="B313" s="20">
        <v>1204</v>
      </c>
      <c r="C313" s="21">
        <f t="shared" si="8"/>
        <v>0.662963354725503</v>
      </c>
      <c r="D313" s="21">
        <f t="shared" si="9"/>
        <v>1.07931488801054</v>
      </c>
    </row>
    <row r="314" ht="14.4" spans="2:4">
      <c r="B314" s="20">
        <v>1208</v>
      </c>
      <c r="C314" s="21">
        <f t="shared" si="8"/>
        <v>0.665252428302612</v>
      </c>
      <c r="D314" s="21">
        <f t="shared" si="9"/>
        <v>1.07959936742225</v>
      </c>
    </row>
    <row r="315" ht="14.4" spans="2:4">
      <c r="B315" s="20">
        <v>1212</v>
      </c>
      <c r="C315" s="21">
        <f t="shared" si="8"/>
        <v>0.667542105299677</v>
      </c>
      <c r="D315" s="21">
        <f t="shared" si="9"/>
        <v>1.07988399683628</v>
      </c>
    </row>
    <row r="316" ht="14.4" spans="2:4">
      <c r="B316" s="20">
        <v>1216</v>
      </c>
      <c r="C316" s="21">
        <f t="shared" si="8"/>
        <v>0.669832386034913</v>
      </c>
      <c r="D316" s="21">
        <f t="shared" si="9"/>
        <v>1.08016877637131</v>
      </c>
    </row>
    <row r="317" ht="14.4" spans="2:4">
      <c r="B317" s="20">
        <v>1220</v>
      </c>
      <c r="C317" s="21">
        <f t="shared" si="8"/>
        <v>0.672123270826795</v>
      </c>
      <c r="D317" s="21">
        <f t="shared" si="9"/>
        <v>1.08045370614614</v>
      </c>
    </row>
    <row r="318" ht="14.4" spans="2:4">
      <c r="B318" s="20">
        <v>1224</v>
      </c>
      <c r="C318" s="21">
        <f t="shared" si="8"/>
        <v>0.67441475999404</v>
      </c>
      <c r="D318" s="21">
        <f t="shared" si="9"/>
        <v>1.08073878627968</v>
      </c>
    </row>
    <row r="319" ht="14.4" spans="2:4">
      <c r="B319" s="20">
        <v>1228</v>
      </c>
      <c r="C319" s="21">
        <f t="shared" si="8"/>
        <v>0.676706853855624</v>
      </c>
      <c r="D319" s="21">
        <f t="shared" si="9"/>
        <v>1.081024016891</v>
      </c>
    </row>
    <row r="320" ht="14.4" spans="2:4">
      <c r="B320" s="20">
        <v>1232</v>
      </c>
      <c r="C320" s="21">
        <f t="shared" si="8"/>
        <v>0.67899955273077</v>
      </c>
      <c r="D320" s="21">
        <f t="shared" si="9"/>
        <v>1.08130939809926</v>
      </c>
    </row>
    <row r="321" ht="14.4" spans="2:4">
      <c r="B321" s="20">
        <v>1236</v>
      </c>
      <c r="C321" s="21">
        <f t="shared" si="8"/>
        <v>0.681292856938961</v>
      </c>
      <c r="D321" s="21">
        <f t="shared" si="9"/>
        <v>1.08159493002377</v>
      </c>
    </row>
    <row r="322" ht="14.4" spans="2:4">
      <c r="B322" s="20">
        <v>1240</v>
      </c>
      <c r="C322" s="21">
        <f t="shared" si="8"/>
        <v>0.683586766799928</v>
      </c>
      <c r="D322" s="21">
        <f t="shared" si="9"/>
        <v>1.08188061278394</v>
      </c>
    </row>
    <row r="323" ht="14.4" spans="2:4">
      <c r="B323" s="20">
        <v>1244</v>
      </c>
      <c r="C323" s="21">
        <f t="shared" si="8"/>
        <v>0.685881282633655</v>
      </c>
      <c r="D323" s="21">
        <f t="shared" si="9"/>
        <v>1.08216644649934</v>
      </c>
    </row>
    <row r="324" ht="14.4" spans="2:4">
      <c r="B324" s="20">
        <v>1248</v>
      </c>
      <c r="C324" s="21">
        <f t="shared" si="8"/>
        <v>0.688176404760384</v>
      </c>
      <c r="D324" s="21">
        <f t="shared" si="9"/>
        <v>1.08245243128964</v>
      </c>
    </row>
    <row r="325" ht="14.4" spans="2:4">
      <c r="B325" s="20">
        <v>1252</v>
      </c>
      <c r="C325" s="21">
        <f t="shared" si="8"/>
        <v>0.690472133500605</v>
      </c>
      <c r="D325" s="21">
        <f t="shared" si="9"/>
        <v>1.08273856727465</v>
      </c>
    </row>
    <row r="326" ht="14.4" spans="2:4">
      <c r="B326" s="20">
        <v>1256</v>
      </c>
      <c r="C326" s="21">
        <f t="shared" si="8"/>
        <v>0.692768469175069</v>
      </c>
      <c r="D326" s="21">
        <f t="shared" si="9"/>
        <v>1.0830248545743</v>
      </c>
    </row>
    <row r="327" ht="14.4" spans="2:4">
      <c r="B327" s="20">
        <v>1260</v>
      </c>
      <c r="C327" s="21">
        <f t="shared" si="8"/>
        <v>0.695065412104775</v>
      </c>
      <c r="D327" s="21">
        <f t="shared" si="9"/>
        <v>1.08331129330865</v>
      </c>
    </row>
    <row r="328" ht="14.4" spans="2:4">
      <c r="B328" s="20">
        <v>1264</v>
      </c>
      <c r="C328" s="21">
        <f t="shared" si="8"/>
        <v>0.697362962610981</v>
      </c>
      <c r="D328" s="21">
        <f t="shared" si="9"/>
        <v>1.08359788359788</v>
      </c>
    </row>
    <row r="329" ht="14.4" spans="2:4">
      <c r="B329" s="20">
        <v>1268</v>
      </c>
      <c r="C329" s="21">
        <f t="shared" si="8"/>
        <v>0.699661121015196</v>
      </c>
      <c r="D329" s="21">
        <f t="shared" si="9"/>
        <v>1.08388462556232</v>
      </c>
    </row>
    <row r="330" ht="14.4" spans="2:4">
      <c r="B330" s="20">
        <v>1272</v>
      </c>
      <c r="C330" s="21">
        <f t="shared" si="8"/>
        <v>0.701959887639192</v>
      </c>
      <c r="D330" s="21">
        <f t="shared" si="9"/>
        <v>1.08417151932239</v>
      </c>
    </row>
    <row r="331" ht="14.4" spans="2:4">
      <c r="B331" s="20">
        <v>1276</v>
      </c>
      <c r="C331" s="21">
        <f t="shared" si="8"/>
        <v>0.704259262804986</v>
      </c>
      <c r="D331" s="21">
        <f t="shared" si="9"/>
        <v>1.08445856499868</v>
      </c>
    </row>
    <row r="332" ht="14.4" spans="2:4">
      <c r="B332" s="20">
        <v>1280</v>
      </c>
      <c r="C332" s="21">
        <f t="shared" si="8"/>
        <v>0.70655924683486</v>
      </c>
      <c r="D332" s="21">
        <f t="shared" si="9"/>
        <v>1.08474576271186</v>
      </c>
    </row>
    <row r="333" ht="14.4" spans="2:4">
      <c r="B333" s="20">
        <v>1284</v>
      </c>
      <c r="C333" s="21">
        <f t="shared" ref="C333:C396" si="10">20*LOG(D333)</f>
        <v>0.708859840051346</v>
      </c>
      <c r="D333" s="21">
        <f t="shared" ref="D333:D396" si="11">16384/(16384-B333)</f>
        <v>1.08503311258278</v>
      </c>
    </row>
    <row r="334" ht="14.4" spans="2:4">
      <c r="B334" s="20">
        <v>1288</v>
      </c>
      <c r="C334" s="21">
        <f t="shared" si="10"/>
        <v>0.711161042777236</v>
      </c>
      <c r="D334" s="21">
        <f t="shared" si="11"/>
        <v>1.08532061473238</v>
      </c>
    </row>
    <row r="335" ht="14.4" spans="2:4">
      <c r="B335" s="20">
        <v>1292</v>
      </c>
      <c r="C335" s="21">
        <f t="shared" si="10"/>
        <v>0.713462855335576</v>
      </c>
      <c r="D335" s="21">
        <f t="shared" si="11"/>
        <v>1.08560826928174</v>
      </c>
    </row>
    <row r="336" ht="14.4" spans="2:4">
      <c r="B336" s="20">
        <v>1296</v>
      </c>
      <c r="C336" s="21">
        <f t="shared" si="10"/>
        <v>0.715765278049672</v>
      </c>
      <c r="D336" s="21">
        <f t="shared" si="11"/>
        <v>1.08589607635207</v>
      </c>
    </row>
    <row r="337" ht="14.4" spans="2:4">
      <c r="B337" s="20">
        <v>1300</v>
      </c>
      <c r="C337" s="21">
        <f t="shared" si="10"/>
        <v>0.718068311243084</v>
      </c>
      <c r="D337" s="21">
        <f t="shared" si="11"/>
        <v>1.0861840360647</v>
      </c>
    </row>
    <row r="338" ht="14.4" spans="2:4">
      <c r="B338" s="20">
        <v>1304</v>
      </c>
      <c r="C338" s="21">
        <f t="shared" si="10"/>
        <v>0.720371955239629</v>
      </c>
      <c r="D338" s="21">
        <f t="shared" si="11"/>
        <v>1.08647214854111</v>
      </c>
    </row>
    <row r="339" ht="14.4" spans="2:4">
      <c r="B339" s="20">
        <v>1308</v>
      </c>
      <c r="C339" s="21">
        <f t="shared" si="10"/>
        <v>0.722676210363387</v>
      </c>
      <c r="D339" s="21">
        <f t="shared" si="11"/>
        <v>1.08676041390289</v>
      </c>
    </row>
    <row r="340" ht="14.4" spans="2:4">
      <c r="B340" s="20">
        <v>1312</v>
      </c>
      <c r="C340" s="21">
        <f t="shared" si="10"/>
        <v>0.724981076938692</v>
      </c>
      <c r="D340" s="21">
        <f t="shared" si="11"/>
        <v>1.08704883227176</v>
      </c>
    </row>
    <row r="341" ht="14.4" spans="2:4">
      <c r="B341" s="20">
        <v>1316</v>
      </c>
      <c r="C341" s="21">
        <f t="shared" si="10"/>
        <v>0.727286555290135</v>
      </c>
      <c r="D341" s="21">
        <f t="shared" si="11"/>
        <v>1.08733740376958</v>
      </c>
    </row>
    <row r="342" ht="14.4" spans="2:4">
      <c r="B342" s="20">
        <v>1320</v>
      </c>
      <c r="C342" s="21">
        <f t="shared" si="10"/>
        <v>0.729592645742566</v>
      </c>
      <c r="D342" s="21">
        <f t="shared" si="11"/>
        <v>1.08762612851832</v>
      </c>
    </row>
    <row r="343" ht="14.4" spans="2:4">
      <c r="B343" s="20">
        <v>1324</v>
      </c>
      <c r="C343" s="21">
        <f t="shared" si="10"/>
        <v>0.731899348621099</v>
      </c>
      <c r="D343" s="21">
        <f t="shared" si="11"/>
        <v>1.08791500664011</v>
      </c>
    </row>
    <row r="344" ht="14.4" spans="2:4">
      <c r="B344" s="20">
        <v>1328</v>
      </c>
      <c r="C344" s="21">
        <f t="shared" si="10"/>
        <v>0.7342066642511</v>
      </c>
      <c r="D344" s="21">
        <f t="shared" si="11"/>
        <v>1.08820403825717</v>
      </c>
    </row>
    <row r="345" ht="14.4" spans="2:4">
      <c r="B345" s="20">
        <v>1332</v>
      </c>
      <c r="C345" s="21">
        <f t="shared" si="10"/>
        <v>0.7365145929582</v>
      </c>
      <c r="D345" s="21">
        <f t="shared" si="11"/>
        <v>1.08849322349189</v>
      </c>
    </row>
    <row r="346" ht="14.4" spans="2:4">
      <c r="B346" s="20">
        <v>1336</v>
      </c>
      <c r="C346" s="21">
        <f t="shared" si="10"/>
        <v>0.738823135068286</v>
      </c>
      <c r="D346" s="21">
        <f t="shared" si="11"/>
        <v>1.08878256246677</v>
      </c>
    </row>
    <row r="347" ht="14.4" spans="2:4">
      <c r="B347" s="20">
        <v>1340</v>
      </c>
      <c r="C347" s="21">
        <f t="shared" si="10"/>
        <v>0.741132290907505</v>
      </c>
      <c r="D347" s="21">
        <f t="shared" si="11"/>
        <v>1.08907205530444</v>
      </c>
    </row>
    <row r="348" ht="14.4" spans="2:4">
      <c r="B348" s="20">
        <v>1344</v>
      </c>
      <c r="C348" s="21">
        <f t="shared" si="10"/>
        <v>0.743442060802266</v>
      </c>
      <c r="D348" s="21">
        <f t="shared" si="11"/>
        <v>1.08936170212766</v>
      </c>
    </row>
    <row r="349" ht="14.4" spans="2:4">
      <c r="B349" s="20">
        <v>1348</v>
      </c>
      <c r="C349" s="21">
        <f t="shared" si="10"/>
        <v>0.745752445079239</v>
      </c>
      <c r="D349" s="21">
        <f t="shared" si="11"/>
        <v>1.08965150305932</v>
      </c>
    </row>
    <row r="350" ht="14.4" spans="2:4">
      <c r="B350" s="20">
        <v>1352</v>
      </c>
      <c r="C350" s="21">
        <f t="shared" si="10"/>
        <v>0.74806344406535</v>
      </c>
      <c r="D350" s="21">
        <f t="shared" si="11"/>
        <v>1.08994145822246</v>
      </c>
    </row>
    <row r="351" ht="14.4" spans="2:4">
      <c r="B351" s="20">
        <v>1356</v>
      </c>
      <c r="C351" s="21">
        <f t="shared" si="10"/>
        <v>0.750375058087795</v>
      </c>
      <c r="D351" s="21">
        <f t="shared" si="11"/>
        <v>1.09023156774022</v>
      </c>
    </row>
    <row r="352" ht="14.4" spans="2:4">
      <c r="B352" s="20">
        <v>1360</v>
      </c>
      <c r="C352" s="21">
        <f t="shared" si="10"/>
        <v>0.752687287474021</v>
      </c>
      <c r="D352" s="21">
        <f t="shared" si="11"/>
        <v>1.09052183173589</v>
      </c>
    </row>
    <row r="353" ht="14.4" spans="2:4">
      <c r="B353" s="20">
        <v>1364</v>
      </c>
      <c r="C353" s="21">
        <f t="shared" si="10"/>
        <v>0.755000132551742</v>
      </c>
      <c r="D353" s="21">
        <f t="shared" si="11"/>
        <v>1.09081225033289</v>
      </c>
    </row>
    <row r="354" ht="14.4" spans="2:4">
      <c r="B354" s="20">
        <v>1368</v>
      </c>
      <c r="C354" s="21">
        <f t="shared" si="10"/>
        <v>0.757313593648936</v>
      </c>
      <c r="D354" s="21">
        <f t="shared" si="11"/>
        <v>1.09110282365477</v>
      </c>
    </row>
    <row r="355" ht="14.4" spans="2:4">
      <c r="B355" s="20">
        <v>1372</v>
      </c>
      <c r="C355" s="21">
        <f t="shared" si="10"/>
        <v>0.759627671093839</v>
      </c>
      <c r="D355" s="21">
        <f t="shared" si="11"/>
        <v>1.09139355182521</v>
      </c>
    </row>
    <row r="356" ht="14.4" spans="2:4">
      <c r="B356" s="20">
        <v>1376</v>
      </c>
      <c r="C356" s="21">
        <f t="shared" si="10"/>
        <v>0.76194236521495</v>
      </c>
      <c r="D356" s="21">
        <f t="shared" si="11"/>
        <v>1.09168443496802</v>
      </c>
    </row>
    <row r="357" ht="14.4" spans="2:4">
      <c r="B357" s="20">
        <v>1380</v>
      </c>
      <c r="C357" s="21">
        <f t="shared" si="10"/>
        <v>0.764257676341031</v>
      </c>
      <c r="D357" s="21">
        <f t="shared" si="11"/>
        <v>1.09197547320714</v>
      </c>
    </row>
    <row r="358" ht="14.4" spans="2:4">
      <c r="B358" s="20">
        <v>1384</v>
      </c>
      <c r="C358" s="21">
        <f t="shared" si="10"/>
        <v>0.76657360480111</v>
      </c>
      <c r="D358" s="21">
        <f t="shared" si="11"/>
        <v>1.09226666666667</v>
      </c>
    </row>
    <row r="359" ht="14.4" spans="2:4">
      <c r="B359" s="20">
        <v>1388</v>
      </c>
      <c r="C359" s="21">
        <f t="shared" si="10"/>
        <v>0.768890150924472</v>
      </c>
      <c r="D359" s="21">
        <f t="shared" si="11"/>
        <v>1.09255801547079</v>
      </c>
    </row>
    <row r="360" ht="14.4" spans="2:4">
      <c r="B360" s="20">
        <v>1392</v>
      </c>
      <c r="C360" s="21">
        <f t="shared" si="10"/>
        <v>0.771207315040674</v>
      </c>
      <c r="D360" s="21">
        <f t="shared" si="11"/>
        <v>1.09284951974386</v>
      </c>
    </row>
    <row r="361" ht="14.4" spans="2:4">
      <c r="B361" s="20">
        <v>1396</v>
      </c>
      <c r="C361" s="21">
        <f t="shared" si="10"/>
        <v>0.773525097479528</v>
      </c>
      <c r="D361" s="21">
        <f t="shared" si="11"/>
        <v>1.09314117961035</v>
      </c>
    </row>
    <row r="362" ht="14.4" spans="2:4">
      <c r="B362" s="20">
        <v>1400</v>
      </c>
      <c r="C362" s="21">
        <f t="shared" si="10"/>
        <v>0.775843498571115</v>
      </c>
      <c r="D362" s="21">
        <f t="shared" si="11"/>
        <v>1.09343299519487</v>
      </c>
    </row>
    <row r="363" ht="14.4" spans="2:4">
      <c r="B363" s="20">
        <v>1404</v>
      </c>
      <c r="C363" s="21">
        <f t="shared" si="10"/>
        <v>0.778162518645781</v>
      </c>
      <c r="D363" s="21">
        <f t="shared" si="11"/>
        <v>1.09372496662216</v>
      </c>
    </row>
    <row r="364" ht="14.4" spans="2:4">
      <c r="B364" s="20">
        <v>1408</v>
      </c>
      <c r="C364" s="21">
        <f t="shared" si="10"/>
        <v>0.780482158034135</v>
      </c>
      <c r="D364" s="21">
        <f t="shared" si="11"/>
        <v>1.09401709401709</v>
      </c>
    </row>
    <row r="365" ht="14.4" spans="2:4">
      <c r="B365" s="20">
        <v>1412</v>
      </c>
      <c r="C365" s="21">
        <f t="shared" si="10"/>
        <v>0.78280241706705</v>
      </c>
      <c r="D365" s="21">
        <f t="shared" si="11"/>
        <v>1.09430937750468</v>
      </c>
    </row>
    <row r="366" ht="14.4" spans="2:4">
      <c r="B366" s="20">
        <v>1416</v>
      </c>
      <c r="C366" s="21">
        <f t="shared" si="10"/>
        <v>0.785123296075664</v>
      </c>
      <c r="D366" s="21">
        <f t="shared" si="11"/>
        <v>1.09460181721005</v>
      </c>
    </row>
    <row r="367" ht="14.4" spans="2:4">
      <c r="B367" s="20">
        <v>1420</v>
      </c>
      <c r="C367" s="21">
        <f t="shared" si="10"/>
        <v>0.787444795391386</v>
      </c>
      <c r="D367" s="21">
        <f t="shared" si="11"/>
        <v>1.09489441325849</v>
      </c>
    </row>
    <row r="368" ht="14.4" spans="2:4">
      <c r="B368" s="20">
        <v>1424</v>
      </c>
      <c r="C368" s="21">
        <f t="shared" si="10"/>
        <v>0.789766915345884</v>
      </c>
      <c r="D368" s="21">
        <f t="shared" si="11"/>
        <v>1.0951871657754</v>
      </c>
    </row>
    <row r="369" ht="14.4" spans="2:4">
      <c r="B369" s="20">
        <v>1428</v>
      </c>
      <c r="C369" s="21">
        <f t="shared" si="10"/>
        <v>0.792089656271094</v>
      </c>
      <c r="D369" s="21">
        <f t="shared" si="11"/>
        <v>1.09548007488633</v>
      </c>
    </row>
    <row r="370" ht="14.4" spans="2:4">
      <c r="B370" s="20">
        <v>1432</v>
      </c>
      <c r="C370" s="21">
        <f t="shared" si="10"/>
        <v>0.794413018499221</v>
      </c>
      <c r="D370" s="21">
        <f t="shared" si="11"/>
        <v>1.09577314071696</v>
      </c>
    </row>
    <row r="371" ht="14.4" spans="2:4">
      <c r="B371" s="20">
        <v>1436</v>
      </c>
      <c r="C371" s="21">
        <f t="shared" si="10"/>
        <v>0.796737002362735</v>
      </c>
      <c r="D371" s="21">
        <f t="shared" si="11"/>
        <v>1.0960663633931</v>
      </c>
    </row>
    <row r="372" ht="14.4" spans="2:4">
      <c r="B372" s="20">
        <v>1440</v>
      </c>
      <c r="C372" s="21">
        <f t="shared" si="10"/>
        <v>0.799061608194372</v>
      </c>
      <c r="D372" s="21">
        <f t="shared" si="11"/>
        <v>1.09635974304069</v>
      </c>
    </row>
    <row r="373" ht="14.4" spans="2:4">
      <c r="B373" s="20">
        <v>1444</v>
      </c>
      <c r="C373" s="21">
        <f t="shared" si="10"/>
        <v>0.801386836327135</v>
      </c>
      <c r="D373" s="21">
        <f t="shared" si="11"/>
        <v>1.09665327978581</v>
      </c>
    </row>
    <row r="374" ht="14.4" spans="2:4">
      <c r="B374" s="20">
        <v>1448</v>
      </c>
      <c r="C374" s="21">
        <f t="shared" si="10"/>
        <v>0.803712687094297</v>
      </c>
      <c r="D374" s="21">
        <f t="shared" si="11"/>
        <v>1.09694697375469</v>
      </c>
    </row>
    <row r="375" ht="14.4" spans="2:4">
      <c r="B375" s="20">
        <v>1452</v>
      </c>
      <c r="C375" s="21">
        <f t="shared" si="10"/>
        <v>0.806039160829397</v>
      </c>
      <c r="D375" s="21">
        <f t="shared" si="11"/>
        <v>1.09724082507367</v>
      </c>
    </row>
    <row r="376" ht="14.4" spans="2:4">
      <c r="B376" s="20">
        <v>1456</v>
      </c>
      <c r="C376" s="21">
        <f t="shared" si="10"/>
        <v>0.80836625786624</v>
      </c>
      <c r="D376" s="21">
        <f t="shared" si="11"/>
        <v>1.09753483386924</v>
      </c>
    </row>
    <row r="377" ht="14.4" spans="2:4">
      <c r="B377" s="20">
        <v>1460</v>
      </c>
      <c r="C377" s="21">
        <f t="shared" si="10"/>
        <v>0.810693978538905</v>
      </c>
      <c r="D377" s="21">
        <f t="shared" si="11"/>
        <v>1.09782900026802</v>
      </c>
    </row>
    <row r="378" ht="14.4" spans="2:4">
      <c r="B378" s="20">
        <v>1464</v>
      </c>
      <c r="C378" s="21">
        <f t="shared" si="10"/>
        <v>0.813022323181736</v>
      </c>
      <c r="D378" s="21">
        <f t="shared" si="11"/>
        <v>1.09812332439678</v>
      </c>
    </row>
    <row r="379" ht="14.4" spans="2:4">
      <c r="B379" s="20">
        <v>1468</v>
      </c>
      <c r="C379" s="21">
        <f t="shared" si="10"/>
        <v>0.815351292129343</v>
      </c>
      <c r="D379" s="21">
        <f t="shared" si="11"/>
        <v>1.09841780638241</v>
      </c>
    </row>
    <row r="380" ht="14.4" spans="2:4">
      <c r="B380" s="20">
        <v>1472</v>
      </c>
      <c r="C380" s="21">
        <f t="shared" si="10"/>
        <v>0.817680885716612</v>
      </c>
      <c r="D380" s="21">
        <f t="shared" si="11"/>
        <v>1.09871244635193</v>
      </c>
    </row>
    <row r="381" ht="14.4" spans="2:4">
      <c r="B381" s="20">
        <v>1476</v>
      </c>
      <c r="C381" s="21">
        <f t="shared" si="10"/>
        <v>0.820011104278693</v>
      </c>
      <c r="D381" s="21">
        <f t="shared" si="11"/>
        <v>1.09900724443252</v>
      </c>
    </row>
    <row r="382" ht="14.4" spans="2:4">
      <c r="B382" s="20">
        <v>1480</v>
      </c>
      <c r="C382" s="21">
        <f t="shared" si="10"/>
        <v>0.82234194815101</v>
      </c>
      <c r="D382" s="21">
        <f t="shared" si="11"/>
        <v>1.09930220075148</v>
      </c>
    </row>
    <row r="383" ht="14.4" spans="2:4">
      <c r="B383" s="20">
        <v>1484</v>
      </c>
      <c r="C383" s="21">
        <f t="shared" si="10"/>
        <v>0.824673417669253</v>
      </c>
      <c r="D383" s="21">
        <f t="shared" si="11"/>
        <v>1.09959731543624</v>
      </c>
    </row>
    <row r="384" ht="14.4" spans="2:4">
      <c r="B384" s="20">
        <v>1488</v>
      </c>
      <c r="C384" s="21">
        <f t="shared" si="10"/>
        <v>0.827005513169386</v>
      </c>
      <c r="D384" s="21">
        <f t="shared" si="11"/>
        <v>1.09989258861439</v>
      </c>
    </row>
    <row r="385" ht="14.4" spans="2:4">
      <c r="B385" s="20">
        <v>1492</v>
      </c>
      <c r="C385" s="21">
        <f t="shared" si="10"/>
        <v>0.829338234987642</v>
      </c>
      <c r="D385" s="21">
        <f t="shared" si="11"/>
        <v>1.10018802041364</v>
      </c>
    </row>
    <row r="386" ht="14.4" spans="2:4">
      <c r="B386" s="20">
        <v>1496</v>
      </c>
      <c r="C386" s="21">
        <f t="shared" si="10"/>
        <v>0.831671583460523</v>
      </c>
      <c r="D386" s="21">
        <f t="shared" si="11"/>
        <v>1.10048361096185</v>
      </c>
    </row>
    <row r="387" ht="14.4" spans="2:4">
      <c r="B387" s="20">
        <v>1500</v>
      </c>
      <c r="C387" s="21">
        <f t="shared" si="10"/>
        <v>0.834005558924805</v>
      </c>
      <c r="D387" s="21">
        <f t="shared" si="11"/>
        <v>1.10077936038699</v>
      </c>
    </row>
    <row r="388" ht="14.4" spans="2:4">
      <c r="B388" s="20">
        <v>1504</v>
      </c>
      <c r="C388" s="21">
        <f t="shared" si="10"/>
        <v>0.836340161717537</v>
      </c>
      <c r="D388" s="21">
        <f t="shared" si="11"/>
        <v>1.1010752688172</v>
      </c>
    </row>
    <row r="389" ht="14.4" spans="2:4">
      <c r="B389" s="20">
        <v>1508</v>
      </c>
      <c r="C389" s="21">
        <f t="shared" si="10"/>
        <v>0.838675392176035</v>
      </c>
      <c r="D389" s="21">
        <f t="shared" si="11"/>
        <v>1.10137133638075</v>
      </c>
    </row>
    <row r="390" ht="14.4" spans="2:4">
      <c r="B390" s="20">
        <v>1512</v>
      </c>
      <c r="C390" s="21">
        <f t="shared" si="10"/>
        <v>0.841011250637891</v>
      </c>
      <c r="D390" s="21">
        <f t="shared" si="11"/>
        <v>1.10166756320602</v>
      </c>
    </row>
    <row r="391" ht="14.4" spans="2:4">
      <c r="B391" s="20">
        <v>1516</v>
      </c>
      <c r="C391" s="21">
        <f t="shared" si="10"/>
        <v>0.843347737440969</v>
      </c>
      <c r="D391" s="21">
        <f t="shared" si="11"/>
        <v>1.10196394942158</v>
      </c>
    </row>
    <row r="392" ht="14.4" spans="2:4">
      <c r="B392" s="20">
        <v>1520</v>
      </c>
      <c r="C392" s="21">
        <f t="shared" si="10"/>
        <v>0.845684852923403</v>
      </c>
      <c r="D392" s="21">
        <f t="shared" si="11"/>
        <v>1.10226049515608</v>
      </c>
    </row>
    <row r="393" ht="14.4" spans="2:4">
      <c r="B393" s="20">
        <v>1524</v>
      </c>
      <c r="C393" s="21">
        <f t="shared" si="10"/>
        <v>0.848022597423604</v>
      </c>
      <c r="D393" s="21">
        <f t="shared" si="11"/>
        <v>1.10255720053836</v>
      </c>
    </row>
    <row r="394" ht="14.4" spans="2:4">
      <c r="B394" s="20">
        <v>1528</v>
      </c>
      <c r="C394" s="21">
        <f t="shared" si="10"/>
        <v>0.850360971280255</v>
      </c>
      <c r="D394" s="21">
        <f t="shared" si="11"/>
        <v>1.10285406569736</v>
      </c>
    </row>
    <row r="395" ht="14.4" spans="2:4">
      <c r="B395" s="20">
        <v>1532</v>
      </c>
      <c r="C395" s="21">
        <f t="shared" si="10"/>
        <v>0.852699974832309</v>
      </c>
      <c r="D395" s="21">
        <f t="shared" si="11"/>
        <v>1.10315109076219</v>
      </c>
    </row>
    <row r="396" ht="14.4" spans="2:4">
      <c r="B396" s="20">
        <v>1536</v>
      </c>
      <c r="C396" s="21">
        <f t="shared" si="10"/>
        <v>0.855039608418998</v>
      </c>
      <c r="D396" s="21">
        <f t="shared" si="11"/>
        <v>1.10344827586207</v>
      </c>
    </row>
    <row r="397" ht="14.4" spans="2:4">
      <c r="B397" s="20">
        <v>1540</v>
      </c>
      <c r="C397" s="21">
        <f t="shared" ref="C397:C460" si="12">20*LOG(D397)</f>
        <v>0.857379872379824</v>
      </c>
      <c r="D397" s="21">
        <f t="shared" ref="D397:D460" si="13">16384/(16384-B397)</f>
        <v>1.10374562112638</v>
      </c>
    </row>
    <row r="398" ht="14.4" spans="2:4">
      <c r="B398" s="20">
        <v>1544</v>
      </c>
      <c r="C398" s="21">
        <f t="shared" si="12"/>
        <v>0.85972076705457</v>
      </c>
      <c r="D398" s="21">
        <f t="shared" si="13"/>
        <v>1.10404312668464</v>
      </c>
    </row>
    <row r="399" ht="14.4" spans="2:4">
      <c r="B399" s="20">
        <v>1548</v>
      </c>
      <c r="C399" s="21">
        <f t="shared" si="12"/>
        <v>0.862062292783285</v>
      </c>
      <c r="D399" s="21">
        <f t="shared" si="13"/>
        <v>1.10434079266649</v>
      </c>
    </row>
    <row r="400" ht="14.4" spans="2:4">
      <c r="B400" s="20">
        <v>1552</v>
      </c>
      <c r="C400" s="21">
        <f t="shared" si="12"/>
        <v>0.864404449906297</v>
      </c>
      <c r="D400" s="21">
        <f t="shared" si="13"/>
        <v>1.10463861920173</v>
      </c>
    </row>
    <row r="401" ht="14.4" spans="2:4">
      <c r="B401" s="20">
        <v>1556</v>
      </c>
      <c r="C401" s="21">
        <f t="shared" si="12"/>
        <v>0.866747238764213</v>
      </c>
      <c r="D401" s="21">
        <f t="shared" si="13"/>
        <v>1.10493660642029</v>
      </c>
    </row>
    <row r="402" ht="14.4" spans="2:4">
      <c r="B402" s="20">
        <v>1560</v>
      </c>
      <c r="C402" s="21">
        <f t="shared" si="12"/>
        <v>0.869090659697912</v>
      </c>
      <c r="D402" s="21">
        <f t="shared" si="13"/>
        <v>1.10523475445224</v>
      </c>
    </row>
    <row r="403" ht="14.4" spans="2:4">
      <c r="B403" s="20">
        <v>1564</v>
      </c>
      <c r="C403" s="21">
        <f t="shared" si="12"/>
        <v>0.871434713048547</v>
      </c>
      <c r="D403" s="21">
        <f t="shared" si="13"/>
        <v>1.1055330634278</v>
      </c>
    </row>
    <row r="404" ht="14.4" spans="2:4">
      <c r="B404" s="20">
        <v>1568</v>
      </c>
      <c r="C404" s="21">
        <f t="shared" si="12"/>
        <v>0.873779399157553</v>
      </c>
      <c r="D404" s="21">
        <f t="shared" si="13"/>
        <v>1.10583153347732</v>
      </c>
    </row>
    <row r="405" ht="14.4" spans="2:4">
      <c r="B405" s="20">
        <v>1572</v>
      </c>
      <c r="C405" s="21">
        <f t="shared" si="12"/>
        <v>0.876124718366635</v>
      </c>
      <c r="D405" s="21">
        <f t="shared" si="13"/>
        <v>1.1061301647313</v>
      </c>
    </row>
    <row r="406" ht="14.4" spans="2:4">
      <c r="B406" s="20">
        <v>1576</v>
      </c>
      <c r="C406" s="21">
        <f t="shared" si="12"/>
        <v>0.878470671017781</v>
      </c>
      <c r="D406" s="21">
        <f t="shared" si="13"/>
        <v>1.10642895732037</v>
      </c>
    </row>
    <row r="407" ht="14.4" spans="2:4">
      <c r="B407" s="20">
        <v>1580</v>
      </c>
      <c r="C407" s="21">
        <f t="shared" si="12"/>
        <v>0.880817257453251</v>
      </c>
      <c r="D407" s="21">
        <f t="shared" si="13"/>
        <v>1.1067279113753</v>
      </c>
    </row>
    <row r="408" ht="14.4" spans="2:4">
      <c r="B408" s="20">
        <v>1584</v>
      </c>
      <c r="C408" s="21">
        <f t="shared" si="12"/>
        <v>0.883164478015587</v>
      </c>
      <c r="D408" s="21">
        <f t="shared" si="13"/>
        <v>1.10702702702703</v>
      </c>
    </row>
    <row r="409" ht="14.4" spans="2:4">
      <c r="B409" s="20">
        <v>1588</v>
      </c>
      <c r="C409" s="21">
        <f t="shared" si="12"/>
        <v>0.885512333047605</v>
      </c>
      <c r="D409" s="21">
        <f t="shared" si="13"/>
        <v>1.1073263044066</v>
      </c>
    </row>
    <row r="410" ht="14.4" spans="2:4">
      <c r="B410" s="20">
        <v>1592</v>
      </c>
      <c r="C410" s="21">
        <f t="shared" si="12"/>
        <v>0.887860822892403</v>
      </c>
      <c r="D410" s="21">
        <f t="shared" si="13"/>
        <v>1.10762574364521</v>
      </c>
    </row>
    <row r="411" ht="14.4" spans="2:4">
      <c r="B411" s="20">
        <v>1596</v>
      </c>
      <c r="C411" s="21">
        <f t="shared" si="12"/>
        <v>0.890209947893351</v>
      </c>
      <c r="D411" s="21">
        <f t="shared" si="13"/>
        <v>1.10792534487422</v>
      </c>
    </row>
    <row r="412" ht="14.4" spans="2:4">
      <c r="B412" s="20">
        <v>1600</v>
      </c>
      <c r="C412" s="21">
        <f t="shared" si="12"/>
        <v>0.892559708394105</v>
      </c>
      <c r="D412" s="21">
        <f t="shared" si="13"/>
        <v>1.10822510822511</v>
      </c>
    </row>
    <row r="413" ht="14.4" spans="2:4">
      <c r="B413" s="20">
        <v>1604</v>
      </c>
      <c r="C413" s="21">
        <f t="shared" si="12"/>
        <v>0.894910104738597</v>
      </c>
      <c r="D413" s="21">
        <f t="shared" si="13"/>
        <v>1.1085250338295</v>
      </c>
    </row>
    <row r="414" ht="14.4" spans="2:4">
      <c r="B414" s="20">
        <v>1608</v>
      </c>
      <c r="C414" s="21">
        <f t="shared" si="12"/>
        <v>0.897261137271035</v>
      </c>
      <c r="D414" s="21">
        <f t="shared" si="13"/>
        <v>1.10882512181917</v>
      </c>
    </row>
    <row r="415" ht="14.4" spans="2:4">
      <c r="B415" s="20">
        <v>1612</v>
      </c>
      <c r="C415" s="21">
        <f t="shared" si="12"/>
        <v>0.899612806335912</v>
      </c>
      <c r="D415" s="21">
        <f t="shared" si="13"/>
        <v>1.10912537232602</v>
      </c>
    </row>
    <row r="416" ht="14.4" spans="2:4">
      <c r="B416" s="20">
        <v>1616</v>
      </c>
      <c r="C416" s="21">
        <f t="shared" si="12"/>
        <v>0.901965112277997</v>
      </c>
      <c r="D416" s="21">
        <f t="shared" si="13"/>
        <v>1.10942578548212</v>
      </c>
    </row>
    <row r="417" ht="14.4" spans="2:4">
      <c r="B417" s="20">
        <v>1620</v>
      </c>
      <c r="C417" s="21">
        <f t="shared" si="12"/>
        <v>0.904318055442344</v>
      </c>
      <c r="D417" s="21">
        <f t="shared" si="13"/>
        <v>1.10972636141967</v>
      </c>
    </row>
    <row r="418" ht="14.4" spans="2:4">
      <c r="B418" s="20">
        <v>1624</v>
      </c>
      <c r="C418" s="21">
        <f t="shared" si="12"/>
        <v>0.906671636174279</v>
      </c>
      <c r="D418" s="21">
        <f t="shared" si="13"/>
        <v>1.110027100271</v>
      </c>
    </row>
    <row r="419" ht="14.4" spans="2:4">
      <c r="B419" s="20">
        <v>1628</v>
      </c>
      <c r="C419" s="21">
        <f t="shared" si="12"/>
        <v>0.909025854819417</v>
      </c>
      <c r="D419" s="21">
        <f t="shared" si="13"/>
        <v>1.11032800216861</v>
      </c>
    </row>
    <row r="420" ht="14.4" spans="2:4">
      <c r="B420" s="20">
        <v>1632</v>
      </c>
      <c r="C420" s="21">
        <f t="shared" si="12"/>
        <v>0.911380711723653</v>
      </c>
      <c r="D420" s="21">
        <f t="shared" si="13"/>
        <v>1.11062906724512</v>
      </c>
    </row>
    <row r="421" ht="14.4" spans="2:4">
      <c r="B421" s="20">
        <v>1636</v>
      </c>
      <c r="C421" s="21">
        <f t="shared" si="12"/>
        <v>0.913736207233157</v>
      </c>
      <c r="D421" s="21">
        <f t="shared" si="13"/>
        <v>1.11093029563331</v>
      </c>
    </row>
    <row r="422" ht="14.4" spans="2:4">
      <c r="B422" s="20">
        <v>1640</v>
      </c>
      <c r="C422" s="21">
        <f t="shared" si="12"/>
        <v>0.916092341694387</v>
      </c>
      <c r="D422" s="21">
        <f t="shared" si="13"/>
        <v>1.11123168746609</v>
      </c>
    </row>
    <row r="423" ht="14.4" spans="2:4">
      <c r="B423" s="20">
        <v>1644</v>
      </c>
      <c r="C423" s="21">
        <f t="shared" si="12"/>
        <v>0.918449115454082</v>
      </c>
      <c r="D423" s="21">
        <f t="shared" si="13"/>
        <v>1.11153324287653</v>
      </c>
    </row>
    <row r="424" ht="14.4" spans="2:4">
      <c r="B424" s="20">
        <v>1648</v>
      </c>
      <c r="C424" s="21">
        <f t="shared" si="12"/>
        <v>0.920806528859261</v>
      </c>
      <c r="D424" s="21">
        <f t="shared" si="13"/>
        <v>1.11183496199783</v>
      </c>
    </row>
    <row r="425" ht="14.4" spans="2:4">
      <c r="B425" s="20">
        <v>1652</v>
      </c>
      <c r="C425" s="21">
        <f t="shared" si="12"/>
        <v>0.923164582257228</v>
      </c>
      <c r="D425" s="21">
        <f t="shared" si="13"/>
        <v>1.11213684496335</v>
      </c>
    </row>
    <row r="426" ht="14.4" spans="2:4">
      <c r="B426" s="20">
        <v>1656</v>
      </c>
      <c r="C426" s="21">
        <f t="shared" si="12"/>
        <v>0.925523275995568</v>
      </c>
      <c r="D426" s="21">
        <f t="shared" si="13"/>
        <v>1.11243889190657</v>
      </c>
    </row>
    <row r="427" ht="14.4" spans="2:4">
      <c r="B427" s="20">
        <v>1660</v>
      </c>
      <c r="C427" s="21">
        <f t="shared" si="12"/>
        <v>0.927882610422153</v>
      </c>
      <c r="D427" s="21">
        <f t="shared" si="13"/>
        <v>1.11274110296115</v>
      </c>
    </row>
    <row r="428" ht="14.4" spans="2:4">
      <c r="B428" s="20">
        <v>1664</v>
      </c>
      <c r="C428" s="21">
        <f t="shared" si="12"/>
        <v>0.930242585885134</v>
      </c>
      <c r="D428" s="21">
        <f t="shared" si="13"/>
        <v>1.11304347826087</v>
      </c>
    </row>
    <row r="429" ht="14.4" spans="2:4">
      <c r="B429" s="20">
        <v>1668</v>
      </c>
      <c r="C429" s="21">
        <f t="shared" si="12"/>
        <v>0.932603202732947</v>
      </c>
      <c r="D429" s="21">
        <f t="shared" si="13"/>
        <v>1.11334601793966</v>
      </c>
    </row>
    <row r="430" ht="14.4" spans="2:4">
      <c r="B430" s="20">
        <v>1672</v>
      </c>
      <c r="C430" s="21">
        <f t="shared" si="12"/>
        <v>0.934964461314313</v>
      </c>
      <c r="D430" s="21">
        <f t="shared" si="13"/>
        <v>1.11364872213159</v>
      </c>
    </row>
    <row r="431" ht="14.4" spans="2:4">
      <c r="B431" s="20">
        <v>1676</v>
      </c>
      <c r="C431" s="21">
        <f t="shared" si="12"/>
        <v>0.937326361978239</v>
      </c>
      <c r="D431" s="21">
        <f t="shared" si="13"/>
        <v>1.1139515909709</v>
      </c>
    </row>
    <row r="432" ht="14.4" spans="2:4">
      <c r="B432" s="20">
        <v>1680</v>
      </c>
      <c r="C432" s="21">
        <f t="shared" si="12"/>
        <v>0.939688905074014</v>
      </c>
      <c r="D432" s="21">
        <f t="shared" si="13"/>
        <v>1.11425462459195</v>
      </c>
    </row>
    <row r="433" ht="14.4" spans="2:4">
      <c r="B433" s="20">
        <v>1684</v>
      </c>
      <c r="C433" s="21">
        <f t="shared" si="12"/>
        <v>0.942052090951212</v>
      </c>
      <c r="D433" s="21">
        <f t="shared" si="13"/>
        <v>1.11455782312925</v>
      </c>
    </row>
    <row r="434" ht="14.4" spans="2:4">
      <c r="B434" s="20">
        <v>1688</v>
      </c>
      <c r="C434" s="21">
        <f t="shared" si="12"/>
        <v>0.944415919959697</v>
      </c>
      <c r="D434" s="21">
        <f t="shared" si="13"/>
        <v>1.11486118671747</v>
      </c>
    </row>
    <row r="435" ht="14.4" spans="2:4">
      <c r="B435" s="20">
        <v>1692</v>
      </c>
      <c r="C435" s="21">
        <f t="shared" si="12"/>
        <v>0.946780392449612</v>
      </c>
      <c r="D435" s="21">
        <f t="shared" si="13"/>
        <v>1.11516471549142</v>
      </c>
    </row>
    <row r="436" ht="14.4" spans="2:4">
      <c r="B436" s="20">
        <v>1696</v>
      </c>
      <c r="C436" s="21">
        <f t="shared" si="12"/>
        <v>0.949145508771391</v>
      </c>
      <c r="D436" s="21">
        <f t="shared" si="13"/>
        <v>1.11546840958606</v>
      </c>
    </row>
    <row r="437" ht="14.4" spans="2:4">
      <c r="B437" s="20">
        <v>1700</v>
      </c>
      <c r="C437" s="21">
        <f t="shared" si="12"/>
        <v>0.951511269275751</v>
      </c>
      <c r="D437" s="21">
        <f t="shared" si="13"/>
        <v>1.11577226913648</v>
      </c>
    </row>
    <row r="438" ht="14.4" spans="2:4">
      <c r="B438" s="20">
        <v>1704</v>
      </c>
      <c r="C438" s="21">
        <f t="shared" si="12"/>
        <v>0.953877674313701</v>
      </c>
      <c r="D438" s="21">
        <f t="shared" si="13"/>
        <v>1.11607629427793</v>
      </c>
    </row>
    <row r="439" ht="14.4" spans="2:4">
      <c r="B439" s="20">
        <v>1708</v>
      </c>
      <c r="C439" s="21">
        <f t="shared" si="12"/>
        <v>0.956244724236529</v>
      </c>
      <c r="D439" s="21">
        <f t="shared" si="13"/>
        <v>1.11638048514582</v>
      </c>
    </row>
    <row r="440" ht="14.4" spans="2:4">
      <c r="B440" s="20">
        <v>1712</v>
      </c>
      <c r="C440" s="21">
        <f t="shared" si="12"/>
        <v>0.958612419395818</v>
      </c>
      <c r="D440" s="21">
        <f t="shared" si="13"/>
        <v>1.11668484187568</v>
      </c>
    </row>
    <row r="441" ht="14.4" spans="2:4">
      <c r="B441" s="20">
        <v>1716</v>
      </c>
      <c r="C441" s="21">
        <f t="shared" si="12"/>
        <v>0.960980760143432</v>
      </c>
      <c r="D441" s="21">
        <f t="shared" si="13"/>
        <v>1.11698936460322</v>
      </c>
    </row>
    <row r="442" ht="14.4" spans="2:4">
      <c r="B442" s="20">
        <v>1720</v>
      </c>
      <c r="C442" s="21">
        <f t="shared" si="12"/>
        <v>0.963349746831529</v>
      </c>
      <c r="D442" s="21">
        <f t="shared" si="13"/>
        <v>1.11729405346427</v>
      </c>
    </row>
    <row r="443" ht="14.4" spans="2:4">
      <c r="B443" s="20">
        <v>1724</v>
      </c>
      <c r="C443" s="21">
        <f t="shared" si="12"/>
        <v>0.965719379812553</v>
      </c>
      <c r="D443" s="21">
        <f t="shared" si="13"/>
        <v>1.11759890859482</v>
      </c>
    </row>
    <row r="444" ht="14.4" spans="2:4">
      <c r="B444" s="20">
        <v>1728</v>
      </c>
      <c r="C444" s="21">
        <f t="shared" si="12"/>
        <v>0.968089659439231</v>
      </c>
      <c r="D444" s="21">
        <f t="shared" si="13"/>
        <v>1.117903930131</v>
      </c>
    </row>
    <row r="445" ht="14.4" spans="2:4">
      <c r="B445" s="20">
        <v>1732</v>
      </c>
      <c r="C445" s="21">
        <f t="shared" si="12"/>
        <v>0.970460586064589</v>
      </c>
      <c r="D445" s="21">
        <f t="shared" si="13"/>
        <v>1.11820911820912</v>
      </c>
    </row>
    <row r="446" ht="14.4" spans="2:4">
      <c r="B446" s="20">
        <v>1736</v>
      </c>
      <c r="C446" s="21">
        <f t="shared" si="12"/>
        <v>0.972832160041933</v>
      </c>
      <c r="D446" s="21">
        <f t="shared" si="13"/>
        <v>1.11851447296559</v>
      </c>
    </row>
    <row r="447" ht="14.4" spans="2:4">
      <c r="B447" s="20">
        <v>1740</v>
      </c>
      <c r="C447" s="21">
        <f t="shared" si="12"/>
        <v>0.975204381724865</v>
      </c>
      <c r="D447" s="21">
        <f t="shared" si="13"/>
        <v>1.11881999453701</v>
      </c>
    </row>
    <row r="448" ht="14.4" spans="2:4">
      <c r="B448" s="20">
        <v>1744</v>
      </c>
      <c r="C448" s="21">
        <f t="shared" si="12"/>
        <v>0.977577251467274</v>
      </c>
      <c r="D448" s="21">
        <f t="shared" si="13"/>
        <v>1.11912568306011</v>
      </c>
    </row>
    <row r="449" ht="14.4" spans="2:7">
      <c r="B449" s="20">
        <v>1748</v>
      </c>
      <c r="C449" s="21">
        <f t="shared" si="12"/>
        <v>0.979950769623336</v>
      </c>
      <c r="D449" s="21">
        <f t="shared" si="13"/>
        <v>1.11943153867177</v>
      </c>
    </row>
    <row r="450" ht="14.4" spans="2:7">
      <c r="B450" s="20">
        <v>1752</v>
      </c>
      <c r="C450" s="21">
        <f t="shared" si="12"/>
        <v>0.982324936547525</v>
      </c>
      <c r="D450" s="21">
        <f t="shared" si="13"/>
        <v>1.11973756150902</v>
      </c>
    </row>
    <row r="451" ht="14.4" spans="2:7">
      <c r="B451" s="20">
        <v>1756</v>
      </c>
      <c r="C451" s="21">
        <f t="shared" si="12"/>
        <v>0.9846997525946</v>
      </c>
      <c r="D451" s="21">
        <f t="shared" si="13"/>
        <v>1.12004375170905</v>
      </c>
    </row>
    <row r="452" ht="14.4" spans="2:7">
      <c r="B452" s="20">
        <v>1760</v>
      </c>
      <c r="C452" s="21">
        <f t="shared" si="12"/>
        <v>0.98707521811961</v>
      </c>
      <c r="D452" s="21">
        <f t="shared" si="13"/>
        <v>1.12035010940919</v>
      </c>
    </row>
    <row r="453" ht="14.4" spans="2:7">
      <c r="B453" s="20">
        <v>1764</v>
      </c>
      <c r="C453" s="21">
        <f t="shared" si="12"/>
        <v>0.989451333477901</v>
      </c>
      <c r="D453" s="21">
        <f t="shared" si="13"/>
        <v>1.12065663474692</v>
      </c>
      <c r="G453" s="23"/>
    </row>
    <row r="454" ht="14.4" spans="2:7">
      <c r="B454" s="20">
        <v>1768</v>
      </c>
      <c r="C454" s="21">
        <f t="shared" si="12"/>
        <v>0.991828099025107</v>
      </c>
      <c r="D454" s="21">
        <f t="shared" si="13"/>
        <v>1.12096332785988</v>
      </c>
      <c r="G454" s="24"/>
    </row>
    <row r="455" ht="14.4" spans="2:7">
      <c r="B455" s="20">
        <v>1772</v>
      </c>
      <c r="C455" s="21">
        <f t="shared" si="12"/>
        <v>0.994205515117153</v>
      </c>
      <c r="D455" s="21">
        <f t="shared" si="13"/>
        <v>1.12127018888585</v>
      </c>
      <c r="G455" s="23"/>
    </row>
    <row r="456" ht="14.4" spans="2:7">
      <c r="B456" s="20">
        <v>1776</v>
      </c>
      <c r="C456" s="21">
        <f t="shared" si="12"/>
        <v>0.99658358211026</v>
      </c>
      <c r="D456" s="21">
        <f t="shared" si="13"/>
        <v>1.12157721796276</v>
      </c>
      <c r="G456" s="23"/>
    </row>
    <row r="457" ht="14.4" spans="2:7">
      <c r="B457" s="20">
        <v>1780</v>
      </c>
      <c r="C457" s="21">
        <f t="shared" si="12"/>
        <v>0.998962300360938</v>
      </c>
      <c r="D457" s="21">
        <f t="shared" si="13"/>
        <v>1.1218844152287</v>
      </c>
      <c r="G457" s="23"/>
    </row>
    <row r="458" ht="14.4" spans="2:7">
      <c r="B458" s="20">
        <v>1784</v>
      </c>
      <c r="C458" s="21">
        <f t="shared" si="12"/>
        <v>1.00134167022599</v>
      </c>
      <c r="D458" s="21">
        <f t="shared" si="13"/>
        <v>1.12219178082192</v>
      </c>
      <c r="G458" s="23"/>
    </row>
    <row r="459" ht="14.4" spans="2:7">
      <c r="B459" s="20">
        <v>1788</v>
      </c>
      <c r="C459" s="21">
        <f t="shared" si="12"/>
        <v>1.00372169206252</v>
      </c>
      <c r="D459" s="21">
        <f t="shared" si="13"/>
        <v>1.12249931488079</v>
      </c>
      <c r="G459" s="24"/>
    </row>
    <row r="460" ht="14.4" spans="2:7">
      <c r="B460" s="20">
        <v>1792</v>
      </c>
      <c r="C460" s="21">
        <f t="shared" si="12"/>
        <v>1.00610236622791</v>
      </c>
      <c r="D460" s="21">
        <f t="shared" si="13"/>
        <v>1.12280701754386</v>
      </c>
      <c r="G460" s="24"/>
    </row>
    <row r="461" ht="14.4" spans="2:7">
      <c r="B461" s="20">
        <v>1796</v>
      </c>
      <c r="C461" s="21">
        <f t="shared" ref="C461:C524" si="14">20*LOG(D461)</f>
        <v>1.00848369307986</v>
      </c>
      <c r="D461" s="21">
        <f t="shared" ref="D461:D524" si="15">16384/(16384-B461)</f>
        <v>1.12311488894982</v>
      </c>
    </row>
    <row r="462" ht="14.4" spans="2:7">
      <c r="B462" s="20">
        <v>1800</v>
      </c>
      <c r="C462" s="21">
        <f t="shared" si="14"/>
        <v>1.01086567297634</v>
      </c>
      <c r="D462" s="21">
        <f t="shared" si="15"/>
        <v>1.12342292923752</v>
      </c>
    </row>
    <row r="463" ht="14.4" spans="2:7">
      <c r="B463" s="20">
        <v>1804</v>
      </c>
      <c r="C463" s="21">
        <f t="shared" si="14"/>
        <v>1.01324830627562</v>
      </c>
      <c r="D463" s="21">
        <f t="shared" si="15"/>
        <v>1.12373113854595</v>
      </c>
    </row>
    <row r="464" ht="14.4" spans="2:7">
      <c r="B464" s="20">
        <v>1808</v>
      </c>
      <c r="C464" s="21">
        <f t="shared" si="14"/>
        <v>1.01563159333627</v>
      </c>
      <c r="D464" s="21">
        <f t="shared" si="15"/>
        <v>1.12403951701427</v>
      </c>
    </row>
    <row r="465" ht="14.4" spans="2:4">
      <c r="B465" s="20">
        <v>1812</v>
      </c>
      <c r="C465" s="21">
        <f t="shared" si="14"/>
        <v>1.01801553451717</v>
      </c>
      <c r="D465" s="21">
        <f t="shared" si="15"/>
        <v>1.12434806478177</v>
      </c>
    </row>
    <row r="466" ht="14.4" spans="2:4">
      <c r="B466" s="20">
        <v>1816</v>
      </c>
      <c r="C466" s="21">
        <f t="shared" si="14"/>
        <v>1.02040013017746</v>
      </c>
      <c r="D466" s="21">
        <f t="shared" si="15"/>
        <v>1.12465678198792</v>
      </c>
    </row>
    <row r="467" ht="14.4" spans="2:4">
      <c r="B467" s="20">
        <v>1820</v>
      </c>
      <c r="C467" s="21">
        <f t="shared" si="14"/>
        <v>1.02278538067661</v>
      </c>
      <c r="D467" s="21">
        <f t="shared" si="15"/>
        <v>1.12496566877232</v>
      </c>
    </row>
    <row r="468" ht="14.4" spans="2:4">
      <c r="B468" s="20">
        <v>1824</v>
      </c>
      <c r="C468" s="21">
        <f t="shared" si="14"/>
        <v>1.02517128637437</v>
      </c>
      <c r="D468" s="21">
        <f t="shared" si="15"/>
        <v>1.12527472527473</v>
      </c>
    </row>
    <row r="469" ht="14.4" spans="2:4">
      <c r="B469" s="20">
        <v>1828</v>
      </c>
      <c r="C469" s="21">
        <f t="shared" si="14"/>
        <v>1.02755784763078</v>
      </c>
      <c r="D469" s="21">
        <f t="shared" si="15"/>
        <v>1.12558395163506</v>
      </c>
    </row>
    <row r="470" ht="14.4" spans="2:4">
      <c r="B470" s="20">
        <v>1832</v>
      </c>
      <c r="C470" s="21">
        <f t="shared" si="14"/>
        <v>1.02994506480619</v>
      </c>
      <c r="D470" s="21">
        <f t="shared" si="15"/>
        <v>1.1258933479934</v>
      </c>
    </row>
    <row r="471" ht="14.4" spans="2:4">
      <c r="B471" s="20">
        <v>1836</v>
      </c>
      <c r="C471" s="21">
        <f t="shared" si="14"/>
        <v>1.03233293826125</v>
      </c>
      <c r="D471" s="21">
        <f t="shared" si="15"/>
        <v>1.12620291448996</v>
      </c>
    </row>
    <row r="472" ht="14.4" spans="2:4">
      <c r="B472" s="20">
        <v>1840</v>
      </c>
      <c r="C472" s="21">
        <f t="shared" si="14"/>
        <v>1.03472146835689</v>
      </c>
      <c r="D472" s="21">
        <f t="shared" si="15"/>
        <v>1.12651265126513</v>
      </c>
    </row>
    <row r="473" ht="14.4" spans="2:4">
      <c r="B473" s="20">
        <v>1844</v>
      </c>
      <c r="C473" s="21">
        <f t="shared" si="14"/>
        <v>1.03711065545435</v>
      </c>
      <c r="D473" s="21">
        <f t="shared" si="15"/>
        <v>1.12682255845942</v>
      </c>
    </row>
    <row r="474" ht="14.4" spans="2:4">
      <c r="B474" s="20">
        <v>1848</v>
      </c>
      <c r="C474" s="21">
        <f t="shared" si="14"/>
        <v>1.03950049991518</v>
      </c>
      <c r="D474" s="21">
        <f t="shared" si="15"/>
        <v>1.12713263621354</v>
      </c>
    </row>
    <row r="475" ht="14.4" spans="2:4">
      <c r="B475" s="20">
        <v>1852</v>
      </c>
      <c r="C475" s="21">
        <f t="shared" si="14"/>
        <v>1.04189100210119</v>
      </c>
      <c r="D475" s="21">
        <f t="shared" si="15"/>
        <v>1.12744288466832</v>
      </c>
    </row>
    <row r="476" ht="14.4" spans="2:4">
      <c r="B476" s="20">
        <v>1856</v>
      </c>
      <c r="C476" s="21">
        <f t="shared" si="14"/>
        <v>1.04428216237454</v>
      </c>
      <c r="D476" s="21">
        <f t="shared" si="15"/>
        <v>1.12775330396476</v>
      </c>
    </row>
    <row r="477" ht="14.4" spans="2:4">
      <c r="B477" s="20">
        <v>1860</v>
      </c>
      <c r="C477" s="21">
        <f t="shared" si="14"/>
        <v>1.04667398109764</v>
      </c>
      <c r="D477" s="21">
        <f t="shared" si="15"/>
        <v>1.12806389424401</v>
      </c>
    </row>
    <row r="478" ht="14.4" spans="2:4">
      <c r="B478" s="20">
        <v>1864</v>
      </c>
      <c r="C478" s="21">
        <f t="shared" si="14"/>
        <v>1.04906645863324</v>
      </c>
      <c r="D478" s="21">
        <f t="shared" si="15"/>
        <v>1.12837465564738</v>
      </c>
    </row>
    <row r="479" ht="14.4" spans="2:4">
      <c r="B479" s="20">
        <v>1868</v>
      </c>
      <c r="C479" s="21">
        <f t="shared" si="14"/>
        <v>1.05145959534436</v>
      </c>
      <c r="D479" s="21">
        <f t="shared" si="15"/>
        <v>1.12868558831634</v>
      </c>
    </row>
    <row r="480" ht="14.4" spans="2:4">
      <c r="B480" s="20">
        <v>1872</v>
      </c>
      <c r="C480" s="21">
        <f t="shared" si="14"/>
        <v>1.05385339159433</v>
      </c>
      <c r="D480" s="21">
        <f t="shared" si="15"/>
        <v>1.1289966923925</v>
      </c>
    </row>
    <row r="481" ht="14.4" spans="2:4">
      <c r="B481" s="20">
        <v>1876</v>
      </c>
      <c r="C481" s="21">
        <f t="shared" si="14"/>
        <v>1.0562478477468</v>
      </c>
      <c r="D481" s="21">
        <f t="shared" si="15"/>
        <v>1.12930796801765</v>
      </c>
    </row>
    <row r="482" ht="14.4" spans="2:4">
      <c r="B482" s="20">
        <v>1880</v>
      </c>
      <c r="C482" s="21">
        <f t="shared" si="14"/>
        <v>1.05864296416569</v>
      </c>
      <c r="D482" s="21">
        <f t="shared" si="15"/>
        <v>1.1296194153337</v>
      </c>
    </row>
    <row r="483" ht="14.4" spans="2:4">
      <c r="B483" s="20">
        <v>1884</v>
      </c>
      <c r="C483" s="21">
        <f t="shared" si="14"/>
        <v>1.06103874121524</v>
      </c>
      <c r="D483" s="21">
        <f t="shared" si="15"/>
        <v>1.12993103448276</v>
      </c>
    </row>
    <row r="484" ht="14.4" spans="2:4">
      <c r="B484" s="20">
        <v>1888</v>
      </c>
      <c r="C484" s="21">
        <f t="shared" si="14"/>
        <v>1.06343517925998</v>
      </c>
      <c r="D484" s="21">
        <f t="shared" si="15"/>
        <v>1.13024282560706</v>
      </c>
    </row>
    <row r="485" ht="14.4" spans="2:4">
      <c r="B485" s="20">
        <v>1892</v>
      </c>
      <c r="C485" s="21">
        <f t="shared" si="14"/>
        <v>1.06583227866475</v>
      </c>
      <c r="D485" s="21">
        <f t="shared" si="15"/>
        <v>1.13055478884902</v>
      </c>
    </row>
    <row r="486" ht="14.4" spans="2:4">
      <c r="B486" s="20">
        <v>1896</v>
      </c>
      <c r="C486" s="21">
        <f t="shared" si="14"/>
        <v>1.0682300397947</v>
      </c>
      <c r="D486" s="21">
        <f t="shared" si="15"/>
        <v>1.13086692435119</v>
      </c>
    </row>
    <row r="487" ht="14.4" spans="2:4">
      <c r="B487" s="20">
        <v>1900</v>
      </c>
      <c r="C487" s="21">
        <f t="shared" si="14"/>
        <v>1.07062846301525</v>
      </c>
      <c r="D487" s="21">
        <f t="shared" si="15"/>
        <v>1.13117923225628</v>
      </c>
    </row>
    <row r="488" ht="14.4" spans="2:4">
      <c r="B488" s="20">
        <v>1904</v>
      </c>
      <c r="C488" s="21">
        <f t="shared" si="14"/>
        <v>1.07302754869217</v>
      </c>
      <c r="D488" s="21">
        <f t="shared" si="15"/>
        <v>1.13149171270718</v>
      </c>
    </row>
    <row r="489" ht="14.4" spans="2:4">
      <c r="B489" s="20">
        <v>1908</v>
      </c>
      <c r="C489" s="21">
        <f t="shared" si="14"/>
        <v>1.0754272971915</v>
      </c>
      <c r="D489" s="21">
        <f t="shared" si="15"/>
        <v>1.13180436584692</v>
      </c>
    </row>
    <row r="490" ht="14.4" spans="2:4">
      <c r="B490" s="20">
        <v>1912</v>
      </c>
      <c r="C490" s="21">
        <f t="shared" si="14"/>
        <v>1.07782770887959</v>
      </c>
      <c r="D490" s="21">
        <f t="shared" si="15"/>
        <v>1.13211719181868</v>
      </c>
    </row>
    <row r="491" ht="14.4" spans="2:4">
      <c r="B491" s="20">
        <v>1916</v>
      </c>
      <c r="C491" s="21">
        <f t="shared" si="14"/>
        <v>1.08022878412309</v>
      </c>
      <c r="D491" s="21">
        <f t="shared" si="15"/>
        <v>1.13243019076583</v>
      </c>
    </row>
    <row r="492" ht="14.4" spans="2:4">
      <c r="B492" s="20">
        <v>1920</v>
      </c>
      <c r="C492" s="21">
        <f t="shared" si="14"/>
        <v>1.08263052328897</v>
      </c>
      <c r="D492" s="21">
        <f t="shared" si="15"/>
        <v>1.13274336283186</v>
      </c>
    </row>
    <row r="493" ht="14.4" spans="2:4">
      <c r="B493" s="20">
        <v>1924</v>
      </c>
      <c r="C493" s="21">
        <f t="shared" si="14"/>
        <v>1.08503292674449</v>
      </c>
      <c r="D493" s="21">
        <f t="shared" si="15"/>
        <v>1.13305670816044</v>
      </c>
    </row>
    <row r="494" ht="14.4" spans="2:4">
      <c r="B494" s="20">
        <v>1928</v>
      </c>
      <c r="C494" s="21">
        <f t="shared" si="14"/>
        <v>1.08743599485723</v>
      </c>
      <c r="D494" s="21">
        <f t="shared" si="15"/>
        <v>1.13337022689541</v>
      </c>
    </row>
    <row r="495" ht="14.4" spans="2:4">
      <c r="B495" s="20">
        <v>1932</v>
      </c>
      <c r="C495" s="21">
        <f t="shared" si="14"/>
        <v>1.08983972799504</v>
      </c>
      <c r="D495" s="21">
        <f t="shared" si="15"/>
        <v>1.13368391918074</v>
      </c>
    </row>
    <row r="496" ht="14.4" spans="2:4">
      <c r="B496" s="20">
        <v>1936</v>
      </c>
      <c r="C496" s="21">
        <f t="shared" si="14"/>
        <v>1.09224412652612</v>
      </c>
      <c r="D496" s="21">
        <f t="shared" si="15"/>
        <v>1.13399778516058</v>
      </c>
    </row>
    <row r="497" ht="14.4" spans="2:4">
      <c r="B497" s="20">
        <v>1940</v>
      </c>
      <c r="C497" s="21">
        <f t="shared" si="14"/>
        <v>1.09464919081895</v>
      </c>
      <c r="D497" s="21">
        <f t="shared" si="15"/>
        <v>1.13431182497923</v>
      </c>
    </row>
    <row r="498" ht="14.4" spans="2:4">
      <c r="B498" s="20">
        <v>1944</v>
      </c>
      <c r="C498" s="21">
        <f t="shared" si="14"/>
        <v>1.09705492124233</v>
      </c>
      <c r="D498" s="21">
        <f t="shared" si="15"/>
        <v>1.13462603878116</v>
      </c>
    </row>
    <row r="499" ht="14.4" spans="2:4">
      <c r="B499" s="20">
        <v>1948</v>
      </c>
      <c r="C499" s="21">
        <f t="shared" si="14"/>
        <v>1.09946131816534</v>
      </c>
      <c r="D499" s="21">
        <f t="shared" si="15"/>
        <v>1.134940426711</v>
      </c>
    </row>
    <row r="500" ht="14.4" spans="2:4">
      <c r="B500" s="20">
        <v>1952</v>
      </c>
      <c r="C500" s="21">
        <f t="shared" si="14"/>
        <v>1.1018683819574</v>
      </c>
      <c r="D500" s="21">
        <f t="shared" si="15"/>
        <v>1.13525498891353</v>
      </c>
    </row>
    <row r="501" ht="14.4" spans="2:4">
      <c r="B501" s="20">
        <v>1956</v>
      </c>
      <c r="C501" s="21">
        <f t="shared" si="14"/>
        <v>1.10427611298822</v>
      </c>
      <c r="D501" s="21">
        <f t="shared" si="15"/>
        <v>1.13556972553368</v>
      </c>
    </row>
    <row r="502" ht="14.4" spans="2:4">
      <c r="B502" s="20">
        <v>1960</v>
      </c>
      <c r="C502" s="21">
        <f t="shared" si="14"/>
        <v>1.10668451162782</v>
      </c>
      <c r="D502" s="21">
        <f t="shared" si="15"/>
        <v>1.13588463671658</v>
      </c>
    </row>
    <row r="503" ht="14.4" spans="2:4">
      <c r="B503" s="20">
        <v>1964</v>
      </c>
      <c r="C503" s="21">
        <f t="shared" si="14"/>
        <v>1.10909357824653</v>
      </c>
      <c r="D503" s="21">
        <f t="shared" si="15"/>
        <v>1.13619972260749</v>
      </c>
    </row>
    <row r="504" ht="14.4" spans="2:4">
      <c r="B504" s="20">
        <v>1968</v>
      </c>
      <c r="C504" s="21">
        <f t="shared" si="14"/>
        <v>1.11150331321498</v>
      </c>
      <c r="D504" s="21">
        <f t="shared" si="15"/>
        <v>1.13651498335183</v>
      </c>
    </row>
    <row r="505" ht="14.4" spans="2:4">
      <c r="B505" s="20">
        <v>1972</v>
      </c>
      <c r="C505" s="21">
        <f t="shared" si="14"/>
        <v>1.11391371690412</v>
      </c>
      <c r="D505" s="21">
        <f t="shared" si="15"/>
        <v>1.1368304190952</v>
      </c>
    </row>
    <row r="506" ht="14.4" spans="2:4">
      <c r="B506" s="20">
        <v>1976</v>
      </c>
      <c r="C506" s="21">
        <f t="shared" si="14"/>
        <v>1.1163247896852</v>
      </c>
      <c r="D506" s="21">
        <f t="shared" si="15"/>
        <v>1.13714602998334</v>
      </c>
    </row>
    <row r="507" ht="14.4" spans="2:4">
      <c r="B507" s="20">
        <v>1980</v>
      </c>
      <c r="C507" s="21">
        <f t="shared" si="14"/>
        <v>1.11873653192978</v>
      </c>
      <c r="D507" s="21">
        <f t="shared" si="15"/>
        <v>1.13746181616218</v>
      </c>
    </row>
    <row r="508" ht="14.4" spans="2:4">
      <c r="B508" s="20">
        <v>1984</v>
      </c>
      <c r="C508" s="21">
        <f t="shared" si="14"/>
        <v>1.12114894400974</v>
      </c>
      <c r="D508" s="21">
        <f t="shared" si="15"/>
        <v>1.13777777777778</v>
      </c>
    </row>
    <row r="509" ht="14.4" spans="2:4">
      <c r="B509" s="20">
        <v>1988</v>
      </c>
      <c r="C509" s="21">
        <f t="shared" si="14"/>
        <v>1.12356202629726</v>
      </c>
      <c r="D509" s="21">
        <f t="shared" si="15"/>
        <v>1.13809391497638</v>
      </c>
    </row>
    <row r="510" ht="14.4" spans="2:4">
      <c r="B510" s="20">
        <v>1992</v>
      </c>
      <c r="C510" s="21">
        <f t="shared" si="14"/>
        <v>1.12597577916484</v>
      </c>
      <c r="D510" s="21">
        <f t="shared" si="15"/>
        <v>1.13841022790439</v>
      </c>
    </row>
    <row r="511" ht="14.4" spans="2:4">
      <c r="B511" s="20">
        <v>1996</v>
      </c>
      <c r="C511" s="21">
        <f t="shared" si="14"/>
        <v>1.12839020298526</v>
      </c>
      <c r="D511" s="21">
        <f t="shared" si="15"/>
        <v>1.13872671670837</v>
      </c>
    </row>
    <row r="512" ht="14.4" spans="2:4">
      <c r="B512" s="20">
        <v>2000</v>
      </c>
      <c r="C512" s="21">
        <f t="shared" si="14"/>
        <v>1.13080529813166</v>
      </c>
      <c r="D512" s="21">
        <f t="shared" si="15"/>
        <v>1.13904338153504</v>
      </c>
    </row>
    <row r="513" ht="14.4" spans="2:4">
      <c r="B513" s="20">
        <v>2004</v>
      </c>
      <c r="C513" s="21">
        <f t="shared" si="14"/>
        <v>1.13322106497746</v>
      </c>
      <c r="D513" s="21">
        <f t="shared" si="15"/>
        <v>1.13936022253129</v>
      </c>
    </row>
    <row r="514" ht="14.4" spans="2:4">
      <c r="B514" s="20">
        <v>2008</v>
      </c>
      <c r="C514" s="21">
        <f t="shared" si="14"/>
        <v>1.13563750389639</v>
      </c>
      <c r="D514" s="21">
        <f t="shared" si="15"/>
        <v>1.13967723984418</v>
      </c>
    </row>
    <row r="515" ht="14.4" spans="2:4">
      <c r="B515" s="20">
        <v>2012</v>
      </c>
      <c r="C515" s="21">
        <f t="shared" si="14"/>
        <v>1.1380546152625</v>
      </c>
      <c r="D515" s="21">
        <f t="shared" si="15"/>
        <v>1.13999443362093</v>
      </c>
    </row>
    <row r="516" ht="14.4" spans="2:4">
      <c r="B516" s="20">
        <v>2016</v>
      </c>
      <c r="C516" s="21">
        <f t="shared" si="14"/>
        <v>1.14047239945015</v>
      </c>
      <c r="D516" s="21">
        <f t="shared" si="15"/>
        <v>1.14031180400891</v>
      </c>
    </row>
    <row r="517" ht="14.4" spans="2:4">
      <c r="B517" s="20">
        <v>2020</v>
      </c>
      <c r="C517" s="21">
        <f t="shared" si="14"/>
        <v>1.14289085683402</v>
      </c>
      <c r="D517" s="21">
        <f t="shared" si="15"/>
        <v>1.14062935115567</v>
      </c>
    </row>
    <row r="518" ht="14.4" spans="2:4">
      <c r="B518" s="20">
        <v>2024</v>
      </c>
      <c r="C518" s="21">
        <f t="shared" si="14"/>
        <v>1.1453099877891</v>
      </c>
      <c r="D518" s="21">
        <f t="shared" si="15"/>
        <v>1.14094707520891</v>
      </c>
    </row>
    <row r="519" ht="14.4" spans="2:4">
      <c r="B519" s="20">
        <v>2028</v>
      </c>
      <c r="C519" s="21">
        <f t="shared" si="14"/>
        <v>1.14772979269069</v>
      </c>
      <c r="D519" s="21">
        <f t="shared" si="15"/>
        <v>1.14126497631652</v>
      </c>
    </row>
    <row r="520" ht="14.4" spans="2:4">
      <c r="B520" s="20">
        <v>2032</v>
      </c>
      <c r="C520" s="21">
        <f t="shared" si="14"/>
        <v>1.1501502719144</v>
      </c>
      <c r="D520" s="21">
        <f t="shared" si="15"/>
        <v>1.14158305462653</v>
      </c>
    </row>
    <row r="521" ht="14.4" spans="2:4">
      <c r="B521" s="20">
        <v>2036</v>
      </c>
      <c r="C521" s="21">
        <f t="shared" si="14"/>
        <v>1.15257142583616</v>
      </c>
      <c r="D521" s="21">
        <f t="shared" si="15"/>
        <v>1.14190131028715</v>
      </c>
    </row>
    <row r="522" ht="14.4" spans="2:4">
      <c r="B522" s="20">
        <v>2040</v>
      </c>
      <c r="C522" s="21">
        <f t="shared" si="14"/>
        <v>1.15499325483221</v>
      </c>
      <c r="D522" s="21">
        <f t="shared" si="15"/>
        <v>1.14221974344674</v>
      </c>
    </row>
    <row r="523" ht="14.4" spans="2:4">
      <c r="B523" s="20">
        <v>2044</v>
      </c>
      <c r="C523" s="21">
        <f t="shared" si="14"/>
        <v>1.15741575927911</v>
      </c>
      <c r="D523" s="21">
        <f t="shared" si="15"/>
        <v>1.14253835425384</v>
      </c>
    </row>
    <row r="524" ht="14.4" spans="2:4">
      <c r="B524" s="20">
        <v>2048</v>
      </c>
      <c r="C524" s="21">
        <f t="shared" si="14"/>
        <v>1.15983893955373</v>
      </c>
      <c r="D524" s="21">
        <f t="shared" si="15"/>
        <v>1.14285714285714</v>
      </c>
    </row>
    <row r="525" ht="14.4" spans="2:4">
      <c r="B525" s="20">
        <v>2052</v>
      </c>
      <c r="C525" s="21">
        <f t="shared" ref="C525:C588" si="16">20*LOG(D525)</f>
        <v>1.16226279603328</v>
      </c>
      <c r="D525" s="21">
        <f t="shared" ref="D525:D588" si="17">16384/(16384-B525)</f>
        <v>1.14317610940553</v>
      </c>
    </row>
    <row r="526" ht="14.4" spans="2:4">
      <c r="B526" s="20">
        <v>2056</v>
      </c>
      <c r="C526" s="21">
        <f t="shared" si="16"/>
        <v>1.16468732909523</v>
      </c>
      <c r="D526" s="21">
        <f t="shared" si="17"/>
        <v>1.14349525404802</v>
      </c>
    </row>
    <row r="527" ht="14.4" spans="2:4">
      <c r="B527" s="20">
        <v>2060</v>
      </c>
      <c r="C527" s="21">
        <f t="shared" si="16"/>
        <v>1.16711253911743</v>
      </c>
      <c r="D527" s="21">
        <f t="shared" si="17"/>
        <v>1.14381457693382</v>
      </c>
    </row>
    <row r="528" ht="14.4" spans="2:4">
      <c r="B528" s="20">
        <v>2064</v>
      </c>
      <c r="C528" s="21">
        <f t="shared" si="16"/>
        <v>1.169538426478</v>
      </c>
      <c r="D528" s="21">
        <f t="shared" si="17"/>
        <v>1.14413407821229</v>
      </c>
    </row>
    <row r="529" ht="14.4" spans="2:4">
      <c r="B529" s="20">
        <v>2068</v>
      </c>
      <c r="C529" s="21">
        <f t="shared" si="16"/>
        <v>1.1719649915554</v>
      </c>
      <c r="D529" s="21">
        <f t="shared" si="17"/>
        <v>1.14445375803297</v>
      </c>
    </row>
    <row r="530" ht="14.4" spans="2:4">
      <c r="B530" s="20">
        <v>2072</v>
      </c>
      <c r="C530" s="21">
        <f t="shared" si="16"/>
        <v>1.1743922347284</v>
      </c>
      <c r="D530" s="21">
        <f t="shared" si="17"/>
        <v>1.14477361654556</v>
      </c>
    </row>
    <row r="531" ht="14.4" spans="2:4">
      <c r="B531" s="20">
        <v>2076</v>
      </c>
      <c r="C531" s="21">
        <f t="shared" si="16"/>
        <v>1.1768201563761</v>
      </c>
      <c r="D531" s="21">
        <f t="shared" si="17"/>
        <v>1.14509365389992</v>
      </c>
    </row>
    <row r="532" ht="14.4" spans="2:4">
      <c r="B532" s="20">
        <v>2080</v>
      </c>
      <c r="C532" s="21">
        <f t="shared" si="16"/>
        <v>1.17924875687789</v>
      </c>
      <c r="D532" s="21">
        <f t="shared" si="17"/>
        <v>1.14541387024608</v>
      </c>
    </row>
    <row r="533" ht="14.4" spans="2:4">
      <c r="B533" s="20">
        <v>2084</v>
      </c>
      <c r="C533" s="21">
        <f t="shared" si="16"/>
        <v>1.1816780366135</v>
      </c>
      <c r="D533" s="21">
        <f t="shared" si="17"/>
        <v>1.14573426573427</v>
      </c>
    </row>
    <row r="534" ht="14.4" spans="2:4">
      <c r="B534" s="20">
        <v>2088</v>
      </c>
      <c r="C534" s="21">
        <f t="shared" si="16"/>
        <v>1.18410799596298</v>
      </c>
      <c r="D534" s="21">
        <f t="shared" si="17"/>
        <v>1.14605484051483</v>
      </c>
    </row>
    <row r="535" ht="14.4" spans="2:4">
      <c r="B535" s="20">
        <v>2092</v>
      </c>
      <c r="C535" s="21">
        <f t="shared" si="16"/>
        <v>1.18653863530669</v>
      </c>
      <c r="D535" s="21">
        <f t="shared" si="17"/>
        <v>1.14637559473832</v>
      </c>
    </row>
    <row r="536" ht="14.4" spans="2:4">
      <c r="B536" s="20">
        <v>2096</v>
      </c>
      <c r="C536" s="21">
        <f t="shared" si="16"/>
        <v>1.18896995502531</v>
      </c>
      <c r="D536" s="21">
        <f t="shared" si="17"/>
        <v>1.14669652855543</v>
      </c>
    </row>
    <row r="537" ht="14.4" spans="2:4">
      <c r="B537" s="20">
        <v>2100</v>
      </c>
      <c r="C537" s="21">
        <f t="shared" si="16"/>
        <v>1.19140195549985</v>
      </c>
      <c r="D537" s="21">
        <f t="shared" si="17"/>
        <v>1.14701764211705</v>
      </c>
    </row>
    <row r="538" ht="14.4" spans="2:4">
      <c r="B538" s="20">
        <v>2104</v>
      </c>
      <c r="C538" s="21">
        <f t="shared" si="16"/>
        <v>1.19383463711162</v>
      </c>
      <c r="D538" s="21">
        <f t="shared" si="17"/>
        <v>1.14733893557423</v>
      </c>
    </row>
    <row r="539" ht="14.4" spans="2:4">
      <c r="B539" s="20">
        <v>2108</v>
      </c>
      <c r="C539" s="21">
        <f t="shared" si="16"/>
        <v>1.19626800024228</v>
      </c>
      <c r="D539" s="21">
        <f t="shared" si="17"/>
        <v>1.14766040907817</v>
      </c>
    </row>
    <row r="540" ht="14.4" spans="2:4">
      <c r="B540" s="20">
        <v>2112</v>
      </c>
      <c r="C540" s="21">
        <f t="shared" si="16"/>
        <v>1.19870204527378</v>
      </c>
      <c r="D540" s="21">
        <f t="shared" si="17"/>
        <v>1.14798206278027</v>
      </c>
    </row>
    <row r="541" ht="14.4" spans="2:4">
      <c r="B541" s="20">
        <v>2116</v>
      </c>
      <c r="C541" s="21">
        <f t="shared" si="16"/>
        <v>1.20113677258841</v>
      </c>
      <c r="D541" s="21">
        <f t="shared" si="17"/>
        <v>1.14830389683207</v>
      </c>
    </row>
    <row r="542" ht="14.4" spans="2:4">
      <c r="B542" s="20">
        <v>2120</v>
      </c>
      <c r="C542" s="21">
        <f t="shared" si="16"/>
        <v>1.20357218256877</v>
      </c>
      <c r="D542" s="21">
        <f t="shared" si="17"/>
        <v>1.14862591138531</v>
      </c>
    </row>
    <row r="543" ht="14.4" spans="2:4">
      <c r="B543" s="20">
        <v>2124</v>
      </c>
      <c r="C543" s="21">
        <f t="shared" si="16"/>
        <v>1.2060082755978</v>
      </c>
      <c r="D543" s="21">
        <f t="shared" si="17"/>
        <v>1.14894810659187</v>
      </c>
    </row>
    <row r="544" ht="14.4" spans="2:4">
      <c r="B544" s="20">
        <v>2128</v>
      </c>
      <c r="C544" s="21">
        <f t="shared" si="16"/>
        <v>1.20844505205874</v>
      </c>
      <c r="D544" s="21">
        <f t="shared" si="17"/>
        <v>1.14927048260382</v>
      </c>
    </row>
    <row r="545" ht="14.4" spans="2:4">
      <c r="B545" s="20">
        <v>2132</v>
      </c>
      <c r="C545" s="21">
        <f t="shared" si="16"/>
        <v>1.21088251233518</v>
      </c>
      <c r="D545" s="21">
        <f t="shared" si="17"/>
        <v>1.14959303957339</v>
      </c>
    </row>
    <row r="546" ht="14.4" spans="2:4">
      <c r="B546" s="20">
        <v>2136</v>
      </c>
      <c r="C546" s="21">
        <f t="shared" si="16"/>
        <v>1.21332065681099</v>
      </c>
      <c r="D546" s="21">
        <f t="shared" si="17"/>
        <v>1.149915777653</v>
      </c>
    </row>
    <row r="547" ht="14.4" spans="2:4">
      <c r="B547" s="20">
        <v>2140</v>
      </c>
      <c r="C547" s="21">
        <f t="shared" si="16"/>
        <v>1.21575948587041</v>
      </c>
      <c r="D547" s="21">
        <f t="shared" si="17"/>
        <v>1.15023869699523</v>
      </c>
    </row>
    <row r="548" ht="14.4" spans="2:4">
      <c r="B548" s="20">
        <v>2144</v>
      </c>
      <c r="C548" s="21">
        <f t="shared" si="16"/>
        <v>1.21819899989798</v>
      </c>
      <c r="D548" s="21">
        <f t="shared" si="17"/>
        <v>1.15056179775281</v>
      </c>
    </row>
    <row r="549" ht="14.4" spans="2:4">
      <c r="B549" s="20">
        <v>2148</v>
      </c>
      <c r="C549" s="21">
        <f t="shared" si="16"/>
        <v>1.22063919927857</v>
      </c>
      <c r="D549" s="21">
        <f t="shared" si="17"/>
        <v>1.15088508007867</v>
      </c>
    </row>
    <row r="550" ht="14.4" spans="2:4">
      <c r="B550" s="20">
        <v>2152</v>
      </c>
      <c r="C550" s="21">
        <f t="shared" si="16"/>
        <v>1.22308008439736</v>
      </c>
      <c r="D550" s="21">
        <f t="shared" si="17"/>
        <v>1.15120854412591</v>
      </c>
    </row>
    <row r="551" ht="14.4" spans="2:4">
      <c r="B551" s="20">
        <v>2156</v>
      </c>
      <c r="C551" s="21">
        <f t="shared" si="16"/>
        <v>1.22552165563988</v>
      </c>
      <c r="D551" s="21">
        <f t="shared" si="17"/>
        <v>1.15153219004779</v>
      </c>
    </row>
    <row r="552" ht="14.4" spans="2:4">
      <c r="B552" s="20">
        <v>2160</v>
      </c>
      <c r="C552" s="21">
        <f t="shared" si="16"/>
        <v>1.22796391339197</v>
      </c>
      <c r="D552" s="21">
        <f t="shared" si="17"/>
        <v>1.15185601799775</v>
      </c>
    </row>
    <row r="553" ht="14.4" spans="2:4">
      <c r="B553" s="20">
        <v>2164</v>
      </c>
      <c r="C553" s="21">
        <f t="shared" si="16"/>
        <v>1.23040685803978</v>
      </c>
      <c r="D553" s="21">
        <f t="shared" si="17"/>
        <v>1.1521800281294</v>
      </c>
    </row>
    <row r="554" ht="14.4" spans="2:4">
      <c r="B554" s="20">
        <v>2168</v>
      </c>
      <c r="C554" s="21">
        <f t="shared" si="16"/>
        <v>1.23285048996983</v>
      </c>
      <c r="D554" s="21">
        <f t="shared" si="17"/>
        <v>1.15250422059651</v>
      </c>
    </row>
    <row r="555" ht="14.4" spans="2:4">
      <c r="B555" s="20">
        <v>2172</v>
      </c>
      <c r="C555" s="21">
        <f t="shared" si="16"/>
        <v>1.23529480956893</v>
      </c>
      <c r="D555" s="21">
        <f t="shared" si="17"/>
        <v>1.15282859555305</v>
      </c>
    </row>
    <row r="556" ht="14.4" spans="2:4">
      <c r="B556" s="20">
        <v>2176</v>
      </c>
      <c r="C556" s="21">
        <f t="shared" si="16"/>
        <v>1.23773981722422</v>
      </c>
      <c r="D556" s="21">
        <f t="shared" si="17"/>
        <v>1.15315315315315</v>
      </c>
    </row>
    <row r="557" ht="14.4" spans="2:4">
      <c r="B557" s="20">
        <v>2180</v>
      </c>
      <c r="C557" s="21">
        <f t="shared" si="16"/>
        <v>1.24018551332318</v>
      </c>
      <c r="D557" s="21">
        <f t="shared" si="17"/>
        <v>1.15347789355111</v>
      </c>
    </row>
    <row r="558" ht="14.4" spans="2:4">
      <c r="B558" s="20">
        <v>2184</v>
      </c>
      <c r="C558" s="21">
        <f t="shared" si="16"/>
        <v>1.24263189825361</v>
      </c>
      <c r="D558" s="21">
        <f t="shared" si="17"/>
        <v>1.15380281690141</v>
      </c>
    </row>
    <row r="559" ht="14.4" spans="2:4">
      <c r="B559" s="20">
        <v>2188</v>
      </c>
      <c r="C559" s="21">
        <f t="shared" si="16"/>
        <v>1.24507897240363</v>
      </c>
      <c r="D559" s="21">
        <f t="shared" si="17"/>
        <v>1.15412792335869</v>
      </c>
    </row>
    <row r="560" ht="14.4" spans="2:4">
      <c r="B560" s="20">
        <v>2192</v>
      </c>
      <c r="C560" s="21">
        <f t="shared" si="16"/>
        <v>1.24752673616171</v>
      </c>
      <c r="D560" s="21">
        <f t="shared" si="17"/>
        <v>1.15445321307779</v>
      </c>
    </row>
    <row r="561" ht="14.4" spans="2:4">
      <c r="B561" s="20">
        <v>2196</v>
      </c>
      <c r="C561" s="21">
        <f t="shared" si="16"/>
        <v>1.24997518991663</v>
      </c>
      <c r="D561" s="21">
        <f t="shared" si="17"/>
        <v>1.1547786862137</v>
      </c>
    </row>
    <row r="562" ht="14.4" spans="2:4">
      <c r="B562" s="20">
        <v>2200</v>
      </c>
      <c r="C562" s="21">
        <f t="shared" si="16"/>
        <v>1.25242433405751</v>
      </c>
      <c r="D562" s="21">
        <f t="shared" si="17"/>
        <v>1.1551043429216</v>
      </c>
    </row>
    <row r="563" ht="14.4" spans="2:4">
      <c r="B563" s="20">
        <v>2204</v>
      </c>
      <c r="C563" s="21">
        <f t="shared" si="16"/>
        <v>1.25487416897378</v>
      </c>
      <c r="D563" s="21">
        <f t="shared" si="17"/>
        <v>1.15543018335684</v>
      </c>
    </row>
    <row r="564" ht="14.4" spans="2:4">
      <c r="B564" s="20">
        <v>2208</v>
      </c>
      <c r="C564" s="21">
        <f t="shared" si="16"/>
        <v>1.25732469505522</v>
      </c>
      <c r="D564" s="21">
        <f t="shared" si="17"/>
        <v>1.15575620767494</v>
      </c>
    </row>
    <row r="565" ht="14.4" spans="2:4">
      <c r="B565" s="20">
        <v>2212</v>
      </c>
      <c r="C565" s="21">
        <f t="shared" si="16"/>
        <v>1.25977591269194</v>
      </c>
      <c r="D565" s="21">
        <f t="shared" si="17"/>
        <v>1.15608241603161</v>
      </c>
    </row>
    <row r="566" ht="14.4" spans="2:4">
      <c r="B566" s="20">
        <v>2216</v>
      </c>
      <c r="C566" s="21">
        <f t="shared" si="16"/>
        <v>1.26222782227437</v>
      </c>
      <c r="D566" s="21">
        <f t="shared" si="17"/>
        <v>1.15640880858272</v>
      </c>
    </row>
    <row r="567" ht="14.4" spans="2:4">
      <c r="B567" s="20">
        <v>2220</v>
      </c>
      <c r="C567" s="21">
        <f t="shared" si="16"/>
        <v>1.26468042419327</v>
      </c>
      <c r="D567" s="21">
        <f t="shared" si="17"/>
        <v>1.15673538548433</v>
      </c>
    </row>
    <row r="568" ht="14.4" spans="2:4">
      <c r="B568" s="20">
        <v>2224</v>
      </c>
      <c r="C568" s="21">
        <f t="shared" si="16"/>
        <v>1.26713371883973</v>
      </c>
      <c r="D568" s="21">
        <f t="shared" si="17"/>
        <v>1.15706214689266</v>
      </c>
    </row>
    <row r="569" ht="14.4" spans="2:4">
      <c r="B569" s="20">
        <v>2228</v>
      </c>
      <c r="C569" s="21">
        <f t="shared" si="16"/>
        <v>1.26958770660519</v>
      </c>
      <c r="D569" s="21">
        <f t="shared" si="17"/>
        <v>1.15738909296411</v>
      </c>
    </row>
    <row r="570" ht="14.4" spans="2:4">
      <c r="B570" s="20">
        <v>2232</v>
      </c>
      <c r="C570" s="21">
        <f t="shared" si="16"/>
        <v>1.2720423878814</v>
      </c>
      <c r="D570" s="21">
        <f t="shared" si="17"/>
        <v>1.15771622385529</v>
      </c>
    </row>
    <row r="571" ht="14.4" spans="2:4">
      <c r="B571" s="20">
        <v>2236</v>
      </c>
      <c r="C571" s="21">
        <f t="shared" si="16"/>
        <v>1.27449776306045</v>
      </c>
      <c r="D571" s="21">
        <f t="shared" si="17"/>
        <v>1.15804353972293</v>
      </c>
    </row>
    <row r="572" ht="14.4" spans="2:4">
      <c r="B572" s="20">
        <v>2240</v>
      </c>
      <c r="C572" s="21">
        <f t="shared" si="16"/>
        <v>1.27695383253478</v>
      </c>
      <c r="D572" s="21">
        <f t="shared" si="17"/>
        <v>1.15837104072398</v>
      </c>
    </row>
    <row r="573" ht="14.4" spans="2:4">
      <c r="B573" s="20">
        <v>2244</v>
      </c>
      <c r="C573" s="21">
        <f t="shared" si="16"/>
        <v>1.27941059669712</v>
      </c>
      <c r="D573" s="21">
        <f t="shared" si="17"/>
        <v>1.15869872701556</v>
      </c>
    </row>
    <row r="574" ht="14.4" spans="2:4">
      <c r="B574" s="20">
        <v>2248</v>
      </c>
      <c r="C574" s="21">
        <f t="shared" si="16"/>
        <v>1.28186805594058</v>
      </c>
      <c r="D574" s="21">
        <f t="shared" si="17"/>
        <v>1.15902659875495</v>
      </c>
    </row>
    <row r="575" ht="14.4" spans="2:4">
      <c r="B575" s="20">
        <v>2252</v>
      </c>
      <c r="C575" s="21">
        <f t="shared" si="16"/>
        <v>1.28432621065858</v>
      </c>
      <c r="D575" s="21">
        <f t="shared" si="17"/>
        <v>1.15935465609963</v>
      </c>
    </row>
    <row r="576" ht="14.4" spans="2:4">
      <c r="B576" s="20">
        <v>2256</v>
      </c>
      <c r="C576" s="21">
        <f t="shared" si="16"/>
        <v>1.28678506124487</v>
      </c>
      <c r="D576" s="21">
        <f t="shared" si="17"/>
        <v>1.15968289920725</v>
      </c>
    </row>
    <row r="577" ht="14.4" spans="2:4">
      <c r="B577" s="20">
        <v>2260</v>
      </c>
      <c r="C577" s="21">
        <f t="shared" si="16"/>
        <v>1.28924460809354</v>
      </c>
      <c r="D577" s="21">
        <f t="shared" si="17"/>
        <v>1.16001132823563</v>
      </c>
    </row>
    <row r="578" ht="14.4" spans="2:4">
      <c r="B578" s="20">
        <v>2264</v>
      </c>
      <c r="C578" s="21">
        <f t="shared" si="16"/>
        <v>1.29170485159904</v>
      </c>
      <c r="D578" s="21">
        <f t="shared" si="17"/>
        <v>1.16033994334278</v>
      </c>
    </row>
    <row r="579" ht="14.4" spans="2:4">
      <c r="B579" s="20">
        <v>2268</v>
      </c>
      <c r="C579" s="21">
        <f t="shared" si="16"/>
        <v>1.2941657921561</v>
      </c>
      <c r="D579" s="21">
        <f t="shared" si="17"/>
        <v>1.16066874468688</v>
      </c>
    </row>
    <row r="580" ht="14.4" spans="2:4">
      <c r="B580" s="20">
        <v>2272</v>
      </c>
      <c r="C580" s="21">
        <f t="shared" si="16"/>
        <v>1.29662743015984</v>
      </c>
      <c r="D580" s="21">
        <f t="shared" si="17"/>
        <v>1.1609977324263</v>
      </c>
    </row>
    <row r="581" ht="14.4" spans="2:4">
      <c r="B581" s="20">
        <v>2276</v>
      </c>
      <c r="C581" s="21">
        <f t="shared" si="16"/>
        <v>1.29908976600569</v>
      </c>
      <c r="D581" s="21">
        <f t="shared" si="17"/>
        <v>1.16132690671959</v>
      </c>
    </row>
    <row r="582" ht="14.4" spans="2:4">
      <c r="B582" s="20">
        <v>2280</v>
      </c>
      <c r="C582" s="21">
        <f t="shared" si="16"/>
        <v>1.30155280008942</v>
      </c>
      <c r="D582" s="21">
        <f t="shared" si="17"/>
        <v>1.16165626772547</v>
      </c>
    </row>
    <row r="583" ht="14.4" spans="2:4">
      <c r="B583" s="20">
        <v>2284</v>
      </c>
      <c r="C583" s="21">
        <f t="shared" si="16"/>
        <v>1.30401653280714</v>
      </c>
      <c r="D583" s="21">
        <f t="shared" si="17"/>
        <v>1.16198581560284</v>
      </c>
    </row>
    <row r="584" ht="14.4" spans="2:4">
      <c r="B584" s="20">
        <v>2288</v>
      </c>
      <c r="C584" s="21">
        <f t="shared" si="16"/>
        <v>1.30648096455528</v>
      </c>
      <c r="D584" s="21">
        <f t="shared" si="17"/>
        <v>1.16231555051078</v>
      </c>
    </row>
    <row r="585" ht="14.4" spans="2:4">
      <c r="B585" s="20">
        <v>2292</v>
      </c>
      <c r="C585" s="21">
        <f t="shared" si="16"/>
        <v>1.30894609573064</v>
      </c>
      <c r="D585" s="21">
        <f t="shared" si="17"/>
        <v>1.16264547260857</v>
      </c>
    </row>
    <row r="586" ht="14.4" spans="2:4">
      <c r="B586" s="20">
        <v>2296</v>
      </c>
      <c r="C586" s="21">
        <f t="shared" si="16"/>
        <v>1.31141192673032</v>
      </c>
      <c r="D586" s="21">
        <f t="shared" si="17"/>
        <v>1.16297558205565</v>
      </c>
    </row>
    <row r="587" ht="14.4" spans="2:4">
      <c r="B587" s="20">
        <v>2300</v>
      </c>
      <c r="C587" s="21">
        <f t="shared" si="16"/>
        <v>1.3138784579518</v>
      </c>
      <c r="D587" s="21">
        <f t="shared" si="17"/>
        <v>1.16330587901164</v>
      </c>
    </row>
    <row r="588" ht="14.4" spans="2:4">
      <c r="B588" s="20">
        <v>2304</v>
      </c>
      <c r="C588" s="21">
        <f t="shared" si="16"/>
        <v>1.31634568979287</v>
      </c>
      <c r="D588" s="21">
        <f t="shared" si="17"/>
        <v>1.16363636363636</v>
      </c>
    </row>
    <row r="589" ht="14.4" spans="2:4">
      <c r="B589" s="20">
        <v>2308</v>
      </c>
      <c r="C589" s="21">
        <f t="shared" ref="C589:C652" si="18">20*LOG(D589)</f>
        <v>1.31881362265165</v>
      </c>
      <c r="D589" s="21">
        <f t="shared" ref="D589:D652" si="19">16384/(16384-B589)</f>
        <v>1.1639670360898</v>
      </c>
    </row>
    <row r="590" ht="14.4" spans="2:4">
      <c r="B590" s="20">
        <v>2312</v>
      </c>
      <c r="C590" s="21">
        <f t="shared" si="18"/>
        <v>1.32128225692664</v>
      </c>
      <c r="D590" s="21">
        <f t="shared" si="19"/>
        <v>1.16429789653212</v>
      </c>
    </row>
    <row r="591" ht="14.4" spans="2:4">
      <c r="B591" s="20">
        <v>2316</v>
      </c>
      <c r="C591" s="21">
        <f t="shared" si="18"/>
        <v>1.32375159301663</v>
      </c>
      <c r="D591" s="21">
        <f t="shared" si="19"/>
        <v>1.16462894512368</v>
      </c>
    </row>
    <row r="592" ht="14.4" spans="2:4">
      <c r="B592" s="20">
        <v>2320</v>
      </c>
      <c r="C592" s="21">
        <f t="shared" si="18"/>
        <v>1.3262216313208</v>
      </c>
      <c r="D592" s="21">
        <f t="shared" si="19"/>
        <v>1.16496018202503</v>
      </c>
    </row>
    <row r="593" ht="14.4" spans="2:4">
      <c r="B593" s="20">
        <v>2324</v>
      </c>
      <c r="C593" s="21">
        <f t="shared" si="18"/>
        <v>1.32869237223863</v>
      </c>
      <c r="D593" s="21">
        <f t="shared" si="19"/>
        <v>1.16529160739687</v>
      </c>
    </row>
    <row r="594" ht="14.4" spans="2:4">
      <c r="B594" s="20">
        <v>2328</v>
      </c>
      <c r="C594" s="21">
        <f t="shared" si="18"/>
        <v>1.33116381616996</v>
      </c>
      <c r="D594" s="21">
        <f t="shared" si="19"/>
        <v>1.16562322140011</v>
      </c>
    </row>
    <row r="595" ht="14.4" spans="2:4">
      <c r="B595" s="20">
        <v>2332</v>
      </c>
      <c r="C595" s="21">
        <f t="shared" si="18"/>
        <v>1.33363596351498</v>
      </c>
      <c r="D595" s="21">
        <f t="shared" si="19"/>
        <v>1.16595502419584</v>
      </c>
    </row>
    <row r="596" ht="14.4" spans="2:4">
      <c r="B596" s="20">
        <v>2336</v>
      </c>
      <c r="C596" s="21">
        <f t="shared" si="18"/>
        <v>1.33610881467419</v>
      </c>
      <c r="D596" s="21">
        <f t="shared" si="19"/>
        <v>1.16628701594533</v>
      </c>
    </row>
    <row r="597" ht="14.4" spans="2:4">
      <c r="B597" s="20">
        <v>2340</v>
      </c>
      <c r="C597" s="21">
        <f t="shared" si="18"/>
        <v>1.33858237004846</v>
      </c>
      <c r="D597" s="21">
        <f t="shared" si="19"/>
        <v>1.16661919681003</v>
      </c>
    </row>
    <row r="598" ht="14.4" spans="2:4">
      <c r="B598" s="20">
        <v>2344</v>
      </c>
      <c r="C598" s="21">
        <f t="shared" si="18"/>
        <v>1.341056630039</v>
      </c>
      <c r="D598" s="21">
        <f t="shared" si="19"/>
        <v>1.16695156695157</v>
      </c>
    </row>
    <row r="599" ht="14.4" spans="2:4">
      <c r="B599" s="20">
        <v>2348</v>
      </c>
      <c r="C599" s="21">
        <f t="shared" si="18"/>
        <v>1.34353159504736</v>
      </c>
      <c r="D599" s="21">
        <f t="shared" si="19"/>
        <v>1.16728412653178</v>
      </c>
    </row>
    <row r="600" ht="14.4" spans="2:4">
      <c r="B600" s="20">
        <v>2352</v>
      </c>
      <c r="C600" s="21">
        <f t="shared" si="18"/>
        <v>1.34600726547543</v>
      </c>
      <c r="D600" s="21">
        <f t="shared" si="19"/>
        <v>1.16761687571266</v>
      </c>
    </row>
    <row r="601" ht="14.4" spans="2:4">
      <c r="B601" s="20">
        <v>2356</v>
      </c>
      <c r="C601" s="21">
        <f t="shared" si="18"/>
        <v>1.34848364172544</v>
      </c>
      <c r="D601" s="21">
        <f t="shared" si="19"/>
        <v>1.1679498146564</v>
      </c>
    </row>
    <row r="602" ht="14.4" spans="2:4">
      <c r="B602" s="20">
        <v>2360</v>
      </c>
      <c r="C602" s="21">
        <f t="shared" si="18"/>
        <v>1.35096072419996</v>
      </c>
      <c r="D602" s="21">
        <f t="shared" si="19"/>
        <v>1.16828294352538</v>
      </c>
    </row>
    <row r="603" ht="14.4" spans="2:4">
      <c r="B603" s="20">
        <v>2364</v>
      </c>
      <c r="C603" s="21">
        <f t="shared" si="18"/>
        <v>1.35343851330194</v>
      </c>
      <c r="D603" s="21">
        <f t="shared" si="19"/>
        <v>1.16861626248217</v>
      </c>
    </row>
    <row r="604" ht="14.4" spans="2:4">
      <c r="B604" s="20">
        <v>2368</v>
      </c>
      <c r="C604" s="21">
        <f t="shared" si="18"/>
        <v>1.35591700943462</v>
      </c>
      <c r="D604" s="21">
        <f t="shared" si="19"/>
        <v>1.1689497716895</v>
      </c>
    </row>
    <row r="605" ht="14.4" spans="2:4">
      <c r="B605" s="20">
        <v>2372</v>
      </c>
      <c r="C605" s="21">
        <f t="shared" si="18"/>
        <v>1.35839621300164</v>
      </c>
      <c r="D605" s="21">
        <f t="shared" si="19"/>
        <v>1.16928347131031</v>
      </c>
    </row>
    <row r="606" ht="14.4" spans="2:4">
      <c r="B606" s="20">
        <v>2376</v>
      </c>
      <c r="C606" s="21">
        <f t="shared" si="18"/>
        <v>1.36087612440694</v>
      </c>
      <c r="D606" s="21">
        <f t="shared" si="19"/>
        <v>1.16961736150771</v>
      </c>
    </row>
    <row r="607" ht="14.4" spans="2:4">
      <c r="B607" s="20">
        <v>2380</v>
      </c>
      <c r="C607" s="21">
        <f t="shared" si="18"/>
        <v>1.36335674405483</v>
      </c>
      <c r="D607" s="21">
        <f t="shared" si="19"/>
        <v>1.16995144244502</v>
      </c>
    </row>
    <row r="608" ht="14.4" spans="2:4">
      <c r="B608" s="20">
        <v>2384</v>
      </c>
      <c r="C608" s="21">
        <f t="shared" si="18"/>
        <v>1.36583807234997</v>
      </c>
      <c r="D608" s="21">
        <f t="shared" si="19"/>
        <v>1.17028571428571</v>
      </c>
    </row>
    <row r="609" ht="14.4" spans="2:4">
      <c r="B609" s="20">
        <v>2388</v>
      </c>
      <c r="C609" s="21">
        <f t="shared" si="18"/>
        <v>1.36832010969736</v>
      </c>
      <c r="D609" s="21">
        <f t="shared" si="19"/>
        <v>1.17062017719348</v>
      </c>
    </row>
    <row r="610" ht="14.4" spans="2:4">
      <c r="B610" s="20">
        <v>2392</v>
      </c>
      <c r="C610" s="21">
        <f t="shared" si="18"/>
        <v>1.37080285650233</v>
      </c>
      <c r="D610" s="21">
        <f t="shared" si="19"/>
        <v>1.17095483133219</v>
      </c>
    </row>
    <row r="611" ht="14.4" spans="2:4">
      <c r="B611" s="20">
        <v>2396</v>
      </c>
      <c r="C611" s="21">
        <f t="shared" si="18"/>
        <v>1.37328631317059</v>
      </c>
      <c r="D611" s="21">
        <f t="shared" si="19"/>
        <v>1.17128967686589</v>
      </c>
    </row>
    <row r="612" ht="14.4" spans="2:4">
      <c r="B612" s="20">
        <v>2400</v>
      </c>
      <c r="C612" s="21">
        <f t="shared" si="18"/>
        <v>1.37577048010818</v>
      </c>
      <c r="D612" s="21">
        <f t="shared" si="19"/>
        <v>1.17162471395881</v>
      </c>
    </row>
    <row r="613" ht="14.4" spans="2:4">
      <c r="B613" s="20">
        <v>2404</v>
      </c>
      <c r="C613" s="21">
        <f t="shared" si="18"/>
        <v>1.37825535772148</v>
      </c>
      <c r="D613" s="21">
        <f t="shared" si="19"/>
        <v>1.17195994277539</v>
      </c>
    </row>
    <row r="614" ht="14.4" spans="2:4">
      <c r="B614" s="20">
        <v>2408</v>
      </c>
      <c r="C614" s="21">
        <f t="shared" si="18"/>
        <v>1.38074094641724</v>
      </c>
      <c r="D614" s="21">
        <f t="shared" si="19"/>
        <v>1.17229536348025</v>
      </c>
    </row>
    <row r="615" ht="14.4" spans="2:4">
      <c r="B615" s="20">
        <v>2412</v>
      </c>
      <c r="C615" s="21">
        <f t="shared" si="18"/>
        <v>1.38322724660255</v>
      </c>
      <c r="D615" s="21">
        <f t="shared" si="19"/>
        <v>1.17263097623819</v>
      </c>
    </row>
    <row r="616" ht="14.4" spans="2:4">
      <c r="B616" s="20">
        <v>2416</v>
      </c>
      <c r="C616" s="21">
        <f t="shared" si="18"/>
        <v>1.38571425868484</v>
      </c>
      <c r="D616" s="21">
        <f t="shared" si="19"/>
        <v>1.1729667812142</v>
      </c>
    </row>
    <row r="617" ht="14.4" spans="2:4">
      <c r="B617" s="20">
        <v>2420</v>
      </c>
      <c r="C617" s="21">
        <f t="shared" si="18"/>
        <v>1.38820198307191</v>
      </c>
      <c r="D617" s="21">
        <f t="shared" si="19"/>
        <v>1.17330277857347</v>
      </c>
    </row>
    <row r="618" ht="14.4" spans="2:4">
      <c r="B618" s="20">
        <v>2424</v>
      </c>
      <c r="C618" s="21">
        <f t="shared" si="18"/>
        <v>1.39069042017189</v>
      </c>
      <c r="D618" s="21">
        <f t="shared" si="19"/>
        <v>1.17363896848138</v>
      </c>
    </row>
    <row r="619" ht="14.4" spans="2:4">
      <c r="B619" s="20">
        <v>2428</v>
      </c>
      <c r="C619" s="21">
        <f t="shared" si="18"/>
        <v>1.39317957039327</v>
      </c>
      <c r="D619" s="21">
        <f t="shared" si="19"/>
        <v>1.17397535110347</v>
      </c>
    </row>
    <row r="620" ht="14.4" spans="2:4">
      <c r="B620" s="20">
        <v>2432</v>
      </c>
      <c r="C620" s="21">
        <f t="shared" si="18"/>
        <v>1.39566943414489</v>
      </c>
      <c r="D620" s="21">
        <f t="shared" si="19"/>
        <v>1.1743119266055</v>
      </c>
    </row>
    <row r="621" ht="14.4" spans="2:4">
      <c r="B621" s="20">
        <v>2436</v>
      </c>
      <c r="C621" s="21">
        <f t="shared" si="18"/>
        <v>1.39816001183596</v>
      </c>
      <c r="D621" s="21">
        <f t="shared" si="19"/>
        <v>1.17464869515343</v>
      </c>
    </row>
    <row r="622" ht="14.4" spans="2:4">
      <c r="B622" s="20">
        <v>2440</v>
      </c>
      <c r="C622" s="21">
        <f t="shared" si="18"/>
        <v>1.400651303876</v>
      </c>
      <c r="D622" s="21">
        <f t="shared" si="19"/>
        <v>1.17498565691337</v>
      </c>
    </row>
    <row r="623" ht="14.4" spans="2:4">
      <c r="B623" s="20">
        <v>2444</v>
      </c>
      <c r="C623" s="21">
        <f t="shared" si="18"/>
        <v>1.40314331067492</v>
      </c>
      <c r="D623" s="21">
        <f t="shared" si="19"/>
        <v>1.17532281205165</v>
      </c>
    </row>
    <row r="624" ht="14.4" spans="2:4">
      <c r="B624" s="20">
        <v>2448</v>
      </c>
      <c r="C624" s="21">
        <f t="shared" si="18"/>
        <v>1.40563603264298</v>
      </c>
      <c r="D624" s="21">
        <f t="shared" si="19"/>
        <v>1.17566016073479</v>
      </c>
    </row>
    <row r="625" ht="14.4" spans="2:4">
      <c r="B625" s="20">
        <v>2452</v>
      </c>
      <c r="C625" s="21">
        <f t="shared" si="18"/>
        <v>1.40812947019076</v>
      </c>
      <c r="D625" s="21">
        <f t="shared" si="19"/>
        <v>1.17599770312949</v>
      </c>
    </row>
    <row r="626" ht="14.4" spans="2:4">
      <c r="B626" s="20">
        <v>2456</v>
      </c>
      <c r="C626" s="21">
        <f t="shared" si="18"/>
        <v>1.41062362372924</v>
      </c>
      <c r="D626" s="21">
        <f t="shared" si="19"/>
        <v>1.17633543940264</v>
      </c>
    </row>
    <row r="627" ht="14.4" spans="2:4">
      <c r="B627" s="20">
        <v>2460</v>
      </c>
      <c r="C627" s="21">
        <f t="shared" si="18"/>
        <v>1.41311849366972</v>
      </c>
      <c r="D627" s="21">
        <f t="shared" si="19"/>
        <v>1.17667336972134</v>
      </c>
    </row>
    <row r="628" ht="14.4" spans="2:4">
      <c r="B628" s="20">
        <v>2464</v>
      </c>
      <c r="C628" s="21">
        <f t="shared" si="18"/>
        <v>1.41561408042387</v>
      </c>
      <c r="D628" s="21">
        <f t="shared" si="19"/>
        <v>1.17701149425287</v>
      </c>
    </row>
    <row r="629" ht="14.4" spans="2:4">
      <c r="B629" s="20">
        <v>2468</v>
      </c>
      <c r="C629" s="21">
        <f t="shared" si="18"/>
        <v>1.41811038440371</v>
      </c>
      <c r="D629" s="21">
        <f t="shared" si="19"/>
        <v>1.1773498131647</v>
      </c>
    </row>
    <row r="630" ht="14.4" spans="2:4">
      <c r="B630" s="20">
        <v>2472</v>
      </c>
      <c r="C630" s="21">
        <f t="shared" si="18"/>
        <v>1.42060740602161</v>
      </c>
      <c r="D630" s="21">
        <f t="shared" si="19"/>
        <v>1.1776883266245</v>
      </c>
    </row>
    <row r="631" ht="14.4" spans="2:4">
      <c r="B631" s="20">
        <v>2476</v>
      </c>
      <c r="C631" s="21">
        <f t="shared" si="18"/>
        <v>1.42310514569032</v>
      </c>
      <c r="D631" s="21">
        <f t="shared" si="19"/>
        <v>1.17802703480011</v>
      </c>
    </row>
    <row r="632" ht="14.4" spans="2:4">
      <c r="B632" s="20">
        <v>2480</v>
      </c>
      <c r="C632" s="21">
        <f t="shared" si="18"/>
        <v>1.42560360382291</v>
      </c>
      <c r="D632" s="21">
        <f t="shared" si="19"/>
        <v>1.17836593785961</v>
      </c>
    </row>
    <row r="633" ht="14.4" spans="2:4">
      <c r="B633" s="20">
        <v>2484</v>
      </c>
      <c r="C633" s="21">
        <f t="shared" si="18"/>
        <v>1.42810278083283</v>
      </c>
      <c r="D633" s="21">
        <f t="shared" si="19"/>
        <v>1.17870503597122</v>
      </c>
    </row>
    <row r="634" ht="14.4" spans="2:4">
      <c r="B634" s="20">
        <v>2488</v>
      </c>
      <c r="C634" s="21">
        <f t="shared" si="18"/>
        <v>1.43060267713389</v>
      </c>
      <c r="D634" s="21">
        <f t="shared" si="19"/>
        <v>1.1790443293034</v>
      </c>
    </row>
    <row r="635" ht="14.4" spans="2:4">
      <c r="B635" s="20">
        <v>2492</v>
      </c>
      <c r="C635" s="21">
        <f t="shared" si="18"/>
        <v>1.43310329314024</v>
      </c>
      <c r="D635" s="21">
        <f t="shared" si="19"/>
        <v>1.17938381802476</v>
      </c>
    </row>
    <row r="636" ht="14.4" spans="2:4">
      <c r="B636" s="20">
        <v>2496</v>
      </c>
      <c r="C636" s="21">
        <f t="shared" si="18"/>
        <v>1.4356046292664</v>
      </c>
      <c r="D636" s="21">
        <f t="shared" si="19"/>
        <v>1.17972350230415</v>
      </c>
    </row>
    <row r="637" ht="14.4" spans="2:4">
      <c r="B637" s="20">
        <v>2500</v>
      </c>
      <c r="C637" s="21">
        <f t="shared" si="18"/>
        <v>1.43810668592725</v>
      </c>
      <c r="D637" s="21">
        <f t="shared" si="19"/>
        <v>1.18006338231057</v>
      </c>
    </row>
    <row r="638" ht="14.4" spans="2:4">
      <c r="B638" s="20">
        <v>2504</v>
      </c>
      <c r="C638" s="21">
        <f t="shared" si="18"/>
        <v>1.44060946353801</v>
      </c>
      <c r="D638" s="21">
        <f t="shared" si="19"/>
        <v>1.18040345821326</v>
      </c>
    </row>
    <row r="639" ht="14.4" spans="2:4">
      <c r="B639" s="20">
        <v>2508</v>
      </c>
      <c r="C639" s="21">
        <f t="shared" si="18"/>
        <v>1.44311296251429</v>
      </c>
      <c r="D639" s="21">
        <f t="shared" si="19"/>
        <v>1.18074373018161</v>
      </c>
    </row>
    <row r="640" ht="14.4" spans="2:4">
      <c r="B640" s="20">
        <v>2512</v>
      </c>
      <c r="C640" s="21">
        <f t="shared" si="18"/>
        <v>1.44561718327203</v>
      </c>
      <c r="D640" s="21">
        <f t="shared" si="19"/>
        <v>1.18108419838524</v>
      </c>
    </row>
    <row r="641" ht="14.4" spans="2:4">
      <c r="B641" s="20">
        <v>2516</v>
      </c>
      <c r="C641" s="21">
        <f t="shared" si="18"/>
        <v>1.44812212622755</v>
      </c>
      <c r="D641" s="21">
        <f t="shared" si="19"/>
        <v>1.18142486299394</v>
      </c>
    </row>
    <row r="642" ht="14.4" spans="2:4">
      <c r="B642" s="20">
        <v>2520</v>
      </c>
      <c r="C642" s="21">
        <f t="shared" si="18"/>
        <v>1.45062779179752</v>
      </c>
      <c r="D642" s="21">
        <f t="shared" si="19"/>
        <v>1.18176572417773</v>
      </c>
    </row>
    <row r="643" ht="14.4" spans="2:4">
      <c r="B643" s="20">
        <v>2524</v>
      </c>
      <c r="C643" s="21">
        <f t="shared" si="18"/>
        <v>1.45313418039898</v>
      </c>
      <c r="D643" s="21">
        <f t="shared" si="19"/>
        <v>1.18210678210678</v>
      </c>
    </row>
    <row r="644" ht="14.4" spans="2:4">
      <c r="B644" s="20">
        <v>2528</v>
      </c>
      <c r="C644" s="21">
        <f t="shared" si="18"/>
        <v>1.45564129244931</v>
      </c>
      <c r="D644" s="21">
        <f t="shared" si="19"/>
        <v>1.1824480369515</v>
      </c>
    </row>
    <row r="645" ht="14.4" spans="2:4">
      <c r="B645" s="20">
        <v>2532</v>
      </c>
      <c r="C645" s="21">
        <f t="shared" si="18"/>
        <v>1.45814912836627</v>
      </c>
      <c r="D645" s="21">
        <f t="shared" si="19"/>
        <v>1.18278948888247</v>
      </c>
    </row>
    <row r="646" ht="14.4" spans="2:4">
      <c r="B646" s="20">
        <v>2536</v>
      </c>
      <c r="C646" s="21">
        <f t="shared" si="18"/>
        <v>1.46065768856799</v>
      </c>
      <c r="D646" s="21">
        <f t="shared" si="19"/>
        <v>1.18313113807048</v>
      </c>
    </row>
    <row r="647" ht="14.4" spans="2:4">
      <c r="B647" s="20">
        <v>2540</v>
      </c>
      <c r="C647" s="21">
        <f t="shared" si="18"/>
        <v>1.46316697347293</v>
      </c>
      <c r="D647" s="21">
        <f t="shared" si="19"/>
        <v>1.18347298468651</v>
      </c>
    </row>
    <row r="648" ht="14.4" spans="2:4">
      <c r="B648" s="20">
        <v>2544</v>
      </c>
      <c r="C648" s="21">
        <f t="shared" si="18"/>
        <v>1.46567698349996</v>
      </c>
      <c r="D648" s="21">
        <f t="shared" si="19"/>
        <v>1.18381502890173</v>
      </c>
    </row>
    <row r="649" ht="14.4" spans="2:4">
      <c r="B649" s="20">
        <v>2548</v>
      </c>
      <c r="C649" s="21">
        <f t="shared" si="18"/>
        <v>1.46818771906826</v>
      </c>
      <c r="D649" s="21">
        <f t="shared" si="19"/>
        <v>1.18415727088754</v>
      </c>
    </row>
    <row r="650" ht="14.4" spans="2:4">
      <c r="B650" s="20">
        <v>2552</v>
      </c>
      <c r="C650" s="21">
        <f t="shared" si="18"/>
        <v>1.47069918059741</v>
      </c>
      <c r="D650" s="21">
        <f t="shared" si="19"/>
        <v>1.1844997108155</v>
      </c>
    </row>
    <row r="651" ht="14.4" spans="2:4">
      <c r="B651" s="20">
        <v>2556</v>
      </c>
      <c r="C651" s="21">
        <f t="shared" si="18"/>
        <v>1.47321136850735</v>
      </c>
      <c r="D651" s="21">
        <f t="shared" si="19"/>
        <v>1.18484234885739</v>
      </c>
    </row>
    <row r="652" ht="14.4" spans="2:4">
      <c r="B652" s="20">
        <v>2560</v>
      </c>
      <c r="C652" s="21">
        <f t="shared" si="18"/>
        <v>1.47572428321837</v>
      </c>
      <c r="D652" s="21">
        <f t="shared" si="19"/>
        <v>1.18518518518519</v>
      </c>
    </row>
    <row r="653" ht="14.4" spans="2:4">
      <c r="B653" s="20">
        <v>2564</v>
      </c>
      <c r="C653" s="21">
        <f t="shared" ref="C653:C716" si="20">20*LOG(D653)</f>
        <v>1.47823792515114</v>
      </c>
      <c r="D653" s="21">
        <f t="shared" ref="D653:D716" si="21">16384/(16384-B653)</f>
        <v>1.18552821997106</v>
      </c>
    </row>
    <row r="654" ht="14.4" spans="2:4">
      <c r="B654" s="20">
        <v>2568</v>
      </c>
      <c r="C654" s="21">
        <f t="shared" si="20"/>
        <v>1.48075229472669</v>
      </c>
      <c r="D654" s="21">
        <f t="shared" si="21"/>
        <v>1.18587145338738</v>
      </c>
    </row>
    <row r="655" ht="14.4" spans="2:4">
      <c r="B655" s="20">
        <v>2572</v>
      </c>
      <c r="C655" s="21">
        <f t="shared" si="20"/>
        <v>1.4832673923664</v>
      </c>
      <c r="D655" s="21">
        <f t="shared" si="21"/>
        <v>1.18621488560672</v>
      </c>
    </row>
    <row r="656" ht="14.4" spans="2:4">
      <c r="B656" s="20">
        <v>2576</v>
      </c>
      <c r="C656" s="21">
        <f t="shared" si="20"/>
        <v>1.48578321849205</v>
      </c>
      <c r="D656" s="21">
        <f t="shared" si="21"/>
        <v>1.18655851680185</v>
      </c>
    </row>
    <row r="657" ht="14.4" spans="2:4">
      <c r="B657" s="20">
        <v>2580</v>
      </c>
      <c r="C657" s="21">
        <f t="shared" si="20"/>
        <v>1.48829977352575</v>
      </c>
      <c r="D657" s="21">
        <f t="shared" si="21"/>
        <v>1.18690234714575</v>
      </c>
    </row>
    <row r="658" ht="14.4" spans="2:4">
      <c r="B658" s="20">
        <v>2584</v>
      </c>
      <c r="C658" s="21">
        <f t="shared" si="20"/>
        <v>1.49081705789</v>
      </c>
      <c r="D658" s="21">
        <f t="shared" si="21"/>
        <v>1.18724637681159</v>
      </c>
    </row>
    <row r="659" ht="14.4" spans="2:4">
      <c r="B659" s="20">
        <v>2588</v>
      </c>
      <c r="C659" s="21">
        <f t="shared" si="20"/>
        <v>1.49333507200767</v>
      </c>
      <c r="D659" s="21">
        <f t="shared" si="21"/>
        <v>1.18759060597275</v>
      </c>
    </row>
    <row r="660" ht="14.4" spans="2:4">
      <c r="B660" s="20">
        <v>2592</v>
      </c>
      <c r="C660" s="21">
        <f t="shared" si="20"/>
        <v>1.49585381630198</v>
      </c>
      <c r="D660" s="21">
        <f t="shared" si="21"/>
        <v>1.18793503480278</v>
      </c>
    </row>
    <row r="661" ht="14.4" spans="2:4">
      <c r="B661" s="20">
        <v>2596</v>
      </c>
      <c r="C661" s="21">
        <f t="shared" si="20"/>
        <v>1.49837329119653</v>
      </c>
      <c r="D661" s="21">
        <f t="shared" si="21"/>
        <v>1.18827966347549</v>
      </c>
    </row>
    <row r="662" ht="14.4" spans="2:4">
      <c r="B662" s="20">
        <v>2600</v>
      </c>
      <c r="C662" s="21">
        <f t="shared" si="20"/>
        <v>1.50089349711529</v>
      </c>
      <c r="D662" s="21">
        <f t="shared" si="21"/>
        <v>1.18862449216483</v>
      </c>
    </row>
    <row r="663" ht="14.4" spans="2:4">
      <c r="B663" s="20">
        <v>2604</v>
      </c>
      <c r="C663" s="21">
        <f t="shared" si="20"/>
        <v>1.50341443448259</v>
      </c>
      <c r="D663" s="21">
        <f t="shared" si="21"/>
        <v>1.18896952104499</v>
      </c>
    </row>
    <row r="664" ht="14.4" spans="2:4">
      <c r="B664" s="20">
        <v>2608</v>
      </c>
      <c r="C664" s="21">
        <f t="shared" si="20"/>
        <v>1.50593610372314</v>
      </c>
      <c r="D664" s="21">
        <f t="shared" si="21"/>
        <v>1.18931475029036</v>
      </c>
    </row>
    <row r="665" ht="14.4" spans="2:4">
      <c r="B665" s="20">
        <v>2612</v>
      </c>
      <c r="C665" s="21">
        <f t="shared" si="20"/>
        <v>1.50845850526202</v>
      </c>
      <c r="D665" s="21">
        <f t="shared" si="21"/>
        <v>1.18966018007552</v>
      </c>
    </row>
    <row r="666" ht="14.4" spans="2:4">
      <c r="B666" s="20">
        <v>2616</v>
      </c>
      <c r="C666" s="21">
        <f t="shared" si="20"/>
        <v>1.51098163952466</v>
      </c>
      <c r="D666" s="21">
        <f t="shared" si="21"/>
        <v>1.19000581057525</v>
      </c>
    </row>
    <row r="667" ht="14.4" spans="2:4">
      <c r="B667" s="20">
        <v>2620</v>
      </c>
      <c r="C667" s="21">
        <f t="shared" si="20"/>
        <v>1.51350550693689</v>
      </c>
      <c r="D667" s="21">
        <f t="shared" si="21"/>
        <v>1.19035164196455</v>
      </c>
    </row>
    <row r="668" ht="14.4" spans="2:4">
      <c r="B668" s="20">
        <v>2624</v>
      </c>
      <c r="C668" s="21">
        <f t="shared" si="20"/>
        <v>1.51603010792488</v>
      </c>
      <c r="D668" s="21">
        <f t="shared" si="21"/>
        <v>1.1906976744186</v>
      </c>
    </row>
    <row r="669" ht="14.4" spans="2:4">
      <c r="B669" s="20">
        <v>2628</v>
      </c>
      <c r="C669" s="21">
        <f t="shared" si="20"/>
        <v>1.51855544291522</v>
      </c>
      <c r="D669" s="21">
        <f t="shared" si="21"/>
        <v>1.19104390811282</v>
      </c>
    </row>
    <row r="670" ht="14.4" spans="2:4">
      <c r="B670" s="20">
        <v>2632</v>
      </c>
      <c r="C670" s="21">
        <f t="shared" si="20"/>
        <v>1.52108151233481</v>
      </c>
      <c r="D670" s="21">
        <f t="shared" si="21"/>
        <v>1.1913903432228</v>
      </c>
    </row>
    <row r="671" ht="14.4" spans="2:4">
      <c r="B671" s="20">
        <v>2636</v>
      </c>
      <c r="C671" s="21">
        <f t="shared" si="20"/>
        <v>1.52360831661098</v>
      </c>
      <c r="D671" s="21">
        <f t="shared" si="21"/>
        <v>1.19173697992435</v>
      </c>
    </row>
    <row r="672" ht="14.4" spans="2:4">
      <c r="B672" s="20">
        <v>2640</v>
      </c>
      <c r="C672" s="21">
        <f t="shared" si="20"/>
        <v>1.52613585617139</v>
      </c>
      <c r="D672" s="21">
        <f t="shared" si="21"/>
        <v>1.19208381839348</v>
      </c>
    </row>
    <row r="673" ht="14.4" spans="2:4">
      <c r="B673" s="20">
        <v>2644</v>
      </c>
      <c r="C673" s="21">
        <f t="shared" si="20"/>
        <v>1.5286641314441</v>
      </c>
      <c r="D673" s="21">
        <f t="shared" si="21"/>
        <v>1.1924308588064</v>
      </c>
    </row>
    <row r="674" ht="14.4" spans="2:4">
      <c r="B674" s="20">
        <v>2648</v>
      </c>
      <c r="C674" s="21">
        <f t="shared" si="20"/>
        <v>1.53119314285753</v>
      </c>
      <c r="D674" s="21">
        <f t="shared" si="21"/>
        <v>1.19277810133955</v>
      </c>
    </row>
    <row r="675" ht="14.4" spans="2:4">
      <c r="B675" s="20">
        <v>2652</v>
      </c>
      <c r="C675" s="21">
        <f t="shared" si="20"/>
        <v>1.53372289084048</v>
      </c>
      <c r="D675" s="21">
        <f t="shared" si="21"/>
        <v>1.19312554616953</v>
      </c>
    </row>
    <row r="676" ht="14.4" spans="2:4">
      <c r="B676" s="20">
        <v>2656</v>
      </c>
      <c r="C676" s="21">
        <f t="shared" si="20"/>
        <v>1.53625337582213</v>
      </c>
      <c r="D676" s="21">
        <f t="shared" si="21"/>
        <v>1.19347319347319</v>
      </c>
    </row>
    <row r="677" ht="14.4" spans="2:4">
      <c r="B677" s="20">
        <v>2660</v>
      </c>
      <c r="C677" s="21">
        <f t="shared" si="20"/>
        <v>1.53878459823202</v>
      </c>
      <c r="D677" s="21">
        <f t="shared" si="21"/>
        <v>1.19382104342757</v>
      </c>
    </row>
    <row r="678" ht="14.4" spans="2:4">
      <c r="B678" s="20">
        <v>2664</v>
      </c>
      <c r="C678" s="21">
        <f t="shared" si="20"/>
        <v>1.54131655850008</v>
      </c>
      <c r="D678" s="21">
        <f t="shared" si="21"/>
        <v>1.19416909620991</v>
      </c>
    </row>
    <row r="679" ht="14.4" spans="2:4">
      <c r="B679" s="20">
        <v>2668</v>
      </c>
      <c r="C679" s="21">
        <f t="shared" si="20"/>
        <v>1.5438492570566</v>
      </c>
      <c r="D679" s="21">
        <f t="shared" si="21"/>
        <v>1.19451735199767</v>
      </c>
    </row>
    <row r="680" ht="14.4" spans="2:4">
      <c r="B680" s="20">
        <v>2672</v>
      </c>
      <c r="C680" s="21">
        <f t="shared" si="20"/>
        <v>1.54638269433228</v>
      </c>
      <c r="D680" s="21">
        <f t="shared" si="21"/>
        <v>1.19486581096849</v>
      </c>
    </row>
    <row r="681" ht="14.4" spans="2:4">
      <c r="B681" s="20">
        <v>2676</v>
      </c>
      <c r="C681" s="21">
        <f t="shared" si="20"/>
        <v>1.54891687075815</v>
      </c>
      <c r="D681" s="21">
        <f t="shared" si="21"/>
        <v>1.19521447330026</v>
      </c>
    </row>
    <row r="682" ht="14.4" spans="2:4">
      <c r="B682" s="20">
        <v>2680</v>
      </c>
      <c r="C682" s="21">
        <f t="shared" si="20"/>
        <v>1.55145178676565</v>
      </c>
      <c r="D682" s="21">
        <f t="shared" si="21"/>
        <v>1.19556333917104</v>
      </c>
    </row>
    <row r="683" ht="14.4" spans="2:4">
      <c r="B683" s="20">
        <v>2684</v>
      </c>
      <c r="C683" s="21">
        <f t="shared" si="20"/>
        <v>1.5539874427866</v>
      </c>
      <c r="D683" s="21">
        <f t="shared" si="21"/>
        <v>1.19591240875912</v>
      </c>
    </row>
    <row r="684" ht="14.4" spans="2:4">
      <c r="B684" s="20">
        <v>2688</v>
      </c>
      <c r="C684" s="21">
        <f t="shared" si="20"/>
        <v>1.55652383925317</v>
      </c>
      <c r="D684" s="21">
        <f t="shared" si="21"/>
        <v>1.19626168224299</v>
      </c>
    </row>
    <row r="685" ht="14.4" spans="2:4">
      <c r="B685" s="20">
        <v>2692</v>
      </c>
      <c r="C685" s="21">
        <f t="shared" si="20"/>
        <v>1.55906097659794</v>
      </c>
      <c r="D685" s="21">
        <f t="shared" si="21"/>
        <v>1.19661115980134</v>
      </c>
    </row>
    <row r="686" ht="14.4" spans="2:4">
      <c r="B686" s="20">
        <v>2696</v>
      </c>
      <c r="C686" s="21">
        <f t="shared" si="20"/>
        <v>1.56159885525386</v>
      </c>
      <c r="D686" s="21">
        <f t="shared" si="21"/>
        <v>1.19696084161309</v>
      </c>
    </row>
    <row r="687" ht="14.4" spans="2:4">
      <c r="B687" s="20">
        <v>2700</v>
      </c>
      <c r="C687" s="21">
        <f t="shared" si="20"/>
        <v>1.56413747565424</v>
      </c>
      <c r="D687" s="21">
        <f t="shared" si="21"/>
        <v>1.19731072785735</v>
      </c>
    </row>
    <row r="688" ht="14.4" spans="2:4">
      <c r="B688" s="20">
        <v>2704</v>
      </c>
      <c r="C688" s="21">
        <f t="shared" si="20"/>
        <v>1.56667683823279</v>
      </c>
      <c r="D688" s="21">
        <f t="shared" si="21"/>
        <v>1.19766081871345</v>
      </c>
    </row>
    <row r="689" ht="14.4" spans="2:4">
      <c r="B689" s="20">
        <v>2708</v>
      </c>
      <c r="C689" s="21">
        <f t="shared" si="20"/>
        <v>1.56921694342359</v>
      </c>
      <c r="D689" s="21">
        <f t="shared" si="21"/>
        <v>1.19801111436092</v>
      </c>
    </row>
    <row r="690" ht="14.4" spans="2:4">
      <c r="B690" s="20">
        <v>2712</v>
      </c>
      <c r="C690" s="21">
        <f t="shared" si="20"/>
        <v>1.57175779166113</v>
      </c>
      <c r="D690" s="21">
        <f t="shared" si="21"/>
        <v>1.19836161497952</v>
      </c>
    </row>
    <row r="691" ht="14.4" spans="2:4">
      <c r="B691" s="20">
        <v>2716</v>
      </c>
      <c r="C691" s="21">
        <f t="shared" si="20"/>
        <v>1.57429938338023</v>
      </c>
      <c r="D691" s="21">
        <f t="shared" si="21"/>
        <v>1.1987123207492</v>
      </c>
    </row>
    <row r="692" ht="14.4" spans="2:4">
      <c r="B692" s="20">
        <v>2720</v>
      </c>
      <c r="C692" s="21">
        <f t="shared" si="20"/>
        <v>1.57684171901614</v>
      </c>
      <c r="D692" s="21">
        <f t="shared" si="21"/>
        <v>1.19906323185012</v>
      </c>
    </row>
    <row r="693" ht="14.4" spans="2:4">
      <c r="B693" s="20">
        <v>2724</v>
      </c>
      <c r="C693" s="21">
        <f t="shared" si="20"/>
        <v>1.57938479900446</v>
      </c>
      <c r="D693" s="21">
        <f t="shared" si="21"/>
        <v>1.19941434846266</v>
      </c>
    </row>
    <row r="694" ht="14.4" spans="2:4">
      <c r="B694" s="20">
        <v>2728</v>
      </c>
      <c r="C694" s="21">
        <f t="shared" si="20"/>
        <v>1.58192862378119</v>
      </c>
      <c r="D694" s="21">
        <f t="shared" si="21"/>
        <v>1.19976567076743</v>
      </c>
    </row>
    <row r="695" ht="14.4" spans="2:4">
      <c r="B695" s="20">
        <v>2732</v>
      </c>
      <c r="C695" s="21">
        <f t="shared" si="20"/>
        <v>1.58447319378271</v>
      </c>
      <c r="D695" s="21">
        <f t="shared" si="21"/>
        <v>1.20011719894521</v>
      </c>
    </row>
    <row r="696" ht="14.4" spans="2:4">
      <c r="B696" s="20">
        <v>2736</v>
      </c>
      <c r="C696" s="21">
        <f t="shared" si="20"/>
        <v>1.58701850944578</v>
      </c>
      <c r="D696" s="21">
        <f t="shared" si="21"/>
        <v>1.20046893317702</v>
      </c>
    </row>
    <row r="697" ht="14.4" spans="2:4">
      <c r="B697" s="20">
        <v>2740</v>
      </c>
      <c r="C697" s="21">
        <f t="shared" si="20"/>
        <v>1.58956457120754</v>
      </c>
      <c r="D697" s="21">
        <f t="shared" si="21"/>
        <v>1.20082087364409</v>
      </c>
    </row>
    <row r="698" ht="14.4" spans="2:4">
      <c r="B698" s="20">
        <v>2744</v>
      </c>
      <c r="C698" s="21">
        <f t="shared" si="20"/>
        <v>1.59211137950553</v>
      </c>
      <c r="D698" s="21">
        <f t="shared" si="21"/>
        <v>1.20117302052786</v>
      </c>
    </row>
    <row r="699" ht="14.4" spans="2:4">
      <c r="B699" s="20">
        <v>2748</v>
      </c>
      <c r="C699" s="21">
        <f t="shared" si="20"/>
        <v>1.59465893477766</v>
      </c>
      <c r="D699" s="21">
        <f t="shared" si="21"/>
        <v>1.20152537400997</v>
      </c>
    </row>
    <row r="700" ht="14.4" spans="2:4">
      <c r="B700" s="20">
        <v>2752</v>
      </c>
      <c r="C700" s="21">
        <f t="shared" si="20"/>
        <v>1.59720723746224</v>
      </c>
      <c r="D700" s="21">
        <f t="shared" si="21"/>
        <v>1.2018779342723</v>
      </c>
    </row>
    <row r="701" ht="14.4" spans="2:4">
      <c r="B701" s="20">
        <v>2756</v>
      </c>
      <c r="C701" s="21">
        <f t="shared" si="20"/>
        <v>1.59975628799794</v>
      </c>
      <c r="D701" s="21">
        <f t="shared" si="21"/>
        <v>1.20223070149692</v>
      </c>
    </row>
    <row r="702" ht="14.4" spans="2:4">
      <c r="B702" s="20">
        <v>2760</v>
      </c>
      <c r="C702" s="21">
        <f t="shared" si="20"/>
        <v>1.60230608682384</v>
      </c>
      <c r="D702" s="21">
        <f t="shared" si="21"/>
        <v>1.20258367586612</v>
      </c>
    </row>
    <row r="703" ht="14.4" spans="2:4">
      <c r="B703" s="20">
        <v>2764</v>
      </c>
      <c r="C703" s="21">
        <f t="shared" si="20"/>
        <v>1.60485663437941</v>
      </c>
      <c r="D703" s="21">
        <f t="shared" si="21"/>
        <v>1.20293685756241</v>
      </c>
    </row>
    <row r="704" ht="14.4" spans="2:4">
      <c r="B704" s="20">
        <v>2768</v>
      </c>
      <c r="C704" s="21">
        <f t="shared" si="20"/>
        <v>1.60740793110448</v>
      </c>
      <c r="D704" s="21">
        <f t="shared" si="21"/>
        <v>1.20329024676851</v>
      </c>
    </row>
    <row r="705" ht="14.4" spans="2:4">
      <c r="B705" s="20">
        <v>2772</v>
      </c>
      <c r="C705" s="21">
        <f t="shared" si="20"/>
        <v>1.6099599774393</v>
      </c>
      <c r="D705" s="21">
        <f t="shared" si="21"/>
        <v>1.20364384366735</v>
      </c>
    </row>
    <row r="706" ht="14.4" spans="2:4">
      <c r="B706" s="20">
        <v>2776</v>
      </c>
      <c r="C706" s="21">
        <f t="shared" si="20"/>
        <v>1.61251277382448</v>
      </c>
      <c r="D706" s="21">
        <f t="shared" si="21"/>
        <v>1.20399764844209</v>
      </c>
    </row>
    <row r="707" ht="14.4" spans="2:4">
      <c r="B707" s="20">
        <v>2780</v>
      </c>
      <c r="C707" s="21">
        <f t="shared" si="20"/>
        <v>1.61506632070104</v>
      </c>
      <c r="D707" s="21">
        <f t="shared" si="21"/>
        <v>1.2043516612761</v>
      </c>
    </row>
    <row r="708" ht="14.4" spans="2:4">
      <c r="B708" s="20">
        <v>2784</v>
      </c>
      <c r="C708" s="21">
        <f t="shared" si="20"/>
        <v>1.61762061851038</v>
      </c>
      <c r="D708" s="21">
        <f t="shared" si="21"/>
        <v>1.20470588235294</v>
      </c>
    </row>
    <row r="709" ht="14.4" spans="2:4">
      <c r="B709" s="20">
        <v>2788</v>
      </c>
      <c r="C709" s="21">
        <f t="shared" si="20"/>
        <v>1.62017566769429</v>
      </c>
      <c r="D709" s="21">
        <f t="shared" si="21"/>
        <v>1.20506031185643</v>
      </c>
    </row>
    <row r="710" ht="14.4" spans="2:4">
      <c r="B710" s="20">
        <v>2792</v>
      </c>
      <c r="C710" s="21">
        <f t="shared" si="20"/>
        <v>1.62273146869495</v>
      </c>
      <c r="D710" s="21">
        <f t="shared" si="21"/>
        <v>1.20541494997057</v>
      </c>
    </row>
    <row r="711" ht="14.4" spans="2:4">
      <c r="B711" s="20">
        <v>2796</v>
      </c>
      <c r="C711" s="21">
        <f t="shared" si="20"/>
        <v>1.62528802195493</v>
      </c>
      <c r="D711" s="21">
        <f t="shared" si="21"/>
        <v>1.2057697968796</v>
      </c>
    </row>
    <row r="712" ht="14.4" spans="2:4">
      <c r="B712" s="20">
        <v>2800</v>
      </c>
      <c r="C712" s="21">
        <f t="shared" si="20"/>
        <v>1.62784532791719</v>
      </c>
      <c r="D712" s="21">
        <f t="shared" si="21"/>
        <v>1.20612485276796</v>
      </c>
    </row>
    <row r="713" ht="14.4" spans="2:4">
      <c r="B713" s="20">
        <v>2804</v>
      </c>
      <c r="C713" s="21">
        <f t="shared" si="20"/>
        <v>1.63040338702508</v>
      </c>
      <c r="D713" s="21">
        <f t="shared" si="21"/>
        <v>1.20648011782032</v>
      </c>
    </row>
    <row r="714" ht="14.4" spans="2:4">
      <c r="B714" s="20">
        <v>2808</v>
      </c>
      <c r="C714" s="21">
        <f t="shared" si="20"/>
        <v>1.63296219972235</v>
      </c>
      <c r="D714" s="21">
        <f t="shared" si="21"/>
        <v>1.20683559222157</v>
      </c>
    </row>
    <row r="715" ht="14.4" spans="2:4">
      <c r="B715" s="20">
        <v>2812</v>
      </c>
      <c r="C715" s="21">
        <f t="shared" si="20"/>
        <v>1.63552176645313</v>
      </c>
      <c r="D715" s="21">
        <f t="shared" si="21"/>
        <v>1.20719127615679</v>
      </c>
    </row>
    <row r="716" ht="14.4" spans="2:4">
      <c r="B716" s="20">
        <v>2816</v>
      </c>
      <c r="C716" s="21">
        <f t="shared" si="20"/>
        <v>1.63808208766196</v>
      </c>
      <c r="D716" s="21">
        <f t="shared" si="21"/>
        <v>1.20754716981132</v>
      </c>
    </row>
    <row r="717" ht="14.4" spans="2:4">
      <c r="B717" s="20">
        <v>2820</v>
      </c>
      <c r="C717" s="21">
        <f t="shared" ref="C717:C780" si="22">20*LOG(D717)</f>
        <v>1.64064316379376</v>
      </c>
      <c r="D717" s="21">
        <f t="shared" ref="D717:D780" si="23">16384/(16384-B717)</f>
        <v>1.20790327337069</v>
      </c>
    </row>
    <row r="718" ht="14.4" spans="2:4">
      <c r="B718" s="20">
        <v>2824</v>
      </c>
      <c r="C718" s="21">
        <f t="shared" si="22"/>
        <v>1.64320499529384</v>
      </c>
      <c r="D718" s="21">
        <f t="shared" si="23"/>
        <v>1.20825958702065</v>
      </c>
    </row>
    <row r="719" ht="14.4" spans="2:4">
      <c r="B719" s="20">
        <v>2828</v>
      </c>
      <c r="C719" s="21">
        <f t="shared" si="22"/>
        <v>1.64576758260792</v>
      </c>
      <c r="D719" s="21">
        <f t="shared" si="23"/>
        <v>1.20861611094718</v>
      </c>
    </row>
    <row r="720" ht="14.4" spans="2:4">
      <c r="B720" s="20">
        <v>2832</v>
      </c>
      <c r="C720" s="21">
        <f t="shared" si="22"/>
        <v>1.6483309261821</v>
      </c>
      <c r="D720" s="21">
        <f t="shared" si="23"/>
        <v>1.20897284533648</v>
      </c>
    </row>
    <row r="721" ht="14.4" spans="2:4">
      <c r="B721" s="20">
        <v>2836</v>
      </c>
      <c r="C721" s="21">
        <f t="shared" si="22"/>
        <v>1.65089502646288</v>
      </c>
      <c r="D721" s="21">
        <f t="shared" si="23"/>
        <v>1.20932979037496</v>
      </c>
    </row>
    <row r="722" ht="14.4" spans="2:4">
      <c r="B722" s="20">
        <v>2840</v>
      </c>
      <c r="C722" s="21">
        <f t="shared" si="22"/>
        <v>1.65345988389716</v>
      </c>
      <c r="D722" s="21">
        <f t="shared" si="23"/>
        <v>1.20968694624926</v>
      </c>
    </row>
    <row r="723" ht="14.4" spans="2:4">
      <c r="B723" s="20">
        <v>2844</v>
      </c>
      <c r="C723" s="21">
        <f t="shared" si="22"/>
        <v>1.65602549893222</v>
      </c>
      <c r="D723" s="21">
        <f t="shared" si="23"/>
        <v>1.21004431314623</v>
      </c>
    </row>
    <row r="724" ht="14.4" spans="2:4">
      <c r="B724" s="20">
        <v>2848</v>
      </c>
      <c r="C724" s="21">
        <f t="shared" si="22"/>
        <v>1.65859187201577</v>
      </c>
      <c r="D724" s="21">
        <f t="shared" si="23"/>
        <v>1.21040189125296</v>
      </c>
    </row>
    <row r="725" ht="14.4" spans="2:4">
      <c r="B725" s="20">
        <v>2852</v>
      </c>
      <c r="C725" s="21">
        <f t="shared" si="22"/>
        <v>1.66115900359588</v>
      </c>
      <c r="D725" s="21">
        <f t="shared" si="23"/>
        <v>1.21075968075672</v>
      </c>
    </row>
    <row r="726" ht="14.4" spans="2:4">
      <c r="B726" s="20">
        <v>2856</v>
      </c>
      <c r="C726" s="21">
        <f t="shared" si="22"/>
        <v>1.66372689412103</v>
      </c>
      <c r="D726" s="21">
        <f t="shared" si="23"/>
        <v>1.21111768184506</v>
      </c>
    </row>
    <row r="727" ht="14.4" spans="2:4">
      <c r="B727" s="20">
        <v>2860</v>
      </c>
      <c r="C727" s="21">
        <f t="shared" si="22"/>
        <v>1.66629554404011</v>
      </c>
      <c r="D727" s="21">
        <f t="shared" si="23"/>
        <v>1.21147589470571</v>
      </c>
    </row>
    <row r="728" ht="14.4" spans="2:4">
      <c r="B728" s="20">
        <v>2864</v>
      </c>
      <c r="C728" s="21">
        <f t="shared" si="22"/>
        <v>1.66886495380239</v>
      </c>
      <c r="D728" s="21">
        <f t="shared" si="23"/>
        <v>1.21183431952663</v>
      </c>
    </row>
    <row r="729" ht="14.4" spans="2:4">
      <c r="B729" s="20">
        <v>2868</v>
      </c>
      <c r="C729" s="21">
        <f t="shared" si="22"/>
        <v>1.67143512385756</v>
      </c>
      <c r="D729" s="21">
        <f t="shared" si="23"/>
        <v>1.212192956496</v>
      </c>
    </row>
    <row r="730" ht="14.4" spans="2:4">
      <c r="B730" s="20">
        <v>2872</v>
      </c>
      <c r="C730" s="21">
        <f t="shared" si="22"/>
        <v>1.67400605465569</v>
      </c>
      <c r="D730" s="21">
        <f t="shared" si="23"/>
        <v>1.21255180580225</v>
      </c>
    </row>
    <row r="731" ht="14.4" spans="2:4">
      <c r="B731" s="20">
        <v>2876</v>
      </c>
      <c r="C731" s="21">
        <f t="shared" si="22"/>
        <v>1.67657774664726</v>
      </c>
      <c r="D731" s="21">
        <f t="shared" si="23"/>
        <v>1.21291086763399</v>
      </c>
    </row>
    <row r="732" ht="14.4" spans="2:4">
      <c r="B732" s="20">
        <v>2880</v>
      </c>
      <c r="C732" s="21">
        <f t="shared" si="22"/>
        <v>1.67915020028314</v>
      </c>
      <c r="D732" s="21">
        <f t="shared" si="23"/>
        <v>1.21327014218009</v>
      </c>
    </row>
    <row r="733" ht="14.4" spans="2:4">
      <c r="B733" s="20">
        <v>2884</v>
      </c>
      <c r="C733" s="21">
        <f t="shared" si="22"/>
        <v>1.68172341601461</v>
      </c>
      <c r="D733" s="21">
        <f t="shared" si="23"/>
        <v>1.21362962962963</v>
      </c>
    </row>
    <row r="734" ht="14.4" spans="2:4">
      <c r="B734" s="20">
        <v>2888</v>
      </c>
      <c r="C734" s="21">
        <f t="shared" si="22"/>
        <v>1.68429739429336</v>
      </c>
      <c r="D734" s="21">
        <f t="shared" si="23"/>
        <v>1.2139893301719</v>
      </c>
    </row>
    <row r="735" ht="14.4" spans="2:4">
      <c r="B735" s="20">
        <v>2892</v>
      </c>
      <c r="C735" s="21">
        <f t="shared" si="22"/>
        <v>1.68687213557146</v>
      </c>
      <c r="D735" s="21">
        <f t="shared" si="23"/>
        <v>1.21434924399644</v>
      </c>
    </row>
    <row r="736" ht="14.4" spans="2:4">
      <c r="B736" s="20">
        <v>2896</v>
      </c>
      <c r="C736" s="21">
        <f t="shared" si="22"/>
        <v>1.68944764030139</v>
      </c>
      <c r="D736" s="21">
        <f t="shared" si="23"/>
        <v>1.214709371293</v>
      </c>
    </row>
    <row r="737" ht="14.4" spans="2:4">
      <c r="B737" s="20">
        <v>2900</v>
      </c>
      <c r="C737" s="21">
        <f t="shared" si="22"/>
        <v>1.69202390893605</v>
      </c>
      <c r="D737" s="21">
        <f t="shared" si="23"/>
        <v>1.21506971225156</v>
      </c>
    </row>
    <row r="738" ht="14.4" spans="2:4">
      <c r="B738" s="20">
        <v>2904</v>
      </c>
      <c r="C738" s="21">
        <f t="shared" si="22"/>
        <v>1.69460094192871</v>
      </c>
      <c r="D738" s="21">
        <f t="shared" si="23"/>
        <v>1.21543026706231</v>
      </c>
    </row>
    <row r="739" ht="14.4" spans="2:4">
      <c r="B739" s="20">
        <v>2908</v>
      </c>
      <c r="C739" s="21">
        <f t="shared" si="22"/>
        <v>1.69717873973308</v>
      </c>
      <c r="D739" s="21">
        <f t="shared" si="23"/>
        <v>1.2157910359157</v>
      </c>
    </row>
    <row r="740" ht="14.4" spans="2:4">
      <c r="B740" s="20">
        <v>2912</v>
      </c>
      <c r="C740" s="21">
        <f t="shared" si="22"/>
        <v>1.69975730280325</v>
      </c>
      <c r="D740" s="21">
        <f t="shared" si="23"/>
        <v>1.21615201900238</v>
      </c>
    </row>
    <row r="741" ht="14.4" spans="2:4">
      <c r="B741" s="20">
        <v>2916</v>
      </c>
      <c r="C741" s="21">
        <f t="shared" si="22"/>
        <v>1.70233663159371</v>
      </c>
      <c r="D741" s="21">
        <f t="shared" si="23"/>
        <v>1.21651321651322</v>
      </c>
    </row>
    <row r="742" ht="14.4" spans="2:4">
      <c r="B742" s="20">
        <v>2920</v>
      </c>
      <c r="C742" s="21">
        <f t="shared" si="22"/>
        <v>1.70491672655939</v>
      </c>
      <c r="D742" s="21">
        <f t="shared" si="23"/>
        <v>1.21687462863933</v>
      </c>
    </row>
    <row r="743" ht="14.4" spans="2:4">
      <c r="B743" s="20">
        <v>2924</v>
      </c>
      <c r="C743" s="21">
        <f t="shared" si="22"/>
        <v>1.70749758815557</v>
      </c>
      <c r="D743" s="21">
        <f t="shared" si="23"/>
        <v>1.21723625557207</v>
      </c>
    </row>
    <row r="744" ht="14.4" spans="2:4">
      <c r="B744" s="20">
        <v>2928</v>
      </c>
      <c r="C744" s="21">
        <f t="shared" si="22"/>
        <v>1.71007921683799</v>
      </c>
      <c r="D744" s="21">
        <f t="shared" si="23"/>
        <v>1.21759809750297</v>
      </c>
    </row>
    <row r="745" ht="14.4" spans="2:4">
      <c r="B745" s="20">
        <v>2932</v>
      </c>
      <c r="C745" s="21">
        <f t="shared" si="22"/>
        <v>1.71266161306277</v>
      </c>
      <c r="D745" s="21">
        <f t="shared" si="23"/>
        <v>1.21796015462385</v>
      </c>
    </row>
    <row r="746" ht="14.4" spans="2:4">
      <c r="B746" s="20">
        <v>2936</v>
      </c>
      <c r="C746" s="21">
        <f t="shared" si="22"/>
        <v>1.71524477728644</v>
      </c>
      <c r="D746" s="21">
        <f t="shared" si="23"/>
        <v>1.21832242712671</v>
      </c>
    </row>
    <row r="747" ht="14.4" spans="2:4">
      <c r="B747" s="20">
        <v>2940</v>
      </c>
      <c r="C747" s="21">
        <f t="shared" si="22"/>
        <v>1.71782870996594</v>
      </c>
      <c r="D747" s="21">
        <f t="shared" si="23"/>
        <v>1.21868491520381</v>
      </c>
    </row>
    <row r="748" ht="14.4" spans="2:4">
      <c r="B748" s="20">
        <v>2944</v>
      </c>
      <c r="C748" s="21">
        <f t="shared" si="22"/>
        <v>1.72041341155861</v>
      </c>
      <c r="D748" s="21">
        <f t="shared" si="23"/>
        <v>1.21904761904762</v>
      </c>
    </row>
    <row r="749" ht="14.4" spans="2:4">
      <c r="B749" s="20">
        <v>2948</v>
      </c>
      <c r="C749" s="21">
        <f t="shared" si="22"/>
        <v>1.7229988825222</v>
      </c>
      <c r="D749" s="21">
        <f t="shared" si="23"/>
        <v>1.21941053885085</v>
      </c>
    </row>
    <row r="750" ht="14.4" spans="2:4">
      <c r="B750" s="20">
        <v>2952</v>
      </c>
      <c r="C750" s="21">
        <f t="shared" si="22"/>
        <v>1.72558512331489</v>
      </c>
      <c r="D750" s="21">
        <f t="shared" si="23"/>
        <v>1.21977367480643</v>
      </c>
    </row>
    <row r="751" ht="14.4" spans="2:4">
      <c r="B751" s="20">
        <v>2956</v>
      </c>
      <c r="C751" s="21">
        <f t="shared" si="22"/>
        <v>1.72817213439524</v>
      </c>
      <c r="D751" s="21">
        <f t="shared" si="23"/>
        <v>1.22013702710754</v>
      </c>
    </row>
    <row r="752" ht="14.4" spans="2:4">
      <c r="B752" s="20">
        <v>2960</v>
      </c>
      <c r="C752" s="21">
        <f t="shared" si="22"/>
        <v>1.73075991622223</v>
      </c>
      <c r="D752" s="21">
        <f t="shared" si="23"/>
        <v>1.22050059594756</v>
      </c>
    </row>
    <row r="753" ht="14.4" spans="2:4">
      <c r="B753" s="20">
        <v>2964</v>
      </c>
      <c r="C753" s="21">
        <f t="shared" si="22"/>
        <v>1.73334846925527</v>
      </c>
      <c r="D753" s="21">
        <f t="shared" si="23"/>
        <v>1.22086438152012</v>
      </c>
    </row>
    <row r="754" ht="14.4" spans="2:4">
      <c r="B754" s="20">
        <v>2968</v>
      </c>
      <c r="C754" s="21">
        <f t="shared" si="22"/>
        <v>1.73593779395415</v>
      </c>
      <c r="D754" s="21">
        <f t="shared" si="23"/>
        <v>1.22122838401908</v>
      </c>
    </row>
    <row r="755" ht="14.4" spans="2:4">
      <c r="B755" s="20">
        <v>2972</v>
      </c>
      <c r="C755" s="21">
        <f t="shared" si="22"/>
        <v>1.73852789077909</v>
      </c>
      <c r="D755" s="21">
        <f t="shared" si="23"/>
        <v>1.22159260363853</v>
      </c>
    </row>
    <row r="756" ht="14.4" spans="2:4">
      <c r="B756" s="20">
        <v>2976</v>
      </c>
      <c r="C756" s="21">
        <f t="shared" si="22"/>
        <v>1.74111876019071</v>
      </c>
      <c r="D756" s="21">
        <f t="shared" si="23"/>
        <v>1.22195704057279</v>
      </c>
    </row>
    <row r="757" ht="14.4" spans="2:4">
      <c r="B757" s="20">
        <v>2980</v>
      </c>
      <c r="C757" s="21">
        <f t="shared" si="22"/>
        <v>1.74371040265006</v>
      </c>
      <c r="D757" s="21">
        <f t="shared" si="23"/>
        <v>1.22232169501641</v>
      </c>
    </row>
    <row r="758" ht="14.4" spans="2:4">
      <c r="B758" s="20">
        <v>2984</v>
      </c>
      <c r="C758" s="21">
        <f t="shared" si="22"/>
        <v>1.74630281861858</v>
      </c>
      <c r="D758" s="21">
        <f t="shared" si="23"/>
        <v>1.22268656716418</v>
      </c>
    </row>
    <row r="759" ht="14.4" spans="2:4">
      <c r="B759" s="20">
        <v>2988</v>
      </c>
      <c r="C759" s="21">
        <f t="shared" si="22"/>
        <v>1.74889600855815</v>
      </c>
      <c r="D759" s="21">
        <f t="shared" si="23"/>
        <v>1.22305165721111</v>
      </c>
    </row>
    <row r="760" ht="14.4" spans="2:4">
      <c r="B760" s="20">
        <v>2992</v>
      </c>
      <c r="C760" s="21">
        <f t="shared" si="22"/>
        <v>1.75148997293104</v>
      </c>
      <c r="D760" s="21">
        <f t="shared" si="23"/>
        <v>1.22341696535245</v>
      </c>
    </row>
    <row r="761" ht="14.4" spans="2:4">
      <c r="B761" s="20">
        <v>2996</v>
      </c>
      <c r="C761" s="21">
        <f t="shared" si="22"/>
        <v>1.75408471219994</v>
      </c>
      <c r="D761" s="21">
        <f t="shared" si="23"/>
        <v>1.22378249178369</v>
      </c>
    </row>
    <row r="762" ht="14.4" spans="2:4">
      <c r="B762" s="20">
        <v>3000</v>
      </c>
      <c r="C762" s="21">
        <f t="shared" si="22"/>
        <v>1.75668022682797</v>
      </c>
      <c r="D762" s="21">
        <f t="shared" si="23"/>
        <v>1.22414823670054</v>
      </c>
    </row>
    <row r="763" ht="14.4" spans="2:4">
      <c r="B763" s="20">
        <v>3004</v>
      </c>
      <c r="C763" s="21">
        <f t="shared" si="22"/>
        <v>1.75927651727865</v>
      </c>
      <c r="D763" s="21">
        <f t="shared" si="23"/>
        <v>1.22451420029895</v>
      </c>
    </row>
    <row r="764" ht="14.4" spans="2:4">
      <c r="B764" s="20">
        <v>3008</v>
      </c>
      <c r="C764" s="21">
        <f t="shared" si="22"/>
        <v>1.76187358401591</v>
      </c>
      <c r="D764" s="21">
        <f t="shared" si="23"/>
        <v>1.22488038277512</v>
      </c>
    </row>
    <row r="765" ht="14.4" spans="2:4">
      <c r="B765" s="20">
        <v>3012</v>
      </c>
      <c r="C765" s="21">
        <f t="shared" si="22"/>
        <v>1.76447142750412</v>
      </c>
      <c r="D765" s="21">
        <f t="shared" si="23"/>
        <v>1.22524678432546</v>
      </c>
    </row>
    <row r="766" ht="14.4" spans="2:4">
      <c r="B766" s="20">
        <v>3016</v>
      </c>
      <c r="C766" s="21">
        <f t="shared" si="22"/>
        <v>1.76707004820804</v>
      </c>
      <c r="D766" s="21">
        <f t="shared" si="23"/>
        <v>1.22561340514662</v>
      </c>
    </row>
    <row r="767" ht="14.4" spans="2:4">
      <c r="B767" s="20">
        <v>3020</v>
      </c>
      <c r="C767" s="21">
        <f t="shared" si="22"/>
        <v>1.76966944659286</v>
      </c>
      <c r="D767" s="21">
        <f t="shared" si="23"/>
        <v>1.2259802454355</v>
      </c>
    </row>
    <row r="768" ht="14.4" spans="2:4">
      <c r="B768" s="20">
        <v>3024</v>
      </c>
      <c r="C768" s="21">
        <f t="shared" si="22"/>
        <v>1.7722696231242</v>
      </c>
      <c r="D768" s="21">
        <f t="shared" si="23"/>
        <v>1.22634730538922</v>
      </c>
    </row>
    <row r="769" ht="14.4" spans="2:4">
      <c r="B769" s="20">
        <v>3028</v>
      </c>
      <c r="C769" s="21">
        <f t="shared" si="22"/>
        <v>1.77487057826807</v>
      </c>
      <c r="D769" s="21">
        <f t="shared" si="23"/>
        <v>1.22671458520515</v>
      </c>
    </row>
    <row r="770" ht="14.4" spans="2:4">
      <c r="B770" s="20">
        <v>3032</v>
      </c>
      <c r="C770" s="21">
        <f t="shared" si="22"/>
        <v>1.77747231249093</v>
      </c>
      <c r="D770" s="21">
        <f t="shared" si="23"/>
        <v>1.22708208508089</v>
      </c>
    </row>
    <row r="771" ht="14.4" spans="2:4">
      <c r="B771" s="20">
        <v>3036</v>
      </c>
      <c r="C771" s="21">
        <f t="shared" si="22"/>
        <v>1.78007482625963</v>
      </c>
      <c r="D771" s="21">
        <f t="shared" si="23"/>
        <v>1.22744980521426</v>
      </c>
    </row>
    <row r="772" ht="14.4" spans="2:4">
      <c r="B772" s="20">
        <v>3040</v>
      </c>
      <c r="C772" s="21">
        <f t="shared" si="22"/>
        <v>1.78267812004146</v>
      </c>
      <c r="D772" s="21">
        <f t="shared" si="23"/>
        <v>1.22781774580336</v>
      </c>
    </row>
    <row r="773" ht="14.4" spans="2:4">
      <c r="B773" s="20">
        <v>3044</v>
      </c>
      <c r="C773" s="21">
        <f t="shared" si="22"/>
        <v>1.78528219430413</v>
      </c>
      <c r="D773" s="21">
        <f t="shared" si="23"/>
        <v>1.22818590704648</v>
      </c>
    </row>
    <row r="774" ht="14.4" spans="2:4">
      <c r="B774" s="20">
        <v>3048</v>
      </c>
      <c r="C774" s="21">
        <f t="shared" si="22"/>
        <v>1.78788704951576</v>
      </c>
      <c r="D774" s="21">
        <f t="shared" si="23"/>
        <v>1.22855428914217</v>
      </c>
    </row>
    <row r="775" ht="14.4" spans="2:4">
      <c r="B775" s="20">
        <v>3052</v>
      </c>
      <c r="C775" s="21">
        <f t="shared" si="22"/>
        <v>1.79049268614489</v>
      </c>
      <c r="D775" s="21">
        <f t="shared" si="23"/>
        <v>1.22892289228923</v>
      </c>
    </row>
    <row r="776" ht="14.4" spans="2:4">
      <c r="B776" s="20">
        <v>3056</v>
      </c>
      <c r="C776" s="21">
        <f t="shared" si="22"/>
        <v>1.79309910466049</v>
      </c>
      <c r="D776" s="21">
        <f t="shared" si="23"/>
        <v>1.22929171668667</v>
      </c>
    </row>
    <row r="777" ht="14.4" spans="2:4">
      <c r="B777" s="20">
        <v>3060</v>
      </c>
      <c r="C777" s="21">
        <f t="shared" si="22"/>
        <v>1.79570630553195</v>
      </c>
      <c r="D777" s="21">
        <f t="shared" si="23"/>
        <v>1.22966076253377</v>
      </c>
    </row>
    <row r="778" ht="14.4" spans="2:4">
      <c r="B778" s="20">
        <v>3064</v>
      </c>
      <c r="C778" s="21">
        <f t="shared" si="22"/>
        <v>1.79831428922909</v>
      </c>
      <c r="D778" s="21">
        <f t="shared" si="23"/>
        <v>1.23003003003003</v>
      </c>
    </row>
    <row r="779" ht="14.4" spans="2:4">
      <c r="B779" s="20">
        <v>3068</v>
      </c>
      <c r="C779" s="21">
        <f t="shared" si="22"/>
        <v>1.80092305622214</v>
      </c>
      <c r="D779" s="21">
        <f t="shared" si="23"/>
        <v>1.23039951937519</v>
      </c>
    </row>
    <row r="780" ht="14.4" spans="2:4">
      <c r="B780" s="20">
        <v>3072</v>
      </c>
      <c r="C780" s="21">
        <f t="shared" si="22"/>
        <v>1.80353260698176</v>
      </c>
      <c r="D780" s="21">
        <f t="shared" si="23"/>
        <v>1.23076923076923</v>
      </c>
    </row>
    <row r="781" ht="14.4" spans="2:4">
      <c r="B781" s="20">
        <v>3076</v>
      </c>
      <c r="C781" s="21">
        <f t="shared" ref="C781:C844" si="24">20*LOG(D781)</f>
        <v>1.80614294197904</v>
      </c>
      <c r="D781" s="21">
        <f t="shared" ref="D781:D844" si="25">16384/(16384-B781)</f>
        <v>1.23113916441238</v>
      </c>
    </row>
    <row r="782" ht="14.4" spans="2:4">
      <c r="B782" s="20">
        <v>3080</v>
      </c>
      <c r="C782" s="21">
        <f t="shared" si="24"/>
        <v>1.80875406168548</v>
      </c>
      <c r="D782" s="21">
        <f t="shared" si="25"/>
        <v>1.23150932050511</v>
      </c>
    </row>
    <row r="783" ht="14.4" spans="2:4">
      <c r="B783" s="20">
        <v>3084</v>
      </c>
      <c r="C783" s="21">
        <f t="shared" si="24"/>
        <v>1.81136596657302</v>
      </c>
      <c r="D783" s="21">
        <f t="shared" si="25"/>
        <v>1.23187969924812</v>
      </c>
    </row>
    <row r="784" ht="14.4" spans="2:4">
      <c r="B784" s="20">
        <v>3088</v>
      </c>
      <c r="C784" s="21">
        <f t="shared" si="24"/>
        <v>1.81397865711402</v>
      </c>
      <c r="D784" s="21">
        <f t="shared" si="25"/>
        <v>1.23225030084236</v>
      </c>
    </row>
    <row r="785" ht="14.4" spans="2:4">
      <c r="B785" s="20">
        <v>3092</v>
      </c>
      <c r="C785" s="21">
        <f t="shared" si="24"/>
        <v>1.81659213378127</v>
      </c>
      <c r="D785" s="21">
        <f t="shared" si="25"/>
        <v>1.23262112548902</v>
      </c>
    </row>
    <row r="786" ht="14.4" spans="2:4">
      <c r="B786" s="20">
        <v>3096</v>
      </c>
      <c r="C786" s="21">
        <f t="shared" si="24"/>
        <v>1.81920639704797</v>
      </c>
      <c r="D786" s="21">
        <f t="shared" si="25"/>
        <v>1.23299217338952</v>
      </c>
    </row>
    <row r="787" ht="14.4" spans="2:4">
      <c r="B787" s="20">
        <v>3100</v>
      </c>
      <c r="C787" s="21">
        <f t="shared" si="24"/>
        <v>1.82182144738778</v>
      </c>
      <c r="D787" s="21">
        <f t="shared" si="25"/>
        <v>1.23336344474556</v>
      </c>
    </row>
    <row r="788" ht="14.4" spans="2:4">
      <c r="B788" s="20">
        <v>3104</v>
      </c>
      <c r="C788" s="21">
        <f t="shared" si="24"/>
        <v>1.82443728527476</v>
      </c>
      <c r="D788" s="21">
        <f t="shared" si="25"/>
        <v>1.23373493975904</v>
      </c>
    </row>
    <row r="789" ht="14.4" spans="2:4">
      <c r="B789" s="20">
        <v>3108</v>
      </c>
      <c r="C789" s="21">
        <f t="shared" si="24"/>
        <v>1.82705391118341</v>
      </c>
      <c r="D789" s="21">
        <f t="shared" si="25"/>
        <v>1.23410665863212</v>
      </c>
    </row>
    <row r="790" ht="14.4" spans="2:4">
      <c r="B790" s="20">
        <v>3112</v>
      </c>
      <c r="C790" s="21">
        <f t="shared" si="24"/>
        <v>1.82967132558865</v>
      </c>
      <c r="D790" s="21">
        <f t="shared" si="25"/>
        <v>1.23447860156721</v>
      </c>
    </row>
    <row r="791" ht="14.4" spans="2:4">
      <c r="B791" s="20">
        <v>3116</v>
      </c>
      <c r="C791" s="21">
        <f t="shared" si="24"/>
        <v>1.83228952896584</v>
      </c>
      <c r="D791" s="21">
        <f t="shared" si="25"/>
        <v>1.23485076876696</v>
      </c>
    </row>
    <row r="792" ht="14.4" spans="2:4">
      <c r="B792" s="20">
        <v>3120</v>
      </c>
      <c r="C792" s="21">
        <f t="shared" si="24"/>
        <v>1.83490852179077</v>
      </c>
      <c r="D792" s="21">
        <f t="shared" si="25"/>
        <v>1.23522316043426</v>
      </c>
    </row>
    <row r="793" ht="14.4" spans="2:4">
      <c r="B793" s="20">
        <v>3124</v>
      </c>
      <c r="C793" s="21">
        <f t="shared" si="24"/>
        <v>1.83752830453965</v>
      </c>
      <c r="D793" s="21">
        <f t="shared" si="25"/>
        <v>1.23559577677225</v>
      </c>
    </row>
    <row r="794" ht="14.4" spans="2:4">
      <c r="B794" s="20">
        <v>3128</v>
      </c>
      <c r="C794" s="21">
        <f t="shared" si="24"/>
        <v>1.84014887768913</v>
      </c>
      <c r="D794" s="21">
        <f t="shared" si="25"/>
        <v>1.23596861798431</v>
      </c>
    </row>
    <row r="795" ht="14.4" spans="2:4">
      <c r="B795" s="20">
        <v>3132</v>
      </c>
      <c r="C795" s="21">
        <f t="shared" si="24"/>
        <v>1.84277024171629</v>
      </c>
      <c r="D795" s="21">
        <f t="shared" si="25"/>
        <v>1.23634168427407</v>
      </c>
    </row>
    <row r="796" ht="14.4" spans="2:4">
      <c r="B796" s="20">
        <v>3136</v>
      </c>
      <c r="C796" s="21">
        <f t="shared" si="24"/>
        <v>1.84539239709864</v>
      </c>
      <c r="D796" s="21">
        <f t="shared" si="25"/>
        <v>1.23671497584541</v>
      </c>
    </row>
    <row r="797" ht="14.4" spans="2:4">
      <c r="B797" s="20">
        <v>3140</v>
      </c>
      <c r="C797" s="21">
        <f t="shared" si="24"/>
        <v>1.84801534431412</v>
      </c>
      <c r="D797" s="21">
        <f t="shared" si="25"/>
        <v>1.23708849290245</v>
      </c>
    </row>
    <row r="798" ht="14.4" spans="2:4">
      <c r="B798" s="20">
        <v>3144</v>
      </c>
      <c r="C798" s="21">
        <f t="shared" si="24"/>
        <v>1.85063908384111</v>
      </c>
      <c r="D798" s="21">
        <f t="shared" si="25"/>
        <v>1.23746223564955</v>
      </c>
    </row>
    <row r="799" ht="14.4" spans="2:4">
      <c r="B799" s="20">
        <v>3148</v>
      </c>
      <c r="C799" s="21">
        <f t="shared" si="24"/>
        <v>1.85326361615843</v>
      </c>
      <c r="D799" s="21">
        <f t="shared" si="25"/>
        <v>1.23783620429133</v>
      </c>
    </row>
    <row r="800" ht="14.4" spans="2:4">
      <c r="B800" s="20">
        <v>3152</v>
      </c>
      <c r="C800" s="21">
        <f t="shared" si="24"/>
        <v>1.85588894174531</v>
      </c>
      <c r="D800" s="21">
        <f t="shared" si="25"/>
        <v>1.23821039903265</v>
      </c>
    </row>
    <row r="801" ht="14.4" spans="2:4">
      <c r="B801" s="20">
        <v>3156</v>
      </c>
      <c r="C801" s="21">
        <f t="shared" si="24"/>
        <v>1.85851506108143</v>
      </c>
      <c r="D801" s="21">
        <f t="shared" si="25"/>
        <v>1.23858482007862</v>
      </c>
    </row>
    <row r="802" ht="14.4" spans="2:4">
      <c r="B802" s="20">
        <v>3160</v>
      </c>
      <c r="C802" s="21">
        <f t="shared" si="24"/>
        <v>1.86114197464691</v>
      </c>
      <c r="D802" s="21">
        <f t="shared" si="25"/>
        <v>1.2389594676346</v>
      </c>
    </row>
    <row r="803" ht="14.4" spans="2:4">
      <c r="B803" s="20">
        <v>3164</v>
      </c>
      <c r="C803" s="21">
        <f t="shared" si="24"/>
        <v>1.86376968292231</v>
      </c>
      <c r="D803" s="21">
        <f t="shared" si="25"/>
        <v>1.2393343419062</v>
      </c>
    </row>
    <row r="804" ht="14.4" spans="2:4">
      <c r="B804" s="20">
        <v>3168</v>
      </c>
      <c r="C804" s="21">
        <f t="shared" si="24"/>
        <v>1.8663981863886</v>
      </c>
      <c r="D804" s="21">
        <f t="shared" si="25"/>
        <v>1.23970944309927</v>
      </c>
    </row>
    <row r="805" ht="14.4" spans="2:4">
      <c r="B805" s="20">
        <v>3172</v>
      </c>
      <c r="C805" s="21">
        <f t="shared" si="24"/>
        <v>1.8690274855272</v>
      </c>
      <c r="D805" s="21">
        <f t="shared" si="25"/>
        <v>1.24008477141992</v>
      </c>
    </row>
    <row r="806" ht="14.4" spans="2:4">
      <c r="B806" s="20">
        <v>3176</v>
      </c>
      <c r="C806" s="21">
        <f t="shared" si="24"/>
        <v>1.87165758081999</v>
      </c>
      <c r="D806" s="21">
        <f t="shared" si="25"/>
        <v>1.2404603270745</v>
      </c>
    </row>
    <row r="807" ht="14.4" spans="2:4">
      <c r="B807" s="20">
        <v>3180</v>
      </c>
      <c r="C807" s="21">
        <f t="shared" si="24"/>
        <v>1.87428847274926</v>
      </c>
      <c r="D807" s="21">
        <f t="shared" si="25"/>
        <v>1.24083611026962</v>
      </c>
    </row>
    <row r="808" ht="14.4" spans="2:4">
      <c r="B808" s="20">
        <v>3184</v>
      </c>
      <c r="C808" s="21">
        <f t="shared" si="24"/>
        <v>1.87692016179774</v>
      </c>
      <c r="D808" s="21">
        <f t="shared" si="25"/>
        <v>1.24121212121212</v>
      </c>
    </row>
    <row r="809" ht="14.4" spans="2:4">
      <c r="B809" s="20">
        <v>3188</v>
      </c>
      <c r="C809" s="21">
        <f t="shared" si="24"/>
        <v>1.87955264844861</v>
      </c>
      <c r="D809" s="21">
        <f t="shared" si="25"/>
        <v>1.24158836010912</v>
      </c>
    </row>
    <row r="810" ht="14.4" spans="2:4">
      <c r="B810" s="20">
        <v>3192</v>
      </c>
      <c r="C810" s="21">
        <f t="shared" si="24"/>
        <v>1.88218593318549</v>
      </c>
      <c r="D810" s="21">
        <f t="shared" si="25"/>
        <v>1.24196482716798</v>
      </c>
    </row>
    <row r="811" ht="14.4" spans="2:4">
      <c r="B811" s="20">
        <v>3196</v>
      </c>
      <c r="C811" s="21">
        <f t="shared" si="24"/>
        <v>1.88482001649243</v>
      </c>
      <c r="D811" s="21">
        <f t="shared" si="25"/>
        <v>1.2423415225963</v>
      </c>
    </row>
    <row r="812" ht="14.4" spans="2:4">
      <c r="B812" s="20">
        <v>3200</v>
      </c>
      <c r="C812" s="21">
        <f t="shared" si="24"/>
        <v>1.88745489885392</v>
      </c>
      <c r="D812" s="21">
        <f t="shared" si="25"/>
        <v>1.24271844660194</v>
      </c>
    </row>
    <row r="813" ht="14.4" spans="2:4">
      <c r="B813" s="20">
        <v>3204</v>
      </c>
      <c r="C813" s="21">
        <f t="shared" si="24"/>
        <v>1.89009058075491</v>
      </c>
      <c r="D813" s="21">
        <f t="shared" si="25"/>
        <v>1.24309559939302</v>
      </c>
    </row>
    <row r="814" ht="14.4" spans="2:4">
      <c r="B814" s="20">
        <v>3208</v>
      </c>
      <c r="C814" s="21">
        <f t="shared" si="24"/>
        <v>1.89272706268078</v>
      </c>
      <c r="D814" s="21">
        <f t="shared" si="25"/>
        <v>1.2434729811779</v>
      </c>
    </row>
    <row r="815" ht="14.4" spans="2:4">
      <c r="B815" s="20">
        <v>3212</v>
      </c>
      <c r="C815" s="21">
        <f t="shared" si="24"/>
        <v>1.89536434511733</v>
      </c>
      <c r="D815" s="21">
        <f t="shared" si="25"/>
        <v>1.2438505921652</v>
      </c>
    </row>
    <row r="816" ht="14.4" spans="2:4">
      <c r="B816" s="20">
        <v>3216</v>
      </c>
      <c r="C816" s="21">
        <f t="shared" si="24"/>
        <v>1.89800242855084</v>
      </c>
      <c r="D816" s="21">
        <f t="shared" si="25"/>
        <v>1.24422843256379</v>
      </c>
    </row>
    <row r="817" ht="14.4" spans="2:4">
      <c r="B817" s="20">
        <v>3220</v>
      </c>
      <c r="C817" s="21">
        <f t="shared" si="24"/>
        <v>1.90064131346801</v>
      </c>
      <c r="D817" s="21">
        <f t="shared" si="25"/>
        <v>1.2446065025828</v>
      </c>
    </row>
    <row r="818" ht="14.4" spans="2:4">
      <c r="B818" s="20">
        <v>3224</v>
      </c>
      <c r="C818" s="21">
        <f t="shared" si="24"/>
        <v>1.903281000356</v>
      </c>
      <c r="D818" s="21">
        <f t="shared" si="25"/>
        <v>1.24498480243161</v>
      </c>
    </row>
    <row r="819" ht="14.4" spans="2:4">
      <c r="B819" s="20">
        <v>3228</v>
      </c>
      <c r="C819" s="21">
        <f t="shared" si="24"/>
        <v>1.90592148970239</v>
      </c>
      <c r="D819" s="21">
        <f t="shared" si="25"/>
        <v>1.24536333231985</v>
      </c>
    </row>
    <row r="820" ht="14.4" spans="2:4">
      <c r="B820" s="20">
        <v>3232</v>
      </c>
      <c r="C820" s="21">
        <f t="shared" si="24"/>
        <v>1.90856278199523</v>
      </c>
      <c r="D820" s="21">
        <f t="shared" si="25"/>
        <v>1.24574209245742</v>
      </c>
    </row>
    <row r="821" ht="14.4" spans="2:4">
      <c r="B821" s="20">
        <v>3236</v>
      </c>
      <c r="C821" s="21">
        <f t="shared" si="24"/>
        <v>1.911204877723</v>
      </c>
      <c r="D821" s="21">
        <f t="shared" si="25"/>
        <v>1.24612108305446</v>
      </c>
    </row>
    <row r="822" ht="14.4" spans="2:4">
      <c r="B822" s="20">
        <v>3240</v>
      </c>
      <c r="C822" s="21">
        <f t="shared" si="24"/>
        <v>1.91384777737463</v>
      </c>
      <c r="D822" s="21">
        <f t="shared" si="25"/>
        <v>1.24650030432136</v>
      </c>
    </row>
    <row r="823" ht="14.4" spans="2:4">
      <c r="B823" s="20">
        <v>3244</v>
      </c>
      <c r="C823" s="21">
        <f t="shared" si="24"/>
        <v>1.9164914814395</v>
      </c>
      <c r="D823" s="21">
        <f t="shared" si="25"/>
        <v>1.2468797564688</v>
      </c>
    </row>
    <row r="824" ht="14.4" spans="2:4">
      <c r="B824" s="20">
        <v>3248</v>
      </c>
      <c r="C824" s="21">
        <f t="shared" si="24"/>
        <v>1.91913599040742</v>
      </c>
      <c r="D824" s="21">
        <f t="shared" si="25"/>
        <v>1.24725943970767</v>
      </c>
    </row>
    <row r="825" ht="14.4" spans="2:4">
      <c r="B825" s="20">
        <v>3252</v>
      </c>
      <c r="C825" s="21">
        <f t="shared" si="24"/>
        <v>1.92178130476869</v>
      </c>
      <c r="D825" s="21">
        <f t="shared" si="25"/>
        <v>1.24763935424916</v>
      </c>
    </row>
    <row r="826" ht="14.4" spans="2:4">
      <c r="B826" s="20">
        <v>3256</v>
      </c>
      <c r="C826" s="21">
        <f t="shared" si="24"/>
        <v>1.924427425014</v>
      </c>
      <c r="D826" s="21">
        <f t="shared" si="25"/>
        <v>1.24801950030469</v>
      </c>
    </row>
    <row r="827" ht="14.4" spans="2:4">
      <c r="B827" s="20">
        <v>3260</v>
      </c>
      <c r="C827" s="21">
        <f t="shared" si="24"/>
        <v>1.92707435163453</v>
      </c>
      <c r="D827" s="21">
        <f t="shared" si="25"/>
        <v>1.24839987808595</v>
      </c>
    </row>
    <row r="828" ht="14.4" spans="2:4">
      <c r="B828" s="20">
        <v>3264</v>
      </c>
      <c r="C828" s="21">
        <f t="shared" si="24"/>
        <v>1.92972208512191</v>
      </c>
      <c r="D828" s="21">
        <f t="shared" si="25"/>
        <v>1.24878048780488</v>
      </c>
    </row>
    <row r="829" ht="14.4" spans="2:4">
      <c r="B829" s="20">
        <v>3268</v>
      </c>
      <c r="C829" s="21">
        <f t="shared" si="24"/>
        <v>1.93237062596818</v>
      </c>
      <c r="D829" s="21">
        <f t="shared" si="25"/>
        <v>1.24916132967368</v>
      </c>
    </row>
    <row r="830" ht="14.4" spans="2:4">
      <c r="B830" s="20">
        <v>3272</v>
      </c>
      <c r="C830" s="21">
        <f t="shared" si="24"/>
        <v>1.93501997466588</v>
      </c>
      <c r="D830" s="21">
        <f t="shared" si="25"/>
        <v>1.24954240390482</v>
      </c>
    </row>
    <row r="831" ht="14.4" spans="2:4">
      <c r="B831" s="20">
        <v>3276</v>
      </c>
      <c r="C831" s="21">
        <f t="shared" si="24"/>
        <v>1.93767013170797</v>
      </c>
      <c r="D831" s="21">
        <f t="shared" si="25"/>
        <v>1.24992371071102</v>
      </c>
    </row>
    <row r="832" ht="14.4" spans="2:4">
      <c r="B832" s="20">
        <v>3280</v>
      </c>
      <c r="C832" s="21">
        <f t="shared" si="24"/>
        <v>1.94032109758787</v>
      </c>
      <c r="D832" s="21">
        <f t="shared" si="25"/>
        <v>1.25030525030525</v>
      </c>
    </row>
    <row r="833" ht="14.4" spans="2:4">
      <c r="B833" s="20">
        <v>3284</v>
      </c>
      <c r="C833" s="21">
        <f t="shared" si="24"/>
        <v>1.94297287279945</v>
      </c>
      <c r="D833" s="21">
        <f t="shared" si="25"/>
        <v>1.25068702290076</v>
      </c>
    </row>
    <row r="834" ht="14.4" spans="2:4">
      <c r="B834" s="20">
        <v>3288</v>
      </c>
      <c r="C834" s="21">
        <f t="shared" si="24"/>
        <v>1.94562545783703</v>
      </c>
      <c r="D834" s="21">
        <f t="shared" si="25"/>
        <v>1.25106902871106</v>
      </c>
    </row>
    <row r="835" ht="14.4" spans="2:4">
      <c r="B835" s="20">
        <v>3292</v>
      </c>
      <c r="C835" s="21">
        <f t="shared" si="24"/>
        <v>1.9482788531954</v>
      </c>
      <c r="D835" s="21">
        <f t="shared" si="25"/>
        <v>1.25145126794989</v>
      </c>
    </row>
    <row r="836" ht="14.4" spans="2:4">
      <c r="B836" s="20">
        <v>3296</v>
      </c>
      <c r="C836" s="21">
        <f t="shared" si="24"/>
        <v>1.95093305936978</v>
      </c>
      <c r="D836" s="21">
        <f t="shared" si="25"/>
        <v>1.2518337408313</v>
      </c>
    </row>
    <row r="837" ht="14.4" spans="2:4">
      <c r="B837" s="20">
        <v>3300</v>
      </c>
      <c r="C837" s="21">
        <f t="shared" si="24"/>
        <v>1.95358807685585</v>
      </c>
      <c r="D837" s="21">
        <f t="shared" si="25"/>
        <v>1.25221644756955</v>
      </c>
    </row>
    <row r="838" ht="14.4" spans="2:4">
      <c r="B838" s="20">
        <v>3304</v>
      </c>
      <c r="C838" s="21">
        <f t="shared" si="24"/>
        <v>1.95624390614976</v>
      </c>
      <c r="D838" s="21">
        <f t="shared" si="25"/>
        <v>1.2525993883792</v>
      </c>
    </row>
    <row r="839" ht="14.4" spans="2:4">
      <c r="B839" s="20">
        <v>3308</v>
      </c>
      <c r="C839" s="21">
        <f t="shared" si="24"/>
        <v>1.95890054774811</v>
      </c>
      <c r="D839" s="21">
        <f t="shared" si="25"/>
        <v>1.25298256347507</v>
      </c>
    </row>
    <row r="840" ht="14.4" spans="2:4">
      <c r="B840" s="20">
        <v>3312</v>
      </c>
      <c r="C840" s="21">
        <f t="shared" si="24"/>
        <v>1.96155800214793</v>
      </c>
      <c r="D840" s="21">
        <f t="shared" si="25"/>
        <v>1.25336597307222</v>
      </c>
    </row>
    <row r="841" ht="14.4" spans="2:4">
      <c r="B841" s="20">
        <v>3316</v>
      </c>
      <c r="C841" s="21">
        <f t="shared" si="24"/>
        <v>1.96421626984674</v>
      </c>
      <c r="D841" s="21">
        <f t="shared" si="25"/>
        <v>1.25374961738598</v>
      </c>
    </row>
    <row r="842" ht="14.4" spans="2:4">
      <c r="B842" s="20">
        <v>3320</v>
      </c>
      <c r="C842" s="21">
        <f t="shared" si="24"/>
        <v>1.9668753513425</v>
      </c>
      <c r="D842" s="21">
        <f t="shared" si="25"/>
        <v>1.25413349663197</v>
      </c>
    </row>
    <row r="843" ht="14.4" spans="2:4">
      <c r="B843" s="20">
        <v>3324</v>
      </c>
      <c r="C843" s="21">
        <f t="shared" si="24"/>
        <v>1.96953524713363</v>
      </c>
      <c r="D843" s="21">
        <f t="shared" si="25"/>
        <v>1.25451761102603</v>
      </c>
    </row>
    <row r="844" ht="14.4" spans="2:4">
      <c r="B844" s="20">
        <v>3328</v>
      </c>
      <c r="C844" s="21">
        <f t="shared" si="24"/>
        <v>1.97219595771902</v>
      </c>
      <c r="D844" s="21">
        <f t="shared" si="25"/>
        <v>1.25490196078431</v>
      </c>
    </row>
    <row r="845" ht="14.4" spans="2:4">
      <c r="B845" s="20">
        <v>3332</v>
      </c>
      <c r="C845" s="21">
        <f t="shared" ref="C845:C908" si="26">20*LOG(D845)</f>
        <v>1.97485748359799</v>
      </c>
      <c r="D845" s="21">
        <f t="shared" ref="D845:D908" si="27">16384/(16384-B845)</f>
        <v>1.2552865461232</v>
      </c>
    </row>
    <row r="846" ht="14.4" spans="2:4">
      <c r="B846" s="20">
        <v>3336</v>
      </c>
      <c r="C846" s="21">
        <f t="shared" si="26"/>
        <v>1.97751982527035</v>
      </c>
      <c r="D846" s="21">
        <f t="shared" si="27"/>
        <v>1.25567136725935</v>
      </c>
    </row>
    <row r="847" ht="14.4" spans="2:4">
      <c r="B847" s="20">
        <v>3340</v>
      </c>
      <c r="C847" s="21">
        <f t="shared" si="26"/>
        <v>1.98018298323635</v>
      </c>
      <c r="D847" s="21">
        <f t="shared" si="27"/>
        <v>1.25605642440969</v>
      </c>
    </row>
    <row r="848" ht="14.4" spans="2:4">
      <c r="B848" s="20">
        <v>3344</v>
      </c>
      <c r="C848" s="21">
        <f t="shared" si="26"/>
        <v>1.98284695799671</v>
      </c>
      <c r="D848" s="21">
        <f t="shared" si="27"/>
        <v>1.25644171779141</v>
      </c>
    </row>
    <row r="849" ht="14.4" spans="2:4">
      <c r="B849" s="20">
        <v>3348</v>
      </c>
      <c r="C849" s="21">
        <f t="shared" si="26"/>
        <v>1.9855117500526</v>
      </c>
      <c r="D849" s="21">
        <f t="shared" si="27"/>
        <v>1.25682724762197</v>
      </c>
    </row>
    <row r="850" ht="14.4" spans="2:4">
      <c r="B850" s="20">
        <v>3352</v>
      </c>
      <c r="C850" s="21">
        <f t="shared" si="26"/>
        <v>1.98817735990567</v>
      </c>
      <c r="D850" s="21">
        <f t="shared" si="27"/>
        <v>1.25721301411909</v>
      </c>
    </row>
    <row r="851" ht="14.4" spans="2:4">
      <c r="B851" s="20">
        <v>3356</v>
      </c>
      <c r="C851" s="21">
        <f t="shared" si="26"/>
        <v>1.99084378805802</v>
      </c>
      <c r="D851" s="21">
        <f t="shared" si="27"/>
        <v>1.25759901750077</v>
      </c>
    </row>
    <row r="852" ht="14.4" spans="2:4">
      <c r="B852" s="20">
        <v>3360</v>
      </c>
      <c r="C852" s="21">
        <f t="shared" si="26"/>
        <v>1.99351103501221</v>
      </c>
      <c r="D852" s="21">
        <f t="shared" si="27"/>
        <v>1.25798525798526</v>
      </c>
    </row>
    <row r="853" ht="14.4" spans="2:4">
      <c r="B853" s="20">
        <v>3364</v>
      </c>
      <c r="C853" s="21">
        <f t="shared" si="26"/>
        <v>1.99617910127127</v>
      </c>
      <c r="D853" s="21">
        <f t="shared" si="27"/>
        <v>1.25837173579109</v>
      </c>
    </row>
    <row r="854" ht="14.4" spans="2:4">
      <c r="B854" s="20">
        <v>3368</v>
      </c>
      <c r="C854" s="21">
        <f t="shared" si="26"/>
        <v>1.99884798733869</v>
      </c>
      <c r="D854" s="21">
        <f t="shared" si="27"/>
        <v>1.25875845113706</v>
      </c>
    </row>
    <row r="855" ht="14.4" spans="2:4">
      <c r="B855" s="20">
        <v>3372</v>
      </c>
      <c r="C855" s="21">
        <f t="shared" si="26"/>
        <v>2.00151769371841</v>
      </c>
      <c r="D855" s="21">
        <f t="shared" si="27"/>
        <v>1.25914540424224</v>
      </c>
    </row>
    <row r="856" ht="14.4" spans="2:4">
      <c r="B856" s="20">
        <v>3376</v>
      </c>
      <c r="C856" s="21">
        <f t="shared" si="26"/>
        <v>2.00418822091488</v>
      </c>
      <c r="D856" s="21">
        <f t="shared" si="27"/>
        <v>1.25953259532595</v>
      </c>
    </row>
    <row r="857" ht="14.4" spans="2:4">
      <c r="B857" s="20">
        <v>3380</v>
      </c>
      <c r="C857" s="21">
        <f t="shared" si="26"/>
        <v>2.00685956943295</v>
      </c>
      <c r="D857" s="21">
        <f t="shared" si="27"/>
        <v>1.25992002460781</v>
      </c>
    </row>
    <row r="858" ht="14.4" spans="2:4">
      <c r="B858" s="20">
        <v>3384</v>
      </c>
      <c r="C858" s="21">
        <f t="shared" si="26"/>
        <v>2.009531739778</v>
      </c>
      <c r="D858" s="21">
        <f t="shared" si="27"/>
        <v>1.26030769230769</v>
      </c>
    </row>
    <row r="859" ht="14.4" spans="2:4">
      <c r="B859" s="20">
        <v>3388</v>
      </c>
      <c r="C859" s="21">
        <f t="shared" si="26"/>
        <v>2.01220473245583</v>
      </c>
      <c r="D859" s="21">
        <f t="shared" si="27"/>
        <v>1.26069559864574</v>
      </c>
    </row>
    <row r="860" ht="14.4" spans="2:4">
      <c r="B860" s="20">
        <v>3392</v>
      </c>
      <c r="C860" s="21">
        <f t="shared" si="26"/>
        <v>2.01487854797273</v>
      </c>
      <c r="D860" s="21">
        <f t="shared" si="27"/>
        <v>1.26108374384236</v>
      </c>
    </row>
    <row r="861" ht="14.4" spans="2:4">
      <c r="B861" s="20">
        <v>3396</v>
      </c>
      <c r="C861" s="21">
        <f t="shared" si="26"/>
        <v>2.01755318683546</v>
      </c>
      <c r="D861" s="21">
        <f t="shared" si="27"/>
        <v>1.26147212811826</v>
      </c>
    </row>
    <row r="862" ht="14.4" spans="2:4">
      <c r="B862" s="20">
        <v>3400</v>
      </c>
      <c r="C862" s="21">
        <f t="shared" si="26"/>
        <v>2.02022864955123</v>
      </c>
      <c r="D862" s="21">
        <f t="shared" si="27"/>
        <v>1.26186075169439</v>
      </c>
    </row>
    <row r="863" ht="14.4" spans="2:4">
      <c r="B863" s="20">
        <v>3404</v>
      </c>
      <c r="C863" s="21">
        <f t="shared" si="26"/>
        <v>2.02290493662773</v>
      </c>
      <c r="D863" s="21">
        <f t="shared" si="27"/>
        <v>1.26224961479199</v>
      </c>
    </row>
    <row r="864" ht="14.4" spans="2:4">
      <c r="B864" s="20">
        <v>3408</v>
      </c>
      <c r="C864" s="21">
        <f t="shared" si="26"/>
        <v>2.02558204857312</v>
      </c>
      <c r="D864" s="21">
        <f t="shared" si="27"/>
        <v>1.26263871763255</v>
      </c>
    </row>
    <row r="865" ht="14.4" spans="2:4">
      <c r="B865" s="20">
        <v>3412</v>
      </c>
      <c r="C865" s="21">
        <f t="shared" si="26"/>
        <v>2.02825998589603</v>
      </c>
      <c r="D865" s="21">
        <f t="shared" si="27"/>
        <v>1.26302806043787</v>
      </c>
    </row>
    <row r="866" ht="14.4" spans="2:4">
      <c r="B866" s="20">
        <v>3416</v>
      </c>
      <c r="C866" s="21">
        <f t="shared" si="26"/>
        <v>2.03093874910556</v>
      </c>
      <c r="D866" s="21">
        <f t="shared" si="27"/>
        <v>1.26341764342998</v>
      </c>
    </row>
    <row r="867" ht="14.4" spans="2:4">
      <c r="B867" s="20">
        <v>3420</v>
      </c>
      <c r="C867" s="21">
        <f t="shared" si="26"/>
        <v>2.03361833871129</v>
      </c>
      <c r="D867" s="21">
        <f t="shared" si="27"/>
        <v>1.26380746683122</v>
      </c>
    </row>
    <row r="868" ht="14.4" spans="2:4">
      <c r="B868" s="20">
        <v>3424</v>
      </c>
      <c r="C868" s="21">
        <f t="shared" si="26"/>
        <v>2.03629875522324</v>
      </c>
      <c r="D868" s="21">
        <f t="shared" si="27"/>
        <v>1.2641975308642</v>
      </c>
    </row>
    <row r="869" ht="14.4" spans="2:4">
      <c r="B869" s="20">
        <v>3428</v>
      </c>
      <c r="C869" s="21">
        <f t="shared" si="26"/>
        <v>2.03897999915195</v>
      </c>
      <c r="D869" s="21">
        <f t="shared" si="27"/>
        <v>1.26458783575178</v>
      </c>
    </row>
    <row r="870" ht="14.4" spans="2:4">
      <c r="B870" s="20">
        <v>3432</v>
      </c>
      <c r="C870" s="21">
        <f t="shared" si="26"/>
        <v>2.04166207100839</v>
      </c>
      <c r="D870" s="21">
        <f t="shared" si="27"/>
        <v>1.26497838171711</v>
      </c>
    </row>
    <row r="871" ht="14.4" spans="2:4">
      <c r="B871" s="20">
        <v>3436</v>
      </c>
      <c r="C871" s="21">
        <f t="shared" si="26"/>
        <v>2.04434497130402</v>
      </c>
      <c r="D871" s="21">
        <f t="shared" si="27"/>
        <v>1.26536916898363</v>
      </c>
    </row>
    <row r="872" ht="14.4" spans="2:4">
      <c r="B872" s="20">
        <v>3440</v>
      </c>
      <c r="C872" s="21">
        <f t="shared" si="26"/>
        <v>2.04702870055079</v>
      </c>
      <c r="D872" s="21">
        <f t="shared" si="27"/>
        <v>1.26576019777503</v>
      </c>
    </row>
    <row r="873" ht="14.4" spans="2:4">
      <c r="B873" s="20">
        <v>3444</v>
      </c>
      <c r="C873" s="21">
        <f t="shared" si="26"/>
        <v>2.0497132592611</v>
      </c>
      <c r="D873" s="21">
        <f t="shared" si="27"/>
        <v>1.2661514683153</v>
      </c>
    </row>
    <row r="874" ht="14.4" spans="2:4">
      <c r="B874" s="20">
        <v>3448</v>
      </c>
      <c r="C874" s="21">
        <f t="shared" si="26"/>
        <v>2.05239864794784</v>
      </c>
      <c r="D874" s="21">
        <f t="shared" si="27"/>
        <v>1.2665429808287</v>
      </c>
    </row>
    <row r="875" ht="14.4" spans="2:4">
      <c r="B875" s="20">
        <v>3452</v>
      </c>
      <c r="C875" s="21">
        <f t="shared" si="26"/>
        <v>2.05508486712437</v>
      </c>
      <c r="D875" s="21">
        <f t="shared" si="27"/>
        <v>1.26693473553975</v>
      </c>
    </row>
    <row r="876" ht="14.4" spans="2:4">
      <c r="B876" s="20">
        <v>3456</v>
      </c>
      <c r="C876" s="21">
        <f t="shared" si="26"/>
        <v>2.05777191730452</v>
      </c>
      <c r="D876" s="21">
        <f t="shared" si="27"/>
        <v>1.26732673267327</v>
      </c>
    </row>
    <row r="877" ht="14.4" spans="2:4">
      <c r="B877" s="20">
        <v>3460</v>
      </c>
      <c r="C877" s="21">
        <f t="shared" si="26"/>
        <v>2.06045979900261</v>
      </c>
      <c r="D877" s="21">
        <f t="shared" si="27"/>
        <v>1.26771897245435</v>
      </c>
    </row>
    <row r="878" ht="14.4" spans="2:4">
      <c r="B878" s="20">
        <v>3464</v>
      </c>
      <c r="C878" s="21">
        <f t="shared" si="26"/>
        <v>2.06314851273343</v>
      </c>
      <c r="D878" s="21">
        <f t="shared" si="27"/>
        <v>1.26811145510836</v>
      </c>
    </row>
    <row r="879" ht="14.4" spans="2:4">
      <c r="B879" s="20">
        <v>3468</v>
      </c>
      <c r="C879" s="21">
        <f t="shared" si="26"/>
        <v>2.06583805901225</v>
      </c>
      <c r="D879" s="21">
        <f t="shared" si="27"/>
        <v>1.26850418086095</v>
      </c>
    </row>
    <row r="880" ht="14.4" spans="2:4">
      <c r="B880" s="20">
        <v>3472</v>
      </c>
      <c r="C880" s="21">
        <f t="shared" si="26"/>
        <v>2.06852843835483</v>
      </c>
      <c r="D880" s="21">
        <f t="shared" si="27"/>
        <v>1.26889714993804</v>
      </c>
    </row>
    <row r="881" ht="14.4" spans="2:4">
      <c r="B881" s="20">
        <v>3476</v>
      </c>
      <c r="C881" s="21">
        <f t="shared" si="26"/>
        <v>2.07121965127739</v>
      </c>
      <c r="D881" s="21">
        <f t="shared" si="27"/>
        <v>1.26929036256585</v>
      </c>
    </row>
    <row r="882" ht="14.4" spans="2:4">
      <c r="B882" s="20">
        <v>3480</v>
      </c>
      <c r="C882" s="21">
        <f t="shared" si="26"/>
        <v>2.07391169829663</v>
      </c>
      <c r="D882" s="21">
        <f t="shared" si="27"/>
        <v>1.26968381897086</v>
      </c>
    </row>
    <row r="883" ht="14.4" spans="2:4">
      <c r="B883" s="20">
        <v>3484</v>
      </c>
      <c r="C883" s="21">
        <f t="shared" si="26"/>
        <v>2.07660457992976</v>
      </c>
      <c r="D883" s="21">
        <f t="shared" si="27"/>
        <v>1.27007751937985</v>
      </c>
    </row>
    <row r="884" ht="14.4" spans="2:4">
      <c r="B884" s="20">
        <v>3488</v>
      </c>
      <c r="C884" s="21">
        <f t="shared" si="26"/>
        <v>2.07929829669443</v>
      </c>
      <c r="D884" s="21">
        <f t="shared" si="27"/>
        <v>1.27047146401985</v>
      </c>
    </row>
    <row r="885" ht="14.4" spans="2:4">
      <c r="B885" s="20">
        <v>3492</v>
      </c>
      <c r="C885" s="21">
        <f t="shared" si="26"/>
        <v>2.0819928491088</v>
      </c>
      <c r="D885" s="21">
        <f t="shared" si="27"/>
        <v>1.27086565311821</v>
      </c>
    </row>
    <row r="886" ht="14.4" spans="2:4">
      <c r="B886" s="20">
        <v>3496</v>
      </c>
      <c r="C886" s="21">
        <f t="shared" si="26"/>
        <v>2.0846882376915</v>
      </c>
      <c r="D886" s="21">
        <f t="shared" si="27"/>
        <v>1.27126008690254</v>
      </c>
    </row>
    <row r="887" ht="14.4" spans="2:4">
      <c r="B887" s="20">
        <v>3500</v>
      </c>
      <c r="C887" s="21">
        <f t="shared" si="26"/>
        <v>2.08738446296166</v>
      </c>
      <c r="D887" s="21">
        <f t="shared" si="27"/>
        <v>1.27165476560075</v>
      </c>
    </row>
    <row r="888" ht="14.4" spans="2:4">
      <c r="B888" s="20">
        <v>3504</v>
      </c>
      <c r="C888" s="21">
        <f t="shared" si="26"/>
        <v>2.09008152543887</v>
      </c>
      <c r="D888" s="21">
        <f t="shared" si="27"/>
        <v>1.27204968944099</v>
      </c>
    </row>
    <row r="889" ht="14.4" spans="2:4">
      <c r="B889" s="20">
        <v>3508</v>
      </c>
      <c r="C889" s="21">
        <f t="shared" si="26"/>
        <v>2.09277942564322</v>
      </c>
      <c r="D889" s="21">
        <f t="shared" si="27"/>
        <v>1.27244485865176</v>
      </c>
    </row>
    <row r="890" ht="14.4" spans="2:4">
      <c r="B890" s="20">
        <v>3512</v>
      </c>
      <c r="C890" s="21">
        <f t="shared" si="26"/>
        <v>2.09547816409527</v>
      </c>
      <c r="D890" s="21">
        <f t="shared" si="27"/>
        <v>1.27284027346178</v>
      </c>
    </row>
    <row r="891" ht="14.4" spans="2:4">
      <c r="B891" s="20">
        <v>3516</v>
      </c>
      <c r="C891" s="21">
        <f t="shared" si="26"/>
        <v>2.09817774131609</v>
      </c>
      <c r="D891" s="21">
        <f t="shared" si="27"/>
        <v>1.27323593410009</v>
      </c>
    </row>
    <row r="892" ht="14.4" spans="2:4">
      <c r="B892" s="20">
        <v>3520</v>
      </c>
      <c r="C892" s="21">
        <f t="shared" si="26"/>
        <v>2.10087815782721</v>
      </c>
      <c r="D892" s="21">
        <f t="shared" si="27"/>
        <v>1.27363184079602</v>
      </c>
    </row>
    <row r="893" ht="14.4" spans="2:4">
      <c r="B893" s="20">
        <v>3524</v>
      </c>
      <c r="C893" s="21">
        <f t="shared" si="26"/>
        <v>2.10357941415067</v>
      </c>
      <c r="D893" s="21">
        <f t="shared" si="27"/>
        <v>1.27402799377916</v>
      </c>
    </row>
    <row r="894" ht="14.4" spans="2:4">
      <c r="B894" s="20">
        <v>3528</v>
      </c>
      <c r="C894" s="21">
        <f t="shared" si="26"/>
        <v>2.10628151080897</v>
      </c>
      <c r="D894" s="21">
        <f t="shared" si="27"/>
        <v>1.2744243932794</v>
      </c>
    </row>
    <row r="895" ht="14.4" spans="2:4">
      <c r="B895" s="20">
        <v>3532</v>
      </c>
      <c r="C895" s="21">
        <f t="shared" si="26"/>
        <v>2.10898444832513</v>
      </c>
      <c r="D895" s="21">
        <f t="shared" si="27"/>
        <v>1.27482103952692</v>
      </c>
    </row>
    <row r="896" ht="14.4" spans="2:4">
      <c r="B896" s="20">
        <v>3536</v>
      </c>
      <c r="C896" s="21">
        <f t="shared" si="26"/>
        <v>2.11168822722262</v>
      </c>
      <c r="D896" s="21">
        <f t="shared" si="27"/>
        <v>1.27521793275218</v>
      </c>
    </row>
    <row r="897" ht="14.4" spans="2:4">
      <c r="B897" s="20">
        <v>3540</v>
      </c>
      <c r="C897" s="21">
        <f t="shared" si="26"/>
        <v>2.11439284802544</v>
      </c>
      <c r="D897" s="21">
        <f t="shared" si="27"/>
        <v>1.27561507318592</v>
      </c>
    </row>
    <row r="898" ht="14.4" spans="2:4">
      <c r="B898" s="20">
        <v>3544</v>
      </c>
      <c r="C898" s="21">
        <f t="shared" si="26"/>
        <v>2.11709831125805</v>
      </c>
      <c r="D898" s="21">
        <f t="shared" si="27"/>
        <v>1.27601246105919</v>
      </c>
    </row>
    <row r="899" ht="14.4" spans="2:4">
      <c r="B899" s="20">
        <v>3548</v>
      </c>
      <c r="C899" s="21">
        <f t="shared" si="26"/>
        <v>2.11980461744541</v>
      </c>
      <c r="D899" s="21">
        <f t="shared" si="27"/>
        <v>1.2764100966033</v>
      </c>
    </row>
    <row r="900" ht="14.4" spans="2:4">
      <c r="B900" s="20">
        <v>3552</v>
      </c>
      <c r="C900" s="21">
        <f t="shared" si="26"/>
        <v>2.12251176711297</v>
      </c>
      <c r="D900" s="21">
        <f t="shared" si="27"/>
        <v>1.27680798004988</v>
      </c>
    </row>
    <row r="901" ht="14.4" spans="2:4">
      <c r="B901" s="20">
        <v>3556</v>
      </c>
      <c r="C901" s="21">
        <f t="shared" si="26"/>
        <v>2.12521976078668</v>
      </c>
      <c r="D901" s="21">
        <f t="shared" si="27"/>
        <v>1.27720611163081</v>
      </c>
    </row>
    <row r="902" ht="14.4" spans="2:4">
      <c r="B902" s="20">
        <v>3560</v>
      </c>
      <c r="C902" s="21">
        <f t="shared" si="26"/>
        <v>2.12792859899297</v>
      </c>
      <c r="D902" s="21">
        <f t="shared" si="27"/>
        <v>1.27760449157829</v>
      </c>
    </row>
    <row r="903" ht="14.4" spans="2:4">
      <c r="B903" s="20">
        <v>3564</v>
      </c>
      <c r="C903" s="21">
        <f t="shared" si="26"/>
        <v>2.13063828225876</v>
      </c>
      <c r="D903" s="21">
        <f t="shared" si="27"/>
        <v>1.2780031201248</v>
      </c>
    </row>
    <row r="904" ht="14.4" spans="2:4">
      <c r="B904" s="20">
        <v>3568</v>
      </c>
      <c r="C904" s="21">
        <f t="shared" si="26"/>
        <v>2.13334881111149</v>
      </c>
      <c r="D904" s="21">
        <f t="shared" si="27"/>
        <v>1.27840199750312</v>
      </c>
    </row>
    <row r="905" ht="14.4" spans="2:4">
      <c r="B905" s="20">
        <v>3572</v>
      </c>
      <c r="C905" s="21">
        <f t="shared" si="26"/>
        <v>2.13606018607905</v>
      </c>
      <c r="D905" s="21">
        <f t="shared" si="27"/>
        <v>1.2788011239463</v>
      </c>
    </row>
    <row r="906" ht="14.4" spans="2:4">
      <c r="B906" s="20">
        <v>3576</v>
      </c>
      <c r="C906" s="21">
        <f t="shared" si="26"/>
        <v>2.13877240768987</v>
      </c>
      <c r="D906" s="21">
        <f t="shared" si="27"/>
        <v>1.2792004996877</v>
      </c>
    </row>
    <row r="907" ht="14.4" spans="2:4">
      <c r="B907" s="20">
        <v>3580</v>
      </c>
      <c r="C907" s="21">
        <f t="shared" si="26"/>
        <v>2.14148547647284</v>
      </c>
      <c r="D907" s="21">
        <f t="shared" si="27"/>
        <v>1.27960012496095</v>
      </c>
    </row>
    <row r="908" ht="14.4" spans="2:4">
      <c r="B908" s="20">
        <v>3584</v>
      </c>
      <c r="C908" s="21">
        <f t="shared" si="26"/>
        <v>2.14419939295737</v>
      </c>
      <c r="D908" s="21">
        <f t="shared" si="27"/>
        <v>1.28</v>
      </c>
    </row>
    <row r="909" ht="14.4" spans="2:4">
      <c r="B909" s="20">
        <v>3588</v>
      </c>
      <c r="C909" s="21">
        <f t="shared" ref="C909:C972" si="28">20*LOG(D909)</f>
        <v>2.14691415767335</v>
      </c>
      <c r="D909" s="21">
        <f t="shared" ref="D909:D972" si="29">16384/(16384-B909)</f>
        <v>1.28040012503907</v>
      </c>
    </row>
    <row r="910" ht="14.4" spans="2:4">
      <c r="B910" s="20">
        <v>3592</v>
      </c>
      <c r="C910" s="21">
        <f t="shared" si="28"/>
        <v>2.14962977115117</v>
      </c>
      <c r="D910" s="21">
        <f t="shared" si="29"/>
        <v>1.2808005003127</v>
      </c>
    </row>
    <row r="911" ht="14.4" spans="2:4">
      <c r="B911" s="20">
        <v>3596</v>
      </c>
      <c r="C911" s="21">
        <f t="shared" si="28"/>
        <v>2.15234623392173</v>
      </c>
      <c r="D911" s="21">
        <f t="shared" si="29"/>
        <v>1.28120112605568</v>
      </c>
    </row>
    <row r="912" ht="14.4" spans="2:4">
      <c r="B912" s="20">
        <v>3600</v>
      </c>
      <c r="C912" s="21">
        <f t="shared" si="28"/>
        <v>2.15506354651641</v>
      </c>
      <c r="D912" s="21">
        <f t="shared" si="29"/>
        <v>1.28160200250313</v>
      </c>
    </row>
    <row r="913" ht="14.4" spans="2:4">
      <c r="B913" s="20">
        <v>3604</v>
      </c>
      <c r="C913" s="21">
        <f t="shared" si="28"/>
        <v>2.15778170946711</v>
      </c>
      <c r="D913" s="21">
        <f t="shared" si="29"/>
        <v>1.28200312989045</v>
      </c>
    </row>
    <row r="914" ht="14.4" spans="2:4">
      <c r="B914" s="20">
        <v>3608</v>
      </c>
      <c r="C914" s="21">
        <f t="shared" si="28"/>
        <v>2.1605007233062</v>
      </c>
      <c r="D914" s="21">
        <f t="shared" si="29"/>
        <v>1.28240450845335</v>
      </c>
    </row>
    <row r="915" ht="14.4" spans="2:4">
      <c r="B915" s="20">
        <v>3612</v>
      </c>
      <c r="C915" s="21">
        <f t="shared" si="28"/>
        <v>2.16322058856659</v>
      </c>
      <c r="D915" s="21">
        <f t="shared" si="29"/>
        <v>1.28280613842781</v>
      </c>
    </row>
    <row r="916" ht="14.4" spans="2:4">
      <c r="B916" s="20">
        <v>3616</v>
      </c>
      <c r="C916" s="21">
        <f t="shared" si="28"/>
        <v>2.16594130578165</v>
      </c>
      <c r="D916" s="21">
        <f t="shared" si="29"/>
        <v>1.28320802005013</v>
      </c>
    </row>
    <row r="917" ht="14.4" spans="2:4">
      <c r="B917" s="20">
        <v>3620</v>
      </c>
      <c r="C917" s="21">
        <f t="shared" si="28"/>
        <v>2.16866287548528</v>
      </c>
      <c r="D917" s="21">
        <f t="shared" si="29"/>
        <v>1.28361015355688</v>
      </c>
    </row>
    <row r="918" ht="14.4" spans="2:4">
      <c r="B918" s="20">
        <v>3624</v>
      </c>
      <c r="C918" s="21">
        <f t="shared" si="28"/>
        <v>2.17138529821186</v>
      </c>
      <c r="D918" s="21">
        <f t="shared" si="29"/>
        <v>1.28401253918495</v>
      </c>
    </row>
    <row r="919" ht="14.4" spans="2:4">
      <c r="B919" s="20">
        <v>3628</v>
      </c>
      <c r="C919" s="21">
        <f t="shared" si="28"/>
        <v>2.1741085744963</v>
      </c>
      <c r="D919" s="21">
        <f t="shared" si="29"/>
        <v>1.28441517717153</v>
      </c>
    </row>
    <row r="920" ht="14.4" spans="2:4">
      <c r="B920" s="20">
        <v>3632</v>
      </c>
      <c r="C920" s="21">
        <f t="shared" si="28"/>
        <v>2.17683270487399</v>
      </c>
      <c r="D920" s="21">
        <f t="shared" si="29"/>
        <v>1.28481806775408</v>
      </c>
    </row>
    <row r="921" ht="14.4" spans="2:4">
      <c r="B921" s="20">
        <v>3636</v>
      </c>
      <c r="C921" s="21">
        <f t="shared" si="28"/>
        <v>2.17955768988083</v>
      </c>
      <c r="D921" s="21">
        <f t="shared" si="29"/>
        <v>1.28522121117038</v>
      </c>
    </row>
    <row r="922" ht="14.4" spans="2:4">
      <c r="B922" s="20">
        <v>3640</v>
      </c>
      <c r="C922" s="21">
        <f t="shared" si="28"/>
        <v>2.18228353005323</v>
      </c>
      <c r="D922" s="21">
        <f t="shared" si="29"/>
        <v>1.28562460765851</v>
      </c>
    </row>
    <row r="923" ht="14.4" spans="2:4">
      <c r="B923" s="20">
        <v>3644</v>
      </c>
      <c r="C923" s="21">
        <f t="shared" si="28"/>
        <v>2.1850102259281</v>
      </c>
      <c r="D923" s="21">
        <f t="shared" si="29"/>
        <v>1.28602825745683</v>
      </c>
    </row>
    <row r="924" ht="14.4" spans="2:4">
      <c r="B924" s="20">
        <v>3648</v>
      </c>
      <c r="C924" s="21">
        <f t="shared" si="28"/>
        <v>2.18773777804286</v>
      </c>
      <c r="D924" s="21">
        <f t="shared" si="29"/>
        <v>1.28643216080402</v>
      </c>
    </row>
    <row r="925" ht="14.4" spans="2:4">
      <c r="B925" s="20">
        <v>3652</v>
      </c>
      <c r="C925" s="21">
        <f t="shared" si="28"/>
        <v>2.19046618693542</v>
      </c>
      <c r="D925" s="21">
        <f t="shared" si="29"/>
        <v>1.28683631793905</v>
      </c>
    </row>
    <row r="926" ht="14.4" spans="2:4">
      <c r="B926" s="20">
        <v>3656</v>
      </c>
      <c r="C926" s="21">
        <f t="shared" si="28"/>
        <v>2.19319545314423</v>
      </c>
      <c r="D926" s="21">
        <f t="shared" si="29"/>
        <v>1.28724072910119</v>
      </c>
    </row>
    <row r="927" ht="14.4" spans="2:4">
      <c r="B927" s="20">
        <v>3660</v>
      </c>
      <c r="C927" s="21">
        <f t="shared" si="28"/>
        <v>2.19592557720822</v>
      </c>
      <c r="D927" s="21">
        <f t="shared" si="29"/>
        <v>1.28764539453002</v>
      </c>
    </row>
    <row r="928" ht="14.4" spans="2:4">
      <c r="B928" s="20">
        <v>3664</v>
      </c>
      <c r="C928" s="21">
        <f t="shared" si="28"/>
        <v>2.19865655966683</v>
      </c>
      <c r="D928" s="21">
        <f t="shared" si="29"/>
        <v>1.28805031446541</v>
      </c>
    </row>
    <row r="929" ht="14.4" spans="2:4">
      <c r="B929" s="20">
        <v>3668</v>
      </c>
      <c r="C929" s="21">
        <f t="shared" si="28"/>
        <v>2.20138840106003</v>
      </c>
      <c r="D929" s="21">
        <f t="shared" si="29"/>
        <v>1.28845548914753</v>
      </c>
    </row>
    <row r="930" ht="14.4" spans="2:4">
      <c r="B930" s="20">
        <v>3672</v>
      </c>
      <c r="C930" s="21">
        <f t="shared" si="28"/>
        <v>2.20412110192827</v>
      </c>
      <c r="D930" s="21">
        <f t="shared" si="29"/>
        <v>1.28886091881687</v>
      </c>
    </row>
    <row r="931" ht="14.4" spans="2:4">
      <c r="B931" s="20">
        <v>3676</v>
      </c>
      <c r="C931" s="21">
        <f t="shared" si="28"/>
        <v>2.20685466281254</v>
      </c>
      <c r="D931" s="21">
        <f t="shared" si="29"/>
        <v>1.2892666037142</v>
      </c>
    </row>
    <row r="932" ht="14.4" spans="2:4">
      <c r="B932" s="20">
        <v>3680</v>
      </c>
      <c r="C932" s="21">
        <f t="shared" si="28"/>
        <v>2.20958908425431</v>
      </c>
      <c r="D932" s="21">
        <f t="shared" si="29"/>
        <v>1.2896725440806</v>
      </c>
    </row>
    <row r="933" ht="14.4" spans="2:4">
      <c r="B933" s="20">
        <v>3684</v>
      </c>
      <c r="C933" s="21">
        <f t="shared" si="28"/>
        <v>2.2123243667956</v>
      </c>
      <c r="D933" s="21">
        <f t="shared" si="29"/>
        <v>1.29007874015748</v>
      </c>
    </row>
    <row r="934" ht="14.4" spans="2:4">
      <c r="B934" s="20">
        <v>3688</v>
      </c>
      <c r="C934" s="21">
        <f t="shared" si="28"/>
        <v>2.2150605109789</v>
      </c>
      <c r="D934" s="21">
        <f t="shared" si="29"/>
        <v>1.29048519218652</v>
      </c>
    </row>
    <row r="935" ht="14.4" spans="2:4">
      <c r="B935" s="20">
        <v>3692</v>
      </c>
      <c r="C935" s="21">
        <f t="shared" si="28"/>
        <v>2.21779751734724</v>
      </c>
      <c r="D935" s="21">
        <f t="shared" si="29"/>
        <v>1.29089190040971</v>
      </c>
    </row>
    <row r="936" ht="14.4" spans="2:4">
      <c r="B936" s="20">
        <v>3696</v>
      </c>
      <c r="C936" s="21">
        <f t="shared" si="28"/>
        <v>2.22053538644416</v>
      </c>
      <c r="D936" s="21">
        <f t="shared" si="29"/>
        <v>1.29129886506936</v>
      </c>
    </row>
    <row r="937" ht="14.4" spans="2:4">
      <c r="B937" s="20">
        <v>3700</v>
      </c>
      <c r="C937" s="21">
        <f t="shared" si="28"/>
        <v>2.22327411881371</v>
      </c>
      <c r="D937" s="21">
        <f t="shared" si="29"/>
        <v>1.29170608640807</v>
      </c>
    </row>
    <row r="938" ht="14.4" spans="2:4">
      <c r="B938" s="20">
        <v>3704</v>
      </c>
      <c r="C938" s="21">
        <f t="shared" si="28"/>
        <v>2.22601371500046</v>
      </c>
      <c r="D938" s="21">
        <f t="shared" si="29"/>
        <v>1.29211356466877</v>
      </c>
    </row>
    <row r="939" ht="14.4" spans="2:4">
      <c r="B939" s="20">
        <v>3708</v>
      </c>
      <c r="C939" s="21">
        <f t="shared" si="28"/>
        <v>2.22875417554948</v>
      </c>
      <c r="D939" s="21">
        <f t="shared" si="29"/>
        <v>1.29252130009467</v>
      </c>
    </row>
    <row r="940" ht="14.4" spans="2:4">
      <c r="B940" s="20">
        <v>3712</v>
      </c>
      <c r="C940" s="21">
        <f t="shared" si="28"/>
        <v>2.23149550100637</v>
      </c>
      <c r="D940" s="21">
        <f t="shared" si="29"/>
        <v>1.29292929292929</v>
      </c>
    </row>
    <row r="941" ht="14.4" spans="2:4">
      <c r="B941" s="20">
        <v>3716</v>
      </c>
      <c r="C941" s="21">
        <f t="shared" si="28"/>
        <v>2.23423769191725</v>
      </c>
      <c r="D941" s="21">
        <f t="shared" si="29"/>
        <v>1.29333754341648</v>
      </c>
    </row>
    <row r="942" ht="14.4" spans="2:4">
      <c r="B942" s="20">
        <v>3720</v>
      </c>
      <c r="C942" s="21">
        <f t="shared" si="28"/>
        <v>2.23698074882874</v>
      </c>
      <c r="D942" s="21">
        <f t="shared" si="29"/>
        <v>1.29374605180038</v>
      </c>
    </row>
    <row r="943" ht="14.4" spans="2:4">
      <c r="B943" s="20">
        <v>3724</v>
      </c>
      <c r="C943" s="21">
        <f t="shared" si="28"/>
        <v>2.23972467228801</v>
      </c>
      <c r="D943" s="21">
        <f t="shared" si="29"/>
        <v>1.29415481832543</v>
      </c>
    </row>
    <row r="944" ht="14.4" spans="2:4">
      <c r="B944" s="20">
        <v>3728</v>
      </c>
      <c r="C944" s="21">
        <f t="shared" si="28"/>
        <v>2.24246946284271</v>
      </c>
      <c r="D944" s="21">
        <f t="shared" si="29"/>
        <v>1.29456384323641</v>
      </c>
    </row>
    <row r="945" ht="14.4" spans="2:4">
      <c r="B945" s="20">
        <v>3732</v>
      </c>
      <c r="C945" s="21">
        <f t="shared" si="28"/>
        <v>2.24521512104103</v>
      </c>
      <c r="D945" s="21">
        <f t="shared" si="29"/>
        <v>1.29497312677838</v>
      </c>
    </row>
    <row r="946" ht="14.4" spans="2:4">
      <c r="B946" s="20">
        <v>3736</v>
      </c>
      <c r="C946" s="21">
        <f t="shared" si="28"/>
        <v>2.24796164743168</v>
      </c>
      <c r="D946" s="21">
        <f t="shared" si="29"/>
        <v>1.29538266919671</v>
      </c>
    </row>
    <row r="947" ht="14.4" spans="2:4">
      <c r="B947" s="20">
        <v>3740</v>
      </c>
      <c r="C947" s="21">
        <f t="shared" si="28"/>
        <v>2.25070904256389</v>
      </c>
      <c r="D947" s="21">
        <f t="shared" si="29"/>
        <v>1.29579247073711</v>
      </c>
    </row>
    <row r="948" ht="14.4" spans="2:4">
      <c r="B948" s="20">
        <v>3744</v>
      </c>
      <c r="C948" s="21">
        <f t="shared" si="28"/>
        <v>2.25345730698741</v>
      </c>
      <c r="D948" s="21">
        <f t="shared" si="29"/>
        <v>1.29620253164557</v>
      </c>
    </row>
    <row r="949" ht="14.4" spans="2:4">
      <c r="B949" s="20">
        <v>3748</v>
      </c>
      <c r="C949" s="21">
        <f t="shared" si="28"/>
        <v>2.25620644125251</v>
      </c>
      <c r="D949" s="21">
        <f t="shared" si="29"/>
        <v>1.29661285216841</v>
      </c>
    </row>
    <row r="950" ht="14.4" spans="2:4">
      <c r="B950" s="20">
        <v>3752</v>
      </c>
      <c r="C950" s="21">
        <f t="shared" si="28"/>
        <v>2.25895644590998</v>
      </c>
      <c r="D950" s="21">
        <f t="shared" si="29"/>
        <v>1.29702343255225</v>
      </c>
    </row>
    <row r="951" ht="14.4" spans="2:4">
      <c r="B951" s="20">
        <v>3756</v>
      </c>
      <c r="C951" s="21">
        <f t="shared" si="28"/>
        <v>2.26170732151114</v>
      </c>
      <c r="D951" s="21">
        <f t="shared" si="29"/>
        <v>1.29743427304403</v>
      </c>
    </row>
    <row r="952" ht="14.4" spans="2:4">
      <c r="B952" s="20">
        <v>3760</v>
      </c>
      <c r="C952" s="21">
        <f t="shared" si="28"/>
        <v>2.26445906860783</v>
      </c>
      <c r="D952" s="21">
        <f t="shared" si="29"/>
        <v>1.297845373891</v>
      </c>
    </row>
    <row r="953" ht="14.4" spans="2:4">
      <c r="B953" s="20">
        <v>3764</v>
      </c>
      <c r="C953" s="21">
        <f t="shared" si="28"/>
        <v>2.26721168775242</v>
      </c>
      <c r="D953" s="21">
        <f t="shared" si="29"/>
        <v>1.29825673534073</v>
      </c>
    </row>
    <row r="954" ht="14.4" spans="2:4">
      <c r="B954" s="20">
        <v>3768</v>
      </c>
      <c r="C954" s="21">
        <f t="shared" si="28"/>
        <v>2.26996517949781</v>
      </c>
      <c r="D954" s="21">
        <f t="shared" si="29"/>
        <v>1.29866835764109</v>
      </c>
    </row>
    <row r="955" ht="14.4" spans="2:4">
      <c r="B955" s="20">
        <v>3772</v>
      </c>
      <c r="C955" s="21">
        <f t="shared" si="28"/>
        <v>2.27271954439739</v>
      </c>
      <c r="D955" s="21">
        <f t="shared" si="29"/>
        <v>1.29908024104028</v>
      </c>
    </row>
    <row r="956" ht="14.4" spans="2:4">
      <c r="B956" s="20">
        <v>3776</v>
      </c>
      <c r="C956" s="21">
        <f t="shared" si="28"/>
        <v>2.27547478300513</v>
      </c>
      <c r="D956" s="21">
        <f t="shared" si="29"/>
        <v>1.2994923857868</v>
      </c>
    </row>
    <row r="957" ht="14.4" spans="2:4">
      <c r="B957" s="20">
        <v>3780</v>
      </c>
      <c r="C957" s="21">
        <f t="shared" si="28"/>
        <v>2.27823089587549</v>
      </c>
      <c r="D957" s="21">
        <f t="shared" si="29"/>
        <v>1.29990479212948</v>
      </c>
    </row>
    <row r="958" ht="14.4" spans="2:4">
      <c r="B958" s="20">
        <v>3784</v>
      </c>
      <c r="C958" s="21">
        <f t="shared" si="28"/>
        <v>2.28098788356348</v>
      </c>
      <c r="D958" s="21">
        <f t="shared" si="29"/>
        <v>1.30031746031746</v>
      </c>
    </row>
    <row r="959" ht="14.4" spans="2:4">
      <c r="B959" s="20">
        <v>3788</v>
      </c>
      <c r="C959" s="21">
        <f t="shared" si="28"/>
        <v>2.28374574662461</v>
      </c>
      <c r="D959" s="21">
        <f t="shared" si="29"/>
        <v>1.30073039060019</v>
      </c>
    </row>
    <row r="960" ht="14.4" spans="2:4">
      <c r="B960" s="20">
        <v>3792</v>
      </c>
      <c r="C960" s="21">
        <f t="shared" si="28"/>
        <v>2.28650448561495</v>
      </c>
      <c r="D960" s="21">
        <f t="shared" si="29"/>
        <v>1.30114358322745</v>
      </c>
    </row>
    <row r="961" ht="14.4" spans="2:4">
      <c r="B961" s="20">
        <v>3796</v>
      </c>
      <c r="C961" s="21">
        <f t="shared" si="28"/>
        <v>2.28926410109108</v>
      </c>
      <c r="D961" s="21">
        <f t="shared" si="29"/>
        <v>1.30155703844932</v>
      </c>
    </row>
    <row r="962" ht="14.4" spans="2:4">
      <c r="B962" s="20">
        <v>3800</v>
      </c>
      <c r="C962" s="21">
        <f t="shared" si="28"/>
        <v>2.29202459361013</v>
      </c>
      <c r="D962" s="21">
        <f t="shared" si="29"/>
        <v>1.30197075651621</v>
      </c>
    </row>
    <row r="963" ht="14.4" spans="2:4">
      <c r="B963" s="20">
        <v>3804</v>
      </c>
      <c r="C963" s="21">
        <f t="shared" si="28"/>
        <v>2.29478596372973</v>
      </c>
      <c r="D963" s="21">
        <f t="shared" si="29"/>
        <v>1.30238473767886</v>
      </c>
    </row>
    <row r="964" ht="14.4" spans="2:4">
      <c r="B964" s="20">
        <v>3808</v>
      </c>
      <c r="C964" s="21">
        <f t="shared" si="28"/>
        <v>2.29754821200808</v>
      </c>
      <c r="D964" s="21">
        <f t="shared" si="29"/>
        <v>1.3027989821883</v>
      </c>
    </row>
    <row r="965" ht="14.4" spans="2:4">
      <c r="B965" s="20">
        <v>3812</v>
      </c>
      <c r="C965" s="21">
        <f t="shared" si="28"/>
        <v>2.30031133900389</v>
      </c>
      <c r="D965" s="21">
        <f t="shared" si="29"/>
        <v>1.3032134902959</v>
      </c>
    </row>
    <row r="966" ht="14.4" spans="2:4">
      <c r="B966" s="20">
        <v>3816</v>
      </c>
      <c r="C966" s="21">
        <f t="shared" si="28"/>
        <v>2.3030753452764</v>
      </c>
      <c r="D966" s="21">
        <f t="shared" si="29"/>
        <v>1.30362826225334</v>
      </c>
    </row>
    <row r="967" ht="14.4" spans="2:4">
      <c r="B967" s="20">
        <v>3820</v>
      </c>
      <c r="C967" s="21">
        <f t="shared" si="28"/>
        <v>2.30584023138539</v>
      </c>
      <c r="D967" s="21">
        <f t="shared" si="29"/>
        <v>1.30404329831264</v>
      </c>
    </row>
    <row r="968" ht="14.4" spans="2:4">
      <c r="B968" s="20">
        <v>3824</v>
      </c>
      <c r="C968" s="21">
        <f t="shared" si="28"/>
        <v>2.30860599789119</v>
      </c>
      <c r="D968" s="21">
        <f t="shared" si="29"/>
        <v>1.30445859872611</v>
      </c>
    </row>
    <row r="969" ht="14.4" spans="2:4">
      <c r="B969" s="20">
        <v>3828</v>
      </c>
      <c r="C969" s="21">
        <f t="shared" si="28"/>
        <v>2.31137264535464</v>
      </c>
      <c r="D969" s="21">
        <f t="shared" si="29"/>
        <v>1.30487416374642</v>
      </c>
    </row>
    <row r="970" ht="14.4" spans="2:4">
      <c r="B970" s="20">
        <v>3832</v>
      </c>
      <c r="C970" s="21">
        <f t="shared" si="28"/>
        <v>2.31414017433713</v>
      </c>
      <c r="D970" s="21">
        <f t="shared" si="29"/>
        <v>1.30528999362651</v>
      </c>
    </row>
    <row r="971" ht="14.4" spans="2:4">
      <c r="B971" s="20">
        <v>3836</v>
      </c>
      <c r="C971" s="21">
        <f t="shared" si="28"/>
        <v>2.31690858540059</v>
      </c>
      <c r="D971" s="21">
        <f t="shared" si="29"/>
        <v>1.3057060886197</v>
      </c>
    </row>
    <row r="972" ht="14.4" spans="2:4">
      <c r="B972" s="20">
        <v>3840</v>
      </c>
      <c r="C972" s="21">
        <f t="shared" si="28"/>
        <v>2.31967787910747</v>
      </c>
      <c r="D972" s="21">
        <f t="shared" si="29"/>
        <v>1.30612244897959</v>
      </c>
    </row>
    <row r="973" ht="14.4" spans="2:4">
      <c r="B973" s="20">
        <v>3844</v>
      </c>
      <c r="C973" s="21">
        <f t="shared" ref="C973:C1004" si="30">20*LOG(D973)</f>
        <v>2.32244805602078</v>
      </c>
      <c r="D973" s="21">
        <f t="shared" ref="D973:D1004" si="31">16384/(16384-B973)</f>
        <v>1.30653907496013</v>
      </c>
    </row>
    <row r="974" ht="14.4" spans="2:4">
      <c r="B974" s="20">
        <v>3848</v>
      </c>
      <c r="C974" s="21">
        <f t="shared" si="30"/>
        <v>2.32521911670406</v>
      </c>
      <c r="D974" s="21">
        <f t="shared" si="31"/>
        <v>1.30695596681557</v>
      </c>
    </row>
    <row r="975" ht="14.4" spans="2:4">
      <c r="B975" s="20">
        <v>3852</v>
      </c>
      <c r="C975" s="21">
        <f t="shared" si="30"/>
        <v>2.32799106172138</v>
      </c>
      <c r="D975" s="21">
        <f t="shared" si="31"/>
        <v>1.30737312480051</v>
      </c>
    </row>
    <row r="976" ht="14.4" spans="2:4">
      <c r="B976" s="20">
        <v>3856</v>
      </c>
      <c r="C976" s="21">
        <f t="shared" si="30"/>
        <v>2.33076389163737</v>
      </c>
      <c r="D976" s="21">
        <f t="shared" si="31"/>
        <v>1.30779054916986</v>
      </c>
    </row>
    <row r="977" ht="14.4" spans="2:4">
      <c r="B977" s="20">
        <v>3860</v>
      </c>
      <c r="C977" s="21">
        <f t="shared" si="30"/>
        <v>2.33353760701718</v>
      </c>
      <c r="D977" s="21">
        <f t="shared" si="31"/>
        <v>1.30820824017886</v>
      </c>
    </row>
    <row r="978" ht="14.4" spans="2:4">
      <c r="B978" s="20">
        <v>3864</v>
      </c>
      <c r="C978" s="21">
        <f t="shared" si="30"/>
        <v>2.33631220842652</v>
      </c>
      <c r="D978" s="21">
        <f t="shared" si="31"/>
        <v>1.30862619808307</v>
      </c>
    </row>
    <row r="979" ht="14.4" spans="2:4">
      <c r="B979" s="20">
        <v>3868</v>
      </c>
      <c r="C979" s="21">
        <f t="shared" si="30"/>
        <v>2.33908769643162</v>
      </c>
      <c r="D979" s="21">
        <f t="shared" si="31"/>
        <v>1.30904442313838</v>
      </c>
    </row>
    <row r="980" ht="14.4" spans="2:4">
      <c r="B980" s="20">
        <v>3872</v>
      </c>
      <c r="C980" s="21">
        <f t="shared" si="30"/>
        <v>2.34186407159928</v>
      </c>
      <c r="D980" s="21">
        <f t="shared" si="31"/>
        <v>1.30946291560102</v>
      </c>
    </row>
    <row r="981" ht="14.4" spans="2:4">
      <c r="B981" s="20">
        <v>3876</v>
      </c>
      <c r="C981" s="21">
        <f t="shared" si="30"/>
        <v>2.34464133449682</v>
      </c>
      <c r="D981" s="21">
        <f t="shared" si="31"/>
        <v>1.30988167572753</v>
      </c>
    </row>
    <row r="982" ht="14.4" spans="2:4">
      <c r="B982" s="20">
        <v>3880</v>
      </c>
      <c r="C982" s="21">
        <f t="shared" si="30"/>
        <v>2.34741948569212</v>
      </c>
      <c r="D982" s="21">
        <f t="shared" si="31"/>
        <v>1.31030070377479</v>
      </c>
    </row>
    <row r="983" ht="14.4" spans="2:4">
      <c r="B983" s="20">
        <v>3884</v>
      </c>
      <c r="C983" s="21">
        <f t="shared" si="30"/>
        <v>2.35019852575361</v>
      </c>
      <c r="D983" s="21">
        <f t="shared" si="31"/>
        <v>1.31072</v>
      </c>
    </row>
    <row r="984" ht="14.4" spans="2:4">
      <c r="B984" s="20">
        <v>3888</v>
      </c>
      <c r="C984" s="21">
        <f t="shared" si="30"/>
        <v>2.35297845525023</v>
      </c>
      <c r="D984" s="21">
        <f t="shared" si="31"/>
        <v>1.31113956466069</v>
      </c>
    </row>
    <row r="985" ht="14.4" spans="2:4">
      <c r="B985" s="20">
        <v>3892</v>
      </c>
      <c r="C985" s="21">
        <f t="shared" si="30"/>
        <v>2.35575927475151</v>
      </c>
      <c r="D985" s="21">
        <f t="shared" si="31"/>
        <v>1.31155939801473</v>
      </c>
    </row>
    <row r="986" ht="14.4" spans="2:4">
      <c r="B986" s="20">
        <v>3896</v>
      </c>
      <c r="C986" s="21">
        <f t="shared" si="30"/>
        <v>2.35854098482751</v>
      </c>
      <c r="D986" s="21">
        <f t="shared" si="31"/>
        <v>1.31197950032031</v>
      </c>
    </row>
    <row r="987" ht="14.4" spans="2:4">
      <c r="B987" s="20">
        <v>3900</v>
      </c>
      <c r="C987" s="21">
        <f t="shared" si="30"/>
        <v>2.36132358604883</v>
      </c>
      <c r="D987" s="21">
        <f t="shared" si="31"/>
        <v>1.31239987183595</v>
      </c>
    </row>
    <row r="988" ht="14.4" spans="2:4">
      <c r="B988" s="20">
        <v>3904</v>
      </c>
      <c r="C988" s="21">
        <f t="shared" si="30"/>
        <v>2.36410707898663</v>
      </c>
      <c r="D988" s="21">
        <f t="shared" si="31"/>
        <v>1.31282051282051</v>
      </c>
    </row>
    <row r="989" ht="14.4" spans="2:4">
      <c r="B989" s="20">
        <v>3908</v>
      </c>
      <c r="C989" s="21">
        <f t="shared" si="30"/>
        <v>2.36689146421261</v>
      </c>
      <c r="D989" s="21">
        <f t="shared" si="31"/>
        <v>1.31324142353318</v>
      </c>
    </row>
    <row r="990" ht="14.4" spans="2:4">
      <c r="B990" s="20">
        <v>3912</v>
      </c>
      <c r="C990" s="21">
        <f t="shared" si="30"/>
        <v>2.36967674229903</v>
      </c>
      <c r="D990" s="21">
        <f t="shared" si="31"/>
        <v>1.31366260423348</v>
      </c>
    </row>
    <row r="991" ht="14.4" spans="2:4">
      <c r="B991" s="20">
        <v>3916</v>
      </c>
      <c r="C991" s="21">
        <f t="shared" si="30"/>
        <v>2.37246291381869</v>
      </c>
      <c r="D991" s="21">
        <f t="shared" si="31"/>
        <v>1.31408405518126</v>
      </c>
    </row>
    <row r="992" ht="14.4" spans="2:4">
      <c r="B992" s="20">
        <v>3920</v>
      </c>
      <c r="C992" s="21">
        <f t="shared" si="30"/>
        <v>2.37524997934495</v>
      </c>
      <c r="D992" s="21">
        <f t="shared" si="31"/>
        <v>1.31450577663671</v>
      </c>
    </row>
    <row r="993" ht="14.4" spans="2:4">
      <c r="B993" s="20">
        <v>3924</v>
      </c>
      <c r="C993" s="21">
        <f t="shared" si="30"/>
        <v>2.37803793945172</v>
      </c>
      <c r="D993" s="21">
        <f t="shared" si="31"/>
        <v>1.31492776886035</v>
      </c>
    </row>
    <row r="994" ht="14.4" spans="2:4">
      <c r="B994" s="20">
        <v>3928</v>
      </c>
      <c r="C994" s="21">
        <f t="shared" si="30"/>
        <v>2.38082679471346</v>
      </c>
      <c r="D994" s="21">
        <f t="shared" si="31"/>
        <v>1.31535003211304</v>
      </c>
    </row>
    <row r="995" ht="14.4" spans="2:4">
      <c r="B995" s="20">
        <v>3932</v>
      </c>
      <c r="C995" s="21">
        <f t="shared" si="30"/>
        <v>2.38361654570518</v>
      </c>
      <c r="D995" s="21">
        <f t="shared" si="31"/>
        <v>1.31577256665596</v>
      </c>
    </row>
    <row r="996" ht="14.4" spans="2:4">
      <c r="B996" s="20">
        <v>3936</v>
      </c>
      <c r="C996" s="21">
        <f t="shared" si="30"/>
        <v>2.38640719300246</v>
      </c>
      <c r="D996" s="21">
        <f t="shared" si="31"/>
        <v>1.31619537275064</v>
      </c>
    </row>
    <row r="997" ht="14.4" spans="2:4">
      <c r="B997" s="20">
        <v>3940</v>
      </c>
      <c r="C997" s="21">
        <f t="shared" si="30"/>
        <v>2.38919873718142</v>
      </c>
      <c r="D997" s="21">
        <f t="shared" si="31"/>
        <v>1.31661845065895</v>
      </c>
    </row>
    <row r="998" ht="14.4" spans="2:4">
      <c r="B998" s="20">
        <v>3944</v>
      </c>
      <c r="C998" s="21">
        <f t="shared" si="30"/>
        <v>2.39199117881874</v>
      </c>
      <c r="D998" s="21">
        <f t="shared" si="31"/>
        <v>1.31704180064309</v>
      </c>
    </row>
    <row r="999" ht="14.4" spans="2:4">
      <c r="B999" s="20">
        <v>3948</v>
      </c>
      <c r="C999" s="21">
        <f t="shared" si="30"/>
        <v>2.39478451849165</v>
      </c>
      <c r="D999" s="21">
        <f t="shared" si="31"/>
        <v>1.31746542296558</v>
      </c>
    </row>
    <row r="1000" ht="14.4" spans="2:4">
      <c r="B1000" s="20">
        <v>3952</v>
      </c>
      <c r="C1000" s="21">
        <f t="shared" si="30"/>
        <v>2.39757875677795</v>
      </c>
      <c r="D1000" s="21">
        <f t="shared" si="31"/>
        <v>1.31788931788932</v>
      </c>
    </row>
    <row r="1001" ht="14.4" spans="2:4">
      <c r="B1001" s="20">
        <v>3956</v>
      </c>
      <c r="C1001" s="21">
        <f t="shared" si="30"/>
        <v>2.400373894256</v>
      </c>
      <c r="D1001" s="21">
        <f t="shared" si="31"/>
        <v>1.3183134856775</v>
      </c>
    </row>
    <row r="1002" ht="14.4" spans="2:4">
      <c r="B1002" s="20">
        <v>3960</v>
      </c>
      <c r="C1002" s="21">
        <f t="shared" si="30"/>
        <v>2.40316993150469</v>
      </c>
      <c r="D1002" s="21">
        <f t="shared" si="31"/>
        <v>1.31873792659369</v>
      </c>
    </row>
    <row r="1003" ht="14.4" spans="2:4">
      <c r="B1003" s="20">
        <v>3964</v>
      </c>
      <c r="C1003" s="21">
        <f t="shared" si="30"/>
        <v>2.40596686910351</v>
      </c>
      <c r="D1003" s="21">
        <f t="shared" si="31"/>
        <v>1.31916264090177</v>
      </c>
    </row>
    <row r="1004" ht="14.4" spans="2:4">
      <c r="B1004" s="20">
        <v>3968</v>
      </c>
      <c r="C1004" s="21">
        <f t="shared" si="30"/>
        <v>2.40876470763247</v>
      </c>
      <c r="D1004" s="21">
        <f t="shared" si="31"/>
        <v>1.31958762886598</v>
      </c>
    </row>
    <row r="1005" ht="14.4" spans="2:4">
      <c r="B1005" s="20">
        <v>3972</v>
      </c>
      <c r="C1005" s="21">
        <f t="shared" ref="C1005:C1014" si="32">20*LOG(D1005)</f>
        <v>2.41156344767217</v>
      </c>
      <c r="D1005" s="21">
        <f t="shared" ref="D1005:D1014" si="33">16384/(16384-B1005)</f>
        <v>1.32001289075089</v>
      </c>
    </row>
    <row r="1006" ht="14.4" spans="2:4">
      <c r="B1006" s="20">
        <v>3976</v>
      </c>
      <c r="C1006" s="21">
        <f t="shared" si="32"/>
        <v>2.41436308980376</v>
      </c>
      <c r="D1006" s="21">
        <f t="shared" si="33"/>
        <v>1.32043842682141</v>
      </c>
    </row>
    <row r="1007" ht="14.4" spans="2:4">
      <c r="B1007" s="20">
        <v>3980</v>
      </c>
      <c r="C1007" s="21">
        <f t="shared" si="32"/>
        <v>2.41716363460896</v>
      </c>
      <c r="D1007" s="21">
        <f t="shared" si="33"/>
        <v>1.32086423734279</v>
      </c>
    </row>
    <row r="1008" ht="14.4" spans="2:4">
      <c r="B1008" s="20">
        <v>3984</v>
      </c>
      <c r="C1008" s="21">
        <f t="shared" si="32"/>
        <v>2.41996508267003</v>
      </c>
      <c r="D1008" s="21">
        <f t="shared" si="33"/>
        <v>1.32129032258065</v>
      </c>
    </row>
    <row r="1009" ht="14.4" spans="2:4">
      <c r="B1009" s="20">
        <v>3988</v>
      </c>
      <c r="C1009" s="21">
        <f t="shared" si="32"/>
        <v>2.42276743456983</v>
      </c>
      <c r="D1009" s="21">
        <f t="shared" si="33"/>
        <v>1.3217166828009</v>
      </c>
    </row>
    <row r="1010" ht="14.4" spans="2:4">
      <c r="B1010" s="20">
        <v>3992</v>
      </c>
      <c r="C1010" s="21">
        <f t="shared" si="32"/>
        <v>2.42557069089174</v>
      </c>
      <c r="D1010" s="21">
        <f t="shared" si="33"/>
        <v>1.32214331826985</v>
      </c>
    </row>
    <row r="1011" ht="14.4" spans="2:4">
      <c r="B1011" s="20">
        <v>3996</v>
      </c>
      <c r="C1011" s="21">
        <f t="shared" si="32"/>
        <v>2.42837485221975</v>
      </c>
      <c r="D1011" s="21">
        <f t="shared" si="33"/>
        <v>1.32257022925412</v>
      </c>
    </row>
    <row r="1012" ht="14.4" spans="2:4">
      <c r="B1012" s="20">
        <v>4000</v>
      </c>
      <c r="C1012" s="21">
        <f t="shared" si="32"/>
        <v>2.43117991913839</v>
      </c>
      <c r="D1012" s="21">
        <f t="shared" si="33"/>
        <v>1.32299741602067</v>
      </c>
    </row>
    <row r="1013" ht="14.4" spans="2:4">
      <c r="B1013" s="20">
        <v>4004</v>
      </c>
      <c r="C1013" s="21">
        <f t="shared" si="32"/>
        <v>2.43398589223275</v>
      </c>
      <c r="D1013" s="21">
        <f t="shared" si="33"/>
        <v>1.32342487883683</v>
      </c>
    </row>
    <row r="1014" ht="14.4" spans="2:4">
      <c r="B1014" s="20">
        <v>4008</v>
      </c>
      <c r="C1014" s="21">
        <f t="shared" si="32"/>
        <v>2.43679277208851</v>
      </c>
      <c r="D1014" s="21">
        <f t="shared" si="33"/>
        <v>1.32385261797026</v>
      </c>
    </row>
    <row r="1015" ht="14.4" spans="2:4">
      <c r="B1015" s="20">
        <v>4012</v>
      </c>
      <c r="C1015" s="21">
        <f t="shared" ref="C1015:C1078" si="34">20*LOG(D1015)</f>
        <v>2.43960055929191</v>
      </c>
      <c r="D1015" s="21">
        <f t="shared" ref="D1015:D1078" si="35">16384/(16384-B1015)</f>
        <v>1.32428063368898</v>
      </c>
    </row>
    <row r="1016" ht="14.4" spans="2:4">
      <c r="B1016" s="20">
        <v>4016</v>
      </c>
      <c r="C1016" s="21">
        <f t="shared" si="34"/>
        <v>2.44240925442974</v>
      </c>
      <c r="D1016" s="21">
        <f t="shared" si="35"/>
        <v>1.32470892626132</v>
      </c>
    </row>
    <row r="1017" ht="14.4" spans="2:4">
      <c r="B1017" s="20">
        <v>4020</v>
      </c>
      <c r="C1017" s="21">
        <f t="shared" si="34"/>
        <v>2.44521885808939</v>
      </c>
      <c r="D1017" s="21">
        <f t="shared" si="35"/>
        <v>1.325137495956</v>
      </c>
    </row>
    <row r="1018" ht="14.4" spans="2:4">
      <c r="B1018" s="20">
        <v>4024</v>
      </c>
      <c r="C1018" s="21">
        <f t="shared" si="34"/>
        <v>2.44802937085879</v>
      </c>
      <c r="D1018" s="21">
        <f t="shared" si="35"/>
        <v>1.32556634304207</v>
      </c>
    </row>
    <row r="1019" ht="14.4" spans="2:4">
      <c r="B1019" s="20">
        <v>4028</v>
      </c>
      <c r="C1019" s="21">
        <f t="shared" si="34"/>
        <v>2.45084079332647</v>
      </c>
      <c r="D1019" s="21">
        <f t="shared" si="35"/>
        <v>1.32599546778893</v>
      </c>
    </row>
    <row r="1020" ht="14.4" spans="2:4">
      <c r="B1020" s="20">
        <v>4032</v>
      </c>
      <c r="C1020" s="21">
        <f t="shared" si="34"/>
        <v>2.45365312608152</v>
      </c>
      <c r="D1020" s="21">
        <f t="shared" si="35"/>
        <v>1.32642487046632</v>
      </c>
    </row>
    <row r="1021" ht="14.4" spans="2:4">
      <c r="B1021" s="20">
        <v>4036</v>
      </c>
      <c r="C1021" s="21">
        <f t="shared" si="34"/>
        <v>2.45646636971358</v>
      </c>
      <c r="D1021" s="21">
        <f t="shared" si="35"/>
        <v>1.32685455134435</v>
      </c>
    </row>
    <row r="1022" ht="14.4" spans="2:4">
      <c r="B1022" s="20">
        <v>4040</v>
      </c>
      <c r="C1022" s="21">
        <f t="shared" si="34"/>
        <v>2.4592805248129</v>
      </c>
      <c r="D1022" s="21">
        <f t="shared" si="35"/>
        <v>1.32728451069345</v>
      </c>
    </row>
    <row r="1023" ht="14.4" spans="2:4">
      <c r="B1023" s="20">
        <v>4044</v>
      </c>
      <c r="C1023" s="21">
        <f t="shared" si="34"/>
        <v>2.46209559197028</v>
      </c>
      <c r="D1023" s="21">
        <f t="shared" si="35"/>
        <v>1.32771474878444</v>
      </c>
    </row>
    <row r="1024" ht="14.4" spans="2:4">
      <c r="B1024" s="20">
        <v>4048</v>
      </c>
      <c r="C1024" s="21">
        <f t="shared" si="34"/>
        <v>2.4649115717771</v>
      </c>
      <c r="D1024" s="21">
        <f t="shared" si="35"/>
        <v>1.32814526588846</v>
      </c>
    </row>
    <row r="1025" ht="14.4" spans="2:4">
      <c r="B1025" s="20">
        <v>4052</v>
      </c>
      <c r="C1025" s="21">
        <f t="shared" si="34"/>
        <v>2.46772846482532</v>
      </c>
      <c r="D1025" s="21">
        <f t="shared" si="35"/>
        <v>1.328576062277</v>
      </c>
    </row>
    <row r="1026" ht="14.4" spans="2:4">
      <c r="B1026" s="20">
        <v>4056</v>
      </c>
      <c r="C1026" s="21">
        <f t="shared" si="34"/>
        <v>2.47054627170748</v>
      </c>
      <c r="D1026" s="21">
        <f t="shared" si="35"/>
        <v>1.32900713822193</v>
      </c>
    </row>
    <row r="1027" ht="14.4" spans="2:4">
      <c r="B1027" s="20">
        <v>4060</v>
      </c>
      <c r="C1027" s="21">
        <f t="shared" si="34"/>
        <v>2.47336499301667</v>
      </c>
      <c r="D1027" s="21">
        <f t="shared" si="35"/>
        <v>1.32943849399546</v>
      </c>
    </row>
    <row r="1028" ht="14.4" spans="2:4">
      <c r="B1028" s="20">
        <v>4064</v>
      </c>
      <c r="C1028" s="21">
        <f t="shared" si="34"/>
        <v>2.4761846293466</v>
      </c>
      <c r="D1028" s="21">
        <f t="shared" si="35"/>
        <v>1.32987012987013</v>
      </c>
    </row>
    <row r="1029" ht="14.4" spans="2:4">
      <c r="B1029" s="20">
        <v>4068</v>
      </c>
      <c r="C1029" s="21">
        <f t="shared" si="34"/>
        <v>2.47900518129152</v>
      </c>
      <c r="D1029" s="21">
        <f t="shared" si="35"/>
        <v>1.33030204611887</v>
      </c>
    </row>
    <row r="1030" ht="14.4" spans="2:4">
      <c r="B1030" s="20">
        <v>4072</v>
      </c>
      <c r="C1030" s="21">
        <f t="shared" si="34"/>
        <v>2.48182664944629</v>
      </c>
      <c r="D1030" s="21">
        <f t="shared" si="35"/>
        <v>1.33073424301494</v>
      </c>
    </row>
    <row r="1031" ht="14.4" spans="2:4">
      <c r="B1031" s="20">
        <v>4076</v>
      </c>
      <c r="C1031" s="21">
        <f t="shared" si="34"/>
        <v>2.48464903440632</v>
      </c>
      <c r="D1031" s="21">
        <f t="shared" si="35"/>
        <v>1.33116672083198</v>
      </c>
    </row>
    <row r="1032" ht="14.4" spans="2:4">
      <c r="B1032" s="20">
        <v>4080</v>
      </c>
      <c r="C1032" s="21">
        <f t="shared" si="34"/>
        <v>2.48747233676762</v>
      </c>
      <c r="D1032" s="21">
        <f t="shared" si="35"/>
        <v>1.33159947984395</v>
      </c>
    </row>
    <row r="1033" ht="14.4" spans="2:4">
      <c r="B1033" s="20">
        <v>4084</v>
      </c>
      <c r="C1033" s="21">
        <f t="shared" si="34"/>
        <v>2.49029655712678</v>
      </c>
      <c r="D1033" s="21">
        <f t="shared" si="35"/>
        <v>1.3320325203252</v>
      </c>
    </row>
    <row r="1034" ht="14.4" spans="2:4">
      <c r="B1034" s="20">
        <v>4088</v>
      </c>
      <c r="C1034" s="21">
        <f t="shared" si="34"/>
        <v>2.49312169608096</v>
      </c>
      <c r="D1034" s="21">
        <f t="shared" si="35"/>
        <v>1.33246584255042</v>
      </c>
    </row>
    <row r="1035" ht="14.4" spans="2:4">
      <c r="B1035" s="20">
        <v>4092</v>
      </c>
      <c r="C1035" s="21">
        <f t="shared" si="34"/>
        <v>2.49594775422792</v>
      </c>
      <c r="D1035" s="21">
        <f t="shared" si="35"/>
        <v>1.33289944679466</v>
      </c>
    </row>
    <row r="1036" ht="14.4" spans="2:4">
      <c r="B1036" s="20">
        <v>4096</v>
      </c>
      <c r="C1036" s="21">
        <f t="shared" si="34"/>
        <v>2.498774732166</v>
      </c>
      <c r="D1036" s="21">
        <f t="shared" si="35"/>
        <v>1.33333333333333</v>
      </c>
    </row>
    <row r="1037" ht="14.4" spans="2:4">
      <c r="B1037" s="20">
        <v>4100</v>
      </c>
      <c r="C1037" s="21">
        <f t="shared" si="34"/>
        <v>2.50160263049411</v>
      </c>
      <c r="D1037" s="21">
        <f t="shared" si="35"/>
        <v>1.3337675024422</v>
      </c>
    </row>
    <row r="1038" ht="14.4" spans="2:4">
      <c r="B1038" s="20">
        <v>4104</v>
      </c>
      <c r="C1038" s="21">
        <f t="shared" si="34"/>
        <v>2.50443144981176</v>
      </c>
      <c r="D1038" s="21">
        <f t="shared" si="35"/>
        <v>1.33420195439739</v>
      </c>
    </row>
    <row r="1039" ht="14.4" spans="2:4">
      <c r="B1039" s="20">
        <v>4108</v>
      </c>
      <c r="C1039" s="21">
        <f t="shared" si="34"/>
        <v>2.50726119071903</v>
      </c>
      <c r="D1039" s="21">
        <f t="shared" si="35"/>
        <v>1.3346366894754</v>
      </c>
    </row>
    <row r="1040" ht="14.4" spans="2:4">
      <c r="B1040" s="20">
        <v>4112</v>
      </c>
      <c r="C1040" s="21">
        <f t="shared" si="34"/>
        <v>2.51009185381662</v>
      </c>
      <c r="D1040" s="21">
        <f t="shared" si="35"/>
        <v>1.33507170795306</v>
      </c>
    </row>
    <row r="1041" ht="14.4" spans="2:4">
      <c r="B1041" s="20">
        <v>4116</v>
      </c>
      <c r="C1041" s="21">
        <f t="shared" si="34"/>
        <v>2.51292343970578</v>
      </c>
      <c r="D1041" s="21">
        <f t="shared" si="35"/>
        <v>1.3355070101076</v>
      </c>
    </row>
    <row r="1042" ht="14.4" spans="2:4">
      <c r="B1042" s="20">
        <v>4120</v>
      </c>
      <c r="C1042" s="21">
        <f t="shared" si="34"/>
        <v>2.51575594898836</v>
      </c>
      <c r="D1042" s="21">
        <f t="shared" si="35"/>
        <v>1.33594259621657</v>
      </c>
    </row>
    <row r="1043" ht="14.4" spans="2:4">
      <c r="B1043" s="20">
        <v>4124</v>
      </c>
      <c r="C1043" s="21">
        <f t="shared" si="34"/>
        <v>2.51858938226681</v>
      </c>
      <c r="D1043" s="21">
        <f t="shared" si="35"/>
        <v>1.33637846655791</v>
      </c>
    </row>
    <row r="1044" ht="14.4" spans="2:4">
      <c r="B1044" s="20">
        <v>4128</v>
      </c>
      <c r="C1044" s="21">
        <f t="shared" si="34"/>
        <v>2.52142374014416</v>
      </c>
      <c r="D1044" s="21">
        <f t="shared" si="35"/>
        <v>1.33681462140992</v>
      </c>
    </row>
    <row r="1045" ht="14.4" spans="2:4">
      <c r="B1045" s="20">
        <v>4132</v>
      </c>
      <c r="C1045" s="21">
        <f t="shared" si="34"/>
        <v>2.52425902322403</v>
      </c>
      <c r="D1045" s="21">
        <f t="shared" si="35"/>
        <v>1.33725106105126</v>
      </c>
    </row>
    <row r="1046" ht="14.4" spans="2:4">
      <c r="B1046" s="20">
        <v>4136</v>
      </c>
      <c r="C1046" s="21">
        <f t="shared" si="34"/>
        <v>2.52709523211064</v>
      </c>
      <c r="D1046" s="21">
        <f t="shared" si="35"/>
        <v>1.33768778576094</v>
      </c>
    </row>
    <row r="1047" ht="14.4" spans="2:4">
      <c r="B1047" s="20">
        <v>4140</v>
      </c>
      <c r="C1047" s="21">
        <f t="shared" si="34"/>
        <v>2.52993236740879</v>
      </c>
      <c r="D1047" s="21">
        <f t="shared" si="35"/>
        <v>1.33812479581836</v>
      </c>
    </row>
    <row r="1048" ht="14.4" spans="2:4">
      <c r="B1048" s="20">
        <v>4144</v>
      </c>
      <c r="C1048" s="21">
        <f t="shared" si="34"/>
        <v>2.53277042972389</v>
      </c>
      <c r="D1048" s="21">
        <f t="shared" si="35"/>
        <v>1.33856209150327</v>
      </c>
    </row>
    <row r="1049" ht="14.4" spans="2:4">
      <c r="B1049" s="20">
        <v>4148</v>
      </c>
      <c r="C1049" s="21">
        <f t="shared" si="34"/>
        <v>2.53560941966191</v>
      </c>
      <c r="D1049" s="21">
        <f t="shared" si="35"/>
        <v>1.33899967309578</v>
      </c>
    </row>
    <row r="1050" ht="14.4" spans="2:4">
      <c r="B1050" s="20">
        <v>4152</v>
      </c>
      <c r="C1050" s="21">
        <f t="shared" si="34"/>
        <v>2.53844933782946</v>
      </c>
      <c r="D1050" s="21">
        <f t="shared" si="35"/>
        <v>1.33943754087639</v>
      </c>
    </row>
    <row r="1051" ht="14.4" spans="2:4">
      <c r="B1051" s="20">
        <v>4156</v>
      </c>
      <c r="C1051" s="21">
        <f t="shared" si="34"/>
        <v>2.54129018483371</v>
      </c>
      <c r="D1051" s="21">
        <f t="shared" si="35"/>
        <v>1.33987569512594</v>
      </c>
    </row>
    <row r="1052" ht="14.4" spans="2:4">
      <c r="B1052" s="20">
        <v>4160</v>
      </c>
      <c r="C1052" s="21">
        <f t="shared" si="34"/>
        <v>2.54413196128244</v>
      </c>
      <c r="D1052" s="21">
        <f t="shared" si="35"/>
        <v>1.34031413612565</v>
      </c>
    </row>
    <row r="1053" ht="14.4" spans="2:4">
      <c r="B1053" s="20">
        <v>4164</v>
      </c>
      <c r="C1053" s="21">
        <f t="shared" si="34"/>
        <v>2.54697466778403</v>
      </c>
      <c r="D1053" s="21">
        <f t="shared" si="35"/>
        <v>1.34075286415712</v>
      </c>
    </row>
    <row r="1054" ht="14.4" spans="2:4">
      <c r="B1054" s="20">
        <v>4168</v>
      </c>
      <c r="C1054" s="21">
        <f t="shared" si="34"/>
        <v>2.54981830494744</v>
      </c>
      <c r="D1054" s="21">
        <f t="shared" si="35"/>
        <v>1.34119187950229</v>
      </c>
    </row>
    <row r="1055" ht="14.4" spans="2:4">
      <c r="B1055" s="20">
        <v>4172</v>
      </c>
      <c r="C1055" s="21">
        <f t="shared" si="34"/>
        <v>2.55266287338225</v>
      </c>
      <c r="D1055" s="21">
        <f t="shared" si="35"/>
        <v>1.3416311824435</v>
      </c>
    </row>
    <row r="1056" ht="14.4" spans="2:4">
      <c r="B1056" s="20">
        <v>4176</v>
      </c>
      <c r="C1056" s="21">
        <f t="shared" si="34"/>
        <v>2.55550837369863</v>
      </c>
      <c r="D1056" s="21">
        <f t="shared" si="35"/>
        <v>1.34207077326343</v>
      </c>
    </row>
    <row r="1057" ht="14.4" spans="2:4">
      <c r="B1057" s="20">
        <v>4180</v>
      </c>
      <c r="C1057" s="21">
        <f t="shared" si="34"/>
        <v>2.55835480650735</v>
      </c>
      <c r="D1057" s="21">
        <f t="shared" si="35"/>
        <v>1.34251065224517</v>
      </c>
    </row>
    <row r="1058" ht="14.4" spans="2:4">
      <c r="B1058" s="20">
        <v>4184</v>
      </c>
      <c r="C1058" s="21">
        <f t="shared" si="34"/>
        <v>2.56120217241977</v>
      </c>
      <c r="D1058" s="21">
        <f t="shared" si="35"/>
        <v>1.34295081967213</v>
      </c>
    </row>
    <row r="1059" ht="14.4" spans="2:4">
      <c r="B1059" s="20">
        <v>4188</v>
      </c>
      <c r="C1059" s="21">
        <f t="shared" si="34"/>
        <v>2.56405047204787</v>
      </c>
      <c r="D1059" s="21">
        <f t="shared" si="35"/>
        <v>1.34339127582814</v>
      </c>
    </row>
    <row r="1060" ht="14.4" spans="2:4">
      <c r="B1060" s="20">
        <v>4192</v>
      </c>
      <c r="C1060" s="21">
        <f t="shared" si="34"/>
        <v>2.56689970600423</v>
      </c>
      <c r="D1060" s="21">
        <f t="shared" si="35"/>
        <v>1.34383202099738</v>
      </c>
    </row>
    <row r="1061" ht="14.4" spans="2:4">
      <c r="B1061" s="20">
        <v>4196</v>
      </c>
      <c r="C1061" s="21">
        <f t="shared" si="34"/>
        <v>2.56974987490201</v>
      </c>
      <c r="D1061" s="21">
        <f t="shared" si="35"/>
        <v>1.34427305546439</v>
      </c>
    </row>
    <row r="1062" ht="14.4" spans="2:4">
      <c r="B1062" s="20">
        <v>4200</v>
      </c>
      <c r="C1062" s="21">
        <f t="shared" si="34"/>
        <v>2.57260097935501</v>
      </c>
      <c r="D1062" s="21">
        <f t="shared" si="35"/>
        <v>1.34471437951412</v>
      </c>
    </row>
    <row r="1063" ht="14.4" spans="2:4">
      <c r="B1063" s="20">
        <v>4204</v>
      </c>
      <c r="C1063" s="21">
        <f t="shared" si="34"/>
        <v>2.5754530199776</v>
      </c>
      <c r="D1063" s="21">
        <f t="shared" si="35"/>
        <v>1.34515599343186</v>
      </c>
    </row>
    <row r="1064" ht="14.4" spans="2:4">
      <c r="B1064" s="20">
        <v>4208</v>
      </c>
      <c r="C1064" s="21">
        <f t="shared" si="34"/>
        <v>2.57830599738478</v>
      </c>
      <c r="D1064" s="21">
        <f t="shared" si="35"/>
        <v>1.34559789750329</v>
      </c>
    </row>
    <row r="1065" ht="14.4" spans="2:4">
      <c r="B1065" s="20">
        <v>4212</v>
      </c>
      <c r="C1065" s="21">
        <f t="shared" si="34"/>
        <v>2.58115991219215</v>
      </c>
      <c r="D1065" s="21">
        <f t="shared" si="35"/>
        <v>1.34604009201446</v>
      </c>
    </row>
    <row r="1066" ht="14.4" spans="2:4">
      <c r="B1066" s="20">
        <v>4216</v>
      </c>
      <c r="C1066" s="21">
        <f t="shared" si="34"/>
        <v>2.58401476501589</v>
      </c>
      <c r="D1066" s="21">
        <f t="shared" si="35"/>
        <v>1.34648257725181</v>
      </c>
    </row>
    <row r="1067" ht="14.4" spans="2:4">
      <c r="B1067" s="20">
        <v>4220</v>
      </c>
      <c r="C1067" s="21">
        <f t="shared" si="34"/>
        <v>2.58687055647284</v>
      </c>
      <c r="D1067" s="21">
        <f t="shared" si="35"/>
        <v>1.34692535350214</v>
      </c>
    </row>
    <row r="1068" ht="14.4" spans="2:4">
      <c r="B1068" s="20">
        <v>4224</v>
      </c>
      <c r="C1068" s="21">
        <f t="shared" si="34"/>
        <v>2.58972728718041</v>
      </c>
      <c r="D1068" s="21">
        <f t="shared" si="35"/>
        <v>1.34736842105263</v>
      </c>
    </row>
    <row r="1069" ht="14.4" spans="2:4">
      <c r="B1069" s="20">
        <v>4228</v>
      </c>
      <c r="C1069" s="21">
        <f t="shared" si="34"/>
        <v>2.59258495775663</v>
      </c>
      <c r="D1069" s="21">
        <f t="shared" si="35"/>
        <v>1.34781178019085</v>
      </c>
    </row>
    <row r="1070" ht="14.4" spans="2:4">
      <c r="B1070" s="20">
        <v>4232</v>
      </c>
      <c r="C1070" s="21">
        <f t="shared" si="34"/>
        <v>2.59544356882014</v>
      </c>
      <c r="D1070" s="21">
        <f t="shared" si="35"/>
        <v>1.34825543120474</v>
      </c>
    </row>
    <row r="1071" ht="14.4" spans="2:4">
      <c r="B1071" s="20">
        <v>4236</v>
      </c>
      <c r="C1071" s="21">
        <f t="shared" si="34"/>
        <v>2.59830312099018</v>
      </c>
      <c r="D1071" s="21">
        <f t="shared" si="35"/>
        <v>1.34869937438261</v>
      </c>
    </row>
    <row r="1072" ht="14.4" spans="2:4">
      <c r="B1072" s="20">
        <v>4240</v>
      </c>
      <c r="C1072" s="21">
        <f t="shared" si="34"/>
        <v>2.60116361488663</v>
      </c>
      <c r="D1072" s="21">
        <f t="shared" si="35"/>
        <v>1.34914361001318</v>
      </c>
    </row>
    <row r="1073" ht="14.4" spans="2:4">
      <c r="B1073" s="20">
        <v>4244</v>
      </c>
      <c r="C1073" s="21">
        <f t="shared" si="34"/>
        <v>2.60402505112996</v>
      </c>
      <c r="D1073" s="21">
        <f t="shared" si="35"/>
        <v>1.3495881383855</v>
      </c>
    </row>
    <row r="1074" ht="14.4" spans="2:4">
      <c r="B1074" s="20">
        <v>4248</v>
      </c>
      <c r="C1074" s="21">
        <f t="shared" si="34"/>
        <v>2.60688743034125</v>
      </c>
      <c r="D1074" s="21">
        <f t="shared" si="35"/>
        <v>1.35003295978906</v>
      </c>
    </row>
    <row r="1075" ht="14.4" spans="2:4">
      <c r="B1075" s="20">
        <v>4252</v>
      </c>
      <c r="C1075" s="21">
        <f t="shared" si="34"/>
        <v>2.60975075314222</v>
      </c>
      <c r="D1075" s="21">
        <f t="shared" si="35"/>
        <v>1.35047807451368</v>
      </c>
    </row>
    <row r="1076" ht="14.4" spans="2:4">
      <c r="B1076" s="20">
        <v>4256</v>
      </c>
      <c r="C1076" s="21">
        <f t="shared" si="34"/>
        <v>2.61261502015517</v>
      </c>
      <c r="D1076" s="21">
        <f t="shared" si="35"/>
        <v>1.3509234828496</v>
      </c>
    </row>
    <row r="1077" ht="14.4" spans="2:4">
      <c r="B1077" s="20">
        <v>4260</v>
      </c>
      <c r="C1077" s="21">
        <f t="shared" si="34"/>
        <v>2.61548023200304</v>
      </c>
      <c r="D1077" s="21">
        <f t="shared" si="35"/>
        <v>1.35136918508743</v>
      </c>
    </row>
    <row r="1078" ht="14.4" spans="2:4">
      <c r="B1078" s="20">
        <v>4264</v>
      </c>
      <c r="C1078" s="21">
        <f t="shared" si="34"/>
        <v>2.61834638930939</v>
      </c>
      <c r="D1078" s="21">
        <f t="shared" si="35"/>
        <v>1.35181518151815</v>
      </c>
    </row>
    <row r="1079" ht="14.4" spans="2:4">
      <c r="B1079" s="20">
        <v>4268</v>
      </c>
      <c r="C1079" s="21">
        <f t="shared" ref="C1079:C1142" si="36">20*LOG(D1079)</f>
        <v>2.62121349269837</v>
      </c>
      <c r="D1079" s="21">
        <f t="shared" ref="D1079:D1142" si="37">16384/(16384-B1079)</f>
        <v>1.35226147243315</v>
      </c>
    </row>
    <row r="1080" ht="14.4" spans="2:4">
      <c r="B1080" s="20">
        <v>4272</v>
      </c>
      <c r="C1080" s="21">
        <f t="shared" si="36"/>
        <v>2.62408154279478</v>
      </c>
      <c r="D1080" s="21">
        <f t="shared" si="37"/>
        <v>1.35270805812417</v>
      </c>
    </row>
    <row r="1081" ht="14.4" spans="2:4">
      <c r="B1081" s="20">
        <v>4276</v>
      </c>
      <c r="C1081" s="21">
        <f t="shared" si="36"/>
        <v>2.62695054022403</v>
      </c>
      <c r="D1081" s="21">
        <f t="shared" si="37"/>
        <v>1.35315493888338</v>
      </c>
    </row>
    <row r="1082" ht="14.4" spans="2:4">
      <c r="B1082" s="20">
        <v>4280</v>
      </c>
      <c r="C1082" s="21">
        <f t="shared" si="36"/>
        <v>2.62982048561213</v>
      </c>
      <c r="D1082" s="21">
        <f t="shared" si="37"/>
        <v>1.3536021150033</v>
      </c>
    </row>
    <row r="1083" ht="14.4" spans="2:4">
      <c r="B1083" s="20">
        <v>4284</v>
      </c>
      <c r="C1083" s="21">
        <f t="shared" si="36"/>
        <v>2.63269137958573</v>
      </c>
      <c r="D1083" s="21">
        <f t="shared" si="37"/>
        <v>1.35404958677686</v>
      </c>
    </row>
    <row r="1084" ht="14.4" spans="2:4">
      <c r="B1084" s="20">
        <v>4288</v>
      </c>
      <c r="C1084" s="21">
        <f t="shared" si="36"/>
        <v>2.63556322277211</v>
      </c>
      <c r="D1084" s="21">
        <f t="shared" si="37"/>
        <v>1.35449735449735</v>
      </c>
    </row>
    <row r="1085" ht="14.4" spans="2:4">
      <c r="B1085" s="20">
        <v>4292</v>
      </c>
      <c r="C1085" s="21">
        <f t="shared" si="36"/>
        <v>2.63843601579915</v>
      </c>
      <c r="D1085" s="21">
        <f t="shared" si="37"/>
        <v>1.35494541845849</v>
      </c>
    </row>
    <row r="1086" ht="14.4" spans="2:4">
      <c r="B1086" s="20">
        <v>4296</v>
      </c>
      <c r="C1086" s="21">
        <f t="shared" si="36"/>
        <v>2.64130975929536</v>
      </c>
      <c r="D1086" s="21">
        <f t="shared" si="37"/>
        <v>1.35539377895433</v>
      </c>
    </row>
    <row r="1087" ht="14.4" spans="2:4">
      <c r="B1087" s="20">
        <v>4300</v>
      </c>
      <c r="C1087" s="21">
        <f t="shared" si="36"/>
        <v>2.64418445388988</v>
      </c>
      <c r="D1087" s="21">
        <f t="shared" si="37"/>
        <v>1.35584243627938</v>
      </c>
    </row>
    <row r="1088" ht="14.4" spans="2:4">
      <c r="B1088" s="20">
        <v>4304</v>
      </c>
      <c r="C1088" s="21">
        <f t="shared" si="36"/>
        <v>2.64706010021247</v>
      </c>
      <c r="D1088" s="21">
        <f t="shared" si="37"/>
        <v>1.35629139072848</v>
      </c>
    </row>
    <row r="1089" ht="14.4" spans="2:4">
      <c r="B1089" s="20">
        <v>4308</v>
      </c>
      <c r="C1089" s="21">
        <f t="shared" si="36"/>
        <v>2.64993669889353</v>
      </c>
      <c r="D1089" s="21">
        <f t="shared" si="37"/>
        <v>1.35674064259689</v>
      </c>
    </row>
    <row r="1090" ht="14.4" spans="2:4">
      <c r="B1090" s="20">
        <v>4312</v>
      </c>
      <c r="C1090" s="21">
        <f t="shared" si="36"/>
        <v>2.65281425056407</v>
      </c>
      <c r="D1090" s="21">
        <f t="shared" si="37"/>
        <v>1.35719019218025</v>
      </c>
    </row>
    <row r="1091" ht="14.4" spans="2:4">
      <c r="B1091" s="20">
        <v>4316</v>
      </c>
      <c r="C1091" s="21">
        <f t="shared" si="36"/>
        <v>2.65569275585572</v>
      </c>
      <c r="D1091" s="21">
        <f t="shared" si="37"/>
        <v>1.35764003977461</v>
      </c>
    </row>
    <row r="1092" ht="14.4" spans="2:4">
      <c r="B1092" s="20">
        <v>4320</v>
      </c>
      <c r="C1092" s="21">
        <f t="shared" si="36"/>
        <v>2.65857221540076</v>
      </c>
      <c r="D1092" s="21">
        <f t="shared" si="37"/>
        <v>1.35809018567639</v>
      </c>
    </row>
    <row r="1093" ht="14.4" spans="2:4">
      <c r="B1093" s="20">
        <v>4324</v>
      </c>
      <c r="C1093" s="21">
        <f t="shared" si="36"/>
        <v>2.66145262983208</v>
      </c>
      <c r="D1093" s="21">
        <f t="shared" si="37"/>
        <v>1.35854063018242</v>
      </c>
    </row>
    <row r="1094" ht="14.4" spans="2:4">
      <c r="B1094" s="20">
        <v>4328</v>
      </c>
      <c r="C1094" s="21">
        <f t="shared" si="36"/>
        <v>2.66433399978323</v>
      </c>
      <c r="D1094" s="21">
        <f t="shared" si="37"/>
        <v>1.35899137358991</v>
      </c>
    </row>
    <row r="1095" ht="14.4" spans="2:4">
      <c r="B1095" s="20">
        <v>4332</v>
      </c>
      <c r="C1095" s="21">
        <f t="shared" si="36"/>
        <v>2.66721632588834</v>
      </c>
      <c r="D1095" s="21">
        <f t="shared" si="37"/>
        <v>1.35944241619648</v>
      </c>
    </row>
    <row r="1096" ht="14.4" spans="2:4">
      <c r="B1096" s="20">
        <v>4336</v>
      </c>
      <c r="C1096" s="21">
        <f t="shared" si="36"/>
        <v>2.67009960878223</v>
      </c>
      <c r="D1096" s="21">
        <f t="shared" si="37"/>
        <v>1.35989375830013</v>
      </c>
    </row>
    <row r="1097" ht="14.4" spans="2:4">
      <c r="B1097" s="20">
        <v>4340</v>
      </c>
      <c r="C1097" s="21">
        <f t="shared" si="36"/>
        <v>2.6729838491003</v>
      </c>
      <c r="D1097" s="21">
        <f t="shared" si="37"/>
        <v>1.36034540019927</v>
      </c>
    </row>
    <row r="1098" ht="14.4" spans="2:4">
      <c r="B1098" s="20">
        <v>4344</v>
      </c>
      <c r="C1098" s="21">
        <f t="shared" si="36"/>
        <v>2.67586904747862</v>
      </c>
      <c r="D1098" s="21">
        <f t="shared" si="37"/>
        <v>1.36079734219269</v>
      </c>
    </row>
    <row r="1099" ht="14.4" spans="2:4">
      <c r="B1099" s="20">
        <v>4348</v>
      </c>
      <c r="C1099" s="21">
        <f t="shared" si="36"/>
        <v>2.67875520455387</v>
      </c>
      <c r="D1099" s="21">
        <f t="shared" si="37"/>
        <v>1.36124958457959</v>
      </c>
    </row>
    <row r="1100" ht="14.4" spans="2:4">
      <c r="B1100" s="20">
        <v>4352</v>
      </c>
      <c r="C1100" s="21">
        <f t="shared" si="36"/>
        <v>2.68164232096339</v>
      </c>
      <c r="D1100" s="21">
        <f t="shared" si="37"/>
        <v>1.36170212765957</v>
      </c>
    </row>
    <row r="1101" ht="14.4" spans="2:4">
      <c r="B1101" s="20">
        <v>4356</v>
      </c>
      <c r="C1101" s="21">
        <f t="shared" si="36"/>
        <v>2.68453039734514</v>
      </c>
      <c r="D1101" s="21">
        <f t="shared" si="37"/>
        <v>1.36215497173262</v>
      </c>
    </row>
    <row r="1102" ht="14.4" spans="2:4">
      <c r="B1102" s="20">
        <v>4360</v>
      </c>
      <c r="C1102" s="21">
        <f t="shared" si="36"/>
        <v>2.6874194343377</v>
      </c>
      <c r="D1102" s="21">
        <f t="shared" si="37"/>
        <v>1.36260811709914</v>
      </c>
    </row>
    <row r="1103" ht="14.4" spans="2:4">
      <c r="B1103" s="20">
        <v>4364</v>
      </c>
      <c r="C1103" s="21">
        <f t="shared" si="36"/>
        <v>2.69030943258032</v>
      </c>
      <c r="D1103" s="21">
        <f t="shared" si="37"/>
        <v>1.3630615640599</v>
      </c>
    </row>
    <row r="1104" ht="14.4" spans="2:4">
      <c r="B1104" s="20">
        <v>4368</v>
      </c>
      <c r="C1104" s="21">
        <f t="shared" si="36"/>
        <v>2.69320039271287</v>
      </c>
      <c r="D1104" s="21">
        <f t="shared" si="37"/>
        <v>1.36351531291611</v>
      </c>
    </row>
    <row r="1105" ht="14.4" spans="2:4">
      <c r="B1105" s="20">
        <v>4372</v>
      </c>
      <c r="C1105" s="21">
        <f t="shared" si="36"/>
        <v>2.69609231537586</v>
      </c>
      <c r="D1105" s="21">
        <f t="shared" si="37"/>
        <v>1.36396936396936</v>
      </c>
    </row>
    <row r="1106" ht="14.4" spans="2:4">
      <c r="B1106" s="20">
        <v>4376</v>
      </c>
      <c r="C1106" s="21">
        <f t="shared" si="36"/>
        <v>2.69898520121046</v>
      </c>
      <c r="D1106" s="21">
        <f t="shared" si="37"/>
        <v>1.36442371752165</v>
      </c>
    </row>
    <row r="1107" ht="14.4" spans="2:4">
      <c r="B1107" s="20">
        <v>4380</v>
      </c>
      <c r="C1107" s="21">
        <f t="shared" si="36"/>
        <v>2.70187905085843</v>
      </c>
      <c r="D1107" s="21">
        <f t="shared" si="37"/>
        <v>1.36487837387537</v>
      </c>
    </row>
    <row r="1108" ht="14.4" spans="2:4">
      <c r="B1108" s="20">
        <v>4384</v>
      </c>
      <c r="C1108" s="21">
        <f t="shared" si="36"/>
        <v>2.70477386496224</v>
      </c>
      <c r="D1108" s="21">
        <f t="shared" si="37"/>
        <v>1.36533333333333</v>
      </c>
    </row>
    <row r="1109" ht="14.4" spans="2:4">
      <c r="B1109" s="20">
        <v>4388</v>
      </c>
      <c r="C1109" s="21">
        <f t="shared" si="36"/>
        <v>2.70766964416494</v>
      </c>
      <c r="D1109" s="21">
        <f t="shared" si="37"/>
        <v>1.36578859619873</v>
      </c>
    </row>
    <row r="1110" ht="14.4" spans="2:4">
      <c r="B1110" s="20">
        <v>4392</v>
      </c>
      <c r="C1110" s="21">
        <f t="shared" si="36"/>
        <v>2.71056638911027</v>
      </c>
      <c r="D1110" s="21">
        <f t="shared" si="37"/>
        <v>1.36624416277518</v>
      </c>
    </row>
    <row r="1111" ht="14.4" spans="2:4">
      <c r="B1111" s="20">
        <v>4396</v>
      </c>
      <c r="C1111" s="21">
        <f t="shared" si="36"/>
        <v>2.71346410044259</v>
      </c>
      <c r="D1111" s="21">
        <f t="shared" si="37"/>
        <v>1.3667000333667</v>
      </c>
    </row>
    <row r="1112" ht="14.4" spans="2:4">
      <c r="B1112" s="20">
        <v>4400</v>
      </c>
      <c r="C1112" s="21">
        <f t="shared" si="36"/>
        <v>2.71636277880691</v>
      </c>
      <c r="D1112" s="21">
        <f t="shared" si="37"/>
        <v>1.3671562082777</v>
      </c>
    </row>
    <row r="1113" ht="14.4" spans="2:4">
      <c r="B1113" s="20">
        <v>4404</v>
      </c>
      <c r="C1113" s="21">
        <f t="shared" si="36"/>
        <v>2.71926242484888</v>
      </c>
      <c r="D1113" s="21">
        <f t="shared" si="37"/>
        <v>1.36761268781302</v>
      </c>
    </row>
    <row r="1114" ht="14.4" spans="2:4">
      <c r="B1114" s="20">
        <v>4408</v>
      </c>
      <c r="C1114" s="21">
        <f t="shared" si="36"/>
        <v>2.72216303921482</v>
      </c>
      <c r="D1114" s="21">
        <f t="shared" si="37"/>
        <v>1.36806947227789</v>
      </c>
    </row>
    <row r="1115" ht="14.4" spans="2:4">
      <c r="B1115" s="20">
        <v>4412</v>
      </c>
      <c r="C1115" s="21">
        <f t="shared" si="36"/>
        <v>2.72506462255166</v>
      </c>
      <c r="D1115" s="21">
        <f t="shared" si="37"/>
        <v>1.36852656197795</v>
      </c>
    </row>
    <row r="1116" ht="14.4" spans="2:4">
      <c r="B1116" s="20">
        <v>4416</v>
      </c>
      <c r="C1116" s="21">
        <f t="shared" si="36"/>
        <v>2.72796717550701</v>
      </c>
      <c r="D1116" s="21">
        <f t="shared" si="37"/>
        <v>1.36898395721925</v>
      </c>
    </row>
    <row r="1117" ht="14.4" spans="2:4">
      <c r="B1117" s="20">
        <v>4420</v>
      </c>
      <c r="C1117" s="21">
        <f t="shared" si="36"/>
        <v>2.73087069872912</v>
      </c>
      <c r="D1117" s="21">
        <f t="shared" si="37"/>
        <v>1.36944165830826</v>
      </c>
    </row>
    <row r="1118" ht="14.4" spans="2:4">
      <c r="B1118" s="20">
        <v>4424</v>
      </c>
      <c r="C1118" s="21">
        <f t="shared" si="36"/>
        <v>2.73377519286689</v>
      </c>
      <c r="D1118" s="21">
        <f t="shared" si="37"/>
        <v>1.36989966555184</v>
      </c>
    </row>
    <row r="1119" ht="14.4" spans="2:4">
      <c r="B1119" s="20">
        <v>4428</v>
      </c>
      <c r="C1119" s="21">
        <f t="shared" si="36"/>
        <v>2.73668065856987</v>
      </c>
      <c r="D1119" s="21">
        <f t="shared" si="37"/>
        <v>1.37035797925728</v>
      </c>
    </row>
    <row r="1120" ht="14.4" spans="2:4">
      <c r="B1120" s="20">
        <v>4432</v>
      </c>
      <c r="C1120" s="21">
        <f t="shared" si="36"/>
        <v>2.73958709648826</v>
      </c>
      <c r="D1120" s="21">
        <f t="shared" si="37"/>
        <v>1.37081659973226</v>
      </c>
    </row>
    <row r="1121" ht="14.4" spans="2:4">
      <c r="B1121" s="20">
        <v>4436</v>
      </c>
      <c r="C1121" s="21">
        <f t="shared" si="36"/>
        <v>2.74249450727292</v>
      </c>
      <c r="D1121" s="21">
        <f t="shared" si="37"/>
        <v>1.3712755272849</v>
      </c>
    </row>
    <row r="1122" ht="14.4" spans="2:4">
      <c r="B1122" s="20">
        <v>4440</v>
      </c>
      <c r="C1122" s="21">
        <f t="shared" si="36"/>
        <v>2.74540289157535</v>
      </c>
      <c r="D1122" s="21">
        <f t="shared" si="37"/>
        <v>1.37173476222371</v>
      </c>
    </row>
    <row r="1123" ht="14.4" spans="2:4">
      <c r="B1123" s="20">
        <v>4444</v>
      </c>
      <c r="C1123" s="21">
        <f t="shared" si="36"/>
        <v>2.74831225004773</v>
      </c>
      <c r="D1123" s="21">
        <f t="shared" si="37"/>
        <v>1.37219430485762</v>
      </c>
    </row>
    <row r="1124" ht="14.4" spans="2:4">
      <c r="B1124" s="20">
        <v>4448</v>
      </c>
      <c r="C1124" s="21">
        <f t="shared" si="36"/>
        <v>2.75122258334286</v>
      </c>
      <c r="D1124" s="21">
        <f t="shared" si="37"/>
        <v>1.37265415549598</v>
      </c>
    </row>
    <row r="1125" ht="14.4" spans="2:4">
      <c r="B1125" s="20">
        <v>4452</v>
      </c>
      <c r="C1125" s="21">
        <f t="shared" si="36"/>
        <v>2.75413389211423</v>
      </c>
      <c r="D1125" s="21">
        <f t="shared" si="37"/>
        <v>1.37311431444854</v>
      </c>
    </row>
    <row r="1126" ht="14.4" spans="2:4">
      <c r="B1126" s="20">
        <v>4456</v>
      </c>
      <c r="C1126" s="21">
        <f t="shared" si="36"/>
        <v>2.75704617701597</v>
      </c>
      <c r="D1126" s="21">
        <f t="shared" si="37"/>
        <v>1.37357478202549</v>
      </c>
    </row>
    <row r="1127" ht="14.4" spans="2:4">
      <c r="B1127" s="20">
        <v>4460</v>
      </c>
      <c r="C1127" s="21">
        <f t="shared" si="36"/>
        <v>2.75995943870287</v>
      </c>
      <c r="D1127" s="21">
        <f t="shared" si="37"/>
        <v>1.3740355585374</v>
      </c>
    </row>
    <row r="1128" ht="14.4" spans="2:4">
      <c r="B1128" s="20">
        <v>4464</v>
      </c>
      <c r="C1128" s="21">
        <f t="shared" si="36"/>
        <v>2.76287367783038</v>
      </c>
      <c r="D1128" s="21">
        <f t="shared" si="37"/>
        <v>1.3744966442953</v>
      </c>
    </row>
    <row r="1129" ht="14.4" spans="2:4">
      <c r="B1129" s="20">
        <v>4468</v>
      </c>
      <c r="C1129" s="21">
        <f t="shared" si="36"/>
        <v>2.76578889505461</v>
      </c>
      <c r="D1129" s="21">
        <f t="shared" si="37"/>
        <v>1.37495803961061</v>
      </c>
    </row>
    <row r="1130" ht="14.4" spans="2:4">
      <c r="B1130" s="20">
        <v>4472</v>
      </c>
      <c r="C1130" s="21">
        <f t="shared" si="36"/>
        <v>2.76870509103234</v>
      </c>
      <c r="D1130" s="21">
        <f t="shared" si="37"/>
        <v>1.37541974479516</v>
      </c>
    </row>
    <row r="1131" ht="14.4" spans="2:4">
      <c r="B1131" s="20">
        <v>4476</v>
      </c>
      <c r="C1131" s="21">
        <f t="shared" si="36"/>
        <v>2.77162226642099</v>
      </c>
      <c r="D1131" s="21">
        <f t="shared" si="37"/>
        <v>1.37588176016124</v>
      </c>
    </row>
    <row r="1132" ht="14.4" spans="2:4">
      <c r="B1132" s="20">
        <v>4480</v>
      </c>
      <c r="C1132" s="21">
        <f t="shared" si="36"/>
        <v>2.77454042187867</v>
      </c>
      <c r="D1132" s="21">
        <f t="shared" si="37"/>
        <v>1.37634408602151</v>
      </c>
    </row>
    <row r="1133" ht="14.4" spans="2:4">
      <c r="B1133" s="20">
        <v>4484</v>
      </c>
      <c r="C1133" s="21">
        <f t="shared" si="36"/>
        <v>2.77745955806412</v>
      </c>
      <c r="D1133" s="21">
        <f t="shared" si="37"/>
        <v>1.37680672268908</v>
      </c>
    </row>
    <row r="1134" ht="14.4" spans="2:4">
      <c r="B1134" s="20">
        <v>4488</v>
      </c>
      <c r="C1134" s="21">
        <f t="shared" si="36"/>
        <v>2.78037967563678</v>
      </c>
      <c r="D1134" s="21">
        <f t="shared" si="37"/>
        <v>1.37726967047747</v>
      </c>
    </row>
    <row r="1135" ht="14.4" spans="2:4">
      <c r="B1135" s="20">
        <v>4492</v>
      </c>
      <c r="C1135" s="21">
        <f t="shared" si="36"/>
        <v>2.78330077525673</v>
      </c>
      <c r="D1135" s="21">
        <f t="shared" si="37"/>
        <v>1.37773292970064</v>
      </c>
    </row>
    <row r="1136" ht="14.4" spans="2:4">
      <c r="B1136" s="20">
        <v>4496</v>
      </c>
      <c r="C1136" s="21">
        <f t="shared" si="36"/>
        <v>2.78622285758473</v>
      </c>
      <c r="D1136" s="21">
        <f t="shared" si="37"/>
        <v>1.37819650067295</v>
      </c>
    </row>
    <row r="1137" ht="14.4" spans="2:4">
      <c r="B1137" s="20">
        <v>4500</v>
      </c>
      <c r="C1137" s="21">
        <f t="shared" si="36"/>
        <v>2.78914592328221</v>
      </c>
      <c r="D1137" s="21">
        <f t="shared" si="37"/>
        <v>1.37866038370919</v>
      </c>
    </row>
    <row r="1138" ht="14.4" spans="2:4">
      <c r="B1138" s="20">
        <v>4504</v>
      </c>
      <c r="C1138" s="21">
        <f t="shared" si="36"/>
        <v>2.79206997301124</v>
      </c>
      <c r="D1138" s="21">
        <f t="shared" si="37"/>
        <v>1.37912457912458</v>
      </c>
    </row>
    <row r="1139" ht="14.4" spans="2:4">
      <c r="B1139" s="20">
        <v>4508</v>
      </c>
      <c r="C1139" s="21">
        <f t="shared" si="36"/>
        <v>2.79499500743459</v>
      </c>
      <c r="D1139" s="21">
        <f t="shared" si="37"/>
        <v>1.37958908723476</v>
      </c>
    </row>
    <row r="1140" ht="14.4" spans="2:4">
      <c r="B1140" s="20">
        <v>4512</v>
      </c>
      <c r="C1140" s="21">
        <f t="shared" si="36"/>
        <v>2.7979210272157</v>
      </c>
      <c r="D1140" s="21">
        <f t="shared" si="37"/>
        <v>1.3800539083558</v>
      </c>
    </row>
    <row r="1141" ht="14.4" spans="2:4">
      <c r="B1141" s="20">
        <v>4516</v>
      </c>
      <c r="C1141" s="21">
        <f t="shared" si="36"/>
        <v>2.80084803301865</v>
      </c>
      <c r="D1141" s="21">
        <f t="shared" si="37"/>
        <v>1.38051904280418</v>
      </c>
    </row>
    <row r="1142" ht="14.4" spans="2:4">
      <c r="B1142" s="20">
        <v>4520</v>
      </c>
      <c r="C1142" s="21">
        <f t="shared" si="36"/>
        <v>2.80377602550822</v>
      </c>
      <c r="D1142" s="21">
        <f t="shared" si="37"/>
        <v>1.38098449089683</v>
      </c>
    </row>
    <row r="1143" ht="14.4" spans="2:4">
      <c r="B1143" s="20">
        <v>4524</v>
      </c>
      <c r="C1143" s="21">
        <f t="shared" ref="C1143:C1206" si="38">20*LOG(D1143)</f>
        <v>2.80670500534986</v>
      </c>
      <c r="D1143" s="21">
        <f t="shared" ref="D1143:D1206" si="39">16384/(16384-B1143)</f>
        <v>1.3814502529511</v>
      </c>
    </row>
    <row r="1144" ht="14.4" spans="2:4">
      <c r="B1144" s="20">
        <v>4528</v>
      </c>
      <c r="C1144" s="21">
        <f t="shared" si="38"/>
        <v>2.80963497320968</v>
      </c>
      <c r="D1144" s="21">
        <f t="shared" si="39"/>
        <v>1.38191632928475</v>
      </c>
    </row>
    <row r="1145" ht="14.4" spans="2:4">
      <c r="B1145" s="20">
        <v>4532</v>
      </c>
      <c r="C1145" s="21">
        <f t="shared" si="38"/>
        <v>2.81256592975446</v>
      </c>
      <c r="D1145" s="21">
        <f t="shared" si="39"/>
        <v>1.382382720216</v>
      </c>
    </row>
    <row r="1146" ht="14.4" spans="2:4">
      <c r="B1146" s="20">
        <v>4536</v>
      </c>
      <c r="C1146" s="21">
        <f t="shared" si="38"/>
        <v>2.81549787565169</v>
      </c>
      <c r="D1146" s="21">
        <f t="shared" si="39"/>
        <v>1.38284942606347</v>
      </c>
    </row>
    <row r="1147" ht="14.4" spans="2:4">
      <c r="B1147" s="20">
        <v>4540</v>
      </c>
      <c r="C1147" s="21">
        <f t="shared" si="38"/>
        <v>2.8184308115695</v>
      </c>
      <c r="D1147" s="21">
        <f t="shared" si="39"/>
        <v>1.38331644714623</v>
      </c>
    </row>
    <row r="1148" ht="14.4" spans="2:4">
      <c r="B1148" s="20">
        <v>4544</v>
      </c>
      <c r="C1148" s="21">
        <f t="shared" si="38"/>
        <v>2.82136473817672</v>
      </c>
      <c r="D1148" s="21">
        <f t="shared" si="39"/>
        <v>1.38378378378378</v>
      </c>
    </row>
    <row r="1149" ht="14.4" spans="2:4">
      <c r="B1149" s="20">
        <v>4548</v>
      </c>
      <c r="C1149" s="21">
        <f t="shared" si="38"/>
        <v>2.82429965614283</v>
      </c>
      <c r="D1149" s="21">
        <f t="shared" si="39"/>
        <v>1.38425143629605</v>
      </c>
    </row>
    <row r="1150" ht="14.4" spans="2:4">
      <c r="B1150" s="20">
        <v>4552</v>
      </c>
      <c r="C1150" s="21">
        <f t="shared" si="38"/>
        <v>2.82723556613801</v>
      </c>
      <c r="D1150" s="21">
        <f t="shared" si="39"/>
        <v>1.38471940500338</v>
      </c>
    </row>
    <row r="1151" ht="14.4" spans="2:4">
      <c r="B1151" s="20">
        <v>4556</v>
      </c>
      <c r="C1151" s="21">
        <f t="shared" si="38"/>
        <v>2.83017246883313</v>
      </c>
      <c r="D1151" s="21">
        <f t="shared" si="39"/>
        <v>1.38518769022658</v>
      </c>
    </row>
    <row r="1152" ht="14.4" spans="2:4">
      <c r="B1152" s="20">
        <v>4560</v>
      </c>
      <c r="C1152" s="21">
        <f t="shared" si="38"/>
        <v>2.83311036489972</v>
      </c>
      <c r="D1152" s="21">
        <f t="shared" si="39"/>
        <v>1.38565629228687</v>
      </c>
    </row>
    <row r="1153" ht="14.4" spans="2:4">
      <c r="B1153" s="20">
        <v>4564</v>
      </c>
      <c r="C1153" s="21">
        <f t="shared" si="38"/>
        <v>2.83604925501</v>
      </c>
      <c r="D1153" s="21">
        <f t="shared" si="39"/>
        <v>1.38612521150592</v>
      </c>
    </row>
    <row r="1154" ht="14.4" spans="2:4">
      <c r="B1154" s="20">
        <v>4568</v>
      </c>
      <c r="C1154" s="21">
        <f t="shared" si="38"/>
        <v>2.83898913983687</v>
      </c>
      <c r="D1154" s="21">
        <f t="shared" si="39"/>
        <v>1.38659444820582</v>
      </c>
    </row>
    <row r="1155" ht="14.4" spans="2:4">
      <c r="B1155" s="20">
        <v>4572</v>
      </c>
      <c r="C1155" s="21">
        <f t="shared" si="38"/>
        <v>2.84193002005392</v>
      </c>
      <c r="D1155" s="21">
        <f t="shared" si="39"/>
        <v>1.38706400270911</v>
      </c>
    </row>
    <row r="1156" ht="14.4" spans="2:4">
      <c r="B1156" s="20">
        <v>4576</v>
      </c>
      <c r="C1156" s="21">
        <f t="shared" si="38"/>
        <v>2.84487189633541</v>
      </c>
      <c r="D1156" s="21">
        <f t="shared" si="39"/>
        <v>1.38753387533875</v>
      </c>
    </row>
    <row r="1157" ht="14.4" spans="2:4">
      <c r="B1157" s="20">
        <v>4580</v>
      </c>
      <c r="C1157" s="21">
        <f t="shared" si="38"/>
        <v>2.8478147693563</v>
      </c>
      <c r="D1157" s="21">
        <f t="shared" si="39"/>
        <v>1.38800406641816</v>
      </c>
    </row>
    <row r="1158" ht="14.4" spans="2:4">
      <c r="B1158" s="20">
        <v>4584</v>
      </c>
      <c r="C1158" s="21">
        <f t="shared" si="38"/>
        <v>2.85075863979223</v>
      </c>
      <c r="D1158" s="21">
        <f t="shared" si="39"/>
        <v>1.38847457627119</v>
      </c>
    </row>
    <row r="1159" ht="14.4" spans="2:4">
      <c r="B1159" s="20">
        <v>4588</v>
      </c>
      <c r="C1159" s="21">
        <f t="shared" si="38"/>
        <v>2.85370350831953</v>
      </c>
      <c r="D1159" s="21">
        <f t="shared" si="39"/>
        <v>1.38894540522211</v>
      </c>
    </row>
    <row r="1160" ht="14.4" spans="2:4">
      <c r="B1160" s="20">
        <v>4592</v>
      </c>
      <c r="C1160" s="21">
        <f t="shared" si="38"/>
        <v>2.85664937561521</v>
      </c>
      <c r="D1160" s="21">
        <f t="shared" si="39"/>
        <v>1.38941655359566</v>
      </c>
    </row>
    <row r="1161" ht="14.4" spans="2:4">
      <c r="B1161" s="20">
        <v>4596</v>
      </c>
      <c r="C1161" s="21">
        <f t="shared" si="38"/>
        <v>2.85959624235698</v>
      </c>
      <c r="D1161" s="21">
        <f t="shared" si="39"/>
        <v>1.389888021717</v>
      </c>
    </row>
    <row r="1162" ht="14.4" spans="2:4">
      <c r="B1162" s="20">
        <v>4600</v>
      </c>
      <c r="C1162" s="21">
        <f t="shared" si="38"/>
        <v>2.86254410922324</v>
      </c>
      <c r="D1162" s="21">
        <f t="shared" si="39"/>
        <v>1.39035980991174</v>
      </c>
    </row>
    <row r="1163" ht="14.4" spans="2:4">
      <c r="B1163" s="20">
        <v>4604</v>
      </c>
      <c r="C1163" s="21">
        <f t="shared" si="38"/>
        <v>2.86549297689308</v>
      </c>
      <c r="D1163" s="21">
        <f t="shared" si="39"/>
        <v>1.39083191850594</v>
      </c>
    </row>
    <row r="1164" ht="14.4" spans="2:4">
      <c r="B1164" s="20">
        <v>4608</v>
      </c>
      <c r="C1164" s="21">
        <f t="shared" si="38"/>
        <v>2.86844284604626</v>
      </c>
      <c r="D1164" s="21">
        <f t="shared" si="39"/>
        <v>1.39130434782609</v>
      </c>
    </row>
    <row r="1165" ht="14.4" spans="2:4">
      <c r="B1165" s="20">
        <v>4612</v>
      </c>
      <c r="C1165" s="21">
        <f t="shared" si="38"/>
        <v>2.87139371736327</v>
      </c>
      <c r="D1165" s="21">
        <f t="shared" si="39"/>
        <v>1.39177709819912</v>
      </c>
    </row>
    <row r="1166" ht="14.4" spans="2:4">
      <c r="B1166" s="20">
        <v>4616</v>
      </c>
      <c r="C1166" s="21">
        <f t="shared" si="38"/>
        <v>2.87434559152526</v>
      </c>
      <c r="D1166" s="21">
        <f t="shared" si="39"/>
        <v>1.39225016995241</v>
      </c>
    </row>
    <row r="1167" ht="14.4" spans="2:4">
      <c r="B1167" s="20">
        <v>4620</v>
      </c>
      <c r="C1167" s="21">
        <f t="shared" si="38"/>
        <v>2.8772984692141</v>
      </c>
      <c r="D1167" s="21">
        <f t="shared" si="39"/>
        <v>1.3927235634138</v>
      </c>
    </row>
    <row r="1168" ht="14.4" spans="2:4">
      <c r="B1168" s="20">
        <v>4624</v>
      </c>
      <c r="C1168" s="21">
        <f t="shared" si="38"/>
        <v>2.88025235111234</v>
      </c>
      <c r="D1168" s="21">
        <f t="shared" si="39"/>
        <v>1.39319727891156</v>
      </c>
    </row>
    <row r="1169" ht="14.4" spans="2:4">
      <c r="B1169" s="20">
        <v>4628</v>
      </c>
      <c r="C1169" s="21">
        <f t="shared" si="38"/>
        <v>2.88320723790324</v>
      </c>
      <c r="D1169" s="21">
        <f t="shared" si="39"/>
        <v>1.39367131677441</v>
      </c>
    </row>
    <row r="1170" ht="14.4" spans="2:4">
      <c r="B1170" s="20">
        <v>4632</v>
      </c>
      <c r="C1170" s="21">
        <f t="shared" si="38"/>
        <v>2.88616313027073</v>
      </c>
      <c r="D1170" s="21">
        <f t="shared" si="39"/>
        <v>1.39414567733152</v>
      </c>
    </row>
    <row r="1171" ht="14.4" spans="2:4">
      <c r="B1171" s="20">
        <v>4636</v>
      </c>
      <c r="C1171" s="21">
        <f t="shared" si="38"/>
        <v>2.88912002889948</v>
      </c>
      <c r="D1171" s="21">
        <f t="shared" si="39"/>
        <v>1.3946203609125</v>
      </c>
    </row>
    <row r="1172" ht="14.4" spans="2:4">
      <c r="B1172" s="20">
        <v>4640</v>
      </c>
      <c r="C1172" s="21">
        <f t="shared" si="38"/>
        <v>2.89207793447483</v>
      </c>
      <c r="D1172" s="21">
        <f t="shared" si="39"/>
        <v>1.39509536784741</v>
      </c>
    </row>
    <row r="1173" ht="14.4" spans="2:4">
      <c r="B1173" s="20">
        <v>4644</v>
      </c>
      <c r="C1173" s="21">
        <f t="shared" si="38"/>
        <v>2.89503684768282</v>
      </c>
      <c r="D1173" s="21">
        <f t="shared" si="39"/>
        <v>1.39557069846678</v>
      </c>
    </row>
    <row r="1174" ht="14.4" spans="2:4">
      <c r="B1174" s="20">
        <v>4648</v>
      </c>
      <c r="C1174" s="21">
        <f t="shared" si="38"/>
        <v>2.89799676921021</v>
      </c>
      <c r="D1174" s="21">
        <f t="shared" si="39"/>
        <v>1.39604635310157</v>
      </c>
    </row>
    <row r="1175" ht="14.4" spans="2:4">
      <c r="B1175" s="20">
        <v>4652</v>
      </c>
      <c r="C1175" s="21">
        <f t="shared" si="38"/>
        <v>2.90095769974444</v>
      </c>
      <c r="D1175" s="21">
        <f t="shared" si="39"/>
        <v>1.39652233208319</v>
      </c>
    </row>
    <row r="1176" ht="14.4" spans="2:4">
      <c r="B1176" s="20">
        <v>4656</v>
      </c>
      <c r="C1176" s="21">
        <f t="shared" si="38"/>
        <v>2.90391963997368</v>
      </c>
      <c r="D1176" s="21">
        <f t="shared" si="39"/>
        <v>1.39699863574352</v>
      </c>
    </row>
    <row r="1177" ht="14.4" spans="2:4">
      <c r="B1177" s="20">
        <v>4660</v>
      </c>
      <c r="C1177" s="21">
        <f t="shared" si="38"/>
        <v>2.90688259058678</v>
      </c>
      <c r="D1177" s="21">
        <f t="shared" si="39"/>
        <v>1.39747526441488</v>
      </c>
    </row>
    <row r="1178" ht="14.4" spans="2:4">
      <c r="B1178" s="20">
        <v>4664</v>
      </c>
      <c r="C1178" s="21">
        <f t="shared" si="38"/>
        <v>2.9098465522733</v>
      </c>
      <c r="D1178" s="21">
        <f t="shared" si="39"/>
        <v>1.39795221843003</v>
      </c>
    </row>
    <row r="1179" ht="14.4" spans="2:4">
      <c r="B1179" s="20">
        <v>4668</v>
      </c>
      <c r="C1179" s="21">
        <f t="shared" si="38"/>
        <v>2.91281152572351</v>
      </c>
      <c r="D1179" s="21">
        <f t="shared" si="39"/>
        <v>1.39842949812223</v>
      </c>
    </row>
    <row r="1180" ht="14.4" spans="2:4">
      <c r="B1180" s="20">
        <v>4672</v>
      </c>
      <c r="C1180" s="21">
        <f t="shared" si="38"/>
        <v>2.9157775116284</v>
      </c>
      <c r="D1180" s="21">
        <f t="shared" si="39"/>
        <v>1.39890710382514</v>
      </c>
    </row>
    <row r="1181" ht="14.4" spans="2:4">
      <c r="B1181" s="20">
        <v>4676</v>
      </c>
      <c r="C1181" s="21">
        <f t="shared" si="38"/>
        <v>2.91874451067965</v>
      </c>
      <c r="D1181" s="21">
        <f t="shared" si="39"/>
        <v>1.39938503587291</v>
      </c>
    </row>
    <row r="1182" ht="14.4" spans="2:4">
      <c r="B1182" s="20">
        <v>4680</v>
      </c>
      <c r="C1182" s="21">
        <f t="shared" si="38"/>
        <v>2.92171252356965</v>
      </c>
      <c r="D1182" s="21">
        <f t="shared" si="39"/>
        <v>1.39986329460014</v>
      </c>
    </row>
    <row r="1183" ht="14.4" spans="2:4">
      <c r="B1183" s="20">
        <v>4684</v>
      </c>
      <c r="C1183" s="21">
        <f t="shared" si="38"/>
        <v>2.9246815509915</v>
      </c>
      <c r="D1183" s="21">
        <f t="shared" si="39"/>
        <v>1.40034188034188</v>
      </c>
    </row>
    <row r="1184" ht="14.4" spans="2:4">
      <c r="B1184" s="20">
        <v>4688</v>
      </c>
      <c r="C1184" s="21">
        <f t="shared" si="38"/>
        <v>2.92765159363903</v>
      </c>
      <c r="D1184" s="21">
        <f t="shared" si="39"/>
        <v>1.40082079343365</v>
      </c>
    </row>
    <row r="1185" ht="14.4" spans="2:4">
      <c r="B1185" s="20">
        <v>4692</v>
      </c>
      <c r="C1185" s="21">
        <f t="shared" si="38"/>
        <v>2.93062265220676</v>
      </c>
      <c r="D1185" s="21">
        <f t="shared" si="39"/>
        <v>1.40130003421143</v>
      </c>
    </row>
    <row r="1186" ht="14.4" spans="2:4">
      <c r="B1186" s="20">
        <v>4696</v>
      </c>
      <c r="C1186" s="21">
        <f t="shared" si="38"/>
        <v>2.93359472738993</v>
      </c>
      <c r="D1186" s="21">
        <f t="shared" si="39"/>
        <v>1.40177960301164</v>
      </c>
    </row>
    <row r="1187" ht="14.4" spans="2:4">
      <c r="B1187" s="20">
        <v>4700</v>
      </c>
      <c r="C1187" s="21">
        <f t="shared" si="38"/>
        <v>2.93656781988449</v>
      </c>
      <c r="D1187" s="21">
        <f t="shared" si="39"/>
        <v>1.40225950017117</v>
      </c>
    </row>
    <row r="1188" ht="14.4" spans="2:4">
      <c r="B1188" s="20">
        <v>4704</v>
      </c>
      <c r="C1188" s="21">
        <f t="shared" si="38"/>
        <v>2.93954193038712</v>
      </c>
      <c r="D1188" s="21">
        <f t="shared" si="39"/>
        <v>1.4027397260274</v>
      </c>
    </row>
    <row r="1189" ht="14.4" spans="2:4">
      <c r="B1189" s="20">
        <v>4708</v>
      </c>
      <c r="C1189" s="21">
        <f t="shared" si="38"/>
        <v>2.9425170595952</v>
      </c>
      <c r="D1189" s="21">
        <f t="shared" si="39"/>
        <v>1.40322028091812</v>
      </c>
    </row>
    <row r="1190" ht="14.4" spans="2:4">
      <c r="B1190" s="20">
        <v>4712</v>
      </c>
      <c r="C1190" s="21">
        <f t="shared" si="38"/>
        <v>2.94549320820683</v>
      </c>
      <c r="D1190" s="21">
        <f t="shared" si="39"/>
        <v>1.40370116518163</v>
      </c>
    </row>
    <row r="1191" ht="14.4" spans="2:4">
      <c r="B1191" s="20">
        <v>4716</v>
      </c>
      <c r="C1191" s="21">
        <f t="shared" si="38"/>
        <v>2.94847037692083</v>
      </c>
      <c r="D1191" s="21">
        <f t="shared" si="39"/>
        <v>1.40418237915667</v>
      </c>
    </row>
    <row r="1192" ht="14.4" spans="2:4">
      <c r="B1192" s="20">
        <v>4720</v>
      </c>
      <c r="C1192" s="21">
        <f t="shared" si="38"/>
        <v>2.95144856643675</v>
      </c>
      <c r="D1192" s="21">
        <f t="shared" si="39"/>
        <v>1.40466392318244</v>
      </c>
    </row>
    <row r="1193" ht="14.4" spans="2:4">
      <c r="B1193" s="20">
        <v>4724</v>
      </c>
      <c r="C1193" s="21">
        <f t="shared" si="38"/>
        <v>2.95442777745483</v>
      </c>
      <c r="D1193" s="21">
        <f t="shared" si="39"/>
        <v>1.40514579759863</v>
      </c>
    </row>
    <row r="1194" ht="14.4" spans="2:4">
      <c r="B1194" s="20">
        <v>4728</v>
      </c>
      <c r="C1194" s="21">
        <f t="shared" si="38"/>
        <v>2.95740801067606</v>
      </c>
      <c r="D1194" s="21">
        <f t="shared" si="39"/>
        <v>1.40562800274537</v>
      </c>
    </row>
    <row r="1195" ht="14.4" spans="2:4">
      <c r="B1195" s="20">
        <v>4732</v>
      </c>
      <c r="C1195" s="21">
        <f t="shared" si="38"/>
        <v>2.96038926680214</v>
      </c>
      <c r="D1195" s="21">
        <f t="shared" si="39"/>
        <v>1.40611053896327</v>
      </c>
    </row>
    <row r="1196" ht="14.4" spans="2:4">
      <c r="B1196" s="20">
        <v>4736</v>
      </c>
      <c r="C1196" s="21">
        <f t="shared" si="38"/>
        <v>2.9633715465355</v>
      </c>
      <c r="D1196" s="21">
        <f t="shared" si="39"/>
        <v>1.40659340659341</v>
      </c>
    </row>
    <row r="1197" ht="14.4" spans="2:4">
      <c r="B1197" s="20">
        <v>4740</v>
      </c>
      <c r="C1197" s="21">
        <f t="shared" si="38"/>
        <v>2.96635485057927</v>
      </c>
      <c r="D1197" s="21">
        <f t="shared" si="39"/>
        <v>1.40707660597733</v>
      </c>
    </row>
    <row r="1198" ht="14.4" spans="2:4">
      <c r="B1198" s="20">
        <v>4744</v>
      </c>
      <c r="C1198" s="21">
        <f t="shared" si="38"/>
        <v>2.96933917963734</v>
      </c>
      <c r="D1198" s="21">
        <f t="shared" si="39"/>
        <v>1.40756013745704</v>
      </c>
    </row>
    <row r="1199" ht="14.4" spans="2:4">
      <c r="B1199" s="20">
        <v>4748</v>
      </c>
      <c r="C1199" s="21">
        <f t="shared" si="38"/>
        <v>2.9723245344143</v>
      </c>
      <c r="D1199" s="21">
        <f t="shared" si="39"/>
        <v>1.40804400137504</v>
      </c>
    </row>
    <row r="1200" ht="14.4" spans="2:4">
      <c r="B1200" s="20">
        <v>4752</v>
      </c>
      <c r="C1200" s="21">
        <f t="shared" si="38"/>
        <v>2.97531091561548</v>
      </c>
      <c r="D1200" s="21">
        <f t="shared" si="39"/>
        <v>1.40852819807428</v>
      </c>
    </row>
    <row r="1201" ht="14.4" spans="2:4">
      <c r="B1201" s="20">
        <v>4756</v>
      </c>
      <c r="C1201" s="21">
        <f t="shared" si="38"/>
        <v>2.97829832394693</v>
      </c>
      <c r="D1201" s="21">
        <f t="shared" si="39"/>
        <v>1.40901272789818</v>
      </c>
    </row>
    <row r="1202" ht="14.4" spans="2:4">
      <c r="B1202" s="20">
        <v>4760</v>
      </c>
      <c r="C1202" s="21">
        <f t="shared" si="38"/>
        <v>2.98128676011543</v>
      </c>
      <c r="D1202" s="21">
        <f t="shared" si="39"/>
        <v>1.40949759119064</v>
      </c>
    </row>
    <row r="1203" ht="14.4" spans="2:4">
      <c r="B1203" s="20">
        <v>4764</v>
      </c>
      <c r="C1203" s="21">
        <f t="shared" si="38"/>
        <v>2.9842762248285</v>
      </c>
      <c r="D1203" s="21">
        <f t="shared" si="39"/>
        <v>1.40998278829604</v>
      </c>
    </row>
    <row r="1204" ht="14.4" spans="2:4">
      <c r="B1204" s="20">
        <v>4768</v>
      </c>
      <c r="C1204" s="21">
        <f t="shared" si="38"/>
        <v>2.98726671879437</v>
      </c>
      <c r="D1204" s="21">
        <f t="shared" si="39"/>
        <v>1.41046831955923</v>
      </c>
    </row>
    <row r="1205" ht="14.4" spans="2:4">
      <c r="B1205" s="20">
        <v>4772</v>
      </c>
      <c r="C1205" s="21">
        <f t="shared" si="38"/>
        <v>2.99025824272201</v>
      </c>
      <c r="D1205" s="21">
        <f t="shared" si="39"/>
        <v>1.41095418532553</v>
      </c>
    </row>
    <row r="1206" ht="14.4" spans="2:4">
      <c r="B1206" s="20">
        <v>4776</v>
      </c>
      <c r="C1206" s="21">
        <f t="shared" si="38"/>
        <v>2.99325079732115</v>
      </c>
      <c r="D1206" s="21">
        <f t="shared" si="39"/>
        <v>1.41144038594073</v>
      </c>
    </row>
    <row r="1207" ht="14.4" spans="2:4">
      <c r="B1207" s="20">
        <v>4780</v>
      </c>
      <c r="C1207" s="21">
        <f t="shared" ref="C1207:C1228" si="40">20*LOG(D1207)</f>
        <v>2.9962443833022</v>
      </c>
      <c r="D1207" s="21">
        <f t="shared" ref="D1207:D1228" si="41">16384/(16384-B1207)</f>
        <v>1.41192692175112</v>
      </c>
    </row>
    <row r="1208" ht="14.4" spans="2:4">
      <c r="B1208" s="20">
        <v>4784</v>
      </c>
      <c r="C1208" s="21">
        <f t="shared" si="40"/>
        <v>2.99923900137636</v>
      </c>
      <c r="D1208" s="21">
        <f t="shared" si="41"/>
        <v>1.41241379310345</v>
      </c>
    </row>
    <row r="1209" ht="14.4" spans="2:4">
      <c r="B1209" s="20">
        <v>4788</v>
      </c>
      <c r="C1209" s="21">
        <f t="shared" si="40"/>
        <v>3.00223465225554</v>
      </c>
      <c r="D1209" s="21">
        <f t="shared" si="41"/>
        <v>1.41290100034495</v>
      </c>
    </row>
    <row r="1210" ht="14.4" spans="2:4">
      <c r="B1210" s="20">
        <v>4792</v>
      </c>
      <c r="C1210" s="21">
        <f t="shared" si="40"/>
        <v>3.00523133665237</v>
      </c>
      <c r="D1210" s="21">
        <f t="shared" si="41"/>
        <v>1.41338854382333</v>
      </c>
    </row>
    <row r="1211" ht="14.4" spans="2:4">
      <c r="B1211" s="20">
        <v>4796</v>
      </c>
      <c r="C1211" s="21">
        <f t="shared" si="40"/>
        <v>3.00822905528025</v>
      </c>
      <c r="D1211" s="21">
        <f t="shared" si="41"/>
        <v>1.41387642388678</v>
      </c>
    </row>
    <row r="1212" ht="14.4" spans="2:4">
      <c r="B1212" s="20">
        <v>4800</v>
      </c>
      <c r="C1212" s="21">
        <f t="shared" si="40"/>
        <v>3.0112278088533</v>
      </c>
      <c r="D1212" s="21">
        <f t="shared" si="41"/>
        <v>1.41436464088398</v>
      </c>
    </row>
    <row r="1213" ht="14.4" spans="2:4">
      <c r="B1213" s="20">
        <v>4804</v>
      </c>
      <c r="C1213" s="21">
        <f t="shared" si="40"/>
        <v>3.01422759808639</v>
      </c>
      <c r="D1213" s="21">
        <f t="shared" si="41"/>
        <v>1.41485319516408</v>
      </c>
    </row>
    <row r="1214" ht="14.4" spans="2:4">
      <c r="B1214" s="20">
        <v>4808</v>
      </c>
      <c r="C1214" s="21">
        <f t="shared" si="40"/>
        <v>3.01722842369511</v>
      </c>
      <c r="D1214" s="21">
        <f t="shared" si="41"/>
        <v>1.41534208707671</v>
      </c>
    </row>
    <row r="1215" ht="14.4" spans="2:4">
      <c r="B1215" s="20">
        <v>4812</v>
      </c>
      <c r="C1215" s="21">
        <f t="shared" si="40"/>
        <v>3.02023028639583</v>
      </c>
      <c r="D1215" s="21">
        <f t="shared" si="41"/>
        <v>1.415831316972</v>
      </c>
    </row>
    <row r="1216" ht="14.4" spans="2:4">
      <c r="B1216" s="20">
        <v>4816</v>
      </c>
      <c r="C1216" s="21">
        <f t="shared" si="40"/>
        <v>3.02323318690562</v>
      </c>
      <c r="D1216" s="21">
        <f t="shared" si="41"/>
        <v>1.41632088520055</v>
      </c>
    </row>
    <row r="1217" ht="14.4" spans="2:4">
      <c r="B1217" s="20">
        <v>4820</v>
      </c>
      <c r="C1217" s="21">
        <f t="shared" si="40"/>
        <v>3.02623712594233</v>
      </c>
      <c r="D1217" s="21">
        <f t="shared" si="41"/>
        <v>1.41681079211346</v>
      </c>
    </row>
    <row r="1218" ht="14.4" spans="2:4">
      <c r="B1218" s="20">
        <v>4824</v>
      </c>
      <c r="C1218" s="21">
        <f t="shared" si="40"/>
        <v>3.02924210422453</v>
      </c>
      <c r="D1218" s="21">
        <f t="shared" si="41"/>
        <v>1.41730103806228</v>
      </c>
    </row>
    <row r="1219" ht="14.4" spans="2:4">
      <c r="B1219" s="20">
        <v>4828</v>
      </c>
      <c r="C1219" s="21">
        <f t="shared" si="40"/>
        <v>3.03224812247155</v>
      </c>
      <c r="D1219" s="21">
        <f t="shared" si="41"/>
        <v>1.4177916233991</v>
      </c>
    </row>
    <row r="1220" ht="14.4" spans="2:4">
      <c r="B1220" s="20">
        <v>4832</v>
      </c>
      <c r="C1220" s="21">
        <f t="shared" si="40"/>
        <v>3.03525518140346</v>
      </c>
      <c r="D1220" s="21">
        <f t="shared" si="41"/>
        <v>1.41828254847645</v>
      </c>
    </row>
    <row r="1221" ht="14.4" spans="2:4">
      <c r="B1221" s="20">
        <v>4836</v>
      </c>
      <c r="C1221" s="21">
        <f t="shared" si="40"/>
        <v>3.03826328174108</v>
      </c>
      <c r="D1221" s="21">
        <f t="shared" si="41"/>
        <v>1.41877381364738</v>
      </c>
    </row>
    <row r="1222" ht="14.4" spans="2:4">
      <c r="B1222" s="20">
        <v>4840</v>
      </c>
      <c r="C1222" s="21">
        <f t="shared" si="40"/>
        <v>3.04127242420598</v>
      </c>
      <c r="D1222" s="21">
        <f t="shared" si="41"/>
        <v>1.41926541926542</v>
      </c>
    </row>
    <row r="1223" ht="14.4" spans="2:4">
      <c r="B1223" s="20">
        <v>4844</v>
      </c>
      <c r="C1223" s="21">
        <f t="shared" si="40"/>
        <v>3.04428260952048</v>
      </c>
      <c r="D1223" s="21">
        <f t="shared" si="41"/>
        <v>1.41975736568458</v>
      </c>
    </row>
    <row r="1224" ht="14.4" spans="2:4">
      <c r="B1224" s="20">
        <v>4848</v>
      </c>
      <c r="C1224" s="21">
        <f t="shared" si="40"/>
        <v>3.04729383840766</v>
      </c>
      <c r="D1224" s="21">
        <f t="shared" si="41"/>
        <v>1.42024965325936</v>
      </c>
    </row>
    <row r="1225" ht="14.4" spans="2:4">
      <c r="B1225" s="20">
        <v>4852</v>
      </c>
      <c r="C1225" s="21">
        <f t="shared" si="40"/>
        <v>3.05030611159133</v>
      </c>
      <c r="D1225" s="21">
        <f t="shared" si="41"/>
        <v>1.42074228234478</v>
      </c>
    </row>
    <row r="1226" ht="14.4" spans="2:4">
      <c r="B1226" s="20">
        <v>4856</v>
      </c>
      <c r="C1226" s="21">
        <f t="shared" si="40"/>
        <v>3.05331942979608</v>
      </c>
      <c r="D1226" s="21">
        <f t="shared" si="41"/>
        <v>1.42123525329632</v>
      </c>
    </row>
    <row r="1227" ht="14.4" spans="2:4">
      <c r="B1227" s="20">
        <v>4860</v>
      </c>
      <c r="C1227" s="21">
        <f t="shared" si="40"/>
        <v>3.05633379374723</v>
      </c>
      <c r="D1227" s="21">
        <f t="shared" si="41"/>
        <v>1.42172856646998</v>
      </c>
    </row>
    <row r="1228" ht="14.4" spans="2:4">
      <c r="B1228" s="20">
        <v>4864</v>
      </c>
      <c r="C1228" s="21">
        <f t="shared" si="40"/>
        <v>3.05934920417087</v>
      </c>
      <c r="D1228" s="21">
        <f t="shared" si="41"/>
        <v>1.42222222222222</v>
      </c>
    </row>
    <row r="1229" ht="14.4" spans="2:4">
      <c r="B1229" s="20">
        <v>4868</v>
      </c>
      <c r="C1229" s="21">
        <f t="shared" ref="C1229:C1292" si="42">20*LOG(D1229)</f>
        <v>3.06236566179385</v>
      </c>
      <c r="D1229" s="21">
        <f t="shared" ref="D1229:D1292" si="43">16384/(16384-B1229)</f>
        <v>1.42271622091004</v>
      </c>
    </row>
    <row r="1230" ht="14.4" spans="2:4">
      <c r="B1230" s="20">
        <v>4872</v>
      </c>
      <c r="C1230" s="21">
        <f t="shared" si="42"/>
        <v>3.06538316734376</v>
      </c>
      <c r="D1230" s="21">
        <f t="shared" si="43"/>
        <v>1.4232105628909</v>
      </c>
    </row>
    <row r="1231" ht="14.4" spans="2:4">
      <c r="B1231" s="20">
        <v>4876</v>
      </c>
      <c r="C1231" s="21">
        <f t="shared" si="42"/>
        <v>3.06840172154897</v>
      </c>
      <c r="D1231" s="21">
        <f t="shared" si="43"/>
        <v>1.42370524852277</v>
      </c>
    </row>
    <row r="1232" ht="14.4" spans="2:4">
      <c r="B1232" s="20">
        <v>4880</v>
      </c>
      <c r="C1232" s="21">
        <f t="shared" si="42"/>
        <v>3.07142132513859</v>
      </c>
      <c r="D1232" s="21">
        <f t="shared" si="43"/>
        <v>1.42420027816412</v>
      </c>
    </row>
    <row r="1233" ht="14.4" spans="2:4">
      <c r="B1233" s="20">
        <v>4884</v>
      </c>
      <c r="C1233" s="21">
        <f t="shared" si="42"/>
        <v>3.0744419788425</v>
      </c>
      <c r="D1233" s="21">
        <f t="shared" si="43"/>
        <v>1.42469565217391</v>
      </c>
    </row>
    <row r="1234" ht="14.4" spans="2:4">
      <c r="B1234" s="20">
        <v>4888</v>
      </c>
      <c r="C1234" s="21">
        <f t="shared" si="42"/>
        <v>3.07746368339135</v>
      </c>
      <c r="D1234" s="21">
        <f t="shared" si="43"/>
        <v>1.42519137091162</v>
      </c>
    </row>
    <row r="1235" ht="14.4" spans="2:4">
      <c r="B1235" s="20">
        <v>4892</v>
      </c>
      <c r="C1235" s="21">
        <f t="shared" si="42"/>
        <v>3.08048643951654</v>
      </c>
      <c r="D1235" s="21">
        <f t="shared" si="43"/>
        <v>1.42568743473721</v>
      </c>
    </row>
    <row r="1236" ht="14.4" spans="2:4">
      <c r="B1236" s="20">
        <v>4896</v>
      </c>
      <c r="C1236" s="21">
        <f t="shared" si="42"/>
        <v>3.08351024795023</v>
      </c>
      <c r="D1236" s="21">
        <f t="shared" si="43"/>
        <v>1.42618384401114</v>
      </c>
    </row>
    <row r="1237" ht="14.4" spans="2:4">
      <c r="B1237" s="20">
        <v>4900</v>
      </c>
      <c r="C1237" s="21">
        <f t="shared" si="42"/>
        <v>3.08653510942537</v>
      </c>
      <c r="D1237" s="21">
        <f t="shared" si="43"/>
        <v>1.42668059909439</v>
      </c>
    </row>
    <row r="1238" ht="14.4" spans="2:4">
      <c r="B1238" s="20">
        <v>4904</v>
      </c>
      <c r="C1238" s="21">
        <f t="shared" si="42"/>
        <v>3.08956102467564</v>
      </c>
      <c r="D1238" s="21">
        <f t="shared" si="43"/>
        <v>1.42717770034843</v>
      </c>
    </row>
    <row r="1239" ht="14.4" spans="2:4">
      <c r="B1239" s="20">
        <v>4908</v>
      </c>
      <c r="C1239" s="21">
        <f t="shared" si="42"/>
        <v>3.09258799443552</v>
      </c>
      <c r="D1239" s="21">
        <f t="shared" si="43"/>
        <v>1.42767514813524</v>
      </c>
    </row>
    <row r="1240" ht="14.4" spans="2:4">
      <c r="B1240" s="20">
        <v>4912</v>
      </c>
      <c r="C1240" s="21">
        <f t="shared" si="42"/>
        <v>3.09561601944024</v>
      </c>
      <c r="D1240" s="21">
        <f t="shared" si="43"/>
        <v>1.42817294281729</v>
      </c>
    </row>
    <row r="1241" ht="14.4" spans="2:4">
      <c r="B1241" s="20">
        <v>4916</v>
      </c>
      <c r="C1241" s="21">
        <f t="shared" si="42"/>
        <v>3.0986451004258</v>
      </c>
      <c r="D1241" s="21">
        <f t="shared" si="43"/>
        <v>1.42867108475759</v>
      </c>
    </row>
    <row r="1242" ht="14.4" spans="2:4">
      <c r="B1242" s="20">
        <v>4920</v>
      </c>
      <c r="C1242" s="21">
        <f t="shared" si="42"/>
        <v>3.10167523812897</v>
      </c>
      <c r="D1242" s="21">
        <f t="shared" si="43"/>
        <v>1.42916957431961</v>
      </c>
    </row>
    <row r="1243" ht="14.4" spans="2:4">
      <c r="B1243" s="20">
        <v>4924</v>
      </c>
      <c r="C1243" s="21">
        <f t="shared" si="42"/>
        <v>3.10470643328731</v>
      </c>
      <c r="D1243" s="21">
        <f t="shared" si="43"/>
        <v>1.42966841186736</v>
      </c>
    </row>
    <row r="1244" ht="14.4" spans="2:4">
      <c r="B1244" s="20">
        <v>4928</v>
      </c>
      <c r="C1244" s="21">
        <f t="shared" si="42"/>
        <v>3.10773868663913</v>
      </c>
      <c r="D1244" s="21">
        <f t="shared" si="43"/>
        <v>1.43016759776536</v>
      </c>
    </row>
    <row r="1245" ht="14.4" spans="2:4">
      <c r="B1245" s="20">
        <v>4932</v>
      </c>
      <c r="C1245" s="21">
        <f t="shared" si="42"/>
        <v>3.11077199892351</v>
      </c>
      <c r="D1245" s="21">
        <f t="shared" si="43"/>
        <v>1.43066713237862</v>
      </c>
    </row>
    <row r="1246" ht="14.4" spans="2:4">
      <c r="B1246" s="20">
        <v>4936</v>
      </c>
      <c r="C1246" s="21">
        <f t="shared" si="42"/>
        <v>3.11380637088034</v>
      </c>
      <c r="D1246" s="21">
        <f t="shared" si="43"/>
        <v>1.43116701607268</v>
      </c>
    </row>
    <row r="1247" ht="14.4" spans="2:4">
      <c r="B1247" s="20">
        <v>4940</v>
      </c>
      <c r="C1247" s="21">
        <f t="shared" si="42"/>
        <v>3.11684180325023</v>
      </c>
      <c r="D1247" s="21">
        <f t="shared" si="43"/>
        <v>1.43166724921356</v>
      </c>
    </row>
    <row r="1248" ht="14.4" spans="2:4">
      <c r="B1248" s="20">
        <v>4944</v>
      </c>
      <c r="C1248" s="21">
        <f t="shared" si="42"/>
        <v>3.11987829677463</v>
      </c>
      <c r="D1248" s="21">
        <f t="shared" si="43"/>
        <v>1.43216783216783</v>
      </c>
    </row>
    <row r="1249" ht="14.4" spans="2:4">
      <c r="B1249" s="20">
        <v>4948</v>
      </c>
      <c r="C1249" s="21">
        <f t="shared" si="42"/>
        <v>3.12291585219571</v>
      </c>
      <c r="D1249" s="21">
        <f t="shared" si="43"/>
        <v>1.43266876530255</v>
      </c>
    </row>
    <row r="1250" ht="14.4" spans="2:4">
      <c r="B1250" s="20">
        <v>4952</v>
      </c>
      <c r="C1250" s="21">
        <f t="shared" si="42"/>
        <v>3.12595447025646</v>
      </c>
      <c r="D1250" s="21">
        <f t="shared" si="43"/>
        <v>1.4331700489853</v>
      </c>
    </row>
    <row r="1251" ht="14.4" spans="2:4">
      <c r="B1251" s="20">
        <v>4956</v>
      </c>
      <c r="C1251" s="21">
        <f t="shared" si="42"/>
        <v>3.12899415170063</v>
      </c>
      <c r="D1251" s="21">
        <f t="shared" si="43"/>
        <v>1.43367168358418</v>
      </c>
    </row>
    <row r="1252" ht="14.4" spans="2:4">
      <c r="B1252" s="20">
        <v>4960</v>
      </c>
      <c r="C1252" s="21">
        <f t="shared" si="42"/>
        <v>3.13203489727275</v>
      </c>
      <c r="D1252" s="21">
        <f t="shared" si="43"/>
        <v>1.43417366946779</v>
      </c>
    </row>
    <row r="1253" ht="14.4" spans="2:4">
      <c r="B1253" s="20">
        <v>4964</v>
      </c>
      <c r="C1253" s="21">
        <f t="shared" si="42"/>
        <v>3.13507670771815</v>
      </c>
      <c r="D1253" s="21">
        <f t="shared" si="43"/>
        <v>1.43467600700525</v>
      </c>
    </row>
    <row r="1254" ht="14.4" spans="2:4">
      <c r="B1254" s="20">
        <v>4968</v>
      </c>
      <c r="C1254" s="21">
        <f t="shared" si="42"/>
        <v>3.13811958378292</v>
      </c>
      <c r="D1254" s="21">
        <f t="shared" si="43"/>
        <v>1.43517869656622</v>
      </c>
    </row>
    <row r="1255" ht="14.4" spans="2:4">
      <c r="B1255" s="20">
        <v>4972</v>
      </c>
      <c r="C1255" s="21">
        <f t="shared" si="42"/>
        <v>3.14116352621396</v>
      </c>
      <c r="D1255" s="21">
        <f t="shared" si="43"/>
        <v>1.43568173852086</v>
      </c>
    </row>
    <row r="1256" ht="14.4" spans="2:4">
      <c r="B1256" s="20">
        <v>4976</v>
      </c>
      <c r="C1256" s="21">
        <f t="shared" si="42"/>
        <v>3.14420853575893</v>
      </c>
      <c r="D1256" s="21">
        <f t="shared" si="43"/>
        <v>1.43618513323983</v>
      </c>
    </row>
    <row r="1257" ht="14.4" spans="2:4">
      <c r="B1257" s="20">
        <v>4980</v>
      </c>
      <c r="C1257" s="21">
        <f t="shared" si="42"/>
        <v>3.14725461316629</v>
      </c>
      <c r="D1257" s="21">
        <f t="shared" si="43"/>
        <v>1.43668888109435</v>
      </c>
    </row>
    <row r="1258" ht="14.4" spans="2:4">
      <c r="B1258" s="20">
        <v>4984</v>
      </c>
      <c r="C1258" s="21">
        <f t="shared" si="42"/>
        <v>3.15030175918528</v>
      </c>
      <c r="D1258" s="21">
        <f t="shared" si="43"/>
        <v>1.43719298245614</v>
      </c>
    </row>
    <row r="1259" ht="14.4" spans="2:4">
      <c r="B1259" s="20">
        <v>4988</v>
      </c>
      <c r="C1259" s="21">
        <f t="shared" si="42"/>
        <v>3.15334997456595</v>
      </c>
      <c r="D1259" s="21">
        <f t="shared" si="43"/>
        <v>1.43769743769744</v>
      </c>
    </row>
    <row r="1260" ht="14.4" spans="2:4">
      <c r="B1260" s="20">
        <v>4992</v>
      </c>
      <c r="C1260" s="21">
        <f t="shared" si="42"/>
        <v>3.15639926005911</v>
      </c>
      <c r="D1260" s="21">
        <f t="shared" si="43"/>
        <v>1.43820224719101</v>
      </c>
    </row>
    <row r="1261" ht="14.4" spans="2:4">
      <c r="B1261" s="20">
        <v>4996</v>
      </c>
      <c r="C1261" s="21">
        <f t="shared" si="42"/>
        <v>3.15944961641638</v>
      </c>
      <c r="D1261" s="21">
        <f t="shared" si="43"/>
        <v>1.43870741131015</v>
      </c>
    </row>
    <row r="1262" ht="14.4" spans="2:4">
      <c r="B1262" s="20">
        <v>5000</v>
      </c>
      <c r="C1262" s="21">
        <f t="shared" si="42"/>
        <v>3.16250104439018</v>
      </c>
      <c r="D1262" s="21">
        <f t="shared" si="43"/>
        <v>1.43921293042867</v>
      </c>
    </row>
    <row r="1263" ht="14.4" spans="2:4">
      <c r="B1263" s="20">
        <v>5004</v>
      </c>
      <c r="C1263" s="21">
        <f t="shared" si="42"/>
        <v>3.16555354473369</v>
      </c>
      <c r="D1263" s="21">
        <f t="shared" si="43"/>
        <v>1.43971880492091</v>
      </c>
    </row>
    <row r="1264" ht="14.4" spans="2:4">
      <c r="B1264" s="20">
        <v>5008</v>
      </c>
      <c r="C1264" s="21">
        <f t="shared" si="42"/>
        <v>3.16860711820091</v>
      </c>
      <c r="D1264" s="21">
        <f t="shared" si="43"/>
        <v>1.44022503516174</v>
      </c>
    </row>
    <row r="1265" ht="14.4" spans="2:4">
      <c r="B1265" s="20">
        <v>5012</v>
      </c>
      <c r="C1265" s="21">
        <f t="shared" si="42"/>
        <v>3.17166176554664</v>
      </c>
      <c r="D1265" s="21">
        <f t="shared" si="43"/>
        <v>1.44073162152656</v>
      </c>
    </row>
    <row r="1266" ht="14.4" spans="2:4">
      <c r="B1266" s="20">
        <v>5016</v>
      </c>
      <c r="C1266" s="21">
        <f t="shared" si="42"/>
        <v>3.17471748752647</v>
      </c>
      <c r="D1266" s="21">
        <f t="shared" si="43"/>
        <v>1.44123856439127</v>
      </c>
    </row>
    <row r="1267" ht="14.4" spans="2:4">
      <c r="B1267" s="20">
        <v>5020</v>
      </c>
      <c r="C1267" s="21">
        <f t="shared" si="42"/>
        <v>3.17777428489677</v>
      </c>
      <c r="D1267" s="21">
        <f t="shared" si="43"/>
        <v>1.44174586413235</v>
      </c>
    </row>
    <row r="1268" ht="14.4" spans="2:4">
      <c r="B1268" s="20">
        <v>5024</v>
      </c>
      <c r="C1268" s="21">
        <f t="shared" si="42"/>
        <v>3.18083215841473</v>
      </c>
      <c r="D1268" s="21">
        <f t="shared" si="43"/>
        <v>1.44225352112676</v>
      </c>
    </row>
    <row r="1269" ht="14.4" spans="2:4">
      <c r="B1269" s="20">
        <v>5028</v>
      </c>
      <c r="C1269" s="21">
        <f t="shared" si="42"/>
        <v>3.18389110883834</v>
      </c>
      <c r="D1269" s="21">
        <f t="shared" si="43"/>
        <v>1.44276153575203</v>
      </c>
    </row>
    <row r="1270" ht="14.4" spans="2:4">
      <c r="B1270" s="20">
        <v>5032</v>
      </c>
      <c r="C1270" s="21">
        <f t="shared" si="42"/>
        <v>3.18695113692638</v>
      </c>
      <c r="D1270" s="21">
        <f t="shared" si="43"/>
        <v>1.44326990838619</v>
      </c>
    </row>
    <row r="1271" ht="14.4" spans="2:4">
      <c r="B1271" s="20">
        <v>5036</v>
      </c>
      <c r="C1271" s="21">
        <f t="shared" si="42"/>
        <v>3.19001224343844</v>
      </c>
      <c r="D1271" s="21">
        <f t="shared" si="43"/>
        <v>1.44377863940783</v>
      </c>
    </row>
    <row r="1272" ht="14.4" spans="2:4">
      <c r="B1272" s="20">
        <v>5040</v>
      </c>
      <c r="C1272" s="21">
        <f t="shared" si="42"/>
        <v>3.19307442913491</v>
      </c>
      <c r="D1272" s="21">
        <f t="shared" si="43"/>
        <v>1.44428772919605</v>
      </c>
    </row>
    <row r="1273" ht="14.4" spans="2:4">
      <c r="B1273" s="20">
        <v>5044</v>
      </c>
      <c r="C1273" s="21">
        <f t="shared" si="42"/>
        <v>3.19613769477698</v>
      </c>
      <c r="D1273" s="21">
        <f t="shared" si="43"/>
        <v>1.44479717813051</v>
      </c>
    </row>
    <row r="1274" ht="14.4" spans="2:4">
      <c r="B1274" s="20">
        <v>5048</v>
      </c>
      <c r="C1274" s="21">
        <f t="shared" si="42"/>
        <v>3.19920204112666</v>
      </c>
      <c r="D1274" s="21">
        <f t="shared" si="43"/>
        <v>1.44530698659139</v>
      </c>
    </row>
    <row r="1275" ht="14.4" spans="2:4">
      <c r="B1275" s="20">
        <v>5052</v>
      </c>
      <c r="C1275" s="21">
        <f t="shared" si="42"/>
        <v>3.20226746894674</v>
      </c>
      <c r="D1275" s="21">
        <f t="shared" si="43"/>
        <v>1.44581715495941</v>
      </c>
    </row>
    <row r="1276" ht="14.4" spans="2:4">
      <c r="B1276" s="20">
        <v>5056</v>
      </c>
      <c r="C1276" s="21">
        <f t="shared" si="42"/>
        <v>3.20533397900086</v>
      </c>
      <c r="D1276" s="21">
        <f t="shared" si="43"/>
        <v>1.44632768361582</v>
      </c>
    </row>
    <row r="1277" ht="14.4" spans="2:4">
      <c r="B1277" s="20">
        <v>5060</v>
      </c>
      <c r="C1277" s="21">
        <f t="shared" si="42"/>
        <v>3.20840157205343</v>
      </c>
      <c r="D1277" s="21">
        <f t="shared" si="43"/>
        <v>1.44683857294242</v>
      </c>
    </row>
    <row r="1278" ht="14.4" spans="2:4">
      <c r="B1278" s="20">
        <v>5064</v>
      </c>
      <c r="C1278" s="21">
        <f t="shared" si="42"/>
        <v>3.21147024886968</v>
      </c>
      <c r="D1278" s="21">
        <f t="shared" si="43"/>
        <v>1.44734982332155</v>
      </c>
    </row>
    <row r="1279" ht="14.4" spans="2:4">
      <c r="B1279" s="20">
        <v>5068</v>
      </c>
      <c r="C1279" s="21">
        <f t="shared" si="42"/>
        <v>3.21454001021567</v>
      </c>
      <c r="D1279" s="21">
        <f t="shared" si="43"/>
        <v>1.44786143513609</v>
      </c>
    </row>
    <row r="1280" ht="14.4" spans="2:4">
      <c r="B1280" s="20">
        <v>5072</v>
      </c>
      <c r="C1280" s="21">
        <f t="shared" si="42"/>
        <v>3.21761085685825</v>
      </c>
      <c r="D1280" s="21">
        <f t="shared" si="43"/>
        <v>1.44837340876945</v>
      </c>
    </row>
    <row r="1281" ht="14.4" spans="2:4">
      <c r="B1281" s="20">
        <v>5076</v>
      </c>
      <c r="C1281" s="21">
        <f t="shared" si="42"/>
        <v>3.22068278956509</v>
      </c>
      <c r="D1281" s="21">
        <f t="shared" si="43"/>
        <v>1.44888574460559</v>
      </c>
    </row>
    <row r="1282" ht="14.4" spans="2:4">
      <c r="B1282" s="20">
        <v>5080</v>
      </c>
      <c r="C1282" s="21">
        <f t="shared" si="42"/>
        <v>3.22375580910469</v>
      </c>
      <c r="D1282" s="21">
        <f t="shared" si="43"/>
        <v>1.44939844302902</v>
      </c>
    </row>
    <row r="1283" ht="14.4" spans="2:4">
      <c r="B1283" s="20">
        <v>5084</v>
      </c>
      <c r="C1283" s="21">
        <f t="shared" si="42"/>
        <v>3.22682991624634</v>
      </c>
      <c r="D1283" s="21">
        <f t="shared" si="43"/>
        <v>1.44991150442478</v>
      </c>
    </row>
    <row r="1284" ht="14.4" spans="2:4">
      <c r="B1284" s="20">
        <v>5088</v>
      </c>
      <c r="C1284" s="21">
        <f t="shared" si="42"/>
        <v>3.22990511176016</v>
      </c>
      <c r="D1284" s="21">
        <f t="shared" si="43"/>
        <v>1.45042492917847</v>
      </c>
    </row>
    <row r="1285" ht="14.4" spans="2:4">
      <c r="B1285" s="20">
        <v>5092</v>
      </c>
      <c r="C1285" s="21">
        <f t="shared" si="42"/>
        <v>3.2329813964171</v>
      </c>
      <c r="D1285" s="21">
        <f t="shared" si="43"/>
        <v>1.45093871767623</v>
      </c>
    </row>
    <row r="1286" ht="14.4" spans="2:4">
      <c r="B1286" s="20">
        <v>5096</v>
      </c>
      <c r="C1286" s="21">
        <f t="shared" si="42"/>
        <v>3.23605877098891</v>
      </c>
      <c r="D1286" s="21">
        <f t="shared" si="43"/>
        <v>1.45145287030475</v>
      </c>
    </row>
    <row r="1287" ht="14.4" spans="2:4">
      <c r="B1287" s="20">
        <v>5100</v>
      </c>
      <c r="C1287" s="21">
        <f t="shared" si="42"/>
        <v>3.23913723624816</v>
      </c>
      <c r="D1287" s="21">
        <f t="shared" si="43"/>
        <v>1.45196738745126</v>
      </c>
    </row>
    <row r="1288" ht="14.4" spans="2:4">
      <c r="B1288" s="20">
        <v>5104</v>
      </c>
      <c r="C1288" s="21">
        <f t="shared" si="42"/>
        <v>3.24221679296827</v>
      </c>
      <c r="D1288" s="21">
        <f t="shared" si="43"/>
        <v>1.45248226950355</v>
      </c>
    </row>
    <row r="1289" ht="14.4" spans="2:4">
      <c r="B1289" s="20">
        <v>5108</v>
      </c>
      <c r="C1289" s="21">
        <f t="shared" si="42"/>
        <v>3.24529744192344</v>
      </c>
      <c r="D1289" s="21">
        <f t="shared" si="43"/>
        <v>1.45299751684995</v>
      </c>
    </row>
    <row r="1290" ht="14.4" spans="2:4">
      <c r="B1290" s="20">
        <v>5112</v>
      </c>
      <c r="C1290" s="21">
        <f t="shared" si="42"/>
        <v>3.24837918388873</v>
      </c>
      <c r="D1290" s="21">
        <f t="shared" si="43"/>
        <v>1.45351312987935</v>
      </c>
    </row>
    <row r="1291" ht="14.4" spans="2:4">
      <c r="B1291" s="20">
        <v>5116</v>
      </c>
      <c r="C1291" s="21">
        <f t="shared" si="42"/>
        <v>3.25146201964002</v>
      </c>
      <c r="D1291" s="21">
        <f t="shared" si="43"/>
        <v>1.45402910898119</v>
      </c>
    </row>
    <row r="1292" ht="14.4" spans="2:4">
      <c r="B1292" s="20">
        <v>5120</v>
      </c>
      <c r="C1292" s="21">
        <f t="shared" si="42"/>
        <v>3.254545949954</v>
      </c>
      <c r="D1292" s="21">
        <f t="shared" si="43"/>
        <v>1.45454545454545</v>
      </c>
    </row>
    <row r="1293" ht="14.4" spans="2:4">
      <c r="B1293" s="20">
        <v>5124</v>
      </c>
      <c r="C1293" s="21">
        <f t="shared" ref="C1293:C1356" si="44">20*LOG(D1293)</f>
        <v>3.25763097560819</v>
      </c>
      <c r="D1293" s="21">
        <f t="shared" ref="D1293:D1356" si="45">16384/(16384-B1293)</f>
        <v>1.4550621669627</v>
      </c>
    </row>
    <row r="1294" ht="14.4" spans="2:4">
      <c r="B1294" s="20">
        <v>5128</v>
      </c>
      <c r="C1294" s="21">
        <f t="shared" si="44"/>
        <v>3.26071709738095</v>
      </c>
      <c r="D1294" s="21">
        <f t="shared" si="45"/>
        <v>1.45557924662402</v>
      </c>
    </row>
    <row r="1295" ht="14.4" spans="2:4">
      <c r="B1295" s="20">
        <v>5132</v>
      </c>
      <c r="C1295" s="21">
        <f t="shared" si="44"/>
        <v>3.26380431605147</v>
      </c>
      <c r="D1295" s="21">
        <f t="shared" si="45"/>
        <v>1.45609669392108</v>
      </c>
    </row>
    <row r="1296" ht="14.4" spans="2:4">
      <c r="B1296" s="20">
        <v>5136</v>
      </c>
      <c r="C1296" s="21">
        <f t="shared" si="44"/>
        <v>3.26689263239976</v>
      </c>
      <c r="D1296" s="21">
        <f t="shared" si="45"/>
        <v>1.45661450924609</v>
      </c>
    </row>
    <row r="1297" ht="14.4" spans="2:4">
      <c r="B1297" s="20">
        <v>5140</v>
      </c>
      <c r="C1297" s="21">
        <f t="shared" si="44"/>
        <v>3.26998204720667</v>
      </c>
      <c r="D1297" s="21">
        <f t="shared" si="45"/>
        <v>1.45713269299182</v>
      </c>
    </row>
    <row r="1298" ht="14.4" spans="2:4">
      <c r="B1298" s="20">
        <v>5144</v>
      </c>
      <c r="C1298" s="21">
        <f t="shared" si="44"/>
        <v>3.27307256125389</v>
      </c>
      <c r="D1298" s="21">
        <f t="shared" si="45"/>
        <v>1.4576512455516</v>
      </c>
    </row>
    <row r="1299" ht="14.4" spans="2:4">
      <c r="B1299" s="20">
        <v>5148</v>
      </c>
      <c r="C1299" s="21">
        <f t="shared" si="44"/>
        <v>3.27616417532393</v>
      </c>
      <c r="D1299" s="21">
        <f t="shared" si="45"/>
        <v>1.45817016731933</v>
      </c>
    </row>
    <row r="1300" ht="14.4" spans="2:4">
      <c r="B1300" s="20">
        <v>5152</v>
      </c>
      <c r="C1300" s="21">
        <f t="shared" si="44"/>
        <v>3.27925689020013</v>
      </c>
      <c r="D1300" s="21">
        <f t="shared" si="45"/>
        <v>1.45868945868946</v>
      </c>
    </row>
    <row r="1301" ht="14.4" spans="2:4">
      <c r="B1301" s="20">
        <v>5156</v>
      </c>
      <c r="C1301" s="21">
        <f t="shared" si="44"/>
        <v>3.2823507066667</v>
      </c>
      <c r="D1301" s="21">
        <f t="shared" si="45"/>
        <v>1.459209120057</v>
      </c>
    </row>
    <row r="1302" ht="14.4" spans="2:4">
      <c r="B1302" s="20">
        <v>5160</v>
      </c>
      <c r="C1302" s="21">
        <f t="shared" si="44"/>
        <v>3.28544562550866</v>
      </c>
      <c r="D1302" s="21">
        <f t="shared" si="45"/>
        <v>1.45972915181753</v>
      </c>
    </row>
    <row r="1303" ht="14.4" spans="2:4">
      <c r="B1303" s="20">
        <v>5164</v>
      </c>
      <c r="C1303" s="21">
        <f t="shared" si="44"/>
        <v>3.28854164751188</v>
      </c>
      <c r="D1303" s="21">
        <f t="shared" si="45"/>
        <v>1.4602495543672</v>
      </c>
    </row>
    <row r="1304" ht="14.4" spans="2:4">
      <c r="B1304" s="20">
        <v>5168</v>
      </c>
      <c r="C1304" s="21">
        <f t="shared" si="44"/>
        <v>3.29163877346307</v>
      </c>
      <c r="D1304" s="21">
        <f t="shared" si="45"/>
        <v>1.46077032810271</v>
      </c>
    </row>
    <row r="1305" ht="14.4" spans="2:4">
      <c r="B1305" s="20">
        <v>5172</v>
      </c>
      <c r="C1305" s="21">
        <f t="shared" si="44"/>
        <v>3.29473700414976</v>
      </c>
      <c r="D1305" s="21">
        <f t="shared" si="45"/>
        <v>1.46129147342133</v>
      </c>
    </row>
    <row r="1306" ht="14.4" spans="2:4">
      <c r="B1306" s="20">
        <v>5176</v>
      </c>
      <c r="C1306" s="21">
        <f t="shared" si="44"/>
        <v>3.29783634036037</v>
      </c>
      <c r="D1306" s="21">
        <f t="shared" si="45"/>
        <v>1.46181299072091</v>
      </c>
    </row>
    <row r="1307" ht="14.4" spans="2:4">
      <c r="B1307" s="20">
        <v>5180</v>
      </c>
      <c r="C1307" s="21">
        <f t="shared" si="44"/>
        <v>3.30093678288412</v>
      </c>
      <c r="D1307" s="21">
        <f t="shared" si="45"/>
        <v>1.46233488039986</v>
      </c>
    </row>
    <row r="1308" ht="14.4" spans="2:4">
      <c r="B1308" s="20">
        <v>5184</v>
      </c>
      <c r="C1308" s="21">
        <f t="shared" si="44"/>
        <v>3.3040383325111</v>
      </c>
      <c r="D1308" s="21">
        <f t="shared" si="45"/>
        <v>1.46285714285714</v>
      </c>
    </row>
    <row r="1309" ht="14.4" spans="2:4">
      <c r="B1309" s="20">
        <v>5188</v>
      </c>
      <c r="C1309" s="21">
        <f t="shared" si="44"/>
        <v>3.30714099003224</v>
      </c>
      <c r="D1309" s="21">
        <f t="shared" si="45"/>
        <v>1.46337977849232</v>
      </c>
    </row>
    <row r="1310" ht="14.4" spans="2:4">
      <c r="B1310" s="20">
        <v>5192</v>
      </c>
      <c r="C1310" s="21">
        <f t="shared" si="44"/>
        <v>3.31024475623931</v>
      </c>
      <c r="D1310" s="21">
        <f t="shared" si="45"/>
        <v>1.4639027877055</v>
      </c>
    </row>
    <row r="1311" ht="14.4" spans="2:4">
      <c r="B1311" s="20">
        <v>5196</v>
      </c>
      <c r="C1311" s="21">
        <f t="shared" si="44"/>
        <v>3.31334963192494</v>
      </c>
      <c r="D1311" s="21">
        <f t="shared" si="45"/>
        <v>1.46442617089739</v>
      </c>
    </row>
    <row r="1312" ht="14.4" spans="2:4">
      <c r="B1312" s="20">
        <v>5200</v>
      </c>
      <c r="C1312" s="21">
        <f t="shared" si="44"/>
        <v>3.31645561788261</v>
      </c>
      <c r="D1312" s="21">
        <f t="shared" si="45"/>
        <v>1.46494992846924</v>
      </c>
    </row>
    <row r="1313" ht="14.4" spans="2:4">
      <c r="B1313" s="20">
        <v>5204</v>
      </c>
      <c r="C1313" s="21">
        <f t="shared" si="44"/>
        <v>3.31956271490664</v>
      </c>
      <c r="D1313" s="21">
        <f t="shared" si="45"/>
        <v>1.4654740608229</v>
      </c>
    </row>
    <row r="1314" ht="14.4" spans="2:4">
      <c r="B1314" s="20">
        <v>5208</v>
      </c>
      <c r="C1314" s="21">
        <f t="shared" si="44"/>
        <v>3.32267092379222</v>
      </c>
      <c r="D1314" s="21">
        <f t="shared" si="45"/>
        <v>1.46599856836077</v>
      </c>
    </row>
    <row r="1315" ht="14.4" spans="2:4">
      <c r="B1315" s="20">
        <v>5212</v>
      </c>
      <c r="C1315" s="21">
        <f t="shared" si="44"/>
        <v>3.32578024533539</v>
      </c>
      <c r="D1315" s="21">
        <f t="shared" si="45"/>
        <v>1.46652345148586</v>
      </c>
    </row>
    <row r="1316" ht="14.4" spans="2:4">
      <c r="B1316" s="20">
        <v>5216</v>
      </c>
      <c r="C1316" s="21">
        <f t="shared" si="44"/>
        <v>3.32889068033302</v>
      </c>
      <c r="D1316" s="21">
        <f t="shared" si="45"/>
        <v>1.46704871060172</v>
      </c>
    </row>
    <row r="1317" ht="14.4" spans="2:4">
      <c r="B1317" s="20">
        <v>5220</v>
      </c>
      <c r="C1317" s="21">
        <f t="shared" si="44"/>
        <v>3.33200222958287</v>
      </c>
      <c r="D1317" s="21">
        <f t="shared" si="45"/>
        <v>1.4675743461125</v>
      </c>
    </row>
    <row r="1318" ht="14.4" spans="2:4">
      <c r="B1318" s="20">
        <v>5224</v>
      </c>
      <c r="C1318" s="21">
        <f t="shared" si="44"/>
        <v>3.33511489388354</v>
      </c>
      <c r="D1318" s="21">
        <f t="shared" si="45"/>
        <v>1.46810035842294</v>
      </c>
    </row>
    <row r="1319" ht="14.4" spans="2:4">
      <c r="B1319" s="20">
        <v>5228</v>
      </c>
      <c r="C1319" s="21">
        <f t="shared" si="44"/>
        <v>3.33822867403449</v>
      </c>
      <c r="D1319" s="21">
        <f t="shared" si="45"/>
        <v>1.46862674793833</v>
      </c>
    </row>
    <row r="1320" ht="14.4" spans="2:4">
      <c r="B1320" s="20">
        <v>5232</v>
      </c>
      <c r="C1320" s="21">
        <f t="shared" si="44"/>
        <v>3.34134357083605</v>
      </c>
      <c r="D1320" s="21">
        <f t="shared" si="45"/>
        <v>1.46915351506456</v>
      </c>
    </row>
    <row r="1321" ht="14.4" spans="2:4">
      <c r="B1321" s="20">
        <v>5236</v>
      </c>
      <c r="C1321" s="21">
        <f t="shared" si="44"/>
        <v>3.3444595850894</v>
      </c>
      <c r="D1321" s="21">
        <f t="shared" si="45"/>
        <v>1.46968066020811</v>
      </c>
    </row>
    <row r="1322" ht="14.4" spans="2:4">
      <c r="B1322" s="20">
        <v>5240</v>
      </c>
      <c r="C1322" s="21">
        <f t="shared" si="44"/>
        <v>3.34757671759659</v>
      </c>
      <c r="D1322" s="21">
        <f t="shared" si="45"/>
        <v>1.47020818377602</v>
      </c>
    </row>
    <row r="1323" ht="14.4" spans="2:4">
      <c r="B1323" s="20">
        <v>5244</v>
      </c>
      <c r="C1323" s="21">
        <f t="shared" si="44"/>
        <v>3.35069496916053</v>
      </c>
      <c r="D1323" s="21">
        <f t="shared" si="45"/>
        <v>1.47073608617594</v>
      </c>
    </row>
    <row r="1324" ht="14.4" spans="2:4">
      <c r="B1324" s="20">
        <v>5248</v>
      </c>
      <c r="C1324" s="21">
        <f t="shared" si="44"/>
        <v>3.353814340585</v>
      </c>
      <c r="D1324" s="21">
        <f t="shared" si="45"/>
        <v>1.47126436781609</v>
      </c>
    </row>
    <row r="1325" ht="14.4" spans="2:4">
      <c r="B1325" s="20">
        <v>5252</v>
      </c>
      <c r="C1325" s="21">
        <f t="shared" si="44"/>
        <v>3.35693483267463</v>
      </c>
      <c r="D1325" s="21">
        <f t="shared" si="45"/>
        <v>1.47179302910528</v>
      </c>
    </row>
    <row r="1326" ht="14.4" spans="2:4">
      <c r="B1326" s="20">
        <v>5256</v>
      </c>
      <c r="C1326" s="21">
        <f t="shared" si="44"/>
        <v>3.36005644623494</v>
      </c>
      <c r="D1326" s="21">
        <f t="shared" si="45"/>
        <v>1.47232207045291</v>
      </c>
    </row>
    <row r="1327" ht="14.4" spans="2:4">
      <c r="B1327" s="20">
        <v>5260</v>
      </c>
      <c r="C1327" s="21">
        <f t="shared" si="44"/>
        <v>3.3631791820723</v>
      </c>
      <c r="D1327" s="21">
        <f t="shared" si="45"/>
        <v>1.47285149226897</v>
      </c>
    </row>
    <row r="1328" ht="14.4" spans="2:4">
      <c r="B1328" s="20">
        <v>5264</v>
      </c>
      <c r="C1328" s="21">
        <f t="shared" si="44"/>
        <v>3.36630304099396</v>
      </c>
      <c r="D1328" s="21">
        <f t="shared" si="45"/>
        <v>1.47338129496403</v>
      </c>
    </row>
    <row r="1329" ht="14.4" spans="2:4">
      <c r="B1329" s="20">
        <v>5268</v>
      </c>
      <c r="C1329" s="21">
        <f t="shared" si="44"/>
        <v>3.36942802380805</v>
      </c>
      <c r="D1329" s="21">
        <f t="shared" si="45"/>
        <v>1.47391147894926</v>
      </c>
    </row>
    <row r="1330" ht="14.4" spans="2:4">
      <c r="B1330" s="20">
        <v>5272</v>
      </c>
      <c r="C1330" s="21">
        <f t="shared" si="44"/>
        <v>3.37255413132355</v>
      </c>
      <c r="D1330" s="21">
        <f t="shared" si="45"/>
        <v>1.47444204463643</v>
      </c>
    </row>
    <row r="1331" ht="14.4" spans="2:4">
      <c r="B1331" s="20">
        <v>5276</v>
      </c>
      <c r="C1331" s="21">
        <f t="shared" si="44"/>
        <v>3.37568136435034</v>
      </c>
      <c r="D1331" s="21">
        <f t="shared" si="45"/>
        <v>1.47497299243788</v>
      </c>
    </row>
    <row r="1332" ht="14.4" spans="2:4">
      <c r="B1332" s="20">
        <v>5280</v>
      </c>
      <c r="C1332" s="21">
        <f t="shared" si="44"/>
        <v>3.37880972369914</v>
      </c>
      <c r="D1332" s="21">
        <f t="shared" si="45"/>
        <v>1.47550432276657</v>
      </c>
    </row>
    <row r="1333" ht="14.4" spans="2:4">
      <c r="B1333" s="20">
        <v>5284</v>
      </c>
      <c r="C1333" s="21">
        <f t="shared" si="44"/>
        <v>3.38193921018159</v>
      </c>
      <c r="D1333" s="21">
        <f t="shared" si="45"/>
        <v>1.47603603603604</v>
      </c>
    </row>
    <row r="1334" ht="14.4" spans="2:4">
      <c r="B1334" s="20">
        <v>5288</v>
      </c>
      <c r="C1334" s="21">
        <f t="shared" si="44"/>
        <v>3.38506982461016</v>
      </c>
      <c r="D1334" s="21">
        <f t="shared" si="45"/>
        <v>1.47656813266042</v>
      </c>
    </row>
    <row r="1335" ht="14.4" spans="2:4">
      <c r="B1335" s="20">
        <v>5292</v>
      </c>
      <c r="C1335" s="21">
        <f t="shared" si="44"/>
        <v>3.38820156779825</v>
      </c>
      <c r="D1335" s="21">
        <f t="shared" si="45"/>
        <v>1.47710061305445</v>
      </c>
    </row>
    <row r="1336" ht="14.4" spans="2:4">
      <c r="B1336" s="20">
        <v>5296</v>
      </c>
      <c r="C1336" s="21">
        <f t="shared" si="44"/>
        <v>3.3913344405601</v>
      </c>
      <c r="D1336" s="21">
        <f t="shared" si="45"/>
        <v>1.47763347763348</v>
      </c>
    </row>
    <row r="1337" ht="14.4" spans="2:4">
      <c r="B1337" s="20">
        <v>5300</v>
      </c>
      <c r="C1337" s="21">
        <f t="shared" si="44"/>
        <v>3.39446844371085</v>
      </c>
      <c r="D1337" s="21">
        <f t="shared" si="45"/>
        <v>1.47816672681342</v>
      </c>
    </row>
    <row r="1338" ht="14.4" spans="2:4">
      <c r="B1338" s="20">
        <v>5304</v>
      </c>
      <c r="C1338" s="21">
        <f t="shared" si="44"/>
        <v>3.39760357806652</v>
      </c>
      <c r="D1338" s="21">
        <f t="shared" si="45"/>
        <v>1.47870036101083</v>
      </c>
    </row>
    <row r="1339" ht="14.4" spans="2:4">
      <c r="B1339" s="20">
        <v>5308</v>
      </c>
      <c r="C1339" s="21">
        <f t="shared" si="44"/>
        <v>3.400739844444</v>
      </c>
      <c r="D1339" s="21">
        <f t="shared" si="45"/>
        <v>1.47923438064283</v>
      </c>
    </row>
    <row r="1340" ht="14.4" spans="2:4">
      <c r="B1340" s="20">
        <v>5312</v>
      </c>
      <c r="C1340" s="21">
        <f t="shared" si="44"/>
        <v>3.40387724366108</v>
      </c>
      <c r="D1340" s="21">
        <f t="shared" si="45"/>
        <v>1.47976878612717</v>
      </c>
    </row>
    <row r="1341" ht="14.4" spans="2:4">
      <c r="B1341" s="20">
        <v>5316</v>
      </c>
      <c r="C1341" s="21">
        <f t="shared" si="44"/>
        <v>3.40701577653645</v>
      </c>
      <c r="D1341" s="21">
        <f t="shared" si="45"/>
        <v>1.48030357788218</v>
      </c>
    </row>
    <row r="1342" ht="14.4" spans="2:4">
      <c r="B1342" s="20">
        <v>5320</v>
      </c>
      <c r="C1342" s="21">
        <f t="shared" si="44"/>
        <v>3.41015544388965</v>
      </c>
      <c r="D1342" s="21">
        <f t="shared" si="45"/>
        <v>1.48083875632683</v>
      </c>
    </row>
    <row r="1343" ht="14.4" spans="2:4">
      <c r="B1343" s="20">
        <v>5324</v>
      </c>
      <c r="C1343" s="21">
        <f t="shared" si="44"/>
        <v>3.41329624654115</v>
      </c>
      <c r="D1343" s="21">
        <f t="shared" si="45"/>
        <v>1.48137432188065</v>
      </c>
    </row>
    <row r="1344" ht="14.4" spans="2:4">
      <c r="B1344" s="20">
        <v>5328</v>
      </c>
      <c r="C1344" s="21">
        <f t="shared" si="44"/>
        <v>3.41643818531227</v>
      </c>
      <c r="D1344" s="21">
        <f t="shared" si="45"/>
        <v>1.48191027496382</v>
      </c>
    </row>
    <row r="1345" ht="14.4" spans="2:4">
      <c r="B1345" s="20">
        <v>5332</v>
      </c>
      <c r="C1345" s="21">
        <f t="shared" si="44"/>
        <v>3.41958126102526</v>
      </c>
      <c r="D1345" s="21">
        <f t="shared" si="45"/>
        <v>1.4824466159971</v>
      </c>
    </row>
    <row r="1346" ht="14.4" spans="2:4">
      <c r="B1346" s="20">
        <v>5336</v>
      </c>
      <c r="C1346" s="21">
        <f t="shared" si="44"/>
        <v>3.42272547450324</v>
      </c>
      <c r="D1346" s="21">
        <f t="shared" si="45"/>
        <v>1.48298334540188</v>
      </c>
    </row>
    <row r="1347" ht="14.4" spans="2:4">
      <c r="B1347" s="20">
        <v>5340</v>
      </c>
      <c r="C1347" s="21">
        <f t="shared" si="44"/>
        <v>3.42587082657022</v>
      </c>
      <c r="D1347" s="21">
        <f t="shared" si="45"/>
        <v>1.48352046360014</v>
      </c>
    </row>
    <row r="1348" ht="14.4" spans="2:4">
      <c r="B1348" s="20">
        <v>5344</v>
      </c>
      <c r="C1348" s="21">
        <f t="shared" si="44"/>
        <v>3.42901731805113</v>
      </c>
      <c r="D1348" s="21">
        <f t="shared" si="45"/>
        <v>1.48405797101449</v>
      </c>
    </row>
    <row r="1349" ht="14.4" spans="2:4">
      <c r="B1349" s="20">
        <v>5348</v>
      </c>
      <c r="C1349" s="21">
        <f t="shared" si="44"/>
        <v>3.43216494977178</v>
      </c>
      <c r="D1349" s="21">
        <f t="shared" si="45"/>
        <v>1.48459586806814</v>
      </c>
    </row>
    <row r="1350" ht="14.4" spans="2:4">
      <c r="B1350" s="20">
        <v>5352</v>
      </c>
      <c r="C1350" s="21">
        <f t="shared" si="44"/>
        <v>3.43531372255887</v>
      </c>
      <c r="D1350" s="21">
        <f t="shared" si="45"/>
        <v>1.48513415518492</v>
      </c>
    </row>
    <row r="1351" ht="14.4" spans="2:4">
      <c r="B1351" s="20">
        <v>5356</v>
      </c>
      <c r="C1351" s="21">
        <f t="shared" si="44"/>
        <v>3.43846363724001</v>
      </c>
      <c r="D1351" s="21">
        <f t="shared" si="45"/>
        <v>1.48567283278926</v>
      </c>
    </row>
    <row r="1352" ht="14.4" spans="2:4">
      <c r="B1352" s="20">
        <v>5360</v>
      </c>
      <c r="C1352" s="21">
        <f t="shared" si="44"/>
        <v>3.44161469464372</v>
      </c>
      <c r="D1352" s="21">
        <f t="shared" si="45"/>
        <v>1.48621190130624</v>
      </c>
    </row>
    <row r="1353" ht="14.4" spans="2:4">
      <c r="B1353" s="20">
        <v>5364</v>
      </c>
      <c r="C1353" s="21">
        <f t="shared" si="44"/>
        <v>3.44476689559941</v>
      </c>
      <c r="D1353" s="21">
        <f t="shared" si="45"/>
        <v>1.48675136116152</v>
      </c>
    </row>
    <row r="1354" ht="14.4" spans="2:4">
      <c r="B1354" s="20">
        <v>5368</v>
      </c>
      <c r="C1354" s="21">
        <f t="shared" si="44"/>
        <v>3.44792024093739</v>
      </c>
      <c r="D1354" s="21">
        <f t="shared" si="45"/>
        <v>1.48729121278141</v>
      </c>
    </row>
    <row r="1355" ht="14.4" spans="2:4">
      <c r="B1355" s="20">
        <v>5372</v>
      </c>
      <c r="C1355" s="21">
        <f t="shared" si="44"/>
        <v>3.45107473148888</v>
      </c>
      <c r="D1355" s="21">
        <f t="shared" si="45"/>
        <v>1.48783145659281</v>
      </c>
    </row>
    <row r="1356" ht="14.4" spans="2:4">
      <c r="B1356" s="20">
        <v>5376</v>
      </c>
      <c r="C1356" s="21">
        <f t="shared" si="44"/>
        <v>3.45423036808601</v>
      </c>
      <c r="D1356" s="21">
        <f t="shared" si="45"/>
        <v>1.48837209302326</v>
      </c>
    </row>
    <row r="1357" ht="14.4" spans="2:4">
      <c r="B1357" s="20">
        <v>5380</v>
      </c>
      <c r="C1357" s="21">
        <f t="shared" ref="C1357:C1420" si="46">20*LOG(D1357)</f>
        <v>3.45738715156182</v>
      </c>
      <c r="D1357" s="21">
        <f t="shared" ref="D1357:D1420" si="47">16384/(16384-B1357)</f>
        <v>1.48891312250091</v>
      </c>
    </row>
    <row r="1358" ht="14.4" spans="2:4">
      <c r="B1358" s="20">
        <v>5384</v>
      </c>
      <c r="C1358" s="21">
        <f t="shared" si="46"/>
        <v>3.46054508275023</v>
      </c>
      <c r="D1358" s="21">
        <f t="shared" si="47"/>
        <v>1.48945454545455</v>
      </c>
    </row>
    <row r="1359" ht="14.4" spans="2:4">
      <c r="B1359" s="20">
        <v>5388</v>
      </c>
      <c r="C1359" s="21">
        <f t="shared" si="46"/>
        <v>3.46370416248612</v>
      </c>
      <c r="D1359" s="21">
        <f t="shared" si="47"/>
        <v>1.48999636231357</v>
      </c>
    </row>
    <row r="1360" ht="14.4" spans="2:4">
      <c r="B1360" s="20">
        <v>5392</v>
      </c>
      <c r="C1360" s="21">
        <f t="shared" si="46"/>
        <v>3.46686439160523</v>
      </c>
      <c r="D1360" s="21">
        <f t="shared" si="47"/>
        <v>1.49053857350801</v>
      </c>
    </row>
    <row r="1361" ht="14.4" spans="2:4">
      <c r="B1361" s="20">
        <v>5396</v>
      </c>
      <c r="C1361" s="21">
        <f t="shared" si="46"/>
        <v>3.47002577094425</v>
      </c>
      <c r="D1361" s="21">
        <f t="shared" si="47"/>
        <v>1.49108117946851</v>
      </c>
    </row>
    <row r="1362" ht="14.4" spans="2:4">
      <c r="B1362" s="20">
        <v>5400</v>
      </c>
      <c r="C1362" s="21">
        <f t="shared" si="46"/>
        <v>3.47318830134076</v>
      </c>
      <c r="D1362" s="21">
        <f t="shared" si="47"/>
        <v>1.49162418062637</v>
      </c>
    </row>
    <row r="1363" ht="14.4" spans="2:4">
      <c r="B1363" s="20">
        <v>5404</v>
      </c>
      <c r="C1363" s="21">
        <f t="shared" si="46"/>
        <v>3.47635198363327</v>
      </c>
      <c r="D1363" s="21">
        <f t="shared" si="47"/>
        <v>1.49216757741348</v>
      </c>
    </row>
    <row r="1364" ht="14.4" spans="2:4">
      <c r="B1364" s="20">
        <v>5408</v>
      </c>
      <c r="C1364" s="21">
        <f t="shared" si="46"/>
        <v>3.47951681866121</v>
      </c>
      <c r="D1364" s="21">
        <f t="shared" si="47"/>
        <v>1.49271137026239</v>
      </c>
    </row>
    <row r="1365" ht="14.4" spans="2:4">
      <c r="B1365" s="20">
        <v>5412</v>
      </c>
      <c r="C1365" s="21">
        <f t="shared" si="46"/>
        <v>3.4826828072649</v>
      </c>
      <c r="D1365" s="21">
        <f t="shared" si="47"/>
        <v>1.49325555960627</v>
      </c>
    </row>
    <row r="1366" ht="14.4" spans="2:4">
      <c r="B1366" s="20">
        <v>5416</v>
      </c>
      <c r="C1366" s="21">
        <f t="shared" si="46"/>
        <v>3.48584995028561</v>
      </c>
      <c r="D1366" s="21">
        <f t="shared" si="47"/>
        <v>1.49380014587892</v>
      </c>
    </row>
    <row r="1367" ht="14.4" spans="2:4">
      <c r="B1367" s="20">
        <v>5420</v>
      </c>
      <c r="C1367" s="21">
        <f t="shared" si="46"/>
        <v>3.48901824856552</v>
      </c>
      <c r="D1367" s="21">
        <f t="shared" si="47"/>
        <v>1.49434512951478</v>
      </c>
    </row>
    <row r="1368" ht="14.4" spans="2:4">
      <c r="B1368" s="20">
        <v>5424</v>
      </c>
      <c r="C1368" s="21">
        <f t="shared" si="46"/>
        <v>3.49218770294773</v>
      </c>
      <c r="D1368" s="21">
        <f t="shared" si="47"/>
        <v>1.49489051094891</v>
      </c>
    </row>
    <row r="1369" ht="14.4" spans="2:4">
      <c r="B1369" s="20">
        <v>5428</v>
      </c>
      <c r="C1369" s="21">
        <f t="shared" si="46"/>
        <v>3.49535831427626</v>
      </c>
      <c r="D1369" s="21">
        <f t="shared" si="47"/>
        <v>1.49543629061701</v>
      </c>
    </row>
    <row r="1370" ht="14.4" spans="2:4">
      <c r="B1370" s="20">
        <v>5432</v>
      </c>
      <c r="C1370" s="21">
        <f t="shared" si="46"/>
        <v>3.49853008339606</v>
      </c>
      <c r="D1370" s="21">
        <f t="shared" si="47"/>
        <v>1.49598246895544</v>
      </c>
    </row>
    <row r="1371" ht="14.4" spans="2:4">
      <c r="B1371" s="20">
        <v>5436</v>
      </c>
      <c r="C1371" s="21">
        <f t="shared" si="46"/>
        <v>3.50170301115301</v>
      </c>
      <c r="D1371" s="21">
        <f t="shared" si="47"/>
        <v>1.49652904640117</v>
      </c>
    </row>
    <row r="1372" ht="14.4" spans="2:4">
      <c r="B1372" s="20">
        <v>5440</v>
      </c>
      <c r="C1372" s="21">
        <f t="shared" si="46"/>
        <v>3.50487709839391</v>
      </c>
      <c r="D1372" s="21">
        <f t="shared" si="47"/>
        <v>1.49707602339181</v>
      </c>
    </row>
    <row r="1373" ht="14.4" spans="2:4">
      <c r="B1373" s="20">
        <v>5444</v>
      </c>
      <c r="C1373" s="21">
        <f t="shared" si="46"/>
        <v>3.5080523459665</v>
      </c>
      <c r="D1373" s="21">
        <f t="shared" si="47"/>
        <v>1.49762340036563</v>
      </c>
    </row>
    <row r="1374" ht="14.4" spans="2:4">
      <c r="B1374" s="20">
        <v>5448</v>
      </c>
      <c r="C1374" s="21">
        <f t="shared" si="46"/>
        <v>3.51122875471942</v>
      </c>
      <c r="D1374" s="21">
        <f t="shared" si="47"/>
        <v>1.49817117776152</v>
      </c>
    </row>
    <row r="1375" ht="14.4" spans="2:4">
      <c r="B1375" s="20">
        <v>5452</v>
      </c>
      <c r="C1375" s="21">
        <f t="shared" si="46"/>
        <v>3.51440632550227</v>
      </c>
      <c r="D1375" s="21">
        <f t="shared" si="47"/>
        <v>1.49871935601903</v>
      </c>
    </row>
    <row r="1376" ht="14.4" spans="2:4">
      <c r="B1376" s="20">
        <v>5456</v>
      </c>
      <c r="C1376" s="21">
        <f t="shared" si="46"/>
        <v>3.51758505916559</v>
      </c>
      <c r="D1376" s="21">
        <f t="shared" si="47"/>
        <v>1.49926793557833</v>
      </c>
    </row>
    <row r="1377" ht="14.4" spans="2:4">
      <c r="B1377" s="20">
        <v>5460</v>
      </c>
      <c r="C1377" s="21">
        <f t="shared" si="46"/>
        <v>3.52076495656082</v>
      </c>
      <c r="D1377" s="21">
        <f t="shared" si="47"/>
        <v>1.49981691688026</v>
      </c>
    </row>
    <row r="1378" ht="14.4" spans="2:4">
      <c r="B1378" s="20">
        <v>5464</v>
      </c>
      <c r="C1378" s="21">
        <f t="shared" si="46"/>
        <v>3.52394601854037</v>
      </c>
      <c r="D1378" s="21">
        <f t="shared" si="47"/>
        <v>1.5003663003663</v>
      </c>
    </row>
    <row r="1379" ht="14.4" spans="2:4">
      <c r="B1379" s="20">
        <v>5468</v>
      </c>
      <c r="C1379" s="21">
        <f t="shared" si="46"/>
        <v>3.52712824595756</v>
      </c>
      <c r="D1379" s="21">
        <f t="shared" si="47"/>
        <v>1.50091608647856</v>
      </c>
    </row>
    <row r="1380" ht="14.4" spans="2:4">
      <c r="B1380" s="20">
        <v>5472</v>
      </c>
      <c r="C1380" s="21">
        <f t="shared" si="46"/>
        <v>3.53031163966666</v>
      </c>
      <c r="D1380" s="21">
        <f t="shared" si="47"/>
        <v>1.50146627565982</v>
      </c>
    </row>
    <row r="1381" ht="14.4" spans="2:4">
      <c r="B1381" s="20">
        <v>5476</v>
      </c>
      <c r="C1381" s="21">
        <f t="shared" si="46"/>
        <v>3.53349620052289</v>
      </c>
      <c r="D1381" s="21">
        <f t="shared" si="47"/>
        <v>1.5020168683535</v>
      </c>
    </row>
    <row r="1382" ht="14.4" spans="2:4">
      <c r="B1382" s="20">
        <v>5480</v>
      </c>
      <c r="C1382" s="21">
        <f t="shared" si="46"/>
        <v>3.53668192938239</v>
      </c>
      <c r="D1382" s="21">
        <f t="shared" si="47"/>
        <v>1.50256786500367</v>
      </c>
    </row>
    <row r="1383" ht="14.4" spans="2:4">
      <c r="B1383" s="20">
        <v>5484</v>
      </c>
      <c r="C1383" s="21">
        <f t="shared" si="46"/>
        <v>3.53986882710226</v>
      </c>
      <c r="D1383" s="21">
        <f t="shared" si="47"/>
        <v>1.50311926605505</v>
      </c>
    </row>
    <row r="1384" ht="14.4" spans="2:4">
      <c r="B1384" s="20">
        <v>5488</v>
      </c>
      <c r="C1384" s="21">
        <f t="shared" si="46"/>
        <v>3.54305689454054</v>
      </c>
      <c r="D1384" s="21">
        <f t="shared" si="47"/>
        <v>1.50367107195301</v>
      </c>
    </row>
    <row r="1385" ht="14.4" spans="2:4">
      <c r="B1385" s="20">
        <v>5492</v>
      </c>
      <c r="C1385" s="21">
        <f t="shared" si="46"/>
        <v>3.54624613255619</v>
      </c>
      <c r="D1385" s="21">
        <f t="shared" si="47"/>
        <v>1.50422328314359</v>
      </c>
    </row>
    <row r="1386" ht="14.4" spans="2:4">
      <c r="B1386" s="20">
        <v>5496</v>
      </c>
      <c r="C1386" s="21">
        <f t="shared" si="46"/>
        <v>3.54943654200917</v>
      </c>
      <c r="D1386" s="21">
        <f t="shared" si="47"/>
        <v>1.50477590007348</v>
      </c>
    </row>
    <row r="1387" ht="14.4" spans="2:4">
      <c r="B1387" s="20">
        <v>5500</v>
      </c>
      <c r="C1387" s="21">
        <f t="shared" si="46"/>
        <v>3.55262812376033</v>
      </c>
      <c r="D1387" s="21">
        <f t="shared" si="47"/>
        <v>1.50532892319</v>
      </c>
    </row>
    <row r="1388" ht="14.4" spans="2:4">
      <c r="B1388" s="20">
        <v>5504</v>
      </c>
      <c r="C1388" s="21">
        <f t="shared" si="46"/>
        <v>3.55582087867151</v>
      </c>
      <c r="D1388" s="21">
        <f t="shared" si="47"/>
        <v>1.50588235294118</v>
      </c>
    </row>
    <row r="1389" ht="14.4" spans="2:4">
      <c r="B1389" s="20">
        <v>5508</v>
      </c>
      <c r="C1389" s="21">
        <f t="shared" si="46"/>
        <v>3.55901480760548</v>
      </c>
      <c r="D1389" s="21">
        <f t="shared" si="47"/>
        <v>1.50643618977565</v>
      </c>
    </row>
    <row r="1390" ht="14.4" spans="2:4">
      <c r="B1390" s="20">
        <v>5512</v>
      </c>
      <c r="C1390" s="21">
        <f t="shared" si="46"/>
        <v>3.56220991142598</v>
      </c>
      <c r="D1390" s="21">
        <f t="shared" si="47"/>
        <v>1.50699043414275</v>
      </c>
    </row>
    <row r="1391" ht="14.4" spans="2:4">
      <c r="B1391" s="20">
        <v>5516</v>
      </c>
      <c r="C1391" s="21">
        <f t="shared" si="46"/>
        <v>3.56540619099767</v>
      </c>
      <c r="D1391" s="21">
        <f t="shared" si="47"/>
        <v>1.50754508649245</v>
      </c>
    </row>
    <row r="1392" ht="14.4" spans="2:4">
      <c r="B1392" s="20">
        <v>5520</v>
      </c>
      <c r="C1392" s="21">
        <f t="shared" si="46"/>
        <v>3.56860364718621</v>
      </c>
      <c r="D1392" s="21">
        <f t="shared" si="47"/>
        <v>1.5081001472754</v>
      </c>
    </row>
    <row r="1393" ht="14.4" spans="2:4">
      <c r="B1393" s="20">
        <v>5524</v>
      </c>
      <c r="C1393" s="21">
        <f t="shared" si="46"/>
        <v>3.57180228085817</v>
      </c>
      <c r="D1393" s="21">
        <f t="shared" si="47"/>
        <v>1.50865561694291</v>
      </c>
    </row>
    <row r="1394" ht="14.4" spans="2:4">
      <c r="B1394" s="20">
        <v>5528</v>
      </c>
      <c r="C1394" s="21">
        <f t="shared" si="46"/>
        <v>3.57500209288112</v>
      </c>
      <c r="D1394" s="21">
        <f t="shared" si="47"/>
        <v>1.50921149594694</v>
      </c>
    </row>
    <row r="1395" ht="14.4" spans="2:4">
      <c r="B1395" s="20">
        <v>5532</v>
      </c>
      <c r="C1395" s="21">
        <f t="shared" si="46"/>
        <v>3.57820308412356</v>
      </c>
      <c r="D1395" s="21">
        <f t="shared" si="47"/>
        <v>1.50976778474014</v>
      </c>
    </row>
    <row r="1396" ht="14.4" spans="2:4">
      <c r="B1396" s="20">
        <v>5536</v>
      </c>
      <c r="C1396" s="21">
        <f t="shared" si="46"/>
        <v>3.58140525545497</v>
      </c>
      <c r="D1396" s="21">
        <f t="shared" si="47"/>
        <v>1.51032448377581</v>
      </c>
    </row>
    <row r="1397" ht="14.4" spans="2:4">
      <c r="B1397" s="20">
        <v>5540</v>
      </c>
      <c r="C1397" s="21">
        <f t="shared" si="46"/>
        <v>3.58460860774578</v>
      </c>
      <c r="D1397" s="21">
        <f t="shared" si="47"/>
        <v>1.51088159350793</v>
      </c>
    </row>
    <row r="1398" ht="14.4" spans="2:4">
      <c r="B1398" s="20">
        <v>5544</v>
      </c>
      <c r="C1398" s="21">
        <f t="shared" si="46"/>
        <v>3.58781314186737</v>
      </c>
      <c r="D1398" s="21">
        <f t="shared" si="47"/>
        <v>1.51143911439114</v>
      </c>
    </row>
    <row r="1399" ht="14.4" spans="2:4">
      <c r="B1399" s="20">
        <v>5548</v>
      </c>
      <c r="C1399" s="21">
        <f t="shared" si="46"/>
        <v>3.59101885869212</v>
      </c>
      <c r="D1399" s="21">
        <f t="shared" si="47"/>
        <v>1.51199704688077</v>
      </c>
    </row>
    <row r="1400" ht="14.4" spans="2:4">
      <c r="B1400" s="20">
        <v>5552</v>
      </c>
      <c r="C1400" s="21">
        <f t="shared" si="46"/>
        <v>3.59422575909335</v>
      </c>
      <c r="D1400" s="21">
        <f t="shared" si="47"/>
        <v>1.51255539143279</v>
      </c>
    </row>
    <row r="1401" ht="14.4" spans="2:4">
      <c r="B1401" s="20">
        <v>5556</v>
      </c>
      <c r="C1401" s="21">
        <f t="shared" si="46"/>
        <v>3.59743384394536</v>
      </c>
      <c r="D1401" s="21">
        <f t="shared" si="47"/>
        <v>1.51311414850388</v>
      </c>
    </row>
    <row r="1402" ht="14.4" spans="2:4">
      <c r="B1402" s="20">
        <v>5560</v>
      </c>
      <c r="C1402" s="21">
        <f t="shared" si="46"/>
        <v>3.6006431141234</v>
      </c>
      <c r="D1402" s="21">
        <f t="shared" si="47"/>
        <v>1.51367331855137</v>
      </c>
    </row>
    <row r="1403" ht="14.4" spans="2:4">
      <c r="B1403" s="20">
        <v>5564</v>
      </c>
      <c r="C1403" s="21">
        <f t="shared" si="46"/>
        <v>3.60385357050372</v>
      </c>
      <c r="D1403" s="21">
        <f t="shared" si="47"/>
        <v>1.51423290203327</v>
      </c>
    </row>
    <row r="1404" ht="14.4" spans="2:4">
      <c r="B1404" s="20">
        <v>5568</v>
      </c>
      <c r="C1404" s="21">
        <f t="shared" si="46"/>
        <v>3.60706521396352</v>
      </c>
      <c r="D1404" s="21">
        <f t="shared" si="47"/>
        <v>1.51479289940828</v>
      </c>
    </row>
    <row r="1405" ht="14.4" spans="2:4">
      <c r="B1405" s="20">
        <v>5572</v>
      </c>
      <c r="C1405" s="21">
        <f t="shared" si="46"/>
        <v>3.61027804538098</v>
      </c>
      <c r="D1405" s="21">
        <f t="shared" si="47"/>
        <v>1.51535331113578</v>
      </c>
    </row>
    <row r="1406" ht="14.4" spans="2:4">
      <c r="B1406" s="20">
        <v>5576</v>
      </c>
      <c r="C1406" s="21">
        <f t="shared" si="46"/>
        <v>3.61349206563525</v>
      </c>
      <c r="D1406" s="21">
        <f t="shared" si="47"/>
        <v>1.5159141376758</v>
      </c>
    </row>
    <row r="1407" ht="14.4" spans="2:4">
      <c r="B1407" s="20">
        <v>5580</v>
      </c>
      <c r="C1407" s="21">
        <f t="shared" si="46"/>
        <v>3.61670727560647</v>
      </c>
      <c r="D1407" s="21">
        <f t="shared" si="47"/>
        <v>1.51647537948908</v>
      </c>
    </row>
    <row r="1408" ht="14.4" spans="2:4">
      <c r="B1408" s="20">
        <v>5584</v>
      </c>
      <c r="C1408" s="21">
        <f t="shared" si="46"/>
        <v>3.61992367617574</v>
      </c>
      <c r="D1408" s="21">
        <f t="shared" si="47"/>
        <v>1.51703703703704</v>
      </c>
    </row>
    <row r="1409" ht="14.4" spans="2:4">
      <c r="B1409" s="20">
        <v>5588</v>
      </c>
      <c r="C1409" s="21">
        <f t="shared" si="46"/>
        <v>3.62314126822515</v>
      </c>
      <c r="D1409" s="21">
        <f t="shared" si="47"/>
        <v>1.51759911078177</v>
      </c>
    </row>
    <row r="1410" ht="14.4" spans="2:4">
      <c r="B1410" s="20">
        <v>5592</v>
      </c>
      <c r="C1410" s="21">
        <f t="shared" si="46"/>
        <v>3.62636005263778</v>
      </c>
      <c r="D1410" s="21">
        <f t="shared" si="47"/>
        <v>1.51816160118606</v>
      </c>
    </row>
    <row r="1411" ht="14.4" spans="2:4">
      <c r="B1411" s="20">
        <v>5596</v>
      </c>
      <c r="C1411" s="21">
        <f t="shared" si="46"/>
        <v>3.62958003029766</v>
      </c>
      <c r="D1411" s="21">
        <f t="shared" si="47"/>
        <v>1.51872450871339</v>
      </c>
    </row>
    <row r="1412" ht="14.4" spans="2:4">
      <c r="B1412" s="20">
        <v>5600</v>
      </c>
      <c r="C1412" s="21">
        <f t="shared" si="46"/>
        <v>3.63280120208984</v>
      </c>
      <c r="D1412" s="21">
        <f t="shared" si="47"/>
        <v>1.51928783382789</v>
      </c>
    </row>
    <row r="1413" ht="14.4" spans="2:4">
      <c r="B1413" s="20">
        <v>5604</v>
      </c>
      <c r="C1413" s="21">
        <f t="shared" si="46"/>
        <v>3.63602356890034</v>
      </c>
      <c r="D1413" s="21">
        <f t="shared" si="47"/>
        <v>1.51985157699443</v>
      </c>
    </row>
    <row r="1414" ht="14.4" spans="2:4">
      <c r="B1414" s="20">
        <v>5608</v>
      </c>
      <c r="C1414" s="21">
        <f t="shared" si="46"/>
        <v>3.63924713161615</v>
      </c>
      <c r="D1414" s="21">
        <f t="shared" si="47"/>
        <v>1.52041573867854</v>
      </c>
    </row>
    <row r="1415" ht="14.4" spans="2:4">
      <c r="B1415" s="20">
        <v>5612</v>
      </c>
      <c r="C1415" s="21">
        <f t="shared" si="46"/>
        <v>3.64247189112528</v>
      </c>
      <c r="D1415" s="21">
        <f t="shared" si="47"/>
        <v>1.52098031934645</v>
      </c>
    </row>
    <row r="1416" ht="14.4" spans="2:4">
      <c r="B1416" s="20">
        <v>5616</v>
      </c>
      <c r="C1416" s="21">
        <f t="shared" si="46"/>
        <v>3.6456978483167</v>
      </c>
      <c r="D1416" s="21">
        <f t="shared" si="47"/>
        <v>1.52154531946508</v>
      </c>
    </row>
    <row r="1417" ht="14.4" spans="2:4">
      <c r="B1417" s="20">
        <v>5620</v>
      </c>
      <c r="C1417" s="21">
        <f t="shared" si="46"/>
        <v>3.6489250040804</v>
      </c>
      <c r="D1417" s="21">
        <f t="shared" si="47"/>
        <v>1.52211073950204</v>
      </c>
    </row>
    <row r="1418" ht="14.4" spans="2:4">
      <c r="B1418" s="20">
        <v>5624</v>
      </c>
      <c r="C1418" s="21">
        <f t="shared" si="46"/>
        <v>3.65215335930733</v>
      </c>
      <c r="D1418" s="21">
        <f t="shared" si="47"/>
        <v>1.52267657992565</v>
      </c>
    </row>
    <row r="1419" ht="14.4" spans="2:4">
      <c r="B1419" s="20">
        <v>5628</v>
      </c>
      <c r="C1419" s="21">
        <f t="shared" si="46"/>
        <v>3.65538291488945</v>
      </c>
      <c r="D1419" s="21">
        <f t="shared" si="47"/>
        <v>1.52324284120491</v>
      </c>
    </row>
    <row r="1420" ht="14.4" spans="2:4">
      <c r="B1420" s="20">
        <v>5632</v>
      </c>
      <c r="C1420" s="21">
        <f t="shared" si="46"/>
        <v>3.65861367171973</v>
      </c>
      <c r="D1420" s="21">
        <f t="shared" si="47"/>
        <v>1.52380952380952</v>
      </c>
    </row>
    <row r="1421" ht="14.4" spans="2:4">
      <c r="B1421" s="20">
        <v>5636</v>
      </c>
      <c r="C1421" s="21">
        <f t="shared" ref="C1421:C1484" si="48">20*LOG(D1421)</f>
        <v>3.66184563069212</v>
      </c>
      <c r="D1421" s="21">
        <f t="shared" ref="D1421:D1484" si="49">16384/(16384-B1421)</f>
        <v>1.5243766282099</v>
      </c>
    </row>
    <row r="1422" ht="14.4" spans="2:4">
      <c r="B1422" s="20">
        <v>5640</v>
      </c>
      <c r="C1422" s="21">
        <f t="shared" si="48"/>
        <v>3.66507879270156</v>
      </c>
      <c r="D1422" s="21">
        <f t="shared" si="49"/>
        <v>1.52494415487714</v>
      </c>
    </row>
    <row r="1423" ht="14.4" spans="2:4">
      <c r="B1423" s="20">
        <v>5644</v>
      </c>
      <c r="C1423" s="21">
        <f t="shared" si="48"/>
        <v>3.668313158644</v>
      </c>
      <c r="D1423" s="21">
        <f t="shared" si="49"/>
        <v>1.52551210428305</v>
      </c>
    </row>
    <row r="1424" ht="14.4" spans="2:4">
      <c r="B1424" s="20">
        <v>5648</v>
      </c>
      <c r="C1424" s="21">
        <f t="shared" si="48"/>
        <v>3.6715487294164</v>
      </c>
      <c r="D1424" s="21">
        <f t="shared" si="49"/>
        <v>1.52608047690015</v>
      </c>
    </row>
    <row r="1425" ht="14.4" spans="2:4">
      <c r="B1425" s="20">
        <v>5652</v>
      </c>
      <c r="C1425" s="21">
        <f t="shared" si="48"/>
        <v>3.67478550591671</v>
      </c>
      <c r="D1425" s="21">
        <f t="shared" si="49"/>
        <v>1.52664927320164</v>
      </c>
    </row>
    <row r="1426" ht="14.4" spans="2:4">
      <c r="B1426" s="20">
        <v>5656</v>
      </c>
      <c r="C1426" s="21">
        <f t="shared" si="48"/>
        <v>3.67802348904388</v>
      </c>
      <c r="D1426" s="21">
        <f t="shared" si="49"/>
        <v>1.52721849366145</v>
      </c>
    </row>
    <row r="1427" ht="14.4" spans="2:4">
      <c r="B1427" s="20">
        <v>5660</v>
      </c>
      <c r="C1427" s="21">
        <f t="shared" si="48"/>
        <v>3.6812626796979</v>
      </c>
      <c r="D1427" s="21">
        <f t="shared" si="49"/>
        <v>1.5277881387542</v>
      </c>
    </row>
    <row r="1428" ht="14.4" spans="2:4">
      <c r="B1428" s="20">
        <v>5664</v>
      </c>
      <c r="C1428" s="21">
        <f t="shared" si="48"/>
        <v>3.68450307877971</v>
      </c>
      <c r="D1428" s="21">
        <f t="shared" si="49"/>
        <v>1.52835820895522</v>
      </c>
    </row>
    <row r="1429" ht="14.4" spans="2:4">
      <c r="B1429" s="20">
        <v>5668</v>
      </c>
      <c r="C1429" s="21">
        <f t="shared" si="48"/>
        <v>3.68774468719131</v>
      </c>
      <c r="D1429" s="21">
        <f t="shared" si="49"/>
        <v>1.52892870474057</v>
      </c>
    </row>
    <row r="1430" ht="14.4" spans="2:4">
      <c r="B1430" s="20">
        <v>5672</v>
      </c>
      <c r="C1430" s="21">
        <f t="shared" si="48"/>
        <v>3.69098750583568</v>
      </c>
      <c r="D1430" s="21">
        <f t="shared" si="49"/>
        <v>1.52949962658701</v>
      </c>
    </row>
    <row r="1431" ht="14.4" spans="2:4">
      <c r="B1431" s="20">
        <v>5676</v>
      </c>
      <c r="C1431" s="21">
        <f t="shared" si="48"/>
        <v>3.69423153561683</v>
      </c>
      <c r="D1431" s="21">
        <f t="shared" si="49"/>
        <v>1.53007097497198</v>
      </c>
    </row>
    <row r="1432" ht="14.4" spans="2:4">
      <c r="B1432" s="20">
        <v>5680</v>
      </c>
      <c r="C1432" s="21">
        <f t="shared" si="48"/>
        <v>3.69747677743978</v>
      </c>
      <c r="D1432" s="21">
        <f t="shared" si="49"/>
        <v>1.53064275037369</v>
      </c>
    </row>
    <row r="1433" ht="14.4" spans="2:4">
      <c r="B1433" s="20">
        <v>5684</v>
      </c>
      <c r="C1433" s="21">
        <f t="shared" si="48"/>
        <v>3.70072323221054</v>
      </c>
      <c r="D1433" s="21">
        <f t="shared" si="49"/>
        <v>1.53121495327103</v>
      </c>
    </row>
    <row r="1434" ht="14.4" spans="2:4">
      <c r="B1434" s="20">
        <v>5688</v>
      </c>
      <c r="C1434" s="21">
        <f t="shared" si="48"/>
        <v>3.70397090083618</v>
      </c>
      <c r="D1434" s="21">
        <f t="shared" si="49"/>
        <v>1.53178758414361</v>
      </c>
    </row>
    <row r="1435" ht="14.4" spans="2:4">
      <c r="B1435" s="20">
        <v>5692</v>
      </c>
      <c r="C1435" s="21">
        <f t="shared" si="48"/>
        <v>3.70721978422474</v>
      </c>
      <c r="D1435" s="21">
        <f t="shared" si="49"/>
        <v>1.53236064347175</v>
      </c>
    </row>
    <row r="1436" ht="14.4" spans="2:4">
      <c r="B1436" s="20">
        <v>5696</v>
      </c>
      <c r="C1436" s="21">
        <f t="shared" si="48"/>
        <v>3.71046988328533</v>
      </c>
      <c r="D1436" s="21">
        <f t="shared" si="49"/>
        <v>1.53293413173653</v>
      </c>
    </row>
    <row r="1437" ht="14.4" spans="2:4">
      <c r="B1437" s="20">
        <v>5700</v>
      </c>
      <c r="C1437" s="21">
        <f t="shared" si="48"/>
        <v>3.71372119892803</v>
      </c>
      <c r="D1437" s="21">
        <f t="shared" si="49"/>
        <v>1.53350804941969</v>
      </c>
    </row>
    <row r="1438" ht="14.4" spans="2:4">
      <c r="B1438" s="20">
        <v>5704</v>
      </c>
      <c r="C1438" s="21">
        <f t="shared" si="48"/>
        <v>3.71697373206398</v>
      </c>
      <c r="D1438" s="21">
        <f t="shared" si="49"/>
        <v>1.53408239700375</v>
      </c>
    </row>
    <row r="1439" ht="14.4" spans="2:4">
      <c r="B1439" s="20">
        <v>5708</v>
      </c>
      <c r="C1439" s="21">
        <f t="shared" si="48"/>
        <v>3.72022748360533</v>
      </c>
      <c r="D1439" s="21">
        <f t="shared" si="49"/>
        <v>1.5346571749719</v>
      </c>
    </row>
    <row r="1440" ht="14.4" spans="2:4">
      <c r="B1440" s="20">
        <v>5712</v>
      </c>
      <c r="C1440" s="21">
        <f t="shared" si="48"/>
        <v>3.72348245446526</v>
      </c>
      <c r="D1440" s="21">
        <f t="shared" si="49"/>
        <v>1.5352323838081</v>
      </c>
    </row>
    <row r="1441" ht="14.4" spans="2:4">
      <c r="B1441" s="20">
        <v>5716</v>
      </c>
      <c r="C1441" s="21">
        <f t="shared" si="48"/>
        <v>3.72673864555796</v>
      </c>
      <c r="D1441" s="21">
        <f t="shared" si="49"/>
        <v>1.535808023997</v>
      </c>
    </row>
    <row r="1442" ht="14.4" spans="2:4">
      <c r="B1442" s="20">
        <v>5720</v>
      </c>
      <c r="C1442" s="21">
        <f t="shared" si="48"/>
        <v>3.72999605779868</v>
      </c>
      <c r="D1442" s="21">
        <f t="shared" si="49"/>
        <v>1.53638409602401</v>
      </c>
    </row>
    <row r="1443" ht="14.4" spans="2:4">
      <c r="B1443" s="20">
        <v>5724</v>
      </c>
      <c r="C1443" s="21">
        <f t="shared" si="48"/>
        <v>3.73325469210366</v>
      </c>
      <c r="D1443" s="21">
        <f t="shared" si="49"/>
        <v>1.53696060037523</v>
      </c>
    </row>
    <row r="1444" ht="14.4" spans="2:4">
      <c r="B1444" s="20">
        <v>5728</v>
      </c>
      <c r="C1444" s="21">
        <f t="shared" si="48"/>
        <v>3.73651454939022</v>
      </c>
      <c r="D1444" s="21">
        <f t="shared" si="49"/>
        <v>1.53753753753754</v>
      </c>
    </row>
    <row r="1445" ht="14.4" spans="2:4">
      <c r="B1445" s="20">
        <v>5732</v>
      </c>
      <c r="C1445" s="21">
        <f t="shared" si="48"/>
        <v>3.73977563057666</v>
      </c>
      <c r="D1445" s="21">
        <f t="shared" si="49"/>
        <v>1.5381149079985</v>
      </c>
    </row>
    <row r="1446" ht="14.4" spans="2:4">
      <c r="B1446" s="20">
        <v>5736</v>
      </c>
      <c r="C1446" s="21">
        <f t="shared" si="48"/>
        <v>3.74303793658236</v>
      </c>
      <c r="D1446" s="21">
        <f t="shared" si="49"/>
        <v>1.53869271224643</v>
      </c>
    </row>
    <row r="1447" ht="14.4" spans="2:4">
      <c r="B1447" s="20">
        <v>5740</v>
      </c>
      <c r="C1447" s="21">
        <f t="shared" si="48"/>
        <v>3.74630146832771</v>
      </c>
      <c r="D1447" s="21">
        <f t="shared" si="49"/>
        <v>1.53927095077039</v>
      </c>
    </row>
    <row r="1448" ht="14.4" spans="2:4">
      <c r="B1448" s="20">
        <v>5744</v>
      </c>
      <c r="C1448" s="21">
        <f t="shared" si="48"/>
        <v>3.74956622673415</v>
      </c>
      <c r="D1448" s="21">
        <f t="shared" si="49"/>
        <v>1.53984962406015</v>
      </c>
    </row>
    <row r="1449" ht="14.4" spans="2:4">
      <c r="B1449" s="20">
        <v>5748</v>
      </c>
      <c r="C1449" s="21">
        <f t="shared" si="48"/>
        <v>3.75283221272415</v>
      </c>
      <c r="D1449" s="21">
        <f t="shared" si="49"/>
        <v>1.54042873260624</v>
      </c>
    </row>
    <row r="1450" ht="14.4" spans="2:4">
      <c r="B1450" s="20">
        <v>5752</v>
      </c>
      <c r="C1450" s="21">
        <f t="shared" si="48"/>
        <v>3.75609942722122</v>
      </c>
      <c r="D1450" s="21">
        <f t="shared" si="49"/>
        <v>1.54100827689992</v>
      </c>
    </row>
    <row r="1451" ht="14.4" spans="2:4">
      <c r="B1451" s="20">
        <v>5756</v>
      </c>
      <c r="C1451" s="21">
        <f t="shared" si="48"/>
        <v>3.75936787114994</v>
      </c>
      <c r="D1451" s="21">
        <f t="shared" si="49"/>
        <v>1.5415882574332</v>
      </c>
    </row>
    <row r="1452" ht="14.4" spans="2:4">
      <c r="B1452" s="20">
        <v>5760</v>
      </c>
      <c r="C1452" s="21">
        <f t="shared" si="48"/>
        <v>3.76263754543589</v>
      </c>
      <c r="D1452" s="21">
        <f t="shared" si="49"/>
        <v>1.5421686746988</v>
      </c>
    </row>
    <row r="1453" ht="14.4" spans="2:4">
      <c r="B1453" s="20">
        <v>5764</v>
      </c>
      <c r="C1453" s="21">
        <f t="shared" si="48"/>
        <v>3.76590845100573</v>
      </c>
      <c r="D1453" s="21">
        <f t="shared" si="49"/>
        <v>1.54274952919021</v>
      </c>
    </row>
    <row r="1454" ht="14.4" spans="2:4">
      <c r="B1454" s="20">
        <v>5768</v>
      </c>
      <c r="C1454" s="21">
        <f t="shared" si="48"/>
        <v>3.76918058878715</v>
      </c>
      <c r="D1454" s="21">
        <f t="shared" si="49"/>
        <v>1.54333082140166</v>
      </c>
    </row>
    <row r="1455" ht="14.4" spans="2:4">
      <c r="B1455" s="20">
        <v>5772</v>
      </c>
      <c r="C1455" s="21">
        <f t="shared" si="48"/>
        <v>3.7724539597089</v>
      </c>
      <c r="D1455" s="21">
        <f t="shared" si="49"/>
        <v>1.54391255182812</v>
      </c>
    </row>
    <row r="1456" ht="14.4" spans="2:4">
      <c r="B1456" s="20">
        <v>5776</v>
      </c>
      <c r="C1456" s="21">
        <f t="shared" si="48"/>
        <v>3.77572856470078</v>
      </c>
      <c r="D1456" s="21">
        <f t="shared" si="49"/>
        <v>1.54449472096531</v>
      </c>
    </row>
    <row r="1457" ht="14.4" spans="2:4">
      <c r="B1457" s="20">
        <v>5780</v>
      </c>
      <c r="C1457" s="21">
        <f t="shared" si="48"/>
        <v>3.77900440469362</v>
      </c>
      <c r="D1457" s="21">
        <f t="shared" si="49"/>
        <v>1.54507732930969</v>
      </c>
    </row>
    <row r="1458" ht="14.4" spans="2:4">
      <c r="B1458" s="20">
        <v>5784</v>
      </c>
      <c r="C1458" s="21">
        <f t="shared" si="48"/>
        <v>3.78228148061933</v>
      </c>
      <c r="D1458" s="21">
        <f t="shared" si="49"/>
        <v>1.54566037735849</v>
      </c>
    </row>
    <row r="1459" ht="14.4" spans="2:4">
      <c r="B1459" s="20">
        <v>5788</v>
      </c>
      <c r="C1459" s="21">
        <f t="shared" si="48"/>
        <v>3.78555979341087</v>
      </c>
      <c r="D1459" s="21">
        <f t="shared" si="49"/>
        <v>1.54624386560966</v>
      </c>
    </row>
    <row r="1460" ht="14.4" spans="2:4">
      <c r="B1460" s="20">
        <v>5792</v>
      </c>
      <c r="C1460" s="21">
        <f t="shared" si="48"/>
        <v>3.78883934400224</v>
      </c>
      <c r="D1460" s="21">
        <f t="shared" si="49"/>
        <v>1.54682779456193</v>
      </c>
    </row>
    <row r="1461" ht="14.4" spans="2:4">
      <c r="B1461" s="20">
        <v>5796</v>
      </c>
      <c r="C1461" s="21">
        <f t="shared" si="48"/>
        <v>3.79212013332852</v>
      </c>
      <c r="D1461" s="21">
        <f t="shared" si="49"/>
        <v>1.54741216471477</v>
      </c>
    </row>
    <row r="1462" ht="14.4" spans="2:4">
      <c r="B1462" s="20">
        <v>5800</v>
      </c>
      <c r="C1462" s="21">
        <f t="shared" si="48"/>
        <v>3.79540216232584</v>
      </c>
      <c r="D1462" s="21">
        <f t="shared" si="49"/>
        <v>1.54799697656841</v>
      </c>
    </row>
    <row r="1463" ht="14.4" spans="2:4">
      <c r="B1463" s="20">
        <v>5804</v>
      </c>
      <c r="C1463" s="21">
        <f t="shared" si="48"/>
        <v>3.7986854319314</v>
      </c>
      <c r="D1463" s="21">
        <f t="shared" si="49"/>
        <v>1.54858223062382</v>
      </c>
    </row>
    <row r="1464" ht="14.4" spans="2:4">
      <c r="B1464" s="20">
        <v>5808</v>
      </c>
      <c r="C1464" s="21">
        <f t="shared" si="48"/>
        <v>3.80196994308343</v>
      </c>
      <c r="D1464" s="21">
        <f t="shared" si="49"/>
        <v>1.54916792738275</v>
      </c>
    </row>
    <row r="1465" ht="14.4" spans="2:4">
      <c r="B1465" s="20">
        <v>5812</v>
      </c>
      <c r="C1465" s="21">
        <f t="shared" si="48"/>
        <v>3.80525569672128</v>
      </c>
      <c r="D1465" s="21">
        <f t="shared" si="49"/>
        <v>1.54975406734771</v>
      </c>
    </row>
    <row r="1466" ht="14.4" spans="2:4">
      <c r="B1466" s="20">
        <v>5816</v>
      </c>
      <c r="C1466" s="21">
        <f t="shared" si="48"/>
        <v>3.80854269378532</v>
      </c>
      <c r="D1466" s="21">
        <f t="shared" si="49"/>
        <v>1.55034065102195</v>
      </c>
    </row>
    <row r="1467" ht="14.4" spans="2:4">
      <c r="B1467" s="20">
        <v>5820</v>
      </c>
      <c r="C1467" s="21">
        <f t="shared" si="48"/>
        <v>3.81183093521701</v>
      </c>
      <c r="D1467" s="21">
        <f t="shared" si="49"/>
        <v>1.5509276789095</v>
      </c>
    </row>
    <row r="1468" ht="14.4" spans="2:4">
      <c r="B1468" s="20">
        <v>5824</v>
      </c>
      <c r="C1468" s="21">
        <f t="shared" si="48"/>
        <v>3.81512042195887</v>
      </c>
      <c r="D1468" s="21">
        <f t="shared" si="49"/>
        <v>1.55151515151515</v>
      </c>
    </row>
    <row r="1469" ht="14.4" spans="2:4">
      <c r="B1469" s="20">
        <v>5828</v>
      </c>
      <c r="C1469" s="21">
        <f t="shared" si="48"/>
        <v>3.81841115495449</v>
      </c>
      <c r="D1469" s="21">
        <f t="shared" si="49"/>
        <v>1.55210306934445</v>
      </c>
    </row>
    <row r="1470" ht="14.4" spans="2:4">
      <c r="B1470" s="20">
        <v>5832</v>
      </c>
      <c r="C1470" s="21">
        <f t="shared" si="48"/>
        <v>3.82170313514856</v>
      </c>
      <c r="D1470" s="21">
        <f t="shared" si="49"/>
        <v>1.55269143290371</v>
      </c>
    </row>
    <row r="1471" ht="14.4" spans="2:4">
      <c r="B1471" s="20">
        <v>5836</v>
      </c>
      <c r="C1471" s="21">
        <f t="shared" si="48"/>
        <v>3.8249963634868</v>
      </c>
      <c r="D1471" s="21">
        <f t="shared" si="49"/>
        <v>1.55328024270004</v>
      </c>
    </row>
    <row r="1472" ht="14.4" spans="2:4">
      <c r="B1472" s="20">
        <v>5840</v>
      </c>
      <c r="C1472" s="21">
        <f t="shared" si="48"/>
        <v>3.82829084091604</v>
      </c>
      <c r="D1472" s="21">
        <f t="shared" si="49"/>
        <v>1.55386949924127</v>
      </c>
    </row>
    <row r="1473" ht="14.4" spans="2:4">
      <c r="B1473" s="20">
        <v>5844</v>
      </c>
      <c r="C1473" s="21">
        <f t="shared" si="48"/>
        <v>3.83158656838418</v>
      </c>
      <c r="D1473" s="21">
        <f t="shared" si="49"/>
        <v>1.55445920303605</v>
      </c>
    </row>
    <row r="1474" ht="14.4" spans="2:4">
      <c r="B1474" s="20">
        <v>5848</v>
      </c>
      <c r="C1474" s="21">
        <f t="shared" si="48"/>
        <v>3.83488354684019</v>
      </c>
      <c r="D1474" s="21">
        <f t="shared" si="49"/>
        <v>1.55504935459377</v>
      </c>
    </row>
    <row r="1475" ht="14.4" spans="2:4">
      <c r="B1475" s="20">
        <v>5852</v>
      </c>
      <c r="C1475" s="21">
        <f t="shared" si="48"/>
        <v>3.83818177723412</v>
      </c>
      <c r="D1475" s="21">
        <f t="shared" si="49"/>
        <v>1.55563995442461</v>
      </c>
    </row>
    <row r="1476" ht="14.4" spans="2:4">
      <c r="B1476" s="20">
        <v>5856</v>
      </c>
      <c r="C1476" s="21">
        <f t="shared" si="48"/>
        <v>3.84148126051713</v>
      </c>
      <c r="D1476" s="21">
        <f t="shared" si="49"/>
        <v>1.55623100303951</v>
      </c>
    </row>
    <row r="1477" ht="14.4" spans="2:4">
      <c r="B1477" s="20">
        <v>5860</v>
      </c>
      <c r="C1477" s="21">
        <f t="shared" si="48"/>
        <v>3.84478199764143</v>
      </c>
      <c r="D1477" s="21">
        <f t="shared" si="49"/>
        <v>1.55682250095021</v>
      </c>
    </row>
    <row r="1478" ht="14.4" spans="2:4">
      <c r="B1478" s="20">
        <v>5864</v>
      </c>
      <c r="C1478" s="21">
        <f t="shared" si="48"/>
        <v>3.84808398956033</v>
      </c>
      <c r="D1478" s="21">
        <f t="shared" si="49"/>
        <v>1.5574144486692</v>
      </c>
    </row>
    <row r="1479" ht="14.4" spans="2:4">
      <c r="B1479" s="20">
        <v>5868</v>
      </c>
      <c r="C1479" s="21">
        <f t="shared" si="48"/>
        <v>3.85138723722823</v>
      </c>
      <c r="D1479" s="21">
        <f t="shared" si="49"/>
        <v>1.55800684670978</v>
      </c>
    </row>
    <row r="1480" ht="14.4" spans="2:4">
      <c r="B1480" s="20">
        <v>5872</v>
      </c>
      <c r="C1480" s="21">
        <f t="shared" si="48"/>
        <v>3.85469174160062</v>
      </c>
      <c r="D1480" s="21">
        <f t="shared" si="49"/>
        <v>1.558599695586</v>
      </c>
    </row>
    <row r="1481" ht="14.4" spans="2:4">
      <c r="B1481" s="20">
        <v>5876</v>
      </c>
      <c r="C1481" s="21">
        <f t="shared" si="48"/>
        <v>3.85799750363408</v>
      </c>
      <c r="D1481" s="21">
        <f t="shared" si="49"/>
        <v>1.55919299581271</v>
      </c>
    </row>
    <row r="1482" ht="14.4" spans="2:4">
      <c r="B1482" s="20">
        <v>5880</v>
      </c>
      <c r="C1482" s="21">
        <f t="shared" si="48"/>
        <v>3.86130452428628</v>
      </c>
      <c r="D1482" s="21">
        <f t="shared" si="49"/>
        <v>1.55978674790556</v>
      </c>
    </row>
    <row r="1483" ht="14.4" spans="2:4">
      <c r="B1483" s="20">
        <v>5884</v>
      </c>
      <c r="C1483" s="21">
        <f t="shared" si="48"/>
        <v>3.86461280451597</v>
      </c>
      <c r="D1483" s="21">
        <f t="shared" si="49"/>
        <v>1.56038095238095</v>
      </c>
    </row>
    <row r="1484" ht="14.4" spans="2:4">
      <c r="B1484" s="20">
        <v>5888</v>
      </c>
      <c r="C1484" s="21">
        <f t="shared" si="48"/>
        <v>3.86792234528303</v>
      </c>
      <c r="D1484" s="21">
        <f t="shared" si="49"/>
        <v>1.5609756097561</v>
      </c>
    </row>
    <row r="1485" ht="14.4" spans="2:4">
      <c r="B1485" s="20">
        <v>5892</v>
      </c>
      <c r="C1485" s="21">
        <f t="shared" ref="C1485:C1548" si="50">20*LOG(D1485)</f>
        <v>3.87123314754842</v>
      </c>
      <c r="D1485" s="21">
        <f t="shared" ref="D1485:D1548" si="51">16384/(16384-B1485)</f>
        <v>1.56157072054899</v>
      </c>
    </row>
    <row r="1486" ht="14.4" spans="2:4">
      <c r="B1486" s="20">
        <v>5896</v>
      </c>
      <c r="C1486" s="21">
        <f t="shared" si="50"/>
        <v>3.87454521227418</v>
      </c>
      <c r="D1486" s="21">
        <f t="shared" si="51"/>
        <v>1.56216628527841</v>
      </c>
    </row>
    <row r="1487" ht="14.4" spans="2:4">
      <c r="B1487" s="20">
        <v>5900</v>
      </c>
      <c r="C1487" s="21">
        <f t="shared" si="50"/>
        <v>3.87785854042348</v>
      </c>
      <c r="D1487" s="21">
        <f t="shared" si="51"/>
        <v>1.56276230446395</v>
      </c>
    </row>
    <row r="1488" ht="14.4" spans="2:4">
      <c r="B1488" s="20">
        <v>5904</v>
      </c>
      <c r="C1488" s="21">
        <f t="shared" si="50"/>
        <v>3.88117313296058</v>
      </c>
      <c r="D1488" s="21">
        <f t="shared" si="51"/>
        <v>1.56335877862595</v>
      </c>
    </row>
    <row r="1489" ht="14.4" spans="2:4">
      <c r="B1489" s="20">
        <v>5908</v>
      </c>
      <c r="C1489" s="21">
        <f t="shared" si="50"/>
        <v>3.88448899085084</v>
      </c>
      <c r="D1489" s="21">
        <f t="shared" si="51"/>
        <v>1.56395570828561</v>
      </c>
    </row>
    <row r="1490" ht="14.4" spans="2:4">
      <c r="B1490" s="20">
        <v>5912</v>
      </c>
      <c r="C1490" s="21">
        <f t="shared" si="50"/>
        <v>3.88780611506075</v>
      </c>
      <c r="D1490" s="21">
        <f t="shared" si="51"/>
        <v>1.56455309396486</v>
      </c>
    </row>
    <row r="1491" ht="14.4" spans="2:4">
      <c r="B1491" s="20">
        <v>5916</v>
      </c>
      <c r="C1491" s="21">
        <f t="shared" si="50"/>
        <v>3.89112450655787</v>
      </c>
      <c r="D1491" s="21">
        <f t="shared" si="51"/>
        <v>1.56515093618647</v>
      </c>
    </row>
    <row r="1492" ht="14.4" spans="2:4">
      <c r="B1492" s="20">
        <v>5920</v>
      </c>
      <c r="C1492" s="21">
        <f t="shared" si="50"/>
        <v>3.89444416631089</v>
      </c>
      <c r="D1492" s="21">
        <f t="shared" si="51"/>
        <v>1.56574923547401</v>
      </c>
    </row>
    <row r="1493" ht="14.4" spans="2:4">
      <c r="B1493" s="20">
        <v>5924</v>
      </c>
      <c r="C1493" s="21">
        <f t="shared" si="50"/>
        <v>3.89776509528963</v>
      </c>
      <c r="D1493" s="21">
        <f t="shared" si="51"/>
        <v>1.56634799235182</v>
      </c>
    </row>
    <row r="1494" ht="14.4" spans="2:4">
      <c r="B1494" s="20">
        <v>5928</v>
      </c>
      <c r="C1494" s="21">
        <f t="shared" si="50"/>
        <v>3.90108729446498</v>
      </c>
      <c r="D1494" s="21">
        <f t="shared" si="51"/>
        <v>1.56694720734506</v>
      </c>
    </row>
    <row r="1495" ht="14.4" spans="2:4">
      <c r="B1495" s="20">
        <v>5932</v>
      </c>
      <c r="C1495" s="21">
        <f t="shared" si="50"/>
        <v>3.90441076480897</v>
      </c>
      <c r="D1495" s="21">
        <f t="shared" si="51"/>
        <v>1.56754688097972</v>
      </c>
    </row>
    <row r="1496" ht="14.4" spans="2:4">
      <c r="B1496" s="20">
        <v>5936</v>
      </c>
      <c r="C1496" s="21">
        <f t="shared" si="50"/>
        <v>3.90773550729476</v>
      </c>
      <c r="D1496" s="21">
        <f t="shared" si="51"/>
        <v>1.56814701378254</v>
      </c>
    </row>
    <row r="1497" ht="14.4" spans="2:4">
      <c r="B1497" s="20">
        <v>5940</v>
      </c>
      <c r="C1497" s="21">
        <f t="shared" si="50"/>
        <v>3.9110615228966</v>
      </c>
      <c r="D1497" s="21">
        <f t="shared" si="51"/>
        <v>1.56874760628112</v>
      </c>
    </row>
    <row r="1498" ht="14.4" spans="2:4">
      <c r="B1498" s="20">
        <v>5944</v>
      </c>
      <c r="C1498" s="21">
        <f t="shared" si="50"/>
        <v>3.91438881258987</v>
      </c>
      <c r="D1498" s="21">
        <f t="shared" si="51"/>
        <v>1.56934865900383</v>
      </c>
    </row>
    <row r="1499" ht="14.4" spans="2:4">
      <c r="B1499" s="20">
        <v>5948</v>
      </c>
      <c r="C1499" s="21">
        <f t="shared" si="50"/>
        <v>3.91771737735107</v>
      </c>
      <c r="D1499" s="21">
        <f t="shared" si="51"/>
        <v>1.56995017247988</v>
      </c>
    </row>
    <row r="1500" ht="14.4" spans="2:4">
      <c r="B1500" s="20">
        <v>5952</v>
      </c>
      <c r="C1500" s="21">
        <f t="shared" si="50"/>
        <v>3.92104721815784</v>
      </c>
      <c r="D1500" s="21">
        <f t="shared" si="51"/>
        <v>1.57055214723926</v>
      </c>
    </row>
    <row r="1501" ht="14.4" spans="2:4">
      <c r="B1501" s="20">
        <v>5956</v>
      </c>
      <c r="C1501" s="21">
        <f t="shared" si="50"/>
        <v>3.92437833598891</v>
      </c>
      <c r="D1501" s="21">
        <f t="shared" si="51"/>
        <v>1.57115458381281</v>
      </c>
    </row>
    <row r="1502" ht="14.4" spans="2:4">
      <c r="B1502" s="20">
        <v>5960</v>
      </c>
      <c r="C1502" s="21">
        <f t="shared" si="50"/>
        <v>3.92771073182417</v>
      </c>
      <c r="D1502" s="21">
        <f t="shared" si="51"/>
        <v>1.57175748273216</v>
      </c>
    </row>
    <row r="1503" ht="14.4" spans="2:4">
      <c r="B1503" s="20">
        <v>5964</v>
      </c>
      <c r="C1503" s="21">
        <f t="shared" si="50"/>
        <v>3.93104440664462</v>
      </c>
      <c r="D1503" s="21">
        <f t="shared" si="51"/>
        <v>1.57236084452975</v>
      </c>
    </row>
    <row r="1504" ht="14.4" spans="2:4">
      <c r="B1504" s="20">
        <v>5968</v>
      </c>
      <c r="C1504" s="21">
        <f t="shared" si="50"/>
        <v>3.9343793614324</v>
      </c>
      <c r="D1504" s="21">
        <f t="shared" si="51"/>
        <v>1.57296466973886</v>
      </c>
    </row>
    <row r="1505" ht="14.4" spans="2:4">
      <c r="B1505" s="20">
        <v>5972</v>
      </c>
      <c r="C1505" s="21">
        <f t="shared" si="50"/>
        <v>3.93771559717077</v>
      </c>
      <c r="D1505" s="21">
        <f t="shared" si="51"/>
        <v>1.57356895889358</v>
      </c>
    </row>
    <row r="1506" ht="14.4" spans="2:4">
      <c r="B1506" s="20">
        <v>5976</v>
      </c>
      <c r="C1506" s="21">
        <f t="shared" si="50"/>
        <v>3.94105311484414</v>
      </c>
      <c r="D1506" s="21">
        <f t="shared" si="51"/>
        <v>1.57417371252882</v>
      </c>
    </row>
    <row r="1507" ht="14.4" spans="2:4">
      <c r="B1507" s="20">
        <v>5980</v>
      </c>
      <c r="C1507" s="21">
        <f t="shared" si="50"/>
        <v>3.94439191543803</v>
      </c>
      <c r="D1507" s="21">
        <f t="shared" si="51"/>
        <v>1.57477893118032</v>
      </c>
    </row>
    <row r="1508" ht="14.4" spans="2:4">
      <c r="B1508" s="20">
        <v>5984</v>
      </c>
      <c r="C1508" s="21">
        <f t="shared" si="50"/>
        <v>3.94773199993913</v>
      </c>
      <c r="D1508" s="21">
        <f t="shared" si="51"/>
        <v>1.57538461538462</v>
      </c>
    </row>
    <row r="1509" ht="14.4" spans="2:4">
      <c r="B1509" s="20">
        <v>5988</v>
      </c>
      <c r="C1509" s="21">
        <f t="shared" si="50"/>
        <v>3.95107336933524</v>
      </c>
      <c r="D1509" s="21">
        <f t="shared" si="51"/>
        <v>1.57599076567911</v>
      </c>
    </row>
    <row r="1510" ht="14.4" spans="2:4">
      <c r="B1510" s="20">
        <v>5992</v>
      </c>
      <c r="C1510" s="21">
        <f t="shared" si="50"/>
        <v>3.9544160246153</v>
      </c>
      <c r="D1510" s="21">
        <f t="shared" si="51"/>
        <v>1.576597382602</v>
      </c>
    </row>
    <row r="1511" ht="14.4" spans="2:4">
      <c r="B1511" s="20">
        <v>5996</v>
      </c>
      <c r="C1511" s="21">
        <f t="shared" si="50"/>
        <v>3.95775996676943</v>
      </c>
      <c r="D1511" s="21">
        <f t="shared" si="51"/>
        <v>1.57720446669234</v>
      </c>
    </row>
    <row r="1512" ht="14.4" spans="2:4">
      <c r="B1512" s="20">
        <v>6000</v>
      </c>
      <c r="C1512" s="21">
        <f t="shared" si="50"/>
        <v>3.96110519678885</v>
      </c>
      <c r="D1512" s="21">
        <f t="shared" si="51"/>
        <v>1.57781201848998</v>
      </c>
    </row>
    <row r="1513" ht="14.4" spans="2:4">
      <c r="B1513" s="20">
        <v>6004</v>
      </c>
      <c r="C1513" s="21">
        <f t="shared" si="50"/>
        <v>3.96445171566595</v>
      </c>
      <c r="D1513" s="21">
        <f t="shared" si="51"/>
        <v>1.57842003853565</v>
      </c>
    </row>
    <row r="1514" ht="14.4" spans="2:4">
      <c r="B1514" s="20">
        <v>6008</v>
      </c>
      <c r="C1514" s="21">
        <f t="shared" si="50"/>
        <v>3.96779952439426</v>
      </c>
      <c r="D1514" s="21">
        <f t="shared" si="51"/>
        <v>1.57902852737086</v>
      </c>
    </row>
    <row r="1515" ht="14.4" spans="2:4">
      <c r="B1515" s="20">
        <v>6012</v>
      </c>
      <c r="C1515" s="21">
        <f t="shared" si="50"/>
        <v>3.97114862396846</v>
      </c>
      <c r="D1515" s="21">
        <f t="shared" si="51"/>
        <v>1.57963748553799</v>
      </c>
    </row>
    <row r="1516" ht="14.4" spans="2:4">
      <c r="B1516" s="20">
        <v>6016</v>
      </c>
      <c r="C1516" s="21">
        <f t="shared" si="50"/>
        <v>3.97449901538437</v>
      </c>
      <c r="D1516" s="21">
        <f t="shared" si="51"/>
        <v>1.58024691358025</v>
      </c>
    </row>
    <row r="1517" ht="14.4" spans="2:4">
      <c r="B1517" s="20">
        <v>6020</v>
      </c>
      <c r="C1517" s="21">
        <f t="shared" si="50"/>
        <v>3.97785069963899</v>
      </c>
      <c r="D1517" s="21">
        <f t="shared" si="51"/>
        <v>1.58085681204168</v>
      </c>
    </row>
    <row r="1518" ht="14.4" spans="2:4">
      <c r="B1518" s="20">
        <v>6024</v>
      </c>
      <c r="C1518" s="21">
        <f t="shared" si="50"/>
        <v>3.98120367773045</v>
      </c>
      <c r="D1518" s="21">
        <f t="shared" si="51"/>
        <v>1.58146718146718</v>
      </c>
    </row>
    <row r="1519" ht="14.4" spans="2:4">
      <c r="B1519" s="20">
        <v>6028</v>
      </c>
      <c r="C1519" s="21">
        <f t="shared" si="50"/>
        <v>3.98455795065805</v>
      </c>
      <c r="D1519" s="21">
        <f t="shared" si="51"/>
        <v>1.58207802240247</v>
      </c>
    </row>
    <row r="1520" ht="14.4" spans="2:4">
      <c r="B1520" s="20">
        <v>6032</v>
      </c>
      <c r="C1520" s="21">
        <f t="shared" si="50"/>
        <v>3.98791351942223</v>
      </c>
      <c r="D1520" s="21">
        <f t="shared" si="51"/>
        <v>1.58268933539413</v>
      </c>
    </row>
    <row r="1521" ht="14.4" spans="2:4">
      <c r="B1521" s="20">
        <v>6036</v>
      </c>
      <c r="C1521" s="21">
        <f t="shared" si="50"/>
        <v>3.99127038502462</v>
      </c>
      <c r="D1521" s="21">
        <f t="shared" si="51"/>
        <v>1.58330112098956</v>
      </c>
    </row>
    <row r="1522" ht="14.4" spans="2:4">
      <c r="B1522" s="20">
        <v>6040</v>
      </c>
      <c r="C1522" s="21">
        <f t="shared" si="50"/>
        <v>3.99462854846798</v>
      </c>
      <c r="D1522" s="21">
        <f t="shared" si="51"/>
        <v>1.58391337973705</v>
      </c>
    </row>
    <row r="1523" ht="14.4" spans="2:4">
      <c r="B1523" s="20">
        <v>6044</v>
      </c>
      <c r="C1523" s="21">
        <f t="shared" si="50"/>
        <v>3.99798801075626</v>
      </c>
      <c r="D1523" s="21">
        <f t="shared" si="51"/>
        <v>1.58452611218569</v>
      </c>
    </row>
    <row r="1524" ht="14.4" spans="2:4">
      <c r="B1524" s="20">
        <v>6048</v>
      </c>
      <c r="C1524" s="21">
        <f t="shared" si="50"/>
        <v>4.00134877289456</v>
      </c>
      <c r="D1524" s="21">
        <f t="shared" si="51"/>
        <v>1.58513931888545</v>
      </c>
    </row>
    <row r="1525" ht="14.4" spans="2:4">
      <c r="B1525" s="20">
        <v>6052</v>
      </c>
      <c r="C1525" s="21">
        <f t="shared" si="50"/>
        <v>4.00471083588914</v>
      </c>
      <c r="D1525" s="21">
        <f t="shared" si="51"/>
        <v>1.58575300038715</v>
      </c>
    </row>
    <row r="1526" ht="14.4" spans="2:4">
      <c r="B1526" s="20">
        <v>6056</v>
      </c>
      <c r="C1526" s="21">
        <f t="shared" si="50"/>
        <v>4.00807420074746</v>
      </c>
      <c r="D1526" s="21">
        <f t="shared" si="51"/>
        <v>1.58636715724245</v>
      </c>
    </row>
    <row r="1527" ht="14.4" spans="2:4">
      <c r="B1527" s="20">
        <v>6060</v>
      </c>
      <c r="C1527" s="21">
        <f t="shared" si="50"/>
        <v>4.01143886847811</v>
      </c>
      <c r="D1527" s="21">
        <f t="shared" si="51"/>
        <v>1.58698179000387</v>
      </c>
    </row>
    <row r="1528" ht="14.4" spans="2:4">
      <c r="B1528" s="20">
        <v>6064</v>
      </c>
      <c r="C1528" s="21">
        <f t="shared" si="50"/>
        <v>4.01480484009088</v>
      </c>
      <c r="D1528" s="21">
        <f t="shared" si="51"/>
        <v>1.58759689922481</v>
      </c>
    </row>
    <row r="1529" ht="14.4" spans="2:4">
      <c r="B1529" s="20">
        <v>6068</v>
      </c>
      <c r="C1529" s="21">
        <f t="shared" si="50"/>
        <v>4.01817211659674</v>
      </c>
      <c r="D1529" s="21">
        <f t="shared" si="51"/>
        <v>1.58821248545948</v>
      </c>
    </row>
    <row r="1530" ht="14.4" spans="2:4">
      <c r="B1530" s="20">
        <v>6072</v>
      </c>
      <c r="C1530" s="21">
        <f t="shared" si="50"/>
        <v>4.0215406990078</v>
      </c>
      <c r="D1530" s="21">
        <f t="shared" si="51"/>
        <v>1.58882854926299</v>
      </c>
    </row>
    <row r="1531" ht="14.4" spans="2:4">
      <c r="B1531" s="20">
        <v>6076</v>
      </c>
      <c r="C1531" s="21">
        <f t="shared" si="50"/>
        <v>4.02491058833739</v>
      </c>
      <c r="D1531" s="21">
        <f t="shared" si="51"/>
        <v>1.58944509119131</v>
      </c>
    </row>
    <row r="1532" ht="14.4" spans="2:4">
      <c r="B1532" s="20">
        <v>6080</v>
      </c>
      <c r="C1532" s="21">
        <f t="shared" si="50"/>
        <v>4.0282817856</v>
      </c>
      <c r="D1532" s="21">
        <f t="shared" si="51"/>
        <v>1.59006211180124</v>
      </c>
    </row>
    <row r="1533" ht="14.4" spans="2:4">
      <c r="B1533" s="20">
        <v>6084</v>
      </c>
      <c r="C1533" s="21">
        <f t="shared" si="50"/>
        <v>4.03165429181129</v>
      </c>
      <c r="D1533" s="21">
        <f t="shared" si="51"/>
        <v>1.59067961165049</v>
      </c>
    </row>
    <row r="1534" ht="14.4" spans="2:4">
      <c r="B1534" s="20">
        <v>6088</v>
      </c>
      <c r="C1534" s="21">
        <f t="shared" si="50"/>
        <v>4.03502810798813</v>
      </c>
      <c r="D1534" s="21">
        <f t="shared" si="51"/>
        <v>1.59129759129759</v>
      </c>
    </row>
    <row r="1535" ht="14.4" spans="2:4">
      <c r="B1535" s="20">
        <v>6092</v>
      </c>
      <c r="C1535" s="21">
        <f t="shared" si="50"/>
        <v>4.03840323514855</v>
      </c>
      <c r="D1535" s="21">
        <f t="shared" si="51"/>
        <v>1.59191605130198</v>
      </c>
    </row>
    <row r="1536" ht="14.4" spans="2:4">
      <c r="B1536" s="20">
        <v>6096</v>
      </c>
      <c r="C1536" s="21">
        <f t="shared" si="50"/>
        <v>4.0417796743118</v>
      </c>
      <c r="D1536" s="21">
        <f t="shared" si="51"/>
        <v>1.59253499222395</v>
      </c>
    </row>
    <row r="1537" ht="14.4" spans="2:4">
      <c r="B1537" s="20">
        <v>6100</v>
      </c>
      <c r="C1537" s="21">
        <f t="shared" si="50"/>
        <v>4.04515742649827</v>
      </c>
      <c r="D1537" s="21">
        <f t="shared" si="51"/>
        <v>1.59315441462466</v>
      </c>
    </row>
    <row r="1538" ht="14.4" spans="2:4">
      <c r="B1538" s="20">
        <v>6104</v>
      </c>
      <c r="C1538" s="21">
        <f t="shared" si="50"/>
        <v>4.0485364927296</v>
      </c>
      <c r="D1538" s="21">
        <f t="shared" si="51"/>
        <v>1.59377431906615</v>
      </c>
    </row>
    <row r="1539" ht="14.4" spans="2:4">
      <c r="B1539" s="20">
        <v>6108</v>
      </c>
      <c r="C1539" s="21">
        <f t="shared" si="50"/>
        <v>4.05191687402856</v>
      </c>
      <c r="D1539" s="21">
        <f t="shared" si="51"/>
        <v>1.59439470611133</v>
      </c>
    </row>
    <row r="1540" ht="14.4" spans="2:4">
      <c r="B1540" s="20">
        <v>6112</v>
      </c>
      <c r="C1540" s="21">
        <f t="shared" si="50"/>
        <v>4.05529857141917</v>
      </c>
      <c r="D1540" s="21">
        <f t="shared" si="51"/>
        <v>1.59501557632399</v>
      </c>
    </row>
    <row r="1541" ht="14.4" spans="2:4">
      <c r="B1541" s="20">
        <v>6116</v>
      </c>
      <c r="C1541" s="21">
        <f t="shared" si="50"/>
        <v>4.05868158592662</v>
      </c>
      <c r="D1541" s="21">
        <f t="shared" si="51"/>
        <v>1.5956369302688</v>
      </c>
    </row>
    <row r="1542" ht="14.4" spans="2:4">
      <c r="B1542" s="20">
        <v>6120</v>
      </c>
      <c r="C1542" s="21">
        <f t="shared" si="50"/>
        <v>4.06206591857729</v>
      </c>
      <c r="D1542" s="21">
        <f t="shared" si="51"/>
        <v>1.5962587685113</v>
      </c>
    </row>
    <row r="1543" ht="14.4" spans="2:4">
      <c r="B1543" s="20">
        <v>6124</v>
      </c>
      <c r="C1543" s="21">
        <f t="shared" si="50"/>
        <v>4.06545157039878</v>
      </c>
      <c r="D1543" s="21">
        <f t="shared" si="51"/>
        <v>1.59688109161793</v>
      </c>
    </row>
    <row r="1544" ht="14.4" spans="2:4">
      <c r="B1544" s="20">
        <v>6128</v>
      </c>
      <c r="C1544" s="21">
        <f t="shared" si="50"/>
        <v>4.06883854241989</v>
      </c>
      <c r="D1544" s="21">
        <f t="shared" si="51"/>
        <v>1.59750390015601</v>
      </c>
    </row>
    <row r="1545" ht="14.4" spans="2:4">
      <c r="B1545" s="20">
        <v>6132</v>
      </c>
      <c r="C1545" s="21">
        <f t="shared" si="50"/>
        <v>4.07222683567061</v>
      </c>
      <c r="D1545" s="21">
        <f t="shared" si="51"/>
        <v>1.59812719469372</v>
      </c>
    </row>
    <row r="1546" ht="14.4" spans="2:4">
      <c r="B1546" s="20">
        <v>6136</v>
      </c>
      <c r="C1546" s="21">
        <f t="shared" si="50"/>
        <v>4.07561645118214</v>
      </c>
      <c r="D1546" s="21">
        <f t="shared" si="51"/>
        <v>1.59875097580016</v>
      </c>
    </row>
    <row r="1547" ht="14.4" spans="2:4">
      <c r="B1547" s="20">
        <v>6140</v>
      </c>
      <c r="C1547" s="21">
        <f t="shared" si="50"/>
        <v>4.07900738998689</v>
      </c>
      <c r="D1547" s="21">
        <f t="shared" si="51"/>
        <v>1.59937524404529</v>
      </c>
    </row>
    <row r="1548" ht="14.4" spans="2:4">
      <c r="B1548" s="20">
        <v>6144</v>
      </c>
      <c r="C1548" s="21">
        <f t="shared" si="50"/>
        <v>4.0823996531185</v>
      </c>
      <c r="D1548" s="21">
        <f t="shared" si="51"/>
        <v>1.6</v>
      </c>
    </row>
    <row r="1549" ht="14.4" spans="2:4">
      <c r="B1549" s="20">
        <v>6148</v>
      </c>
      <c r="C1549" s="21">
        <f t="shared" ref="C1549:C1612" si="52">20*LOG(D1549)</f>
        <v>4.08579324161178</v>
      </c>
      <c r="D1549" s="21">
        <f t="shared" ref="D1549:D1612" si="53">16384/(16384-B1549)</f>
        <v>1.60062524423603</v>
      </c>
    </row>
    <row r="1550" ht="14.4" spans="2:4">
      <c r="B1550" s="20">
        <v>6152</v>
      </c>
      <c r="C1550" s="21">
        <f t="shared" si="52"/>
        <v>4.08918815650278</v>
      </c>
      <c r="D1550" s="21">
        <f t="shared" si="53"/>
        <v>1.60125097732604</v>
      </c>
    </row>
    <row r="1551" ht="14.4" spans="2:4">
      <c r="B1551" s="20">
        <v>6156</v>
      </c>
      <c r="C1551" s="21">
        <f t="shared" si="52"/>
        <v>4.09258439882878</v>
      </c>
      <c r="D1551" s="21">
        <f t="shared" si="53"/>
        <v>1.60187719984357</v>
      </c>
    </row>
    <row r="1552" ht="14.4" spans="2:4">
      <c r="B1552" s="20">
        <v>6160</v>
      </c>
      <c r="C1552" s="21">
        <f t="shared" si="52"/>
        <v>4.09598196962824</v>
      </c>
      <c r="D1552" s="21">
        <f t="shared" si="53"/>
        <v>1.60250391236307</v>
      </c>
    </row>
    <row r="1553" ht="14.4" spans="2:4">
      <c r="B1553" s="20">
        <v>6164</v>
      </c>
      <c r="C1553" s="21">
        <f t="shared" si="52"/>
        <v>4.09938086994086</v>
      </c>
      <c r="D1553" s="21">
        <f t="shared" si="53"/>
        <v>1.60313111545988</v>
      </c>
    </row>
    <row r="1554" ht="14.4" spans="2:4">
      <c r="B1554" s="20">
        <v>6168</v>
      </c>
      <c r="C1554" s="21">
        <f t="shared" si="52"/>
        <v>4.10278110080756</v>
      </c>
      <c r="D1554" s="21">
        <f t="shared" si="53"/>
        <v>1.60375880971026</v>
      </c>
    </row>
    <row r="1555" ht="14.4" spans="2:4">
      <c r="B1555" s="20">
        <v>6172</v>
      </c>
      <c r="C1555" s="21">
        <f t="shared" si="52"/>
        <v>4.10618266327048</v>
      </c>
      <c r="D1555" s="21">
        <f t="shared" si="53"/>
        <v>1.60438699569134</v>
      </c>
    </row>
    <row r="1556" ht="14.4" spans="2:4">
      <c r="B1556" s="20">
        <v>6176</v>
      </c>
      <c r="C1556" s="21">
        <f t="shared" si="52"/>
        <v>4.10958555837299</v>
      </c>
      <c r="D1556" s="21">
        <f t="shared" si="53"/>
        <v>1.60501567398119</v>
      </c>
    </row>
    <row r="1557" ht="14.4" spans="2:4">
      <c r="B1557" s="20">
        <v>6180</v>
      </c>
      <c r="C1557" s="21">
        <f t="shared" si="52"/>
        <v>4.11298978715969</v>
      </c>
      <c r="D1557" s="21">
        <f t="shared" si="53"/>
        <v>1.60564484515876</v>
      </c>
    </row>
    <row r="1558" ht="14.4" spans="2:4">
      <c r="B1558" s="20">
        <v>6184</v>
      </c>
      <c r="C1558" s="21">
        <f t="shared" si="52"/>
        <v>4.11639535067638</v>
      </c>
      <c r="D1558" s="21">
        <f t="shared" si="53"/>
        <v>1.60627450980392</v>
      </c>
    </row>
    <row r="1559" ht="14.4" spans="2:4">
      <c r="B1559" s="20">
        <v>6188</v>
      </c>
      <c r="C1559" s="21">
        <f t="shared" si="52"/>
        <v>4.11980224997014</v>
      </c>
      <c r="D1559" s="21">
        <f t="shared" si="53"/>
        <v>1.60690466849745</v>
      </c>
    </row>
    <row r="1560" ht="14.4" spans="2:4">
      <c r="B1560" s="20">
        <v>6192</v>
      </c>
      <c r="C1560" s="21">
        <f t="shared" si="52"/>
        <v>4.12321048608923</v>
      </c>
      <c r="D1560" s="21">
        <f t="shared" si="53"/>
        <v>1.60753532182104</v>
      </c>
    </row>
    <row r="1561" ht="14.4" spans="2:4">
      <c r="B1561" s="20">
        <v>6196</v>
      </c>
      <c r="C1561" s="21">
        <f t="shared" si="52"/>
        <v>4.12662006008318</v>
      </c>
      <c r="D1561" s="21">
        <f t="shared" si="53"/>
        <v>1.60816647035728</v>
      </c>
    </row>
    <row r="1562" ht="14.4" spans="2:4">
      <c r="B1562" s="20">
        <v>6200</v>
      </c>
      <c r="C1562" s="21">
        <f t="shared" si="52"/>
        <v>4.13003097300276</v>
      </c>
      <c r="D1562" s="21">
        <f t="shared" si="53"/>
        <v>1.60879811468971</v>
      </c>
    </row>
    <row r="1563" ht="14.4" spans="2:4">
      <c r="B1563" s="20">
        <v>6204</v>
      </c>
      <c r="C1563" s="21">
        <f t="shared" si="52"/>
        <v>4.13344322589993</v>
      </c>
      <c r="D1563" s="21">
        <f t="shared" si="53"/>
        <v>1.60943025540275</v>
      </c>
    </row>
    <row r="1564" ht="14.4" spans="2:4">
      <c r="B1564" s="20">
        <v>6208</v>
      </c>
      <c r="C1564" s="21">
        <f t="shared" si="52"/>
        <v>4.13685681982796</v>
      </c>
      <c r="D1564" s="21">
        <f t="shared" si="53"/>
        <v>1.61006289308176</v>
      </c>
    </row>
    <row r="1565" ht="14.4" spans="2:4">
      <c r="B1565" s="20">
        <v>6212</v>
      </c>
      <c r="C1565" s="21">
        <f t="shared" si="52"/>
        <v>4.14027175584131</v>
      </c>
      <c r="D1565" s="21">
        <f t="shared" si="53"/>
        <v>1.61069602831302</v>
      </c>
    </row>
    <row r="1566" ht="14.4" spans="2:4">
      <c r="B1566" s="20">
        <v>6216</v>
      </c>
      <c r="C1566" s="21">
        <f t="shared" si="52"/>
        <v>4.1436880349957</v>
      </c>
      <c r="D1566" s="21">
        <f t="shared" si="53"/>
        <v>1.61132966168371</v>
      </c>
    </row>
    <row r="1567" ht="14.4" spans="2:4">
      <c r="B1567" s="20">
        <v>6220</v>
      </c>
      <c r="C1567" s="21">
        <f t="shared" si="52"/>
        <v>4.1471056583481</v>
      </c>
      <c r="D1567" s="21">
        <f t="shared" si="53"/>
        <v>1.61196379378198</v>
      </c>
    </row>
    <row r="1568" ht="14.4" spans="2:4">
      <c r="B1568" s="20">
        <v>6224</v>
      </c>
      <c r="C1568" s="21">
        <f t="shared" si="52"/>
        <v>4.15052462695673</v>
      </c>
      <c r="D1568" s="21">
        <f t="shared" si="53"/>
        <v>1.61259842519685</v>
      </c>
    </row>
    <row r="1569" ht="14.4" spans="2:4">
      <c r="B1569" s="20">
        <v>6228</v>
      </c>
      <c r="C1569" s="21">
        <f t="shared" si="52"/>
        <v>4.15394494188104</v>
      </c>
      <c r="D1569" s="21">
        <f t="shared" si="53"/>
        <v>1.61323355651831</v>
      </c>
    </row>
    <row r="1570" ht="14.4" spans="2:4">
      <c r="B1570" s="20">
        <v>6232</v>
      </c>
      <c r="C1570" s="21">
        <f t="shared" si="52"/>
        <v>4.15736660418177</v>
      </c>
      <c r="D1570" s="21">
        <f t="shared" si="53"/>
        <v>1.61386918833727</v>
      </c>
    </row>
    <row r="1571" ht="14.4" spans="2:4">
      <c r="B1571" s="20">
        <v>6236</v>
      </c>
      <c r="C1571" s="21">
        <f t="shared" si="52"/>
        <v>4.16078961492087</v>
      </c>
      <c r="D1571" s="21">
        <f t="shared" si="53"/>
        <v>1.61450532124557</v>
      </c>
    </row>
    <row r="1572" ht="14.4" spans="2:4">
      <c r="B1572" s="20">
        <v>6240</v>
      </c>
      <c r="C1572" s="21">
        <f t="shared" si="52"/>
        <v>4.16421397516158</v>
      </c>
      <c r="D1572" s="21">
        <f t="shared" si="53"/>
        <v>1.61514195583596</v>
      </c>
    </row>
    <row r="1573" ht="14.4" spans="2:4">
      <c r="B1573" s="20">
        <v>6244</v>
      </c>
      <c r="C1573" s="21">
        <f t="shared" si="52"/>
        <v>4.16763968596839</v>
      </c>
      <c r="D1573" s="21">
        <f t="shared" si="53"/>
        <v>1.61577909270217</v>
      </c>
    </row>
    <row r="1574" ht="14.4" spans="2:4">
      <c r="B1574" s="20">
        <v>6248</v>
      </c>
      <c r="C1574" s="21">
        <f t="shared" si="52"/>
        <v>4.17106674840704</v>
      </c>
      <c r="D1574" s="21">
        <f t="shared" si="53"/>
        <v>1.61641673243883</v>
      </c>
    </row>
    <row r="1575" ht="14.4" spans="2:4">
      <c r="B1575" s="20">
        <v>6252</v>
      </c>
      <c r="C1575" s="21">
        <f t="shared" si="52"/>
        <v>4.17449516354453</v>
      </c>
      <c r="D1575" s="21">
        <f t="shared" si="53"/>
        <v>1.61705487564153</v>
      </c>
    </row>
    <row r="1576" ht="14.4" spans="2:4">
      <c r="B1576" s="20">
        <v>6256</v>
      </c>
      <c r="C1576" s="21">
        <f t="shared" si="52"/>
        <v>4.17792493244914</v>
      </c>
      <c r="D1576" s="21">
        <f t="shared" si="53"/>
        <v>1.61769352290679</v>
      </c>
    </row>
    <row r="1577" ht="14.4" spans="2:4">
      <c r="B1577" s="20">
        <v>6260</v>
      </c>
      <c r="C1577" s="21">
        <f t="shared" si="52"/>
        <v>4.1813560561904</v>
      </c>
      <c r="D1577" s="21">
        <f t="shared" si="53"/>
        <v>1.61833267483208</v>
      </c>
    </row>
    <row r="1578" ht="14.4" spans="2:4">
      <c r="B1578" s="20">
        <v>6264</v>
      </c>
      <c r="C1578" s="21">
        <f t="shared" si="52"/>
        <v>4.18478853583913</v>
      </c>
      <c r="D1578" s="21">
        <f t="shared" si="53"/>
        <v>1.61897233201581</v>
      </c>
    </row>
    <row r="1579" ht="14.4" spans="2:4">
      <c r="B1579" s="20">
        <v>6268</v>
      </c>
      <c r="C1579" s="21">
        <f t="shared" si="52"/>
        <v>4.18822237246739</v>
      </c>
      <c r="D1579" s="21">
        <f t="shared" si="53"/>
        <v>1.61961249505733</v>
      </c>
    </row>
    <row r="1580" ht="14.4" spans="2:4">
      <c r="B1580" s="20">
        <v>6272</v>
      </c>
      <c r="C1580" s="21">
        <f t="shared" si="52"/>
        <v>4.19165756714854</v>
      </c>
      <c r="D1580" s="21">
        <f t="shared" si="53"/>
        <v>1.62025316455696</v>
      </c>
    </row>
    <row r="1581" ht="14.4" spans="2:4">
      <c r="B1581" s="20">
        <v>6276</v>
      </c>
      <c r="C1581" s="21">
        <f t="shared" si="52"/>
        <v>4.19509412095719</v>
      </c>
      <c r="D1581" s="21">
        <f t="shared" si="53"/>
        <v>1.62089434111595</v>
      </c>
    </row>
    <row r="1582" ht="14.4" spans="2:4">
      <c r="B1582" s="20">
        <v>6280</v>
      </c>
      <c r="C1582" s="21">
        <f t="shared" si="52"/>
        <v>4.19853203496925</v>
      </c>
      <c r="D1582" s="21">
        <f t="shared" si="53"/>
        <v>1.6215360253365</v>
      </c>
    </row>
    <row r="1583" ht="14.4" spans="2:4">
      <c r="B1583" s="20">
        <v>6284</v>
      </c>
      <c r="C1583" s="21">
        <f t="shared" si="52"/>
        <v>4.20197131026188</v>
      </c>
      <c r="D1583" s="21">
        <f t="shared" si="53"/>
        <v>1.62217821782178</v>
      </c>
    </row>
    <row r="1584" ht="14.4" spans="2:4">
      <c r="B1584" s="20">
        <v>6288</v>
      </c>
      <c r="C1584" s="21">
        <f t="shared" si="52"/>
        <v>4.20541194791355</v>
      </c>
      <c r="D1584" s="21">
        <f t="shared" si="53"/>
        <v>1.62282091917591</v>
      </c>
    </row>
    <row r="1585" ht="14.4" spans="2:4">
      <c r="B1585" s="20">
        <v>6292</v>
      </c>
      <c r="C1585" s="21">
        <f t="shared" si="52"/>
        <v>4.20885394900399</v>
      </c>
      <c r="D1585" s="21">
        <f t="shared" si="53"/>
        <v>1.62346413000396</v>
      </c>
    </row>
    <row r="1586" ht="14.4" spans="2:4">
      <c r="B1586" s="20">
        <v>6296</v>
      </c>
      <c r="C1586" s="21">
        <f t="shared" si="52"/>
        <v>4.21229731461423</v>
      </c>
      <c r="D1586" s="21">
        <f t="shared" si="53"/>
        <v>1.62410785091197</v>
      </c>
    </row>
    <row r="1587" ht="14.4" spans="2:4">
      <c r="B1587" s="20">
        <v>6300</v>
      </c>
      <c r="C1587" s="21">
        <f t="shared" si="52"/>
        <v>4.21574204582657</v>
      </c>
      <c r="D1587" s="21">
        <f t="shared" si="53"/>
        <v>1.62475208250694</v>
      </c>
    </row>
    <row r="1588" ht="14.4" spans="2:4">
      <c r="B1588" s="20">
        <v>6304</v>
      </c>
      <c r="C1588" s="21">
        <f t="shared" si="52"/>
        <v>4.2191881437246</v>
      </c>
      <c r="D1588" s="21">
        <f t="shared" si="53"/>
        <v>1.62539682539683</v>
      </c>
    </row>
    <row r="1589" ht="14.4" spans="2:4">
      <c r="B1589" s="20">
        <v>6308</v>
      </c>
      <c r="C1589" s="21">
        <f t="shared" si="52"/>
        <v>4.22263560939323</v>
      </c>
      <c r="D1589" s="21">
        <f t="shared" si="53"/>
        <v>1.62604208019055</v>
      </c>
    </row>
    <row r="1590" ht="14.4" spans="2:4">
      <c r="B1590" s="20">
        <v>6312</v>
      </c>
      <c r="C1590" s="21">
        <f t="shared" si="52"/>
        <v>4.22608444391861</v>
      </c>
      <c r="D1590" s="21">
        <f t="shared" si="53"/>
        <v>1.62668784749801</v>
      </c>
    </row>
    <row r="1591" ht="14.4" spans="2:4">
      <c r="B1591" s="20">
        <v>6316</v>
      </c>
      <c r="C1591" s="21">
        <f t="shared" si="52"/>
        <v>4.22953464838823</v>
      </c>
      <c r="D1591" s="21">
        <f t="shared" si="53"/>
        <v>1.62733412793008</v>
      </c>
    </row>
    <row r="1592" ht="14.4" spans="2:4">
      <c r="B1592" s="20">
        <v>6320</v>
      </c>
      <c r="C1592" s="21">
        <f t="shared" si="52"/>
        <v>4.23298622389086</v>
      </c>
      <c r="D1592" s="21">
        <f t="shared" si="53"/>
        <v>1.62798092209857</v>
      </c>
    </row>
    <row r="1593" ht="14.4" spans="2:4">
      <c r="B1593" s="20">
        <v>6324</v>
      </c>
      <c r="C1593" s="21">
        <f t="shared" si="52"/>
        <v>4.23643917151656</v>
      </c>
      <c r="D1593" s="21">
        <f t="shared" si="53"/>
        <v>1.6286282306163</v>
      </c>
    </row>
    <row r="1594" ht="14.4" spans="2:4">
      <c r="B1594" s="20">
        <v>6328</v>
      </c>
      <c r="C1594" s="21">
        <f t="shared" si="52"/>
        <v>4.23989349235671</v>
      </c>
      <c r="D1594" s="21">
        <f t="shared" si="53"/>
        <v>1.62927605409706</v>
      </c>
    </row>
    <row r="1595" ht="14.4" spans="2:4">
      <c r="B1595" s="20">
        <v>6332</v>
      </c>
      <c r="C1595" s="21">
        <f t="shared" si="52"/>
        <v>4.24334918750397</v>
      </c>
      <c r="D1595" s="21">
        <f t="shared" si="53"/>
        <v>1.62992439315559</v>
      </c>
    </row>
    <row r="1596" ht="14.4" spans="2:4">
      <c r="B1596" s="20">
        <v>6336</v>
      </c>
      <c r="C1596" s="21">
        <f t="shared" si="52"/>
        <v>4.24680625805232</v>
      </c>
      <c r="D1596" s="21">
        <f t="shared" si="53"/>
        <v>1.63057324840764</v>
      </c>
    </row>
    <row r="1597" ht="14.4" spans="2:4">
      <c r="B1597" s="20">
        <v>6340</v>
      </c>
      <c r="C1597" s="21">
        <f t="shared" si="52"/>
        <v>4.25026470509704</v>
      </c>
      <c r="D1597" s="21">
        <f t="shared" si="53"/>
        <v>1.63122262046993</v>
      </c>
    </row>
    <row r="1598" ht="14.4" spans="2:4">
      <c r="B1598" s="20">
        <v>6344</v>
      </c>
      <c r="C1598" s="21">
        <f t="shared" si="52"/>
        <v>4.25372452973472</v>
      </c>
      <c r="D1598" s="21">
        <f t="shared" si="53"/>
        <v>1.63187250996016</v>
      </c>
    </row>
    <row r="1599" ht="14.4" spans="2:4">
      <c r="B1599" s="20">
        <v>6348</v>
      </c>
      <c r="C1599" s="21">
        <f t="shared" si="52"/>
        <v>4.25718573306328</v>
      </c>
      <c r="D1599" s="21">
        <f t="shared" si="53"/>
        <v>1.63252291749701</v>
      </c>
    </row>
    <row r="1600" ht="14.4" spans="2:4">
      <c r="B1600" s="20">
        <v>6352</v>
      </c>
      <c r="C1600" s="21">
        <f t="shared" si="52"/>
        <v>4.26064831618191</v>
      </c>
      <c r="D1600" s="21">
        <f t="shared" si="53"/>
        <v>1.63317384370016</v>
      </c>
    </row>
    <row r="1601" ht="14.4" spans="2:4">
      <c r="B1601" s="20">
        <v>6356</v>
      </c>
      <c r="C1601" s="21">
        <f t="shared" si="52"/>
        <v>4.26411228019116</v>
      </c>
      <c r="D1601" s="21">
        <f t="shared" si="53"/>
        <v>1.63382528919027</v>
      </c>
    </row>
    <row r="1602" ht="14.4" spans="2:4">
      <c r="B1602" s="20">
        <v>6360</v>
      </c>
      <c r="C1602" s="21">
        <f t="shared" si="52"/>
        <v>4.26757762619286</v>
      </c>
      <c r="D1602" s="21">
        <f t="shared" si="53"/>
        <v>1.63447725458899</v>
      </c>
    </row>
    <row r="1603" ht="14.4" spans="2:4">
      <c r="B1603" s="20">
        <v>6364</v>
      </c>
      <c r="C1603" s="21">
        <f t="shared" si="52"/>
        <v>4.2710443552902</v>
      </c>
      <c r="D1603" s="21">
        <f t="shared" si="53"/>
        <v>1.63512974051896</v>
      </c>
    </row>
    <row r="1604" ht="14.4" spans="2:4">
      <c r="B1604" s="20">
        <v>6368</v>
      </c>
      <c r="C1604" s="21">
        <f t="shared" si="52"/>
        <v>4.27451246858764</v>
      </c>
      <c r="D1604" s="21">
        <f t="shared" si="53"/>
        <v>1.63578274760383</v>
      </c>
    </row>
    <row r="1605" ht="14.4" spans="2:4">
      <c r="B1605" s="20">
        <v>6372</v>
      </c>
      <c r="C1605" s="21">
        <f t="shared" si="52"/>
        <v>4.27798196719102</v>
      </c>
      <c r="D1605" s="21">
        <f t="shared" si="53"/>
        <v>1.63643627646824</v>
      </c>
    </row>
    <row r="1606" ht="14.4" spans="2:4">
      <c r="B1606" s="20">
        <v>6376</v>
      </c>
      <c r="C1606" s="21">
        <f t="shared" si="52"/>
        <v>4.28145285220746</v>
      </c>
      <c r="D1606" s="21">
        <f t="shared" si="53"/>
        <v>1.63709032773781</v>
      </c>
    </row>
    <row r="1607" ht="14.4" spans="2:4">
      <c r="B1607" s="20">
        <v>6380</v>
      </c>
      <c r="C1607" s="21">
        <f t="shared" si="52"/>
        <v>4.28492512474544</v>
      </c>
      <c r="D1607" s="21">
        <f t="shared" si="53"/>
        <v>1.63774490203918</v>
      </c>
    </row>
    <row r="1608" ht="14.4" spans="2:4">
      <c r="B1608" s="20">
        <v>6384</v>
      </c>
      <c r="C1608" s="21">
        <f t="shared" si="52"/>
        <v>4.28839878591473</v>
      </c>
      <c r="D1608" s="21">
        <f t="shared" si="53"/>
        <v>1.6384</v>
      </c>
    </row>
    <row r="1609" ht="14.4" spans="2:4">
      <c r="B1609" s="20">
        <v>6388</v>
      </c>
      <c r="C1609" s="21">
        <f t="shared" si="52"/>
        <v>4.29187383682649</v>
      </c>
      <c r="D1609" s="21">
        <f t="shared" si="53"/>
        <v>1.6390556222489</v>
      </c>
    </row>
    <row r="1610" ht="14.4" spans="2:4">
      <c r="B1610" s="20">
        <v>6392</v>
      </c>
      <c r="C1610" s="21">
        <f t="shared" si="52"/>
        <v>4.29535027859315</v>
      </c>
      <c r="D1610" s="21">
        <f t="shared" si="53"/>
        <v>1.63971176941553</v>
      </c>
    </row>
    <row r="1611" ht="14.4" spans="2:4">
      <c r="B1611" s="20">
        <v>6396</v>
      </c>
      <c r="C1611" s="21">
        <f t="shared" si="52"/>
        <v>4.29882811232853</v>
      </c>
      <c r="D1611" s="21">
        <f t="shared" si="53"/>
        <v>1.64036844213056</v>
      </c>
    </row>
    <row r="1612" ht="14.4" spans="2:4">
      <c r="B1612" s="20">
        <v>6400</v>
      </c>
      <c r="C1612" s="21">
        <f t="shared" si="52"/>
        <v>4.30230733914776</v>
      </c>
      <c r="D1612" s="21">
        <f t="shared" si="53"/>
        <v>1.64102564102564</v>
      </c>
    </row>
    <row r="1613" ht="14.4" spans="2:4">
      <c r="B1613" s="20">
        <v>6404</v>
      </c>
      <c r="C1613" s="21">
        <f t="shared" ref="C1613:C1676" si="54">20*LOG(D1613)</f>
        <v>4.30578796016731</v>
      </c>
      <c r="D1613" s="21">
        <f t="shared" ref="D1613:D1676" si="55">16384/(16384-B1613)</f>
        <v>1.64168336673347</v>
      </c>
    </row>
    <row r="1614" ht="14.4" spans="2:4">
      <c r="B1614" s="20">
        <v>6408</v>
      </c>
      <c r="C1614" s="21">
        <f t="shared" si="54"/>
        <v>4.30926997650501</v>
      </c>
      <c r="D1614" s="21">
        <f t="shared" si="55"/>
        <v>1.64234161988773</v>
      </c>
    </row>
    <row r="1615" ht="14.4" spans="2:4">
      <c r="B1615" s="20">
        <v>6412</v>
      </c>
      <c r="C1615" s="21">
        <f t="shared" si="54"/>
        <v>4.31275338928002</v>
      </c>
      <c r="D1615" s="21">
        <f t="shared" si="55"/>
        <v>1.64300040112314</v>
      </c>
    </row>
    <row r="1616" ht="14.4" spans="2:4">
      <c r="B1616" s="20">
        <v>6416</v>
      </c>
      <c r="C1616" s="21">
        <f t="shared" si="54"/>
        <v>4.31623819961285</v>
      </c>
      <c r="D1616" s="21">
        <f t="shared" si="55"/>
        <v>1.64365971107544</v>
      </c>
    </row>
    <row r="1617" ht="14.4" spans="2:4">
      <c r="B1617" s="20">
        <v>6420</v>
      </c>
      <c r="C1617" s="21">
        <f t="shared" si="54"/>
        <v>4.31972440862536</v>
      </c>
      <c r="D1617" s="21">
        <f t="shared" si="55"/>
        <v>1.64431955038137</v>
      </c>
    </row>
    <row r="1618" ht="14.4" spans="2:4">
      <c r="B1618" s="20">
        <v>6424</v>
      </c>
      <c r="C1618" s="21">
        <f t="shared" si="54"/>
        <v>4.32321201744076</v>
      </c>
      <c r="D1618" s="21">
        <f t="shared" si="55"/>
        <v>1.64497991967871</v>
      </c>
    </row>
    <row r="1619" ht="14.4" spans="2:4">
      <c r="B1619" s="20">
        <v>6428</v>
      </c>
      <c r="C1619" s="21">
        <f t="shared" si="54"/>
        <v>4.32670102718362</v>
      </c>
      <c r="D1619" s="21">
        <f t="shared" si="55"/>
        <v>1.64564081960627</v>
      </c>
    </row>
    <row r="1620" ht="14.4" spans="2:4">
      <c r="B1620" s="20">
        <v>6432</v>
      </c>
      <c r="C1620" s="21">
        <f t="shared" si="54"/>
        <v>4.33019143897987</v>
      </c>
      <c r="D1620" s="21">
        <f t="shared" si="55"/>
        <v>1.64630225080386</v>
      </c>
    </row>
    <row r="1621" ht="14.4" spans="2:4">
      <c r="B1621" s="20">
        <v>6436</v>
      </c>
      <c r="C1621" s="21">
        <f t="shared" si="54"/>
        <v>4.33368325395677</v>
      </c>
      <c r="D1621" s="21">
        <f t="shared" si="55"/>
        <v>1.64696421391234</v>
      </c>
    </row>
    <row r="1622" ht="14.4" spans="2:4">
      <c r="B1622" s="20">
        <v>6440</v>
      </c>
      <c r="C1622" s="21">
        <f t="shared" si="54"/>
        <v>4.33717647324297</v>
      </c>
      <c r="D1622" s="21">
        <f t="shared" si="55"/>
        <v>1.64762670957361</v>
      </c>
    </row>
    <row r="1623" ht="14.4" spans="2:4">
      <c r="B1623" s="20">
        <v>6444</v>
      </c>
      <c r="C1623" s="21">
        <f t="shared" si="54"/>
        <v>4.34067109796847</v>
      </c>
      <c r="D1623" s="21">
        <f t="shared" si="55"/>
        <v>1.64828973843058</v>
      </c>
    </row>
    <row r="1624" ht="14.4" spans="2:4">
      <c r="B1624" s="20">
        <v>6448</v>
      </c>
      <c r="C1624" s="21">
        <f t="shared" si="54"/>
        <v>4.34416712926464</v>
      </c>
      <c r="D1624" s="21">
        <f t="shared" si="55"/>
        <v>1.64895330112721</v>
      </c>
    </row>
    <row r="1625" ht="14.4" spans="2:4">
      <c r="B1625" s="20">
        <v>6452</v>
      </c>
      <c r="C1625" s="21">
        <f t="shared" si="54"/>
        <v>4.3476645682642</v>
      </c>
      <c r="D1625" s="21">
        <f t="shared" si="55"/>
        <v>1.6496173983085</v>
      </c>
    </row>
    <row r="1626" ht="14.4" spans="2:4">
      <c r="B1626" s="20">
        <v>6456</v>
      </c>
      <c r="C1626" s="21">
        <f t="shared" si="54"/>
        <v>4.35116341610127</v>
      </c>
      <c r="D1626" s="21">
        <f t="shared" si="55"/>
        <v>1.65028203062047</v>
      </c>
    </row>
    <row r="1627" ht="14.4" spans="2:4">
      <c r="B1627" s="20">
        <v>6460</v>
      </c>
      <c r="C1627" s="21">
        <f t="shared" si="54"/>
        <v>4.3546636739113</v>
      </c>
      <c r="D1627" s="21">
        <f t="shared" si="55"/>
        <v>1.6509471987102</v>
      </c>
    </row>
    <row r="1628" ht="14.4" spans="2:4">
      <c r="B1628" s="20">
        <v>6464</v>
      </c>
      <c r="C1628" s="21">
        <f t="shared" si="54"/>
        <v>4.35816534283116</v>
      </c>
      <c r="D1628" s="21">
        <f t="shared" si="55"/>
        <v>1.65161290322581</v>
      </c>
    </row>
    <row r="1629" ht="14.4" spans="2:4">
      <c r="B1629" s="20">
        <v>6468</v>
      </c>
      <c r="C1629" s="21">
        <f t="shared" si="54"/>
        <v>4.36166842399906</v>
      </c>
      <c r="D1629" s="21">
        <f t="shared" si="55"/>
        <v>1.65227914481646</v>
      </c>
    </row>
    <row r="1630" ht="14.4" spans="2:4">
      <c r="B1630" s="20">
        <v>6472</v>
      </c>
      <c r="C1630" s="21">
        <f t="shared" si="54"/>
        <v>4.36517291855459</v>
      </c>
      <c r="D1630" s="21">
        <f t="shared" si="55"/>
        <v>1.65294592413236</v>
      </c>
    </row>
    <row r="1631" ht="14.4" spans="2:4">
      <c r="B1631" s="20">
        <v>6476</v>
      </c>
      <c r="C1631" s="21">
        <f t="shared" si="54"/>
        <v>4.36867882763875</v>
      </c>
      <c r="D1631" s="21">
        <f t="shared" si="55"/>
        <v>1.65361324182479</v>
      </c>
    </row>
    <row r="1632" ht="14.4" spans="2:4">
      <c r="B1632" s="20">
        <v>6480</v>
      </c>
      <c r="C1632" s="21">
        <f t="shared" si="54"/>
        <v>4.37218615239388</v>
      </c>
      <c r="D1632" s="21">
        <f t="shared" si="55"/>
        <v>1.65428109854604</v>
      </c>
    </row>
    <row r="1633" ht="14.4" spans="2:4">
      <c r="B1633" s="20">
        <v>6484</v>
      </c>
      <c r="C1633" s="21">
        <f t="shared" si="54"/>
        <v>4.37569489396374</v>
      </c>
      <c r="D1633" s="21">
        <f t="shared" si="55"/>
        <v>1.65494949494949</v>
      </c>
    </row>
    <row r="1634" ht="14.4" spans="2:4">
      <c r="B1634" s="20">
        <v>6488</v>
      </c>
      <c r="C1634" s="21">
        <f t="shared" si="54"/>
        <v>4.37920505349345</v>
      </c>
      <c r="D1634" s="21">
        <f t="shared" si="55"/>
        <v>1.65561843168957</v>
      </c>
    </row>
    <row r="1635" ht="14.4" spans="2:4">
      <c r="B1635" s="20">
        <v>6492</v>
      </c>
      <c r="C1635" s="21">
        <f t="shared" si="54"/>
        <v>4.38271663212954</v>
      </c>
      <c r="D1635" s="21">
        <f t="shared" si="55"/>
        <v>1.65628790942175</v>
      </c>
    </row>
    <row r="1636" ht="14.4" spans="2:4">
      <c r="B1636" s="20">
        <v>6496</v>
      </c>
      <c r="C1636" s="21">
        <f t="shared" si="54"/>
        <v>4.38622963101992</v>
      </c>
      <c r="D1636" s="21">
        <f t="shared" si="55"/>
        <v>1.65695792880259</v>
      </c>
    </row>
    <row r="1637" ht="14.4" spans="2:4">
      <c r="B1637" s="20">
        <v>6500</v>
      </c>
      <c r="C1637" s="21">
        <f t="shared" si="54"/>
        <v>4.3897440513139</v>
      </c>
      <c r="D1637" s="21">
        <f t="shared" si="55"/>
        <v>1.65762849048968</v>
      </c>
    </row>
    <row r="1638" ht="14.4" spans="2:4">
      <c r="B1638" s="20">
        <v>6504</v>
      </c>
      <c r="C1638" s="21">
        <f t="shared" si="54"/>
        <v>4.39325989416217</v>
      </c>
      <c r="D1638" s="21">
        <f t="shared" si="55"/>
        <v>1.6582995951417</v>
      </c>
    </row>
    <row r="1639" ht="14.4" spans="2:4">
      <c r="B1639" s="20">
        <v>6508</v>
      </c>
      <c r="C1639" s="21">
        <f t="shared" si="54"/>
        <v>4.39677716071684</v>
      </c>
      <c r="D1639" s="21">
        <f t="shared" si="55"/>
        <v>1.65897124341839</v>
      </c>
    </row>
    <row r="1640" ht="14.4" spans="2:4">
      <c r="B1640" s="20">
        <v>6512</v>
      </c>
      <c r="C1640" s="21">
        <f t="shared" si="54"/>
        <v>4.40029585213141</v>
      </c>
      <c r="D1640" s="21">
        <f t="shared" si="55"/>
        <v>1.65964343598055</v>
      </c>
    </row>
    <row r="1641" ht="14.4" spans="2:4">
      <c r="B1641" s="20">
        <v>6516</v>
      </c>
      <c r="C1641" s="21">
        <f t="shared" si="54"/>
        <v>4.40381596956077</v>
      </c>
      <c r="D1641" s="21">
        <f t="shared" si="55"/>
        <v>1.66031617349007</v>
      </c>
    </row>
    <row r="1642" ht="14.4" spans="2:4">
      <c r="B1642" s="20">
        <v>6520</v>
      </c>
      <c r="C1642" s="21">
        <f t="shared" si="54"/>
        <v>4.40733751416123</v>
      </c>
      <c r="D1642" s="21">
        <f t="shared" si="55"/>
        <v>1.66098945660989</v>
      </c>
    </row>
    <row r="1643" ht="14.4" spans="2:4">
      <c r="B1643" s="20">
        <v>6524</v>
      </c>
      <c r="C1643" s="21">
        <f t="shared" si="54"/>
        <v>4.41086048709051</v>
      </c>
      <c r="D1643" s="21">
        <f t="shared" si="55"/>
        <v>1.66166328600406</v>
      </c>
    </row>
    <row r="1644" ht="14.4" spans="2:4">
      <c r="B1644" s="20">
        <v>6528</v>
      </c>
      <c r="C1644" s="21">
        <f t="shared" si="54"/>
        <v>4.41438488950773</v>
      </c>
      <c r="D1644" s="21">
        <f t="shared" si="55"/>
        <v>1.66233766233766</v>
      </c>
    </row>
    <row r="1645" ht="14.4" spans="2:4">
      <c r="B1645" s="20">
        <v>6532</v>
      </c>
      <c r="C1645" s="21">
        <f t="shared" si="54"/>
        <v>4.41791072257342</v>
      </c>
      <c r="D1645" s="21">
        <f t="shared" si="55"/>
        <v>1.6630125862769</v>
      </c>
    </row>
    <row r="1646" ht="14.4" spans="2:4">
      <c r="B1646" s="20">
        <v>6536</v>
      </c>
      <c r="C1646" s="21">
        <f t="shared" si="54"/>
        <v>4.42143798744954</v>
      </c>
      <c r="D1646" s="21">
        <f t="shared" si="55"/>
        <v>1.66368805848903</v>
      </c>
    </row>
    <row r="1647" ht="14.4" spans="2:4">
      <c r="B1647" s="20">
        <v>6540</v>
      </c>
      <c r="C1647" s="21">
        <f t="shared" si="54"/>
        <v>4.42496668529944</v>
      </c>
      <c r="D1647" s="21">
        <f t="shared" si="55"/>
        <v>1.66436407964242</v>
      </c>
    </row>
    <row r="1648" ht="14.4" spans="2:4">
      <c r="B1648" s="20">
        <v>6544</v>
      </c>
      <c r="C1648" s="21">
        <f t="shared" si="54"/>
        <v>4.4284968172879</v>
      </c>
      <c r="D1648" s="21">
        <f t="shared" si="55"/>
        <v>1.6650406504065</v>
      </c>
    </row>
    <row r="1649" ht="14.4" spans="2:4">
      <c r="B1649" s="20">
        <v>6548</v>
      </c>
      <c r="C1649" s="21">
        <f t="shared" si="54"/>
        <v>4.43202838458114</v>
      </c>
      <c r="D1649" s="21">
        <f t="shared" si="55"/>
        <v>1.66571777145181</v>
      </c>
    </row>
    <row r="1650" ht="14.4" spans="2:4">
      <c r="B1650" s="20">
        <v>6552</v>
      </c>
      <c r="C1650" s="21">
        <f t="shared" si="54"/>
        <v>4.43556138834678</v>
      </c>
      <c r="D1650" s="21">
        <f t="shared" si="55"/>
        <v>1.66639544344996</v>
      </c>
    </row>
    <row r="1651" ht="14.4" spans="2:4">
      <c r="B1651" s="20">
        <v>6556</v>
      </c>
      <c r="C1651" s="21">
        <f t="shared" si="54"/>
        <v>4.43909582975387</v>
      </c>
      <c r="D1651" s="21">
        <f t="shared" si="55"/>
        <v>1.66707366707367</v>
      </c>
    </row>
    <row r="1652" ht="14.4" spans="2:4">
      <c r="B1652" s="20">
        <v>6560</v>
      </c>
      <c r="C1652" s="21">
        <f t="shared" si="54"/>
        <v>4.44263170997289</v>
      </c>
      <c r="D1652" s="21">
        <f t="shared" si="55"/>
        <v>1.66775244299674</v>
      </c>
    </row>
    <row r="1653" ht="14.4" spans="2:4">
      <c r="B1653" s="20">
        <v>6564</v>
      </c>
      <c r="C1653" s="21">
        <f t="shared" si="54"/>
        <v>4.44616903017574</v>
      </c>
      <c r="D1653" s="21">
        <f t="shared" si="55"/>
        <v>1.66843177189409</v>
      </c>
    </row>
    <row r="1654" ht="14.4" spans="2:4">
      <c r="B1654" s="20">
        <v>6568</v>
      </c>
      <c r="C1654" s="21">
        <f t="shared" si="54"/>
        <v>4.44970779153578</v>
      </c>
      <c r="D1654" s="21">
        <f t="shared" si="55"/>
        <v>1.66911165444173</v>
      </c>
    </row>
    <row r="1655" ht="14.4" spans="2:4">
      <c r="B1655" s="20">
        <v>6572</v>
      </c>
      <c r="C1655" s="21">
        <f t="shared" si="54"/>
        <v>4.45324799522777</v>
      </c>
      <c r="D1655" s="21">
        <f t="shared" si="55"/>
        <v>1.66979209131675</v>
      </c>
    </row>
    <row r="1656" ht="14.4" spans="2:4">
      <c r="B1656" s="20">
        <v>6576</v>
      </c>
      <c r="C1656" s="21">
        <f t="shared" si="54"/>
        <v>4.45678964242794</v>
      </c>
      <c r="D1656" s="21">
        <f t="shared" si="55"/>
        <v>1.67047308319739</v>
      </c>
    </row>
    <row r="1657" ht="14.4" spans="2:4">
      <c r="B1657" s="20">
        <v>6580</v>
      </c>
      <c r="C1657" s="21">
        <f t="shared" si="54"/>
        <v>4.46033273431393</v>
      </c>
      <c r="D1657" s="21">
        <f t="shared" si="55"/>
        <v>1.67115463076295</v>
      </c>
    </row>
    <row r="1658" ht="14.4" spans="2:4">
      <c r="B1658" s="20">
        <v>6584</v>
      </c>
      <c r="C1658" s="21">
        <f t="shared" si="54"/>
        <v>4.46387727206484</v>
      </c>
      <c r="D1658" s="21">
        <f t="shared" si="55"/>
        <v>1.67183673469388</v>
      </c>
    </row>
    <row r="1659" ht="14.4" spans="2:4">
      <c r="B1659" s="20">
        <v>6588</v>
      </c>
      <c r="C1659" s="21">
        <f t="shared" si="54"/>
        <v>4.4674232568612</v>
      </c>
      <c r="D1659" s="21">
        <f t="shared" si="55"/>
        <v>1.6725193956717</v>
      </c>
    </row>
    <row r="1660" ht="14.4" spans="2:4">
      <c r="B1660" s="20">
        <v>6592</v>
      </c>
      <c r="C1660" s="21">
        <f t="shared" si="54"/>
        <v>4.47097068988502</v>
      </c>
      <c r="D1660" s="21">
        <f t="shared" si="55"/>
        <v>1.67320261437909</v>
      </c>
    </row>
    <row r="1661" ht="14.4" spans="2:4">
      <c r="B1661" s="20">
        <v>6596</v>
      </c>
      <c r="C1661" s="21">
        <f t="shared" si="54"/>
        <v>4.4745195723197</v>
      </c>
      <c r="D1661" s="21">
        <f t="shared" si="55"/>
        <v>1.6738863914998</v>
      </c>
    </row>
    <row r="1662" ht="14.4" spans="2:4">
      <c r="B1662" s="20">
        <v>6600</v>
      </c>
      <c r="C1662" s="21">
        <f t="shared" si="54"/>
        <v>4.47806990535015</v>
      </c>
      <c r="D1662" s="21">
        <f t="shared" si="55"/>
        <v>1.67457072771872</v>
      </c>
    </row>
    <row r="1663" ht="14.4" spans="2:4">
      <c r="B1663" s="20">
        <v>6604</v>
      </c>
      <c r="C1663" s="21">
        <f t="shared" si="54"/>
        <v>4.48162169016271</v>
      </c>
      <c r="D1663" s="21">
        <f t="shared" si="55"/>
        <v>1.67525562372188</v>
      </c>
    </row>
    <row r="1664" ht="14.4" spans="2:4">
      <c r="B1664" s="20">
        <v>6608</v>
      </c>
      <c r="C1664" s="21">
        <f t="shared" si="54"/>
        <v>4.48517492794515</v>
      </c>
      <c r="D1664" s="21">
        <f t="shared" si="55"/>
        <v>1.6759410801964</v>
      </c>
    </row>
    <row r="1665" ht="14.4" spans="2:4">
      <c r="B1665" s="20">
        <v>6612</v>
      </c>
      <c r="C1665" s="21">
        <f t="shared" si="54"/>
        <v>4.48872961988675</v>
      </c>
      <c r="D1665" s="21">
        <f t="shared" si="55"/>
        <v>1.67662709783054</v>
      </c>
    </row>
    <row r="1666" ht="14.4" spans="2:4">
      <c r="B1666" s="20">
        <v>6616</v>
      </c>
      <c r="C1666" s="21">
        <f t="shared" si="54"/>
        <v>4.49228576717821</v>
      </c>
      <c r="D1666" s="21">
        <f t="shared" si="55"/>
        <v>1.67731367731368</v>
      </c>
    </row>
    <row r="1667" ht="14.4" spans="2:4">
      <c r="B1667" s="20">
        <v>6620</v>
      </c>
      <c r="C1667" s="21">
        <f t="shared" si="54"/>
        <v>4.49584337101171</v>
      </c>
      <c r="D1667" s="21">
        <f t="shared" si="55"/>
        <v>1.67800081933634</v>
      </c>
    </row>
    <row r="1668" ht="14.4" spans="2:4">
      <c r="B1668" s="20">
        <v>6624</v>
      </c>
      <c r="C1668" s="21">
        <f t="shared" si="54"/>
        <v>4.4994024325809</v>
      </c>
      <c r="D1668" s="21">
        <f t="shared" si="55"/>
        <v>1.67868852459016</v>
      </c>
    </row>
    <row r="1669" ht="14.4" spans="2:4">
      <c r="B1669" s="20">
        <v>6628</v>
      </c>
      <c r="C1669" s="21">
        <f t="shared" si="54"/>
        <v>4.50296295308087</v>
      </c>
      <c r="D1669" s="21">
        <f t="shared" si="55"/>
        <v>1.67937679376794</v>
      </c>
    </row>
    <row r="1670" ht="14.4" spans="2:4">
      <c r="B1670" s="20">
        <v>6632</v>
      </c>
      <c r="C1670" s="21">
        <f t="shared" si="54"/>
        <v>4.50652493370822</v>
      </c>
      <c r="D1670" s="21">
        <f t="shared" si="55"/>
        <v>1.68006562756358</v>
      </c>
    </row>
    <row r="1671" ht="14.4" spans="2:4">
      <c r="B1671" s="20">
        <v>6636</v>
      </c>
      <c r="C1671" s="21">
        <f t="shared" si="54"/>
        <v>4.510088375661</v>
      </c>
      <c r="D1671" s="21">
        <f t="shared" si="55"/>
        <v>1.68075502667214</v>
      </c>
    </row>
    <row r="1672" ht="14.4" spans="2:4">
      <c r="B1672" s="20">
        <v>6640</v>
      </c>
      <c r="C1672" s="21">
        <f t="shared" si="54"/>
        <v>4.51365328013873</v>
      </c>
      <c r="D1672" s="21">
        <f t="shared" si="55"/>
        <v>1.68144499178982</v>
      </c>
    </row>
    <row r="1673" ht="14.4" spans="2:4">
      <c r="B1673" s="20">
        <v>6644</v>
      </c>
      <c r="C1673" s="21">
        <f t="shared" si="54"/>
        <v>4.51721964834242</v>
      </c>
      <c r="D1673" s="21">
        <f t="shared" si="55"/>
        <v>1.68213552361396</v>
      </c>
    </row>
    <row r="1674" ht="14.4" spans="2:4">
      <c r="B1674" s="20">
        <v>6648</v>
      </c>
      <c r="C1674" s="21">
        <f t="shared" si="54"/>
        <v>4.52078748147456</v>
      </c>
      <c r="D1674" s="21">
        <f t="shared" si="55"/>
        <v>1.68282662284306</v>
      </c>
    </row>
    <row r="1675" ht="14.4" spans="2:4">
      <c r="B1675" s="20">
        <v>6652</v>
      </c>
      <c r="C1675" s="21">
        <f t="shared" si="54"/>
        <v>4.52435678073912</v>
      </c>
      <c r="D1675" s="21">
        <f t="shared" si="55"/>
        <v>1.68351829017674</v>
      </c>
    </row>
    <row r="1676" ht="14.4" spans="2:4">
      <c r="B1676" s="20">
        <v>6656</v>
      </c>
      <c r="C1676" s="21">
        <f t="shared" si="54"/>
        <v>4.52792754734154</v>
      </c>
      <c r="D1676" s="21">
        <f t="shared" si="55"/>
        <v>1.68421052631579</v>
      </c>
    </row>
    <row r="1677" ht="14.4" spans="2:4">
      <c r="B1677" s="20">
        <v>6660</v>
      </c>
      <c r="C1677" s="21">
        <f t="shared" ref="C1677:C1740" si="56">20*LOG(D1677)</f>
        <v>4.53149978248877</v>
      </c>
      <c r="D1677" s="21">
        <f t="shared" ref="D1677:D1740" si="57">16384/(16384-B1677)</f>
        <v>1.68490333196216</v>
      </c>
    </row>
    <row r="1678" ht="14.4" spans="2:4">
      <c r="B1678" s="20">
        <v>6664</v>
      </c>
      <c r="C1678" s="21">
        <f t="shared" si="56"/>
        <v>4.53507348738924</v>
      </c>
      <c r="D1678" s="21">
        <f t="shared" si="57"/>
        <v>1.68559670781893</v>
      </c>
    </row>
    <row r="1679" ht="14.4" spans="2:4">
      <c r="B1679" s="20">
        <v>6668</v>
      </c>
      <c r="C1679" s="21">
        <f t="shared" si="56"/>
        <v>4.53864866325288</v>
      </c>
      <c r="D1679" s="21">
        <f t="shared" si="57"/>
        <v>1.68629065459037</v>
      </c>
    </row>
    <row r="1680" ht="14.4" spans="2:4">
      <c r="B1680" s="20">
        <v>6672</v>
      </c>
      <c r="C1680" s="21">
        <f t="shared" si="56"/>
        <v>4.54222531129109</v>
      </c>
      <c r="D1680" s="21">
        <f t="shared" si="57"/>
        <v>1.68698517298188</v>
      </c>
    </row>
    <row r="1681" ht="14.4" spans="2:4">
      <c r="B1681" s="20">
        <v>6676</v>
      </c>
      <c r="C1681" s="21">
        <f t="shared" si="56"/>
        <v>4.54580343271679</v>
      </c>
      <c r="D1681" s="21">
        <f t="shared" si="57"/>
        <v>1.68768026370004</v>
      </c>
    </row>
    <row r="1682" ht="14.4" spans="2:4">
      <c r="B1682" s="20">
        <v>6680</v>
      </c>
      <c r="C1682" s="21">
        <f t="shared" si="56"/>
        <v>4.5493830287444</v>
      </c>
      <c r="D1682" s="21">
        <f t="shared" si="57"/>
        <v>1.6883759274526</v>
      </c>
    </row>
    <row r="1683" ht="14.4" spans="2:4">
      <c r="B1683" s="20">
        <v>6684</v>
      </c>
      <c r="C1683" s="21">
        <f t="shared" si="56"/>
        <v>4.55296410058984</v>
      </c>
      <c r="D1683" s="21">
        <f t="shared" si="57"/>
        <v>1.68907216494845</v>
      </c>
    </row>
    <row r="1684" ht="14.4" spans="2:4">
      <c r="B1684" s="20">
        <v>6688</v>
      </c>
      <c r="C1684" s="21">
        <f t="shared" si="56"/>
        <v>4.55654664947051</v>
      </c>
      <c r="D1684" s="21">
        <f t="shared" si="57"/>
        <v>1.68976897689769</v>
      </c>
    </row>
    <row r="1685" ht="14.4" spans="2:4">
      <c r="B1685" s="20">
        <v>6692</v>
      </c>
      <c r="C1685" s="21">
        <f t="shared" si="56"/>
        <v>4.56013067660536</v>
      </c>
      <c r="D1685" s="21">
        <f t="shared" si="57"/>
        <v>1.69046636401156</v>
      </c>
    </row>
    <row r="1686" ht="14.4" spans="2:4">
      <c r="B1686" s="20">
        <v>6696</v>
      </c>
      <c r="C1686" s="21">
        <f t="shared" si="56"/>
        <v>4.56371618321482</v>
      </c>
      <c r="D1686" s="21">
        <f t="shared" si="57"/>
        <v>1.69116432700248</v>
      </c>
    </row>
    <row r="1687" ht="14.4" spans="2:4">
      <c r="B1687" s="20">
        <v>6700</v>
      </c>
      <c r="C1687" s="21">
        <f t="shared" si="56"/>
        <v>4.56730317052083</v>
      </c>
      <c r="D1687" s="21">
        <f t="shared" si="57"/>
        <v>1.69186286658406</v>
      </c>
    </row>
    <row r="1688" ht="14.4" spans="2:4">
      <c r="B1688" s="20">
        <v>6704</v>
      </c>
      <c r="C1688" s="21">
        <f t="shared" si="56"/>
        <v>4.57089163974686</v>
      </c>
      <c r="D1688" s="21">
        <f t="shared" si="57"/>
        <v>1.69256198347107</v>
      </c>
    </row>
    <row r="1689" ht="14.4" spans="2:4">
      <c r="B1689" s="20">
        <v>6708</v>
      </c>
      <c r="C1689" s="21">
        <f t="shared" si="56"/>
        <v>4.57448159211789</v>
      </c>
      <c r="D1689" s="21">
        <f t="shared" si="57"/>
        <v>1.6932616783795</v>
      </c>
    </row>
    <row r="1690" ht="14.4" spans="2:4">
      <c r="B1690" s="20">
        <v>6712</v>
      </c>
      <c r="C1690" s="21">
        <f t="shared" si="56"/>
        <v>4.57807302886042</v>
      </c>
      <c r="D1690" s="21">
        <f t="shared" si="57"/>
        <v>1.69396195202647</v>
      </c>
    </row>
    <row r="1691" ht="14.4" spans="2:4">
      <c r="B1691" s="20">
        <v>6716</v>
      </c>
      <c r="C1691" s="21">
        <f t="shared" si="56"/>
        <v>4.58166595120248</v>
      </c>
      <c r="D1691" s="21">
        <f t="shared" si="57"/>
        <v>1.69466280513033</v>
      </c>
    </row>
    <row r="1692" ht="14.4" spans="2:4">
      <c r="B1692" s="20">
        <v>6720</v>
      </c>
      <c r="C1692" s="21">
        <f t="shared" si="56"/>
        <v>4.5852603603736</v>
      </c>
      <c r="D1692" s="21">
        <f t="shared" si="57"/>
        <v>1.6953642384106</v>
      </c>
    </row>
    <row r="1693" ht="14.4" spans="2:4">
      <c r="B1693" s="20">
        <v>6724</v>
      </c>
      <c r="C1693" s="21">
        <f t="shared" si="56"/>
        <v>4.58885625760487</v>
      </c>
      <c r="D1693" s="21">
        <f t="shared" si="57"/>
        <v>1.69606625258799</v>
      </c>
    </row>
    <row r="1694" ht="14.4" spans="2:4">
      <c r="B1694" s="20">
        <v>6728</v>
      </c>
      <c r="C1694" s="21">
        <f t="shared" si="56"/>
        <v>4.59245364412888</v>
      </c>
      <c r="D1694" s="21">
        <f t="shared" si="57"/>
        <v>1.69676884838442</v>
      </c>
    </row>
    <row r="1695" ht="14.4" spans="2:4">
      <c r="B1695" s="20">
        <v>6732</v>
      </c>
      <c r="C1695" s="21">
        <f t="shared" si="56"/>
        <v>4.59605252117977</v>
      </c>
      <c r="D1695" s="21">
        <f t="shared" si="57"/>
        <v>1.697472026523</v>
      </c>
    </row>
    <row r="1696" ht="14.4" spans="2:4">
      <c r="B1696" s="20">
        <v>6736</v>
      </c>
      <c r="C1696" s="21">
        <f t="shared" si="56"/>
        <v>4.59965288999321</v>
      </c>
      <c r="D1696" s="21">
        <f t="shared" si="57"/>
        <v>1.69817578772803</v>
      </c>
    </row>
    <row r="1697" ht="14.4" spans="2:4">
      <c r="B1697" s="20">
        <v>6740</v>
      </c>
      <c r="C1697" s="21">
        <f t="shared" si="56"/>
        <v>4.60325475180641</v>
      </c>
      <c r="D1697" s="21">
        <f t="shared" si="57"/>
        <v>1.69888013272501</v>
      </c>
    </row>
    <row r="1698" ht="14.4" spans="2:4">
      <c r="B1698" s="20">
        <v>6744</v>
      </c>
      <c r="C1698" s="21">
        <f t="shared" si="56"/>
        <v>4.60685810785812</v>
      </c>
      <c r="D1698" s="21">
        <f t="shared" si="57"/>
        <v>1.69958506224066</v>
      </c>
    </row>
    <row r="1699" ht="14.4" spans="2:4">
      <c r="B1699" s="20">
        <v>6748</v>
      </c>
      <c r="C1699" s="21">
        <f t="shared" si="56"/>
        <v>4.61046295938862</v>
      </c>
      <c r="D1699" s="21">
        <f t="shared" si="57"/>
        <v>1.70029057700291</v>
      </c>
    </row>
    <row r="1700" ht="14.4" spans="2:4">
      <c r="B1700" s="20">
        <v>6752</v>
      </c>
      <c r="C1700" s="21">
        <f t="shared" si="56"/>
        <v>4.61406930763975</v>
      </c>
      <c r="D1700" s="21">
        <f t="shared" si="57"/>
        <v>1.70099667774086</v>
      </c>
    </row>
    <row r="1701" ht="14.4" spans="2:4">
      <c r="B1701" s="20">
        <v>6756</v>
      </c>
      <c r="C1701" s="21">
        <f t="shared" si="56"/>
        <v>4.61767715385489</v>
      </c>
      <c r="D1701" s="21">
        <f t="shared" si="57"/>
        <v>1.70170336518488</v>
      </c>
    </row>
    <row r="1702" ht="14.4" spans="2:4">
      <c r="B1702" s="20">
        <v>6760</v>
      </c>
      <c r="C1702" s="21">
        <f t="shared" si="56"/>
        <v>4.62128649927897</v>
      </c>
      <c r="D1702" s="21">
        <f t="shared" si="57"/>
        <v>1.7024106400665</v>
      </c>
    </row>
    <row r="1703" ht="14.4" spans="2:4">
      <c r="B1703" s="20">
        <v>6764</v>
      </c>
      <c r="C1703" s="21">
        <f t="shared" si="56"/>
        <v>4.62489734515848</v>
      </c>
      <c r="D1703" s="21">
        <f t="shared" si="57"/>
        <v>1.7031185031185</v>
      </c>
    </row>
    <row r="1704" ht="14.4" spans="2:4">
      <c r="B1704" s="20">
        <v>6768</v>
      </c>
      <c r="C1704" s="21">
        <f t="shared" si="56"/>
        <v>4.62850969274145</v>
      </c>
      <c r="D1704" s="21">
        <f t="shared" si="57"/>
        <v>1.70382695507488</v>
      </c>
    </row>
    <row r="1705" ht="14.4" spans="2:4">
      <c r="B1705" s="20">
        <v>6772</v>
      </c>
      <c r="C1705" s="21">
        <f t="shared" si="56"/>
        <v>4.63212354327749</v>
      </c>
      <c r="D1705" s="21">
        <f t="shared" si="57"/>
        <v>1.70453599667083</v>
      </c>
    </row>
    <row r="1706" ht="14.4" spans="2:4">
      <c r="B1706" s="20">
        <v>6776</v>
      </c>
      <c r="C1706" s="21">
        <f t="shared" si="56"/>
        <v>4.63573889801774</v>
      </c>
      <c r="D1706" s="21">
        <f t="shared" si="57"/>
        <v>1.7052456286428</v>
      </c>
    </row>
    <row r="1707" ht="14.4" spans="2:4">
      <c r="B1707" s="20">
        <v>6780</v>
      </c>
      <c r="C1707" s="21">
        <f t="shared" si="56"/>
        <v>4.63935575821494</v>
      </c>
      <c r="D1707" s="21">
        <f t="shared" si="57"/>
        <v>1.70595585172845</v>
      </c>
    </row>
    <row r="1708" ht="14.4" spans="2:4">
      <c r="B1708" s="20">
        <v>6784</v>
      </c>
      <c r="C1708" s="21">
        <f t="shared" si="56"/>
        <v>4.64297412512337</v>
      </c>
      <c r="D1708" s="21">
        <f t="shared" si="57"/>
        <v>1.70666666666667</v>
      </c>
    </row>
    <row r="1709" ht="14.4" spans="2:4">
      <c r="B1709" s="20">
        <v>6788</v>
      </c>
      <c r="C1709" s="21">
        <f t="shared" si="56"/>
        <v>4.64659399999888</v>
      </c>
      <c r="D1709" s="21">
        <f t="shared" si="57"/>
        <v>1.70737807419758</v>
      </c>
    </row>
    <row r="1710" ht="14.4" spans="2:4">
      <c r="B1710" s="20">
        <v>6792</v>
      </c>
      <c r="C1710" s="21">
        <f t="shared" si="56"/>
        <v>4.65021538409889</v>
      </c>
      <c r="D1710" s="21">
        <f t="shared" si="57"/>
        <v>1.70809007506255</v>
      </c>
    </row>
    <row r="1711" ht="14.4" spans="2:4">
      <c r="B1711" s="20">
        <v>6796</v>
      </c>
      <c r="C1711" s="21">
        <f t="shared" si="56"/>
        <v>4.65383827868241</v>
      </c>
      <c r="D1711" s="21">
        <f t="shared" si="57"/>
        <v>1.70880267000417</v>
      </c>
    </row>
    <row r="1712" ht="14.4" spans="2:4">
      <c r="B1712" s="20">
        <v>6800</v>
      </c>
      <c r="C1712" s="21">
        <f t="shared" si="56"/>
        <v>4.65746268501001</v>
      </c>
      <c r="D1712" s="21">
        <f t="shared" si="57"/>
        <v>1.70951585976628</v>
      </c>
    </row>
    <row r="1713" ht="14.4" spans="2:4">
      <c r="B1713" s="20">
        <v>6804</v>
      </c>
      <c r="C1713" s="21">
        <f t="shared" si="56"/>
        <v>4.66108860434385</v>
      </c>
      <c r="D1713" s="21">
        <f t="shared" si="57"/>
        <v>1.71022964509395</v>
      </c>
    </row>
    <row r="1714" ht="14.4" spans="2:4">
      <c r="B1714" s="20">
        <v>6808</v>
      </c>
      <c r="C1714" s="21">
        <f t="shared" si="56"/>
        <v>4.66471603794765</v>
      </c>
      <c r="D1714" s="21">
        <f t="shared" si="57"/>
        <v>1.7109440267335</v>
      </c>
    </row>
    <row r="1715" ht="14.4" spans="2:4">
      <c r="B1715" s="20">
        <v>6812</v>
      </c>
      <c r="C1715" s="21">
        <f t="shared" si="56"/>
        <v>4.66834498708674</v>
      </c>
      <c r="D1715" s="21">
        <f t="shared" si="57"/>
        <v>1.71165900543251</v>
      </c>
    </row>
    <row r="1716" ht="14.4" spans="2:4">
      <c r="B1716" s="20">
        <v>6816</v>
      </c>
      <c r="C1716" s="21">
        <f t="shared" si="56"/>
        <v>4.67197545302802</v>
      </c>
      <c r="D1716" s="21">
        <f t="shared" si="57"/>
        <v>1.7123745819398</v>
      </c>
    </row>
    <row r="1717" ht="14.4" spans="2:4">
      <c r="B1717" s="20">
        <v>6820</v>
      </c>
      <c r="C1717" s="21">
        <f t="shared" si="56"/>
        <v>4.67560743703999</v>
      </c>
      <c r="D1717" s="21">
        <f t="shared" si="57"/>
        <v>1.71309075700544</v>
      </c>
    </row>
    <row r="1718" ht="14.4" spans="2:4">
      <c r="B1718" s="20">
        <v>6824</v>
      </c>
      <c r="C1718" s="21">
        <f t="shared" si="56"/>
        <v>4.67924094039273</v>
      </c>
      <c r="D1718" s="21">
        <f t="shared" si="57"/>
        <v>1.71380753138075</v>
      </c>
    </row>
    <row r="1719" ht="14.4" spans="2:4">
      <c r="B1719" s="20">
        <v>6828</v>
      </c>
      <c r="C1719" s="21">
        <f t="shared" si="56"/>
        <v>4.68287596435793</v>
      </c>
      <c r="D1719" s="21">
        <f t="shared" si="57"/>
        <v>1.71452490581833</v>
      </c>
    </row>
    <row r="1720" ht="14.4" spans="2:4">
      <c r="B1720" s="20">
        <v>6832</v>
      </c>
      <c r="C1720" s="21">
        <f t="shared" si="56"/>
        <v>4.68651251020886</v>
      </c>
      <c r="D1720" s="21">
        <f t="shared" si="57"/>
        <v>1.71524288107203</v>
      </c>
    </row>
    <row r="1721" ht="14.4" spans="2:4">
      <c r="B1721" s="20">
        <v>6836</v>
      </c>
      <c r="C1721" s="21">
        <f t="shared" si="56"/>
        <v>4.6901505792204</v>
      </c>
      <c r="D1721" s="21">
        <f t="shared" si="57"/>
        <v>1.71596145789694</v>
      </c>
    </row>
    <row r="1722" ht="14.4" spans="2:4">
      <c r="B1722" s="20">
        <v>6840</v>
      </c>
      <c r="C1722" s="21">
        <f t="shared" si="56"/>
        <v>4.69379017266903</v>
      </c>
      <c r="D1722" s="21">
        <f t="shared" si="57"/>
        <v>1.71668063704946</v>
      </c>
    </row>
    <row r="1723" ht="14.4" spans="2:4">
      <c r="B1723" s="20">
        <v>6844</v>
      </c>
      <c r="C1723" s="21">
        <f t="shared" si="56"/>
        <v>4.69743129183283</v>
      </c>
      <c r="D1723" s="21">
        <f t="shared" si="57"/>
        <v>1.71740041928721</v>
      </c>
    </row>
    <row r="1724" ht="14.4" spans="2:4">
      <c r="B1724" s="20">
        <v>6848</v>
      </c>
      <c r="C1724" s="21">
        <f t="shared" si="56"/>
        <v>4.70107393799151</v>
      </c>
      <c r="D1724" s="21">
        <f t="shared" si="57"/>
        <v>1.71812080536913</v>
      </c>
    </row>
    <row r="1725" ht="14.4" spans="2:4">
      <c r="B1725" s="20">
        <v>6852</v>
      </c>
      <c r="C1725" s="21">
        <f t="shared" si="56"/>
        <v>4.70471811242636</v>
      </c>
      <c r="D1725" s="21">
        <f t="shared" si="57"/>
        <v>1.71884179605539</v>
      </c>
    </row>
    <row r="1726" ht="14.4" spans="2:4">
      <c r="B1726" s="20">
        <v>6856</v>
      </c>
      <c r="C1726" s="21">
        <f t="shared" si="56"/>
        <v>4.70836381642031</v>
      </c>
      <c r="D1726" s="21">
        <f t="shared" si="57"/>
        <v>1.71956339210747</v>
      </c>
    </row>
    <row r="1727" ht="14.4" spans="2:4">
      <c r="B1727" s="20">
        <v>6860</v>
      </c>
      <c r="C1727" s="21">
        <f t="shared" si="56"/>
        <v>4.71201105125789</v>
      </c>
      <c r="D1727" s="21">
        <f t="shared" si="57"/>
        <v>1.72028559428811</v>
      </c>
    </row>
    <row r="1728" ht="14.4" spans="2:4">
      <c r="B1728" s="20">
        <v>6864</v>
      </c>
      <c r="C1728" s="21">
        <f t="shared" si="56"/>
        <v>4.71565981822525</v>
      </c>
      <c r="D1728" s="21">
        <f t="shared" si="57"/>
        <v>1.72100840336134</v>
      </c>
    </row>
    <row r="1729" ht="14.4" spans="2:4">
      <c r="B1729" s="20">
        <v>6868</v>
      </c>
      <c r="C1729" s="21">
        <f t="shared" si="56"/>
        <v>4.71931011861016</v>
      </c>
      <c r="D1729" s="21">
        <f t="shared" si="57"/>
        <v>1.72173182009248</v>
      </c>
    </row>
    <row r="1730" ht="14.4" spans="2:4">
      <c r="B1730" s="20">
        <v>6872</v>
      </c>
      <c r="C1730" s="21">
        <f t="shared" si="56"/>
        <v>4.72296195370203</v>
      </c>
      <c r="D1730" s="21">
        <f t="shared" si="57"/>
        <v>1.72245584524811</v>
      </c>
    </row>
    <row r="1731" ht="14.4" spans="2:4">
      <c r="B1731" s="20">
        <v>6876</v>
      </c>
      <c r="C1731" s="21">
        <f t="shared" si="56"/>
        <v>4.72661532479188</v>
      </c>
      <c r="D1731" s="21">
        <f t="shared" si="57"/>
        <v>1.72318047959613</v>
      </c>
    </row>
    <row r="1732" ht="14.4" spans="2:4">
      <c r="B1732" s="20">
        <v>6880</v>
      </c>
      <c r="C1732" s="21">
        <f t="shared" si="56"/>
        <v>4.73027023317237</v>
      </c>
      <c r="D1732" s="21">
        <f t="shared" si="57"/>
        <v>1.72390572390572</v>
      </c>
    </row>
    <row r="1733" ht="14.4" spans="2:4">
      <c r="B1733" s="20">
        <v>6884</v>
      </c>
      <c r="C1733" s="21">
        <f t="shared" si="56"/>
        <v>4.73392668013778</v>
      </c>
      <c r="D1733" s="21">
        <f t="shared" si="57"/>
        <v>1.72463157894737</v>
      </c>
    </row>
    <row r="1734" ht="14.4" spans="2:4">
      <c r="B1734" s="20">
        <v>6888</v>
      </c>
      <c r="C1734" s="21">
        <f t="shared" si="56"/>
        <v>4.73758466698404</v>
      </c>
      <c r="D1734" s="21">
        <f t="shared" si="57"/>
        <v>1.72535804549284</v>
      </c>
    </row>
    <row r="1735" ht="14.4" spans="2:4">
      <c r="B1735" s="20">
        <v>6892</v>
      </c>
      <c r="C1735" s="21">
        <f t="shared" si="56"/>
        <v>4.74124419500871</v>
      </c>
      <c r="D1735" s="21">
        <f t="shared" si="57"/>
        <v>1.72608512431521</v>
      </c>
    </row>
    <row r="1736" ht="14.4" spans="2:4">
      <c r="B1736" s="20">
        <v>6896</v>
      </c>
      <c r="C1736" s="21">
        <f t="shared" si="56"/>
        <v>4.74490526551099</v>
      </c>
      <c r="D1736" s="21">
        <f t="shared" si="57"/>
        <v>1.72681281618887</v>
      </c>
    </row>
    <row r="1737" ht="14.4" spans="2:4">
      <c r="B1737" s="20">
        <v>6900</v>
      </c>
      <c r="C1737" s="21">
        <f t="shared" si="56"/>
        <v>4.74856787979172</v>
      </c>
      <c r="D1737" s="21">
        <f t="shared" si="57"/>
        <v>1.7275411218895</v>
      </c>
    </row>
    <row r="1738" ht="14.4" spans="2:4">
      <c r="B1738" s="20">
        <v>6904</v>
      </c>
      <c r="C1738" s="21">
        <f t="shared" si="56"/>
        <v>4.75223203915341</v>
      </c>
      <c r="D1738" s="21">
        <f t="shared" si="57"/>
        <v>1.72827004219409</v>
      </c>
    </row>
    <row r="1739" ht="14.4" spans="2:4">
      <c r="B1739" s="20">
        <v>6908</v>
      </c>
      <c r="C1739" s="21">
        <f t="shared" si="56"/>
        <v>4.75589774490019</v>
      </c>
      <c r="D1739" s="21">
        <f t="shared" si="57"/>
        <v>1.72899957788096</v>
      </c>
    </row>
    <row r="1740" ht="14.4" spans="2:4">
      <c r="B1740" s="20">
        <v>6912</v>
      </c>
      <c r="C1740" s="21">
        <f t="shared" si="56"/>
        <v>4.75956499833784</v>
      </c>
      <c r="D1740" s="21">
        <f t="shared" si="57"/>
        <v>1.72972972972973</v>
      </c>
    </row>
    <row r="1741" ht="14.4" spans="2:4">
      <c r="B1741" s="20">
        <v>6916</v>
      </c>
      <c r="C1741" s="21">
        <f t="shared" ref="C1741:C1804" si="58">20*LOG(D1741)</f>
        <v>4.76323380077383</v>
      </c>
      <c r="D1741" s="21">
        <f t="shared" ref="D1741:D1804" si="59">16384/(16384-B1741)</f>
        <v>1.73046049852133</v>
      </c>
    </row>
    <row r="1742" ht="14.4" spans="2:4">
      <c r="B1742" s="20">
        <v>6920</v>
      </c>
      <c r="C1742" s="21">
        <f t="shared" si="58"/>
        <v>4.76690415351726</v>
      </c>
      <c r="D1742" s="21">
        <f t="shared" si="59"/>
        <v>1.73119188503804</v>
      </c>
    </row>
    <row r="1743" ht="14.4" spans="2:4">
      <c r="B1743" s="20">
        <v>6924</v>
      </c>
      <c r="C1743" s="21">
        <f t="shared" si="58"/>
        <v>4.77057605787888</v>
      </c>
      <c r="D1743" s="21">
        <f t="shared" si="59"/>
        <v>1.73192389006342</v>
      </c>
    </row>
    <row r="1744" ht="14.4" spans="2:4">
      <c r="B1744" s="20">
        <v>6928</v>
      </c>
      <c r="C1744" s="21">
        <f t="shared" si="58"/>
        <v>4.77424951517113</v>
      </c>
      <c r="D1744" s="21">
        <f t="shared" si="59"/>
        <v>1.7326565143824</v>
      </c>
    </row>
    <row r="1745" ht="14.4" spans="2:4">
      <c r="B1745" s="20">
        <v>6932</v>
      </c>
      <c r="C1745" s="21">
        <f t="shared" si="58"/>
        <v>4.77792452670811</v>
      </c>
      <c r="D1745" s="21">
        <f t="shared" si="59"/>
        <v>1.73338975878121</v>
      </c>
    </row>
    <row r="1746" ht="14.4" spans="2:4">
      <c r="B1746" s="20">
        <v>6936</v>
      </c>
      <c r="C1746" s="21">
        <f t="shared" si="58"/>
        <v>4.78160109380557</v>
      </c>
      <c r="D1746" s="21">
        <f t="shared" si="59"/>
        <v>1.73412362404742</v>
      </c>
    </row>
    <row r="1747" ht="14.4" spans="2:4">
      <c r="B1747" s="20">
        <v>6940</v>
      </c>
      <c r="C1747" s="21">
        <f t="shared" si="58"/>
        <v>4.78527921778095</v>
      </c>
      <c r="D1747" s="21">
        <f t="shared" si="59"/>
        <v>1.73485811096993</v>
      </c>
    </row>
    <row r="1748" ht="14.4" spans="2:4">
      <c r="B1748" s="20">
        <v>6944</v>
      </c>
      <c r="C1748" s="21">
        <f t="shared" si="58"/>
        <v>4.78895889995336</v>
      </c>
      <c r="D1748" s="21">
        <f t="shared" si="59"/>
        <v>1.73559322033898</v>
      </c>
    </row>
    <row r="1749" ht="14.4" spans="2:4">
      <c r="B1749" s="20">
        <v>6948</v>
      </c>
      <c r="C1749" s="21">
        <f t="shared" si="58"/>
        <v>4.79264014164358</v>
      </c>
      <c r="D1749" s="21">
        <f t="shared" si="59"/>
        <v>1.73632895294616</v>
      </c>
    </row>
    <row r="1750" ht="14.4" spans="2:4">
      <c r="B1750" s="20">
        <v>6952</v>
      </c>
      <c r="C1750" s="21">
        <f t="shared" si="58"/>
        <v>4.79632294417408</v>
      </c>
      <c r="D1750" s="21">
        <f t="shared" si="59"/>
        <v>1.73706530958439</v>
      </c>
    </row>
    <row r="1751" ht="14.4" spans="2:4">
      <c r="B1751" s="20">
        <v>6956</v>
      </c>
      <c r="C1751" s="21">
        <f t="shared" si="58"/>
        <v>4.80000730886901</v>
      </c>
      <c r="D1751" s="21">
        <f t="shared" si="59"/>
        <v>1.73780229104794</v>
      </c>
    </row>
    <row r="1752" ht="14.4" spans="2:4">
      <c r="B1752" s="20">
        <v>6960</v>
      </c>
      <c r="C1752" s="21">
        <f t="shared" si="58"/>
        <v>4.80369323705421</v>
      </c>
      <c r="D1752" s="21">
        <f t="shared" si="59"/>
        <v>1.73853989813243</v>
      </c>
    </row>
    <row r="1753" ht="14.4" spans="2:4">
      <c r="B1753" s="20">
        <v>6964</v>
      </c>
      <c r="C1753" s="21">
        <f t="shared" si="58"/>
        <v>4.80738073005719</v>
      </c>
      <c r="D1753" s="21">
        <f t="shared" si="59"/>
        <v>1.73927813163482</v>
      </c>
    </row>
    <row r="1754" ht="14.4" spans="2:4">
      <c r="B1754" s="20">
        <v>6968</v>
      </c>
      <c r="C1754" s="21">
        <f t="shared" si="58"/>
        <v>4.81106978920717</v>
      </c>
      <c r="D1754" s="21">
        <f t="shared" si="59"/>
        <v>1.74001699235344</v>
      </c>
    </row>
    <row r="1755" ht="14.4" spans="2:4">
      <c r="B1755" s="20">
        <v>6972</v>
      </c>
      <c r="C1755" s="21">
        <f t="shared" si="58"/>
        <v>4.81476041583506</v>
      </c>
      <c r="D1755" s="21">
        <f t="shared" si="59"/>
        <v>1.74075648108797</v>
      </c>
    </row>
    <row r="1756" ht="14.4" spans="2:4">
      <c r="B1756" s="20">
        <v>6976</v>
      </c>
      <c r="C1756" s="21">
        <f t="shared" si="58"/>
        <v>4.81845261127347</v>
      </c>
      <c r="D1756" s="21">
        <f t="shared" si="59"/>
        <v>1.74149659863946</v>
      </c>
    </row>
    <row r="1757" ht="14.4" spans="2:4">
      <c r="B1757" s="20">
        <v>6980</v>
      </c>
      <c r="C1757" s="21">
        <f t="shared" si="58"/>
        <v>4.8221463768567</v>
      </c>
      <c r="D1757" s="21">
        <f t="shared" si="59"/>
        <v>1.74223734581029</v>
      </c>
    </row>
    <row r="1758" ht="14.4" spans="2:4">
      <c r="B1758" s="20">
        <v>6984</v>
      </c>
      <c r="C1758" s="21">
        <f t="shared" si="58"/>
        <v>4.82584171392076</v>
      </c>
      <c r="D1758" s="21">
        <f t="shared" si="59"/>
        <v>1.74297872340426</v>
      </c>
    </row>
    <row r="1759" ht="14.4" spans="2:4">
      <c r="B1759" s="20">
        <v>6988</v>
      </c>
      <c r="C1759" s="21">
        <f t="shared" si="58"/>
        <v>4.82953862380337</v>
      </c>
      <c r="D1759" s="21">
        <f t="shared" si="59"/>
        <v>1.74372073222648</v>
      </c>
    </row>
    <row r="1760" ht="14.4" spans="2:4">
      <c r="B1760" s="20">
        <v>6992</v>
      </c>
      <c r="C1760" s="21">
        <f t="shared" si="58"/>
        <v>4.83323710784395</v>
      </c>
      <c r="D1760" s="21">
        <f t="shared" si="59"/>
        <v>1.74446337308348</v>
      </c>
    </row>
    <row r="1761" ht="14.4" spans="2:4">
      <c r="B1761" s="20">
        <v>6996</v>
      </c>
      <c r="C1761" s="21">
        <f t="shared" si="58"/>
        <v>4.83693716738363</v>
      </c>
      <c r="D1761" s="21">
        <f t="shared" si="59"/>
        <v>1.74520664678313</v>
      </c>
    </row>
    <row r="1762" ht="14.4" spans="2:4">
      <c r="B1762" s="20">
        <v>7000</v>
      </c>
      <c r="C1762" s="21">
        <f t="shared" si="58"/>
        <v>4.84063880376528</v>
      </c>
      <c r="D1762" s="21">
        <f t="shared" si="59"/>
        <v>1.7459505541347</v>
      </c>
    </row>
    <row r="1763" ht="14.4" spans="2:4">
      <c r="B1763" s="20">
        <v>7004</v>
      </c>
      <c r="C1763" s="21">
        <f t="shared" si="58"/>
        <v>4.84434201833345</v>
      </c>
      <c r="D1763" s="21">
        <f t="shared" si="59"/>
        <v>1.74669509594883</v>
      </c>
    </row>
    <row r="1764" ht="14.4" spans="2:4">
      <c r="B1764" s="20">
        <v>7008</v>
      </c>
      <c r="C1764" s="21">
        <f t="shared" si="58"/>
        <v>4.84804681243443</v>
      </c>
      <c r="D1764" s="21">
        <f t="shared" si="59"/>
        <v>1.74744027303754</v>
      </c>
    </row>
    <row r="1765" ht="14.4" spans="2:4">
      <c r="B1765" s="20">
        <v>7012</v>
      </c>
      <c r="C1765" s="21">
        <f t="shared" si="58"/>
        <v>4.85175318741623</v>
      </c>
      <c r="D1765" s="21">
        <f t="shared" si="59"/>
        <v>1.74818608621426</v>
      </c>
    </row>
    <row r="1766" ht="14.4" spans="2:4">
      <c r="B1766" s="20">
        <v>7016</v>
      </c>
      <c r="C1766" s="21">
        <f t="shared" si="58"/>
        <v>4.8554611446286</v>
      </c>
      <c r="D1766" s="21">
        <f t="shared" si="59"/>
        <v>1.74893253629377</v>
      </c>
    </row>
    <row r="1767" ht="14.4" spans="2:4">
      <c r="B1767" s="20">
        <v>7020</v>
      </c>
      <c r="C1767" s="21">
        <f t="shared" si="58"/>
        <v>4.859170685423</v>
      </c>
      <c r="D1767" s="21">
        <f t="shared" si="59"/>
        <v>1.74967962409227</v>
      </c>
    </row>
    <row r="1768" ht="14.4" spans="2:4">
      <c r="B1768" s="20">
        <v>7024</v>
      </c>
      <c r="C1768" s="21">
        <f t="shared" si="58"/>
        <v>4.86288181115263</v>
      </c>
      <c r="D1768" s="21">
        <f t="shared" si="59"/>
        <v>1.75042735042735</v>
      </c>
    </row>
    <row r="1769" ht="14.4" spans="2:4">
      <c r="B1769" s="20">
        <v>7028</v>
      </c>
      <c r="C1769" s="21">
        <f t="shared" si="58"/>
        <v>4.86659452317243</v>
      </c>
      <c r="D1769" s="21">
        <f t="shared" si="59"/>
        <v>1.751175716118</v>
      </c>
    </row>
    <row r="1770" ht="14.4" spans="2:4">
      <c r="B1770" s="20">
        <v>7032</v>
      </c>
      <c r="C1770" s="21">
        <f t="shared" si="58"/>
        <v>4.87030882283906</v>
      </c>
      <c r="D1770" s="21">
        <f t="shared" si="59"/>
        <v>1.7519247219846</v>
      </c>
    </row>
    <row r="1771" ht="14.4" spans="2:4">
      <c r="B1771" s="20">
        <v>7036</v>
      </c>
      <c r="C1771" s="21">
        <f t="shared" si="58"/>
        <v>4.87402471151095</v>
      </c>
      <c r="D1771" s="21">
        <f t="shared" si="59"/>
        <v>1.75267436884895</v>
      </c>
    </row>
    <row r="1772" ht="14.4" spans="2:4">
      <c r="B1772" s="20">
        <v>7040</v>
      </c>
      <c r="C1772" s="21">
        <f t="shared" si="58"/>
        <v>4.87774219054825</v>
      </c>
      <c r="D1772" s="21">
        <f t="shared" si="59"/>
        <v>1.75342465753425</v>
      </c>
    </row>
    <row r="1773" ht="14.4" spans="2:4">
      <c r="B1773" s="20">
        <v>7044</v>
      </c>
      <c r="C1773" s="21">
        <f t="shared" si="58"/>
        <v>4.88146126131287</v>
      </c>
      <c r="D1773" s="21">
        <f t="shared" si="59"/>
        <v>1.7541755888651</v>
      </c>
    </row>
    <row r="1774" ht="14.4" spans="2:4">
      <c r="B1774" s="20">
        <v>7048</v>
      </c>
      <c r="C1774" s="21">
        <f t="shared" si="58"/>
        <v>4.88518192516846</v>
      </c>
      <c r="D1774" s="21">
        <f t="shared" si="59"/>
        <v>1.75492716366752</v>
      </c>
    </row>
    <row r="1775" ht="14.4" spans="2:4">
      <c r="B1775" s="20">
        <v>7052</v>
      </c>
      <c r="C1775" s="21">
        <f t="shared" si="58"/>
        <v>4.88890418348043</v>
      </c>
      <c r="D1775" s="21">
        <f t="shared" si="59"/>
        <v>1.75567938276897</v>
      </c>
    </row>
    <row r="1776" ht="14.4" spans="2:4">
      <c r="B1776" s="20">
        <v>7056</v>
      </c>
      <c r="C1776" s="21">
        <f t="shared" si="58"/>
        <v>4.89262803761596</v>
      </c>
      <c r="D1776" s="21">
        <f t="shared" si="59"/>
        <v>1.75643224699828</v>
      </c>
    </row>
    <row r="1777" ht="14.4" spans="2:4">
      <c r="B1777" s="20">
        <v>7060</v>
      </c>
      <c r="C1777" s="21">
        <f t="shared" si="58"/>
        <v>4.89635348894395</v>
      </c>
      <c r="D1777" s="21">
        <f t="shared" si="59"/>
        <v>1.75718575718576</v>
      </c>
    </row>
    <row r="1778" ht="14.4" spans="2:4">
      <c r="B1778" s="20">
        <v>7064</v>
      </c>
      <c r="C1778" s="21">
        <f t="shared" si="58"/>
        <v>4.90008053883511</v>
      </c>
      <c r="D1778" s="21">
        <f t="shared" si="59"/>
        <v>1.75793991416309</v>
      </c>
    </row>
    <row r="1779" ht="14.4" spans="2:4">
      <c r="B1779" s="20">
        <v>7068</v>
      </c>
      <c r="C1779" s="21">
        <f t="shared" si="58"/>
        <v>4.90380918866187</v>
      </c>
      <c r="D1779" s="21">
        <f t="shared" si="59"/>
        <v>1.75869471876342</v>
      </c>
    </row>
    <row r="1780" ht="14.4" spans="2:4">
      <c r="B1780" s="20">
        <v>7072</v>
      </c>
      <c r="C1780" s="21">
        <f t="shared" si="58"/>
        <v>4.90753943979847</v>
      </c>
      <c r="D1780" s="21">
        <f t="shared" si="59"/>
        <v>1.75945017182131</v>
      </c>
    </row>
    <row r="1781" ht="14.4" spans="2:4">
      <c r="B1781" s="20">
        <v>7076</v>
      </c>
      <c r="C1781" s="21">
        <f t="shared" si="58"/>
        <v>4.91127129362089</v>
      </c>
      <c r="D1781" s="21">
        <f t="shared" si="59"/>
        <v>1.76020627417275</v>
      </c>
    </row>
    <row r="1782" ht="14.4" spans="2:4">
      <c r="B1782" s="20">
        <v>7080</v>
      </c>
      <c r="C1782" s="21">
        <f t="shared" si="58"/>
        <v>4.9150047515069</v>
      </c>
      <c r="D1782" s="21">
        <f t="shared" si="59"/>
        <v>1.7609630266552</v>
      </c>
    </row>
    <row r="1783" ht="14.4" spans="2:4">
      <c r="B1783" s="20">
        <v>7084</v>
      </c>
      <c r="C1783" s="21">
        <f t="shared" si="58"/>
        <v>4.91873981483603</v>
      </c>
      <c r="D1783" s="21">
        <f t="shared" si="59"/>
        <v>1.76172043010753</v>
      </c>
    </row>
    <row r="1784" ht="14.4" spans="2:4">
      <c r="B1784" s="20">
        <v>7088</v>
      </c>
      <c r="C1784" s="21">
        <f t="shared" si="58"/>
        <v>4.92247648498962</v>
      </c>
      <c r="D1784" s="21">
        <f t="shared" si="59"/>
        <v>1.76247848537005</v>
      </c>
    </row>
    <row r="1785" ht="14.4" spans="2:4">
      <c r="B1785" s="20">
        <v>7092</v>
      </c>
      <c r="C1785" s="21">
        <f t="shared" si="58"/>
        <v>4.92621476335078</v>
      </c>
      <c r="D1785" s="21">
        <f t="shared" si="59"/>
        <v>1.76323719328455</v>
      </c>
    </row>
    <row r="1786" ht="14.4" spans="2:4">
      <c r="B1786" s="20">
        <v>7096</v>
      </c>
      <c r="C1786" s="21">
        <f t="shared" si="58"/>
        <v>4.92995465130439</v>
      </c>
      <c r="D1786" s="21">
        <f t="shared" si="59"/>
        <v>1.76399655469423</v>
      </c>
    </row>
    <row r="1787" ht="14.4" spans="2:4">
      <c r="B1787" s="20">
        <v>7100</v>
      </c>
      <c r="C1787" s="21">
        <f t="shared" si="58"/>
        <v>4.93369615023713</v>
      </c>
      <c r="D1787" s="21">
        <f t="shared" si="59"/>
        <v>1.76475657044377</v>
      </c>
    </row>
    <row r="1788" ht="14.4" spans="2:4">
      <c r="B1788" s="20">
        <v>7104</v>
      </c>
      <c r="C1788" s="21">
        <f t="shared" si="58"/>
        <v>4.93743926153749</v>
      </c>
      <c r="D1788" s="21">
        <f t="shared" si="59"/>
        <v>1.76551724137931</v>
      </c>
    </row>
    <row r="1789" ht="14.4" spans="2:4">
      <c r="B1789" s="20">
        <v>7108</v>
      </c>
      <c r="C1789" s="21">
        <f t="shared" si="58"/>
        <v>4.94118398659574</v>
      </c>
      <c r="D1789" s="21">
        <f t="shared" si="59"/>
        <v>1.76627856834843</v>
      </c>
    </row>
    <row r="1790" ht="14.4" spans="2:4">
      <c r="B1790" s="20">
        <v>7112</v>
      </c>
      <c r="C1790" s="21">
        <f t="shared" si="58"/>
        <v>4.94493032680394</v>
      </c>
      <c r="D1790" s="21">
        <f t="shared" si="59"/>
        <v>1.76704055220017</v>
      </c>
    </row>
    <row r="1791" ht="14.4" spans="2:4">
      <c r="B1791" s="20">
        <v>7116</v>
      </c>
      <c r="C1791" s="21">
        <f t="shared" si="58"/>
        <v>4.94867828355598</v>
      </c>
      <c r="D1791" s="21">
        <f t="shared" si="59"/>
        <v>1.76780319378507</v>
      </c>
    </row>
    <row r="1792" ht="14.4" spans="2:4">
      <c r="B1792" s="20">
        <v>7120</v>
      </c>
      <c r="C1792" s="21">
        <f t="shared" si="58"/>
        <v>4.95242785824751</v>
      </c>
      <c r="D1792" s="21">
        <f t="shared" si="59"/>
        <v>1.76856649395509</v>
      </c>
    </row>
    <row r="1793" ht="14.4" spans="2:4">
      <c r="B1793" s="20">
        <v>7124</v>
      </c>
      <c r="C1793" s="21">
        <f t="shared" si="58"/>
        <v>4.95617905227605</v>
      </c>
      <c r="D1793" s="21">
        <f t="shared" si="59"/>
        <v>1.76933045356371</v>
      </c>
    </row>
    <row r="1794" ht="14.4" spans="2:4">
      <c r="B1794" s="20">
        <v>7128</v>
      </c>
      <c r="C1794" s="21">
        <f t="shared" si="58"/>
        <v>4.95993186704087</v>
      </c>
      <c r="D1794" s="21">
        <f t="shared" si="59"/>
        <v>1.77009507346586</v>
      </c>
    </row>
    <row r="1795" ht="14.4" spans="2:4">
      <c r="B1795" s="20">
        <v>7132</v>
      </c>
      <c r="C1795" s="21">
        <f t="shared" si="58"/>
        <v>4.9636863039431</v>
      </c>
      <c r="D1795" s="21">
        <f t="shared" si="59"/>
        <v>1.77086035451794</v>
      </c>
    </row>
    <row r="1796" ht="14.4" spans="2:4">
      <c r="B1796" s="20">
        <v>7136</v>
      </c>
      <c r="C1796" s="21">
        <f t="shared" si="58"/>
        <v>4.96744236438566</v>
      </c>
      <c r="D1796" s="21">
        <f t="shared" si="59"/>
        <v>1.77162629757785</v>
      </c>
    </row>
    <row r="1797" ht="14.4" spans="2:4">
      <c r="B1797" s="20">
        <v>7140</v>
      </c>
      <c r="C1797" s="21">
        <f t="shared" si="58"/>
        <v>4.9712000497733</v>
      </c>
      <c r="D1797" s="21">
        <f t="shared" si="59"/>
        <v>1.77239290350498</v>
      </c>
    </row>
    <row r="1798" ht="14.4" spans="2:4">
      <c r="B1798" s="20">
        <v>7144</v>
      </c>
      <c r="C1798" s="21">
        <f t="shared" si="58"/>
        <v>4.9749593615126</v>
      </c>
      <c r="D1798" s="21">
        <f t="shared" si="59"/>
        <v>1.77316017316017</v>
      </c>
    </row>
    <row r="1799" ht="14.4" spans="2:4">
      <c r="B1799" s="20">
        <v>7148</v>
      </c>
      <c r="C1799" s="21">
        <f t="shared" si="58"/>
        <v>4.97872030101196</v>
      </c>
      <c r="D1799" s="21">
        <f t="shared" si="59"/>
        <v>1.7739281074058</v>
      </c>
    </row>
    <row r="1800" ht="14.4" spans="2:4">
      <c r="B1800" s="20">
        <v>7152</v>
      </c>
      <c r="C1800" s="21">
        <f t="shared" si="58"/>
        <v>4.98248286968161</v>
      </c>
      <c r="D1800" s="21">
        <f t="shared" si="59"/>
        <v>1.77469670710572</v>
      </c>
    </row>
    <row r="1801" ht="14.4" spans="2:4">
      <c r="B1801" s="20">
        <v>7156</v>
      </c>
      <c r="C1801" s="21">
        <f t="shared" si="58"/>
        <v>4.98624706893362</v>
      </c>
      <c r="D1801" s="21">
        <f t="shared" si="59"/>
        <v>1.77546597312527</v>
      </c>
    </row>
    <row r="1802" ht="14.4" spans="2:4">
      <c r="B1802" s="20">
        <v>7160</v>
      </c>
      <c r="C1802" s="21">
        <f t="shared" si="58"/>
        <v>4.99001290018188</v>
      </c>
      <c r="D1802" s="21">
        <f t="shared" si="59"/>
        <v>1.77623590633131</v>
      </c>
    </row>
    <row r="1803" ht="14.4" spans="2:4">
      <c r="B1803" s="20">
        <v>7164</v>
      </c>
      <c r="C1803" s="21">
        <f t="shared" si="58"/>
        <v>4.99378036484215</v>
      </c>
      <c r="D1803" s="21">
        <f t="shared" si="59"/>
        <v>1.77700650759219</v>
      </c>
    </row>
    <row r="1804" ht="14.4" spans="2:4">
      <c r="B1804" s="20">
        <v>7168</v>
      </c>
      <c r="C1804" s="21">
        <f t="shared" si="58"/>
        <v>4.997549464332</v>
      </c>
      <c r="D1804" s="21">
        <f t="shared" si="59"/>
        <v>1.77777777777778</v>
      </c>
    </row>
    <row r="1805" ht="14.4" spans="2:4">
      <c r="B1805" s="20">
        <v>7172</v>
      </c>
      <c r="C1805" s="21">
        <f t="shared" ref="C1805:C1868" si="60">20*LOG(D1805)</f>
        <v>5.00132020007086</v>
      </c>
      <c r="D1805" s="21">
        <f t="shared" ref="D1805:D1868" si="61">16384/(16384-B1805)</f>
        <v>1.77854971775944</v>
      </c>
    </row>
    <row r="1806" ht="14.4" spans="2:4">
      <c r="B1806" s="20">
        <v>7176</v>
      </c>
      <c r="C1806" s="21">
        <f t="shared" si="60"/>
        <v>5.00509257348003</v>
      </c>
      <c r="D1806" s="21">
        <f t="shared" si="61"/>
        <v>1.77932232841008</v>
      </c>
    </row>
    <row r="1807" ht="14.4" spans="2:4">
      <c r="B1807" s="20">
        <v>7180</v>
      </c>
      <c r="C1807" s="21">
        <f t="shared" si="60"/>
        <v>5.00886658598262</v>
      </c>
      <c r="D1807" s="21">
        <f t="shared" si="61"/>
        <v>1.78009561060409</v>
      </c>
    </row>
    <row r="1808" ht="14.4" spans="2:4">
      <c r="B1808" s="20">
        <v>7184</v>
      </c>
      <c r="C1808" s="21">
        <f t="shared" si="60"/>
        <v>5.01264223900363</v>
      </c>
      <c r="D1808" s="21">
        <f t="shared" si="61"/>
        <v>1.78086956521739</v>
      </c>
    </row>
    <row r="1809" ht="14.4" spans="2:4">
      <c r="B1809" s="20">
        <v>7188</v>
      </c>
      <c r="C1809" s="21">
        <f t="shared" si="60"/>
        <v>5.01641953396991</v>
      </c>
      <c r="D1809" s="21">
        <f t="shared" si="61"/>
        <v>1.78164419312745</v>
      </c>
    </row>
    <row r="1810" ht="14.4" spans="2:4">
      <c r="B1810" s="20">
        <v>7192</v>
      </c>
      <c r="C1810" s="21">
        <f t="shared" si="60"/>
        <v>5.02019847231016</v>
      </c>
      <c r="D1810" s="21">
        <f t="shared" si="61"/>
        <v>1.78241949521323</v>
      </c>
    </row>
    <row r="1811" ht="14.4" spans="2:4">
      <c r="B1811" s="20">
        <v>7196</v>
      </c>
      <c r="C1811" s="21">
        <f t="shared" si="60"/>
        <v>5.02397905545496</v>
      </c>
      <c r="D1811" s="21">
        <f t="shared" si="61"/>
        <v>1.78319547235525</v>
      </c>
    </row>
    <row r="1812" ht="14.4" spans="2:4">
      <c r="B1812" s="20">
        <v>7200</v>
      </c>
      <c r="C1812" s="21">
        <f t="shared" si="60"/>
        <v>5.02776128483677</v>
      </c>
      <c r="D1812" s="21">
        <f t="shared" si="61"/>
        <v>1.78397212543554</v>
      </c>
    </row>
    <row r="1813" ht="14.4" spans="2:4">
      <c r="B1813" s="20">
        <v>7204</v>
      </c>
      <c r="C1813" s="21">
        <f t="shared" si="60"/>
        <v>5.03154516188989</v>
      </c>
      <c r="D1813" s="21">
        <f t="shared" si="61"/>
        <v>1.78474945533769</v>
      </c>
    </row>
    <row r="1814" ht="14.4" spans="2:4">
      <c r="B1814" s="20">
        <v>7208</v>
      </c>
      <c r="C1814" s="21">
        <f t="shared" si="60"/>
        <v>5.03533068805051</v>
      </c>
      <c r="D1814" s="21">
        <f t="shared" si="61"/>
        <v>1.78552746294682</v>
      </c>
    </row>
    <row r="1815" ht="14.4" spans="2:4">
      <c r="B1815" s="20">
        <v>7212</v>
      </c>
      <c r="C1815" s="21">
        <f t="shared" si="60"/>
        <v>5.03911786475671</v>
      </c>
      <c r="D1815" s="21">
        <f t="shared" si="61"/>
        <v>1.78630614914959</v>
      </c>
    </row>
    <row r="1816" ht="14.4" spans="2:4">
      <c r="B1816" s="20">
        <v>7216</v>
      </c>
      <c r="C1816" s="21">
        <f t="shared" si="60"/>
        <v>5.04290669344844</v>
      </c>
      <c r="D1816" s="21">
        <f t="shared" si="61"/>
        <v>1.78708551483421</v>
      </c>
    </row>
    <row r="1817" ht="14.4" spans="2:4">
      <c r="B1817" s="20">
        <v>7220</v>
      </c>
      <c r="C1817" s="21">
        <f t="shared" si="60"/>
        <v>5.04669717556754</v>
      </c>
      <c r="D1817" s="21">
        <f t="shared" si="61"/>
        <v>1.78786556089044</v>
      </c>
    </row>
    <row r="1818" ht="14.4" spans="2:4">
      <c r="B1818" s="20">
        <v>7224</v>
      </c>
      <c r="C1818" s="21">
        <f t="shared" si="60"/>
        <v>5.05048931255773</v>
      </c>
      <c r="D1818" s="21">
        <f t="shared" si="61"/>
        <v>1.78864628820961</v>
      </c>
    </row>
    <row r="1819" ht="14.4" spans="2:4">
      <c r="B1819" s="20">
        <v>7228</v>
      </c>
      <c r="C1819" s="21">
        <f t="shared" si="60"/>
        <v>5.05428310586463</v>
      </c>
      <c r="D1819" s="21">
        <f t="shared" si="61"/>
        <v>1.78942769768458</v>
      </c>
    </row>
    <row r="1820" ht="14.4" spans="2:4">
      <c r="B1820" s="20">
        <v>7232</v>
      </c>
      <c r="C1820" s="21">
        <f t="shared" si="60"/>
        <v>5.05807855693575</v>
      </c>
      <c r="D1820" s="21">
        <f t="shared" si="61"/>
        <v>1.79020979020979</v>
      </c>
    </row>
    <row r="1821" ht="14.4" spans="2:4">
      <c r="B1821" s="20">
        <v>7236</v>
      </c>
      <c r="C1821" s="21">
        <f t="shared" si="60"/>
        <v>5.06187566722052</v>
      </c>
      <c r="D1821" s="21">
        <f t="shared" si="61"/>
        <v>1.79099256668124</v>
      </c>
    </row>
    <row r="1822" ht="14.4" spans="2:4">
      <c r="B1822" s="20">
        <v>7240</v>
      </c>
      <c r="C1822" s="21">
        <f t="shared" si="60"/>
        <v>5.06567443817023</v>
      </c>
      <c r="D1822" s="21">
        <f t="shared" si="61"/>
        <v>1.7917760279965</v>
      </c>
    </row>
    <row r="1823" ht="14.4" spans="2:4">
      <c r="B1823" s="20">
        <v>7244</v>
      </c>
      <c r="C1823" s="21">
        <f t="shared" si="60"/>
        <v>5.06947487123811</v>
      </c>
      <c r="D1823" s="21">
        <f t="shared" si="61"/>
        <v>1.7925601750547</v>
      </c>
    </row>
    <row r="1824" ht="14.4" spans="2:4">
      <c r="B1824" s="20">
        <v>7248</v>
      </c>
      <c r="C1824" s="21">
        <f t="shared" si="60"/>
        <v>5.07327696787928</v>
      </c>
      <c r="D1824" s="21">
        <f t="shared" si="61"/>
        <v>1.79334500875657</v>
      </c>
    </row>
    <row r="1825" ht="14.4" spans="2:4">
      <c r="B1825" s="20">
        <v>7252</v>
      </c>
      <c r="C1825" s="21">
        <f t="shared" si="60"/>
        <v>5.07708072955078</v>
      </c>
      <c r="D1825" s="21">
        <f t="shared" si="61"/>
        <v>1.79413053000438</v>
      </c>
    </row>
    <row r="1826" ht="14.4" spans="2:4">
      <c r="B1826" s="20">
        <v>7256</v>
      </c>
      <c r="C1826" s="21">
        <f t="shared" si="60"/>
        <v>5.08088615771157</v>
      </c>
      <c r="D1826" s="21">
        <f t="shared" si="61"/>
        <v>1.79491673970202</v>
      </c>
    </row>
    <row r="1827" ht="14.4" spans="2:4">
      <c r="B1827" s="20">
        <v>7260</v>
      </c>
      <c r="C1827" s="21">
        <f t="shared" si="60"/>
        <v>5.08469325382252</v>
      </c>
      <c r="D1827" s="21">
        <f t="shared" si="61"/>
        <v>1.79570363875493</v>
      </c>
    </row>
    <row r="1828" ht="14.4" spans="2:4">
      <c r="B1828" s="20">
        <v>7264</v>
      </c>
      <c r="C1828" s="21">
        <f t="shared" si="60"/>
        <v>5.08850201934641</v>
      </c>
      <c r="D1828" s="21">
        <f t="shared" si="61"/>
        <v>1.79649122807018</v>
      </c>
    </row>
    <row r="1829" ht="14.4" spans="2:4">
      <c r="B1829" s="20">
        <v>7268</v>
      </c>
      <c r="C1829" s="21">
        <f t="shared" si="60"/>
        <v>5.09231245574798</v>
      </c>
      <c r="D1829" s="21">
        <f t="shared" si="61"/>
        <v>1.79727950855638</v>
      </c>
    </row>
    <row r="1830" ht="14.4" spans="2:4">
      <c r="B1830" s="20">
        <v>7272</v>
      </c>
      <c r="C1830" s="21">
        <f t="shared" si="60"/>
        <v>5.09612456449386</v>
      </c>
      <c r="D1830" s="21">
        <f t="shared" si="61"/>
        <v>1.79806848112379</v>
      </c>
    </row>
    <row r="1831" ht="14.4" spans="2:4">
      <c r="B1831" s="20">
        <v>7276</v>
      </c>
      <c r="C1831" s="21">
        <f t="shared" si="60"/>
        <v>5.09993834705263</v>
      </c>
      <c r="D1831" s="21">
        <f t="shared" si="61"/>
        <v>1.79885814668423</v>
      </c>
    </row>
    <row r="1832" ht="14.4" spans="2:4">
      <c r="B1832" s="20">
        <v>7280</v>
      </c>
      <c r="C1832" s="21">
        <f t="shared" si="60"/>
        <v>5.10375380489482</v>
      </c>
      <c r="D1832" s="21">
        <f t="shared" si="61"/>
        <v>1.79964850615114</v>
      </c>
    </row>
    <row r="1833" ht="14.4" spans="2:4">
      <c r="B1833" s="20">
        <v>7284</v>
      </c>
      <c r="C1833" s="21">
        <f t="shared" si="60"/>
        <v>5.10757093949286</v>
      </c>
      <c r="D1833" s="21">
        <f t="shared" si="61"/>
        <v>1.80043956043956</v>
      </c>
    </row>
    <row r="1834" ht="14.4" spans="2:4">
      <c r="B1834" s="20">
        <v>7288</v>
      </c>
      <c r="C1834" s="21">
        <f t="shared" si="60"/>
        <v>5.11138975232117</v>
      </c>
      <c r="D1834" s="21">
        <f t="shared" si="61"/>
        <v>1.80123131046614</v>
      </c>
    </row>
    <row r="1835" ht="14.4" spans="2:4">
      <c r="B1835" s="20">
        <v>7292</v>
      </c>
      <c r="C1835" s="21">
        <f t="shared" si="60"/>
        <v>5.11521024485607</v>
      </c>
      <c r="D1835" s="21">
        <f t="shared" si="61"/>
        <v>1.80202375714914</v>
      </c>
    </row>
    <row r="1836" ht="14.4" spans="2:4">
      <c r="B1836" s="20">
        <v>7296</v>
      </c>
      <c r="C1836" s="21">
        <f t="shared" si="60"/>
        <v>5.11903241857586</v>
      </c>
      <c r="D1836" s="21">
        <f t="shared" si="61"/>
        <v>1.80281690140845</v>
      </c>
    </row>
    <row r="1837" ht="14.4" spans="2:4">
      <c r="B1837" s="20">
        <v>7300</v>
      </c>
      <c r="C1837" s="21">
        <f t="shared" si="60"/>
        <v>5.12285627496078</v>
      </c>
      <c r="D1837" s="21">
        <f t="shared" si="61"/>
        <v>1.80361074416557</v>
      </c>
    </row>
    <row r="1838" ht="14.4" spans="2:4">
      <c r="B1838" s="20">
        <v>7304</v>
      </c>
      <c r="C1838" s="21">
        <f t="shared" si="60"/>
        <v>5.12668181549303</v>
      </c>
      <c r="D1838" s="21">
        <f t="shared" si="61"/>
        <v>1.80440528634361</v>
      </c>
    </row>
    <row r="1839" ht="14.4" spans="2:4">
      <c r="B1839" s="20">
        <v>7308</v>
      </c>
      <c r="C1839" s="21">
        <f t="shared" si="60"/>
        <v>5.13050904165677</v>
      </c>
      <c r="D1839" s="21">
        <f t="shared" si="61"/>
        <v>1.80520052886734</v>
      </c>
    </row>
    <row r="1840" ht="14.4" spans="2:4">
      <c r="B1840" s="20">
        <v>7312</v>
      </c>
      <c r="C1840" s="21">
        <f t="shared" si="60"/>
        <v>5.13433795493811</v>
      </c>
      <c r="D1840" s="21">
        <f t="shared" si="61"/>
        <v>1.80599647266314</v>
      </c>
    </row>
    <row r="1841" ht="14.4" spans="2:4">
      <c r="B1841" s="20">
        <v>7316</v>
      </c>
      <c r="C1841" s="21">
        <f t="shared" si="60"/>
        <v>5.13816855682514</v>
      </c>
      <c r="D1841" s="21">
        <f t="shared" si="61"/>
        <v>1.80679311865902</v>
      </c>
    </row>
    <row r="1842" ht="14.4" spans="2:4">
      <c r="B1842" s="20">
        <v>7320</v>
      </c>
      <c r="C1842" s="21">
        <f t="shared" si="60"/>
        <v>5.14200084880792</v>
      </c>
      <c r="D1842" s="21">
        <f t="shared" si="61"/>
        <v>1.80759046778464</v>
      </c>
    </row>
    <row r="1843" ht="14.4" spans="2:4">
      <c r="B1843" s="20">
        <v>7324</v>
      </c>
      <c r="C1843" s="21">
        <f t="shared" si="60"/>
        <v>5.14583483237847</v>
      </c>
      <c r="D1843" s="21">
        <f t="shared" si="61"/>
        <v>1.8083885209713</v>
      </c>
    </row>
    <row r="1844" ht="14.4" spans="2:4">
      <c r="B1844" s="20">
        <v>7328</v>
      </c>
      <c r="C1844" s="21">
        <f t="shared" si="60"/>
        <v>5.14967050903081</v>
      </c>
      <c r="D1844" s="21">
        <f t="shared" si="61"/>
        <v>1.80918727915194</v>
      </c>
    </row>
    <row r="1845" ht="14.4" spans="2:4">
      <c r="B1845" s="20">
        <v>7332</v>
      </c>
      <c r="C1845" s="21">
        <f t="shared" si="60"/>
        <v>5.15350788026092</v>
      </c>
      <c r="D1845" s="21">
        <f t="shared" si="61"/>
        <v>1.80998674326116</v>
      </c>
    </row>
    <row r="1846" ht="14.4" spans="2:4">
      <c r="B1846" s="20">
        <v>7336</v>
      </c>
      <c r="C1846" s="21">
        <f t="shared" si="60"/>
        <v>5.15734694756676</v>
      </c>
      <c r="D1846" s="21">
        <f t="shared" si="61"/>
        <v>1.81078691423519</v>
      </c>
    </row>
    <row r="1847" ht="14.4" spans="2:4">
      <c r="B1847" s="20">
        <v>7340</v>
      </c>
      <c r="C1847" s="21">
        <f t="shared" si="60"/>
        <v>5.16118771244829</v>
      </c>
      <c r="D1847" s="21">
        <f t="shared" si="61"/>
        <v>1.81158779301194</v>
      </c>
    </row>
    <row r="1848" ht="14.4" spans="2:4">
      <c r="B1848" s="20">
        <v>7344</v>
      </c>
      <c r="C1848" s="21">
        <f t="shared" si="60"/>
        <v>5.16503017640747</v>
      </c>
      <c r="D1848" s="21">
        <f t="shared" si="61"/>
        <v>1.81238938053097</v>
      </c>
    </row>
    <row r="1849" ht="14.4" spans="2:4">
      <c r="B1849" s="20">
        <v>7348</v>
      </c>
      <c r="C1849" s="21">
        <f t="shared" si="60"/>
        <v>5.16887434094823</v>
      </c>
      <c r="D1849" s="21">
        <f t="shared" si="61"/>
        <v>1.81319167773351</v>
      </c>
    </row>
    <row r="1850" ht="14.4" spans="2:4">
      <c r="B1850" s="20">
        <v>7352</v>
      </c>
      <c r="C1850" s="21">
        <f t="shared" si="60"/>
        <v>5.17272020757651</v>
      </c>
      <c r="D1850" s="21">
        <f t="shared" si="61"/>
        <v>1.81399468556244</v>
      </c>
    </row>
    <row r="1851" ht="14.4" spans="2:4">
      <c r="B1851" s="20">
        <v>7356</v>
      </c>
      <c r="C1851" s="21">
        <f t="shared" si="60"/>
        <v>5.17656777780025</v>
      </c>
      <c r="D1851" s="21">
        <f t="shared" si="61"/>
        <v>1.81479840496234</v>
      </c>
    </row>
    <row r="1852" ht="14.4" spans="2:4">
      <c r="B1852" s="20">
        <v>7360</v>
      </c>
      <c r="C1852" s="21">
        <f t="shared" si="60"/>
        <v>5.18041705312939</v>
      </c>
      <c r="D1852" s="21">
        <f t="shared" si="61"/>
        <v>1.81560283687943</v>
      </c>
    </row>
    <row r="1853" ht="14.4" spans="2:4">
      <c r="B1853" s="20">
        <v>7364</v>
      </c>
      <c r="C1853" s="21">
        <f t="shared" si="60"/>
        <v>5.1842680350759</v>
      </c>
      <c r="D1853" s="21">
        <f t="shared" si="61"/>
        <v>1.81640798226164</v>
      </c>
    </row>
    <row r="1854" ht="14.4" spans="2:4">
      <c r="B1854" s="20">
        <v>7368</v>
      </c>
      <c r="C1854" s="21">
        <f t="shared" si="60"/>
        <v>5.18812072515373</v>
      </c>
      <c r="D1854" s="21">
        <f t="shared" si="61"/>
        <v>1.81721384205856</v>
      </c>
    </row>
    <row r="1855" ht="14.4" spans="2:4">
      <c r="B1855" s="20">
        <v>7372</v>
      </c>
      <c r="C1855" s="21">
        <f t="shared" si="60"/>
        <v>5.19197512487887</v>
      </c>
      <c r="D1855" s="21">
        <f t="shared" si="61"/>
        <v>1.81802041722148</v>
      </c>
    </row>
    <row r="1856" ht="14.4" spans="2:4">
      <c r="B1856" s="20">
        <v>7376</v>
      </c>
      <c r="C1856" s="21">
        <f t="shared" si="60"/>
        <v>5.19583123576932</v>
      </c>
      <c r="D1856" s="21">
        <f t="shared" si="61"/>
        <v>1.81882770870337</v>
      </c>
    </row>
    <row r="1857" ht="14.4" spans="2:4">
      <c r="B1857" s="20">
        <v>7380</v>
      </c>
      <c r="C1857" s="21">
        <f t="shared" si="60"/>
        <v>5.19968905934509</v>
      </c>
      <c r="D1857" s="21">
        <f t="shared" si="61"/>
        <v>1.81963571745891</v>
      </c>
    </row>
    <row r="1858" ht="14.4" spans="2:4">
      <c r="B1858" s="20">
        <v>7384</v>
      </c>
      <c r="C1858" s="21">
        <f t="shared" si="60"/>
        <v>5.20354859712824</v>
      </c>
      <c r="D1858" s="21">
        <f t="shared" si="61"/>
        <v>1.82044444444444</v>
      </c>
    </row>
    <row r="1859" ht="14.4" spans="2:4">
      <c r="B1859" s="20">
        <v>7388</v>
      </c>
      <c r="C1859" s="21">
        <f t="shared" si="60"/>
        <v>5.20740985064284</v>
      </c>
      <c r="D1859" s="21">
        <f t="shared" si="61"/>
        <v>1.82125389061805</v>
      </c>
    </row>
    <row r="1860" ht="14.4" spans="2:4">
      <c r="B1860" s="20">
        <v>7392</v>
      </c>
      <c r="C1860" s="21">
        <f t="shared" si="60"/>
        <v>5.21127282141502</v>
      </c>
      <c r="D1860" s="21">
        <f t="shared" si="61"/>
        <v>1.8220640569395</v>
      </c>
    </row>
    <row r="1861" ht="14.4" spans="2:4">
      <c r="B1861" s="20">
        <v>7396</v>
      </c>
      <c r="C1861" s="21">
        <f t="shared" si="60"/>
        <v>5.21513751097291</v>
      </c>
      <c r="D1861" s="21">
        <f t="shared" si="61"/>
        <v>1.82287494437027</v>
      </c>
    </row>
    <row r="1862" ht="14.4" spans="2:4">
      <c r="B1862" s="20">
        <v>7400</v>
      </c>
      <c r="C1862" s="21">
        <f t="shared" si="60"/>
        <v>5.21900392084671</v>
      </c>
      <c r="D1862" s="21">
        <f t="shared" si="61"/>
        <v>1.82368655387355</v>
      </c>
    </row>
    <row r="1863" ht="14.4" spans="2:4">
      <c r="B1863" s="20">
        <v>7404</v>
      </c>
      <c r="C1863" s="21">
        <f t="shared" si="60"/>
        <v>5.22287205256865</v>
      </c>
      <c r="D1863" s="21">
        <f t="shared" si="61"/>
        <v>1.82449888641425</v>
      </c>
    </row>
    <row r="1864" ht="14.4" spans="2:4">
      <c r="B1864" s="20">
        <v>7408</v>
      </c>
      <c r="C1864" s="21">
        <f t="shared" si="60"/>
        <v>5.22674190767301</v>
      </c>
      <c r="D1864" s="21">
        <f t="shared" si="61"/>
        <v>1.825311942959</v>
      </c>
    </row>
    <row r="1865" ht="14.4" spans="2:4">
      <c r="B1865" s="20">
        <v>7412</v>
      </c>
      <c r="C1865" s="21">
        <f t="shared" si="60"/>
        <v>5.23061348769613</v>
      </c>
      <c r="D1865" s="21">
        <f t="shared" si="61"/>
        <v>1.82612572447615</v>
      </c>
    </row>
    <row r="1866" ht="14.4" spans="2:4">
      <c r="B1866" s="20">
        <v>7416</v>
      </c>
      <c r="C1866" s="21">
        <f t="shared" si="60"/>
        <v>5.2344867941764</v>
      </c>
      <c r="D1866" s="21">
        <f t="shared" si="61"/>
        <v>1.82694023193577</v>
      </c>
    </row>
    <row r="1867" ht="14.4" spans="2:4">
      <c r="B1867" s="20">
        <v>7420</v>
      </c>
      <c r="C1867" s="21">
        <f t="shared" si="60"/>
        <v>5.23836182865426</v>
      </c>
      <c r="D1867" s="21">
        <f t="shared" si="61"/>
        <v>1.82775546630968</v>
      </c>
    </row>
    <row r="1868" ht="14.4" spans="2:4">
      <c r="B1868" s="20">
        <v>7424</v>
      </c>
      <c r="C1868" s="21">
        <f t="shared" si="60"/>
        <v>5.24223859267223</v>
      </c>
      <c r="D1868" s="21">
        <f t="shared" si="61"/>
        <v>1.82857142857143</v>
      </c>
    </row>
    <row r="1869" ht="14.4" spans="2:4">
      <c r="B1869" s="20">
        <v>7428</v>
      </c>
      <c r="C1869" s="21">
        <f t="shared" ref="C1869:C1932" si="62">20*LOG(D1869)</f>
        <v>5.24611708777488</v>
      </c>
      <c r="D1869" s="21">
        <f t="shared" ref="D1869:D1932" si="63">16384/(16384-B1869)</f>
        <v>1.82938811969629</v>
      </c>
    </row>
    <row r="1870" ht="14.4" spans="2:4">
      <c r="B1870" s="20">
        <v>7432</v>
      </c>
      <c r="C1870" s="21">
        <f t="shared" si="62"/>
        <v>5.24999731550886</v>
      </c>
      <c r="D1870" s="21">
        <f t="shared" si="63"/>
        <v>1.8302055406613</v>
      </c>
    </row>
    <row r="1871" ht="14.4" spans="2:4">
      <c r="B1871" s="20">
        <v>7436</v>
      </c>
      <c r="C1871" s="21">
        <f t="shared" si="62"/>
        <v>5.25387927742289</v>
      </c>
      <c r="D1871" s="21">
        <f t="shared" si="63"/>
        <v>1.83102369244524</v>
      </c>
    </row>
    <row r="1872" ht="14.4" spans="2:4">
      <c r="B1872" s="20">
        <v>7440</v>
      </c>
      <c r="C1872" s="21">
        <f t="shared" si="62"/>
        <v>5.25776297506777</v>
      </c>
      <c r="D1872" s="21">
        <f t="shared" si="63"/>
        <v>1.83184257602862</v>
      </c>
    </row>
    <row r="1873" ht="14.4" spans="2:4">
      <c r="B1873" s="20">
        <v>7444</v>
      </c>
      <c r="C1873" s="21">
        <f t="shared" si="62"/>
        <v>5.26164840999638</v>
      </c>
      <c r="D1873" s="21">
        <f t="shared" si="63"/>
        <v>1.83266219239374</v>
      </c>
    </row>
    <row r="1874" ht="14.4" spans="2:4">
      <c r="B1874" s="20">
        <v>7448</v>
      </c>
      <c r="C1874" s="21">
        <f t="shared" si="62"/>
        <v>5.26553558376368</v>
      </c>
      <c r="D1874" s="21">
        <f t="shared" si="63"/>
        <v>1.83348254252462</v>
      </c>
    </row>
    <row r="1875" ht="14.4" spans="2:4">
      <c r="B1875" s="20">
        <v>7452</v>
      </c>
      <c r="C1875" s="21">
        <f t="shared" si="62"/>
        <v>5.26942449792673</v>
      </c>
      <c r="D1875" s="21">
        <f t="shared" si="63"/>
        <v>1.83430362740708</v>
      </c>
    </row>
    <row r="1876" ht="14.4" spans="2:4">
      <c r="B1876" s="20">
        <v>7456</v>
      </c>
      <c r="C1876" s="21">
        <f t="shared" si="62"/>
        <v>5.27331515404466</v>
      </c>
      <c r="D1876" s="21">
        <f t="shared" si="63"/>
        <v>1.83512544802867</v>
      </c>
    </row>
    <row r="1877" ht="14.4" spans="2:4">
      <c r="B1877" s="20">
        <v>7460</v>
      </c>
      <c r="C1877" s="21">
        <f t="shared" si="62"/>
        <v>5.27720755367873</v>
      </c>
      <c r="D1877" s="21">
        <f t="shared" si="63"/>
        <v>1.83594800537875</v>
      </c>
    </row>
    <row r="1878" ht="14.4" spans="2:4">
      <c r="B1878" s="20">
        <v>7464</v>
      </c>
      <c r="C1878" s="21">
        <f t="shared" si="62"/>
        <v>5.28110169839227</v>
      </c>
      <c r="D1878" s="21">
        <f t="shared" si="63"/>
        <v>1.83677130044843</v>
      </c>
    </row>
    <row r="1879" ht="14.4" spans="2:4">
      <c r="B1879" s="20">
        <v>7468</v>
      </c>
      <c r="C1879" s="21">
        <f t="shared" si="62"/>
        <v>5.28499758975073</v>
      </c>
      <c r="D1879" s="21">
        <f t="shared" si="63"/>
        <v>1.8375953342306</v>
      </c>
    </row>
    <row r="1880" ht="14.4" spans="2:4">
      <c r="B1880" s="20">
        <v>7472</v>
      </c>
      <c r="C1880" s="21">
        <f t="shared" si="62"/>
        <v>5.28889522932166</v>
      </c>
      <c r="D1880" s="21">
        <f t="shared" si="63"/>
        <v>1.83842010771993</v>
      </c>
    </row>
    <row r="1881" ht="14.4" spans="2:4">
      <c r="B1881" s="20">
        <v>7476</v>
      </c>
      <c r="C1881" s="21">
        <f t="shared" si="62"/>
        <v>5.29279461867472</v>
      </c>
      <c r="D1881" s="21">
        <f t="shared" si="63"/>
        <v>1.83924562191289</v>
      </c>
    </row>
    <row r="1882" ht="14.4" spans="2:4">
      <c r="B1882" s="20">
        <v>7480</v>
      </c>
      <c r="C1882" s="21">
        <f t="shared" si="62"/>
        <v>5.2966957593817</v>
      </c>
      <c r="D1882" s="21">
        <f t="shared" si="63"/>
        <v>1.84007187780773</v>
      </c>
    </row>
    <row r="1883" ht="14.4" spans="2:4">
      <c r="B1883" s="20">
        <v>7484</v>
      </c>
      <c r="C1883" s="21">
        <f t="shared" si="62"/>
        <v>5.30059865301648</v>
      </c>
      <c r="D1883" s="21">
        <f t="shared" si="63"/>
        <v>1.84089887640449</v>
      </c>
    </row>
    <row r="1884" ht="14.4" spans="2:4">
      <c r="B1884" s="20">
        <v>7488</v>
      </c>
      <c r="C1884" s="21">
        <f t="shared" si="62"/>
        <v>5.30450330115509</v>
      </c>
      <c r="D1884" s="21">
        <f t="shared" si="63"/>
        <v>1.84172661870504</v>
      </c>
    </row>
    <row r="1885" ht="14.4" spans="2:4">
      <c r="B1885" s="20">
        <v>7492</v>
      </c>
      <c r="C1885" s="21">
        <f t="shared" si="62"/>
        <v>5.30840970537568</v>
      </c>
      <c r="D1885" s="21">
        <f t="shared" si="63"/>
        <v>1.842555105713</v>
      </c>
    </row>
    <row r="1886" ht="14.4" spans="2:4">
      <c r="B1886" s="20">
        <v>7496</v>
      </c>
      <c r="C1886" s="21">
        <f t="shared" si="62"/>
        <v>5.31231786725851</v>
      </c>
      <c r="D1886" s="21">
        <f t="shared" si="63"/>
        <v>1.84338433843384</v>
      </c>
    </row>
    <row r="1887" ht="14.4" spans="2:4">
      <c r="B1887" s="20">
        <v>7500</v>
      </c>
      <c r="C1887" s="21">
        <f t="shared" si="62"/>
        <v>5.31622778838601</v>
      </c>
      <c r="D1887" s="21">
        <f t="shared" si="63"/>
        <v>1.84421431787483</v>
      </c>
    </row>
    <row r="1888" ht="14.4" spans="2:4">
      <c r="B1888" s="20">
        <v>7504</v>
      </c>
      <c r="C1888" s="21">
        <f t="shared" si="62"/>
        <v>5.32013947034271</v>
      </c>
      <c r="D1888" s="21">
        <f t="shared" si="63"/>
        <v>1.84504504504505</v>
      </c>
    </row>
    <row r="1889" ht="14.4" spans="2:4">
      <c r="B1889" s="20">
        <v>7508</v>
      </c>
      <c r="C1889" s="21">
        <f t="shared" si="62"/>
        <v>5.32405291471532</v>
      </c>
      <c r="D1889" s="21">
        <f t="shared" si="63"/>
        <v>1.84587652095539</v>
      </c>
    </row>
    <row r="1890" ht="14.4" spans="2:4">
      <c r="B1890" s="20">
        <v>7512</v>
      </c>
      <c r="C1890" s="21">
        <f t="shared" si="62"/>
        <v>5.32796812309266</v>
      </c>
      <c r="D1890" s="21">
        <f t="shared" si="63"/>
        <v>1.84670874661858</v>
      </c>
    </row>
    <row r="1891" ht="14.4" spans="2:4">
      <c r="B1891" s="20">
        <v>7516</v>
      </c>
      <c r="C1891" s="21">
        <f t="shared" si="62"/>
        <v>5.33188509706572</v>
      </c>
      <c r="D1891" s="21">
        <f t="shared" si="63"/>
        <v>1.84754172304917</v>
      </c>
    </row>
    <row r="1892" ht="14.4" spans="2:4">
      <c r="B1892" s="20">
        <v>7520</v>
      </c>
      <c r="C1892" s="21">
        <f t="shared" si="62"/>
        <v>5.33580383822764</v>
      </c>
      <c r="D1892" s="21">
        <f t="shared" si="63"/>
        <v>1.84837545126354</v>
      </c>
    </row>
    <row r="1893" ht="14.4" spans="2:4">
      <c r="B1893" s="20">
        <v>7524</v>
      </c>
      <c r="C1893" s="21">
        <f t="shared" si="62"/>
        <v>5.33972434817372</v>
      </c>
      <c r="D1893" s="21">
        <f t="shared" si="63"/>
        <v>1.84920993227991</v>
      </c>
    </row>
    <row r="1894" ht="14.4" spans="2:4">
      <c r="B1894" s="20">
        <v>7528</v>
      </c>
      <c r="C1894" s="21">
        <f t="shared" si="62"/>
        <v>5.34364662850141</v>
      </c>
      <c r="D1894" s="21">
        <f t="shared" si="63"/>
        <v>1.85004516711834</v>
      </c>
    </row>
    <row r="1895" ht="14.4" spans="2:4">
      <c r="B1895" s="20">
        <v>7532</v>
      </c>
      <c r="C1895" s="21">
        <f t="shared" si="62"/>
        <v>5.34757068081033</v>
      </c>
      <c r="D1895" s="21">
        <f t="shared" si="63"/>
        <v>1.85088115680072</v>
      </c>
    </row>
    <row r="1896" ht="14.4" spans="2:4">
      <c r="B1896" s="20">
        <v>7536</v>
      </c>
      <c r="C1896" s="21">
        <f t="shared" si="62"/>
        <v>5.35149650670227</v>
      </c>
      <c r="D1896" s="21">
        <f t="shared" si="63"/>
        <v>1.85171790235081</v>
      </c>
    </row>
    <row r="1897" ht="14.4" spans="2:4">
      <c r="B1897" s="20">
        <v>7540</v>
      </c>
      <c r="C1897" s="21">
        <f t="shared" si="62"/>
        <v>5.35542410778121</v>
      </c>
      <c r="D1897" s="21">
        <f t="shared" si="63"/>
        <v>1.85255540479421</v>
      </c>
    </row>
    <row r="1898" ht="14.4" spans="2:4">
      <c r="B1898" s="20">
        <v>7544</v>
      </c>
      <c r="C1898" s="21">
        <f t="shared" si="62"/>
        <v>5.35935348565327</v>
      </c>
      <c r="D1898" s="21">
        <f t="shared" si="63"/>
        <v>1.85339366515837</v>
      </c>
    </row>
    <row r="1899" ht="14.4" spans="2:4">
      <c r="B1899" s="20">
        <v>7548</v>
      </c>
      <c r="C1899" s="21">
        <f t="shared" si="62"/>
        <v>5.36328464192679</v>
      </c>
      <c r="D1899" s="21">
        <f t="shared" si="63"/>
        <v>1.85423268447261</v>
      </c>
    </row>
    <row r="1900" ht="14.4" spans="2:4">
      <c r="B1900" s="20">
        <v>7552</v>
      </c>
      <c r="C1900" s="21">
        <f t="shared" si="62"/>
        <v>5.36721757821226</v>
      </c>
      <c r="D1900" s="21">
        <f t="shared" si="63"/>
        <v>1.85507246376812</v>
      </c>
    </row>
    <row r="1901" ht="14.4" spans="2:4">
      <c r="B1901" s="20">
        <v>7556</v>
      </c>
      <c r="C1901" s="21">
        <f t="shared" si="62"/>
        <v>5.37115229612239</v>
      </c>
      <c r="D1901" s="21">
        <f t="shared" si="63"/>
        <v>1.85591300407793</v>
      </c>
    </row>
    <row r="1902" ht="14.4" spans="2:4">
      <c r="B1902" s="20">
        <v>7560</v>
      </c>
      <c r="C1902" s="21">
        <f t="shared" si="62"/>
        <v>5.37508879727205</v>
      </c>
      <c r="D1902" s="21">
        <f t="shared" si="63"/>
        <v>1.85675430643699</v>
      </c>
    </row>
    <row r="1903" ht="14.4" spans="2:4">
      <c r="B1903" s="20">
        <v>7564</v>
      </c>
      <c r="C1903" s="21">
        <f t="shared" si="62"/>
        <v>5.37902708327834</v>
      </c>
      <c r="D1903" s="21">
        <f t="shared" si="63"/>
        <v>1.85759637188209</v>
      </c>
    </row>
    <row r="1904" ht="14.4" spans="2:4">
      <c r="B1904" s="20">
        <v>7568</v>
      </c>
      <c r="C1904" s="21">
        <f t="shared" si="62"/>
        <v>5.38296715576054</v>
      </c>
      <c r="D1904" s="21">
        <f t="shared" si="63"/>
        <v>1.85843920145191</v>
      </c>
    </row>
    <row r="1905" ht="14.4" spans="2:4">
      <c r="B1905" s="20">
        <v>7572</v>
      </c>
      <c r="C1905" s="21">
        <f t="shared" si="62"/>
        <v>5.38690901634013</v>
      </c>
      <c r="D1905" s="21">
        <f t="shared" si="63"/>
        <v>1.85928279618702</v>
      </c>
    </row>
    <row r="1906" ht="14.4" spans="2:4">
      <c r="B1906" s="20">
        <v>7576</v>
      </c>
      <c r="C1906" s="21">
        <f t="shared" si="62"/>
        <v>5.39085266664083</v>
      </c>
      <c r="D1906" s="21">
        <f t="shared" si="63"/>
        <v>1.86012715712988</v>
      </c>
    </row>
    <row r="1907" ht="14.4" spans="2:4">
      <c r="B1907" s="20">
        <v>7580</v>
      </c>
      <c r="C1907" s="21">
        <f t="shared" si="62"/>
        <v>5.39479810828853</v>
      </c>
      <c r="D1907" s="21">
        <f t="shared" si="63"/>
        <v>1.86097228532485</v>
      </c>
    </row>
    <row r="1908" ht="14.4" spans="2:4">
      <c r="B1908" s="20">
        <v>7584</v>
      </c>
      <c r="C1908" s="21">
        <f t="shared" si="62"/>
        <v>5.39874534291136</v>
      </c>
      <c r="D1908" s="21">
        <f t="shared" si="63"/>
        <v>1.86181818181818</v>
      </c>
    </row>
    <row r="1909" ht="14.4" spans="2:4">
      <c r="B1909" s="20">
        <v>7588</v>
      </c>
      <c r="C1909" s="21">
        <f t="shared" si="62"/>
        <v>5.40269437213968</v>
      </c>
      <c r="D1909" s="21">
        <f t="shared" si="63"/>
        <v>1.86266484765803</v>
      </c>
    </row>
    <row r="1910" ht="14.4" spans="2:4">
      <c r="B1910" s="20">
        <v>7592</v>
      </c>
      <c r="C1910" s="21">
        <f t="shared" si="62"/>
        <v>5.40664519760605</v>
      </c>
      <c r="D1910" s="21">
        <f t="shared" si="63"/>
        <v>1.86351228389445</v>
      </c>
    </row>
    <row r="1911" ht="14.4" spans="2:4">
      <c r="B1911" s="20">
        <v>7596</v>
      </c>
      <c r="C1911" s="21">
        <f t="shared" si="62"/>
        <v>5.41059782094528</v>
      </c>
      <c r="D1911" s="21">
        <f t="shared" si="63"/>
        <v>1.86436049157943</v>
      </c>
    </row>
    <row r="1912" ht="14.4" spans="2:4">
      <c r="B1912" s="20">
        <v>7600</v>
      </c>
      <c r="C1912" s="21">
        <f t="shared" si="62"/>
        <v>5.4145522437944</v>
      </c>
      <c r="D1912" s="21">
        <f t="shared" si="63"/>
        <v>1.86520947176685</v>
      </c>
    </row>
    <row r="1913" ht="14.4" spans="2:4">
      <c r="B1913" s="20">
        <v>7604</v>
      </c>
      <c r="C1913" s="21">
        <f t="shared" si="62"/>
        <v>5.41850846779268</v>
      </c>
      <c r="D1913" s="21">
        <f t="shared" si="63"/>
        <v>1.86605922551253</v>
      </c>
    </row>
    <row r="1914" ht="14.4" spans="2:4">
      <c r="B1914" s="20">
        <v>7608</v>
      </c>
      <c r="C1914" s="21">
        <f t="shared" si="62"/>
        <v>5.42246649458164</v>
      </c>
      <c r="D1914" s="21">
        <f t="shared" si="63"/>
        <v>1.8669097538742</v>
      </c>
    </row>
    <row r="1915" ht="14.4" spans="2:4">
      <c r="B1915" s="20">
        <v>7612</v>
      </c>
      <c r="C1915" s="21">
        <f t="shared" si="62"/>
        <v>5.42642632580503</v>
      </c>
      <c r="D1915" s="21">
        <f t="shared" si="63"/>
        <v>1.86776105791154</v>
      </c>
    </row>
    <row r="1916" ht="14.4" spans="2:4">
      <c r="B1916" s="20">
        <v>7616</v>
      </c>
      <c r="C1916" s="21">
        <f t="shared" si="62"/>
        <v>5.43038796310886</v>
      </c>
      <c r="D1916" s="21">
        <f t="shared" si="63"/>
        <v>1.86861313868613</v>
      </c>
    </row>
    <row r="1917" ht="14.4" spans="2:4">
      <c r="B1917" s="20">
        <v>7620</v>
      </c>
      <c r="C1917" s="21">
        <f t="shared" si="62"/>
        <v>5.43435140814138</v>
      </c>
      <c r="D1917" s="21">
        <f t="shared" si="63"/>
        <v>1.86946599726152</v>
      </c>
    </row>
    <row r="1918" ht="14.4" spans="2:4">
      <c r="B1918" s="20">
        <v>7624</v>
      </c>
      <c r="C1918" s="21">
        <f t="shared" si="62"/>
        <v>5.43831666255312</v>
      </c>
      <c r="D1918" s="21">
        <f t="shared" si="63"/>
        <v>1.8703196347032</v>
      </c>
    </row>
    <row r="1919" ht="14.4" spans="2:4">
      <c r="B1919" s="20">
        <v>7628</v>
      </c>
      <c r="C1919" s="21">
        <f t="shared" si="62"/>
        <v>5.44228372799685</v>
      </c>
      <c r="D1919" s="21">
        <f t="shared" si="63"/>
        <v>1.87117405207857</v>
      </c>
    </row>
    <row r="1920" ht="14.4" spans="2:4">
      <c r="B1920" s="20">
        <v>7632</v>
      </c>
      <c r="C1920" s="21">
        <f t="shared" si="62"/>
        <v>5.44625260612762</v>
      </c>
      <c r="D1920" s="21">
        <f t="shared" si="63"/>
        <v>1.87202925045704</v>
      </c>
    </row>
    <row r="1921" ht="14.4" spans="2:4">
      <c r="B1921" s="20">
        <v>7636</v>
      </c>
      <c r="C1921" s="21">
        <f t="shared" si="62"/>
        <v>5.45022329860275</v>
      </c>
      <c r="D1921" s="21">
        <f t="shared" si="63"/>
        <v>1.87288523090992</v>
      </c>
    </row>
    <row r="1922" ht="14.4" spans="2:4">
      <c r="B1922" s="20">
        <v>7640</v>
      </c>
      <c r="C1922" s="21">
        <f t="shared" si="62"/>
        <v>5.45419580708181</v>
      </c>
      <c r="D1922" s="21">
        <f t="shared" si="63"/>
        <v>1.87374199451052</v>
      </c>
    </row>
    <row r="1923" ht="14.4" spans="2:4">
      <c r="B1923" s="20">
        <v>7644</v>
      </c>
      <c r="C1923" s="21">
        <f t="shared" si="62"/>
        <v>5.45817013322667</v>
      </c>
      <c r="D1923" s="21">
        <f t="shared" si="63"/>
        <v>1.8745995423341</v>
      </c>
    </row>
    <row r="1924" ht="14.4" spans="2:4">
      <c r="B1924" s="20">
        <v>7648</v>
      </c>
      <c r="C1924" s="21">
        <f t="shared" si="62"/>
        <v>5.46214627870149</v>
      </c>
      <c r="D1924" s="21">
        <f t="shared" si="63"/>
        <v>1.87545787545788</v>
      </c>
    </row>
    <row r="1925" ht="14.4" spans="2:4">
      <c r="B1925" s="20">
        <v>7652</v>
      </c>
      <c r="C1925" s="21">
        <f t="shared" si="62"/>
        <v>5.4661242451727</v>
      </c>
      <c r="D1925" s="21">
        <f t="shared" si="63"/>
        <v>1.87631699496106</v>
      </c>
    </row>
    <row r="1926" ht="14.4" spans="2:4">
      <c r="B1926" s="20">
        <v>7656</v>
      </c>
      <c r="C1926" s="21">
        <f t="shared" si="62"/>
        <v>5.47010403430903</v>
      </c>
      <c r="D1926" s="21">
        <f t="shared" si="63"/>
        <v>1.87717690192484</v>
      </c>
    </row>
    <row r="1927" ht="14.4" spans="2:4">
      <c r="B1927" s="20">
        <v>7660</v>
      </c>
      <c r="C1927" s="21">
        <f t="shared" si="62"/>
        <v>5.47408564778148</v>
      </c>
      <c r="D1927" s="21">
        <f t="shared" si="63"/>
        <v>1.87803759743237</v>
      </c>
    </row>
    <row r="1928" ht="14.4" spans="2:4">
      <c r="B1928" s="20">
        <v>7664</v>
      </c>
      <c r="C1928" s="21">
        <f t="shared" si="62"/>
        <v>5.47806908726339</v>
      </c>
      <c r="D1928" s="21">
        <f t="shared" si="63"/>
        <v>1.87889908256881</v>
      </c>
    </row>
    <row r="1929" ht="14.4" spans="2:4">
      <c r="B1929" s="20">
        <v>7668</v>
      </c>
      <c r="C1929" s="21">
        <f t="shared" si="62"/>
        <v>5.48205435443037</v>
      </c>
      <c r="D1929" s="21">
        <f t="shared" si="63"/>
        <v>1.87976135842129</v>
      </c>
    </row>
    <row r="1930" ht="14.4" spans="2:4">
      <c r="B1930" s="20">
        <v>7672</v>
      </c>
      <c r="C1930" s="21">
        <f t="shared" si="62"/>
        <v>5.48604145096036</v>
      </c>
      <c r="D1930" s="21">
        <f t="shared" si="63"/>
        <v>1.88062442607897</v>
      </c>
    </row>
    <row r="1931" ht="14.4" spans="2:4">
      <c r="B1931" s="20">
        <v>7676</v>
      </c>
      <c r="C1931" s="21">
        <f t="shared" si="62"/>
        <v>5.4900303785336</v>
      </c>
      <c r="D1931" s="21">
        <f t="shared" si="63"/>
        <v>1.88148828663298</v>
      </c>
    </row>
    <row r="1932" ht="14.4" spans="2:4">
      <c r="B1932" s="20">
        <v>7680</v>
      </c>
      <c r="C1932" s="21">
        <f t="shared" si="62"/>
        <v>5.49402113883264</v>
      </c>
      <c r="D1932" s="21">
        <f t="shared" si="63"/>
        <v>1.88235294117647</v>
      </c>
    </row>
    <row r="1933" ht="14.4" spans="2:4">
      <c r="B1933" s="20">
        <v>7684</v>
      </c>
      <c r="C1933" s="21">
        <f t="shared" ref="C1933:C1996" si="64">20*LOG(D1933)</f>
        <v>5.49801373354236</v>
      </c>
      <c r="D1933" s="21">
        <f t="shared" ref="D1933:D1996" si="65">16384/(16384-B1933)</f>
        <v>1.8832183908046</v>
      </c>
    </row>
    <row r="1934" ht="14.4" spans="2:4">
      <c r="B1934" s="20">
        <v>7688</v>
      </c>
      <c r="C1934" s="21">
        <f t="shared" si="64"/>
        <v>5.50200816434997</v>
      </c>
      <c r="D1934" s="21">
        <f t="shared" si="65"/>
        <v>1.88408463661454</v>
      </c>
    </row>
    <row r="1935" ht="14.4" spans="2:4">
      <c r="B1935" s="20">
        <v>7692</v>
      </c>
      <c r="C1935" s="21">
        <f t="shared" si="64"/>
        <v>5.506004432945</v>
      </c>
      <c r="D1935" s="21">
        <f t="shared" si="65"/>
        <v>1.88495167970548</v>
      </c>
    </row>
    <row r="1936" ht="14.4" spans="2:4">
      <c r="B1936" s="20">
        <v>7696</v>
      </c>
      <c r="C1936" s="21">
        <f t="shared" si="64"/>
        <v>5.5100025410193</v>
      </c>
      <c r="D1936" s="21">
        <f t="shared" si="65"/>
        <v>1.88581952117864</v>
      </c>
    </row>
    <row r="1937" ht="14.4" spans="2:4">
      <c r="B1937" s="20">
        <v>7700</v>
      </c>
      <c r="C1937" s="21">
        <f t="shared" si="64"/>
        <v>5.51400249026709</v>
      </c>
      <c r="D1937" s="21">
        <f t="shared" si="65"/>
        <v>1.88668816213726</v>
      </c>
    </row>
    <row r="1938" ht="14.4" spans="2:4">
      <c r="B1938" s="20">
        <v>7704</v>
      </c>
      <c r="C1938" s="21">
        <f t="shared" si="64"/>
        <v>5.5180042823849</v>
      </c>
      <c r="D1938" s="21">
        <f t="shared" si="65"/>
        <v>1.88755760368664</v>
      </c>
    </row>
    <row r="1939" ht="14.4" spans="2:4">
      <c r="B1939" s="20">
        <v>7708</v>
      </c>
      <c r="C1939" s="21">
        <f t="shared" si="64"/>
        <v>5.52200791907162</v>
      </c>
      <c r="D1939" s="21">
        <f t="shared" si="65"/>
        <v>1.88842784693407</v>
      </c>
    </row>
    <row r="1940" ht="14.4" spans="2:4">
      <c r="B1940" s="20">
        <v>7712</v>
      </c>
      <c r="C1940" s="21">
        <f t="shared" si="64"/>
        <v>5.5260134020285</v>
      </c>
      <c r="D1940" s="21">
        <f t="shared" si="65"/>
        <v>1.88929889298893</v>
      </c>
    </row>
    <row r="1941" ht="14.4" spans="2:4">
      <c r="B1941" s="20">
        <v>7716</v>
      </c>
      <c r="C1941" s="21">
        <f t="shared" si="64"/>
        <v>5.53002073295913</v>
      </c>
      <c r="D1941" s="21">
        <f t="shared" si="65"/>
        <v>1.89017074296262</v>
      </c>
    </row>
    <row r="1942" ht="14.4" spans="2:4">
      <c r="B1942" s="20">
        <v>7720</v>
      </c>
      <c r="C1942" s="21">
        <f t="shared" si="64"/>
        <v>5.53402991356946</v>
      </c>
      <c r="D1942" s="21">
        <f t="shared" si="65"/>
        <v>1.89104339796861</v>
      </c>
    </row>
    <row r="1943" ht="14.4" spans="2:4">
      <c r="B1943" s="20">
        <v>7724</v>
      </c>
      <c r="C1943" s="21">
        <f t="shared" si="64"/>
        <v>5.5380409455678</v>
      </c>
      <c r="D1943" s="21">
        <f t="shared" si="65"/>
        <v>1.8919168591224</v>
      </c>
    </row>
    <row r="1944" ht="14.4" spans="2:4">
      <c r="B1944" s="20">
        <v>7728</v>
      </c>
      <c r="C1944" s="21">
        <f t="shared" si="64"/>
        <v>5.54205383066485</v>
      </c>
      <c r="D1944" s="21">
        <f t="shared" si="65"/>
        <v>1.89279112754159</v>
      </c>
    </row>
    <row r="1945" ht="14.4" spans="2:4">
      <c r="B1945" s="20">
        <v>7732</v>
      </c>
      <c r="C1945" s="21">
        <f t="shared" si="64"/>
        <v>5.54606857057366</v>
      </c>
      <c r="D1945" s="21">
        <f t="shared" si="65"/>
        <v>1.89366620434582</v>
      </c>
    </row>
    <row r="1946" ht="14.4" spans="2:4">
      <c r="B1946" s="20">
        <v>7736</v>
      </c>
      <c r="C1946" s="21">
        <f t="shared" si="64"/>
        <v>5.55008516700966</v>
      </c>
      <c r="D1946" s="21">
        <f t="shared" si="65"/>
        <v>1.8945420906568</v>
      </c>
    </row>
    <row r="1947" ht="14.4" spans="2:4">
      <c r="B1947" s="20">
        <v>7740</v>
      </c>
      <c r="C1947" s="21">
        <f t="shared" si="64"/>
        <v>5.55410362169066</v>
      </c>
      <c r="D1947" s="21">
        <f t="shared" si="65"/>
        <v>1.89541878759833</v>
      </c>
    </row>
    <row r="1948" ht="14.4" spans="2:4">
      <c r="B1948" s="20">
        <v>7744</v>
      </c>
      <c r="C1948" s="21">
        <f t="shared" si="64"/>
        <v>5.55812393633687</v>
      </c>
      <c r="D1948" s="21">
        <f t="shared" si="65"/>
        <v>1.8962962962963</v>
      </c>
    </row>
    <row r="1949" ht="14.4" spans="2:4">
      <c r="B1949" s="20">
        <v>7748</v>
      </c>
      <c r="C1949" s="21">
        <f t="shared" si="64"/>
        <v>5.56214611267087</v>
      </c>
      <c r="D1949" s="21">
        <f t="shared" si="65"/>
        <v>1.89717461787865</v>
      </c>
    </row>
    <row r="1950" ht="14.4" spans="2:4">
      <c r="B1950" s="20">
        <v>7752</v>
      </c>
      <c r="C1950" s="21">
        <f t="shared" si="64"/>
        <v>5.56617015241765</v>
      </c>
      <c r="D1950" s="21">
        <f t="shared" si="65"/>
        <v>1.89805375347544</v>
      </c>
    </row>
    <row r="1951" ht="14.4" spans="2:4">
      <c r="B1951" s="20">
        <v>7756</v>
      </c>
      <c r="C1951" s="21">
        <f t="shared" si="64"/>
        <v>5.57019605730459</v>
      </c>
      <c r="D1951" s="21">
        <f t="shared" si="65"/>
        <v>1.89893370421882</v>
      </c>
    </row>
    <row r="1952" ht="14.4" spans="2:4">
      <c r="B1952" s="20">
        <v>7760</v>
      </c>
      <c r="C1952" s="21">
        <f t="shared" si="64"/>
        <v>5.57422382906147</v>
      </c>
      <c r="D1952" s="21">
        <f t="shared" si="65"/>
        <v>1.89981447124304</v>
      </c>
    </row>
    <row r="1953" ht="14.4" spans="2:4">
      <c r="B1953" s="20">
        <v>7764</v>
      </c>
      <c r="C1953" s="21">
        <f t="shared" si="64"/>
        <v>5.57825346942048</v>
      </c>
      <c r="D1953" s="21">
        <f t="shared" si="65"/>
        <v>1.90069605568445</v>
      </c>
    </row>
    <row r="1954" ht="14.4" spans="2:4">
      <c r="B1954" s="20">
        <v>7768</v>
      </c>
      <c r="C1954" s="21">
        <f t="shared" si="64"/>
        <v>5.58228498011623</v>
      </c>
      <c r="D1954" s="21">
        <f t="shared" si="65"/>
        <v>1.90157845868152</v>
      </c>
    </row>
    <row r="1955" ht="14.4" spans="2:4">
      <c r="B1955" s="20">
        <v>7772</v>
      </c>
      <c r="C1955" s="21">
        <f t="shared" si="64"/>
        <v>5.58631836288574</v>
      </c>
      <c r="D1955" s="21">
        <f t="shared" si="65"/>
        <v>1.90246168137483</v>
      </c>
    </row>
    <row r="1956" ht="14.4" spans="2:4">
      <c r="B1956" s="20">
        <v>7776</v>
      </c>
      <c r="C1956" s="21">
        <f t="shared" si="64"/>
        <v>5.59035361946846</v>
      </c>
      <c r="D1956" s="21">
        <f t="shared" si="65"/>
        <v>1.90334572490706</v>
      </c>
    </row>
    <row r="1957" ht="14.4" spans="2:4">
      <c r="B1957" s="20">
        <v>7780</v>
      </c>
      <c r="C1957" s="21">
        <f t="shared" si="64"/>
        <v>5.59439075160624</v>
      </c>
      <c r="D1957" s="21">
        <f t="shared" si="65"/>
        <v>1.90423059042306</v>
      </c>
    </row>
    <row r="1958" ht="14.4" spans="2:4">
      <c r="B1958" s="20">
        <v>7784</v>
      </c>
      <c r="C1958" s="21">
        <f t="shared" si="64"/>
        <v>5.59842976104338</v>
      </c>
      <c r="D1958" s="21">
        <f t="shared" si="65"/>
        <v>1.90511627906977</v>
      </c>
    </row>
    <row r="1959" ht="14.4" spans="2:4">
      <c r="B1959" s="20">
        <v>7788</v>
      </c>
      <c r="C1959" s="21">
        <f t="shared" si="64"/>
        <v>5.60247064952662</v>
      </c>
      <c r="D1959" s="21">
        <f t="shared" si="65"/>
        <v>1.90600279199628</v>
      </c>
    </row>
    <row r="1960" ht="14.4" spans="2:4">
      <c r="B1960" s="20">
        <v>7792</v>
      </c>
      <c r="C1960" s="21">
        <f t="shared" si="64"/>
        <v>5.60651341880513</v>
      </c>
      <c r="D1960" s="21">
        <f t="shared" si="65"/>
        <v>1.90689013035382</v>
      </c>
    </row>
    <row r="1961" ht="14.4" spans="2:4">
      <c r="B1961" s="20">
        <v>7796</v>
      </c>
      <c r="C1961" s="21">
        <f t="shared" si="64"/>
        <v>5.61055807063051</v>
      </c>
      <c r="D1961" s="21">
        <f t="shared" si="65"/>
        <v>1.90777829529576</v>
      </c>
    </row>
    <row r="1962" ht="14.4" spans="2:4">
      <c r="B1962" s="20">
        <v>7800</v>
      </c>
      <c r="C1962" s="21">
        <f t="shared" si="64"/>
        <v>5.61460460675684</v>
      </c>
      <c r="D1962" s="21">
        <f t="shared" si="65"/>
        <v>1.90866728797763</v>
      </c>
    </row>
    <row r="1963" ht="14.4" spans="2:4">
      <c r="B1963" s="20">
        <v>7804</v>
      </c>
      <c r="C1963" s="21">
        <f t="shared" si="64"/>
        <v>5.61865302894063</v>
      </c>
      <c r="D1963" s="21">
        <f t="shared" si="65"/>
        <v>1.90955710955711</v>
      </c>
    </row>
    <row r="1964" ht="14.4" spans="2:4">
      <c r="B1964" s="20">
        <v>7808</v>
      </c>
      <c r="C1964" s="21">
        <f t="shared" si="64"/>
        <v>5.62270333894084</v>
      </c>
      <c r="D1964" s="21">
        <f t="shared" si="65"/>
        <v>1.91044776119403</v>
      </c>
    </row>
    <row r="1965" ht="14.4" spans="2:4">
      <c r="B1965" s="20">
        <v>7812</v>
      </c>
      <c r="C1965" s="21">
        <f t="shared" si="64"/>
        <v>5.62675553851891</v>
      </c>
      <c r="D1965" s="21">
        <f t="shared" si="65"/>
        <v>1.9113392440504</v>
      </c>
    </row>
    <row r="1966" ht="14.4" spans="2:4">
      <c r="B1966" s="20">
        <v>7816</v>
      </c>
      <c r="C1966" s="21">
        <f t="shared" si="64"/>
        <v>5.63080962943875</v>
      </c>
      <c r="D1966" s="21">
        <f t="shared" si="65"/>
        <v>1.91223155929038</v>
      </c>
    </row>
    <row r="1967" ht="14.4" spans="2:4">
      <c r="B1967" s="20">
        <v>7820</v>
      </c>
      <c r="C1967" s="21">
        <f t="shared" si="64"/>
        <v>5.63486561346672</v>
      </c>
      <c r="D1967" s="21">
        <f t="shared" si="65"/>
        <v>1.91312470808034</v>
      </c>
    </row>
    <row r="1968" ht="14.4" spans="2:4">
      <c r="B1968" s="20">
        <v>7824</v>
      </c>
      <c r="C1968" s="21">
        <f t="shared" si="64"/>
        <v>5.63892349237167</v>
      </c>
      <c r="D1968" s="21">
        <f t="shared" si="65"/>
        <v>1.91401869158879</v>
      </c>
    </row>
    <row r="1969" ht="14.4" spans="2:4">
      <c r="B1969" s="20">
        <v>7828</v>
      </c>
      <c r="C1969" s="21">
        <f t="shared" si="64"/>
        <v>5.64298326792493</v>
      </c>
      <c r="D1969" s="21">
        <f t="shared" si="65"/>
        <v>1.91491351098644</v>
      </c>
    </row>
    <row r="1970" ht="14.4" spans="2:4">
      <c r="B1970" s="20">
        <v>7832</v>
      </c>
      <c r="C1970" s="21">
        <f t="shared" si="64"/>
        <v>5.6470449419003</v>
      </c>
      <c r="D1970" s="21">
        <f t="shared" si="65"/>
        <v>1.91580916744621</v>
      </c>
    </row>
    <row r="1971" ht="14.4" spans="2:4">
      <c r="B1971" s="20">
        <v>7836</v>
      </c>
      <c r="C1971" s="21">
        <f t="shared" si="64"/>
        <v>5.6511085160741</v>
      </c>
      <c r="D1971" s="21">
        <f t="shared" si="65"/>
        <v>1.91670566214319</v>
      </c>
    </row>
    <row r="1972" ht="14.4" spans="2:4">
      <c r="B1972" s="20">
        <v>7840</v>
      </c>
      <c r="C1972" s="21">
        <f t="shared" si="64"/>
        <v>5.65517399222511</v>
      </c>
      <c r="D1972" s="21">
        <f t="shared" si="65"/>
        <v>1.91760299625468</v>
      </c>
    </row>
    <row r="1973" ht="14.4" spans="2:4">
      <c r="B1973" s="20">
        <v>7844</v>
      </c>
      <c r="C1973" s="21">
        <f t="shared" si="64"/>
        <v>5.65924137213463</v>
      </c>
      <c r="D1973" s="21">
        <f t="shared" si="65"/>
        <v>1.91850117096019</v>
      </c>
    </row>
    <row r="1974" ht="14.4" spans="2:4">
      <c r="B1974" s="20">
        <v>7848</v>
      </c>
      <c r="C1974" s="21">
        <f t="shared" si="64"/>
        <v>5.66331065758647</v>
      </c>
      <c r="D1974" s="21">
        <f t="shared" si="65"/>
        <v>1.91940018744142</v>
      </c>
    </row>
    <row r="1975" ht="14.4" spans="2:4">
      <c r="B1975" s="20">
        <v>7852</v>
      </c>
      <c r="C1975" s="21">
        <f t="shared" si="64"/>
        <v>5.66738185036691</v>
      </c>
      <c r="D1975" s="21">
        <f t="shared" si="65"/>
        <v>1.92030004688233</v>
      </c>
    </row>
    <row r="1976" ht="14.4" spans="2:4">
      <c r="B1976" s="20">
        <v>7856</v>
      </c>
      <c r="C1976" s="21">
        <f t="shared" si="64"/>
        <v>5.67145495226479</v>
      </c>
      <c r="D1976" s="21">
        <f t="shared" si="65"/>
        <v>1.92120075046904</v>
      </c>
    </row>
    <row r="1977" ht="14.4" spans="2:4">
      <c r="B1977" s="20">
        <v>7860</v>
      </c>
      <c r="C1977" s="21">
        <f t="shared" si="64"/>
        <v>5.67552996507145</v>
      </c>
      <c r="D1977" s="21">
        <f t="shared" si="65"/>
        <v>1.92210229938996</v>
      </c>
    </row>
    <row r="1978" ht="14.4" spans="2:4">
      <c r="B1978" s="20">
        <v>7864</v>
      </c>
      <c r="C1978" s="21">
        <f t="shared" si="64"/>
        <v>5.67960689058073</v>
      </c>
      <c r="D1978" s="21">
        <f t="shared" si="65"/>
        <v>1.92300469483568</v>
      </c>
    </row>
    <row r="1979" ht="14.4" spans="2:4">
      <c r="B1979" s="20">
        <v>7868</v>
      </c>
      <c r="C1979" s="21">
        <f t="shared" si="64"/>
        <v>5.68368573058904</v>
      </c>
      <c r="D1979" s="21">
        <f t="shared" si="65"/>
        <v>1.92390793799906</v>
      </c>
    </row>
    <row r="1980" ht="14.4" spans="2:4">
      <c r="B1980" s="20">
        <v>7872</v>
      </c>
      <c r="C1980" s="21">
        <f t="shared" si="64"/>
        <v>5.68776648689528</v>
      </c>
      <c r="D1980" s="21">
        <f t="shared" si="65"/>
        <v>1.92481203007519</v>
      </c>
    </row>
    <row r="1981" ht="14.4" spans="2:4">
      <c r="B1981" s="20">
        <v>7876</v>
      </c>
      <c r="C1981" s="21">
        <f t="shared" si="64"/>
        <v>5.69184916130091</v>
      </c>
      <c r="D1981" s="21">
        <f t="shared" si="65"/>
        <v>1.9257169722614</v>
      </c>
    </row>
    <row r="1982" ht="14.4" spans="2:4">
      <c r="B1982" s="20">
        <v>7880</v>
      </c>
      <c r="C1982" s="21">
        <f t="shared" si="64"/>
        <v>5.69593375560993</v>
      </c>
      <c r="D1982" s="21">
        <f t="shared" si="65"/>
        <v>1.92662276575729</v>
      </c>
    </row>
    <row r="1983" ht="14.4" spans="2:4">
      <c r="B1983" s="20">
        <v>7884</v>
      </c>
      <c r="C1983" s="21">
        <f t="shared" si="64"/>
        <v>5.70002027162888</v>
      </c>
      <c r="D1983" s="21">
        <f t="shared" si="65"/>
        <v>1.92752941176471</v>
      </c>
    </row>
    <row r="1984" ht="14.4" spans="2:4">
      <c r="B1984" s="20">
        <v>7888</v>
      </c>
      <c r="C1984" s="21">
        <f t="shared" si="64"/>
        <v>5.70410871116686</v>
      </c>
      <c r="D1984" s="21">
        <f t="shared" si="65"/>
        <v>1.92843691148776</v>
      </c>
    </row>
    <row r="1985" ht="14.4" spans="2:4">
      <c r="B1985" s="20">
        <v>7892</v>
      </c>
      <c r="C1985" s="21">
        <f t="shared" si="64"/>
        <v>5.70819907603551</v>
      </c>
      <c r="D1985" s="21">
        <f t="shared" si="65"/>
        <v>1.92934526613283</v>
      </c>
    </row>
    <row r="1986" ht="14.4" spans="2:4">
      <c r="B1986" s="20">
        <v>7896</v>
      </c>
      <c r="C1986" s="21">
        <f t="shared" si="64"/>
        <v>5.71229136804905</v>
      </c>
      <c r="D1986" s="21">
        <f t="shared" si="65"/>
        <v>1.93025447690858</v>
      </c>
    </row>
    <row r="1987" ht="14.4" spans="2:4">
      <c r="B1987" s="20">
        <v>7900</v>
      </c>
      <c r="C1987" s="21">
        <f t="shared" si="64"/>
        <v>5.71638558902425</v>
      </c>
      <c r="D1987" s="21">
        <f t="shared" si="65"/>
        <v>1.93116454502593</v>
      </c>
    </row>
    <row r="1988" ht="14.4" spans="2:4">
      <c r="B1988" s="20">
        <v>7904</v>
      </c>
      <c r="C1988" s="21">
        <f t="shared" si="64"/>
        <v>5.72048174078046</v>
      </c>
      <c r="D1988" s="21">
        <f t="shared" si="65"/>
        <v>1.93207547169811</v>
      </c>
    </row>
    <row r="1989" ht="14.4" spans="2:4">
      <c r="B1989" s="20">
        <v>7908</v>
      </c>
      <c r="C1989" s="21">
        <f t="shared" si="64"/>
        <v>5.7245798251396</v>
      </c>
      <c r="D1989" s="21">
        <f t="shared" si="65"/>
        <v>1.93298725814063</v>
      </c>
    </row>
    <row r="1990" ht="14.4" spans="2:4">
      <c r="B1990" s="20">
        <v>7912</v>
      </c>
      <c r="C1990" s="21">
        <f t="shared" si="64"/>
        <v>5.72867984392616</v>
      </c>
      <c r="D1990" s="21">
        <f t="shared" si="65"/>
        <v>1.93389990557129</v>
      </c>
    </row>
    <row r="1991" ht="14.4" spans="2:4">
      <c r="B1991" s="20">
        <v>7916</v>
      </c>
      <c r="C1991" s="21">
        <f t="shared" si="64"/>
        <v>5.73278179896725</v>
      </c>
      <c r="D1991" s="21">
        <f t="shared" si="65"/>
        <v>1.9348134152102</v>
      </c>
    </row>
    <row r="1992" ht="14.4" spans="2:4">
      <c r="B1992" s="20">
        <v>7920</v>
      </c>
      <c r="C1992" s="21">
        <f t="shared" si="64"/>
        <v>5.73688569209252</v>
      </c>
      <c r="D1992" s="21">
        <f t="shared" si="65"/>
        <v>1.93572778827977</v>
      </c>
    </row>
    <row r="1993" ht="14.4" spans="2:4">
      <c r="B1993" s="20">
        <v>7924</v>
      </c>
      <c r="C1993" s="21">
        <f t="shared" si="64"/>
        <v>5.74099152513426</v>
      </c>
      <c r="D1993" s="21">
        <f t="shared" si="65"/>
        <v>1.93664302600473</v>
      </c>
    </row>
    <row r="1994" ht="14.4" spans="2:4">
      <c r="B1994" s="20">
        <v>7928</v>
      </c>
      <c r="C1994" s="21">
        <f t="shared" si="64"/>
        <v>5.74509929992734</v>
      </c>
      <c r="D1994" s="21">
        <f t="shared" si="65"/>
        <v>1.93755912961211</v>
      </c>
    </row>
    <row r="1995" ht="14.4" spans="2:4">
      <c r="B1995" s="20">
        <v>7932</v>
      </c>
      <c r="C1995" s="21">
        <f t="shared" si="64"/>
        <v>5.74920901830922</v>
      </c>
      <c r="D1995" s="21">
        <f t="shared" si="65"/>
        <v>1.93847610033128</v>
      </c>
    </row>
    <row r="1996" ht="14.4" spans="2:4">
      <c r="B1996" s="20">
        <v>7936</v>
      </c>
      <c r="C1996" s="21">
        <f t="shared" si="64"/>
        <v>5.75332068211999</v>
      </c>
      <c r="D1996" s="21">
        <f t="shared" si="65"/>
        <v>1.93939393939394</v>
      </c>
    </row>
    <row r="1997" ht="14.4" spans="2:4">
      <c r="B1997" s="20">
        <v>7940</v>
      </c>
      <c r="C1997" s="21">
        <f t="shared" ref="C1997:C2060" si="66">20*LOG(D1997)</f>
        <v>5.75743429320236</v>
      </c>
      <c r="D1997" s="21">
        <f t="shared" ref="D1997:D2060" si="67">16384/(16384-B1997)</f>
        <v>1.94031264803411</v>
      </c>
    </row>
    <row r="1998" ht="14.4" spans="2:4">
      <c r="B1998" s="20">
        <v>7944</v>
      </c>
      <c r="C1998" s="21">
        <f t="shared" si="66"/>
        <v>5.76154985340163</v>
      </c>
      <c r="D1998" s="21">
        <f t="shared" si="67"/>
        <v>1.94123222748815</v>
      </c>
    </row>
    <row r="1999" ht="14.4" spans="2:4">
      <c r="B1999" s="20">
        <v>7948</v>
      </c>
      <c r="C1999" s="21">
        <f t="shared" si="66"/>
        <v>5.76566736456576</v>
      </c>
      <c r="D1999" s="21">
        <f t="shared" si="67"/>
        <v>1.94215267899478</v>
      </c>
    </row>
    <row r="2000" ht="14.4" spans="2:4">
      <c r="B2000" s="20">
        <v>7952</v>
      </c>
      <c r="C2000" s="21">
        <f t="shared" si="66"/>
        <v>5.76978682854531</v>
      </c>
      <c r="D2000" s="21">
        <f t="shared" si="67"/>
        <v>1.94307400379507</v>
      </c>
    </row>
    <row r="2001" ht="14.4" spans="2:4">
      <c r="B2001" s="20">
        <v>7956</v>
      </c>
      <c r="C2001" s="21">
        <f t="shared" si="66"/>
        <v>5.77390824719348</v>
      </c>
      <c r="D2001" s="21">
        <f t="shared" si="67"/>
        <v>1.94399620313242</v>
      </c>
    </row>
    <row r="2002" ht="14.4" spans="2:4">
      <c r="B2002" s="20">
        <v>7960</v>
      </c>
      <c r="C2002" s="21">
        <f t="shared" si="66"/>
        <v>5.77803162236613</v>
      </c>
      <c r="D2002" s="21">
        <f t="shared" si="67"/>
        <v>1.94491927825261</v>
      </c>
    </row>
    <row r="2003" ht="14.4" spans="2:4">
      <c r="B2003" s="20">
        <v>7964</v>
      </c>
      <c r="C2003" s="21">
        <f t="shared" si="66"/>
        <v>5.78215695592174</v>
      </c>
      <c r="D2003" s="21">
        <f t="shared" si="67"/>
        <v>1.9458432304038</v>
      </c>
    </row>
    <row r="2004" ht="14.4" spans="2:4">
      <c r="B2004" s="20">
        <v>7968</v>
      </c>
      <c r="C2004" s="21">
        <f t="shared" si="66"/>
        <v>5.78628424972146</v>
      </c>
      <c r="D2004" s="21">
        <f t="shared" si="67"/>
        <v>1.9467680608365</v>
      </c>
    </row>
    <row r="2005" ht="14.4" spans="2:4">
      <c r="B2005" s="20">
        <v>7972</v>
      </c>
      <c r="C2005" s="21">
        <f t="shared" si="66"/>
        <v>5.79041350562906</v>
      </c>
      <c r="D2005" s="21">
        <f t="shared" si="67"/>
        <v>1.94769377080361</v>
      </c>
    </row>
    <row r="2006" ht="14.4" spans="2:4">
      <c r="B2006" s="20">
        <v>7976</v>
      </c>
      <c r="C2006" s="21">
        <f t="shared" si="66"/>
        <v>5.79454472551102</v>
      </c>
      <c r="D2006" s="21">
        <f t="shared" si="67"/>
        <v>1.94862036156042</v>
      </c>
    </row>
    <row r="2007" ht="14.4" spans="2:4">
      <c r="B2007" s="20">
        <v>7980</v>
      </c>
      <c r="C2007" s="21">
        <f t="shared" si="66"/>
        <v>5.79867791123644</v>
      </c>
      <c r="D2007" s="21">
        <f t="shared" si="67"/>
        <v>1.94954783436459</v>
      </c>
    </row>
    <row r="2008" ht="14.4" spans="2:4">
      <c r="B2008" s="20">
        <v>7984</v>
      </c>
      <c r="C2008" s="21">
        <f t="shared" si="66"/>
        <v>5.8028130646771</v>
      </c>
      <c r="D2008" s="21">
        <f t="shared" si="67"/>
        <v>1.95047619047619</v>
      </c>
    </row>
    <row r="2009" ht="14.4" spans="2:4">
      <c r="B2009" s="20">
        <v>7988</v>
      </c>
      <c r="C2009" s="21">
        <f t="shared" si="66"/>
        <v>5.80695018770748</v>
      </c>
      <c r="D2009" s="21">
        <f t="shared" si="67"/>
        <v>1.95140543115769</v>
      </c>
    </row>
    <row r="2010" ht="14.4" spans="2:4">
      <c r="B2010" s="20">
        <v>7992</v>
      </c>
      <c r="C2010" s="21">
        <f t="shared" si="66"/>
        <v>5.81108928220471</v>
      </c>
      <c r="D2010" s="21">
        <f t="shared" si="67"/>
        <v>1.95233555767398</v>
      </c>
    </row>
    <row r="2011" ht="14.4" spans="2:4">
      <c r="B2011" s="20">
        <v>7996</v>
      </c>
      <c r="C2011" s="21">
        <f t="shared" si="66"/>
        <v>5.81523035004861</v>
      </c>
      <c r="D2011" s="21">
        <f t="shared" si="67"/>
        <v>1.95326657129232</v>
      </c>
    </row>
    <row r="2012" ht="14.4" spans="2:4">
      <c r="B2012" s="20">
        <v>8000</v>
      </c>
      <c r="C2012" s="21">
        <f t="shared" si="66"/>
        <v>5.81937339312171</v>
      </c>
      <c r="D2012" s="21">
        <f t="shared" si="67"/>
        <v>1.95419847328244</v>
      </c>
    </row>
    <row r="2013" ht="14.4" spans="2:4">
      <c r="B2013" s="20">
        <v>8004</v>
      </c>
      <c r="C2013" s="21">
        <f t="shared" si="66"/>
        <v>5.8235184133092</v>
      </c>
      <c r="D2013" s="21">
        <f t="shared" si="67"/>
        <v>1.95513126491647</v>
      </c>
    </row>
    <row r="2014" ht="14.4" spans="2:4">
      <c r="B2014" s="20">
        <v>8008</v>
      </c>
      <c r="C2014" s="21">
        <f t="shared" si="66"/>
        <v>5.82766541249902</v>
      </c>
      <c r="D2014" s="21">
        <f t="shared" si="67"/>
        <v>1.95606494746896</v>
      </c>
    </row>
    <row r="2015" ht="14.4" spans="2:4">
      <c r="B2015" s="20">
        <v>8012</v>
      </c>
      <c r="C2015" s="21">
        <f t="shared" si="66"/>
        <v>5.83181439258176</v>
      </c>
      <c r="D2015" s="21">
        <f t="shared" si="67"/>
        <v>1.95699952221691</v>
      </c>
    </row>
    <row r="2016" ht="14.4" spans="2:4">
      <c r="B2016" s="20">
        <v>8016</v>
      </c>
      <c r="C2016" s="21">
        <f t="shared" si="66"/>
        <v>5.83596535545075</v>
      </c>
      <c r="D2016" s="21">
        <f t="shared" si="67"/>
        <v>1.95793499043977</v>
      </c>
    </row>
    <row r="2017" ht="14.4" spans="2:4">
      <c r="B2017" s="20">
        <v>8020</v>
      </c>
      <c r="C2017" s="21">
        <f t="shared" si="66"/>
        <v>5.84011830300205</v>
      </c>
      <c r="D2017" s="21">
        <f t="shared" si="67"/>
        <v>1.95887135341942</v>
      </c>
    </row>
    <row r="2018" ht="14.4" spans="2:4">
      <c r="B2018" s="20">
        <v>8024</v>
      </c>
      <c r="C2018" s="21">
        <f t="shared" si="66"/>
        <v>5.84427323713441</v>
      </c>
      <c r="D2018" s="21">
        <f t="shared" si="67"/>
        <v>1.95980861244019</v>
      </c>
    </row>
    <row r="2019" ht="14.4" spans="2:4">
      <c r="B2019" s="20">
        <v>8028</v>
      </c>
      <c r="C2019" s="21">
        <f t="shared" si="66"/>
        <v>5.84843015974931</v>
      </c>
      <c r="D2019" s="21">
        <f t="shared" si="67"/>
        <v>1.96074676878889</v>
      </c>
    </row>
    <row r="2020" ht="14.4" spans="2:4">
      <c r="B2020" s="20">
        <v>8032</v>
      </c>
      <c r="C2020" s="21">
        <f t="shared" si="66"/>
        <v>5.852589072751</v>
      </c>
      <c r="D2020" s="21">
        <f t="shared" si="67"/>
        <v>1.96168582375479</v>
      </c>
    </row>
    <row r="2021" ht="14.4" spans="2:4">
      <c r="B2021" s="20">
        <v>8036</v>
      </c>
      <c r="C2021" s="21">
        <f t="shared" si="66"/>
        <v>5.85674997804641</v>
      </c>
      <c r="D2021" s="21">
        <f t="shared" si="67"/>
        <v>1.96262577862961</v>
      </c>
    </row>
    <row r="2022" ht="14.4" spans="2:4">
      <c r="B2022" s="20">
        <v>8040</v>
      </c>
      <c r="C2022" s="21">
        <f t="shared" si="66"/>
        <v>5.86091287754524</v>
      </c>
      <c r="D2022" s="21">
        <f t="shared" si="67"/>
        <v>1.96356663470757</v>
      </c>
    </row>
    <row r="2023" ht="14.4" spans="2:4">
      <c r="B2023" s="20">
        <v>8044</v>
      </c>
      <c r="C2023" s="21">
        <f t="shared" si="66"/>
        <v>5.86507777315996</v>
      </c>
      <c r="D2023" s="21">
        <f t="shared" si="67"/>
        <v>1.96450839328537</v>
      </c>
    </row>
    <row r="2024" ht="14.4" spans="2:4">
      <c r="B2024" s="20">
        <v>8048</v>
      </c>
      <c r="C2024" s="21">
        <f t="shared" si="66"/>
        <v>5.86924466680575</v>
      </c>
      <c r="D2024" s="21">
        <f t="shared" si="67"/>
        <v>1.96545105566219</v>
      </c>
    </row>
    <row r="2025" ht="14.4" spans="2:4">
      <c r="B2025" s="20">
        <v>8052</v>
      </c>
      <c r="C2025" s="21">
        <f t="shared" si="66"/>
        <v>5.87341356040057</v>
      </c>
      <c r="D2025" s="21">
        <f t="shared" si="67"/>
        <v>1.9663946231397</v>
      </c>
    </row>
    <row r="2026" ht="14.4" spans="2:4">
      <c r="B2026" s="20">
        <v>8056</v>
      </c>
      <c r="C2026" s="21">
        <f t="shared" si="66"/>
        <v>5.87758445586514</v>
      </c>
      <c r="D2026" s="21">
        <f t="shared" si="67"/>
        <v>1.96733909702209</v>
      </c>
    </row>
    <row r="2027" ht="14.4" spans="2:4">
      <c r="B2027" s="20">
        <v>8060</v>
      </c>
      <c r="C2027" s="21">
        <f t="shared" si="66"/>
        <v>5.88175735512295</v>
      </c>
      <c r="D2027" s="21">
        <f t="shared" si="67"/>
        <v>1.96828447861605</v>
      </c>
    </row>
    <row r="2028" ht="14.4" spans="2:4">
      <c r="B2028" s="20">
        <v>8064</v>
      </c>
      <c r="C2028" s="21">
        <f t="shared" si="66"/>
        <v>5.88593226010026</v>
      </c>
      <c r="D2028" s="21">
        <f t="shared" si="67"/>
        <v>1.96923076923077</v>
      </c>
    </row>
    <row r="2029" ht="14.4" spans="2:4">
      <c r="B2029" s="20">
        <v>8068</v>
      </c>
      <c r="C2029" s="21">
        <f t="shared" si="66"/>
        <v>5.8901091727261</v>
      </c>
      <c r="D2029" s="21">
        <f t="shared" si="67"/>
        <v>1.97017797017797</v>
      </c>
    </row>
    <row r="2030" ht="14.4" spans="2:4">
      <c r="B2030" s="20">
        <v>8072</v>
      </c>
      <c r="C2030" s="21">
        <f t="shared" si="66"/>
        <v>5.89428809493231</v>
      </c>
      <c r="D2030" s="21">
        <f t="shared" si="67"/>
        <v>1.9711260827719</v>
      </c>
    </row>
    <row r="2031" ht="14.4" spans="2:4">
      <c r="B2031" s="20">
        <v>8076</v>
      </c>
      <c r="C2031" s="21">
        <f t="shared" si="66"/>
        <v>5.8984690286535</v>
      </c>
      <c r="D2031" s="21">
        <f t="shared" si="67"/>
        <v>1.97207510832932</v>
      </c>
    </row>
    <row r="2032" ht="14.4" spans="2:4">
      <c r="B2032" s="20">
        <v>8080</v>
      </c>
      <c r="C2032" s="21">
        <f t="shared" si="66"/>
        <v>5.90265197582708</v>
      </c>
      <c r="D2032" s="21">
        <f t="shared" si="67"/>
        <v>1.97302504816956</v>
      </c>
    </row>
    <row r="2033" ht="14.4" spans="2:4">
      <c r="B2033" s="20">
        <v>8084</v>
      </c>
      <c r="C2033" s="21">
        <f t="shared" si="66"/>
        <v>5.90683693839326</v>
      </c>
      <c r="D2033" s="21">
        <f t="shared" si="67"/>
        <v>1.97397590361446</v>
      </c>
    </row>
    <row r="2034" ht="14.4" spans="2:4">
      <c r="B2034" s="20">
        <v>8088</v>
      </c>
      <c r="C2034" s="21">
        <f t="shared" si="66"/>
        <v>5.91102391829504</v>
      </c>
      <c r="D2034" s="21">
        <f t="shared" si="67"/>
        <v>1.97492767598843</v>
      </c>
    </row>
    <row r="2035" ht="14.4" spans="2:4">
      <c r="B2035" s="20">
        <v>8092</v>
      </c>
      <c r="C2035" s="21">
        <f t="shared" si="66"/>
        <v>5.91521291747827</v>
      </c>
      <c r="D2035" s="21">
        <f t="shared" si="67"/>
        <v>1.97588036661843</v>
      </c>
    </row>
    <row r="2036" ht="14.4" spans="2:4">
      <c r="B2036" s="20">
        <v>8096</v>
      </c>
      <c r="C2036" s="21">
        <f t="shared" si="66"/>
        <v>5.91940393789158</v>
      </c>
      <c r="D2036" s="21">
        <f t="shared" si="67"/>
        <v>1.97683397683398</v>
      </c>
    </row>
    <row r="2037" ht="14.4" spans="2:4">
      <c r="B2037" s="20">
        <v>8100</v>
      </c>
      <c r="C2037" s="21">
        <f t="shared" si="66"/>
        <v>5.92359698148643</v>
      </c>
      <c r="D2037" s="21">
        <f t="shared" si="67"/>
        <v>1.97778850796717</v>
      </c>
    </row>
    <row r="2038" ht="14.4" spans="2:4">
      <c r="B2038" s="20">
        <v>8104</v>
      </c>
      <c r="C2038" s="21">
        <f t="shared" si="66"/>
        <v>5.92779205021713</v>
      </c>
      <c r="D2038" s="21">
        <f t="shared" si="67"/>
        <v>1.97874396135266</v>
      </c>
    </row>
    <row r="2039" ht="14.4" spans="2:4">
      <c r="B2039" s="20">
        <v>8108</v>
      </c>
      <c r="C2039" s="21">
        <f t="shared" si="66"/>
        <v>5.9319891460408</v>
      </c>
      <c r="D2039" s="21">
        <f t="shared" si="67"/>
        <v>1.97970033832769</v>
      </c>
    </row>
    <row r="2040" ht="14.4" spans="2:4">
      <c r="B2040" s="20">
        <v>8112</v>
      </c>
      <c r="C2040" s="21">
        <f t="shared" si="66"/>
        <v>5.93618827091739</v>
      </c>
      <c r="D2040" s="21">
        <f t="shared" si="67"/>
        <v>1.98065764023211</v>
      </c>
    </row>
    <row r="2041" ht="14.4" spans="2:4">
      <c r="B2041" s="20">
        <v>8116</v>
      </c>
      <c r="C2041" s="21">
        <f t="shared" si="66"/>
        <v>5.94038942680972</v>
      </c>
      <c r="D2041" s="21">
        <f t="shared" si="67"/>
        <v>1.98161586840832</v>
      </c>
    </row>
    <row r="2042" ht="14.4" spans="2:4">
      <c r="B2042" s="20">
        <v>8120</v>
      </c>
      <c r="C2042" s="21">
        <f t="shared" si="66"/>
        <v>5.94459261568345</v>
      </c>
      <c r="D2042" s="21">
        <f t="shared" si="67"/>
        <v>1.98257502420136</v>
      </c>
    </row>
    <row r="2043" ht="14.4" spans="2:4">
      <c r="B2043" s="20">
        <v>8124</v>
      </c>
      <c r="C2043" s="21">
        <f t="shared" si="66"/>
        <v>5.94879783950709</v>
      </c>
      <c r="D2043" s="21">
        <f t="shared" si="67"/>
        <v>1.98353510895884</v>
      </c>
    </row>
    <row r="2044" ht="14.4" spans="2:4">
      <c r="B2044" s="20">
        <v>8128</v>
      </c>
      <c r="C2044" s="21">
        <f t="shared" si="66"/>
        <v>5.95300510025201</v>
      </c>
      <c r="D2044" s="21">
        <f t="shared" si="67"/>
        <v>1.98449612403101</v>
      </c>
    </row>
    <row r="2045" ht="14.4" spans="2:4">
      <c r="B2045" s="20">
        <v>8132</v>
      </c>
      <c r="C2045" s="21">
        <f t="shared" si="66"/>
        <v>5.95721439989246</v>
      </c>
      <c r="D2045" s="21">
        <f t="shared" si="67"/>
        <v>1.98545807077072</v>
      </c>
    </row>
    <row r="2046" ht="14.4" spans="2:4">
      <c r="B2046" s="20">
        <v>8136</v>
      </c>
      <c r="C2046" s="21">
        <f t="shared" si="66"/>
        <v>5.96142574040553</v>
      </c>
      <c r="D2046" s="21">
        <f t="shared" si="67"/>
        <v>1.98642095053346</v>
      </c>
    </row>
    <row r="2047" ht="14.4" spans="2:4">
      <c r="B2047" s="20">
        <v>8140</v>
      </c>
      <c r="C2047" s="21">
        <f t="shared" si="66"/>
        <v>5.96563912377123</v>
      </c>
      <c r="D2047" s="21">
        <f t="shared" si="67"/>
        <v>1.98738476467734</v>
      </c>
    </row>
    <row r="2048" ht="14.4" spans="2:4">
      <c r="B2048" s="20">
        <v>8144</v>
      </c>
      <c r="C2048" s="21">
        <f t="shared" si="66"/>
        <v>5.96985455197242</v>
      </c>
      <c r="D2048" s="21">
        <f t="shared" si="67"/>
        <v>1.98834951456311</v>
      </c>
    </row>
    <row r="2049" ht="14.4" spans="2:4">
      <c r="B2049" s="20">
        <v>8148</v>
      </c>
      <c r="C2049" s="21">
        <f t="shared" si="66"/>
        <v>5.97407202699486</v>
      </c>
      <c r="D2049" s="21">
        <f t="shared" si="67"/>
        <v>1.98931520155415</v>
      </c>
    </row>
    <row r="2050" ht="14.4" spans="2:4">
      <c r="B2050" s="20">
        <v>8152</v>
      </c>
      <c r="C2050" s="21">
        <f t="shared" si="66"/>
        <v>5.9782915508272</v>
      </c>
      <c r="D2050" s="21">
        <f t="shared" si="67"/>
        <v>1.99028182701652</v>
      </c>
    </row>
    <row r="2051" ht="14.4" spans="2:4">
      <c r="B2051" s="20">
        <v>8156</v>
      </c>
      <c r="C2051" s="21">
        <f t="shared" si="66"/>
        <v>5.98251312546101</v>
      </c>
      <c r="D2051" s="21">
        <f t="shared" si="67"/>
        <v>1.99124939231891</v>
      </c>
    </row>
    <row r="2052" ht="14.4" spans="2:4">
      <c r="B2052" s="20">
        <v>8160</v>
      </c>
      <c r="C2052" s="21">
        <f t="shared" si="66"/>
        <v>5.98673675289072</v>
      </c>
      <c r="D2052" s="21">
        <f t="shared" si="67"/>
        <v>1.99221789883268</v>
      </c>
    </row>
    <row r="2053" ht="14.4" spans="2:4">
      <c r="B2053" s="20">
        <v>8164</v>
      </c>
      <c r="C2053" s="21">
        <f t="shared" si="66"/>
        <v>5.99096243511373</v>
      </c>
      <c r="D2053" s="21">
        <f t="shared" si="67"/>
        <v>1.99318734793187</v>
      </c>
    </row>
    <row r="2054" ht="14.4" spans="2:4">
      <c r="B2054" s="20">
        <v>8168</v>
      </c>
      <c r="C2054" s="21">
        <f t="shared" si="66"/>
        <v>5.9951901741303</v>
      </c>
      <c r="D2054" s="21">
        <f t="shared" si="67"/>
        <v>1.99415774099318</v>
      </c>
    </row>
    <row r="2055" ht="14.4" spans="2:4">
      <c r="B2055" s="20">
        <v>8172</v>
      </c>
      <c r="C2055" s="21">
        <f t="shared" si="66"/>
        <v>5.99941997194365</v>
      </c>
      <c r="D2055" s="21">
        <f t="shared" si="67"/>
        <v>1.99512907939601</v>
      </c>
    </row>
    <row r="2056" ht="14.4" spans="2:4">
      <c r="B2056" s="20">
        <v>8176</v>
      </c>
      <c r="C2056" s="21">
        <f t="shared" si="66"/>
        <v>6.00365183055991</v>
      </c>
      <c r="D2056" s="21">
        <f t="shared" si="67"/>
        <v>1.99610136452242</v>
      </c>
    </row>
    <row r="2057" ht="14.4" spans="2:4">
      <c r="B2057" s="20">
        <v>8180</v>
      </c>
      <c r="C2057" s="21">
        <f t="shared" si="66"/>
        <v>6.00788575198816</v>
      </c>
      <c r="D2057" s="21">
        <f t="shared" si="67"/>
        <v>1.99707459775719</v>
      </c>
    </row>
    <row r="2058" ht="14.4" spans="2:4">
      <c r="B2058" s="20">
        <v>8184</v>
      </c>
      <c r="C2058" s="21">
        <f t="shared" si="66"/>
        <v>6.0121217382404</v>
      </c>
      <c r="D2058" s="21">
        <f t="shared" si="67"/>
        <v>1.9980487804878</v>
      </c>
    </row>
    <row r="2059" ht="14.4" spans="2:4">
      <c r="B2059" s="20">
        <v>8188</v>
      </c>
      <c r="C2059" s="21">
        <f t="shared" si="66"/>
        <v>6.01635979133159</v>
      </c>
      <c r="D2059" s="21">
        <f t="shared" si="67"/>
        <v>1.99902391410444</v>
      </c>
    </row>
    <row r="2060" ht="14.4" spans="2:4">
      <c r="B2060" s="20">
        <v>8192</v>
      </c>
      <c r="C2060" s="21">
        <f t="shared" si="66"/>
        <v>6.02059991327962</v>
      </c>
      <c r="D2060" s="21">
        <f t="shared" si="67"/>
        <v>2</v>
      </c>
    </row>
    <row r="2061" ht="14.4" spans="2:4">
      <c r="B2061" s="20">
        <v>8196</v>
      </c>
      <c r="C2061" s="21">
        <f t="shared" ref="C2061:C2124" si="68">20*LOG(D2061)</f>
        <v>6.02484210610537</v>
      </c>
      <c r="D2061" s="21">
        <f t="shared" ref="D2061:D2124" si="69">16384/(16384-B2061)</f>
        <v>2.0009770395701</v>
      </c>
    </row>
    <row r="2062" ht="14.4" spans="2:4">
      <c r="B2062" s="20">
        <v>8200</v>
      </c>
      <c r="C2062" s="21">
        <f t="shared" si="68"/>
        <v>6.02908637183266</v>
      </c>
      <c r="D2062" s="21">
        <f t="shared" si="69"/>
        <v>2.0019550342131</v>
      </c>
    </row>
    <row r="2063" ht="14.4" spans="2:4">
      <c r="B2063" s="20">
        <v>8204</v>
      </c>
      <c r="C2063" s="21">
        <f t="shared" si="68"/>
        <v>6.03333271248827</v>
      </c>
      <c r="D2063" s="21">
        <f t="shared" si="69"/>
        <v>2.00293398533007</v>
      </c>
    </row>
    <row r="2064" ht="14.4" spans="2:4">
      <c r="B2064" s="20">
        <v>8208</v>
      </c>
      <c r="C2064" s="21">
        <f t="shared" si="68"/>
        <v>6.03758113010198</v>
      </c>
      <c r="D2064" s="21">
        <f t="shared" si="69"/>
        <v>2.00391389432485</v>
      </c>
    </row>
    <row r="2065" ht="14.4" spans="2:4">
      <c r="B2065" s="20">
        <v>8212</v>
      </c>
      <c r="C2065" s="21">
        <f t="shared" si="68"/>
        <v>6.04183162670654</v>
      </c>
      <c r="D2065" s="21">
        <f t="shared" si="69"/>
        <v>2.00489476260401</v>
      </c>
    </row>
    <row r="2066" ht="14.4" spans="2:4">
      <c r="B2066" s="20">
        <v>8216</v>
      </c>
      <c r="C2066" s="21">
        <f t="shared" si="68"/>
        <v>6.04608420433766</v>
      </c>
      <c r="D2066" s="21">
        <f t="shared" si="69"/>
        <v>2.00587659157689</v>
      </c>
    </row>
    <row r="2067" ht="14.4" spans="2:4">
      <c r="B2067" s="20">
        <v>8220</v>
      </c>
      <c r="C2067" s="21">
        <f t="shared" si="68"/>
        <v>6.05033886503408</v>
      </c>
      <c r="D2067" s="21">
        <f t="shared" si="69"/>
        <v>2.00685938265556</v>
      </c>
    </row>
    <row r="2068" ht="14.4" spans="2:4">
      <c r="B2068" s="20">
        <v>8224</v>
      </c>
      <c r="C2068" s="21">
        <f t="shared" si="68"/>
        <v>6.05459561083751</v>
      </c>
      <c r="D2068" s="21">
        <f t="shared" si="69"/>
        <v>2.0078431372549</v>
      </c>
    </row>
    <row r="2069" ht="14.4" spans="2:4">
      <c r="B2069" s="20">
        <v>8228</v>
      </c>
      <c r="C2069" s="21">
        <f t="shared" si="68"/>
        <v>6.05885444379269</v>
      </c>
      <c r="D2069" s="21">
        <f t="shared" si="69"/>
        <v>2.00882785679255</v>
      </c>
    </row>
    <row r="2070" ht="14.4" spans="2:4">
      <c r="B2070" s="20">
        <v>8232</v>
      </c>
      <c r="C2070" s="21">
        <f t="shared" si="68"/>
        <v>6.06311536594733</v>
      </c>
      <c r="D2070" s="21">
        <f t="shared" si="69"/>
        <v>2.00981354268891</v>
      </c>
    </row>
    <row r="2071" ht="14.4" spans="2:4">
      <c r="B2071" s="20">
        <v>8236</v>
      </c>
      <c r="C2071" s="21">
        <f t="shared" si="68"/>
        <v>6.0673783793522</v>
      </c>
      <c r="D2071" s="21">
        <f t="shared" si="69"/>
        <v>2.01080019636721</v>
      </c>
    </row>
    <row r="2072" ht="14.4" spans="2:4">
      <c r="B2072" s="20">
        <v>8240</v>
      </c>
      <c r="C2072" s="21">
        <f t="shared" si="68"/>
        <v>6.07164348606106</v>
      </c>
      <c r="D2072" s="21">
        <f t="shared" si="69"/>
        <v>2.01178781925344</v>
      </c>
    </row>
    <row r="2073" ht="14.4" spans="2:4">
      <c r="B2073" s="20">
        <v>8244</v>
      </c>
      <c r="C2073" s="21">
        <f t="shared" si="68"/>
        <v>6.07591068813071</v>
      </c>
      <c r="D2073" s="21">
        <f t="shared" si="69"/>
        <v>2.01277641277641</v>
      </c>
    </row>
    <row r="2074" ht="14.4" spans="2:4">
      <c r="B2074" s="20">
        <v>8248</v>
      </c>
      <c r="C2074" s="21">
        <f t="shared" si="68"/>
        <v>6.08017998762097</v>
      </c>
      <c r="D2074" s="21">
        <f t="shared" si="69"/>
        <v>2.01376597836775</v>
      </c>
    </row>
    <row r="2075" ht="14.4" spans="2:4">
      <c r="B2075" s="20">
        <v>8252</v>
      </c>
      <c r="C2075" s="21">
        <f t="shared" si="68"/>
        <v>6.08445138659471</v>
      </c>
      <c r="D2075" s="21">
        <f t="shared" si="69"/>
        <v>2.01475651746188</v>
      </c>
    </row>
    <row r="2076" ht="14.4" spans="2:4">
      <c r="B2076" s="20">
        <v>8256</v>
      </c>
      <c r="C2076" s="21">
        <f t="shared" si="68"/>
        <v>6.08872488711785</v>
      </c>
      <c r="D2076" s="21">
        <f t="shared" si="69"/>
        <v>2.01574803149606</v>
      </c>
    </row>
    <row r="2077" ht="14.4" spans="2:4">
      <c r="B2077" s="20">
        <v>8260</v>
      </c>
      <c r="C2077" s="21">
        <f t="shared" si="68"/>
        <v>6.09300049125935</v>
      </c>
      <c r="D2077" s="21">
        <f t="shared" si="69"/>
        <v>2.01674052191039</v>
      </c>
    </row>
    <row r="2078" ht="14.4" spans="2:4">
      <c r="B2078" s="20">
        <v>8264</v>
      </c>
      <c r="C2078" s="21">
        <f t="shared" si="68"/>
        <v>6.09727820109123</v>
      </c>
      <c r="D2078" s="21">
        <f t="shared" si="69"/>
        <v>2.01773399014778</v>
      </c>
    </row>
    <row r="2079" ht="14.4" spans="2:4">
      <c r="B2079" s="20">
        <v>8268</v>
      </c>
      <c r="C2079" s="21">
        <f t="shared" si="68"/>
        <v>6.10155801868857</v>
      </c>
      <c r="D2079" s="21">
        <f t="shared" si="69"/>
        <v>2.01872843765402</v>
      </c>
    </row>
    <row r="2080" ht="14.4" spans="2:4">
      <c r="B2080" s="20">
        <v>8272</v>
      </c>
      <c r="C2080" s="21">
        <f t="shared" si="68"/>
        <v>6.10583994612952</v>
      </c>
      <c r="D2080" s="21">
        <f t="shared" si="69"/>
        <v>2.01972386587771</v>
      </c>
    </row>
    <row r="2081" ht="14.4" spans="2:4">
      <c r="B2081" s="20">
        <v>8276</v>
      </c>
      <c r="C2081" s="21">
        <f t="shared" si="68"/>
        <v>6.11012398549531</v>
      </c>
      <c r="D2081" s="21">
        <f t="shared" si="69"/>
        <v>2.02072027627035</v>
      </c>
    </row>
    <row r="2082" ht="14.4" spans="2:4">
      <c r="B2082" s="20">
        <v>8280</v>
      </c>
      <c r="C2082" s="21">
        <f t="shared" si="68"/>
        <v>6.11441013887025</v>
      </c>
      <c r="D2082" s="21">
        <f t="shared" si="69"/>
        <v>2.02171767028628</v>
      </c>
    </row>
    <row r="2083" ht="14.4" spans="2:4">
      <c r="B2083" s="20">
        <v>8284</v>
      </c>
      <c r="C2083" s="21">
        <f t="shared" si="68"/>
        <v>6.11869840834174</v>
      </c>
      <c r="D2083" s="21">
        <f t="shared" si="69"/>
        <v>2.02271604938272</v>
      </c>
    </row>
    <row r="2084" ht="14.4" spans="2:4">
      <c r="B2084" s="20">
        <v>8288</v>
      </c>
      <c r="C2084" s="21">
        <f t="shared" si="68"/>
        <v>6.12298879600026</v>
      </c>
      <c r="D2084" s="21">
        <f t="shared" si="69"/>
        <v>2.02371541501976</v>
      </c>
    </row>
    <row r="2085" ht="14.4" spans="2:4">
      <c r="B2085" s="20">
        <v>8292</v>
      </c>
      <c r="C2085" s="21">
        <f t="shared" si="68"/>
        <v>6.12728130393939</v>
      </c>
      <c r="D2085" s="21">
        <f t="shared" si="69"/>
        <v>2.02471576866041</v>
      </c>
    </row>
    <row r="2086" ht="14.4" spans="2:4">
      <c r="B2086" s="20">
        <v>8296</v>
      </c>
      <c r="C2086" s="21">
        <f t="shared" si="68"/>
        <v>6.13157593425584</v>
      </c>
      <c r="D2086" s="21">
        <f t="shared" si="69"/>
        <v>2.02571711177052</v>
      </c>
    </row>
    <row r="2087" ht="14.4" spans="2:4">
      <c r="B2087" s="20">
        <v>8300</v>
      </c>
      <c r="C2087" s="21">
        <f t="shared" si="68"/>
        <v>6.13587268904941</v>
      </c>
      <c r="D2087" s="21">
        <f t="shared" si="69"/>
        <v>2.0267194458189</v>
      </c>
    </row>
    <row r="2088" ht="14.4" spans="2:4">
      <c r="B2088" s="20">
        <v>8304</v>
      </c>
      <c r="C2088" s="21">
        <f t="shared" si="68"/>
        <v>6.14017157042301</v>
      </c>
      <c r="D2088" s="21">
        <f t="shared" si="69"/>
        <v>2.02772277227723</v>
      </c>
    </row>
    <row r="2089" ht="14.4" spans="2:4">
      <c r="B2089" s="20">
        <v>8308</v>
      </c>
      <c r="C2089" s="21">
        <f t="shared" si="68"/>
        <v>6.1444725804827</v>
      </c>
      <c r="D2089" s="21">
        <f t="shared" si="69"/>
        <v>2.02872709262011</v>
      </c>
    </row>
    <row r="2090" ht="14.4" spans="2:4">
      <c r="B2090" s="20">
        <v>8312</v>
      </c>
      <c r="C2090" s="21">
        <f t="shared" si="68"/>
        <v>6.14877572133765</v>
      </c>
      <c r="D2090" s="21">
        <f t="shared" si="69"/>
        <v>2.02973240832507</v>
      </c>
    </row>
    <row r="2091" ht="14.4" spans="2:4">
      <c r="B2091" s="20">
        <v>8316</v>
      </c>
      <c r="C2091" s="21">
        <f t="shared" si="68"/>
        <v>6.15308099510018</v>
      </c>
      <c r="D2091" s="21">
        <f t="shared" si="69"/>
        <v>2.03073872087258</v>
      </c>
    </row>
    <row r="2092" ht="14.4" spans="2:4">
      <c r="B2092" s="20">
        <v>8320</v>
      </c>
      <c r="C2092" s="21">
        <f t="shared" si="68"/>
        <v>6.15738840388573</v>
      </c>
      <c r="D2092" s="21">
        <f t="shared" si="69"/>
        <v>2.03174603174603</v>
      </c>
    </row>
    <row r="2093" ht="14.4" spans="2:4">
      <c r="B2093" s="20">
        <v>8324</v>
      </c>
      <c r="C2093" s="21">
        <f t="shared" si="68"/>
        <v>6.16169794981292</v>
      </c>
      <c r="D2093" s="21">
        <f t="shared" si="69"/>
        <v>2.03275434243176</v>
      </c>
    </row>
    <row r="2094" ht="14.4" spans="2:4">
      <c r="B2094" s="20">
        <v>8328</v>
      </c>
      <c r="C2094" s="21">
        <f t="shared" si="68"/>
        <v>6.1660096350035</v>
      </c>
      <c r="D2094" s="21">
        <f t="shared" si="69"/>
        <v>2.03376365441907</v>
      </c>
    </row>
    <row r="2095" ht="14.4" spans="2:4">
      <c r="B2095" s="20">
        <v>8332</v>
      </c>
      <c r="C2095" s="21">
        <f t="shared" si="68"/>
        <v>6.1703234615824</v>
      </c>
      <c r="D2095" s="21">
        <f t="shared" si="69"/>
        <v>2.0347739692002</v>
      </c>
    </row>
    <row r="2096" ht="14.4" spans="2:4">
      <c r="B2096" s="20">
        <v>8336</v>
      </c>
      <c r="C2096" s="21">
        <f t="shared" si="68"/>
        <v>6.17463943167769</v>
      </c>
      <c r="D2096" s="21">
        <f t="shared" si="69"/>
        <v>2.03578528827038</v>
      </c>
    </row>
    <row r="2097" ht="14.4" spans="2:4">
      <c r="B2097" s="20">
        <v>8340</v>
      </c>
      <c r="C2097" s="21">
        <f t="shared" si="68"/>
        <v>6.17895754742065</v>
      </c>
      <c r="D2097" s="21">
        <f t="shared" si="69"/>
        <v>2.0367976131278</v>
      </c>
    </row>
    <row r="2098" ht="14.4" spans="2:4">
      <c r="B2098" s="20">
        <v>8344</v>
      </c>
      <c r="C2098" s="21">
        <f t="shared" si="68"/>
        <v>6.18327781094571</v>
      </c>
      <c r="D2098" s="21">
        <f t="shared" si="69"/>
        <v>2.03781094527363</v>
      </c>
    </row>
    <row r="2099" ht="14.4" spans="2:4">
      <c r="B2099" s="20">
        <v>8348</v>
      </c>
      <c r="C2099" s="21">
        <f t="shared" si="68"/>
        <v>6.1876002243905</v>
      </c>
      <c r="D2099" s="21">
        <f t="shared" si="69"/>
        <v>2.03882528621205</v>
      </c>
    </row>
    <row r="2100" ht="14.4" spans="2:4">
      <c r="B2100" s="20">
        <v>8352</v>
      </c>
      <c r="C2100" s="21">
        <f t="shared" si="68"/>
        <v>6.19192478989585</v>
      </c>
      <c r="D2100" s="21">
        <f t="shared" si="69"/>
        <v>2.0398406374502</v>
      </c>
    </row>
    <row r="2101" ht="14.4" spans="2:4">
      <c r="B2101" s="20">
        <v>8356</v>
      </c>
      <c r="C2101" s="21">
        <f t="shared" si="68"/>
        <v>6.19625150960578</v>
      </c>
      <c r="D2101" s="21">
        <f t="shared" si="69"/>
        <v>2.04085700049826</v>
      </c>
    </row>
    <row r="2102" ht="14.4" spans="2:4">
      <c r="B2102" s="20">
        <v>8360</v>
      </c>
      <c r="C2102" s="21">
        <f t="shared" si="68"/>
        <v>6.2005803856675</v>
      </c>
      <c r="D2102" s="21">
        <f t="shared" si="69"/>
        <v>2.04187437686939</v>
      </c>
    </row>
    <row r="2103" ht="14.4" spans="2:4">
      <c r="B2103" s="20">
        <v>8364</v>
      </c>
      <c r="C2103" s="21">
        <f t="shared" si="68"/>
        <v>6.20491142023146</v>
      </c>
      <c r="D2103" s="21">
        <f t="shared" si="69"/>
        <v>2.0428927680798</v>
      </c>
    </row>
    <row r="2104" ht="14.4" spans="2:4">
      <c r="B2104" s="20">
        <v>8368</v>
      </c>
      <c r="C2104" s="21">
        <f t="shared" si="68"/>
        <v>6.20924461545132</v>
      </c>
      <c r="D2104" s="21">
        <f t="shared" si="69"/>
        <v>2.0439121756487</v>
      </c>
    </row>
    <row r="2105" ht="14.4" spans="2:4">
      <c r="B2105" s="20">
        <v>8372</v>
      </c>
      <c r="C2105" s="21">
        <f t="shared" si="68"/>
        <v>6.21357997348396</v>
      </c>
      <c r="D2105" s="21">
        <f t="shared" si="69"/>
        <v>2.04493260109835</v>
      </c>
    </row>
    <row r="2106" ht="14.4" spans="2:4">
      <c r="B2106" s="20">
        <v>8376</v>
      </c>
      <c r="C2106" s="21">
        <f t="shared" si="68"/>
        <v>6.21791749648949</v>
      </c>
      <c r="D2106" s="21">
        <f t="shared" si="69"/>
        <v>2.04595404595405</v>
      </c>
    </row>
    <row r="2107" ht="14.4" spans="2:4">
      <c r="B2107" s="20">
        <v>8380</v>
      </c>
      <c r="C2107" s="21">
        <f t="shared" si="68"/>
        <v>6.22225718663126</v>
      </c>
      <c r="D2107" s="21">
        <f t="shared" si="69"/>
        <v>2.04697651174413</v>
      </c>
    </row>
    <row r="2108" ht="14.4" spans="2:4">
      <c r="B2108" s="20">
        <v>8384</v>
      </c>
      <c r="C2108" s="21">
        <f t="shared" si="68"/>
        <v>6.22659904607586</v>
      </c>
      <c r="D2108" s="21">
        <f t="shared" si="69"/>
        <v>2.048</v>
      </c>
    </row>
    <row r="2109" ht="14.4" spans="2:4">
      <c r="B2109" s="20">
        <v>8388</v>
      </c>
      <c r="C2109" s="21">
        <f t="shared" si="68"/>
        <v>6.23094307699315</v>
      </c>
      <c r="D2109" s="21">
        <f t="shared" si="69"/>
        <v>2.04902451225613</v>
      </c>
    </row>
    <row r="2110" ht="14.4" spans="2:4">
      <c r="B2110" s="20">
        <v>8392</v>
      </c>
      <c r="C2110" s="21">
        <f t="shared" si="68"/>
        <v>6.23528928155622</v>
      </c>
      <c r="D2110" s="21">
        <f t="shared" si="69"/>
        <v>2.05005005005005</v>
      </c>
    </row>
    <row r="2111" ht="14.4" spans="2:4">
      <c r="B2111" s="20">
        <v>8396</v>
      </c>
      <c r="C2111" s="21">
        <f t="shared" si="68"/>
        <v>6.23963766194143</v>
      </c>
      <c r="D2111" s="21">
        <f t="shared" si="69"/>
        <v>2.05107661492238</v>
      </c>
    </row>
    <row r="2112" ht="14.4" spans="2:4">
      <c r="B2112" s="20">
        <v>8400</v>
      </c>
      <c r="C2112" s="21">
        <f t="shared" si="68"/>
        <v>6.24398822032844</v>
      </c>
      <c r="D2112" s="21">
        <f t="shared" si="69"/>
        <v>2.05210420841683</v>
      </c>
    </row>
    <row r="2113" ht="14.4" spans="2:4">
      <c r="B2113" s="20">
        <v>8404</v>
      </c>
      <c r="C2113" s="21">
        <f t="shared" si="68"/>
        <v>6.24834095890015</v>
      </c>
      <c r="D2113" s="21">
        <f t="shared" si="69"/>
        <v>2.0531328320802</v>
      </c>
    </row>
    <row r="2114" ht="14.4" spans="2:4">
      <c r="B2114" s="20">
        <v>8408</v>
      </c>
      <c r="C2114" s="21">
        <f t="shared" si="68"/>
        <v>6.25269587984275</v>
      </c>
      <c r="D2114" s="21">
        <f t="shared" si="69"/>
        <v>2.05416248746239</v>
      </c>
    </row>
    <row r="2115" ht="14.4" spans="2:4">
      <c r="B2115" s="20">
        <v>8412</v>
      </c>
      <c r="C2115" s="21">
        <f t="shared" si="68"/>
        <v>6.25705298534573</v>
      </c>
      <c r="D2115" s="21">
        <f t="shared" si="69"/>
        <v>2.05519317611641</v>
      </c>
    </row>
    <row r="2116" ht="14.4" spans="2:4">
      <c r="B2116" s="20">
        <v>8416</v>
      </c>
      <c r="C2116" s="21">
        <f t="shared" si="68"/>
        <v>6.26141227760189</v>
      </c>
      <c r="D2116" s="21">
        <f t="shared" si="69"/>
        <v>2.05622489959839</v>
      </c>
    </row>
    <row r="2117" ht="14.4" spans="2:4">
      <c r="B2117" s="20">
        <v>8420</v>
      </c>
      <c r="C2117" s="21">
        <f t="shared" si="68"/>
        <v>6.2657737588073</v>
      </c>
      <c r="D2117" s="21">
        <f t="shared" si="69"/>
        <v>2.0572576594676</v>
      </c>
    </row>
    <row r="2118" ht="14.4" spans="2:4">
      <c r="B2118" s="20">
        <v>8424</v>
      </c>
      <c r="C2118" s="21">
        <f t="shared" si="68"/>
        <v>6.27013743116135</v>
      </c>
      <c r="D2118" s="21">
        <f t="shared" si="69"/>
        <v>2.05829145728643</v>
      </c>
    </row>
    <row r="2119" ht="14.4" spans="2:4">
      <c r="B2119" s="20">
        <v>8428</v>
      </c>
      <c r="C2119" s="21">
        <f t="shared" si="68"/>
        <v>6.27450329686677</v>
      </c>
      <c r="D2119" s="21">
        <f t="shared" si="69"/>
        <v>2.05932629462041</v>
      </c>
    </row>
    <row r="2120" ht="14.4" spans="2:4">
      <c r="B2120" s="20">
        <v>8432</v>
      </c>
      <c r="C2120" s="21">
        <f t="shared" si="68"/>
        <v>6.2788713581296</v>
      </c>
      <c r="D2120" s="21">
        <f t="shared" si="69"/>
        <v>2.06036217303823</v>
      </c>
    </row>
    <row r="2121" ht="14.4" spans="2:4">
      <c r="B2121" s="20">
        <v>8436</v>
      </c>
      <c r="C2121" s="21">
        <f t="shared" si="68"/>
        <v>6.28324161715918</v>
      </c>
      <c r="D2121" s="21">
        <f t="shared" si="69"/>
        <v>2.06139909411173</v>
      </c>
    </row>
    <row r="2122" ht="14.4" spans="2:4">
      <c r="B2122" s="20">
        <v>8440</v>
      </c>
      <c r="C2122" s="21">
        <f t="shared" si="68"/>
        <v>6.28761407616824</v>
      </c>
      <c r="D2122" s="21">
        <f t="shared" si="69"/>
        <v>2.06243705941591</v>
      </c>
    </row>
    <row r="2123" ht="14.4" spans="2:4">
      <c r="B2123" s="20">
        <v>8444</v>
      </c>
      <c r="C2123" s="21">
        <f t="shared" si="68"/>
        <v>6.29198873737281</v>
      </c>
      <c r="D2123" s="21">
        <f t="shared" si="69"/>
        <v>2.06347607052897</v>
      </c>
    </row>
    <row r="2124" ht="14.4" spans="2:4">
      <c r="B2124" s="20">
        <v>8448</v>
      </c>
      <c r="C2124" s="21">
        <f t="shared" si="68"/>
        <v>6.29636560299229</v>
      </c>
      <c r="D2124" s="21">
        <f t="shared" si="69"/>
        <v>2.06451612903226</v>
      </c>
    </row>
    <row r="2125" ht="14.4" spans="2:4">
      <c r="B2125" s="20">
        <v>8452</v>
      </c>
      <c r="C2125" s="21">
        <f t="shared" ref="C2125:C2188" si="70">20*LOG(D2125)</f>
        <v>6.30074467524943</v>
      </c>
      <c r="D2125" s="21">
        <f t="shared" ref="D2125:D2188" si="71">16384/(16384-B2125)</f>
        <v>2.06555723651034</v>
      </c>
    </row>
    <row r="2126" ht="14.4" spans="2:4">
      <c r="B2126" s="20">
        <v>8456</v>
      </c>
      <c r="C2126" s="21">
        <f t="shared" si="70"/>
        <v>6.30512595637036</v>
      </c>
      <c r="D2126" s="21">
        <f t="shared" si="71"/>
        <v>2.06659939455096</v>
      </c>
    </row>
    <row r="2127" ht="14.4" spans="2:4">
      <c r="B2127" s="20">
        <v>8460</v>
      </c>
      <c r="C2127" s="21">
        <f t="shared" si="70"/>
        <v>6.30950944858454</v>
      </c>
      <c r="D2127" s="21">
        <f t="shared" si="71"/>
        <v>2.06764260474508</v>
      </c>
    </row>
    <row r="2128" ht="14.4" spans="2:4">
      <c r="B2128" s="20">
        <v>8464</v>
      </c>
      <c r="C2128" s="21">
        <f t="shared" si="70"/>
        <v>6.31389515412486</v>
      </c>
      <c r="D2128" s="21">
        <f t="shared" si="71"/>
        <v>2.06868686868687</v>
      </c>
    </row>
    <row r="2129" ht="14.4" spans="2:4">
      <c r="B2129" s="20">
        <v>8468</v>
      </c>
      <c r="C2129" s="21">
        <f t="shared" si="70"/>
        <v>6.31828307522756</v>
      </c>
      <c r="D2129" s="21">
        <f t="shared" si="71"/>
        <v>2.06973218797372</v>
      </c>
    </row>
    <row r="2130" ht="14.4" spans="2:4">
      <c r="B2130" s="20">
        <v>8472</v>
      </c>
      <c r="C2130" s="21">
        <f t="shared" si="70"/>
        <v>6.32267321413227</v>
      </c>
      <c r="D2130" s="21">
        <f t="shared" si="71"/>
        <v>2.07077856420627</v>
      </c>
    </row>
    <row r="2131" ht="14.4" spans="2:4">
      <c r="B2131" s="20">
        <v>8476</v>
      </c>
      <c r="C2131" s="21">
        <f t="shared" si="70"/>
        <v>6.32706557308204</v>
      </c>
      <c r="D2131" s="21">
        <f t="shared" si="71"/>
        <v>2.07182599898837</v>
      </c>
    </row>
    <row r="2132" ht="14.4" spans="2:4">
      <c r="B2132" s="20">
        <v>8480</v>
      </c>
      <c r="C2132" s="21">
        <f t="shared" si="70"/>
        <v>6.3314601543233</v>
      </c>
      <c r="D2132" s="21">
        <f t="shared" si="71"/>
        <v>2.07287449392713</v>
      </c>
    </row>
    <row r="2133" ht="14.4" spans="2:4">
      <c r="B2133" s="20">
        <v>8484</v>
      </c>
      <c r="C2133" s="21">
        <f t="shared" si="70"/>
        <v>6.33585696010591</v>
      </c>
      <c r="D2133" s="21">
        <f t="shared" si="71"/>
        <v>2.07392405063291</v>
      </c>
    </row>
    <row r="2134" ht="14.4" spans="2:4">
      <c r="B2134" s="20">
        <v>8488</v>
      </c>
      <c r="C2134" s="21">
        <f t="shared" si="70"/>
        <v>6.34025599268313</v>
      </c>
      <c r="D2134" s="21">
        <f t="shared" si="71"/>
        <v>2.07497467071935</v>
      </c>
    </row>
    <row r="2135" ht="14.4" spans="2:4">
      <c r="B2135" s="20">
        <v>8492</v>
      </c>
      <c r="C2135" s="21">
        <f t="shared" si="70"/>
        <v>6.34465725431166</v>
      </c>
      <c r="D2135" s="21">
        <f t="shared" si="71"/>
        <v>2.07602635580335</v>
      </c>
    </row>
    <row r="2136" ht="14.4" spans="2:4">
      <c r="B2136" s="20">
        <v>8496</v>
      </c>
      <c r="C2136" s="21">
        <f t="shared" si="70"/>
        <v>6.34906074725164</v>
      </c>
      <c r="D2136" s="21">
        <f t="shared" si="71"/>
        <v>2.07707910750507</v>
      </c>
    </row>
    <row r="2137" ht="14.4" spans="2:4">
      <c r="B2137" s="20">
        <v>8500</v>
      </c>
      <c r="C2137" s="21">
        <f t="shared" si="70"/>
        <v>6.35346647376662</v>
      </c>
      <c r="D2137" s="21">
        <f t="shared" si="71"/>
        <v>2.078132927448</v>
      </c>
    </row>
    <row r="2138" ht="14.4" spans="2:4">
      <c r="B2138" s="20">
        <v>8504</v>
      </c>
      <c r="C2138" s="21">
        <f t="shared" si="70"/>
        <v>6.35787443612363</v>
      </c>
      <c r="D2138" s="21">
        <f t="shared" si="71"/>
        <v>2.07918781725888</v>
      </c>
    </row>
    <row r="2139" ht="14.4" spans="2:4">
      <c r="B2139" s="20">
        <v>8508</v>
      </c>
      <c r="C2139" s="21">
        <f t="shared" si="70"/>
        <v>6.36228463659312</v>
      </c>
      <c r="D2139" s="21">
        <f t="shared" si="71"/>
        <v>2.0802437785678</v>
      </c>
    </row>
    <row r="2140" ht="14.4" spans="2:4">
      <c r="B2140" s="20">
        <v>8512</v>
      </c>
      <c r="C2140" s="21">
        <f t="shared" si="70"/>
        <v>6.36669707744903</v>
      </c>
      <c r="D2140" s="21">
        <f t="shared" si="71"/>
        <v>2.08130081300813</v>
      </c>
    </row>
    <row r="2141" ht="14.4" spans="2:4">
      <c r="B2141" s="20">
        <v>8516</v>
      </c>
      <c r="C2141" s="21">
        <f t="shared" si="70"/>
        <v>6.37111176096875</v>
      </c>
      <c r="D2141" s="21">
        <f t="shared" si="71"/>
        <v>2.08235892221657</v>
      </c>
    </row>
    <row r="2142" ht="14.4" spans="2:4">
      <c r="B2142" s="20">
        <v>8520</v>
      </c>
      <c r="C2142" s="21">
        <f t="shared" si="70"/>
        <v>6.37552868943315</v>
      </c>
      <c r="D2142" s="21">
        <f t="shared" si="71"/>
        <v>2.08341810783316</v>
      </c>
    </row>
    <row r="2143" ht="14.4" spans="2:4">
      <c r="B2143" s="20">
        <v>8524</v>
      </c>
      <c r="C2143" s="21">
        <f t="shared" si="70"/>
        <v>6.37994786512658</v>
      </c>
      <c r="D2143" s="21">
        <f t="shared" si="71"/>
        <v>2.08447837150127</v>
      </c>
    </row>
    <row r="2144" ht="14.4" spans="2:4">
      <c r="B2144" s="20">
        <v>8528</v>
      </c>
      <c r="C2144" s="21">
        <f t="shared" si="70"/>
        <v>6.38436929033687</v>
      </c>
      <c r="D2144" s="21">
        <f t="shared" si="71"/>
        <v>2.08553971486762</v>
      </c>
    </row>
    <row r="2145" ht="14.4" spans="2:4">
      <c r="B2145" s="20">
        <v>8532</v>
      </c>
      <c r="C2145" s="21">
        <f t="shared" si="70"/>
        <v>6.38879296735536</v>
      </c>
      <c r="D2145" s="21">
        <f t="shared" si="71"/>
        <v>2.08660213958227</v>
      </c>
    </row>
    <row r="2146" ht="14.4" spans="2:4">
      <c r="B2146" s="20">
        <v>8536</v>
      </c>
      <c r="C2146" s="21">
        <f t="shared" si="70"/>
        <v>6.39321889847689</v>
      </c>
      <c r="D2146" s="21">
        <f t="shared" si="71"/>
        <v>2.08766564729867</v>
      </c>
    </row>
    <row r="2147" ht="14.4" spans="2:4">
      <c r="B2147" s="20">
        <v>8540</v>
      </c>
      <c r="C2147" s="21">
        <f t="shared" si="70"/>
        <v>6.39764708599981</v>
      </c>
      <c r="D2147" s="21">
        <f t="shared" si="71"/>
        <v>2.08873023967364</v>
      </c>
    </row>
    <row r="2148" ht="14.4" spans="2:4">
      <c r="B2148" s="20">
        <v>8544</v>
      </c>
      <c r="C2148" s="21">
        <f t="shared" si="70"/>
        <v>6.40207753222597</v>
      </c>
      <c r="D2148" s="21">
        <f t="shared" si="71"/>
        <v>2.08979591836735</v>
      </c>
    </row>
    <row r="2149" ht="14.4" spans="2:4">
      <c r="B2149" s="20">
        <v>8548</v>
      </c>
      <c r="C2149" s="21">
        <f t="shared" si="70"/>
        <v>6.40651023946076</v>
      </c>
      <c r="D2149" s="21">
        <f t="shared" si="71"/>
        <v>2.09086268504339</v>
      </c>
    </row>
    <row r="2150" ht="14.4" spans="2:4">
      <c r="B2150" s="20">
        <v>8552</v>
      </c>
      <c r="C2150" s="21">
        <f t="shared" si="70"/>
        <v>6.41094521001311</v>
      </c>
      <c r="D2150" s="21">
        <f t="shared" si="71"/>
        <v>2.09193054136874</v>
      </c>
    </row>
    <row r="2151" ht="14.4" spans="2:4">
      <c r="B2151" s="20">
        <v>8556</v>
      </c>
      <c r="C2151" s="21">
        <f t="shared" si="70"/>
        <v>6.41538244619546</v>
      </c>
      <c r="D2151" s="21">
        <f t="shared" si="71"/>
        <v>2.0929994890138</v>
      </c>
    </row>
    <row r="2152" ht="14.4" spans="2:4">
      <c r="B2152" s="20">
        <v>8560</v>
      </c>
      <c r="C2152" s="21">
        <f t="shared" si="70"/>
        <v>6.41982195032384</v>
      </c>
      <c r="D2152" s="21">
        <f t="shared" si="71"/>
        <v>2.09406952965235</v>
      </c>
    </row>
    <row r="2153" ht="14.4" spans="2:4">
      <c r="B2153" s="20">
        <v>8564</v>
      </c>
      <c r="C2153" s="21">
        <f t="shared" si="70"/>
        <v>6.42426372471777</v>
      </c>
      <c r="D2153" s="21">
        <f t="shared" si="71"/>
        <v>2.09514066496164</v>
      </c>
    </row>
    <row r="2154" ht="14.4" spans="2:4">
      <c r="B2154" s="20">
        <v>8568</v>
      </c>
      <c r="C2154" s="21">
        <f t="shared" si="70"/>
        <v>6.4287077717004</v>
      </c>
      <c r="D2154" s="21">
        <f t="shared" si="71"/>
        <v>2.09621289662231</v>
      </c>
    </row>
    <row r="2155" ht="14.4" spans="2:4">
      <c r="B2155" s="20">
        <v>8572</v>
      </c>
      <c r="C2155" s="21">
        <f t="shared" si="70"/>
        <v>6.4331540935984</v>
      </c>
      <c r="D2155" s="21">
        <f t="shared" si="71"/>
        <v>2.09728622631848</v>
      </c>
    </row>
    <row r="2156" ht="14.4" spans="2:4">
      <c r="B2156" s="20">
        <v>8576</v>
      </c>
      <c r="C2156" s="21">
        <f t="shared" si="70"/>
        <v>6.43760269274203</v>
      </c>
      <c r="D2156" s="21">
        <f t="shared" si="71"/>
        <v>2.0983606557377</v>
      </c>
    </row>
    <row r="2157" ht="14.4" spans="2:4">
      <c r="B2157" s="20">
        <v>8580</v>
      </c>
      <c r="C2157" s="21">
        <f t="shared" si="70"/>
        <v>6.44205357146513</v>
      </c>
      <c r="D2157" s="21">
        <f t="shared" si="71"/>
        <v>2.09943618657099</v>
      </c>
    </row>
    <row r="2158" ht="14.4" spans="2:4">
      <c r="B2158" s="20">
        <v>8584</v>
      </c>
      <c r="C2158" s="21">
        <f t="shared" si="70"/>
        <v>6.44650673210513</v>
      </c>
      <c r="D2158" s="21">
        <f t="shared" si="71"/>
        <v>2.10051282051282</v>
      </c>
    </row>
    <row r="2159" ht="14.4" spans="2:4">
      <c r="B2159" s="20">
        <v>8588</v>
      </c>
      <c r="C2159" s="21">
        <f t="shared" si="70"/>
        <v>6.45096217700306</v>
      </c>
      <c r="D2159" s="21">
        <f t="shared" si="71"/>
        <v>2.10159055926116</v>
      </c>
    </row>
    <row r="2160" ht="14.4" spans="2:4">
      <c r="B2160" s="20">
        <v>8592</v>
      </c>
      <c r="C2160" s="21">
        <f t="shared" si="70"/>
        <v>6.45541990850355</v>
      </c>
      <c r="D2160" s="21">
        <f t="shared" si="71"/>
        <v>2.10266940451745</v>
      </c>
    </row>
    <row r="2161" ht="14.4" spans="2:4">
      <c r="B2161" s="20">
        <v>8596</v>
      </c>
      <c r="C2161" s="21">
        <f t="shared" si="70"/>
        <v>6.45987992895485</v>
      </c>
      <c r="D2161" s="21">
        <f t="shared" si="71"/>
        <v>2.10374935798665</v>
      </c>
    </row>
    <row r="2162" ht="14.4" spans="2:4">
      <c r="B2162" s="20">
        <v>8600</v>
      </c>
      <c r="C2162" s="21">
        <f t="shared" si="70"/>
        <v>6.46434224070882</v>
      </c>
      <c r="D2162" s="21">
        <f t="shared" si="71"/>
        <v>2.10483042137718</v>
      </c>
    </row>
    <row r="2163" ht="14.4" spans="2:4">
      <c r="B2163" s="20">
        <v>8604</v>
      </c>
      <c r="C2163" s="21">
        <f t="shared" si="70"/>
        <v>6.46880684612096</v>
      </c>
      <c r="D2163" s="21">
        <f t="shared" si="71"/>
        <v>2.10591259640103</v>
      </c>
    </row>
    <row r="2164" ht="14.4" spans="2:4">
      <c r="B2164" s="20">
        <v>8608</v>
      </c>
      <c r="C2164" s="21">
        <f t="shared" si="70"/>
        <v>6.47327374755037</v>
      </c>
      <c r="D2164" s="21">
        <f t="shared" si="71"/>
        <v>2.10699588477366</v>
      </c>
    </row>
    <row r="2165" ht="14.4" spans="2:4">
      <c r="B2165" s="20">
        <v>8612</v>
      </c>
      <c r="C2165" s="21">
        <f t="shared" si="70"/>
        <v>6.47774294735984</v>
      </c>
      <c r="D2165" s="21">
        <f t="shared" si="71"/>
        <v>2.1080802882141</v>
      </c>
    </row>
    <row r="2166" ht="14.4" spans="2:4">
      <c r="B2166" s="20">
        <v>8616</v>
      </c>
      <c r="C2166" s="21">
        <f t="shared" si="70"/>
        <v>6.48221444791576</v>
      </c>
      <c r="D2166" s="21">
        <f t="shared" si="71"/>
        <v>2.1091658084449</v>
      </c>
    </row>
    <row r="2167" ht="14.4" spans="2:4">
      <c r="B2167" s="20">
        <v>8620</v>
      </c>
      <c r="C2167" s="21">
        <f t="shared" si="70"/>
        <v>6.48668825158823</v>
      </c>
      <c r="D2167" s="21">
        <f t="shared" si="71"/>
        <v>2.11025244719217</v>
      </c>
    </row>
    <row r="2168" ht="14.4" spans="2:4">
      <c r="B2168" s="20">
        <v>8624</v>
      </c>
      <c r="C2168" s="21">
        <f t="shared" si="70"/>
        <v>6.49116436075097</v>
      </c>
      <c r="D2168" s="21">
        <f t="shared" si="71"/>
        <v>2.11134020618557</v>
      </c>
    </row>
    <row r="2169" ht="14.4" spans="2:4">
      <c r="B2169" s="20">
        <v>8628</v>
      </c>
      <c r="C2169" s="21">
        <f t="shared" si="70"/>
        <v>6.49564277778138</v>
      </c>
      <c r="D2169" s="21">
        <f t="shared" si="71"/>
        <v>2.11242908715833</v>
      </c>
    </row>
    <row r="2170" ht="14.4" spans="2:4">
      <c r="B2170" s="20">
        <v>8632</v>
      </c>
      <c r="C2170" s="21">
        <f t="shared" si="70"/>
        <v>6.50012350506056</v>
      </c>
      <c r="D2170" s="21">
        <f t="shared" si="71"/>
        <v>2.11351909184726</v>
      </c>
    </row>
    <row r="2171" ht="14.4" spans="2:4">
      <c r="B2171" s="20">
        <v>8636</v>
      </c>
      <c r="C2171" s="21">
        <f t="shared" si="70"/>
        <v>6.50460654497327</v>
      </c>
      <c r="D2171" s="21">
        <f t="shared" si="71"/>
        <v>2.11461022199277</v>
      </c>
    </row>
    <row r="2172" ht="14.4" spans="2:4">
      <c r="B2172" s="20">
        <v>8640</v>
      </c>
      <c r="C2172" s="21">
        <f t="shared" si="70"/>
        <v>6.50909189990799</v>
      </c>
      <c r="D2172" s="21">
        <f t="shared" si="71"/>
        <v>2.11570247933884</v>
      </c>
    </row>
    <row r="2173" ht="14.4" spans="2:4">
      <c r="B2173" s="20">
        <v>8644</v>
      </c>
      <c r="C2173" s="21">
        <f t="shared" si="70"/>
        <v>6.51357957225688</v>
      </c>
      <c r="D2173" s="21">
        <f t="shared" si="71"/>
        <v>2.11679586563307</v>
      </c>
    </row>
    <row r="2174" ht="14.4" spans="2:4">
      <c r="B2174" s="20">
        <v>8648</v>
      </c>
      <c r="C2174" s="21">
        <f t="shared" si="70"/>
        <v>6.51806956441583</v>
      </c>
      <c r="D2174" s="21">
        <f t="shared" si="71"/>
        <v>2.11789038262668</v>
      </c>
    </row>
    <row r="2175" ht="14.4" spans="2:4">
      <c r="B2175" s="20">
        <v>8652</v>
      </c>
      <c r="C2175" s="21">
        <f t="shared" si="70"/>
        <v>6.52256187878443</v>
      </c>
      <c r="D2175" s="21">
        <f t="shared" si="71"/>
        <v>2.1189860320745</v>
      </c>
    </row>
    <row r="2176" ht="14.4" spans="2:4">
      <c r="B2176" s="20">
        <v>8656</v>
      </c>
      <c r="C2176" s="21">
        <f t="shared" si="70"/>
        <v>6.527056517766</v>
      </c>
      <c r="D2176" s="21">
        <f t="shared" si="71"/>
        <v>2.12008281573499</v>
      </c>
    </row>
    <row r="2177" ht="14.4" spans="2:4">
      <c r="B2177" s="20">
        <v>8660</v>
      </c>
      <c r="C2177" s="21">
        <f t="shared" si="70"/>
        <v>6.53155348376759</v>
      </c>
      <c r="D2177" s="21">
        <f t="shared" si="71"/>
        <v>2.12118073537027</v>
      </c>
    </row>
    <row r="2178" ht="14.4" spans="2:4">
      <c r="B2178" s="20">
        <v>8664</v>
      </c>
      <c r="C2178" s="21">
        <f t="shared" si="70"/>
        <v>6.53605277920001</v>
      </c>
      <c r="D2178" s="21">
        <f t="shared" si="71"/>
        <v>2.12227979274611</v>
      </c>
    </row>
    <row r="2179" ht="14.4" spans="2:4">
      <c r="B2179" s="20">
        <v>8668</v>
      </c>
      <c r="C2179" s="21">
        <f t="shared" si="70"/>
        <v>6.5405544064778</v>
      </c>
      <c r="D2179" s="21">
        <f t="shared" si="71"/>
        <v>2.12337998963193</v>
      </c>
    </row>
    <row r="2180" ht="14.4" spans="2:4">
      <c r="B2180" s="20">
        <v>8672</v>
      </c>
      <c r="C2180" s="21">
        <f t="shared" si="70"/>
        <v>6.54505836801925</v>
      </c>
      <c r="D2180" s="21">
        <f t="shared" si="71"/>
        <v>2.12448132780083</v>
      </c>
    </row>
    <row r="2181" ht="14.4" spans="2:4">
      <c r="B2181" s="20">
        <v>8676</v>
      </c>
      <c r="C2181" s="21">
        <f t="shared" si="70"/>
        <v>6.54956466624643</v>
      </c>
      <c r="D2181" s="21">
        <f t="shared" si="71"/>
        <v>2.12558380902958</v>
      </c>
    </row>
    <row r="2182" ht="14.4" spans="2:4">
      <c r="B2182" s="20">
        <v>8680</v>
      </c>
      <c r="C2182" s="21">
        <f t="shared" si="70"/>
        <v>6.55407330358517</v>
      </c>
      <c r="D2182" s="21">
        <f t="shared" si="71"/>
        <v>2.12668743509865</v>
      </c>
    </row>
    <row r="2183" ht="14.4" spans="2:4">
      <c r="B2183" s="20">
        <v>8684</v>
      </c>
      <c r="C2183" s="21">
        <f t="shared" si="70"/>
        <v>6.5585842824651</v>
      </c>
      <c r="D2183" s="21">
        <f t="shared" si="71"/>
        <v>2.12779220779221</v>
      </c>
    </row>
    <row r="2184" ht="14.4" spans="2:4">
      <c r="B2184" s="20">
        <v>8688</v>
      </c>
      <c r="C2184" s="21">
        <f t="shared" si="70"/>
        <v>6.5630976053196</v>
      </c>
      <c r="D2184" s="21">
        <f t="shared" si="71"/>
        <v>2.12889812889813</v>
      </c>
    </row>
    <row r="2185" ht="14.4" spans="2:4">
      <c r="B2185" s="20">
        <v>8692</v>
      </c>
      <c r="C2185" s="21">
        <f t="shared" si="70"/>
        <v>6.56761327458589</v>
      </c>
      <c r="D2185" s="21">
        <f t="shared" si="71"/>
        <v>2.13000520020801</v>
      </c>
    </row>
    <row r="2186" ht="14.4" spans="2:4">
      <c r="B2186" s="20">
        <v>8696</v>
      </c>
      <c r="C2186" s="21">
        <f t="shared" si="70"/>
        <v>6.57213129270496</v>
      </c>
      <c r="D2186" s="21">
        <f t="shared" si="71"/>
        <v>2.13111342351717</v>
      </c>
    </row>
    <row r="2187" ht="14.4" spans="2:4">
      <c r="B2187" s="20">
        <v>8700</v>
      </c>
      <c r="C2187" s="21">
        <f t="shared" si="70"/>
        <v>6.57665166212161</v>
      </c>
      <c r="D2187" s="21">
        <f t="shared" si="71"/>
        <v>2.13222280062467</v>
      </c>
    </row>
    <row r="2188" ht="14.4" spans="2:4">
      <c r="B2188" s="20">
        <v>8704</v>
      </c>
      <c r="C2188" s="21">
        <f t="shared" si="70"/>
        <v>6.58117438528449</v>
      </c>
      <c r="D2188" s="21">
        <f t="shared" si="71"/>
        <v>2.13333333333333</v>
      </c>
    </row>
    <row r="2189" ht="14.4" spans="2:4">
      <c r="B2189" s="20">
        <v>8708</v>
      </c>
      <c r="C2189" s="21">
        <f t="shared" ref="C2189:C2252" si="72">20*LOG(D2189)</f>
        <v>6.58569946464605</v>
      </c>
      <c r="D2189" s="21">
        <f t="shared" ref="D2189:D2252" si="73">16384/(16384-B2189)</f>
        <v>2.13444502344971</v>
      </c>
    </row>
    <row r="2190" ht="14.4" spans="2:4">
      <c r="B2190" s="20">
        <v>8712</v>
      </c>
      <c r="C2190" s="21">
        <f t="shared" si="72"/>
        <v>6.59022690266259</v>
      </c>
      <c r="D2190" s="21">
        <f t="shared" si="73"/>
        <v>2.13555787278415</v>
      </c>
    </row>
    <row r="2191" ht="14.4" spans="2:4">
      <c r="B2191" s="20">
        <v>8716</v>
      </c>
      <c r="C2191" s="21">
        <f t="shared" si="72"/>
        <v>6.59475670179423</v>
      </c>
      <c r="D2191" s="21">
        <f t="shared" si="73"/>
        <v>2.13667188315076</v>
      </c>
    </row>
    <row r="2192" ht="14.4" spans="2:4">
      <c r="B2192" s="20">
        <v>8720</v>
      </c>
      <c r="C2192" s="21">
        <f t="shared" si="72"/>
        <v>6.59928886450497</v>
      </c>
      <c r="D2192" s="21">
        <f t="shared" si="73"/>
        <v>2.13778705636743</v>
      </c>
    </row>
    <row r="2193" ht="14.4" spans="2:4">
      <c r="B2193" s="20">
        <v>8724</v>
      </c>
      <c r="C2193" s="21">
        <f t="shared" si="72"/>
        <v>6.60382339326266</v>
      </c>
      <c r="D2193" s="21">
        <f t="shared" si="73"/>
        <v>2.13890339425587</v>
      </c>
    </row>
    <row r="2194" ht="14.4" spans="2:4">
      <c r="B2194" s="20">
        <v>8728</v>
      </c>
      <c r="C2194" s="21">
        <f t="shared" si="72"/>
        <v>6.60836029053899</v>
      </c>
      <c r="D2194" s="21">
        <f t="shared" si="73"/>
        <v>2.14002089864159</v>
      </c>
    </row>
    <row r="2195" ht="14.4" spans="2:4">
      <c r="B2195" s="20">
        <v>8732</v>
      </c>
      <c r="C2195" s="21">
        <f t="shared" si="72"/>
        <v>6.61289955880957</v>
      </c>
      <c r="D2195" s="21">
        <f t="shared" si="73"/>
        <v>2.14113957135389</v>
      </c>
    </row>
    <row r="2196" ht="14.4" spans="2:4">
      <c r="B2196" s="20">
        <v>8736</v>
      </c>
      <c r="C2196" s="21">
        <f t="shared" si="72"/>
        <v>6.61744120055386</v>
      </c>
      <c r="D2196" s="21">
        <f t="shared" si="73"/>
        <v>2.14225941422594</v>
      </c>
    </row>
    <row r="2197" ht="14.4" spans="2:4">
      <c r="B2197" s="20">
        <v>8740</v>
      </c>
      <c r="C2197" s="21">
        <f t="shared" si="72"/>
        <v>6.62198521825523</v>
      </c>
      <c r="D2197" s="21">
        <f t="shared" si="73"/>
        <v>2.14338042909471</v>
      </c>
    </row>
    <row r="2198" ht="14.4" spans="2:4">
      <c r="B2198" s="20">
        <v>8744</v>
      </c>
      <c r="C2198" s="21">
        <f t="shared" si="72"/>
        <v>6.62653161440094</v>
      </c>
      <c r="D2198" s="21">
        <f t="shared" si="73"/>
        <v>2.14450261780105</v>
      </c>
    </row>
    <row r="2199" ht="14.4" spans="2:4">
      <c r="B2199" s="20">
        <v>8748</v>
      </c>
      <c r="C2199" s="21">
        <f t="shared" si="72"/>
        <v>6.63108039148215</v>
      </c>
      <c r="D2199" s="21">
        <f t="shared" si="73"/>
        <v>2.14562598218963</v>
      </c>
    </row>
    <row r="2200" ht="14.4" spans="2:4">
      <c r="B2200" s="20">
        <v>8752</v>
      </c>
      <c r="C2200" s="21">
        <f t="shared" si="72"/>
        <v>6.63563155199396</v>
      </c>
      <c r="D2200" s="21">
        <f t="shared" si="73"/>
        <v>2.14675052410901</v>
      </c>
    </row>
    <row r="2201" ht="14.4" spans="2:4">
      <c r="B2201" s="20">
        <v>8756</v>
      </c>
      <c r="C2201" s="21">
        <f t="shared" si="72"/>
        <v>6.64018509843538</v>
      </c>
      <c r="D2201" s="21">
        <f t="shared" si="73"/>
        <v>2.14787624541164</v>
      </c>
    </row>
    <row r="2202" ht="14.4" spans="2:4">
      <c r="B2202" s="20">
        <v>8760</v>
      </c>
      <c r="C2202" s="21">
        <f t="shared" si="72"/>
        <v>6.64474103330933</v>
      </c>
      <c r="D2202" s="21">
        <f t="shared" si="73"/>
        <v>2.14900314795383</v>
      </c>
    </row>
    <row r="2203" ht="14.4" spans="2:4">
      <c r="B2203" s="20">
        <v>8764</v>
      </c>
      <c r="C2203" s="21">
        <f t="shared" si="72"/>
        <v>6.64929935912272</v>
      </c>
      <c r="D2203" s="21">
        <f t="shared" si="73"/>
        <v>2.1501312335958</v>
      </c>
    </row>
    <row r="2204" ht="14.4" spans="2:4">
      <c r="B2204" s="20">
        <v>8768</v>
      </c>
      <c r="C2204" s="21">
        <f t="shared" si="72"/>
        <v>6.65386007838638</v>
      </c>
      <c r="D2204" s="21">
        <f t="shared" si="73"/>
        <v>2.15126050420168</v>
      </c>
    </row>
    <row r="2205" ht="14.4" spans="2:4">
      <c r="B2205" s="20">
        <v>8772</v>
      </c>
      <c r="C2205" s="21">
        <f t="shared" si="72"/>
        <v>6.65842319361508</v>
      </c>
      <c r="D2205" s="21">
        <f t="shared" si="73"/>
        <v>2.15239096163952</v>
      </c>
    </row>
    <row r="2206" ht="14.4" spans="2:4">
      <c r="B2206" s="20">
        <v>8776</v>
      </c>
      <c r="C2206" s="21">
        <f t="shared" si="72"/>
        <v>6.66298870732758</v>
      </c>
      <c r="D2206" s="21">
        <f t="shared" si="73"/>
        <v>2.15352260778128</v>
      </c>
    </row>
    <row r="2207" ht="14.4" spans="2:4">
      <c r="B2207" s="20">
        <v>8780</v>
      </c>
      <c r="C2207" s="21">
        <f t="shared" si="72"/>
        <v>6.66755662204662</v>
      </c>
      <c r="D2207" s="21">
        <f t="shared" si="73"/>
        <v>2.15465544450289</v>
      </c>
    </row>
    <row r="2208" ht="14.4" spans="2:4">
      <c r="B2208" s="20">
        <v>8784</v>
      </c>
      <c r="C2208" s="21">
        <f t="shared" si="72"/>
        <v>6.67212694029891</v>
      </c>
      <c r="D2208" s="21">
        <f t="shared" si="73"/>
        <v>2.15578947368421</v>
      </c>
    </row>
    <row r="2209" ht="14.4" spans="2:4">
      <c r="B2209" s="20">
        <v>8788</v>
      </c>
      <c r="C2209" s="21">
        <f t="shared" si="72"/>
        <v>6.67669966461514</v>
      </c>
      <c r="D2209" s="21">
        <f t="shared" si="73"/>
        <v>2.15692469720906</v>
      </c>
    </row>
    <row r="2210" ht="14.4" spans="2:4">
      <c r="B2210" s="20">
        <v>8792</v>
      </c>
      <c r="C2210" s="21">
        <f t="shared" si="72"/>
        <v>6.68127479753001</v>
      </c>
      <c r="D2210" s="21">
        <f t="shared" si="73"/>
        <v>2.15806111696523</v>
      </c>
    </row>
    <row r="2211" ht="14.4" spans="2:4">
      <c r="B2211" s="20">
        <v>8796</v>
      </c>
      <c r="C2211" s="21">
        <f t="shared" si="72"/>
        <v>6.68585234158224</v>
      </c>
      <c r="D2211" s="21">
        <f t="shared" si="73"/>
        <v>2.15919873484449</v>
      </c>
    </row>
    <row r="2212" ht="14.4" spans="2:4">
      <c r="B2212" s="20">
        <v>8800</v>
      </c>
      <c r="C2212" s="21">
        <f t="shared" si="72"/>
        <v>6.69043229931454</v>
      </c>
      <c r="D2212" s="21">
        <f t="shared" si="73"/>
        <v>2.16033755274262</v>
      </c>
    </row>
    <row r="2213" ht="14.4" spans="2:4">
      <c r="B2213" s="20">
        <v>8804</v>
      </c>
      <c r="C2213" s="21">
        <f t="shared" si="72"/>
        <v>6.69501467327366</v>
      </c>
      <c r="D2213" s="21">
        <f t="shared" si="73"/>
        <v>2.16147757255937</v>
      </c>
    </row>
    <row r="2214" ht="14.4" spans="2:4">
      <c r="B2214" s="20">
        <v>8808</v>
      </c>
      <c r="C2214" s="21">
        <f t="shared" si="72"/>
        <v>6.69959946601039</v>
      </c>
      <c r="D2214" s="21">
        <f t="shared" si="73"/>
        <v>2.16261879619852</v>
      </c>
    </row>
    <row r="2215" ht="14.4" spans="2:4">
      <c r="B2215" s="20">
        <v>8812</v>
      </c>
      <c r="C2215" s="21">
        <f t="shared" si="72"/>
        <v>6.70418668007955</v>
      </c>
      <c r="D2215" s="21">
        <f t="shared" si="73"/>
        <v>2.16376122556788</v>
      </c>
    </row>
    <row r="2216" ht="14.4" spans="2:4">
      <c r="B2216" s="20">
        <v>8816</v>
      </c>
      <c r="C2216" s="21">
        <f t="shared" si="72"/>
        <v>6.70877631804001</v>
      </c>
      <c r="D2216" s="21">
        <f t="shared" si="73"/>
        <v>2.16490486257928</v>
      </c>
    </row>
    <row r="2217" ht="14.4" spans="2:4">
      <c r="B2217" s="20">
        <v>8820</v>
      </c>
      <c r="C2217" s="21">
        <f t="shared" si="72"/>
        <v>6.71336838245469</v>
      </c>
      <c r="D2217" s="21">
        <f t="shared" si="73"/>
        <v>2.1660497091486</v>
      </c>
    </row>
    <row r="2218" ht="14.4" spans="2:4">
      <c r="B2218" s="20">
        <v>8824</v>
      </c>
      <c r="C2218" s="21">
        <f t="shared" si="72"/>
        <v>6.7179628758906</v>
      </c>
      <c r="D2218" s="21">
        <f t="shared" si="73"/>
        <v>2.16719576719577</v>
      </c>
    </row>
    <row r="2219" ht="14.4" spans="2:4">
      <c r="B2219" s="20">
        <v>8828</v>
      </c>
      <c r="C2219" s="21">
        <f t="shared" si="72"/>
        <v>6.72255980091882</v>
      </c>
      <c r="D2219" s="21">
        <f t="shared" si="73"/>
        <v>2.16834303864479</v>
      </c>
    </row>
    <row r="2220" ht="14.4" spans="2:4">
      <c r="B2220" s="20">
        <v>8832</v>
      </c>
      <c r="C2220" s="21">
        <f t="shared" si="72"/>
        <v>6.72715916011448</v>
      </c>
      <c r="D2220" s="21">
        <f t="shared" si="73"/>
        <v>2.16949152542373</v>
      </c>
    </row>
    <row r="2221" ht="14.4" spans="2:4">
      <c r="B2221" s="20">
        <v>8836</v>
      </c>
      <c r="C2221" s="21">
        <f t="shared" si="72"/>
        <v>6.73176095605686</v>
      </c>
      <c r="D2221" s="21">
        <f t="shared" si="73"/>
        <v>2.17064122946476</v>
      </c>
    </row>
    <row r="2222" ht="14.4" spans="2:4">
      <c r="B2222" s="20">
        <v>8840</v>
      </c>
      <c r="C2222" s="21">
        <f t="shared" si="72"/>
        <v>6.7363651913293</v>
      </c>
      <c r="D2222" s="21">
        <f t="shared" si="73"/>
        <v>2.17179215270414</v>
      </c>
    </row>
    <row r="2223" ht="14.4" spans="2:4">
      <c r="B2223" s="20">
        <v>8844</v>
      </c>
      <c r="C2223" s="21">
        <f t="shared" si="72"/>
        <v>6.74097186851925</v>
      </c>
      <c r="D2223" s="21">
        <f t="shared" si="73"/>
        <v>2.17294429708223</v>
      </c>
    </row>
    <row r="2224" ht="14.4" spans="2:4">
      <c r="B2224" s="20">
        <v>8848</v>
      </c>
      <c r="C2224" s="21">
        <f t="shared" si="72"/>
        <v>6.74558099021831</v>
      </c>
      <c r="D2224" s="21">
        <f t="shared" si="73"/>
        <v>2.17409766454352</v>
      </c>
    </row>
    <row r="2225" ht="14.4" spans="2:4">
      <c r="B2225" s="20">
        <v>8852</v>
      </c>
      <c r="C2225" s="21">
        <f t="shared" si="72"/>
        <v>6.75019255902219</v>
      </c>
      <c r="D2225" s="21">
        <f t="shared" si="73"/>
        <v>2.17525225703664</v>
      </c>
    </row>
    <row r="2226" ht="14.4" spans="2:4">
      <c r="B2226" s="20">
        <v>8856</v>
      </c>
      <c r="C2226" s="21">
        <f t="shared" si="72"/>
        <v>6.75480657753072</v>
      </c>
      <c r="D2226" s="21">
        <f t="shared" si="73"/>
        <v>2.17640807651435</v>
      </c>
    </row>
    <row r="2227" ht="14.4" spans="2:4">
      <c r="B2227" s="20">
        <v>8860</v>
      </c>
      <c r="C2227" s="21">
        <f t="shared" si="72"/>
        <v>6.75942304834791</v>
      </c>
      <c r="D2227" s="21">
        <f t="shared" si="73"/>
        <v>2.17756512493355</v>
      </c>
    </row>
    <row r="2228" ht="14.4" spans="2:4">
      <c r="B2228" s="20">
        <v>8864</v>
      </c>
      <c r="C2228" s="21">
        <f t="shared" si="72"/>
        <v>6.76404197408189</v>
      </c>
      <c r="D2228" s="21">
        <f t="shared" si="73"/>
        <v>2.17872340425532</v>
      </c>
    </row>
    <row r="2229" ht="14.4" spans="2:4">
      <c r="B2229" s="20">
        <v>8868</v>
      </c>
      <c r="C2229" s="21">
        <f t="shared" si="72"/>
        <v>6.76866335734497</v>
      </c>
      <c r="D2229" s="21">
        <f t="shared" si="73"/>
        <v>2.17988291644492</v>
      </c>
    </row>
    <row r="2230" ht="14.4" spans="2:4">
      <c r="B2230" s="20">
        <v>8872</v>
      </c>
      <c r="C2230" s="21">
        <f t="shared" si="72"/>
        <v>6.77328720075364</v>
      </c>
      <c r="D2230" s="21">
        <f t="shared" si="73"/>
        <v>2.18104366347178</v>
      </c>
    </row>
    <row r="2231" ht="14.4" spans="2:4">
      <c r="B2231" s="20">
        <v>8876</v>
      </c>
      <c r="C2231" s="21">
        <f t="shared" si="72"/>
        <v>6.77791350692856</v>
      </c>
      <c r="D2231" s="21">
        <f t="shared" si="73"/>
        <v>2.18220564730954</v>
      </c>
    </row>
    <row r="2232" ht="14.4" spans="2:4">
      <c r="B2232" s="20">
        <v>8880</v>
      </c>
      <c r="C2232" s="21">
        <f t="shared" si="72"/>
        <v>6.78254227849457</v>
      </c>
      <c r="D2232" s="21">
        <f t="shared" si="73"/>
        <v>2.18336886993603</v>
      </c>
    </row>
    <row r="2233" ht="14.4" spans="2:4">
      <c r="B2233" s="20">
        <v>8884</v>
      </c>
      <c r="C2233" s="21">
        <f t="shared" si="72"/>
        <v>6.78717351808073</v>
      </c>
      <c r="D2233" s="21">
        <f t="shared" si="73"/>
        <v>2.18453333333333</v>
      </c>
    </row>
    <row r="2234" ht="14.4" spans="2:4">
      <c r="B2234" s="20">
        <v>8888</v>
      </c>
      <c r="C2234" s="21">
        <f t="shared" si="72"/>
        <v>6.7918072283203</v>
      </c>
      <c r="D2234" s="21">
        <f t="shared" si="73"/>
        <v>2.18569903948773</v>
      </c>
    </row>
    <row r="2235" ht="14.4" spans="2:4">
      <c r="B2235" s="20">
        <v>8892</v>
      </c>
      <c r="C2235" s="21">
        <f t="shared" si="72"/>
        <v>6.79644341185074</v>
      </c>
      <c r="D2235" s="21">
        <f t="shared" si="73"/>
        <v>2.18686599038975</v>
      </c>
    </row>
    <row r="2236" ht="14.4" spans="2:4">
      <c r="B2236" s="20">
        <v>8896</v>
      </c>
      <c r="C2236" s="21">
        <f t="shared" si="72"/>
        <v>6.80108207131376</v>
      </c>
      <c r="D2236" s="21">
        <f t="shared" si="73"/>
        <v>2.18803418803419</v>
      </c>
    </row>
    <row r="2237" ht="14.4" spans="2:4">
      <c r="B2237" s="20">
        <v>8900</v>
      </c>
      <c r="C2237" s="21">
        <f t="shared" si="72"/>
        <v>6.80572320935529</v>
      </c>
      <c r="D2237" s="21">
        <f t="shared" si="73"/>
        <v>2.1892036344201</v>
      </c>
    </row>
    <row r="2238" ht="14.4" spans="2:4">
      <c r="B2238" s="20">
        <v>8904</v>
      </c>
      <c r="C2238" s="21">
        <f t="shared" si="72"/>
        <v>6.81036682862551</v>
      </c>
      <c r="D2238" s="21">
        <f t="shared" si="73"/>
        <v>2.1903743315508</v>
      </c>
    </row>
    <row r="2239" ht="14.4" spans="2:4">
      <c r="B2239" s="20">
        <v>8908</v>
      </c>
      <c r="C2239" s="21">
        <f t="shared" si="72"/>
        <v>6.81501293177885</v>
      </c>
      <c r="D2239" s="21">
        <f t="shared" si="73"/>
        <v>2.19154628143392</v>
      </c>
    </row>
    <row r="2240" ht="14.4" spans="2:4">
      <c r="B2240" s="20">
        <v>8912</v>
      </c>
      <c r="C2240" s="21">
        <f t="shared" si="72"/>
        <v>6.819661521474</v>
      </c>
      <c r="D2240" s="21">
        <f t="shared" si="73"/>
        <v>2.19271948608137</v>
      </c>
    </row>
    <row r="2241" ht="14.4" spans="2:4">
      <c r="B2241" s="20">
        <v>8916</v>
      </c>
      <c r="C2241" s="21">
        <f t="shared" si="72"/>
        <v>6.82431260037392</v>
      </c>
      <c r="D2241" s="21">
        <f t="shared" si="73"/>
        <v>2.19389394750937</v>
      </c>
    </row>
    <row r="2242" ht="14.4" spans="2:4">
      <c r="B2242" s="20">
        <v>8920</v>
      </c>
      <c r="C2242" s="21">
        <f t="shared" si="72"/>
        <v>6.82896617114586</v>
      </c>
      <c r="D2242" s="21">
        <f t="shared" si="73"/>
        <v>2.19506966773848</v>
      </c>
    </row>
    <row r="2243" ht="14.4" spans="2:4">
      <c r="B2243" s="20">
        <v>8924</v>
      </c>
      <c r="C2243" s="21">
        <f t="shared" si="72"/>
        <v>6.83362223646136</v>
      </c>
      <c r="D2243" s="21">
        <f t="shared" si="73"/>
        <v>2.19624664879357</v>
      </c>
    </row>
    <row r="2244" ht="14.4" spans="2:4">
      <c r="B2244" s="20">
        <v>8928</v>
      </c>
      <c r="C2244" s="21">
        <f t="shared" si="72"/>
        <v>6.83828079899624</v>
      </c>
      <c r="D2244" s="21">
        <f t="shared" si="73"/>
        <v>2.19742489270386</v>
      </c>
    </row>
    <row r="2245" ht="14.4" spans="2:4">
      <c r="B2245" s="20">
        <v>8932</v>
      </c>
      <c r="C2245" s="21">
        <f t="shared" si="72"/>
        <v>6.84294186143063</v>
      </c>
      <c r="D2245" s="21">
        <f t="shared" si="73"/>
        <v>2.19860440150295</v>
      </c>
    </row>
    <row r="2246" ht="14.4" spans="2:4">
      <c r="B2246" s="20">
        <v>8936</v>
      </c>
      <c r="C2246" s="21">
        <f t="shared" si="72"/>
        <v>6.84760542644901</v>
      </c>
      <c r="D2246" s="21">
        <f t="shared" si="73"/>
        <v>2.19978517722879</v>
      </c>
    </row>
    <row r="2247" ht="14.4" spans="2:4">
      <c r="B2247" s="20">
        <v>8940</v>
      </c>
      <c r="C2247" s="21">
        <f t="shared" si="72"/>
        <v>6.85227149674015</v>
      </c>
      <c r="D2247" s="21">
        <f t="shared" si="73"/>
        <v>2.2009672219237</v>
      </c>
    </row>
    <row r="2248" ht="14.4" spans="2:4">
      <c r="B2248" s="20">
        <v>8944</v>
      </c>
      <c r="C2248" s="21">
        <f t="shared" si="72"/>
        <v>6.85694007499716</v>
      </c>
      <c r="D2248" s="21">
        <f t="shared" si="73"/>
        <v>2.20215053763441</v>
      </c>
    </row>
    <row r="2249" ht="14.4" spans="2:4">
      <c r="B2249" s="20">
        <v>8948</v>
      </c>
      <c r="C2249" s="21">
        <f t="shared" si="72"/>
        <v>6.86161116391752</v>
      </c>
      <c r="D2249" s="21">
        <f t="shared" si="73"/>
        <v>2.20333512641205</v>
      </c>
    </row>
    <row r="2250" ht="14.4" spans="2:4">
      <c r="B2250" s="20">
        <v>8952</v>
      </c>
      <c r="C2250" s="21">
        <f t="shared" si="72"/>
        <v>6.86628476620303</v>
      </c>
      <c r="D2250" s="21">
        <f t="shared" si="73"/>
        <v>2.20452099031216</v>
      </c>
    </row>
    <row r="2251" ht="14.4" spans="2:4">
      <c r="B2251" s="20">
        <v>8956</v>
      </c>
      <c r="C2251" s="21">
        <f t="shared" si="72"/>
        <v>6.87096088455988</v>
      </c>
      <c r="D2251" s="21">
        <f t="shared" si="73"/>
        <v>2.20570813139472</v>
      </c>
    </row>
    <row r="2252" ht="14.4" spans="2:4">
      <c r="B2252" s="20">
        <v>8960</v>
      </c>
      <c r="C2252" s="21">
        <f t="shared" si="72"/>
        <v>6.87563952169862</v>
      </c>
      <c r="D2252" s="21">
        <f t="shared" si="73"/>
        <v>2.20689655172414</v>
      </c>
    </row>
    <row r="2253" ht="14.4" spans="2:4">
      <c r="B2253" s="20">
        <v>8964</v>
      </c>
      <c r="C2253" s="21">
        <f t="shared" ref="C2253:C2316" si="74">20*LOG(D2253)</f>
        <v>6.88032068033419</v>
      </c>
      <c r="D2253" s="21">
        <f t="shared" ref="D2253:D2316" si="75">16384/(16384-B2253)</f>
        <v>2.20808625336927</v>
      </c>
    </row>
    <row r="2254" ht="14.4" spans="2:4">
      <c r="B2254" s="20">
        <v>8968</v>
      </c>
      <c r="C2254" s="21">
        <f t="shared" si="74"/>
        <v>6.88500436318592</v>
      </c>
      <c r="D2254" s="21">
        <f t="shared" si="75"/>
        <v>2.20927723840345</v>
      </c>
    </row>
    <row r="2255" ht="14.4" spans="2:4">
      <c r="B2255" s="20">
        <v>8972</v>
      </c>
      <c r="C2255" s="21">
        <f t="shared" si="74"/>
        <v>6.88969057297754</v>
      </c>
      <c r="D2255" s="21">
        <f t="shared" si="75"/>
        <v>2.21046950890448</v>
      </c>
    </row>
    <row r="2256" ht="14.4" spans="2:4">
      <c r="B2256" s="20">
        <v>8976</v>
      </c>
      <c r="C2256" s="21">
        <f t="shared" si="74"/>
        <v>6.89437931243718</v>
      </c>
      <c r="D2256" s="21">
        <f t="shared" si="75"/>
        <v>2.21166306695464</v>
      </c>
    </row>
    <row r="2257" ht="14.4" spans="2:4">
      <c r="B2257" s="20">
        <v>8980</v>
      </c>
      <c r="C2257" s="21">
        <f t="shared" si="74"/>
        <v>6.8990705842974</v>
      </c>
      <c r="D2257" s="21">
        <f t="shared" si="75"/>
        <v>2.21285791464073</v>
      </c>
    </row>
    <row r="2258" ht="14.4" spans="2:4">
      <c r="B2258" s="20">
        <v>8984</v>
      </c>
      <c r="C2258" s="21">
        <f t="shared" si="74"/>
        <v>6.90376439129521</v>
      </c>
      <c r="D2258" s="21">
        <f t="shared" si="75"/>
        <v>2.21405405405405</v>
      </c>
    </row>
    <row r="2259" ht="14.4" spans="2:4">
      <c r="B2259" s="20">
        <v>8988</v>
      </c>
      <c r="C2259" s="21">
        <f t="shared" si="74"/>
        <v>6.90846073617203</v>
      </c>
      <c r="D2259" s="21">
        <f t="shared" si="75"/>
        <v>2.21525148729043</v>
      </c>
    </row>
    <row r="2260" ht="14.4" spans="2:4">
      <c r="B2260" s="20">
        <v>8992</v>
      </c>
      <c r="C2260" s="21">
        <f t="shared" si="74"/>
        <v>6.91315962167373</v>
      </c>
      <c r="D2260" s="21">
        <f t="shared" si="75"/>
        <v>2.21645021645022</v>
      </c>
    </row>
    <row r="2261" ht="14.4" spans="2:4">
      <c r="B2261" s="20">
        <v>8996</v>
      </c>
      <c r="C2261" s="21">
        <f t="shared" si="74"/>
        <v>6.91786105055066</v>
      </c>
      <c r="D2261" s="21">
        <f t="shared" si="75"/>
        <v>2.21765024363833</v>
      </c>
    </row>
    <row r="2262" ht="14.4" spans="2:4">
      <c r="B2262" s="20">
        <v>9000</v>
      </c>
      <c r="C2262" s="21">
        <f t="shared" si="74"/>
        <v>6.92256502555762</v>
      </c>
      <c r="D2262" s="21">
        <f t="shared" si="75"/>
        <v>2.21885157096425</v>
      </c>
    </row>
    <row r="2263" ht="14.4" spans="2:4">
      <c r="B2263" s="20">
        <v>9004</v>
      </c>
      <c r="C2263" s="21">
        <f t="shared" si="74"/>
        <v>6.9272715494539</v>
      </c>
      <c r="D2263" s="21">
        <f t="shared" si="75"/>
        <v>2.22005420054201</v>
      </c>
    </row>
    <row r="2264" ht="14.4" spans="2:4">
      <c r="B2264" s="20">
        <v>9008</v>
      </c>
      <c r="C2264" s="21">
        <f t="shared" si="74"/>
        <v>6.93198062500328</v>
      </c>
      <c r="D2264" s="21">
        <f t="shared" si="75"/>
        <v>2.22125813449024</v>
      </c>
    </row>
    <row r="2265" ht="14.4" spans="2:4">
      <c r="B2265" s="20">
        <v>9012</v>
      </c>
      <c r="C2265" s="21">
        <f t="shared" si="74"/>
        <v>6.93669225497401</v>
      </c>
      <c r="D2265" s="21">
        <f t="shared" si="75"/>
        <v>2.22246337493218</v>
      </c>
    </row>
    <row r="2266" ht="14.4" spans="2:4">
      <c r="B2266" s="20">
        <v>9016</v>
      </c>
      <c r="C2266" s="21">
        <f t="shared" si="74"/>
        <v>6.94140644213888</v>
      </c>
      <c r="D2266" s="21">
        <f t="shared" si="75"/>
        <v>2.22366992399566</v>
      </c>
    </row>
    <row r="2267" ht="14.4" spans="2:4">
      <c r="B2267" s="20">
        <v>9020</v>
      </c>
      <c r="C2267" s="21">
        <f t="shared" si="74"/>
        <v>6.94612318927519</v>
      </c>
      <c r="D2267" s="21">
        <f t="shared" si="75"/>
        <v>2.22487778381314</v>
      </c>
    </row>
    <row r="2268" ht="14.4" spans="2:4">
      <c r="B2268" s="20">
        <v>9024</v>
      </c>
      <c r="C2268" s="21">
        <f t="shared" si="74"/>
        <v>6.95084249916476</v>
      </c>
      <c r="D2268" s="21">
        <f t="shared" si="75"/>
        <v>2.22608695652174</v>
      </c>
    </row>
    <row r="2269" ht="14.4" spans="2:4">
      <c r="B2269" s="20">
        <v>9028</v>
      </c>
      <c r="C2269" s="21">
        <f t="shared" si="74"/>
        <v>6.95556437459394</v>
      </c>
      <c r="D2269" s="21">
        <f t="shared" si="75"/>
        <v>2.22729744426319</v>
      </c>
    </row>
    <row r="2270" ht="14.4" spans="2:4">
      <c r="B2270" s="20">
        <v>9032</v>
      </c>
      <c r="C2270" s="21">
        <f t="shared" si="74"/>
        <v>6.96028881835364</v>
      </c>
      <c r="D2270" s="21">
        <f t="shared" si="75"/>
        <v>2.2285092491839</v>
      </c>
    </row>
    <row r="2271" ht="14.4" spans="2:4">
      <c r="B2271" s="20">
        <v>9036</v>
      </c>
      <c r="C2271" s="21">
        <f t="shared" si="74"/>
        <v>6.96501583323932</v>
      </c>
      <c r="D2271" s="21">
        <f t="shared" si="75"/>
        <v>2.22972237343495</v>
      </c>
    </row>
    <row r="2272" ht="14.4" spans="2:4">
      <c r="B2272" s="20">
        <v>9040</v>
      </c>
      <c r="C2272" s="21">
        <f t="shared" si="74"/>
        <v>6.96974542205101</v>
      </c>
      <c r="D2272" s="21">
        <f t="shared" si="75"/>
        <v>2.23093681917211</v>
      </c>
    </row>
    <row r="2273" ht="14.4" spans="2:4">
      <c r="B2273" s="20">
        <v>9044</v>
      </c>
      <c r="C2273" s="21">
        <f t="shared" si="74"/>
        <v>6.97447758759332</v>
      </c>
      <c r="D2273" s="21">
        <f t="shared" si="75"/>
        <v>2.23215258855586</v>
      </c>
    </row>
    <row r="2274" ht="14.4" spans="2:4">
      <c r="B2274" s="20">
        <v>9048</v>
      </c>
      <c r="C2274" s="21">
        <f t="shared" si="74"/>
        <v>6.97921233267544</v>
      </c>
      <c r="D2274" s="21">
        <f t="shared" si="75"/>
        <v>2.23336968375136</v>
      </c>
    </row>
    <row r="2275" ht="14.4" spans="2:4">
      <c r="B2275" s="20">
        <v>9052</v>
      </c>
      <c r="C2275" s="21">
        <f t="shared" si="74"/>
        <v>6.98394966011115</v>
      </c>
      <c r="D2275" s="21">
        <f t="shared" si="75"/>
        <v>2.23458810692853</v>
      </c>
    </row>
    <row r="2276" ht="14.4" spans="2:4">
      <c r="B2276" s="20">
        <v>9056</v>
      </c>
      <c r="C2276" s="21">
        <f t="shared" si="74"/>
        <v>6.98868957271885</v>
      </c>
      <c r="D2276" s="21">
        <f t="shared" si="75"/>
        <v>2.23580786026201</v>
      </c>
    </row>
    <row r="2277" ht="14.4" spans="2:4">
      <c r="B2277" s="20">
        <v>9060</v>
      </c>
      <c r="C2277" s="21">
        <f t="shared" si="74"/>
        <v>6.99343207332156</v>
      </c>
      <c r="D2277" s="21">
        <f t="shared" si="75"/>
        <v>2.23702894593118</v>
      </c>
    </row>
    <row r="2278" ht="14.4" spans="2:4">
      <c r="B2278" s="20">
        <v>9064</v>
      </c>
      <c r="C2278" s="21">
        <f t="shared" si="74"/>
        <v>6.9981771647469</v>
      </c>
      <c r="D2278" s="21">
        <f t="shared" si="75"/>
        <v>2.23825136612022</v>
      </c>
    </row>
    <row r="2279" ht="14.4" spans="2:4">
      <c r="B2279" s="20">
        <v>9068</v>
      </c>
      <c r="C2279" s="21">
        <f t="shared" si="74"/>
        <v>7.00292484982715</v>
      </c>
      <c r="D2279" s="21">
        <f t="shared" si="75"/>
        <v>2.23947512301804</v>
      </c>
    </row>
    <row r="2280" ht="14.4" spans="2:4">
      <c r="B2280" s="20">
        <v>9072</v>
      </c>
      <c r="C2280" s="21">
        <f t="shared" si="74"/>
        <v>7.00767513139923</v>
      </c>
      <c r="D2280" s="21">
        <f t="shared" si="75"/>
        <v>2.24070021881838</v>
      </c>
    </row>
    <row r="2281" ht="14.4" spans="2:4">
      <c r="B2281" s="20">
        <v>9076</v>
      </c>
      <c r="C2281" s="21">
        <f t="shared" si="74"/>
        <v>7.01242801230473</v>
      </c>
      <c r="D2281" s="21">
        <f t="shared" si="75"/>
        <v>2.24192665571976</v>
      </c>
    </row>
    <row r="2282" ht="14.4" spans="2:4">
      <c r="B2282" s="20">
        <v>9080</v>
      </c>
      <c r="C2282" s="21">
        <f t="shared" si="74"/>
        <v>7.01718349538988</v>
      </c>
      <c r="D2282" s="21">
        <f t="shared" si="75"/>
        <v>2.24315443592552</v>
      </c>
    </row>
    <row r="2283" ht="14.4" spans="2:4">
      <c r="B2283" s="20">
        <v>9084</v>
      </c>
      <c r="C2283" s="21">
        <f t="shared" si="74"/>
        <v>7.02194158350562</v>
      </c>
      <c r="D2283" s="21">
        <f t="shared" si="75"/>
        <v>2.24438356164384</v>
      </c>
    </row>
    <row r="2284" ht="14.4" spans="2:4">
      <c r="B2284" s="20">
        <v>9088</v>
      </c>
      <c r="C2284" s="21">
        <f t="shared" si="74"/>
        <v>7.02670227950754</v>
      </c>
      <c r="D2284" s="21">
        <f t="shared" si="75"/>
        <v>2.24561403508772</v>
      </c>
    </row>
    <row r="2285" ht="14.4" spans="2:4">
      <c r="B2285" s="20">
        <v>9092</v>
      </c>
      <c r="C2285" s="21">
        <f t="shared" si="74"/>
        <v>7.03146558625596</v>
      </c>
      <c r="D2285" s="21">
        <f t="shared" si="75"/>
        <v>2.24684585847504</v>
      </c>
    </row>
    <row r="2286" ht="14.4" spans="2:4">
      <c r="B2286" s="20">
        <v>9096</v>
      </c>
      <c r="C2286" s="21">
        <f t="shared" si="74"/>
        <v>7.0362315066159</v>
      </c>
      <c r="D2286" s="21">
        <f t="shared" si="75"/>
        <v>2.24807903402854</v>
      </c>
    </row>
    <row r="2287" ht="14.4" spans="2:4">
      <c r="B2287" s="20">
        <v>9100</v>
      </c>
      <c r="C2287" s="21">
        <f t="shared" si="74"/>
        <v>7.04100004345709</v>
      </c>
      <c r="D2287" s="21">
        <f t="shared" si="75"/>
        <v>2.24931356397584</v>
      </c>
    </row>
    <row r="2288" ht="14.4" spans="2:4">
      <c r="B2288" s="20">
        <v>9104</v>
      </c>
      <c r="C2288" s="21">
        <f t="shared" si="74"/>
        <v>7.04577119965399</v>
      </c>
      <c r="D2288" s="21">
        <f t="shared" si="75"/>
        <v>2.25054945054945</v>
      </c>
    </row>
    <row r="2289" ht="14.4" spans="2:4">
      <c r="B2289" s="20">
        <v>9108</v>
      </c>
      <c r="C2289" s="21">
        <f t="shared" si="74"/>
        <v>7.05054497808582</v>
      </c>
      <c r="D2289" s="21">
        <f t="shared" si="75"/>
        <v>2.25178669598681</v>
      </c>
    </row>
    <row r="2290" ht="14.4" spans="2:4">
      <c r="B2290" s="20">
        <v>9112</v>
      </c>
      <c r="C2290" s="21">
        <f t="shared" si="74"/>
        <v>7.05532138163651</v>
      </c>
      <c r="D2290" s="21">
        <f t="shared" si="75"/>
        <v>2.25302530253025</v>
      </c>
    </row>
    <row r="2291" ht="14.4" spans="2:4">
      <c r="B2291" s="20">
        <v>9116</v>
      </c>
      <c r="C2291" s="21">
        <f t="shared" si="74"/>
        <v>7.0601004131948</v>
      </c>
      <c r="D2291" s="21">
        <f t="shared" si="75"/>
        <v>2.25426527242708</v>
      </c>
    </row>
    <row r="2292" ht="14.4" spans="2:4">
      <c r="B2292" s="20">
        <v>9120</v>
      </c>
      <c r="C2292" s="21">
        <f t="shared" si="74"/>
        <v>7.06488207565416</v>
      </c>
      <c r="D2292" s="21">
        <f t="shared" si="75"/>
        <v>2.25550660792952</v>
      </c>
    </row>
    <row r="2293" ht="14.4" spans="2:4">
      <c r="B2293" s="20">
        <v>9124</v>
      </c>
      <c r="C2293" s="21">
        <f t="shared" si="74"/>
        <v>7.06966637191286</v>
      </c>
      <c r="D2293" s="21">
        <f t="shared" si="75"/>
        <v>2.25674931129477</v>
      </c>
    </row>
    <row r="2294" ht="14.4" spans="2:4">
      <c r="B2294" s="20">
        <v>9128</v>
      </c>
      <c r="C2294" s="21">
        <f t="shared" si="74"/>
        <v>7.07445330487396</v>
      </c>
      <c r="D2294" s="21">
        <f t="shared" si="75"/>
        <v>2.25799338478501</v>
      </c>
    </row>
    <row r="2295" ht="14.4" spans="2:4">
      <c r="B2295" s="20">
        <v>9132</v>
      </c>
      <c r="C2295" s="21">
        <f t="shared" si="74"/>
        <v>7.07924287744531</v>
      </c>
      <c r="D2295" s="21">
        <f t="shared" si="75"/>
        <v>2.2592388306674</v>
      </c>
    </row>
    <row r="2296" ht="14.4" spans="2:4">
      <c r="B2296" s="20">
        <v>9136</v>
      </c>
      <c r="C2296" s="21">
        <f t="shared" si="74"/>
        <v>7.0840350925396</v>
      </c>
      <c r="D2296" s="21">
        <f t="shared" si="75"/>
        <v>2.26048565121413</v>
      </c>
    </row>
    <row r="2297" ht="14.4" spans="2:4">
      <c r="B2297" s="20">
        <v>9140</v>
      </c>
      <c r="C2297" s="21">
        <f t="shared" si="74"/>
        <v>7.08882995307432</v>
      </c>
      <c r="D2297" s="21">
        <f t="shared" si="75"/>
        <v>2.26173384870237</v>
      </c>
    </row>
    <row r="2298" ht="14.4" spans="2:4">
      <c r="B2298" s="20">
        <v>9144</v>
      </c>
      <c r="C2298" s="21">
        <f t="shared" si="74"/>
        <v>7.0936274619718</v>
      </c>
      <c r="D2298" s="21">
        <f t="shared" si="75"/>
        <v>2.26298342541436</v>
      </c>
    </row>
    <row r="2299" ht="14.4" spans="2:4">
      <c r="B2299" s="20">
        <v>9148</v>
      </c>
      <c r="C2299" s="21">
        <f t="shared" si="74"/>
        <v>7.09842762215921</v>
      </c>
      <c r="D2299" s="21">
        <f t="shared" si="75"/>
        <v>2.26423438363737</v>
      </c>
    </row>
    <row r="2300" ht="14.4" spans="2:4">
      <c r="B2300" s="20">
        <v>9152</v>
      </c>
      <c r="C2300" s="21">
        <f t="shared" si="74"/>
        <v>7.1032304365686</v>
      </c>
      <c r="D2300" s="21">
        <f t="shared" si="75"/>
        <v>2.26548672566372</v>
      </c>
    </row>
    <row r="2301" ht="14.4" spans="2:4">
      <c r="B2301" s="20">
        <v>9156</v>
      </c>
      <c r="C2301" s="21">
        <f t="shared" si="74"/>
        <v>7.10803590813685</v>
      </c>
      <c r="D2301" s="21">
        <f t="shared" si="75"/>
        <v>2.26674045379081</v>
      </c>
    </row>
    <row r="2302" ht="14.4" spans="2:4">
      <c r="B2302" s="20">
        <v>9160</v>
      </c>
      <c r="C2302" s="21">
        <f t="shared" si="74"/>
        <v>7.11284403980575</v>
      </c>
      <c r="D2302" s="21">
        <f t="shared" si="75"/>
        <v>2.26799557032115</v>
      </c>
    </row>
    <row r="2303" ht="14.4" spans="2:4">
      <c r="B2303" s="20">
        <v>9164</v>
      </c>
      <c r="C2303" s="21">
        <f t="shared" si="74"/>
        <v>7.11765483452195</v>
      </c>
      <c r="D2303" s="21">
        <f t="shared" si="75"/>
        <v>2.26925207756233</v>
      </c>
    </row>
    <row r="2304" ht="14.4" spans="2:4">
      <c r="B2304" s="20">
        <v>9168</v>
      </c>
      <c r="C2304" s="21">
        <f t="shared" si="74"/>
        <v>7.12246829523703</v>
      </c>
      <c r="D2304" s="21">
        <f t="shared" si="75"/>
        <v>2.27050997782705</v>
      </c>
    </row>
    <row r="2305" ht="14.4" spans="2:4">
      <c r="B2305" s="20">
        <v>9172</v>
      </c>
      <c r="C2305" s="21">
        <f t="shared" si="74"/>
        <v>7.12728442490745</v>
      </c>
      <c r="D2305" s="21">
        <f t="shared" si="75"/>
        <v>2.27176927343317</v>
      </c>
    </row>
    <row r="2306" ht="14.4" spans="2:4">
      <c r="B2306" s="20">
        <v>9176</v>
      </c>
      <c r="C2306" s="21">
        <f t="shared" si="74"/>
        <v>7.1321032264946</v>
      </c>
      <c r="D2306" s="21">
        <f t="shared" si="75"/>
        <v>2.27302996670366</v>
      </c>
    </row>
    <row r="2307" ht="14.4" spans="2:4">
      <c r="B2307" s="20">
        <v>9180</v>
      </c>
      <c r="C2307" s="21">
        <f t="shared" si="74"/>
        <v>7.13692470296482</v>
      </c>
      <c r="D2307" s="21">
        <f t="shared" si="75"/>
        <v>2.27429205996669</v>
      </c>
    </row>
    <row r="2308" ht="14.4" spans="2:4">
      <c r="B2308" s="20">
        <v>9184</v>
      </c>
      <c r="C2308" s="21">
        <f t="shared" si="74"/>
        <v>7.14174885728936</v>
      </c>
      <c r="D2308" s="21">
        <f t="shared" si="75"/>
        <v>2.27555555555556</v>
      </c>
    </row>
    <row r="2309" ht="14.4" spans="2:4">
      <c r="B2309" s="20">
        <v>9188</v>
      </c>
      <c r="C2309" s="21">
        <f t="shared" si="74"/>
        <v>7.14657569244446</v>
      </c>
      <c r="D2309" s="21">
        <f t="shared" si="75"/>
        <v>2.27682045580878</v>
      </c>
    </row>
    <row r="2310" ht="14.4" spans="2:4">
      <c r="B2310" s="20">
        <v>9192</v>
      </c>
      <c r="C2310" s="21">
        <f t="shared" si="74"/>
        <v>7.15140521141129</v>
      </c>
      <c r="D2310" s="21">
        <f t="shared" si="75"/>
        <v>2.27808676307008</v>
      </c>
    </row>
    <row r="2311" ht="14.4" spans="2:4">
      <c r="B2311" s="20">
        <v>9196</v>
      </c>
      <c r="C2311" s="21">
        <f t="shared" si="74"/>
        <v>7.15623741717601</v>
      </c>
      <c r="D2311" s="21">
        <f t="shared" si="75"/>
        <v>2.27935447968837</v>
      </c>
    </row>
    <row r="2312" ht="14.4" spans="2:4">
      <c r="B2312" s="20">
        <v>9200</v>
      </c>
      <c r="C2312" s="21">
        <f t="shared" si="74"/>
        <v>7.16107231272978</v>
      </c>
      <c r="D2312" s="21">
        <f t="shared" si="75"/>
        <v>2.28062360801782</v>
      </c>
    </row>
    <row r="2313" ht="14.4" spans="2:4">
      <c r="B2313" s="20">
        <v>9204</v>
      </c>
      <c r="C2313" s="21">
        <f t="shared" si="74"/>
        <v>7.16590990106873</v>
      </c>
      <c r="D2313" s="21">
        <f t="shared" si="75"/>
        <v>2.28189415041783</v>
      </c>
    </row>
    <row r="2314" ht="14.4" spans="2:4">
      <c r="B2314" s="20">
        <v>9208</v>
      </c>
      <c r="C2314" s="21">
        <f t="shared" si="74"/>
        <v>7.17075018519402</v>
      </c>
      <c r="D2314" s="21">
        <f t="shared" si="75"/>
        <v>2.28316610925307</v>
      </c>
    </row>
    <row r="2315" ht="14.4" spans="2:4">
      <c r="B2315" s="20">
        <v>9212</v>
      </c>
      <c r="C2315" s="21">
        <f t="shared" si="74"/>
        <v>7.17559316811183</v>
      </c>
      <c r="D2315" s="21">
        <f t="shared" si="75"/>
        <v>2.28443948689347</v>
      </c>
    </row>
    <row r="2316" ht="14.4" spans="2:4">
      <c r="B2316" s="20">
        <v>9216</v>
      </c>
      <c r="C2316" s="21">
        <f t="shared" si="74"/>
        <v>7.18043885283336</v>
      </c>
      <c r="D2316" s="21">
        <f t="shared" si="75"/>
        <v>2.28571428571429</v>
      </c>
    </row>
    <row r="2317" ht="14.4" spans="2:4">
      <c r="B2317" s="20">
        <v>9220</v>
      </c>
      <c r="C2317" s="21">
        <f t="shared" ref="C2317:C2380" si="76">20*LOG(D2317)</f>
        <v>7.18528724237486</v>
      </c>
      <c r="D2317" s="21">
        <f t="shared" ref="D2317:D2380" si="77">16384/(16384-B2317)</f>
        <v>2.28699050809604</v>
      </c>
    </row>
    <row r="2318" ht="14.4" spans="2:4">
      <c r="B2318" s="20">
        <v>9224</v>
      </c>
      <c r="C2318" s="21">
        <f t="shared" si="76"/>
        <v>7.19013833975762</v>
      </c>
      <c r="D2318" s="21">
        <f t="shared" si="77"/>
        <v>2.28826815642458</v>
      </c>
    </row>
    <row r="2319" ht="14.4" spans="2:4">
      <c r="B2319" s="20">
        <v>9228</v>
      </c>
      <c r="C2319" s="21">
        <f t="shared" si="76"/>
        <v>7.19499214800803</v>
      </c>
      <c r="D2319" s="21">
        <f t="shared" si="77"/>
        <v>2.28954723309111</v>
      </c>
    </row>
    <row r="2320" ht="14.4" spans="2:4">
      <c r="B2320" s="20">
        <v>9232</v>
      </c>
      <c r="C2320" s="21">
        <f t="shared" si="76"/>
        <v>7.19984867015751</v>
      </c>
      <c r="D2320" s="21">
        <f t="shared" si="77"/>
        <v>2.29082774049217</v>
      </c>
    </row>
    <row r="2321" ht="14.4" spans="2:4">
      <c r="B2321" s="20">
        <v>9236</v>
      </c>
      <c r="C2321" s="21">
        <f t="shared" si="76"/>
        <v>7.2047079092426</v>
      </c>
      <c r="D2321" s="21">
        <f t="shared" si="77"/>
        <v>2.29210968102966</v>
      </c>
    </row>
    <row r="2322" ht="14.4" spans="2:4">
      <c r="B2322" s="20">
        <v>9240</v>
      </c>
      <c r="C2322" s="21">
        <f t="shared" si="76"/>
        <v>7.20956986830493</v>
      </c>
      <c r="D2322" s="21">
        <f t="shared" si="77"/>
        <v>2.29339305711086</v>
      </c>
    </row>
    <row r="2323" ht="14.4" spans="2:4">
      <c r="B2323" s="20">
        <v>9244</v>
      </c>
      <c r="C2323" s="21">
        <f t="shared" si="76"/>
        <v>7.21443455039125</v>
      </c>
      <c r="D2323" s="21">
        <f t="shared" si="77"/>
        <v>2.29467787114846</v>
      </c>
    </row>
    <row r="2324" ht="14.4" spans="2:4">
      <c r="B2324" s="20">
        <v>9248</v>
      </c>
      <c r="C2324" s="21">
        <f t="shared" si="76"/>
        <v>7.2193019585534</v>
      </c>
      <c r="D2324" s="21">
        <f t="shared" si="77"/>
        <v>2.29596412556054</v>
      </c>
    </row>
    <row r="2325" ht="14.4" spans="2:4">
      <c r="B2325" s="20">
        <v>9252</v>
      </c>
      <c r="C2325" s="21">
        <f t="shared" si="76"/>
        <v>7.22417209584839</v>
      </c>
      <c r="D2325" s="21">
        <f t="shared" si="77"/>
        <v>2.29725182277061</v>
      </c>
    </row>
    <row r="2326" ht="14.4" spans="2:4">
      <c r="B2326" s="20">
        <v>9256</v>
      </c>
      <c r="C2326" s="21">
        <f t="shared" si="76"/>
        <v>7.22904496533837</v>
      </c>
      <c r="D2326" s="21">
        <f t="shared" si="77"/>
        <v>2.29854096520763</v>
      </c>
    </row>
    <row r="2327" ht="14.4" spans="2:4">
      <c r="B2327" s="20">
        <v>9260</v>
      </c>
      <c r="C2327" s="21">
        <f t="shared" si="76"/>
        <v>7.23392057009062</v>
      </c>
      <c r="D2327" s="21">
        <f t="shared" si="77"/>
        <v>2.29983155530601</v>
      </c>
    </row>
    <row r="2328" ht="14.4" spans="2:4">
      <c r="B2328" s="20">
        <v>9264</v>
      </c>
      <c r="C2328" s="21">
        <f t="shared" si="76"/>
        <v>7.23879891317761</v>
      </c>
      <c r="D2328" s="21">
        <f t="shared" si="77"/>
        <v>2.30112359550562</v>
      </c>
    </row>
    <row r="2329" ht="14.4" spans="2:4">
      <c r="B2329" s="20">
        <v>9268</v>
      </c>
      <c r="C2329" s="21">
        <f t="shared" si="76"/>
        <v>7.24367999767699</v>
      </c>
      <c r="D2329" s="21">
        <f t="shared" si="77"/>
        <v>2.30241708825183</v>
      </c>
    </row>
    <row r="2330" ht="14.4" spans="2:4">
      <c r="B2330" s="20">
        <v>9272</v>
      </c>
      <c r="C2330" s="21">
        <f t="shared" si="76"/>
        <v>7.24856382667159</v>
      </c>
      <c r="D2330" s="21">
        <f t="shared" si="77"/>
        <v>2.3037120359955</v>
      </c>
    </row>
    <row r="2331" ht="14.4" spans="2:4">
      <c r="B2331" s="20">
        <v>9276</v>
      </c>
      <c r="C2331" s="21">
        <f t="shared" si="76"/>
        <v>7.25345040324946</v>
      </c>
      <c r="D2331" s="21">
        <f t="shared" si="77"/>
        <v>2.30500844119302</v>
      </c>
    </row>
    <row r="2332" ht="14.4" spans="2:4">
      <c r="B2332" s="20">
        <v>9280</v>
      </c>
      <c r="C2332" s="21">
        <f t="shared" si="76"/>
        <v>7.25833973050384</v>
      </c>
      <c r="D2332" s="21">
        <f t="shared" si="77"/>
        <v>2.30630630630631</v>
      </c>
    </row>
    <row r="2333" ht="14.4" spans="2:4">
      <c r="B2333" s="20">
        <v>9284</v>
      </c>
      <c r="C2333" s="21">
        <f t="shared" si="76"/>
        <v>7.26323181153323</v>
      </c>
      <c r="D2333" s="21">
        <f t="shared" si="77"/>
        <v>2.30760563380282</v>
      </c>
    </row>
    <row r="2334" ht="14.4" spans="2:4">
      <c r="B2334" s="20">
        <v>9288</v>
      </c>
      <c r="C2334" s="21">
        <f t="shared" si="76"/>
        <v>7.26812664944133</v>
      </c>
      <c r="D2334" s="21">
        <f t="shared" si="77"/>
        <v>2.30890642615558</v>
      </c>
    </row>
    <row r="2335" ht="14.4" spans="2:4">
      <c r="B2335" s="20">
        <v>9292</v>
      </c>
      <c r="C2335" s="21">
        <f t="shared" si="76"/>
        <v>7.27302424733713</v>
      </c>
      <c r="D2335" s="21">
        <f t="shared" si="77"/>
        <v>2.3102086858432</v>
      </c>
    </row>
    <row r="2336" ht="14.4" spans="2:4">
      <c r="B2336" s="20">
        <v>9296</v>
      </c>
      <c r="C2336" s="21">
        <f t="shared" si="76"/>
        <v>7.27792460833485</v>
      </c>
      <c r="D2336" s="21">
        <f t="shared" si="77"/>
        <v>2.31151241534989</v>
      </c>
    </row>
    <row r="2337" ht="14.4" spans="2:4">
      <c r="B2337" s="20">
        <v>9300</v>
      </c>
      <c r="C2337" s="21">
        <f t="shared" si="76"/>
        <v>7.28282773555399</v>
      </c>
      <c r="D2337" s="21">
        <f t="shared" si="77"/>
        <v>2.31281761716544</v>
      </c>
    </row>
    <row r="2338" ht="14.4" spans="2:4">
      <c r="B2338" s="20">
        <v>9304</v>
      </c>
      <c r="C2338" s="21">
        <f t="shared" si="76"/>
        <v>7.28773363211935</v>
      </c>
      <c r="D2338" s="21">
        <f t="shared" si="77"/>
        <v>2.31412429378531</v>
      </c>
    </row>
    <row r="2339" ht="14.4" spans="2:4">
      <c r="B2339" s="20">
        <v>9308</v>
      </c>
      <c r="C2339" s="21">
        <f t="shared" si="76"/>
        <v>7.29264230116102</v>
      </c>
      <c r="D2339" s="21">
        <f t="shared" si="77"/>
        <v>2.31543244771057</v>
      </c>
    </row>
    <row r="2340" ht="14.4" spans="2:4">
      <c r="B2340" s="20">
        <v>9312</v>
      </c>
      <c r="C2340" s="21">
        <f t="shared" si="76"/>
        <v>7.2975537458144</v>
      </c>
      <c r="D2340" s="21">
        <f t="shared" si="77"/>
        <v>2.31674208144796</v>
      </c>
    </row>
    <row r="2341" ht="14.4" spans="2:4">
      <c r="B2341" s="20">
        <v>9316</v>
      </c>
      <c r="C2341" s="21">
        <f t="shared" si="76"/>
        <v>7.30246796922021</v>
      </c>
      <c r="D2341" s="21">
        <f t="shared" si="77"/>
        <v>2.3180531975099</v>
      </c>
    </row>
    <row r="2342" ht="14.4" spans="2:4">
      <c r="B2342" s="20">
        <v>9320</v>
      </c>
      <c r="C2342" s="21">
        <f t="shared" si="76"/>
        <v>7.30738497452449</v>
      </c>
      <c r="D2342" s="21">
        <f t="shared" si="77"/>
        <v>2.3193657984145</v>
      </c>
    </row>
    <row r="2343" ht="14.4" spans="2:4">
      <c r="B2343" s="20">
        <v>9324</v>
      </c>
      <c r="C2343" s="21">
        <f t="shared" si="76"/>
        <v>7.31230476487866</v>
      </c>
      <c r="D2343" s="21">
        <f t="shared" si="77"/>
        <v>2.32067988668555</v>
      </c>
    </row>
    <row r="2344" ht="14.4" spans="2:4">
      <c r="B2344" s="20">
        <v>9328</v>
      </c>
      <c r="C2344" s="21">
        <f t="shared" si="76"/>
        <v>7.31722734343947</v>
      </c>
      <c r="D2344" s="21">
        <f t="shared" si="77"/>
        <v>2.32199546485261</v>
      </c>
    </row>
    <row r="2345" ht="14.4" spans="2:4">
      <c r="B2345" s="20">
        <v>9332</v>
      </c>
      <c r="C2345" s="21">
        <f t="shared" si="76"/>
        <v>7.32215271336905</v>
      </c>
      <c r="D2345" s="21">
        <f t="shared" si="77"/>
        <v>2.32331253545094</v>
      </c>
    </row>
    <row r="2346" ht="14.4" spans="2:4">
      <c r="B2346" s="20">
        <v>9336</v>
      </c>
      <c r="C2346" s="21">
        <f t="shared" si="76"/>
        <v>7.3270808778349</v>
      </c>
      <c r="D2346" s="21">
        <f t="shared" si="77"/>
        <v>2.32463110102157</v>
      </c>
    </row>
    <row r="2347" ht="14.4" spans="2:4">
      <c r="B2347" s="20">
        <v>9340</v>
      </c>
      <c r="C2347" s="21">
        <f t="shared" si="76"/>
        <v>7.33201184000995</v>
      </c>
      <c r="D2347" s="21">
        <f t="shared" si="77"/>
        <v>2.3259511641113</v>
      </c>
    </row>
    <row r="2348" ht="14.4" spans="2:4">
      <c r="B2348" s="20">
        <v>9344</v>
      </c>
      <c r="C2348" s="21">
        <f t="shared" si="76"/>
        <v>7.33694560307249</v>
      </c>
      <c r="D2348" s="21">
        <f t="shared" si="77"/>
        <v>2.32727272727273</v>
      </c>
    </row>
    <row r="2349" ht="14.4" spans="2:4">
      <c r="B2349" s="20">
        <v>9348</v>
      </c>
      <c r="C2349" s="21">
        <f t="shared" si="76"/>
        <v>7.34188217020626</v>
      </c>
      <c r="D2349" s="21">
        <f t="shared" si="77"/>
        <v>2.32859579306424</v>
      </c>
    </row>
    <row r="2350" ht="14.4" spans="2:4">
      <c r="B2350" s="20">
        <v>9352</v>
      </c>
      <c r="C2350" s="21">
        <f t="shared" si="76"/>
        <v>7.34682154460042</v>
      </c>
      <c r="D2350" s="21">
        <f t="shared" si="77"/>
        <v>2.32992036405006</v>
      </c>
    </row>
    <row r="2351" ht="14.4" spans="2:4">
      <c r="B2351" s="20">
        <v>9356</v>
      </c>
      <c r="C2351" s="21">
        <f t="shared" si="76"/>
        <v>7.35176372944959</v>
      </c>
      <c r="D2351" s="21">
        <f t="shared" si="77"/>
        <v>2.33124644280023</v>
      </c>
    </row>
    <row r="2352" ht="14.4" spans="2:4">
      <c r="B2352" s="20">
        <v>9360</v>
      </c>
      <c r="C2352" s="21">
        <f t="shared" si="76"/>
        <v>7.35670872795381</v>
      </c>
      <c r="D2352" s="21">
        <f t="shared" si="77"/>
        <v>2.33257403189066</v>
      </c>
    </row>
    <row r="2353" ht="14.4" spans="2:4">
      <c r="B2353" s="20">
        <v>9364</v>
      </c>
      <c r="C2353" s="21">
        <f t="shared" si="76"/>
        <v>7.36165654331863</v>
      </c>
      <c r="D2353" s="21">
        <f t="shared" si="77"/>
        <v>2.33390313390313</v>
      </c>
    </row>
    <row r="2354" ht="14.4" spans="2:4">
      <c r="B2354" s="20">
        <v>9368</v>
      </c>
      <c r="C2354" s="21">
        <f t="shared" si="76"/>
        <v>7.36660717875505</v>
      </c>
      <c r="D2354" s="21">
        <f t="shared" si="77"/>
        <v>2.33523375142531</v>
      </c>
    </row>
    <row r="2355" ht="14.4" spans="2:4">
      <c r="B2355" s="20">
        <v>9372</v>
      </c>
      <c r="C2355" s="21">
        <f t="shared" si="76"/>
        <v>7.37156063747959</v>
      </c>
      <c r="D2355" s="21">
        <f t="shared" si="77"/>
        <v>2.33656588705077</v>
      </c>
    </row>
    <row r="2356" ht="14.4" spans="2:4">
      <c r="B2356" s="20">
        <v>9376</v>
      </c>
      <c r="C2356" s="21">
        <f t="shared" si="76"/>
        <v>7.37651692271425</v>
      </c>
      <c r="D2356" s="21">
        <f t="shared" si="77"/>
        <v>2.337899543379</v>
      </c>
    </row>
    <row r="2357" ht="14.4" spans="2:4">
      <c r="B2357" s="20">
        <v>9380</v>
      </c>
      <c r="C2357" s="21">
        <f t="shared" si="76"/>
        <v>7.38147603768656</v>
      </c>
      <c r="D2357" s="21">
        <f t="shared" si="77"/>
        <v>2.33923472301542</v>
      </c>
    </row>
    <row r="2358" ht="14.4" spans="2:4">
      <c r="B2358" s="20">
        <v>9384</v>
      </c>
      <c r="C2358" s="21">
        <f t="shared" si="76"/>
        <v>7.3864379856296</v>
      </c>
      <c r="D2358" s="21">
        <f t="shared" si="77"/>
        <v>2.34057142857143</v>
      </c>
    </row>
    <row r="2359" ht="14.4" spans="2:4">
      <c r="B2359" s="20">
        <v>9388</v>
      </c>
      <c r="C2359" s="21">
        <f t="shared" si="76"/>
        <v>7.39140276978196</v>
      </c>
      <c r="D2359" s="21">
        <f t="shared" si="77"/>
        <v>2.34190966266438</v>
      </c>
    </row>
    <row r="2360" ht="14.4" spans="2:4">
      <c r="B2360" s="20">
        <v>9392</v>
      </c>
      <c r="C2360" s="21">
        <f t="shared" si="76"/>
        <v>7.3963703933878</v>
      </c>
      <c r="D2360" s="21">
        <f t="shared" si="77"/>
        <v>2.34324942791762</v>
      </c>
    </row>
    <row r="2361" ht="14.4" spans="2:4">
      <c r="B2361" s="20">
        <v>9396</v>
      </c>
      <c r="C2361" s="21">
        <f t="shared" si="76"/>
        <v>7.40134085969687</v>
      </c>
      <c r="D2361" s="21">
        <f t="shared" si="77"/>
        <v>2.3445907269605</v>
      </c>
    </row>
    <row r="2362" ht="14.4" spans="2:4">
      <c r="B2362" s="20">
        <v>9400</v>
      </c>
      <c r="C2362" s="21">
        <f t="shared" si="76"/>
        <v>7.40631417196447</v>
      </c>
      <c r="D2362" s="21">
        <f t="shared" si="77"/>
        <v>2.34593356242841</v>
      </c>
    </row>
    <row r="2363" ht="14.4" spans="2:4">
      <c r="B2363" s="20">
        <v>9404</v>
      </c>
      <c r="C2363" s="21">
        <f t="shared" si="76"/>
        <v>7.41129033345151</v>
      </c>
      <c r="D2363" s="21">
        <f t="shared" si="77"/>
        <v>2.34727793696275</v>
      </c>
    </row>
    <row r="2364" ht="14.4" spans="2:4">
      <c r="B2364" s="20">
        <v>9408</v>
      </c>
      <c r="C2364" s="21">
        <f t="shared" si="76"/>
        <v>7.41626934742452</v>
      </c>
      <c r="D2364" s="21">
        <f t="shared" si="77"/>
        <v>2.34862385321101</v>
      </c>
    </row>
    <row r="2365" ht="14.4" spans="2:4">
      <c r="B2365" s="20">
        <v>9412</v>
      </c>
      <c r="C2365" s="21">
        <f t="shared" si="76"/>
        <v>7.42125121715562</v>
      </c>
      <c r="D2365" s="21">
        <f t="shared" si="77"/>
        <v>2.34997131382674</v>
      </c>
    </row>
    <row r="2366" ht="14.4" spans="2:4">
      <c r="B2366" s="20">
        <v>9416</v>
      </c>
      <c r="C2366" s="21">
        <f t="shared" si="76"/>
        <v>7.4262359459226</v>
      </c>
      <c r="D2366" s="21">
        <f t="shared" si="77"/>
        <v>2.35132032146958</v>
      </c>
    </row>
    <row r="2367" ht="14.4" spans="2:4">
      <c r="B2367" s="20">
        <v>9420</v>
      </c>
      <c r="C2367" s="21">
        <f t="shared" si="76"/>
        <v>7.43122353700886</v>
      </c>
      <c r="D2367" s="21">
        <f t="shared" si="77"/>
        <v>2.35267087880528</v>
      </c>
    </row>
    <row r="2368" ht="14.4" spans="2:4">
      <c r="B2368" s="20">
        <v>9424</v>
      </c>
      <c r="C2368" s="21">
        <f t="shared" si="76"/>
        <v>7.43621399370349</v>
      </c>
      <c r="D2368" s="21">
        <f t="shared" si="77"/>
        <v>2.35402298850575</v>
      </c>
    </row>
    <row r="2369" ht="14.4" spans="2:4">
      <c r="B2369" s="20">
        <v>9428</v>
      </c>
      <c r="C2369" s="21">
        <f t="shared" si="76"/>
        <v>7.44120731930124</v>
      </c>
      <c r="D2369" s="21">
        <f t="shared" si="77"/>
        <v>2.35537665324899</v>
      </c>
    </row>
    <row r="2370" ht="14.4" spans="2:4">
      <c r="B2370" s="20">
        <v>9432</v>
      </c>
      <c r="C2370" s="21">
        <f t="shared" si="76"/>
        <v>7.44620351710253</v>
      </c>
      <c r="D2370" s="21">
        <f t="shared" si="77"/>
        <v>2.35673187571922</v>
      </c>
    </row>
    <row r="2371" ht="14.4" spans="2:4">
      <c r="B2371" s="20">
        <v>9436</v>
      </c>
      <c r="C2371" s="21">
        <f t="shared" si="76"/>
        <v>7.45120259041351</v>
      </c>
      <c r="D2371" s="21">
        <f t="shared" si="77"/>
        <v>2.35808865860679</v>
      </c>
    </row>
    <row r="2372" ht="14.4" spans="2:4">
      <c r="B2372" s="20">
        <v>9440</v>
      </c>
      <c r="C2372" s="21">
        <f t="shared" si="76"/>
        <v>7.45620454254602</v>
      </c>
      <c r="D2372" s="21">
        <f t="shared" si="77"/>
        <v>2.35944700460829</v>
      </c>
    </row>
    <row r="2373" ht="14.4" spans="2:4">
      <c r="B2373" s="20">
        <v>9444</v>
      </c>
      <c r="C2373" s="21">
        <f t="shared" si="76"/>
        <v>7.46120937681764</v>
      </c>
      <c r="D2373" s="21">
        <f t="shared" si="77"/>
        <v>2.36080691642651</v>
      </c>
    </row>
    <row r="2374" ht="14.4" spans="2:4">
      <c r="B2374" s="20">
        <v>9448</v>
      </c>
      <c r="C2374" s="21">
        <f t="shared" si="76"/>
        <v>7.46621709655166</v>
      </c>
      <c r="D2374" s="21">
        <f t="shared" si="77"/>
        <v>2.36216839677047</v>
      </c>
    </row>
    <row r="2375" ht="14.4" spans="2:4">
      <c r="B2375" s="20">
        <v>9452</v>
      </c>
      <c r="C2375" s="21">
        <f t="shared" si="76"/>
        <v>7.47122770507715</v>
      </c>
      <c r="D2375" s="21">
        <f t="shared" si="77"/>
        <v>2.36353144835545</v>
      </c>
    </row>
    <row r="2376" ht="14.4" spans="2:4">
      <c r="B2376" s="20">
        <v>9456</v>
      </c>
      <c r="C2376" s="21">
        <f t="shared" si="76"/>
        <v>7.47624120572893</v>
      </c>
      <c r="D2376" s="21">
        <f t="shared" si="77"/>
        <v>2.364896073903</v>
      </c>
    </row>
    <row r="2377" ht="14.4" spans="2:4">
      <c r="B2377" s="20">
        <v>9460</v>
      </c>
      <c r="C2377" s="21">
        <f t="shared" si="76"/>
        <v>7.48125760184761</v>
      </c>
      <c r="D2377" s="21">
        <f t="shared" si="77"/>
        <v>2.36626227614096</v>
      </c>
    </row>
    <row r="2378" ht="14.4" spans="2:4">
      <c r="B2378" s="20">
        <v>9464</v>
      </c>
      <c r="C2378" s="21">
        <f t="shared" si="76"/>
        <v>7.48627689677958</v>
      </c>
      <c r="D2378" s="21">
        <f t="shared" si="77"/>
        <v>2.36763005780347</v>
      </c>
    </row>
    <row r="2379" ht="14.4" spans="2:4">
      <c r="B2379" s="20">
        <v>9468</v>
      </c>
      <c r="C2379" s="21">
        <f t="shared" si="76"/>
        <v>7.49129909387704</v>
      </c>
      <c r="D2379" s="21">
        <f t="shared" si="77"/>
        <v>2.368999421631</v>
      </c>
    </row>
    <row r="2380" ht="14.4" spans="2:4">
      <c r="B2380" s="20">
        <v>9472</v>
      </c>
      <c r="C2380" s="21">
        <f t="shared" si="76"/>
        <v>7.496324196498</v>
      </c>
      <c r="D2380" s="21">
        <f t="shared" si="77"/>
        <v>2.37037037037037</v>
      </c>
    </row>
    <row r="2381" ht="14.4" spans="2:4">
      <c r="B2381" s="20">
        <v>9476</v>
      </c>
      <c r="C2381" s="21">
        <f t="shared" ref="C2381:C2444" si="78">20*LOG(D2381)</f>
        <v>7.50135220800631</v>
      </c>
      <c r="D2381" s="21">
        <f t="shared" ref="D2381:D2444" si="79">16384/(16384-B2381)</f>
        <v>2.37174290677475</v>
      </c>
    </row>
    <row r="2382" ht="14.4" spans="2:4">
      <c r="B2382" s="20">
        <v>9480</v>
      </c>
      <c r="C2382" s="21">
        <f t="shared" si="78"/>
        <v>7.50638313177167</v>
      </c>
      <c r="D2382" s="21">
        <f t="shared" si="79"/>
        <v>2.37311703360371</v>
      </c>
    </row>
    <row r="2383" ht="14.4" spans="2:4">
      <c r="B2383" s="20">
        <v>9484</v>
      </c>
      <c r="C2383" s="21">
        <f t="shared" si="78"/>
        <v>7.51141697116963</v>
      </c>
      <c r="D2383" s="21">
        <f t="shared" si="79"/>
        <v>2.37449275362319</v>
      </c>
    </row>
    <row r="2384" ht="14.4" spans="2:4">
      <c r="B2384" s="20">
        <v>9488</v>
      </c>
      <c r="C2384" s="21">
        <f t="shared" si="78"/>
        <v>7.51645372958161</v>
      </c>
      <c r="D2384" s="21">
        <f t="shared" si="79"/>
        <v>2.37587006960557</v>
      </c>
    </row>
    <row r="2385" ht="14.4" spans="2:4">
      <c r="B2385" s="20">
        <v>9492</v>
      </c>
      <c r="C2385" s="21">
        <f t="shared" si="78"/>
        <v>7.52149341039492</v>
      </c>
      <c r="D2385" s="21">
        <f t="shared" si="79"/>
        <v>2.37724898432966</v>
      </c>
    </row>
    <row r="2386" ht="14.4" spans="2:4">
      <c r="B2386" s="20">
        <v>9496</v>
      </c>
      <c r="C2386" s="21">
        <f t="shared" si="78"/>
        <v>7.52653601700277</v>
      </c>
      <c r="D2386" s="21">
        <f t="shared" si="79"/>
        <v>2.37862950058072</v>
      </c>
    </row>
    <row r="2387" ht="14.4" spans="2:4">
      <c r="B2387" s="20">
        <v>9500</v>
      </c>
      <c r="C2387" s="21">
        <f t="shared" si="78"/>
        <v>7.53158155280428</v>
      </c>
      <c r="D2387" s="21">
        <f t="shared" si="79"/>
        <v>2.38001162115049</v>
      </c>
    </row>
    <row r="2388" ht="14.4" spans="2:4">
      <c r="B2388" s="20">
        <v>9504</v>
      </c>
      <c r="C2388" s="21">
        <f t="shared" si="78"/>
        <v>7.53663002120451</v>
      </c>
      <c r="D2388" s="21">
        <f t="shared" si="79"/>
        <v>2.38139534883721</v>
      </c>
    </row>
    <row r="2389" ht="14.4" spans="2:4">
      <c r="B2389" s="20">
        <v>9508</v>
      </c>
      <c r="C2389" s="21">
        <f t="shared" si="78"/>
        <v>7.54168142561444</v>
      </c>
      <c r="D2389" s="21">
        <f t="shared" si="79"/>
        <v>2.38278068644561</v>
      </c>
    </row>
    <row r="2390" ht="14.4" spans="2:4">
      <c r="B2390" s="20">
        <v>9512</v>
      </c>
      <c r="C2390" s="21">
        <f t="shared" si="78"/>
        <v>7.54673576945102</v>
      </c>
      <c r="D2390" s="21">
        <f t="shared" si="79"/>
        <v>2.38416763678696</v>
      </c>
    </row>
    <row r="2391" ht="14.4" spans="2:4">
      <c r="B2391" s="20">
        <v>9516</v>
      </c>
      <c r="C2391" s="21">
        <f t="shared" si="78"/>
        <v>7.55179305613716</v>
      </c>
      <c r="D2391" s="21">
        <f t="shared" si="79"/>
        <v>2.38555620267909</v>
      </c>
    </row>
    <row r="2392" ht="14.4" spans="2:4">
      <c r="B2392" s="20">
        <v>9520</v>
      </c>
      <c r="C2392" s="21">
        <f t="shared" si="78"/>
        <v>7.55685328910175</v>
      </c>
      <c r="D2392" s="21">
        <f t="shared" si="79"/>
        <v>2.38694638694639</v>
      </c>
    </row>
    <row r="2393" ht="14.4" spans="2:4">
      <c r="B2393" s="20">
        <v>9524</v>
      </c>
      <c r="C2393" s="21">
        <f t="shared" si="78"/>
        <v>7.5619164717797</v>
      </c>
      <c r="D2393" s="21">
        <f t="shared" si="79"/>
        <v>2.38833819241982</v>
      </c>
    </row>
    <row r="2394" ht="14.4" spans="2:4">
      <c r="B2394" s="20">
        <v>9528</v>
      </c>
      <c r="C2394" s="21">
        <f t="shared" si="78"/>
        <v>7.5669826076119</v>
      </c>
      <c r="D2394" s="21">
        <f t="shared" si="79"/>
        <v>2.38973162193699</v>
      </c>
    </row>
    <row r="2395" ht="14.4" spans="2:4">
      <c r="B2395" s="20">
        <v>9532</v>
      </c>
      <c r="C2395" s="21">
        <f t="shared" si="78"/>
        <v>7.57205170004528</v>
      </c>
      <c r="D2395" s="21">
        <f t="shared" si="79"/>
        <v>2.39112667834209</v>
      </c>
    </row>
    <row r="2396" ht="14.4" spans="2:4">
      <c r="B2396" s="20">
        <v>9536</v>
      </c>
      <c r="C2396" s="21">
        <f t="shared" si="78"/>
        <v>7.5771237525328</v>
      </c>
      <c r="D2396" s="21">
        <f t="shared" si="79"/>
        <v>2.39252336448598</v>
      </c>
    </row>
    <row r="2397" ht="14.4" spans="2:4">
      <c r="B2397" s="20">
        <v>9540</v>
      </c>
      <c r="C2397" s="21">
        <f t="shared" si="78"/>
        <v>7.58219876853348</v>
      </c>
      <c r="D2397" s="21">
        <f t="shared" si="79"/>
        <v>2.39392168322618</v>
      </c>
    </row>
    <row r="2398" ht="14.4" spans="2:4">
      <c r="B2398" s="20">
        <v>9544</v>
      </c>
      <c r="C2398" s="21">
        <f t="shared" si="78"/>
        <v>7.58727675151241</v>
      </c>
      <c r="D2398" s="21">
        <f t="shared" si="79"/>
        <v>2.3953216374269</v>
      </c>
    </row>
    <row r="2399" ht="14.4" spans="2:4">
      <c r="B2399" s="20">
        <v>9548</v>
      </c>
      <c r="C2399" s="21">
        <f t="shared" si="78"/>
        <v>7.59235770494075</v>
      </c>
      <c r="D2399" s="21">
        <f t="shared" si="79"/>
        <v>2.39672322995904</v>
      </c>
    </row>
    <row r="2400" ht="14.4" spans="2:4">
      <c r="B2400" s="20">
        <v>9552</v>
      </c>
      <c r="C2400" s="21">
        <f t="shared" si="78"/>
        <v>7.59744163229576</v>
      </c>
      <c r="D2400" s="21">
        <f t="shared" si="79"/>
        <v>2.39812646370023</v>
      </c>
    </row>
    <row r="2401" ht="14.4" spans="2:4">
      <c r="B2401" s="20">
        <v>9556</v>
      </c>
      <c r="C2401" s="21">
        <f t="shared" si="78"/>
        <v>7.60252853706081</v>
      </c>
      <c r="D2401" s="21">
        <f t="shared" si="79"/>
        <v>2.39953134153486</v>
      </c>
    </row>
    <row r="2402" ht="14.4" spans="2:4">
      <c r="B2402" s="20">
        <v>9560</v>
      </c>
      <c r="C2402" s="21">
        <f t="shared" si="78"/>
        <v>7.6076184227254</v>
      </c>
      <c r="D2402" s="21">
        <f t="shared" si="79"/>
        <v>2.40093786635404</v>
      </c>
    </row>
    <row r="2403" ht="14.4" spans="2:4">
      <c r="B2403" s="20">
        <v>9564</v>
      </c>
      <c r="C2403" s="21">
        <f t="shared" si="78"/>
        <v>7.61271129278516</v>
      </c>
      <c r="D2403" s="21">
        <f t="shared" si="79"/>
        <v>2.40234604105572</v>
      </c>
    </row>
    <row r="2404" ht="14.4" spans="2:4">
      <c r="B2404" s="20">
        <v>9568</v>
      </c>
      <c r="C2404" s="21">
        <f t="shared" si="78"/>
        <v>7.61780715074186</v>
      </c>
      <c r="D2404" s="21">
        <f t="shared" si="79"/>
        <v>2.4037558685446</v>
      </c>
    </row>
    <row r="2405" ht="14.4" spans="2:4">
      <c r="B2405" s="20">
        <v>9572</v>
      </c>
      <c r="C2405" s="21">
        <f t="shared" si="78"/>
        <v>7.62290600010347</v>
      </c>
      <c r="D2405" s="21">
        <f t="shared" si="79"/>
        <v>2.40516735173224</v>
      </c>
    </row>
    <row r="2406" ht="14.4" spans="2:4">
      <c r="B2406" s="20">
        <v>9576</v>
      </c>
      <c r="C2406" s="21">
        <f t="shared" si="78"/>
        <v>7.62800784438411</v>
      </c>
      <c r="D2406" s="21">
        <f t="shared" si="79"/>
        <v>2.40658049353702</v>
      </c>
    </row>
    <row r="2407" ht="14.4" spans="2:4">
      <c r="B2407" s="20">
        <v>9580</v>
      </c>
      <c r="C2407" s="21">
        <f t="shared" si="78"/>
        <v>7.63311268710411</v>
      </c>
      <c r="D2407" s="21">
        <f t="shared" si="79"/>
        <v>2.40799529688419</v>
      </c>
    </row>
    <row r="2408" ht="14.4" spans="2:4">
      <c r="B2408" s="20">
        <v>9584</v>
      </c>
      <c r="C2408" s="21">
        <f t="shared" si="78"/>
        <v>7.63822053179001</v>
      </c>
      <c r="D2408" s="21">
        <f t="shared" si="79"/>
        <v>2.40941176470588</v>
      </c>
    </row>
    <row r="2409" ht="14.4" spans="2:4">
      <c r="B2409" s="20">
        <v>9588</v>
      </c>
      <c r="C2409" s="21">
        <f t="shared" si="78"/>
        <v>7.64333138197457</v>
      </c>
      <c r="D2409" s="21">
        <f t="shared" si="79"/>
        <v>2.41082989994114</v>
      </c>
    </row>
    <row r="2410" ht="14.4" spans="2:4">
      <c r="B2410" s="20">
        <v>9592</v>
      </c>
      <c r="C2410" s="21">
        <f t="shared" si="78"/>
        <v>7.64844524119681</v>
      </c>
      <c r="D2410" s="21">
        <f t="shared" si="79"/>
        <v>2.41224970553592</v>
      </c>
    </row>
    <row r="2411" ht="14.4" spans="2:4">
      <c r="B2411" s="20">
        <v>9596</v>
      </c>
      <c r="C2411" s="21">
        <f t="shared" si="78"/>
        <v>7.65356211300197</v>
      </c>
      <c r="D2411" s="21">
        <f t="shared" si="79"/>
        <v>2.41367118444313</v>
      </c>
    </row>
    <row r="2412" ht="14.4" spans="2:4">
      <c r="B2412" s="20">
        <v>9600</v>
      </c>
      <c r="C2412" s="21">
        <f t="shared" si="78"/>
        <v>7.65868200094159</v>
      </c>
      <c r="D2412" s="21">
        <f t="shared" si="79"/>
        <v>2.41509433962264</v>
      </c>
    </row>
    <row r="2413" ht="14.4" spans="2:4">
      <c r="B2413" s="20">
        <v>9604</v>
      </c>
      <c r="C2413" s="21">
        <f t="shared" si="78"/>
        <v>7.66380490857347</v>
      </c>
      <c r="D2413" s="21">
        <f t="shared" si="79"/>
        <v>2.4165191740413</v>
      </c>
    </row>
    <row r="2414" ht="14.4" spans="2:4">
      <c r="B2414" s="20">
        <v>9608</v>
      </c>
      <c r="C2414" s="21">
        <f t="shared" si="78"/>
        <v>7.66893083946172</v>
      </c>
      <c r="D2414" s="21">
        <f t="shared" si="79"/>
        <v>2.41794569067296</v>
      </c>
    </row>
    <row r="2415" ht="14.4" spans="2:4">
      <c r="B2415" s="20">
        <v>9612</v>
      </c>
      <c r="C2415" s="21">
        <f t="shared" si="78"/>
        <v>7.67405979717678</v>
      </c>
      <c r="D2415" s="21">
        <f t="shared" si="79"/>
        <v>2.41937389249852</v>
      </c>
    </row>
    <row r="2416" ht="14.4" spans="2:4">
      <c r="B2416" s="20">
        <v>9616</v>
      </c>
      <c r="C2416" s="21">
        <f t="shared" si="78"/>
        <v>7.67919178529539</v>
      </c>
      <c r="D2416" s="21">
        <f t="shared" si="79"/>
        <v>2.42080378250591</v>
      </c>
    </row>
    <row r="2417" ht="14.4" spans="2:4">
      <c r="B2417" s="20">
        <v>9620</v>
      </c>
      <c r="C2417" s="21">
        <f t="shared" si="78"/>
        <v>7.68432680740065</v>
      </c>
      <c r="D2417" s="21">
        <f t="shared" si="79"/>
        <v>2.42223536369012</v>
      </c>
    </row>
    <row r="2418" ht="14.4" spans="2:4">
      <c r="B2418" s="20">
        <v>9624</v>
      </c>
      <c r="C2418" s="21">
        <f t="shared" si="78"/>
        <v>7.68946486708202</v>
      </c>
      <c r="D2418" s="21">
        <f t="shared" si="79"/>
        <v>2.42366863905325</v>
      </c>
    </row>
    <row r="2419" ht="14.4" spans="2:4">
      <c r="B2419" s="20">
        <v>9628</v>
      </c>
      <c r="C2419" s="21">
        <f t="shared" si="78"/>
        <v>7.69460596793531</v>
      </c>
      <c r="D2419" s="21">
        <f t="shared" si="79"/>
        <v>2.4251036116045</v>
      </c>
    </row>
    <row r="2420" ht="14.4" spans="2:4">
      <c r="B2420" s="20">
        <v>9632</v>
      </c>
      <c r="C2420" s="21">
        <f t="shared" si="78"/>
        <v>7.69975011356276</v>
      </c>
      <c r="D2420" s="21">
        <f t="shared" si="79"/>
        <v>2.42654028436019</v>
      </c>
    </row>
    <row r="2421" ht="14.4" spans="2:4">
      <c r="B2421" s="20">
        <v>9636</v>
      </c>
      <c r="C2421" s="21">
        <f t="shared" si="78"/>
        <v>7.70489730757298</v>
      </c>
      <c r="D2421" s="21">
        <f t="shared" si="79"/>
        <v>2.42797866034381</v>
      </c>
    </row>
    <row r="2422" ht="14.4" spans="2:4">
      <c r="B2422" s="20">
        <v>9640</v>
      </c>
      <c r="C2422" s="21">
        <f t="shared" si="78"/>
        <v>7.71004755358102</v>
      </c>
      <c r="D2422" s="21">
        <f t="shared" si="79"/>
        <v>2.429418742586</v>
      </c>
    </row>
    <row r="2423" ht="14.4" spans="2:4">
      <c r="B2423" s="20">
        <v>9644</v>
      </c>
      <c r="C2423" s="21">
        <f t="shared" si="78"/>
        <v>7.71520085520834</v>
      </c>
      <c r="D2423" s="21">
        <f t="shared" si="79"/>
        <v>2.43086053412463</v>
      </c>
    </row>
    <row r="2424" ht="14.4" spans="2:4">
      <c r="B2424" s="20">
        <v>9648</v>
      </c>
      <c r="C2424" s="21">
        <f t="shared" si="78"/>
        <v>7.72035721608287</v>
      </c>
      <c r="D2424" s="21">
        <f t="shared" si="79"/>
        <v>2.43230403800475</v>
      </c>
    </row>
    <row r="2425" ht="14.4" spans="2:4">
      <c r="B2425" s="20">
        <v>9652</v>
      </c>
      <c r="C2425" s="21">
        <f t="shared" si="78"/>
        <v>7.72551663983901</v>
      </c>
      <c r="D2425" s="21">
        <f t="shared" si="79"/>
        <v>2.43374925727867</v>
      </c>
    </row>
    <row r="2426" ht="14.4" spans="2:4">
      <c r="B2426" s="20">
        <v>9656</v>
      </c>
      <c r="C2426" s="21">
        <f t="shared" si="78"/>
        <v>7.73067913011762</v>
      </c>
      <c r="D2426" s="21">
        <f t="shared" si="79"/>
        <v>2.43519619500594</v>
      </c>
    </row>
    <row r="2427" ht="14.4" spans="2:4">
      <c r="B2427" s="20">
        <v>9660</v>
      </c>
      <c r="C2427" s="21">
        <f t="shared" si="78"/>
        <v>7.73584469056607</v>
      </c>
      <c r="D2427" s="21">
        <f t="shared" si="79"/>
        <v>2.43664485425342</v>
      </c>
    </row>
    <row r="2428" ht="14.4" spans="2:4">
      <c r="B2428" s="20">
        <v>9664</v>
      </c>
      <c r="C2428" s="21">
        <f t="shared" si="78"/>
        <v>7.74101332483823</v>
      </c>
      <c r="D2428" s="21">
        <f t="shared" si="79"/>
        <v>2.43809523809524</v>
      </c>
    </row>
    <row r="2429" ht="14.4" spans="2:4">
      <c r="B2429" s="20">
        <v>9668</v>
      </c>
      <c r="C2429" s="21">
        <f t="shared" si="78"/>
        <v>7.74618503659451</v>
      </c>
      <c r="D2429" s="21">
        <f t="shared" si="79"/>
        <v>2.43954734961286</v>
      </c>
    </row>
    <row r="2430" ht="14.4" spans="2:4">
      <c r="B2430" s="20">
        <v>9672</v>
      </c>
      <c r="C2430" s="21">
        <f t="shared" si="78"/>
        <v>7.75135982950186</v>
      </c>
      <c r="D2430" s="21">
        <f t="shared" si="79"/>
        <v>2.44100119189511</v>
      </c>
    </row>
    <row r="2431" ht="14.4" spans="2:4">
      <c r="B2431" s="20">
        <v>9676</v>
      </c>
      <c r="C2431" s="21">
        <f t="shared" si="78"/>
        <v>7.75653770723377</v>
      </c>
      <c r="D2431" s="21">
        <f t="shared" si="79"/>
        <v>2.44245676803816</v>
      </c>
    </row>
    <row r="2432" ht="14.4" spans="2:4">
      <c r="B2432" s="20">
        <v>9680</v>
      </c>
      <c r="C2432" s="21">
        <f t="shared" si="78"/>
        <v>7.76171867347033</v>
      </c>
      <c r="D2432" s="21">
        <f t="shared" si="79"/>
        <v>2.44391408114558</v>
      </c>
    </row>
    <row r="2433" ht="14.4" spans="2:4">
      <c r="B2433" s="20">
        <v>9684</v>
      </c>
      <c r="C2433" s="21">
        <f t="shared" si="78"/>
        <v>7.76690273189821</v>
      </c>
      <c r="D2433" s="21">
        <f t="shared" si="79"/>
        <v>2.44537313432836</v>
      </c>
    </row>
    <row r="2434" ht="14.4" spans="2:4">
      <c r="B2434" s="20">
        <v>9688</v>
      </c>
      <c r="C2434" s="21">
        <f t="shared" si="78"/>
        <v>7.77208988621066</v>
      </c>
      <c r="D2434" s="21">
        <f t="shared" si="79"/>
        <v>2.4468339307049</v>
      </c>
    </row>
    <row r="2435" ht="14.4" spans="2:4">
      <c r="B2435" s="20">
        <v>9692</v>
      </c>
      <c r="C2435" s="21">
        <f t="shared" si="78"/>
        <v>7.7772801401076</v>
      </c>
      <c r="D2435" s="21">
        <f t="shared" si="79"/>
        <v>2.44829647340108</v>
      </c>
    </row>
    <row r="2436" ht="14.4" spans="2:4">
      <c r="B2436" s="20">
        <v>9696</v>
      </c>
      <c r="C2436" s="21">
        <f t="shared" si="78"/>
        <v>7.78247349729553</v>
      </c>
      <c r="D2436" s="21">
        <f t="shared" si="79"/>
        <v>2.44976076555024</v>
      </c>
    </row>
    <row r="2437" ht="14.4" spans="2:4">
      <c r="B2437" s="20">
        <v>9700</v>
      </c>
      <c r="C2437" s="21">
        <f t="shared" si="78"/>
        <v>7.78766996148766</v>
      </c>
      <c r="D2437" s="21">
        <f t="shared" si="79"/>
        <v>2.45122681029324</v>
      </c>
    </row>
    <row r="2438" ht="14.4" spans="2:4">
      <c r="B2438" s="20">
        <v>9704</v>
      </c>
      <c r="C2438" s="21">
        <f t="shared" si="78"/>
        <v>7.79286953640382</v>
      </c>
      <c r="D2438" s="21">
        <f t="shared" si="79"/>
        <v>2.45269461077844</v>
      </c>
    </row>
    <row r="2439" ht="14.4" spans="2:4">
      <c r="B2439" s="20">
        <v>9708</v>
      </c>
      <c r="C2439" s="21">
        <f t="shared" si="78"/>
        <v>7.79807222577055</v>
      </c>
      <c r="D2439" s="21">
        <f t="shared" si="79"/>
        <v>2.45416417016177</v>
      </c>
    </row>
    <row r="2440" ht="14.4" spans="2:4">
      <c r="B2440" s="20">
        <v>9712</v>
      </c>
      <c r="C2440" s="21">
        <f t="shared" si="78"/>
        <v>7.80327803332109</v>
      </c>
      <c r="D2440" s="21">
        <f t="shared" si="79"/>
        <v>2.45563549160671</v>
      </c>
    </row>
    <row r="2441" ht="14.4" spans="2:4">
      <c r="B2441" s="20">
        <v>9716</v>
      </c>
      <c r="C2441" s="21">
        <f t="shared" si="78"/>
        <v>7.80848696279538</v>
      </c>
      <c r="D2441" s="21">
        <f t="shared" si="79"/>
        <v>2.45710857828434</v>
      </c>
    </row>
    <row r="2442" ht="14.4" spans="2:4">
      <c r="B2442" s="20">
        <v>9720</v>
      </c>
      <c r="C2442" s="21">
        <f t="shared" si="78"/>
        <v>7.81369901794011</v>
      </c>
      <c r="D2442" s="21">
        <f t="shared" si="79"/>
        <v>2.45858343337335</v>
      </c>
    </row>
    <row r="2443" ht="14.4" spans="2:4">
      <c r="B2443" s="20">
        <v>9724</v>
      </c>
      <c r="C2443" s="21">
        <f t="shared" si="78"/>
        <v>7.81891420250871</v>
      </c>
      <c r="D2443" s="21">
        <f t="shared" si="79"/>
        <v>2.46006006006006</v>
      </c>
    </row>
    <row r="2444" ht="14.4" spans="2:4">
      <c r="B2444" s="20">
        <v>9728</v>
      </c>
      <c r="C2444" s="21">
        <f t="shared" si="78"/>
        <v>7.82413252026138</v>
      </c>
      <c r="D2444" s="21">
        <f t="shared" si="79"/>
        <v>2.46153846153846</v>
      </c>
    </row>
    <row r="2445" ht="14.4" spans="2:4">
      <c r="B2445" s="20">
        <v>9732</v>
      </c>
      <c r="C2445" s="21">
        <f t="shared" ref="C2445:C2501" si="80">20*LOG(D2445)</f>
        <v>7.8293539749651</v>
      </c>
      <c r="D2445" s="21">
        <f t="shared" ref="D2445:D2501" si="81">16384/(16384-B2445)</f>
        <v>2.46301864101022</v>
      </c>
    </row>
    <row r="2446" ht="14.4" spans="2:4">
      <c r="B2446" s="20">
        <v>9736</v>
      </c>
      <c r="C2446" s="21">
        <f t="shared" si="80"/>
        <v>7.83457857039364</v>
      </c>
      <c r="D2446" s="21">
        <f t="shared" si="81"/>
        <v>2.46450060168472</v>
      </c>
    </row>
    <row r="2447" ht="14.4" spans="2:4">
      <c r="B2447" s="20">
        <v>9740</v>
      </c>
      <c r="C2447" s="21">
        <f t="shared" si="80"/>
        <v>7.8398063103276</v>
      </c>
      <c r="D2447" s="21">
        <f t="shared" si="81"/>
        <v>2.46598434677905</v>
      </c>
    </row>
    <row r="2448" ht="14.4" spans="2:4">
      <c r="B2448" s="20">
        <v>9744</v>
      </c>
      <c r="C2448" s="21">
        <f t="shared" si="80"/>
        <v>7.84503719855438</v>
      </c>
      <c r="D2448" s="21">
        <f t="shared" si="81"/>
        <v>2.46746987951807</v>
      </c>
    </row>
    <row r="2449" ht="14.4" spans="2:4">
      <c r="B2449" s="20">
        <v>9748</v>
      </c>
      <c r="C2449" s="21">
        <f t="shared" si="80"/>
        <v>7.85027123886827</v>
      </c>
      <c r="D2449" s="21">
        <f t="shared" si="81"/>
        <v>2.46895720313442</v>
      </c>
    </row>
    <row r="2450" ht="14.4" spans="2:4">
      <c r="B2450" s="20">
        <v>9752</v>
      </c>
      <c r="C2450" s="21">
        <f t="shared" si="80"/>
        <v>7.85550843507039</v>
      </c>
      <c r="D2450" s="21">
        <f t="shared" si="81"/>
        <v>2.47044632086852</v>
      </c>
    </row>
    <row r="2451" ht="14.4" spans="2:4">
      <c r="B2451" s="20">
        <v>9756</v>
      </c>
      <c r="C2451" s="21">
        <f t="shared" si="80"/>
        <v>7.86074879096875</v>
      </c>
      <c r="D2451" s="21">
        <f t="shared" si="81"/>
        <v>2.47193723596862</v>
      </c>
    </row>
    <row r="2452" ht="14.4" spans="2:4">
      <c r="B2452" s="20">
        <v>9760</v>
      </c>
      <c r="C2452" s="21">
        <f t="shared" si="80"/>
        <v>7.86599231037826</v>
      </c>
      <c r="D2452" s="21">
        <f t="shared" si="81"/>
        <v>2.47342995169082</v>
      </c>
    </row>
    <row r="2453" ht="14.4" spans="2:4">
      <c r="B2453" s="20">
        <v>9764</v>
      </c>
      <c r="C2453" s="21">
        <f t="shared" si="80"/>
        <v>7.87123899712074</v>
      </c>
      <c r="D2453" s="21">
        <f t="shared" si="81"/>
        <v>2.47492447129909</v>
      </c>
    </row>
    <row r="2454" ht="14.4" spans="2:4">
      <c r="B2454" s="20">
        <v>9768</v>
      </c>
      <c r="C2454" s="21">
        <f t="shared" si="80"/>
        <v>7.87648885502493</v>
      </c>
      <c r="D2454" s="21">
        <f t="shared" si="81"/>
        <v>2.4764207980653</v>
      </c>
    </row>
    <row r="2455" ht="14.4" spans="2:4">
      <c r="B2455" s="20">
        <v>9772</v>
      </c>
      <c r="C2455" s="21">
        <f t="shared" si="80"/>
        <v>7.88174188792654</v>
      </c>
      <c r="D2455" s="21">
        <f t="shared" si="81"/>
        <v>2.47791893526921</v>
      </c>
    </row>
    <row r="2456" ht="14.4" spans="2:4">
      <c r="B2456" s="20">
        <v>9776</v>
      </c>
      <c r="C2456" s="21">
        <f t="shared" si="80"/>
        <v>7.88699809966822</v>
      </c>
      <c r="D2456" s="21">
        <f t="shared" si="81"/>
        <v>2.47941888619855</v>
      </c>
    </row>
    <row r="2457" ht="14.4" spans="2:4">
      <c r="B2457" s="20">
        <v>9780</v>
      </c>
      <c r="C2457" s="21">
        <f t="shared" si="80"/>
        <v>7.89225749409961</v>
      </c>
      <c r="D2457" s="21">
        <f t="shared" si="81"/>
        <v>2.480920654149</v>
      </c>
    </row>
    <row r="2458" ht="14.4" spans="2:4">
      <c r="B2458" s="20">
        <v>9784</v>
      </c>
      <c r="C2458" s="21">
        <f t="shared" si="80"/>
        <v>7.89752007507736</v>
      </c>
      <c r="D2458" s="21">
        <f t="shared" si="81"/>
        <v>2.48242424242424</v>
      </c>
    </row>
    <row r="2459" ht="14.4" spans="2:4">
      <c r="B2459" s="20">
        <v>9788</v>
      </c>
      <c r="C2459" s="21">
        <f t="shared" si="80"/>
        <v>7.90278584646511</v>
      </c>
      <c r="D2459" s="21">
        <f t="shared" si="81"/>
        <v>2.48392965433596</v>
      </c>
    </row>
    <row r="2460" ht="14.4" spans="2:4">
      <c r="B2460" s="20">
        <v>9792</v>
      </c>
      <c r="C2460" s="21">
        <f t="shared" si="80"/>
        <v>7.90805481213355</v>
      </c>
      <c r="D2460" s="21">
        <f t="shared" si="81"/>
        <v>2.48543689320388</v>
      </c>
    </row>
    <row r="2461" ht="14.4" spans="2:4">
      <c r="B2461" s="20">
        <v>9796</v>
      </c>
      <c r="C2461" s="21">
        <f t="shared" si="80"/>
        <v>7.9133269759604</v>
      </c>
      <c r="D2461" s="21">
        <f t="shared" si="81"/>
        <v>2.4869459623558</v>
      </c>
    </row>
    <row r="2462" ht="14.4" spans="2:4">
      <c r="B2462" s="20">
        <v>9800</v>
      </c>
      <c r="C2462" s="21">
        <f t="shared" si="80"/>
        <v>7.91860234183047</v>
      </c>
      <c r="D2462" s="21">
        <f t="shared" si="81"/>
        <v>2.48845686512758</v>
      </c>
    </row>
    <row r="2463" ht="14.4" spans="2:4">
      <c r="B2463" s="20">
        <v>9804</v>
      </c>
      <c r="C2463" s="21">
        <f t="shared" si="80"/>
        <v>7.92388091363563</v>
      </c>
      <c r="D2463" s="21">
        <f t="shared" si="81"/>
        <v>2.48996960486322</v>
      </c>
    </row>
    <row r="2464" ht="14.4" spans="2:4">
      <c r="B2464" s="20">
        <v>9808</v>
      </c>
      <c r="C2464" s="21">
        <f t="shared" si="80"/>
        <v>7.92916269527486</v>
      </c>
      <c r="D2464" s="21">
        <f t="shared" si="81"/>
        <v>2.49148418491484</v>
      </c>
    </row>
    <row r="2465" ht="14.4" spans="2:4">
      <c r="B2465" s="20">
        <v>9812</v>
      </c>
      <c r="C2465" s="21">
        <f t="shared" si="80"/>
        <v>7.93444769065425</v>
      </c>
      <c r="D2465" s="21">
        <f t="shared" si="81"/>
        <v>2.49300060864273</v>
      </c>
    </row>
    <row r="2466" ht="14.4" spans="2:4">
      <c r="B2466" s="20">
        <v>9816</v>
      </c>
      <c r="C2466" s="21">
        <f t="shared" si="80"/>
        <v>7.93973590368705</v>
      </c>
      <c r="D2466" s="21">
        <f t="shared" si="81"/>
        <v>2.49451887941535</v>
      </c>
    </row>
    <row r="2467" ht="14.4" spans="2:4">
      <c r="B2467" s="20">
        <v>9820</v>
      </c>
      <c r="C2467" s="21">
        <f t="shared" si="80"/>
        <v>7.94502733829362</v>
      </c>
      <c r="D2467" s="21">
        <f t="shared" si="81"/>
        <v>2.49603900060938</v>
      </c>
    </row>
    <row r="2468" ht="14.4" spans="2:4">
      <c r="B2468" s="20">
        <v>9824</v>
      </c>
      <c r="C2468" s="21">
        <f t="shared" si="80"/>
        <v>7.95032199840153</v>
      </c>
      <c r="D2468" s="21">
        <f t="shared" si="81"/>
        <v>2.49756097560976</v>
      </c>
    </row>
    <row r="2469" ht="14.4" spans="2:4">
      <c r="B2469" s="20">
        <v>9828</v>
      </c>
      <c r="C2469" s="21">
        <f t="shared" si="80"/>
        <v>7.95561988794551</v>
      </c>
      <c r="D2469" s="21">
        <f t="shared" si="81"/>
        <v>2.49908480780964</v>
      </c>
    </row>
    <row r="2470" ht="14.4" spans="2:4">
      <c r="B2470" s="20">
        <v>9832</v>
      </c>
      <c r="C2470" s="21">
        <f t="shared" si="80"/>
        <v>7.96092101086749</v>
      </c>
      <c r="D2470" s="21">
        <f t="shared" si="81"/>
        <v>2.5006105006105</v>
      </c>
    </row>
    <row r="2471" ht="14.4" spans="2:4">
      <c r="B2471" s="20">
        <v>9836</v>
      </c>
      <c r="C2471" s="21">
        <f t="shared" si="80"/>
        <v>7.96622537111666</v>
      </c>
      <c r="D2471" s="21">
        <f t="shared" si="81"/>
        <v>2.50213805742211</v>
      </c>
    </row>
    <row r="2472" ht="14.4" spans="2:4">
      <c r="B2472" s="20">
        <v>9840</v>
      </c>
      <c r="C2472" s="21">
        <f t="shared" si="80"/>
        <v>7.9715329726494</v>
      </c>
      <c r="D2472" s="21">
        <f t="shared" si="81"/>
        <v>2.50366748166259</v>
      </c>
    </row>
    <row r="2473" ht="14.4" spans="2:4">
      <c r="B2473" s="20">
        <v>9844</v>
      </c>
      <c r="C2473" s="21">
        <f t="shared" si="80"/>
        <v>7.97684381942939</v>
      </c>
      <c r="D2473" s="21">
        <f t="shared" si="81"/>
        <v>2.50519877675841</v>
      </c>
    </row>
    <row r="2474" ht="14.4" spans="2:4">
      <c r="B2474" s="20">
        <v>9848</v>
      </c>
      <c r="C2474" s="21">
        <f t="shared" si="80"/>
        <v>7.98215791542755</v>
      </c>
      <c r="D2474" s="21">
        <f t="shared" si="81"/>
        <v>2.50673194614443</v>
      </c>
    </row>
    <row r="2475" ht="14.4" spans="2:4">
      <c r="B2475" s="20">
        <v>9852</v>
      </c>
      <c r="C2475" s="21">
        <f t="shared" si="80"/>
        <v>7.98747526462212</v>
      </c>
      <c r="D2475" s="21">
        <f t="shared" si="81"/>
        <v>2.50826699326393</v>
      </c>
    </row>
    <row r="2476" ht="14.4" spans="2:4">
      <c r="B2476" s="20">
        <v>9856</v>
      </c>
      <c r="C2476" s="21">
        <f t="shared" si="80"/>
        <v>7.99279587099864</v>
      </c>
      <c r="D2476" s="21">
        <f t="shared" si="81"/>
        <v>2.50980392156863</v>
      </c>
    </row>
    <row r="2477" ht="14.4" spans="2:4">
      <c r="B2477" s="20">
        <v>9860</v>
      </c>
      <c r="C2477" s="21">
        <f t="shared" si="80"/>
        <v>7.99811973854997</v>
      </c>
      <c r="D2477" s="21">
        <f t="shared" si="81"/>
        <v>2.5113427345187</v>
      </c>
    </row>
    <row r="2478" ht="14.4" spans="2:4">
      <c r="B2478" s="20">
        <v>9864</v>
      </c>
      <c r="C2478" s="21">
        <f t="shared" si="80"/>
        <v>8.00344687127633</v>
      </c>
      <c r="D2478" s="21">
        <f t="shared" si="81"/>
        <v>2.51288343558282</v>
      </c>
    </row>
    <row r="2479" ht="14.4" spans="2:4">
      <c r="B2479" s="20">
        <v>9868</v>
      </c>
      <c r="C2479" s="21">
        <f t="shared" si="80"/>
        <v>8.0087772731853</v>
      </c>
      <c r="D2479" s="21">
        <f t="shared" si="81"/>
        <v>2.51442602823818</v>
      </c>
    </row>
    <row r="2480" ht="14.4" spans="2:4">
      <c r="B2480" s="20">
        <v>9872</v>
      </c>
      <c r="C2480" s="21">
        <f t="shared" si="80"/>
        <v>8.01411094829184</v>
      </c>
      <c r="D2480" s="21">
        <f t="shared" si="81"/>
        <v>2.51597051597052</v>
      </c>
    </row>
    <row r="2481" ht="14.4" spans="2:4">
      <c r="B2481" s="20">
        <v>9876</v>
      </c>
      <c r="C2481" s="21">
        <f t="shared" si="80"/>
        <v>8.01944790061831</v>
      </c>
      <c r="D2481" s="21">
        <f t="shared" si="81"/>
        <v>2.51751690227412</v>
      </c>
    </row>
    <row r="2482" ht="14.4" spans="2:4">
      <c r="B2482" s="20">
        <v>9880</v>
      </c>
      <c r="C2482" s="21">
        <f t="shared" si="80"/>
        <v>8.0247881341945</v>
      </c>
      <c r="D2482" s="21">
        <f t="shared" si="81"/>
        <v>2.51906519065191</v>
      </c>
    </row>
    <row r="2483" ht="14.4" spans="2:4">
      <c r="B2483" s="20">
        <v>9884</v>
      </c>
      <c r="C2483" s="21">
        <f t="shared" si="80"/>
        <v>8.03013165305762</v>
      </c>
      <c r="D2483" s="21">
        <f t="shared" si="81"/>
        <v>2.52061538461538</v>
      </c>
    </row>
    <row r="2484" ht="14.4" spans="2:4">
      <c r="B2484" s="20">
        <v>9888</v>
      </c>
      <c r="C2484" s="21">
        <f t="shared" si="80"/>
        <v>8.03547846125236</v>
      </c>
      <c r="D2484" s="21">
        <f t="shared" si="81"/>
        <v>2.52216748768473</v>
      </c>
    </row>
    <row r="2485" ht="14.4" spans="2:4">
      <c r="B2485" s="20">
        <v>9892</v>
      </c>
      <c r="C2485" s="21">
        <f t="shared" si="80"/>
        <v>8.04082856283085</v>
      </c>
      <c r="D2485" s="21">
        <f t="shared" si="81"/>
        <v>2.52372150338879</v>
      </c>
    </row>
    <row r="2486" ht="14.4" spans="2:4">
      <c r="B2486" s="20">
        <v>9896</v>
      </c>
      <c r="C2486" s="21">
        <f t="shared" si="80"/>
        <v>8.04618196185274</v>
      </c>
      <c r="D2486" s="21">
        <f t="shared" si="81"/>
        <v>2.5252774352651</v>
      </c>
    </row>
    <row r="2487" ht="14.4" spans="2:4">
      <c r="B2487" s="20">
        <v>9900</v>
      </c>
      <c r="C2487" s="21">
        <f t="shared" si="80"/>
        <v>8.05153866238519</v>
      </c>
      <c r="D2487" s="21">
        <f t="shared" si="81"/>
        <v>2.52683528685996</v>
      </c>
    </row>
    <row r="2488" ht="14.4" spans="2:4">
      <c r="B2488" s="20">
        <v>9904</v>
      </c>
      <c r="C2488" s="21">
        <f t="shared" si="80"/>
        <v>8.05689866850287</v>
      </c>
      <c r="D2488" s="21">
        <f t="shared" si="81"/>
        <v>2.52839506172839</v>
      </c>
    </row>
    <row r="2489" ht="14.4" spans="2:4">
      <c r="B2489" s="20">
        <v>9908</v>
      </c>
      <c r="C2489" s="21">
        <f t="shared" si="80"/>
        <v>8.06226198428801</v>
      </c>
      <c r="D2489" s="21">
        <f t="shared" si="81"/>
        <v>2.52995676343422</v>
      </c>
    </row>
    <row r="2490" ht="14.4" spans="2:4">
      <c r="B2490" s="20">
        <v>9912</v>
      </c>
      <c r="C2490" s="21">
        <f t="shared" si="80"/>
        <v>8.06762861383042</v>
      </c>
      <c r="D2490" s="21">
        <f t="shared" si="81"/>
        <v>2.53152039555006</v>
      </c>
    </row>
    <row r="2491" ht="14.4" spans="2:4">
      <c r="B2491" s="20">
        <v>9916</v>
      </c>
      <c r="C2491" s="21">
        <f t="shared" si="80"/>
        <v>8.07299856122746</v>
      </c>
      <c r="D2491" s="21">
        <f t="shared" si="81"/>
        <v>2.53308596165739</v>
      </c>
    </row>
    <row r="2492" ht="14.4" spans="2:4">
      <c r="B2492" s="20">
        <v>9920</v>
      </c>
      <c r="C2492" s="21">
        <f t="shared" si="80"/>
        <v>8.07837183058414</v>
      </c>
      <c r="D2492" s="21">
        <f t="shared" si="81"/>
        <v>2.53465346534653</v>
      </c>
    </row>
    <row r="2493" ht="14.4" spans="2:4">
      <c r="B2493" s="20">
        <v>9924</v>
      </c>
      <c r="C2493" s="21">
        <f t="shared" si="80"/>
        <v>8.08374842601305</v>
      </c>
      <c r="D2493" s="21">
        <f t="shared" si="81"/>
        <v>2.53622291021672</v>
      </c>
    </row>
    <row r="2494" ht="14.4" spans="2:4">
      <c r="B2494" s="20">
        <v>9928</v>
      </c>
      <c r="C2494" s="21">
        <f t="shared" si="80"/>
        <v>8.08912835163446</v>
      </c>
      <c r="D2494" s="21">
        <f t="shared" si="81"/>
        <v>2.53779429987608</v>
      </c>
    </row>
    <row r="2495" ht="14.4" spans="2:4">
      <c r="B2495" s="20">
        <v>9932</v>
      </c>
      <c r="C2495" s="21">
        <f t="shared" si="80"/>
        <v>8.09451161157626</v>
      </c>
      <c r="D2495" s="21">
        <f t="shared" si="81"/>
        <v>2.53936763794172</v>
      </c>
    </row>
    <row r="2496" ht="14.4" spans="2:4">
      <c r="B2496" s="20">
        <v>9936</v>
      </c>
      <c r="C2496" s="21">
        <f t="shared" si="80"/>
        <v>8.09989820997405</v>
      </c>
      <c r="D2496" s="21">
        <f t="shared" si="81"/>
        <v>2.5409429280397</v>
      </c>
    </row>
    <row r="2497" ht="14.4" spans="2:4">
      <c r="B2497" s="20">
        <v>9940</v>
      </c>
      <c r="C2497" s="21">
        <f t="shared" si="80"/>
        <v>8.10528815097113</v>
      </c>
      <c r="D2497" s="21">
        <f t="shared" si="81"/>
        <v>2.54252017380509</v>
      </c>
    </row>
    <row r="2498" ht="14.4" spans="2:4">
      <c r="B2498" s="20">
        <v>9944</v>
      </c>
      <c r="C2498" s="21">
        <f t="shared" si="80"/>
        <v>8.11068143871849</v>
      </c>
      <c r="D2498" s="21">
        <f t="shared" si="81"/>
        <v>2.54409937888199</v>
      </c>
    </row>
    <row r="2499" ht="14.4" spans="2:4">
      <c r="B2499" s="20">
        <v>9948</v>
      </c>
      <c r="C2499" s="21">
        <f t="shared" si="80"/>
        <v>8.1160780773749</v>
      </c>
      <c r="D2499" s="21">
        <f t="shared" si="81"/>
        <v>2.54568054692355</v>
      </c>
    </row>
    <row r="2500" ht="14.4" spans="2:4">
      <c r="B2500" s="20">
        <v>9952</v>
      </c>
      <c r="C2500" s="21">
        <f t="shared" si="80"/>
        <v>8.12147807110684</v>
      </c>
      <c r="D2500" s="21">
        <f t="shared" si="81"/>
        <v>2.54726368159204</v>
      </c>
    </row>
    <row r="2501" ht="14.4" spans="2:4">
      <c r="B2501" s="20">
        <v>9956</v>
      </c>
      <c r="C2501" s="21">
        <f t="shared" si="80"/>
        <v>8.1268814240886</v>
      </c>
      <c r="D2501" s="21">
        <f t="shared" si="81"/>
        <v>2.54884878655881</v>
      </c>
    </row>
    <row r="2502" ht="14.4" spans="2:4">
      <c r="B2502" s="20">
        <v>9960</v>
      </c>
      <c r="C2502" s="21">
        <f t="shared" ref="C2502:C2565" si="82">20*LOG(D2502)</f>
        <v>8.13228814050224</v>
      </c>
      <c r="D2502" s="21">
        <f t="shared" ref="D2502:D2565" si="83">16384/(16384-B2502)</f>
        <v>2.55043586550436</v>
      </c>
    </row>
    <row r="2503" ht="14.4" spans="2:4">
      <c r="B2503" s="20">
        <v>9964</v>
      </c>
      <c r="C2503" s="21">
        <f t="shared" si="82"/>
        <v>8.13769822453767</v>
      </c>
      <c r="D2503" s="21">
        <f t="shared" si="83"/>
        <v>2.55202492211838</v>
      </c>
    </row>
    <row r="2504" ht="14.4" spans="2:4">
      <c r="B2504" s="20">
        <v>9968</v>
      </c>
      <c r="C2504" s="21">
        <f t="shared" si="82"/>
        <v>8.14311168039259</v>
      </c>
      <c r="D2504" s="21">
        <f t="shared" si="83"/>
        <v>2.55361596009975</v>
      </c>
    </row>
    <row r="2505" ht="14.4" spans="2:4">
      <c r="B2505" s="20">
        <v>9972</v>
      </c>
      <c r="C2505" s="21">
        <f t="shared" si="82"/>
        <v>8.14852851227259</v>
      </c>
      <c r="D2505" s="21">
        <f t="shared" si="83"/>
        <v>2.55520898315658</v>
      </c>
    </row>
    <row r="2506" ht="14.4" spans="2:4">
      <c r="B2506" s="20">
        <v>9976</v>
      </c>
      <c r="C2506" s="21">
        <f t="shared" si="82"/>
        <v>8.15394872439111</v>
      </c>
      <c r="D2506" s="21">
        <f t="shared" si="83"/>
        <v>2.55680399500624</v>
      </c>
    </row>
    <row r="2507" ht="14.4" spans="2:4">
      <c r="B2507" s="20">
        <v>9980</v>
      </c>
      <c r="C2507" s="21">
        <f t="shared" si="82"/>
        <v>8.15937232096949</v>
      </c>
      <c r="D2507" s="21">
        <f t="shared" si="83"/>
        <v>2.55840099937539</v>
      </c>
    </row>
    <row r="2508" ht="14.4" spans="2:4">
      <c r="B2508" s="20">
        <v>9984</v>
      </c>
      <c r="C2508" s="21">
        <f t="shared" si="82"/>
        <v>8.16479930623699</v>
      </c>
      <c r="D2508" s="21">
        <f t="shared" si="83"/>
        <v>2.56</v>
      </c>
    </row>
    <row r="2509" ht="14.4" spans="2:4">
      <c r="B2509" s="20">
        <v>9988</v>
      </c>
      <c r="C2509" s="21">
        <f t="shared" si="82"/>
        <v>8.17022968443079</v>
      </c>
      <c r="D2509" s="21">
        <f t="shared" si="83"/>
        <v>2.56160100062539</v>
      </c>
    </row>
    <row r="2510" ht="14.4" spans="2:4">
      <c r="B2510" s="20">
        <v>9992</v>
      </c>
      <c r="C2510" s="21">
        <f t="shared" si="82"/>
        <v>8.17566345979604</v>
      </c>
      <c r="D2510" s="21">
        <f t="shared" si="83"/>
        <v>2.56320400500626</v>
      </c>
    </row>
    <row r="2511" ht="14.4" spans="2:4">
      <c r="B2511" s="20">
        <v>9996</v>
      </c>
      <c r="C2511" s="21">
        <f t="shared" si="82"/>
        <v>8.18110063658583</v>
      </c>
      <c r="D2511" s="21">
        <f t="shared" si="83"/>
        <v>2.5648090169067</v>
      </c>
    </row>
    <row r="2512" ht="14.4" spans="2:4">
      <c r="B2512" s="20">
        <v>10000</v>
      </c>
      <c r="C2512" s="21">
        <f t="shared" si="82"/>
        <v>8.18654121906127</v>
      </c>
      <c r="D2512" s="21">
        <f t="shared" si="83"/>
        <v>2.56641604010025</v>
      </c>
    </row>
    <row r="2513" ht="14.4" spans="2:4">
      <c r="B2513" s="20">
        <v>10004</v>
      </c>
      <c r="C2513" s="21">
        <f t="shared" si="82"/>
        <v>8.19198521149149</v>
      </c>
      <c r="D2513" s="21">
        <f t="shared" si="83"/>
        <v>2.56802507836991</v>
      </c>
    </row>
    <row r="2514" ht="14.4" spans="2:4">
      <c r="B2514" s="20">
        <v>10008</v>
      </c>
      <c r="C2514" s="21">
        <f t="shared" si="82"/>
        <v>8.19743261815361</v>
      </c>
      <c r="D2514" s="21">
        <f t="shared" si="83"/>
        <v>2.56963613550816</v>
      </c>
    </row>
    <row r="2515" ht="14.4" spans="2:4">
      <c r="B2515" s="20">
        <v>10012</v>
      </c>
      <c r="C2515" s="21">
        <f t="shared" si="82"/>
        <v>8.20288344333286</v>
      </c>
      <c r="D2515" s="21">
        <f t="shared" si="83"/>
        <v>2.57124921531701</v>
      </c>
    </row>
    <row r="2516" ht="14.4" spans="2:4">
      <c r="B2516" s="20">
        <v>10016</v>
      </c>
      <c r="C2516" s="21">
        <f t="shared" si="82"/>
        <v>8.20833769132248</v>
      </c>
      <c r="D2516" s="21">
        <f t="shared" si="83"/>
        <v>2.57286432160804</v>
      </c>
    </row>
    <row r="2517" ht="14.4" spans="2:4">
      <c r="B2517" s="20">
        <v>10020</v>
      </c>
      <c r="C2517" s="21">
        <f t="shared" si="82"/>
        <v>8.21379536642386</v>
      </c>
      <c r="D2517" s="21">
        <f t="shared" si="83"/>
        <v>2.57448145820239</v>
      </c>
    </row>
    <row r="2518" ht="14.4" spans="2:4">
      <c r="B2518" s="20">
        <v>10024</v>
      </c>
      <c r="C2518" s="21">
        <f t="shared" si="82"/>
        <v>8.21925647294646</v>
      </c>
      <c r="D2518" s="21">
        <f t="shared" si="83"/>
        <v>2.57610062893082</v>
      </c>
    </row>
    <row r="2519" ht="14.4" spans="2:4">
      <c r="B2519" s="20">
        <v>10028</v>
      </c>
      <c r="C2519" s="21">
        <f t="shared" si="82"/>
        <v>8.2247210152079</v>
      </c>
      <c r="D2519" s="21">
        <f t="shared" si="83"/>
        <v>2.57772183763373</v>
      </c>
    </row>
    <row r="2520" ht="14.4" spans="2:4">
      <c r="B2520" s="20">
        <v>10032</v>
      </c>
      <c r="C2520" s="21">
        <f t="shared" si="82"/>
        <v>8.23018899753394</v>
      </c>
      <c r="D2520" s="21">
        <f t="shared" si="83"/>
        <v>2.57934508816121</v>
      </c>
    </row>
    <row r="2521" ht="14.4" spans="2:4">
      <c r="B2521" s="20">
        <v>10036</v>
      </c>
      <c r="C2521" s="21">
        <f t="shared" si="82"/>
        <v>8.23566042425852</v>
      </c>
      <c r="D2521" s="21">
        <f t="shared" si="83"/>
        <v>2.58097038437303</v>
      </c>
    </row>
    <row r="2522" ht="14.4" spans="2:4">
      <c r="B2522" s="20">
        <v>10040</v>
      </c>
      <c r="C2522" s="21">
        <f t="shared" si="82"/>
        <v>8.24113529972379</v>
      </c>
      <c r="D2522" s="21">
        <f t="shared" si="83"/>
        <v>2.58259773013871</v>
      </c>
    </row>
    <row r="2523" ht="14.4" spans="2:4">
      <c r="B2523" s="20">
        <v>10044</v>
      </c>
      <c r="C2523" s="21">
        <f t="shared" si="82"/>
        <v>8.24661362828008</v>
      </c>
      <c r="D2523" s="21">
        <f t="shared" si="83"/>
        <v>2.58422712933754</v>
      </c>
    </row>
    <row r="2524" ht="14.4" spans="2:4">
      <c r="B2524" s="20">
        <v>10048</v>
      </c>
      <c r="C2524" s="21">
        <f t="shared" si="82"/>
        <v>8.25209541428599</v>
      </c>
      <c r="D2524" s="21">
        <f t="shared" si="83"/>
        <v>2.58585858585859</v>
      </c>
    </row>
    <row r="2525" ht="14.4" spans="2:4">
      <c r="B2525" s="20">
        <v>10052</v>
      </c>
      <c r="C2525" s="21">
        <f t="shared" si="82"/>
        <v>8.25758066210837</v>
      </c>
      <c r="D2525" s="21">
        <f t="shared" si="83"/>
        <v>2.58749210360076</v>
      </c>
    </row>
    <row r="2526" ht="14.4" spans="2:4">
      <c r="B2526" s="20">
        <v>10056</v>
      </c>
      <c r="C2526" s="21">
        <f t="shared" si="82"/>
        <v>8.26306937612233</v>
      </c>
      <c r="D2526" s="21">
        <f t="shared" si="83"/>
        <v>2.58912768647282</v>
      </c>
    </row>
    <row r="2527" ht="14.4" spans="2:4">
      <c r="B2527" s="20">
        <v>10060</v>
      </c>
      <c r="C2527" s="21">
        <f t="shared" si="82"/>
        <v>8.26856156071131</v>
      </c>
      <c r="D2527" s="21">
        <f t="shared" si="83"/>
        <v>2.59076533839342</v>
      </c>
    </row>
    <row r="2528" ht="14.4" spans="2:4">
      <c r="B2528" s="20">
        <v>10064</v>
      </c>
      <c r="C2528" s="21">
        <f t="shared" si="82"/>
        <v>8.27405722026704</v>
      </c>
      <c r="D2528" s="21">
        <f t="shared" si="83"/>
        <v>2.59240506329114</v>
      </c>
    </row>
    <row r="2529" ht="14.4" spans="2:4">
      <c r="B2529" s="20">
        <v>10068</v>
      </c>
      <c r="C2529" s="21">
        <f t="shared" si="82"/>
        <v>8.2795563591896</v>
      </c>
      <c r="D2529" s="21">
        <f t="shared" si="83"/>
        <v>2.5940468651045</v>
      </c>
    </row>
    <row r="2530" ht="14.4" spans="2:4">
      <c r="B2530" s="20">
        <v>10072</v>
      </c>
      <c r="C2530" s="21">
        <f t="shared" si="82"/>
        <v>8.28505898188746</v>
      </c>
      <c r="D2530" s="21">
        <f t="shared" si="83"/>
        <v>2.595690747782</v>
      </c>
    </row>
    <row r="2531" ht="14.4" spans="2:4">
      <c r="B2531" s="20">
        <v>10076</v>
      </c>
      <c r="C2531" s="21">
        <f t="shared" si="82"/>
        <v>8.29056509277743</v>
      </c>
      <c r="D2531" s="21">
        <f t="shared" si="83"/>
        <v>2.59733671528218</v>
      </c>
    </row>
    <row r="2532" ht="14.4" spans="2:4">
      <c r="B2532" s="20">
        <v>10080</v>
      </c>
      <c r="C2532" s="21">
        <f t="shared" si="82"/>
        <v>8.29607469628476</v>
      </c>
      <c r="D2532" s="21">
        <f t="shared" si="83"/>
        <v>2.5989847715736</v>
      </c>
    </row>
    <row r="2533" ht="14.4" spans="2:4">
      <c r="B2533" s="20">
        <v>10084</v>
      </c>
      <c r="C2533" s="21">
        <f t="shared" si="82"/>
        <v>8.3015877968431</v>
      </c>
      <c r="D2533" s="21">
        <f t="shared" si="83"/>
        <v>2.60063492063492</v>
      </c>
    </row>
    <row r="2534" ht="14.4" spans="2:4">
      <c r="B2534" s="20">
        <v>10088</v>
      </c>
      <c r="C2534" s="21">
        <f t="shared" si="82"/>
        <v>8.30710439889457</v>
      </c>
      <c r="D2534" s="21">
        <f t="shared" si="83"/>
        <v>2.60228716645489</v>
      </c>
    </row>
    <row r="2535" ht="14.4" spans="2:4">
      <c r="B2535" s="20">
        <v>10092</v>
      </c>
      <c r="C2535" s="21">
        <f t="shared" si="82"/>
        <v>8.31262450688975</v>
      </c>
      <c r="D2535" s="21">
        <f t="shared" si="83"/>
        <v>2.60394151303242</v>
      </c>
    </row>
    <row r="2536" ht="14.4" spans="2:4">
      <c r="B2536" s="20">
        <v>10096</v>
      </c>
      <c r="C2536" s="21">
        <f t="shared" si="82"/>
        <v>8.31814812528771</v>
      </c>
      <c r="D2536" s="21">
        <f t="shared" si="83"/>
        <v>2.60559796437659</v>
      </c>
    </row>
    <row r="2537" ht="14.4" spans="2:4">
      <c r="B2537" s="20">
        <v>10100</v>
      </c>
      <c r="C2537" s="21">
        <f t="shared" si="82"/>
        <v>8.32367525855602</v>
      </c>
      <c r="D2537" s="21">
        <f t="shared" si="83"/>
        <v>2.60725652450668</v>
      </c>
    </row>
    <row r="2538" ht="14.4" spans="2:4">
      <c r="B2538" s="20">
        <v>10104</v>
      </c>
      <c r="C2538" s="21">
        <f t="shared" si="82"/>
        <v>8.32920591117081</v>
      </c>
      <c r="D2538" s="21">
        <f t="shared" si="83"/>
        <v>2.60891719745223</v>
      </c>
    </row>
    <row r="2539" ht="14.4" spans="2:4">
      <c r="B2539" s="20">
        <v>10108</v>
      </c>
      <c r="C2539" s="21">
        <f t="shared" si="82"/>
        <v>8.33474008761675</v>
      </c>
      <c r="D2539" s="21">
        <f t="shared" si="83"/>
        <v>2.61057998725303</v>
      </c>
    </row>
    <row r="2540" ht="14.4" spans="2:4">
      <c r="B2540" s="20">
        <v>10112</v>
      </c>
      <c r="C2540" s="21">
        <f t="shared" si="82"/>
        <v>8.34027779238709</v>
      </c>
      <c r="D2540" s="21">
        <f t="shared" si="83"/>
        <v>2.61224489795918</v>
      </c>
    </row>
    <row r="2541" ht="14.4" spans="2:4">
      <c r="B2541" s="20">
        <v>10116</v>
      </c>
      <c r="C2541" s="21">
        <f t="shared" si="82"/>
        <v>8.34581902998368</v>
      </c>
      <c r="D2541" s="21">
        <f t="shared" si="83"/>
        <v>2.61391193363114</v>
      </c>
    </row>
    <row r="2542" ht="14.4" spans="2:4">
      <c r="B2542" s="20">
        <v>10120</v>
      </c>
      <c r="C2542" s="21">
        <f t="shared" si="82"/>
        <v>8.351363804917</v>
      </c>
      <c r="D2542" s="21">
        <f t="shared" si="83"/>
        <v>2.61558109833972</v>
      </c>
    </row>
    <row r="2543" ht="14.4" spans="2:4">
      <c r="B2543" s="20">
        <v>10124</v>
      </c>
      <c r="C2543" s="21">
        <f t="shared" si="82"/>
        <v>8.35691212170614</v>
      </c>
      <c r="D2543" s="21">
        <f t="shared" si="83"/>
        <v>2.61725239616613</v>
      </c>
    </row>
    <row r="2544" ht="14.4" spans="2:4">
      <c r="B2544" s="20">
        <v>10128</v>
      </c>
      <c r="C2544" s="21">
        <f t="shared" si="82"/>
        <v>8.3624639848789</v>
      </c>
      <c r="D2544" s="21">
        <f t="shared" si="83"/>
        <v>2.61892583120205</v>
      </c>
    </row>
    <row r="2545" ht="14.4" spans="2:4">
      <c r="B2545" s="20">
        <v>10132</v>
      </c>
      <c r="C2545" s="21">
        <f t="shared" si="82"/>
        <v>8.36801939897175</v>
      </c>
      <c r="D2545" s="21">
        <f t="shared" si="83"/>
        <v>2.62060140754958</v>
      </c>
    </row>
    <row r="2546" ht="14.4" spans="2:4">
      <c r="B2546" s="20">
        <v>10136</v>
      </c>
      <c r="C2546" s="21">
        <f t="shared" si="82"/>
        <v>8.37357836852986</v>
      </c>
      <c r="D2546" s="21">
        <f t="shared" si="83"/>
        <v>2.62227912932138</v>
      </c>
    </row>
    <row r="2547" ht="14.4" spans="2:4">
      <c r="B2547" s="20">
        <v>10140</v>
      </c>
      <c r="C2547" s="21">
        <f t="shared" si="82"/>
        <v>8.37914089810713</v>
      </c>
      <c r="D2547" s="21">
        <f t="shared" si="83"/>
        <v>2.62395900064061</v>
      </c>
    </row>
    <row r="2548" ht="14.4" spans="2:4">
      <c r="B2548" s="20">
        <v>10144</v>
      </c>
      <c r="C2548" s="21">
        <f t="shared" si="82"/>
        <v>8.38470699226626</v>
      </c>
      <c r="D2548" s="21">
        <f t="shared" si="83"/>
        <v>2.62564102564103</v>
      </c>
    </row>
    <row r="2549" ht="14.4" spans="2:4">
      <c r="B2549" s="20">
        <v>10148</v>
      </c>
      <c r="C2549" s="21">
        <f t="shared" si="82"/>
        <v>8.39027665557865</v>
      </c>
      <c r="D2549" s="21">
        <f t="shared" si="83"/>
        <v>2.62732520846697</v>
      </c>
    </row>
    <row r="2550" ht="14.4" spans="2:4">
      <c r="B2550" s="20">
        <v>10152</v>
      </c>
      <c r="C2550" s="21">
        <f t="shared" si="82"/>
        <v>8.39584989262457</v>
      </c>
      <c r="D2550" s="21">
        <f t="shared" si="83"/>
        <v>2.62901155327343</v>
      </c>
    </row>
    <row r="2551" ht="14.4" spans="2:4">
      <c r="B2551" s="20">
        <v>10156</v>
      </c>
      <c r="C2551" s="21">
        <f t="shared" si="82"/>
        <v>8.40142670799308</v>
      </c>
      <c r="D2551" s="21">
        <f t="shared" si="83"/>
        <v>2.63070006422608</v>
      </c>
    </row>
    <row r="2552" ht="14.4" spans="2:4">
      <c r="B2552" s="20">
        <v>10160</v>
      </c>
      <c r="C2552" s="21">
        <f t="shared" si="82"/>
        <v>8.40700710628208</v>
      </c>
      <c r="D2552" s="21">
        <f t="shared" si="83"/>
        <v>2.63239074550129</v>
      </c>
    </row>
    <row r="2553" ht="14.4" spans="2:4">
      <c r="B2553" s="20">
        <v>10164</v>
      </c>
      <c r="C2553" s="21">
        <f t="shared" si="82"/>
        <v>8.41259109209836</v>
      </c>
      <c r="D2553" s="21">
        <f t="shared" si="83"/>
        <v>2.63408360128617</v>
      </c>
    </row>
    <row r="2554" ht="14.4" spans="2:4">
      <c r="B2554" s="20">
        <v>10168</v>
      </c>
      <c r="C2554" s="21">
        <f t="shared" si="82"/>
        <v>8.41817867005758</v>
      </c>
      <c r="D2554" s="21">
        <f t="shared" si="83"/>
        <v>2.63577863577864</v>
      </c>
    </row>
    <row r="2555" ht="14.4" spans="2:4">
      <c r="B2555" s="20">
        <v>10172</v>
      </c>
      <c r="C2555" s="21">
        <f t="shared" si="82"/>
        <v>8.42376984478432</v>
      </c>
      <c r="D2555" s="21">
        <f t="shared" si="83"/>
        <v>2.63747585318738</v>
      </c>
    </row>
    <row r="2556" ht="14.4" spans="2:4">
      <c r="B2556" s="20">
        <v>10176</v>
      </c>
      <c r="C2556" s="21">
        <f t="shared" si="82"/>
        <v>8.42936462091209</v>
      </c>
      <c r="D2556" s="21">
        <f t="shared" si="83"/>
        <v>2.63917525773196</v>
      </c>
    </row>
    <row r="2557" ht="14.4" spans="2:4">
      <c r="B2557" s="20">
        <v>10180</v>
      </c>
      <c r="C2557" s="21">
        <f t="shared" si="82"/>
        <v>8.43496300308339</v>
      </c>
      <c r="D2557" s="21">
        <f t="shared" si="83"/>
        <v>2.64087685364281</v>
      </c>
    </row>
    <row r="2558" ht="14.4" spans="2:4">
      <c r="B2558" s="20">
        <v>10184</v>
      </c>
      <c r="C2558" s="21">
        <f t="shared" si="82"/>
        <v>8.44056499594966</v>
      </c>
      <c r="D2558" s="21">
        <f t="shared" si="83"/>
        <v>2.64258064516129</v>
      </c>
    </row>
    <row r="2559" ht="14.4" spans="2:4">
      <c r="B2559" s="20">
        <v>10188</v>
      </c>
      <c r="C2559" s="21">
        <f t="shared" si="82"/>
        <v>8.44617060417137</v>
      </c>
      <c r="D2559" s="21">
        <f t="shared" si="83"/>
        <v>2.6442866365397</v>
      </c>
    </row>
    <row r="2560" ht="14.4" spans="2:4">
      <c r="B2560" s="20">
        <v>10192</v>
      </c>
      <c r="C2560" s="21">
        <f t="shared" si="82"/>
        <v>8.45177983241801</v>
      </c>
      <c r="D2560" s="21">
        <f t="shared" si="83"/>
        <v>2.64599483204134</v>
      </c>
    </row>
    <row r="2561" ht="14.4" spans="2:4">
      <c r="B2561" s="20">
        <v>10196</v>
      </c>
      <c r="C2561" s="21">
        <f t="shared" si="82"/>
        <v>8.45739268536814</v>
      </c>
      <c r="D2561" s="21">
        <f t="shared" si="83"/>
        <v>2.64770523594053</v>
      </c>
    </row>
    <row r="2562" ht="14.4" spans="2:4">
      <c r="B2562" s="20">
        <v>10200</v>
      </c>
      <c r="C2562" s="21">
        <f t="shared" si="82"/>
        <v>8.46300916770937</v>
      </c>
      <c r="D2562" s="21">
        <f t="shared" si="83"/>
        <v>2.64941785252264</v>
      </c>
    </row>
    <row r="2563" ht="14.4" spans="2:4">
      <c r="B2563" s="20">
        <v>10204</v>
      </c>
      <c r="C2563" s="21">
        <f t="shared" si="82"/>
        <v>8.46862928413842</v>
      </c>
      <c r="D2563" s="21">
        <f t="shared" si="83"/>
        <v>2.65113268608414</v>
      </c>
    </row>
    <row r="2564" ht="14.4" spans="2:4">
      <c r="B2564" s="20">
        <v>10208</v>
      </c>
      <c r="C2564" s="21">
        <f t="shared" si="82"/>
        <v>8.47425303936114</v>
      </c>
      <c r="D2564" s="21">
        <f t="shared" si="83"/>
        <v>2.65284974093264</v>
      </c>
    </row>
    <row r="2565" ht="14.4" spans="2:4">
      <c r="B2565" s="20">
        <v>10212</v>
      </c>
      <c r="C2565" s="21">
        <f t="shared" si="82"/>
        <v>8.47988043809252</v>
      </c>
      <c r="D2565" s="21">
        <f t="shared" si="83"/>
        <v>2.65456902138691</v>
      </c>
    </row>
    <row r="2566" ht="14.4" spans="2:4">
      <c r="B2566" s="20">
        <v>10216</v>
      </c>
      <c r="C2566" s="21">
        <f t="shared" ref="C2566:C2629" si="84">20*LOG(D2566)</f>
        <v>8.48551148505672</v>
      </c>
      <c r="D2566" s="21">
        <f t="shared" ref="D2566:D2629" si="85">16384/(16384-B2566)</f>
        <v>2.65629053177691</v>
      </c>
    </row>
    <row r="2567" ht="14.4" spans="2:4">
      <c r="B2567" s="20">
        <v>10220</v>
      </c>
      <c r="C2567" s="21">
        <f t="shared" si="84"/>
        <v>8.4911461849871</v>
      </c>
      <c r="D2567" s="21">
        <f t="shared" si="85"/>
        <v>2.65801427644387</v>
      </c>
    </row>
    <row r="2568" ht="14.4" spans="2:4">
      <c r="B2568" s="20">
        <v>10224</v>
      </c>
      <c r="C2568" s="21">
        <f t="shared" si="84"/>
        <v>8.49678454262623</v>
      </c>
      <c r="D2568" s="21">
        <f t="shared" si="85"/>
        <v>2.65974025974026</v>
      </c>
    </row>
    <row r="2569" ht="14.4" spans="2:4">
      <c r="B2569" s="20">
        <v>10228</v>
      </c>
      <c r="C2569" s="21">
        <f t="shared" si="84"/>
        <v>8.50242656272591</v>
      </c>
      <c r="D2569" s="21">
        <f t="shared" si="85"/>
        <v>2.66146848602989</v>
      </c>
    </row>
    <row r="2570" ht="14.4" spans="2:4">
      <c r="B2570" s="20">
        <v>10232</v>
      </c>
      <c r="C2570" s="21">
        <f t="shared" si="84"/>
        <v>8.50807225004724</v>
      </c>
      <c r="D2570" s="21">
        <f t="shared" si="85"/>
        <v>2.66319895968791</v>
      </c>
    </row>
    <row r="2571" ht="14.4" spans="2:4">
      <c r="B2571" s="20">
        <v>10236</v>
      </c>
      <c r="C2571" s="21">
        <f t="shared" si="84"/>
        <v>8.51372160936059</v>
      </c>
      <c r="D2571" s="21">
        <f t="shared" si="85"/>
        <v>2.66493168510085</v>
      </c>
    </row>
    <row r="2572" ht="14.4" spans="2:4">
      <c r="B2572" s="20">
        <v>10240</v>
      </c>
      <c r="C2572" s="21">
        <f t="shared" si="84"/>
        <v>8.51937464544562</v>
      </c>
      <c r="D2572" s="21">
        <f t="shared" si="85"/>
        <v>2.66666666666667</v>
      </c>
    </row>
    <row r="2573" ht="14.4" spans="2:4">
      <c r="B2573" s="20">
        <v>10244</v>
      </c>
      <c r="C2573" s="21">
        <f t="shared" si="84"/>
        <v>8.52503136309138</v>
      </c>
      <c r="D2573" s="21">
        <f t="shared" si="85"/>
        <v>2.66840390879479</v>
      </c>
    </row>
    <row r="2574" ht="14.4" spans="2:4">
      <c r="B2574" s="20">
        <v>10248</v>
      </c>
      <c r="C2574" s="21">
        <f t="shared" si="84"/>
        <v>8.53069176709624</v>
      </c>
      <c r="D2574" s="21">
        <f t="shared" si="85"/>
        <v>2.67014341590613</v>
      </c>
    </row>
    <row r="2575" ht="14.4" spans="2:4">
      <c r="B2575" s="20">
        <v>10252</v>
      </c>
      <c r="C2575" s="21">
        <f t="shared" si="84"/>
        <v>8.53635586226798</v>
      </c>
      <c r="D2575" s="21">
        <f t="shared" si="85"/>
        <v>2.67188519243314</v>
      </c>
    </row>
    <row r="2576" ht="14.4" spans="2:4">
      <c r="B2576" s="20">
        <v>10256</v>
      </c>
      <c r="C2576" s="21">
        <f t="shared" si="84"/>
        <v>8.54202365342378</v>
      </c>
      <c r="D2576" s="21">
        <f t="shared" si="85"/>
        <v>2.67362924281984</v>
      </c>
    </row>
    <row r="2577" ht="14.4" spans="2:4">
      <c r="B2577" s="20">
        <v>10260</v>
      </c>
      <c r="C2577" s="21">
        <f t="shared" si="84"/>
        <v>8.54769514539027</v>
      </c>
      <c r="D2577" s="21">
        <f t="shared" si="85"/>
        <v>2.67537557152188</v>
      </c>
    </row>
    <row r="2578" ht="14.4" spans="2:4">
      <c r="B2578" s="20">
        <v>10264</v>
      </c>
      <c r="C2578" s="21">
        <f t="shared" si="84"/>
        <v>8.55337034300351</v>
      </c>
      <c r="D2578" s="21">
        <f t="shared" si="85"/>
        <v>2.67712418300654</v>
      </c>
    </row>
    <row r="2579" ht="14.4" spans="2:4">
      <c r="B2579" s="20">
        <v>10268</v>
      </c>
      <c r="C2579" s="21">
        <f t="shared" si="84"/>
        <v>8.55904925110909</v>
      </c>
      <c r="D2579" s="21">
        <f t="shared" si="85"/>
        <v>2.67887508175278</v>
      </c>
    </row>
    <row r="2580" ht="14.4" spans="2:4">
      <c r="B2580" s="20">
        <v>10272</v>
      </c>
      <c r="C2580" s="21">
        <f t="shared" si="84"/>
        <v>8.56473187456207</v>
      </c>
      <c r="D2580" s="21">
        <f t="shared" si="85"/>
        <v>2.68062827225131</v>
      </c>
    </row>
    <row r="2581" ht="14.4" spans="2:4">
      <c r="B2581" s="20">
        <v>10276</v>
      </c>
      <c r="C2581" s="21">
        <f t="shared" si="84"/>
        <v>8.57041821822706</v>
      </c>
      <c r="D2581" s="21">
        <f t="shared" si="85"/>
        <v>2.68238375900458</v>
      </c>
    </row>
    <row r="2582" ht="14.4" spans="2:4">
      <c r="B2582" s="20">
        <v>10280</v>
      </c>
      <c r="C2582" s="21">
        <f t="shared" si="84"/>
        <v>8.57610828697825</v>
      </c>
      <c r="D2582" s="21">
        <f t="shared" si="85"/>
        <v>2.68414154652687</v>
      </c>
    </row>
    <row r="2583" ht="14.4" spans="2:4">
      <c r="B2583" s="20">
        <v>10284</v>
      </c>
      <c r="C2583" s="21">
        <f t="shared" si="84"/>
        <v>8.58180208569939</v>
      </c>
      <c r="D2583" s="21">
        <f t="shared" si="85"/>
        <v>2.68590163934426</v>
      </c>
    </row>
    <row r="2584" ht="14.4" spans="2:4">
      <c r="B2584" s="20">
        <v>10288</v>
      </c>
      <c r="C2584" s="21">
        <f t="shared" si="84"/>
        <v>8.58749961928385</v>
      </c>
      <c r="D2584" s="21">
        <f t="shared" si="85"/>
        <v>2.68766404199475</v>
      </c>
    </row>
    <row r="2585" ht="14.4" spans="2:4">
      <c r="B2585" s="20">
        <v>10292</v>
      </c>
      <c r="C2585" s="21">
        <f t="shared" si="84"/>
        <v>8.59320089263463</v>
      </c>
      <c r="D2585" s="21">
        <f t="shared" si="85"/>
        <v>2.68942875902823</v>
      </c>
    </row>
    <row r="2586" ht="14.4" spans="2:4">
      <c r="B2586" s="20">
        <v>10296</v>
      </c>
      <c r="C2586" s="21">
        <f t="shared" si="84"/>
        <v>8.59890591066441</v>
      </c>
      <c r="D2586" s="21">
        <f t="shared" si="85"/>
        <v>2.69119579500657</v>
      </c>
    </row>
    <row r="2587" ht="14.4" spans="2:4">
      <c r="B2587" s="20">
        <v>10300</v>
      </c>
      <c r="C2587" s="21">
        <f t="shared" si="84"/>
        <v>8.60461467829552</v>
      </c>
      <c r="D2587" s="21">
        <f t="shared" si="85"/>
        <v>2.69296515450362</v>
      </c>
    </row>
    <row r="2588" ht="14.4" spans="2:4">
      <c r="B2588" s="20">
        <v>10304</v>
      </c>
      <c r="C2588" s="21">
        <f t="shared" si="84"/>
        <v>8.61032720046004</v>
      </c>
      <c r="D2588" s="21">
        <f t="shared" si="85"/>
        <v>2.69473684210526</v>
      </c>
    </row>
    <row r="2589" ht="14.4" spans="2:4">
      <c r="B2589" s="20">
        <v>10308</v>
      </c>
      <c r="C2589" s="21">
        <f t="shared" si="84"/>
        <v>8.61604348209976</v>
      </c>
      <c r="D2589" s="21">
        <f t="shared" si="85"/>
        <v>2.69651086240948</v>
      </c>
    </row>
    <row r="2590" ht="14.4" spans="2:4">
      <c r="B2590" s="20">
        <v>10312</v>
      </c>
      <c r="C2590" s="21">
        <f t="shared" si="84"/>
        <v>8.62176352816626</v>
      </c>
      <c r="D2590" s="21">
        <f t="shared" si="85"/>
        <v>2.69828722002635</v>
      </c>
    </row>
    <row r="2591" ht="14.4" spans="2:4">
      <c r="B2591" s="20">
        <v>10316</v>
      </c>
      <c r="C2591" s="21">
        <f t="shared" si="84"/>
        <v>8.62748734362088</v>
      </c>
      <c r="D2591" s="21">
        <f t="shared" si="85"/>
        <v>2.70006591957811</v>
      </c>
    </row>
    <row r="2592" ht="14.4" spans="2:4">
      <c r="B2592" s="20">
        <v>10320</v>
      </c>
      <c r="C2592" s="21">
        <f t="shared" si="84"/>
        <v>8.63321493343479</v>
      </c>
      <c r="D2592" s="21">
        <f t="shared" si="85"/>
        <v>2.70184696569921</v>
      </c>
    </row>
    <row r="2593" ht="14.4" spans="2:4">
      <c r="B2593" s="20">
        <v>10324</v>
      </c>
      <c r="C2593" s="21">
        <f t="shared" si="84"/>
        <v>8.63894630258901</v>
      </c>
      <c r="D2593" s="21">
        <f t="shared" si="85"/>
        <v>2.7036303630363</v>
      </c>
    </row>
    <row r="2594" ht="14.4" spans="2:4">
      <c r="B2594" s="20">
        <v>10328</v>
      </c>
      <c r="C2594" s="21">
        <f t="shared" si="84"/>
        <v>8.64468145607441</v>
      </c>
      <c r="D2594" s="21">
        <f t="shared" si="85"/>
        <v>2.70541611624835</v>
      </c>
    </row>
    <row r="2595" ht="14.4" spans="2:4">
      <c r="B2595" s="20">
        <v>10332</v>
      </c>
      <c r="C2595" s="21">
        <f t="shared" si="84"/>
        <v>8.65042039889175</v>
      </c>
      <c r="D2595" s="21">
        <f t="shared" si="85"/>
        <v>2.70720423000661</v>
      </c>
    </row>
    <row r="2596" ht="14.4" spans="2:4">
      <c r="B2596" s="20">
        <v>10336</v>
      </c>
      <c r="C2596" s="21">
        <f t="shared" si="84"/>
        <v>8.65616313605173</v>
      </c>
      <c r="D2596" s="21">
        <f t="shared" si="85"/>
        <v>2.70899470899471</v>
      </c>
    </row>
    <row r="2597" ht="14.4" spans="2:4">
      <c r="B2597" s="20">
        <v>10340</v>
      </c>
      <c r="C2597" s="21">
        <f t="shared" si="84"/>
        <v>8.66190967257498</v>
      </c>
      <c r="D2597" s="21">
        <f t="shared" si="85"/>
        <v>2.71078755790867</v>
      </c>
    </row>
    <row r="2598" ht="14.4" spans="2:4">
      <c r="B2598" s="20">
        <v>10344</v>
      </c>
      <c r="C2598" s="21">
        <f t="shared" si="84"/>
        <v>8.6676600134921</v>
      </c>
      <c r="D2598" s="21">
        <f t="shared" si="85"/>
        <v>2.71258278145695</v>
      </c>
    </row>
    <row r="2599" ht="14.4" spans="2:4">
      <c r="B2599" s="20">
        <v>10348</v>
      </c>
      <c r="C2599" s="21">
        <f t="shared" si="84"/>
        <v>8.67341416384369</v>
      </c>
      <c r="D2599" s="21">
        <f t="shared" si="85"/>
        <v>2.7143803843605</v>
      </c>
    </row>
    <row r="2600" ht="14.4" spans="2:4">
      <c r="B2600" s="20">
        <v>10352</v>
      </c>
      <c r="C2600" s="21">
        <f t="shared" si="84"/>
        <v>8.67917212868038</v>
      </c>
      <c r="D2600" s="21">
        <f t="shared" si="85"/>
        <v>2.71618037135278</v>
      </c>
    </row>
    <row r="2601" ht="14.4" spans="2:4">
      <c r="B2601" s="20">
        <v>10356</v>
      </c>
      <c r="C2601" s="21">
        <f t="shared" si="84"/>
        <v>8.68493391306285</v>
      </c>
      <c r="D2601" s="21">
        <f t="shared" si="85"/>
        <v>2.71798274717983</v>
      </c>
    </row>
    <row r="2602" ht="14.4" spans="2:4">
      <c r="B2602" s="20">
        <v>10360</v>
      </c>
      <c r="C2602" s="21">
        <f t="shared" si="84"/>
        <v>8.69069952206185</v>
      </c>
      <c r="D2602" s="21">
        <f t="shared" si="85"/>
        <v>2.71978751660027</v>
      </c>
    </row>
    <row r="2603" ht="14.4" spans="2:4">
      <c r="B2603" s="20">
        <v>10364</v>
      </c>
      <c r="C2603" s="21">
        <f t="shared" si="84"/>
        <v>8.69646896075824</v>
      </c>
      <c r="D2603" s="21">
        <f t="shared" si="85"/>
        <v>2.72159468438538</v>
      </c>
    </row>
    <row r="2604" ht="14.4" spans="2:4">
      <c r="B2604" s="20">
        <v>10368</v>
      </c>
      <c r="C2604" s="21">
        <f t="shared" si="84"/>
        <v>8.70224223424302</v>
      </c>
      <c r="D2604" s="21">
        <f t="shared" si="85"/>
        <v>2.72340425531915</v>
      </c>
    </row>
    <row r="2605" ht="14.4" spans="2:4">
      <c r="B2605" s="20">
        <v>10372</v>
      </c>
      <c r="C2605" s="21">
        <f t="shared" si="84"/>
        <v>8.70801934761732</v>
      </c>
      <c r="D2605" s="21">
        <f t="shared" si="85"/>
        <v>2.72521623419827</v>
      </c>
    </row>
    <row r="2606" ht="14.4" spans="2:4">
      <c r="B2606" s="20">
        <v>10376</v>
      </c>
      <c r="C2606" s="21">
        <f t="shared" si="84"/>
        <v>8.7138003059925</v>
      </c>
      <c r="D2606" s="21">
        <f t="shared" si="85"/>
        <v>2.72703062583222</v>
      </c>
    </row>
    <row r="2607" ht="14.4" spans="2:4">
      <c r="B2607" s="20">
        <v>10380</v>
      </c>
      <c r="C2607" s="21">
        <f t="shared" si="84"/>
        <v>8.71958511449008</v>
      </c>
      <c r="D2607" s="21">
        <f t="shared" si="85"/>
        <v>2.7288474350433</v>
      </c>
    </row>
    <row r="2608" ht="14.4" spans="2:4">
      <c r="B2608" s="20">
        <v>10384</v>
      </c>
      <c r="C2608" s="21">
        <f t="shared" si="84"/>
        <v>8.72537377824186</v>
      </c>
      <c r="D2608" s="21">
        <f t="shared" si="85"/>
        <v>2.73066666666667</v>
      </c>
    </row>
    <row r="2609" ht="14.4" spans="2:4">
      <c r="B2609" s="20">
        <v>10388</v>
      </c>
      <c r="C2609" s="21">
        <f t="shared" si="84"/>
        <v>8.7311663023899</v>
      </c>
      <c r="D2609" s="21">
        <f t="shared" si="85"/>
        <v>2.73248832555037</v>
      </c>
    </row>
    <row r="2610" ht="14.4" spans="2:4">
      <c r="B2610" s="20">
        <v>10392</v>
      </c>
      <c r="C2610" s="21">
        <f t="shared" si="84"/>
        <v>8.73696269208653</v>
      </c>
      <c r="D2610" s="21">
        <f t="shared" si="85"/>
        <v>2.73431241655541</v>
      </c>
    </row>
    <row r="2611" ht="14.4" spans="2:4">
      <c r="B2611" s="20">
        <v>10396</v>
      </c>
      <c r="C2611" s="21">
        <f t="shared" si="84"/>
        <v>8.74276295249444</v>
      </c>
      <c r="D2611" s="21">
        <f t="shared" si="85"/>
        <v>2.73613894455578</v>
      </c>
    </row>
    <row r="2612" ht="14.4" spans="2:4">
      <c r="B2612" s="20">
        <v>10400</v>
      </c>
      <c r="C2612" s="21">
        <f t="shared" si="84"/>
        <v>8.74856708878663</v>
      </c>
      <c r="D2612" s="21">
        <f t="shared" si="85"/>
        <v>2.7379679144385</v>
      </c>
    </row>
    <row r="2613" ht="14.4" spans="2:4">
      <c r="B2613" s="20">
        <v>10404</v>
      </c>
      <c r="C2613" s="21">
        <f t="shared" si="84"/>
        <v>8.75437510614652</v>
      </c>
      <c r="D2613" s="21">
        <f t="shared" si="85"/>
        <v>2.73979933110368</v>
      </c>
    </row>
    <row r="2614" ht="14.4" spans="2:4">
      <c r="B2614" s="20">
        <v>10408</v>
      </c>
      <c r="C2614" s="21">
        <f t="shared" si="84"/>
        <v>8.76018700976789</v>
      </c>
      <c r="D2614" s="21">
        <f t="shared" si="85"/>
        <v>2.74163319946452</v>
      </c>
    </row>
    <row r="2615" ht="14.4" spans="2:4">
      <c r="B2615" s="20">
        <v>10412</v>
      </c>
      <c r="C2615" s="21">
        <f t="shared" si="84"/>
        <v>8.76600280485498</v>
      </c>
      <c r="D2615" s="21">
        <f t="shared" si="85"/>
        <v>2.74346952444742</v>
      </c>
    </row>
    <row r="2616" ht="14.4" spans="2:4">
      <c r="B2616" s="20">
        <v>10416</v>
      </c>
      <c r="C2616" s="21">
        <f t="shared" si="84"/>
        <v>8.77182249662249</v>
      </c>
      <c r="D2616" s="21">
        <f t="shared" si="85"/>
        <v>2.74530831099196</v>
      </c>
    </row>
    <row r="2617" ht="14.4" spans="2:4">
      <c r="B2617" s="20">
        <v>10420</v>
      </c>
      <c r="C2617" s="21">
        <f t="shared" si="84"/>
        <v>8.7776460902956</v>
      </c>
      <c r="D2617" s="21">
        <f t="shared" si="85"/>
        <v>2.74714956405097</v>
      </c>
    </row>
    <row r="2618" ht="14.4" spans="2:4">
      <c r="B2618" s="20">
        <v>10424</v>
      </c>
      <c r="C2618" s="21">
        <f t="shared" si="84"/>
        <v>8.78347359111001</v>
      </c>
      <c r="D2618" s="21">
        <f t="shared" si="85"/>
        <v>2.7489932885906</v>
      </c>
    </row>
    <row r="2619" ht="14.4" spans="2:4">
      <c r="B2619" s="20">
        <v>10428</v>
      </c>
      <c r="C2619" s="21">
        <f t="shared" si="84"/>
        <v>8.78930500431196</v>
      </c>
      <c r="D2619" s="21">
        <f t="shared" si="85"/>
        <v>2.75083948959033</v>
      </c>
    </row>
    <row r="2620" ht="14.4" spans="2:4">
      <c r="B2620" s="20">
        <v>10432</v>
      </c>
      <c r="C2620" s="21">
        <f t="shared" si="84"/>
        <v>8.79514033515829</v>
      </c>
      <c r="D2620" s="21">
        <f t="shared" si="85"/>
        <v>2.75268817204301</v>
      </c>
    </row>
    <row r="2621" ht="14.4" spans="2:4">
      <c r="B2621" s="20">
        <v>10436</v>
      </c>
      <c r="C2621" s="21">
        <f t="shared" si="84"/>
        <v>8.8009795889164</v>
      </c>
      <c r="D2621" s="21">
        <f t="shared" si="85"/>
        <v>2.75453934095494</v>
      </c>
    </row>
    <row r="2622" ht="14.4" spans="2:4">
      <c r="B2622" s="20">
        <v>10440</v>
      </c>
      <c r="C2622" s="21">
        <f t="shared" si="84"/>
        <v>8.80682277086436</v>
      </c>
      <c r="D2622" s="21">
        <f t="shared" si="85"/>
        <v>2.75639300134589</v>
      </c>
    </row>
    <row r="2623" ht="14.4" spans="2:4">
      <c r="B2623" s="20">
        <v>10444</v>
      </c>
      <c r="C2623" s="21">
        <f t="shared" si="84"/>
        <v>8.81266988629086</v>
      </c>
      <c r="D2623" s="21">
        <f t="shared" si="85"/>
        <v>2.75824915824916</v>
      </c>
    </row>
    <row r="2624" ht="14.4" spans="2:4">
      <c r="B2624" s="20">
        <v>10448</v>
      </c>
      <c r="C2624" s="21">
        <f t="shared" si="84"/>
        <v>8.81852094049532</v>
      </c>
      <c r="D2624" s="21">
        <f t="shared" si="85"/>
        <v>2.76010781671159</v>
      </c>
    </row>
    <row r="2625" ht="14.4" spans="2:4">
      <c r="B2625" s="20">
        <v>10452</v>
      </c>
      <c r="C2625" s="21">
        <f t="shared" si="84"/>
        <v>8.82437593878785</v>
      </c>
      <c r="D2625" s="21">
        <f t="shared" si="85"/>
        <v>2.76196898179366</v>
      </c>
    </row>
    <row r="2626" ht="14.4" spans="2:4">
      <c r="B2626" s="20">
        <v>10456</v>
      </c>
      <c r="C2626" s="21">
        <f t="shared" si="84"/>
        <v>8.8302348864893</v>
      </c>
      <c r="D2626" s="21">
        <f t="shared" si="85"/>
        <v>2.7638326585695</v>
      </c>
    </row>
    <row r="2627" ht="14.4" spans="2:4">
      <c r="B2627" s="20">
        <v>10460</v>
      </c>
      <c r="C2627" s="21">
        <f t="shared" si="84"/>
        <v>8.83609778893132</v>
      </c>
      <c r="D2627" s="21">
        <f t="shared" si="85"/>
        <v>2.76569885212694</v>
      </c>
    </row>
    <row r="2628" ht="14.4" spans="2:4">
      <c r="B2628" s="20">
        <v>10464</v>
      </c>
      <c r="C2628" s="21">
        <f t="shared" si="84"/>
        <v>8.84196465145634</v>
      </c>
      <c r="D2628" s="21">
        <f t="shared" si="85"/>
        <v>2.76756756756757</v>
      </c>
    </row>
    <row r="2629" ht="14.4" spans="2:4">
      <c r="B2629" s="20">
        <v>10468</v>
      </c>
      <c r="C2629" s="21">
        <f t="shared" si="84"/>
        <v>8.84783547941764</v>
      </c>
      <c r="D2629" s="21">
        <f t="shared" si="85"/>
        <v>2.76943881000676</v>
      </c>
    </row>
    <row r="2630" ht="14.4" spans="2:4">
      <c r="B2630" s="20">
        <v>10472</v>
      </c>
      <c r="C2630" s="21">
        <f t="shared" ref="C2630:C2693" si="86">20*LOG(D2630)</f>
        <v>8.85371027817935</v>
      </c>
      <c r="D2630" s="21">
        <f t="shared" ref="D2630:D2693" si="87">16384/(16384-B2630)</f>
        <v>2.77131258457375</v>
      </c>
    </row>
    <row r="2631" ht="14.4" spans="2:4">
      <c r="B2631" s="20">
        <v>10476</v>
      </c>
      <c r="C2631" s="21">
        <f t="shared" si="86"/>
        <v>8.8595890531165</v>
      </c>
      <c r="D2631" s="21">
        <f t="shared" si="87"/>
        <v>2.77318889641164</v>
      </c>
    </row>
    <row r="2632" ht="14.4" spans="2:4">
      <c r="B2632" s="20">
        <v>10480</v>
      </c>
      <c r="C2632" s="21">
        <f t="shared" si="86"/>
        <v>8.86547180961503</v>
      </c>
      <c r="D2632" s="21">
        <f t="shared" si="87"/>
        <v>2.77506775067751</v>
      </c>
    </row>
    <row r="2633" ht="14.4" spans="2:4">
      <c r="B2633" s="20">
        <v>10484</v>
      </c>
      <c r="C2633" s="21">
        <f t="shared" si="86"/>
        <v>8.87135855307185</v>
      </c>
      <c r="D2633" s="21">
        <f t="shared" si="87"/>
        <v>2.77694915254237</v>
      </c>
    </row>
    <row r="2634" ht="14.4" spans="2:4">
      <c r="B2634" s="20">
        <v>10488</v>
      </c>
      <c r="C2634" s="21">
        <f t="shared" si="86"/>
        <v>8.87724928889483</v>
      </c>
      <c r="D2634" s="21">
        <f t="shared" si="87"/>
        <v>2.77883310719132</v>
      </c>
    </row>
    <row r="2635" ht="14.4" spans="2:4">
      <c r="B2635" s="20">
        <v>10492</v>
      </c>
      <c r="C2635" s="21">
        <f t="shared" si="86"/>
        <v>8.88314402250287</v>
      </c>
      <c r="D2635" s="21">
        <f t="shared" si="87"/>
        <v>2.78071961982349</v>
      </c>
    </row>
    <row r="2636" ht="14.4" spans="2:4">
      <c r="B2636" s="20">
        <v>10496</v>
      </c>
      <c r="C2636" s="21">
        <f t="shared" si="86"/>
        <v>8.88904275932589</v>
      </c>
      <c r="D2636" s="21">
        <f t="shared" si="87"/>
        <v>2.78260869565217</v>
      </c>
    </row>
    <row r="2637" ht="14.4" spans="2:4">
      <c r="B2637" s="20">
        <v>10500</v>
      </c>
      <c r="C2637" s="21">
        <f t="shared" si="86"/>
        <v>8.89494550480488</v>
      </c>
      <c r="D2637" s="21">
        <f t="shared" si="87"/>
        <v>2.78450033990483</v>
      </c>
    </row>
    <row r="2638" ht="14.4" spans="2:4">
      <c r="B2638" s="20">
        <v>10504</v>
      </c>
      <c r="C2638" s="21">
        <f t="shared" si="86"/>
        <v>8.90085226439196</v>
      </c>
      <c r="D2638" s="21">
        <f t="shared" si="87"/>
        <v>2.78639455782313</v>
      </c>
    </row>
    <row r="2639" ht="14.4" spans="2:4">
      <c r="B2639" s="20">
        <v>10508</v>
      </c>
      <c r="C2639" s="21">
        <f t="shared" si="86"/>
        <v>8.90676304355036</v>
      </c>
      <c r="D2639" s="21">
        <f t="shared" si="87"/>
        <v>2.78829135466304</v>
      </c>
    </row>
    <row r="2640" ht="14.4" spans="2:4">
      <c r="B2640" s="20">
        <v>10512</v>
      </c>
      <c r="C2640" s="21">
        <f t="shared" si="86"/>
        <v>8.91267784775445</v>
      </c>
      <c r="D2640" s="21">
        <f t="shared" si="87"/>
        <v>2.79019073569482</v>
      </c>
    </row>
    <row r="2641" ht="14.4" spans="2:4">
      <c r="B2641" s="20">
        <v>10516</v>
      </c>
      <c r="C2641" s="21">
        <f t="shared" si="86"/>
        <v>8.91859668248983</v>
      </c>
      <c r="D2641" s="21">
        <f t="shared" si="87"/>
        <v>2.79209270620314</v>
      </c>
    </row>
    <row r="2642" ht="14.4" spans="2:4">
      <c r="B2642" s="20">
        <v>10520</v>
      </c>
      <c r="C2642" s="21">
        <f t="shared" si="86"/>
        <v>8.9245195532533</v>
      </c>
      <c r="D2642" s="21">
        <f t="shared" si="87"/>
        <v>2.79399727148704</v>
      </c>
    </row>
    <row r="2643" ht="14.4" spans="2:4">
      <c r="B2643" s="20">
        <v>10524</v>
      </c>
      <c r="C2643" s="21">
        <f t="shared" si="86"/>
        <v>8.93044646555292</v>
      </c>
      <c r="D2643" s="21">
        <f t="shared" si="87"/>
        <v>2.79590443686007</v>
      </c>
    </row>
    <row r="2644" ht="14.4" spans="2:4">
      <c r="B2644" s="20">
        <v>10528</v>
      </c>
      <c r="C2644" s="21">
        <f t="shared" si="86"/>
        <v>8.93637742490803</v>
      </c>
      <c r="D2644" s="21">
        <f t="shared" si="87"/>
        <v>2.79781420765027</v>
      </c>
    </row>
    <row r="2645" ht="14.4" spans="2:4">
      <c r="B2645" s="20">
        <v>10532</v>
      </c>
      <c r="C2645" s="21">
        <f t="shared" si="86"/>
        <v>8.94231243684927</v>
      </c>
      <c r="D2645" s="21">
        <f t="shared" si="87"/>
        <v>2.79972658920027</v>
      </c>
    </row>
    <row r="2646" ht="14.4" spans="2:4">
      <c r="B2646" s="20">
        <v>10536</v>
      </c>
      <c r="C2646" s="21">
        <f t="shared" si="86"/>
        <v>8.94825150691865</v>
      </c>
      <c r="D2646" s="21">
        <f t="shared" si="87"/>
        <v>2.8016415868673</v>
      </c>
    </row>
    <row r="2647" ht="14.4" spans="2:4">
      <c r="B2647" s="20">
        <v>10540</v>
      </c>
      <c r="C2647" s="21">
        <f t="shared" si="86"/>
        <v>8.95419464066955</v>
      </c>
      <c r="D2647" s="21">
        <f t="shared" si="87"/>
        <v>2.80355920602327</v>
      </c>
    </row>
    <row r="2648" ht="14.4" spans="2:4">
      <c r="B2648" s="20">
        <v>10544</v>
      </c>
      <c r="C2648" s="21">
        <f t="shared" si="86"/>
        <v>8.96014184366674</v>
      </c>
      <c r="D2648" s="21">
        <f t="shared" si="87"/>
        <v>2.80547945205479</v>
      </c>
    </row>
    <row r="2649" ht="14.4" spans="2:4">
      <c r="B2649" s="20">
        <v>10548</v>
      </c>
      <c r="C2649" s="21">
        <f t="shared" si="86"/>
        <v>8.96609312148646</v>
      </c>
      <c r="D2649" s="21">
        <f t="shared" si="87"/>
        <v>2.80740233036326</v>
      </c>
    </row>
    <row r="2650" ht="14.4" spans="2:4">
      <c r="B2650" s="20">
        <v>10552</v>
      </c>
      <c r="C2650" s="21">
        <f t="shared" si="86"/>
        <v>8.97204847971637</v>
      </c>
      <c r="D2650" s="21">
        <f t="shared" si="87"/>
        <v>2.80932784636488</v>
      </c>
    </row>
    <row r="2651" ht="14.4" spans="2:4">
      <c r="B2651" s="20">
        <v>10556</v>
      </c>
      <c r="C2651" s="21">
        <f t="shared" si="86"/>
        <v>8.97800792395568</v>
      </c>
      <c r="D2651" s="21">
        <f t="shared" si="87"/>
        <v>2.81125600549073</v>
      </c>
    </row>
    <row r="2652" ht="14.4" spans="2:4">
      <c r="B2652" s="20">
        <v>10560</v>
      </c>
      <c r="C2652" s="21">
        <f t="shared" si="86"/>
        <v>8.98397145981512</v>
      </c>
      <c r="D2652" s="21">
        <f t="shared" si="87"/>
        <v>2.81318681318681</v>
      </c>
    </row>
    <row r="2653" ht="14.4" spans="2:4">
      <c r="B2653" s="20">
        <v>10564</v>
      </c>
      <c r="C2653" s="21">
        <f t="shared" si="86"/>
        <v>8.98993909291697</v>
      </c>
      <c r="D2653" s="21">
        <f t="shared" si="87"/>
        <v>2.81512027491409</v>
      </c>
    </row>
    <row r="2654" ht="14.4" spans="2:4">
      <c r="B2654" s="20">
        <v>10568</v>
      </c>
      <c r="C2654" s="21">
        <f t="shared" si="86"/>
        <v>8.99591082889511</v>
      </c>
      <c r="D2654" s="21">
        <f t="shared" si="87"/>
        <v>2.81705639614856</v>
      </c>
    </row>
    <row r="2655" ht="14.4" spans="2:4">
      <c r="B2655" s="20">
        <v>10572</v>
      </c>
      <c r="C2655" s="21">
        <f t="shared" si="86"/>
        <v>9.00188667339506</v>
      </c>
      <c r="D2655" s="21">
        <f t="shared" si="87"/>
        <v>2.81899518238128</v>
      </c>
    </row>
    <row r="2656" ht="14.4" spans="2:4">
      <c r="B2656" s="20">
        <v>10576</v>
      </c>
      <c r="C2656" s="21">
        <f t="shared" si="86"/>
        <v>9.00786663207399</v>
      </c>
      <c r="D2656" s="21">
        <f t="shared" si="87"/>
        <v>2.82093663911846</v>
      </c>
    </row>
    <row r="2657" ht="14.4" spans="2:4">
      <c r="B2657" s="20">
        <v>10580</v>
      </c>
      <c r="C2657" s="21">
        <f t="shared" si="86"/>
        <v>9.01385071060077</v>
      </c>
      <c r="D2657" s="21">
        <f t="shared" si="87"/>
        <v>2.82288077188146</v>
      </c>
    </row>
    <row r="2658" ht="14.4" spans="2:4">
      <c r="B2658" s="20">
        <v>10584</v>
      </c>
      <c r="C2658" s="21">
        <f t="shared" si="86"/>
        <v>9.01983891465599</v>
      </c>
      <c r="D2658" s="21">
        <f t="shared" si="87"/>
        <v>2.8248275862069</v>
      </c>
    </row>
    <row r="2659" ht="14.4" spans="2:4">
      <c r="B2659" s="20">
        <v>10588</v>
      </c>
      <c r="C2659" s="21">
        <f t="shared" si="86"/>
        <v>9.025831249932</v>
      </c>
      <c r="D2659" s="21">
        <f t="shared" si="87"/>
        <v>2.82677708764665</v>
      </c>
    </row>
    <row r="2660" ht="14.4" spans="2:4">
      <c r="B2660" s="20">
        <v>10592</v>
      </c>
      <c r="C2660" s="21">
        <f t="shared" si="86"/>
        <v>9.03182772213292</v>
      </c>
      <c r="D2660" s="21">
        <f t="shared" si="87"/>
        <v>2.82872928176796</v>
      </c>
    </row>
    <row r="2661" ht="14.4" spans="2:4">
      <c r="B2661" s="20">
        <v>10596</v>
      </c>
      <c r="C2661" s="21">
        <f t="shared" si="86"/>
        <v>9.03782833697474</v>
      </c>
      <c r="D2661" s="21">
        <f t="shared" si="87"/>
        <v>2.83068417415342</v>
      </c>
    </row>
    <row r="2662" ht="14.4" spans="2:4">
      <c r="B2662" s="20">
        <v>10600</v>
      </c>
      <c r="C2662" s="21">
        <f t="shared" si="86"/>
        <v>9.04383310018525</v>
      </c>
      <c r="D2662" s="21">
        <f t="shared" si="87"/>
        <v>2.83264177040111</v>
      </c>
    </row>
    <row r="2663" ht="14.4" spans="2:4">
      <c r="B2663" s="20">
        <v>10604</v>
      </c>
      <c r="C2663" s="21">
        <f t="shared" si="86"/>
        <v>9.04984201750415</v>
      </c>
      <c r="D2663" s="21">
        <f t="shared" si="87"/>
        <v>2.83460207612457</v>
      </c>
    </row>
    <row r="2664" ht="14.4" spans="2:4">
      <c r="B2664" s="20">
        <v>10608</v>
      </c>
      <c r="C2664" s="21">
        <f t="shared" si="86"/>
        <v>9.05585509468308</v>
      </c>
      <c r="D2664" s="21">
        <f t="shared" si="87"/>
        <v>2.83656509695291</v>
      </c>
    </row>
    <row r="2665" ht="14.4" spans="2:4">
      <c r="B2665" s="20">
        <v>10612</v>
      </c>
      <c r="C2665" s="21">
        <f t="shared" si="86"/>
        <v>9.0618723374856</v>
      </c>
      <c r="D2665" s="21">
        <f t="shared" si="87"/>
        <v>2.83853083853084</v>
      </c>
    </row>
    <row r="2666" ht="14.4" spans="2:4">
      <c r="B2666" s="20">
        <v>10616</v>
      </c>
      <c r="C2666" s="21">
        <f t="shared" si="86"/>
        <v>9.06789375168728</v>
      </c>
      <c r="D2666" s="21">
        <f t="shared" si="87"/>
        <v>2.84049930651872</v>
      </c>
    </row>
    <row r="2667" ht="14.4" spans="2:4">
      <c r="B2667" s="20">
        <v>10620</v>
      </c>
      <c r="C2667" s="21">
        <f t="shared" si="86"/>
        <v>9.0739193430757</v>
      </c>
      <c r="D2667" s="21">
        <f t="shared" si="87"/>
        <v>2.84247050659264</v>
      </c>
    </row>
    <row r="2668" ht="14.4" spans="2:4">
      <c r="B2668" s="20">
        <v>10624</v>
      </c>
      <c r="C2668" s="21">
        <f t="shared" si="86"/>
        <v>9.07994911745049</v>
      </c>
      <c r="D2668" s="21">
        <f t="shared" si="87"/>
        <v>2.84444444444444</v>
      </c>
    </row>
    <row r="2669" ht="14.4" spans="2:4">
      <c r="B2669" s="20">
        <v>10628</v>
      </c>
      <c r="C2669" s="21">
        <f t="shared" si="86"/>
        <v>9.08598308062338</v>
      </c>
      <c r="D2669" s="21">
        <f t="shared" si="87"/>
        <v>2.84642112578179</v>
      </c>
    </row>
    <row r="2670" ht="14.4" spans="2:4">
      <c r="B2670" s="20">
        <v>10632</v>
      </c>
      <c r="C2670" s="21">
        <f t="shared" si="86"/>
        <v>9.09202123841821</v>
      </c>
      <c r="D2670" s="21">
        <f t="shared" si="87"/>
        <v>2.84840055632823</v>
      </c>
    </row>
    <row r="2671" ht="14.4" spans="2:4">
      <c r="B2671" s="20">
        <v>10636</v>
      </c>
      <c r="C2671" s="21">
        <f t="shared" si="86"/>
        <v>9.09806359667097</v>
      </c>
      <c r="D2671" s="21">
        <f t="shared" si="87"/>
        <v>2.85038274182324</v>
      </c>
    </row>
    <row r="2672" ht="14.4" spans="2:4">
      <c r="B2672" s="20">
        <v>10640</v>
      </c>
      <c r="C2672" s="21">
        <f t="shared" si="86"/>
        <v>9.10411016122986</v>
      </c>
      <c r="D2672" s="21">
        <f t="shared" si="87"/>
        <v>2.85236768802228</v>
      </c>
    </row>
    <row r="2673" ht="14.4" spans="2:4">
      <c r="B2673" s="20">
        <v>10644</v>
      </c>
      <c r="C2673" s="21">
        <f t="shared" si="86"/>
        <v>9.11016093795526</v>
      </c>
      <c r="D2673" s="21">
        <f t="shared" si="87"/>
        <v>2.85435540069686</v>
      </c>
    </row>
    <row r="2674" ht="14.4" spans="2:4">
      <c r="B2674" s="20">
        <v>10648</v>
      </c>
      <c r="C2674" s="21">
        <f t="shared" si="86"/>
        <v>9.11621593271986</v>
      </c>
      <c r="D2674" s="21">
        <f t="shared" si="87"/>
        <v>2.85634588563459</v>
      </c>
    </row>
    <row r="2675" ht="14.4" spans="2:4">
      <c r="B2675" s="20">
        <v>10652</v>
      </c>
      <c r="C2675" s="21">
        <f t="shared" si="86"/>
        <v>9.1222751514086</v>
      </c>
      <c r="D2675" s="21">
        <f t="shared" si="87"/>
        <v>2.85833914863922</v>
      </c>
    </row>
    <row r="2676" ht="14.4" spans="2:4">
      <c r="B2676" s="20">
        <v>10656</v>
      </c>
      <c r="C2676" s="21">
        <f t="shared" si="86"/>
        <v>9.12833859991875</v>
      </c>
      <c r="D2676" s="21">
        <f t="shared" si="87"/>
        <v>2.86033519553073</v>
      </c>
    </row>
    <row r="2677" ht="14.4" spans="2:4">
      <c r="B2677" s="20">
        <v>10660</v>
      </c>
      <c r="C2677" s="21">
        <f t="shared" si="86"/>
        <v>9.13440628415996</v>
      </c>
      <c r="D2677" s="21">
        <f t="shared" si="87"/>
        <v>2.86233403214535</v>
      </c>
    </row>
    <row r="2678" ht="14.4" spans="2:4">
      <c r="B2678" s="20">
        <v>10664</v>
      </c>
      <c r="C2678" s="21">
        <f t="shared" si="86"/>
        <v>9.14047821005425</v>
      </c>
      <c r="D2678" s="21">
        <f t="shared" si="87"/>
        <v>2.86433566433566</v>
      </c>
    </row>
    <row r="2679" ht="14.4" spans="2:4">
      <c r="B2679" s="20">
        <v>10668</v>
      </c>
      <c r="C2679" s="21">
        <f t="shared" si="86"/>
        <v>9.14655438353608</v>
      </c>
      <c r="D2679" s="21">
        <f t="shared" si="87"/>
        <v>2.86634009797061</v>
      </c>
    </row>
    <row r="2680" ht="14.4" spans="2:4">
      <c r="B2680" s="20">
        <v>10672</v>
      </c>
      <c r="C2680" s="21">
        <f t="shared" si="86"/>
        <v>9.15263481055237</v>
      </c>
      <c r="D2680" s="21">
        <f t="shared" si="87"/>
        <v>2.86834733893557</v>
      </c>
    </row>
    <row r="2681" ht="14.4" spans="2:4">
      <c r="B2681" s="20">
        <v>10676</v>
      </c>
      <c r="C2681" s="21">
        <f t="shared" si="86"/>
        <v>9.15871949706255</v>
      </c>
      <c r="D2681" s="21">
        <f t="shared" si="87"/>
        <v>2.87035739313245</v>
      </c>
    </row>
    <row r="2682" ht="14.4" spans="2:4">
      <c r="B2682" s="20">
        <v>10680</v>
      </c>
      <c r="C2682" s="21">
        <f t="shared" si="86"/>
        <v>9.16480844903855</v>
      </c>
      <c r="D2682" s="21">
        <f t="shared" si="87"/>
        <v>2.87237026647966</v>
      </c>
    </row>
    <row r="2683" ht="14.4" spans="2:4">
      <c r="B2683" s="20">
        <v>10684</v>
      </c>
      <c r="C2683" s="21">
        <f t="shared" si="86"/>
        <v>9.17090167246491</v>
      </c>
      <c r="D2683" s="21">
        <f t="shared" si="87"/>
        <v>2.87438596491228</v>
      </c>
    </row>
    <row r="2684" ht="14.4" spans="2:4">
      <c r="B2684" s="20">
        <v>10688</v>
      </c>
      <c r="C2684" s="21">
        <f t="shared" si="86"/>
        <v>9.17699917333874</v>
      </c>
      <c r="D2684" s="21">
        <f t="shared" si="87"/>
        <v>2.87640449438202</v>
      </c>
    </row>
    <row r="2685" ht="14.4" spans="2:4">
      <c r="B2685" s="20">
        <v>10692</v>
      </c>
      <c r="C2685" s="21">
        <f t="shared" si="86"/>
        <v>9.1831009576698</v>
      </c>
      <c r="D2685" s="21">
        <f t="shared" si="87"/>
        <v>2.87842586085734</v>
      </c>
    </row>
    <row r="2686" ht="14.4" spans="2:4">
      <c r="B2686" s="20">
        <v>10696</v>
      </c>
      <c r="C2686" s="21">
        <f t="shared" si="86"/>
        <v>9.18920703148054</v>
      </c>
      <c r="D2686" s="21">
        <f t="shared" si="87"/>
        <v>2.88045007032349</v>
      </c>
    </row>
    <row r="2687" ht="14.4" spans="2:4">
      <c r="B2687" s="20">
        <v>10700</v>
      </c>
      <c r="C2687" s="21">
        <f t="shared" si="86"/>
        <v>9.19531740080609</v>
      </c>
      <c r="D2687" s="21">
        <f t="shared" si="87"/>
        <v>2.88247712878255</v>
      </c>
    </row>
    <row r="2688" ht="14.4" spans="2:4">
      <c r="B2688" s="20">
        <v>10704</v>
      </c>
      <c r="C2688" s="21">
        <f t="shared" si="86"/>
        <v>9.20143207169436</v>
      </c>
      <c r="D2688" s="21">
        <f t="shared" si="87"/>
        <v>2.88450704225352</v>
      </c>
    </row>
    <row r="2689" ht="14.4" spans="2:4">
      <c r="B2689" s="20">
        <v>10708</v>
      </c>
      <c r="C2689" s="21">
        <f t="shared" si="86"/>
        <v>9.20755105020601</v>
      </c>
      <c r="D2689" s="21">
        <f t="shared" si="87"/>
        <v>2.88653981677237</v>
      </c>
    </row>
    <row r="2690" ht="14.4" spans="2:4">
      <c r="B2690" s="20">
        <v>10712</v>
      </c>
      <c r="C2690" s="21">
        <f t="shared" si="86"/>
        <v>9.21367434241453</v>
      </c>
      <c r="D2690" s="21">
        <f t="shared" si="87"/>
        <v>2.8885754583921</v>
      </c>
    </row>
    <row r="2691" ht="14.4" spans="2:4">
      <c r="B2691" s="20">
        <v>10716</v>
      </c>
      <c r="C2691" s="21">
        <f t="shared" si="86"/>
        <v>9.21980195440628</v>
      </c>
      <c r="D2691" s="21">
        <f t="shared" si="87"/>
        <v>2.89061397318278</v>
      </c>
    </row>
    <row r="2692" ht="14.4" spans="2:4">
      <c r="B2692" s="20">
        <v>10720</v>
      </c>
      <c r="C2692" s="21">
        <f t="shared" si="86"/>
        <v>9.22593389228048</v>
      </c>
      <c r="D2692" s="21">
        <f t="shared" si="87"/>
        <v>2.89265536723164</v>
      </c>
    </row>
    <row r="2693" ht="14.4" spans="2:4">
      <c r="B2693" s="20">
        <v>10724</v>
      </c>
      <c r="C2693" s="21">
        <f t="shared" si="86"/>
        <v>9.23207016214931</v>
      </c>
      <c r="D2693" s="21">
        <f t="shared" si="87"/>
        <v>2.89469964664311</v>
      </c>
    </row>
    <row r="2694" ht="14.4" spans="2:4">
      <c r="B2694" s="20">
        <v>10728</v>
      </c>
      <c r="C2694" s="21">
        <f t="shared" ref="C2694:C2757" si="88">20*LOG(D2694)</f>
        <v>9.23821077013787</v>
      </c>
      <c r="D2694" s="21">
        <f t="shared" ref="D2694:D2757" si="89">16384/(16384-B2694)</f>
        <v>2.8967468175389</v>
      </c>
    </row>
    <row r="2695" ht="14.4" spans="2:4">
      <c r="B2695" s="20">
        <v>10732</v>
      </c>
      <c r="C2695" s="21">
        <f t="shared" si="88"/>
        <v>9.24435572238431</v>
      </c>
      <c r="D2695" s="21">
        <f t="shared" si="89"/>
        <v>2.89879688605803</v>
      </c>
    </row>
    <row r="2696" ht="14.4" spans="2:4">
      <c r="B2696" s="20">
        <v>10736</v>
      </c>
      <c r="C2696" s="21">
        <f t="shared" si="88"/>
        <v>9.25050502503979</v>
      </c>
      <c r="D2696" s="21">
        <f t="shared" si="89"/>
        <v>2.90084985835694</v>
      </c>
    </row>
    <row r="2697" ht="14.4" spans="2:4">
      <c r="B2697" s="20">
        <v>10740</v>
      </c>
      <c r="C2697" s="21">
        <f t="shared" si="88"/>
        <v>9.25665868426853</v>
      </c>
      <c r="D2697" s="21">
        <f t="shared" si="89"/>
        <v>2.9029057406095</v>
      </c>
    </row>
    <row r="2698" ht="14.4" spans="2:4">
      <c r="B2698" s="20">
        <v>10744</v>
      </c>
      <c r="C2698" s="21">
        <f t="shared" si="88"/>
        <v>9.26281670624789</v>
      </c>
      <c r="D2698" s="21">
        <f t="shared" si="89"/>
        <v>2.90496453900709</v>
      </c>
    </row>
    <row r="2699" ht="14.4" spans="2:4">
      <c r="B2699" s="20">
        <v>10748</v>
      </c>
      <c r="C2699" s="21">
        <f t="shared" si="88"/>
        <v>9.26897909716836</v>
      </c>
      <c r="D2699" s="21">
        <f t="shared" si="89"/>
        <v>2.90702625975869</v>
      </c>
    </row>
    <row r="2700" ht="14.4" spans="2:4">
      <c r="B2700" s="20">
        <v>10752</v>
      </c>
      <c r="C2700" s="21">
        <f t="shared" si="88"/>
        <v>9.27514586323362</v>
      </c>
      <c r="D2700" s="21">
        <f t="shared" si="89"/>
        <v>2.90909090909091</v>
      </c>
    </row>
    <row r="2701" ht="14.4" spans="2:4">
      <c r="B2701" s="20">
        <v>10756</v>
      </c>
      <c r="C2701" s="21">
        <f t="shared" si="88"/>
        <v>9.28131701066057</v>
      </c>
      <c r="D2701" s="21">
        <f t="shared" si="89"/>
        <v>2.91115849324805</v>
      </c>
    </row>
    <row r="2702" ht="14.4" spans="2:4">
      <c r="B2702" s="20">
        <v>10760</v>
      </c>
      <c r="C2702" s="21">
        <f t="shared" si="88"/>
        <v>9.28749254567938</v>
      </c>
      <c r="D2702" s="21">
        <f t="shared" si="89"/>
        <v>2.91322901849218</v>
      </c>
    </row>
    <row r="2703" ht="14.4" spans="2:4">
      <c r="B2703" s="20">
        <v>10764</v>
      </c>
      <c r="C2703" s="21">
        <f t="shared" si="88"/>
        <v>9.29367247453351</v>
      </c>
      <c r="D2703" s="21">
        <f t="shared" si="89"/>
        <v>2.9153024911032</v>
      </c>
    </row>
    <row r="2704" ht="14.4" spans="2:4">
      <c r="B2704" s="20">
        <v>10768</v>
      </c>
      <c r="C2704" s="21">
        <f t="shared" si="88"/>
        <v>9.29985680347976</v>
      </c>
      <c r="D2704" s="21">
        <f t="shared" si="89"/>
        <v>2.91737891737892</v>
      </c>
    </row>
    <row r="2705" ht="14.4" spans="2:4">
      <c r="B2705" s="20">
        <v>10772</v>
      </c>
      <c r="C2705" s="21">
        <f t="shared" si="88"/>
        <v>9.30604553878829</v>
      </c>
      <c r="D2705" s="21">
        <f t="shared" si="89"/>
        <v>2.91945830363507</v>
      </c>
    </row>
    <row r="2706" ht="14.4" spans="2:4">
      <c r="B2706" s="20">
        <v>10776</v>
      </c>
      <c r="C2706" s="21">
        <f t="shared" si="88"/>
        <v>9.31223868674269</v>
      </c>
      <c r="D2706" s="21">
        <f t="shared" si="89"/>
        <v>2.92154065620542</v>
      </c>
    </row>
    <row r="2707" ht="14.4" spans="2:4">
      <c r="B2707" s="20">
        <v>10780</v>
      </c>
      <c r="C2707" s="21">
        <f t="shared" si="88"/>
        <v>9.31843625363999</v>
      </c>
      <c r="D2707" s="21">
        <f t="shared" si="89"/>
        <v>2.92362598144183</v>
      </c>
    </row>
    <row r="2708" ht="14.4" spans="2:4">
      <c r="B2708" s="20">
        <v>10784</v>
      </c>
      <c r="C2708" s="21">
        <f t="shared" si="88"/>
        <v>9.32463824579073</v>
      </c>
      <c r="D2708" s="21">
        <f t="shared" si="89"/>
        <v>2.92571428571429</v>
      </c>
    </row>
    <row r="2709" ht="14.4" spans="2:4">
      <c r="B2709" s="20">
        <v>10788</v>
      </c>
      <c r="C2709" s="21">
        <f t="shared" si="88"/>
        <v>9.33084466951893</v>
      </c>
      <c r="D2709" s="21">
        <f t="shared" si="89"/>
        <v>2.92780557541101</v>
      </c>
    </row>
    <row r="2710" ht="14.4" spans="2:4">
      <c r="B2710" s="20">
        <v>10792</v>
      </c>
      <c r="C2710" s="21">
        <f t="shared" si="88"/>
        <v>9.33705553116224</v>
      </c>
      <c r="D2710" s="21">
        <f t="shared" si="89"/>
        <v>2.92989985693848</v>
      </c>
    </row>
    <row r="2711" ht="14.4" spans="2:4">
      <c r="B2711" s="20">
        <v>10796</v>
      </c>
      <c r="C2711" s="21">
        <f t="shared" si="88"/>
        <v>9.34327083707185</v>
      </c>
      <c r="D2711" s="21">
        <f t="shared" si="89"/>
        <v>2.93199713672155</v>
      </c>
    </row>
    <row r="2712" ht="14.4" spans="2:4">
      <c r="B2712" s="20">
        <v>10800</v>
      </c>
      <c r="C2712" s="21">
        <f t="shared" si="88"/>
        <v>9.34949059361264</v>
      </c>
      <c r="D2712" s="21">
        <f t="shared" si="89"/>
        <v>2.93409742120344</v>
      </c>
    </row>
    <row r="2713" ht="14.4" spans="2:4">
      <c r="B2713" s="20">
        <v>10804</v>
      </c>
      <c r="C2713" s="21">
        <f t="shared" si="88"/>
        <v>9.35571480716316</v>
      </c>
      <c r="D2713" s="21">
        <f t="shared" si="89"/>
        <v>2.93620071684588</v>
      </c>
    </row>
    <row r="2714" ht="14.4" spans="2:4">
      <c r="B2714" s="20">
        <v>10808</v>
      </c>
      <c r="C2714" s="21">
        <f t="shared" si="88"/>
        <v>9.36194348411567</v>
      </c>
      <c r="D2714" s="21">
        <f t="shared" si="89"/>
        <v>2.93830703012912</v>
      </c>
    </row>
    <row r="2715" ht="14.4" spans="2:4">
      <c r="B2715" s="20">
        <v>10812</v>
      </c>
      <c r="C2715" s="21">
        <f t="shared" si="88"/>
        <v>9.36817663087622</v>
      </c>
      <c r="D2715" s="21">
        <f t="shared" si="89"/>
        <v>2.94041636755205</v>
      </c>
    </row>
    <row r="2716" ht="14.4" spans="2:4">
      <c r="B2716" s="20">
        <v>10816</v>
      </c>
      <c r="C2716" s="21">
        <f t="shared" si="88"/>
        <v>9.37441425386462</v>
      </c>
      <c r="D2716" s="21">
        <f t="shared" si="89"/>
        <v>2.94252873563218</v>
      </c>
    </row>
    <row r="2717" ht="14.4" spans="2:4">
      <c r="B2717" s="20">
        <v>10820</v>
      </c>
      <c r="C2717" s="21">
        <f t="shared" si="88"/>
        <v>9.38065635951456</v>
      </c>
      <c r="D2717" s="21">
        <f t="shared" si="89"/>
        <v>2.94464414090582</v>
      </c>
    </row>
    <row r="2718" ht="14.4" spans="2:4">
      <c r="B2718" s="20">
        <v>10824</v>
      </c>
      <c r="C2718" s="21">
        <f t="shared" si="88"/>
        <v>9.38690295427359</v>
      </c>
      <c r="D2718" s="21">
        <f t="shared" si="89"/>
        <v>2.94676258992806</v>
      </c>
    </row>
    <row r="2719" ht="14.4" spans="2:4">
      <c r="B2719" s="20">
        <v>10828</v>
      </c>
      <c r="C2719" s="21">
        <f t="shared" si="88"/>
        <v>9.39315404460318</v>
      </c>
      <c r="D2719" s="21">
        <f t="shared" si="89"/>
        <v>2.94888408927286</v>
      </c>
    </row>
    <row r="2720" ht="14.4" spans="2:4">
      <c r="B2720" s="20">
        <v>10832</v>
      </c>
      <c r="C2720" s="21">
        <f t="shared" si="88"/>
        <v>9.39940963697876</v>
      </c>
      <c r="D2720" s="21">
        <f t="shared" si="89"/>
        <v>2.95100864553314</v>
      </c>
    </row>
    <row r="2721" ht="14.4" spans="2:4">
      <c r="B2721" s="20">
        <v>10836</v>
      </c>
      <c r="C2721" s="21">
        <f t="shared" si="88"/>
        <v>9.40566973788979</v>
      </c>
      <c r="D2721" s="21">
        <f t="shared" si="89"/>
        <v>2.95313626532084</v>
      </c>
    </row>
    <row r="2722" ht="14.4" spans="2:4">
      <c r="B2722" s="20">
        <v>10840</v>
      </c>
      <c r="C2722" s="21">
        <f t="shared" si="88"/>
        <v>9.41193435383973</v>
      </c>
      <c r="D2722" s="21">
        <f t="shared" si="89"/>
        <v>2.95526695526696</v>
      </c>
    </row>
    <row r="2723" ht="14.4" spans="2:4">
      <c r="B2723" s="20">
        <v>10844</v>
      </c>
      <c r="C2723" s="21">
        <f t="shared" si="88"/>
        <v>9.41820349134614</v>
      </c>
      <c r="D2723" s="21">
        <f t="shared" si="89"/>
        <v>2.95740072202166</v>
      </c>
    </row>
    <row r="2724" ht="14.4" spans="2:4">
      <c r="B2724" s="20">
        <v>10848</v>
      </c>
      <c r="C2724" s="21">
        <f t="shared" si="88"/>
        <v>9.42447715694071</v>
      </c>
      <c r="D2724" s="21">
        <f t="shared" si="89"/>
        <v>2.95953757225433</v>
      </c>
    </row>
    <row r="2725" ht="14.4" spans="2:4">
      <c r="B2725" s="20">
        <v>10852</v>
      </c>
      <c r="C2725" s="21">
        <f t="shared" si="88"/>
        <v>9.43075535716928</v>
      </c>
      <c r="D2725" s="21">
        <f t="shared" si="89"/>
        <v>2.96167751265365</v>
      </c>
    </row>
    <row r="2726" ht="14.4" spans="2:4">
      <c r="B2726" s="20">
        <v>10856</v>
      </c>
      <c r="C2726" s="21">
        <f t="shared" si="88"/>
        <v>9.43703809859189</v>
      </c>
      <c r="D2726" s="21">
        <f t="shared" si="89"/>
        <v>2.96382054992764</v>
      </c>
    </row>
    <row r="2727" ht="14.4" spans="2:4">
      <c r="B2727" s="20">
        <v>10860</v>
      </c>
      <c r="C2727" s="21">
        <f t="shared" si="88"/>
        <v>9.44332538778286</v>
      </c>
      <c r="D2727" s="21">
        <f t="shared" si="89"/>
        <v>2.96596669080377</v>
      </c>
    </row>
    <row r="2728" ht="14.4" spans="2:4">
      <c r="B2728" s="20">
        <v>10864</v>
      </c>
      <c r="C2728" s="21">
        <f t="shared" si="88"/>
        <v>9.44961723133076</v>
      </c>
      <c r="D2728" s="21">
        <f t="shared" si="89"/>
        <v>2.96811594202899</v>
      </c>
    </row>
    <row r="2729" ht="14.4" spans="2:4">
      <c r="B2729" s="20">
        <v>10868</v>
      </c>
      <c r="C2729" s="21">
        <f t="shared" si="88"/>
        <v>9.45591363583849</v>
      </c>
      <c r="D2729" s="21">
        <f t="shared" si="89"/>
        <v>2.97026831036983</v>
      </c>
    </row>
    <row r="2730" ht="14.4" spans="2:4">
      <c r="B2730" s="20">
        <v>10872</v>
      </c>
      <c r="C2730" s="21">
        <f t="shared" si="88"/>
        <v>9.46221460792335</v>
      </c>
      <c r="D2730" s="21">
        <f t="shared" si="89"/>
        <v>2.97242380261248</v>
      </c>
    </row>
    <row r="2731" ht="14.4" spans="2:4">
      <c r="B2731" s="20">
        <v>10876</v>
      </c>
      <c r="C2731" s="21">
        <f t="shared" si="88"/>
        <v>9.46852015421701</v>
      </c>
      <c r="D2731" s="21">
        <f t="shared" si="89"/>
        <v>2.97458242556282</v>
      </c>
    </row>
    <row r="2732" ht="14.4" spans="2:4">
      <c r="B2732" s="20">
        <v>10880</v>
      </c>
      <c r="C2732" s="21">
        <f t="shared" si="88"/>
        <v>9.47483028136564</v>
      </c>
      <c r="D2732" s="21">
        <f t="shared" si="89"/>
        <v>2.97674418604651</v>
      </c>
    </row>
    <row r="2733" ht="14.4" spans="2:4">
      <c r="B2733" s="20">
        <v>10884</v>
      </c>
      <c r="C2733" s="21">
        <f t="shared" si="88"/>
        <v>9.48114499602986</v>
      </c>
      <c r="D2733" s="21">
        <f t="shared" si="89"/>
        <v>2.97890909090909</v>
      </c>
    </row>
    <row r="2734" ht="14.4" spans="2:4">
      <c r="B2734" s="20">
        <v>10888</v>
      </c>
      <c r="C2734" s="21">
        <f t="shared" si="88"/>
        <v>9.48746430488485</v>
      </c>
      <c r="D2734" s="21">
        <f t="shared" si="89"/>
        <v>2.98107714701601</v>
      </c>
    </row>
    <row r="2735" ht="14.4" spans="2:4">
      <c r="B2735" s="20">
        <v>10892</v>
      </c>
      <c r="C2735" s="21">
        <f t="shared" si="88"/>
        <v>9.49378821462039</v>
      </c>
      <c r="D2735" s="21">
        <f t="shared" si="89"/>
        <v>2.98324836125273</v>
      </c>
    </row>
    <row r="2736" ht="14.4" spans="2:4">
      <c r="B2736" s="20">
        <v>10896</v>
      </c>
      <c r="C2736" s="21">
        <f t="shared" si="88"/>
        <v>9.50011673194083</v>
      </c>
      <c r="D2736" s="21">
        <f t="shared" si="89"/>
        <v>2.98542274052478</v>
      </c>
    </row>
    <row r="2737" ht="14.4" spans="2:4">
      <c r="B2737" s="20">
        <v>10900</v>
      </c>
      <c r="C2737" s="21">
        <f t="shared" si="88"/>
        <v>9.50644986356523</v>
      </c>
      <c r="D2737" s="21">
        <f t="shared" si="89"/>
        <v>2.98760029175784</v>
      </c>
    </row>
    <row r="2738" ht="14.4" spans="2:4">
      <c r="B2738" s="20">
        <v>10904</v>
      </c>
      <c r="C2738" s="21">
        <f t="shared" si="88"/>
        <v>9.51278761622735</v>
      </c>
      <c r="D2738" s="21">
        <f t="shared" si="89"/>
        <v>2.98978102189781</v>
      </c>
    </row>
    <row r="2739" ht="14.4" spans="2:4">
      <c r="B2739" s="20">
        <v>10908</v>
      </c>
      <c r="C2739" s="21">
        <f t="shared" si="88"/>
        <v>9.51912999667569</v>
      </c>
      <c r="D2739" s="21">
        <f t="shared" si="89"/>
        <v>2.99196493791088</v>
      </c>
    </row>
    <row r="2740" ht="14.4" spans="2:4">
      <c r="B2740" s="20">
        <v>10912</v>
      </c>
      <c r="C2740" s="21">
        <f t="shared" si="88"/>
        <v>9.52547701167354</v>
      </c>
      <c r="D2740" s="21">
        <f t="shared" si="89"/>
        <v>2.99415204678363</v>
      </c>
    </row>
    <row r="2741" ht="14.4" spans="2:4">
      <c r="B2741" s="20">
        <v>10916</v>
      </c>
      <c r="C2741" s="21">
        <f t="shared" si="88"/>
        <v>9.53182866799904</v>
      </c>
      <c r="D2741" s="21">
        <f t="shared" si="89"/>
        <v>2.99634235552304</v>
      </c>
    </row>
    <row r="2742" ht="14.4" spans="2:4">
      <c r="B2742" s="20">
        <v>10920</v>
      </c>
      <c r="C2742" s="21">
        <f t="shared" si="88"/>
        <v>9.53818497244521</v>
      </c>
      <c r="D2742" s="21">
        <f t="shared" si="89"/>
        <v>2.99853587115666</v>
      </c>
    </row>
    <row r="2743" ht="14.4" spans="2:4">
      <c r="B2743" s="20">
        <v>10924</v>
      </c>
      <c r="C2743" s="21">
        <f t="shared" si="88"/>
        <v>9.54454593181999</v>
      </c>
      <c r="D2743" s="21">
        <f t="shared" si="89"/>
        <v>3.0007326007326</v>
      </c>
    </row>
    <row r="2744" ht="14.4" spans="2:4">
      <c r="B2744" s="20">
        <v>10928</v>
      </c>
      <c r="C2744" s="21">
        <f t="shared" si="88"/>
        <v>9.55091155294629</v>
      </c>
      <c r="D2744" s="21">
        <f t="shared" si="89"/>
        <v>3.00293255131965</v>
      </c>
    </row>
    <row r="2745" ht="14.4" spans="2:4">
      <c r="B2745" s="20">
        <v>10932</v>
      </c>
      <c r="C2745" s="21">
        <f t="shared" si="88"/>
        <v>9.55728184266202</v>
      </c>
      <c r="D2745" s="21">
        <f t="shared" si="89"/>
        <v>3.00513573000734</v>
      </c>
    </row>
    <row r="2746" ht="14.4" spans="2:4">
      <c r="B2746" s="20">
        <v>10936</v>
      </c>
      <c r="C2746" s="21">
        <f t="shared" si="88"/>
        <v>9.56365680782016</v>
      </c>
      <c r="D2746" s="21">
        <f t="shared" si="89"/>
        <v>3.00734214390602</v>
      </c>
    </row>
    <row r="2747" ht="14.4" spans="2:4">
      <c r="B2747" s="20">
        <v>10940</v>
      </c>
      <c r="C2747" s="21">
        <f t="shared" si="88"/>
        <v>9.57003645528879</v>
      </c>
      <c r="D2747" s="21">
        <f t="shared" si="89"/>
        <v>3.00955180014695</v>
      </c>
    </row>
    <row r="2748" ht="14.4" spans="2:4">
      <c r="B2748" s="20">
        <v>10944</v>
      </c>
      <c r="C2748" s="21">
        <f t="shared" si="88"/>
        <v>9.57642079195114</v>
      </c>
      <c r="D2748" s="21">
        <f t="shared" si="89"/>
        <v>3.01176470588235</v>
      </c>
    </row>
    <row r="2749" ht="14.4" spans="2:4">
      <c r="B2749" s="20">
        <v>10948</v>
      </c>
      <c r="C2749" s="21">
        <f t="shared" si="88"/>
        <v>9.5828098247056</v>
      </c>
      <c r="D2749" s="21">
        <f t="shared" si="89"/>
        <v>3.0139808682855</v>
      </c>
    </row>
    <row r="2750" ht="14.4" spans="2:4">
      <c r="B2750" s="20">
        <v>10952</v>
      </c>
      <c r="C2750" s="21">
        <f t="shared" si="88"/>
        <v>9.58920356046583</v>
      </c>
      <c r="D2750" s="21">
        <f t="shared" si="89"/>
        <v>3.01620029455081</v>
      </c>
    </row>
    <row r="2751" ht="14.4" spans="2:4">
      <c r="B2751" s="20">
        <v>10956</v>
      </c>
      <c r="C2751" s="21">
        <f t="shared" si="88"/>
        <v>9.59560200616075</v>
      </c>
      <c r="D2751" s="21">
        <f t="shared" si="89"/>
        <v>3.01842299189388</v>
      </c>
    </row>
    <row r="2752" ht="14.4" spans="2:4">
      <c r="B2752" s="20">
        <v>10960</v>
      </c>
      <c r="C2752" s="21">
        <f t="shared" si="88"/>
        <v>9.6020051687346</v>
      </c>
      <c r="D2752" s="21">
        <f t="shared" si="89"/>
        <v>3.02064896755162</v>
      </c>
    </row>
    <row r="2753" ht="14.4" spans="2:4">
      <c r="B2753" s="20">
        <v>10964</v>
      </c>
      <c r="C2753" s="21">
        <f t="shared" si="88"/>
        <v>9.608413055147</v>
      </c>
      <c r="D2753" s="21">
        <f t="shared" si="89"/>
        <v>3.02287822878229</v>
      </c>
    </row>
    <row r="2754" ht="14.4" spans="2:4">
      <c r="B2754" s="20">
        <v>10968</v>
      </c>
      <c r="C2754" s="21">
        <f t="shared" si="88"/>
        <v>9.61482567237298</v>
      </c>
      <c r="D2754" s="21">
        <f t="shared" si="89"/>
        <v>3.02511078286558</v>
      </c>
    </row>
    <row r="2755" ht="14.4" spans="2:4">
      <c r="B2755" s="20">
        <v>10972</v>
      </c>
      <c r="C2755" s="21">
        <f t="shared" si="88"/>
        <v>9.62124302740303</v>
      </c>
      <c r="D2755" s="21">
        <f t="shared" si="89"/>
        <v>3.02734663710273</v>
      </c>
    </row>
    <row r="2756" ht="14.4" spans="2:4">
      <c r="B2756" s="20">
        <v>10976</v>
      </c>
      <c r="C2756" s="21">
        <f t="shared" si="88"/>
        <v>9.62766512724314</v>
      </c>
      <c r="D2756" s="21">
        <f t="shared" si="89"/>
        <v>3.02958579881657</v>
      </c>
    </row>
    <row r="2757" ht="14.4" spans="2:4">
      <c r="B2757" s="20">
        <v>10980</v>
      </c>
      <c r="C2757" s="21">
        <f t="shared" si="88"/>
        <v>9.63409197891487</v>
      </c>
      <c r="D2757" s="21">
        <f t="shared" si="89"/>
        <v>3.03182827535159</v>
      </c>
    </row>
    <row r="2758" ht="14.4" spans="2:4">
      <c r="B2758" s="20">
        <v>10984</v>
      </c>
      <c r="C2758" s="21">
        <f t="shared" ref="C2758:C2821" si="90">20*LOG(D2758)</f>
        <v>9.64052358945536</v>
      </c>
      <c r="D2758" s="21">
        <f t="shared" ref="D2758:D2821" si="91">16384/(16384-B2758)</f>
        <v>3.03407407407407</v>
      </c>
    </row>
    <row r="2759" ht="14.4" spans="2:4">
      <c r="B2759" s="20">
        <v>10988</v>
      </c>
      <c r="C2759" s="21">
        <f t="shared" si="90"/>
        <v>9.6469599659174</v>
      </c>
      <c r="D2759" s="21">
        <f t="shared" si="91"/>
        <v>3.03632320237213</v>
      </c>
    </row>
    <row r="2760" ht="14.4" spans="2:4">
      <c r="B2760" s="20">
        <v>10992</v>
      </c>
      <c r="C2760" s="21">
        <f t="shared" si="90"/>
        <v>9.65340111536947</v>
      </c>
      <c r="D2760" s="21">
        <f t="shared" si="91"/>
        <v>3.03857566765579</v>
      </c>
    </row>
    <row r="2761" ht="14.4" spans="2:4">
      <c r="B2761" s="20">
        <v>10996</v>
      </c>
      <c r="C2761" s="21">
        <f t="shared" si="90"/>
        <v>9.65984704489577</v>
      </c>
      <c r="D2761" s="21">
        <f t="shared" si="91"/>
        <v>3.04083147735709</v>
      </c>
    </row>
    <row r="2762" ht="14.4" spans="2:4">
      <c r="B2762" s="20">
        <v>11000</v>
      </c>
      <c r="C2762" s="21">
        <f t="shared" si="90"/>
        <v>9.66629776159633</v>
      </c>
      <c r="D2762" s="21">
        <f t="shared" si="91"/>
        <v>3.04309063893016</v>
      </c>
    </row>
    <row r="2763" ht="14.4" spans="2:4">
      <c r="B2763" s="20">
        <v>11004</v>
      </c>
      <c r="C2763" s="21">
        <f t="shared" si="90"/>
        <v>9.67275327258695</v>
      </c>
      <c r="D2763" s="21">
        <f t="shared" si="91"/>
        <v>3.0453531598513</v>
      </c>
    </row>
    <row r="2764" ht="14.4" spans="2:4">
      <c r="B2764" s="20">
        <v>11008</v>
      </c>
      <c r="C2764" s="21">
        <f t="shared" si="90"/>
        <v>9.67921358499936</v>
      </c>
      <c r="D2764" s="21">
        <f t="shared" si="91"/>
        <v>3.04761904761905</v>
      </c>
    </row>
    <row r="2765" ht="14.4" spans="2:4">
      <c r="B2765" s="20">
        <v>11012</v>
      </c>
      <c r="C2765" s="21">
        <f t="shared" si="90"/>
        <v>9.68567870598118</v>
      </c>
      <c r="D2765" s="21">
        <f t="shared" si="91"/>
        <v>3.04988830975428</v>
      </c>
    </row>
    <row r="2766" ht="14.4" spans="2:4">
      <c r="B2766" s="20">
        <v>11016</v>
      </c>
      <c r="C2766" s="21">
        <f t="shared" si="90"/>
        <v>9.69214864269602</v>
      </c>
      <c r="D2766" s="21">
        <f t="shared" si="91"/>
        <v>3.0521609538003</v>
      </c>
    </row>
    <row r="2767" ht="14.4" spans="2:4">
      <c r="B2767" s="20">
        <v>11020</v>
      </c>
      <c r="C2767" s="21">
        <f t="shared" si="90"/>
        <v>9.69862340232351</v>
      </c>
      <c r="D2767" s="21">
        <f t="shared" si="91"/>
        <v>3.05443698732289</v>
      </c>
    </row>
    <row r="2768" ht="14.4" spans="2:4">
      <c r="B2768" s="20">
        <v>11024</v>
      </c>
      <c r="C2768" s="21">
        <f t="shared" si="90"/>
        <v>9.70510299205933</v>
      </c>
      <c r="D2768" s="21">
        <f t="shared" si="91"/>
        <v>3.05671641791045</v>
      </c>
    </row>
    <row r="2769" ht="14.4" spans="2:4">
      <c r="B2769" s="20">
        <v>11028</v>
      </c>
      <c r="C2769" s="21">
        <f t="shared" si="90"/>
        <v>9.71158741911531</v>
      </c>
      <c r="D2769" s="21">
        <f t="shared" si="91"/>
        <v>3.05899925317401</v>
      </c>
    </row>
    <row r="2770" ht="14.4" spans="2:4">
      <c r="B2770" s="20">
        <v>11032</v>
      </c>
      <c r="C2770" s="21">
        <f t="shared" si="90"/>
        <v>9.7180766907194</v>
      </c>
      <c r="D2770" s="21">
        <f t="shared" si="91"/>
        <v>3.06128550074738</v>
      </c>
    </row>
    <row r="2771" ht="14.4" spans="2:4">
      <c r="B2771" s="20">
        <v>11036</v>
      </c>
      <c r="C2771" s="21">
        <f t="shared" si="90"/>
        <v>9.7245708141158</v>
      </c>
      <c r="D2771" s="21">
        <f t="shared" si="91"/>
        <v>3.06357516828721</v>
      </c>
    </row>
    <row r="2772" ht="14.4" spans="2:4">
      <c r="B2772" s="20">
        <v>11040</v>
      </c>
      <c r="C2772" s="21">
        <f t="shared" si="90"/>
        <v>9.73106979656495</v>
      </c>
      <c r="D2772" s="21">
        <f t="shared" si="91"/>
        <v>3.06586826347305</v>
      </c>
    </row>
    <row r="2773" ht="14.4" spans="2:4">
      <c r="B2773" s="20">
        <v>11044</v>
      </c>
      <c r="C2773" s="21">
        <f t="shared" si="90"/>
        <v>9.73757364534361</v>
      </c>
      <c r="D2773" s="21">
        <f t="shared" si="91"/>
        <v>3.06816479400749</v>
      </c>
    </row>
    <row r="2774" ht="14.4" spans="2:4">
      <c r="B2774" s="20">
        <v>11048</v>
      </c>
      <c r="C2774" s="21">
        <f t="shared" si="90"/>
        <v>9.74408236774488</v>
      </c>
      <c r="D2774" s="21">
        <f t="shared" si="91"/>
        <v>3.07046476761619</v>
      </c>
    </row>
    <row r="2775" ht="14.4" spans="2:4">
      <c r="B2775" s="20">
        <v>11052</v>
      </c>
      <c r="C2775" s="21">
        <f t="shared" si="90"/>
        <v>9.7505959710783</v>
      </c>
      <c r="D2775" s="21">
        <f t="shared" si="91"/>
        <v>3.07276819204801</v>
      </c>
    </row>
    <row r="2776" ht="14.4" spans="2:4">
      <c r="B2776" s="20">
        <v>11056</v>
      </c>
      <c r="C2776" s="21">
        <f t="shared" si="90"/>
        <v>9.75711446266984</v>
      </c>
      <c r="D2776" s="21">
        <f t="shared" si="91"/>
        <v>3.07507507507507</v>
      </c>
    </row>
    <row r="2777" ht="14.4" spans="2:4">
      <c r="B2777" s="20">
        <v>11060</v>
      </c>
      <c r="C2777" s="21">
        <f t="shared" si="90"/>
        <v>9.76363784986198</v>
      </c>
      <c r="D2777" s="21">
        <f t="shared" si="91"/>
        <v>3.07738542449286</v>
      </c>
    </row>
    <row r="2778" ht="14.4" spans="2:4">
      <c r="B2778" s="20">
        <v>11064</v>
      </c>
      <c r="C2778" s="21">
        <f t="shared" si="90"/>
        <v>9.77016614001377</v>
      </c>
      <c r="D2778" s="21">
        <f t="shared" si="91"/>
        <v>3.0796992481203</v>
      </c>
    </row>
    <row r="2779" ht="14.4" spans="2:4">
      <c r="B2779" s="20">
        <v>11068</v>
      </c>
      <c r="C2779" s="21">
        <f t="shared" si="90"/>
        <v>9.77669934050085</v>
      </c>
      <c r="D2779" s="21">
        <f t="shared" si="91"/>
        <v>3.08201655379985</v>
      </c>
    </row>
    <row r="2780" ht="14.4" spans="2:4">
      <c r="B2780" s="20">
        <v>11072</v>
      </c>
      <c r="C2780" s="21">
        <f t="shared" si="90"/>
        <v>9.78323745871551</v>
      </c>
      <c r="D2780" s="21">
        <f t="shared" si="91"/>
        <v>3.08433734939759</v>
      </c>
    </row>
    <row r="2781" ht="14.4" spans="2:4">
      <c r="B2781" s="20">
        <v>11076</v>
      </c>
      <c r="C2781" s="21">
        <f t="shared" si="90"/>
        <v>9.78978050206678</v>
      </c>
      <c r="D2781" s="21">
        <f t="shared" si="91"/>
        <v>3.08666164280332</v>
      </c>
    </row>
    <row r="2782" ht="14.4" spans="2:4">
      <c r="B2782" s="20">
        <v>11080</v>
      </c>
      <c r="C2782" s="21">
        <f t="shared" si="90"/>
        <v>9.7963284779804</v>
      </c>
      <c r="D2782" s="21">
        <f t="shared" si="91"/>
        <v>3.08898944193062</v>
      </c>
    </row>
    <row r="2783" ht="14.4" spans="2:4">
      <c r="B2783" s="20">
        <v>11084</v>
      </c>
      <c r="C2783" s="21">
        <f t="shared" si="90"/>
        <v>9.80288139389895</v>
      </c>
      <c r="D2783" s="21">
        <f t="shared" si="91"/>
        <v>3.09132075471698</v>
      </c>
    </row>
    <row r="2784" ht="14.4" spans="2:4">
      <c r="B2784" s="20">
        <v>11088</v>
      </c>
      <c r="C2784" s="21">
        <f t="shared" si="90"/>
        <v>9.80943925728186</v>
      </c>
      <c r="D2784" s="21">
        <f t="shared" si="91"/>
        <v>3.09365558912387</v>
      </c>
    </row>
    <row r="2785" ht="14.4" spans="2:4">
      <c r="B2785" s="20">
        <v>11092</v>
      </c>
      <c r="C2785" s="21">
        <f t="shared" si="90"/>
        <v>9.81600207560547</v>
      </c>
      <c r="D2785" s="21">
        <f t="shared" si="91"/>
        <v>3.09599395313681</v>
      </c>
    </row>
    <row r="2786" ht="14.4" spans="2:4">
      <c r="B2786" s="20">
        <v>11096</v>
      </c>
      <c r="C2786" s="21">
        <f t="shared" si="90"/>
        <v>9.82256985636306</v>
      </c>
      <c r="D2786" s="21">
        <f t="shared" si="91"/>
        <v>3.09833585476551</v>
      </c>
    </row>
    <row r="2787" ht="14.4" spans="2:4">
      <c r="B2787" s="20">
        <v>11100</v>
      </c>
      <c r="C2787" s="21">
        <f t="shared" si="90"/>
        <v>9.82914260706494</v>
      </c>
      <c r="D2787" s="21">
        <f t="shared" si="91"/>
        <v>3.10068130204391</v>
      </c>
    </row>
    <row r="2788" ht="14.4" spans="2:4">
      <c r="B2788" s="20">
        <v>11104</v>
      </c>
      <c r="C2788" s="21">
        <f t="shared" si="90"/>
        <v>9.83572033523849</v>
      </c>
      <c r="D2788" s="21">
        <f t="shared" si="91"/>
        <v>3.1030303030303</v>
      </c>
    </row>
    <row r="2789" ht="14.4" spans="2:4">
      <c r="B2789" s="20">
        <v>11108</v>
      </c>
      <c r="C2789" s="21">
        <f t="shared" si="90"/>
        <v>9.84230304842818</v>
      </c>
      <c r="D2789" s="21">
        <f t="shared" si="91"/>
        <v>3.10538286580743</v>
      </c>
    </row>
    <row r="2790" ht="14.4" spans="2:4">
      <c r="B2790" s="20">
        <v>11112</v>
      </c>
      <c r="C2790" s="21">
        <f t="shared" si="90"/>
        <v>9.84889075419567</v>
      </c>
      <c r="D2790" s="21">
        <f t="shared" si="91"/>
        <v>3.10773899848255</v>
      </c>
    </row>
    <row r="2791" ht="14.4" spans="2:4">
      <c r="B2791" s="20">
        <v>11116</v>
      </c>
      <c r="C2791" s="21">
        <f t="shared" si="90"/>
        <v>9.85548346011981</v>
      </c>
      <c r="D2791" s="21">
        <f t="shared" si="91"/>
        <v>3.11009870918755</v>
      </c>
    </row>
    <row r="2792" ht="14.4" spans="2:4">
      <c r="B2792" s="20">
        <v>11120</v>
      </c>
      <c r="C2792" s="21">
        <f t="shared" si="90"/>
        <v>9.86208117379675</v>
      </c>
      <c r="D2792" s="21">
        <f t="shared" si="91"/>
        <v>3.11246200607903</v>
      </c>
    </row>
    <row r="2793" ht="14.4" spans="2:4">
      <c r="B2793" s="20">
        <v>11124</v>
      </c>
      <c r="C2793" s="21">
        <f t="shared" si="90"/>
        <v>9.86868390283995</v>
      </c>
      <c r="D2793" s="21">
        <f t="shared" si="91"/>
        <v>3.1148288973384</v>
      </c>
    </row>
    <row r="2794" ht="14.4" spans="2:4">
      <c r="B2794" s="20">
        <v>11128</v>
      </c>
      <c r="C2794" s="21">
        <f t="shared" si="90"/>
        <v>9.87529165488025</v>
      </c>
      <c r="D2794" s="21">
        <f t="shared" si="91"/>
        <v>3.11719939117199</v>
      </c>
    </row>
    <row r="2795" ht="14.4" spans="2:4">
      <c r="B2795" s="20">
        <v>11132</v>
      </c>
      <c r="C2795" s="21">
        <f t="shared" si="90"/>
        <v>9.8819044375659</v>
      </c>
      <c r="D2795" s="21">
        <f t="shared" si="91"/>
        <v>3.11957349581112</v>
      </c>
    </row>
    <row r="2796" ht="14.4" spans="2:4">
      <c r="B2796" s="20">
        <v>11136</v>
      </c>
      <c r="C2796" s="21">
        <f t="shared" si="90"/>
        <v>9.88852225856266</v>
      </c>
      <c r="D2796" s="21">
        <f t="shared" si="91"/>
        <v>3.1219512195122</v>
      </c>
    </row>
    <row r="2797" ht="14.4" spans="2:4">
      <c r="B2797" s="20">
        <v>11140</v>
      </c>
      <c r="C2797" s="21">
        <f t="shared" si="90"/>
        <v>9.8951451255538</v>
      </c>
      <c r="D2797" s="21">
        <f t="shared" si="91"/>
        <v>3.12433257055683</v>
      </c>
    </row>
    <row r="2798" ht="14.4" spans="2:4">
      <c r="B2798" s="20">
        <v>11144</v>
      </c>
      <c r="C2798" s="21">
        <f t="shared" si="90"/>
        <v>9.9017730462402</v>
      </c>
      <c r="D2798" s="21">
        <f t="shared" si="91"/>
        <v>3.12671755725191</v>
      </c>
    </row>
    <row r="2799" ht="14.4" spans="2:4">
      <c r="B2799" s="20">
        <v>11148</v>
      </c>
      <c r="C2799" s="21">
        <f t="shared" si="90"/>
        <v>9.90840602834037</v>
      </c>
      <c r="D2799" s="21">
        <f t="shared" si="91"/>
        <v>3.12910618792972</v>
      </c>
    </row>
    <row r="2800" ht="14.4" spans="2:4">
      <c r="B2800" s="20">
        <v>11152</v>
      </c>
      <c r="C2800" s="21">
        <f t="shared" si="90"/>
        <v>9.91504407959052</v>
      </c>
      <c r="D2800" s="21">
        <f t="shared" si="91"/>
        <v>3.13149847094801</v>
      </c>
    </row>
    <row r="2801" ht="14.4" spans="2:4">
      <c r="B2801" s="20">
        <v>11156</v>
      </c>
      <c r="C2801" s="21">
        <f t="shared" si="90"/>
        <v>9.9216872077446</v>
      </c>
      <c r="D2801" s="21">
        <f t="shared" si="91"/>
        <v>3.13389441469013</v>
      </c>
    </row>
    <row r="2802" ht="14.4" spans="2:4">
      <c r="B2802" s="20">
        <v>11160</v>
      </c>
      <c r="C2802" s="21">
        <f t="shared" si="90"/>
        <v>9.92833542057438</v>
      </c>
      <c r="D2802" s="21">
        <f t="shared" si="91"/>
        <v>3.13629402756508</v>
      </c>
    </row>
    <row r="2803" ht="14.4" spans="2:4">
      <c r="B2803" s="20">
        <v>11164</v>
      </c>
      <c r="C2803" s="21">
        <f t="shared" si="90"/>
        <v>9.93498872586949</v>
      </c>
      <c r="D2803" s="21">
        <f t="shared" si="91"/>
        <v>3.13869731800766</v>
      </c>
    </row>
    <row r="2804" ht="14.4" spans="2:4">
      <c r="B2804" s="20">
        <v>11168</v>
      </c>
      <c r="C2804" s="21">
        <f t="shared" si="90"/>
        <v>9.94164713143746</v>
      </c>
      <c r="D2804" s="21">
        <f t="shared" si="91"/>
        <v>3.14110429447853</v>
      </c>
    </row>
    <row r="2805" ht="14.4" spans="2:4">
      <c r="B2805" s="20">
        <v>11172</v>
      </c>
      <c r="C2805" s="21">
        <f t="shared" si="90"/>
        <v>9.94831064510379</v>
      </c>
      <c r="D2805" s="21">
        <f t="shared" si="91"/>
        <v>3.14351496546431</v>
      </c>
    </row>
    <row r="2806" ht="14.4" spans="2:4">
      <c r="B2806" s="20">
        <v>11176</v>
      </c>
      <c r="C2806" s="21">
        <f t="shared" si="90"/>
        <v>9.95497927471202</v>
      </c>
      <c r="D2806" s="21">
        <f t="shared" si="91"/>
        <v>3.14592933947773</v>
      </c>
    </row>
    <row r="2807" ht="14.4" spans="2:4">
      <c r="B2807" s="20">
        <v>11180</v>
      </c>
      <c r="C2807" s="21">
        <f t="shared" si="90"/>
        <v>9.96165302812376</v>
      </c>
      <c r="D2807" s="21">
        <f t="shared" si="91"/>
        <v>3.14834742505765</v>
      </c>
    </row>
    <row r="2808" ht="14.4" spans="2:4">
      <c r="B2808" s="20">
        <v>11184</v>
      </c>
      <c r="C2808" s="21">
        <f t="shared" si="90"/>
        <v>9.96833191321875</v>
      </c>
      <c r="D2808" s="21">
        <f t="shared" si="91"/>
        <v>3.15076923076923</v>
      </c>
    </row>
    <row r="2809" ht="14.4" spans="2:4">
      <c r="B2809" s="20">
        <v>11188</v>
      </c>
      <c r="C2809" s="21">
        <f t="shared" si="90"/>
        <v>9.97501593789493</v>
      </c>
      <c r="D2809" s="21">
        <f t="shared" si="91"/>
        <v>3.153194765204</v>
      </c>
    </row>
    <row r="2810" ht="14.4" spans="2:4">
      <c r="B2810" s="20">
        <v>11192</v>
      </c>
      <c r="C2810" s="21">
        <f t="shared" si="90"/>
        <v>9.98170511006848</v>
      </c>
      <c r="D2810" s="21">
        <f t="shared" si="91"/>
        <v>3.15562403697997</v>
      </c>
    </row>
    <row r="2811" ht="14.4" spans="2:4">
      <c r="B2811" s="20">
        <v>11196</v>
      </c>
      <c r="C2811" s="21">
        <f t="shared" si="90"/>
        <v>9.98839943767388</v>
      </c>
      <c r="D2811" s="21">
        <f t="shared" si="91"/>
        <v>3.15805705474171</v>
      </c>
    </row>
    <row r="2812" ht="14.4" spans="2:4">
      <c r="B2812" s="20">
        <v>11200</v>
      </c>
      <c r="C2812" s="21">
        <f t="shared" si="90"/>
        <v>9.995098928664</v>
      </c>
      <c r="D2812" s="21">
        <f t="shared" si="91"/>
        <v>3.16049382716049</v>
      </c>
    </row>
    <row r="2813" ht="14.4" spans="2:4">
      <c r="B2813" s="20">
        <v>11204</v>
      </c>
      <c r="C2813" s="21">
        <f t="shared" si="90"/>
        <v>10.0018035910101</v>
      </c>
      <c r="D2813" s="21">
        <f t="shared" si="91"/>
        <v>3.16293436293436</v>
      </c>
    </row>
    <row r="2814" ht="14.4" spans="2:4">
      <c r="B2814" s="20">
        <v>11208</v>
      </c>
      <c r="C2814" s="21">
        <f t="shared" si="90"/>
        <v>10.0085134327019</v>
      </c>
      <c r="D2814" s="21">
        <f t="shared" si="91"/>
        <v>3.16537867078825</v>
      </c>
    </row>
    <row r="2815" ht="14.4" spans="2:4">
      <c r="B2815" s="20">
        <v>11212</v>
      </c>
      <c r="C2815" s="21">
        <f t="shared" si="90"/>
        <v>10.0152284617476</v>
      </c>
      <c r="D2815" s="21">
        <f t="shared" si="91"/>
        <v>3.16782675947409</v>
      </c>
    </row>
    <row r="2816" ht="14.4" spans="2:4">
      <c r="B2816" s="20">
        <v>11216</v>
      </c>
      <c r="C2816" s="21">
        <f t="shared" si="90"/>
        <v>10.0219486861742</v>
      </c>
      <c r="D2816" s="21">
        <f t="shared" si="91"/>
        <v>3.1702786377709</v>
      </c>
    </row>
    <row r="2817" ht="14.4" spans="2:4">
      <c r="B2817" s="20">
        <v>11220</v>
      </c>
      <c r="C2817" s="21">
        <f t="shared" si="90"/>
        <v>10.0286741140271</v>
      </c>
      <c r="D2817" s="21">
        <f t="shared" si="91"/>
        <v>3.1727343144849</v>
      </c>
    </row>
    <row r="2818" ht="14.4" spans="2:4">
      <c r="B2818" s="20">
        <v>11224</v>
      </c>
      <c r="C2818" s="21">
        <f t="shared" si="90"/>
        <v>10.0354047533705</v>
      </c>
      <c r="D2818" s="21">
        <f t="shared" si="91"/>
        <v>3.17519379844961</v>
      </c>
    </row>
    <row r="2819" ht="14.4" spans="2:4">
      <c r="B2819" s="20">
        <v>11228</v>
      </c>
      <c r="C2819" s="21">
        <f t="shared" si="90"/>
        <v>10.0421406122874</v>
      </c>
      <c r="D2819" s="21">
        <f t="shared" si="91"/>
        <v>3.17765709852599</v>
      </c>
    </row>
    <row r="2820" ht="14.4" spans="2:4">
      <c r="B2820" s="20">
        <v>11232</v>
      </c>
      <c r="C2820" s="21">
        <f t="shared" si="90"/>
        <v>10.0488816988796</v>
      </c>
      <c r="D2820" s="21">
        <f t="shared" si="91"/>
        <v>3.18012422360248</v>
      </c>
    </row>
    <row r="2821" ht="14.4" spans="2:4">
      <c r="B2821" s="20">
        <v>11236</v>
      </c>
      <c r="C2821" s="21">
        <f t="shared" si="90"/>
        <v>10.0556280212678</v>
      </c>
      <c r="D2821" s="21">
        <f t="shared" si="91"/>
        <v>3.18259518259518</v>
      </c>
    </row>
    <row r="2822" ht="14.4" spans="2:4">
      <c r="B2822" s="20">
        <v>11240</v>
      </c>
      <c r="C2822" s="21">
        <f t="shared" ref="C2822:C2885" si="92">20*LOG(D2822)</f>
        <v>10.0623795875914</v>
      </c>
      <c r="D2822" s="21">
        <f t="shared" ref="D2822:D2885" si="93">16384/(16384-B2822)</f>
        <v>3.1850699844479</v>
      </c>
    </row>
    <row r="2823" ht="14.4" spans="2:4">
      <c r="B2823" s="20">
        <v>11244</v>
      </c>
      <c r="C2823" s="21">
        <f t="shared" si="92"/>
        <v>10.0691364060092</v>
      </c>
      <c r="D2823" s="21">
        <f t="shared" si="93"/>
        <v>3.1875486381323</v>
      </c>
    </row>
    <row r="2824" ht="14.4" spans="2:4">
      <c r="B2824" s="20">
        <v>11248</v>
      </c>
      <c r="C2824" s="21">
        <f t="shared" si="92"/>
        <v>10.0758984846988</v>
      </c>
      <c r="D2824" s="21">
        <f t="shared" si="93"/>
        <v>3.19003115264797</v>
      </c>
    </row>
    <row r="2825" ht="14.4" spans="2:4">
      <c r="B2825" s="20">
        <v>11252</v>
      </c>
      <c r="C2825" s="21">
        <f t="shared" si="92"/>
        <v>10.0826658318569</v>
      </c>
      <c r="D2825" s="21">
        <f t="shared" si="93"/>
        <v>3.1925175370226</v>
      </c>
    </row>
    <row r="2826" ht="14.4" spans="2:4">
      <c r="B2826" s="20">
        <v>11256</v>
      </c>
      <c r="C2826" s="21">
        <f t="shared" si="92"/>
        <v>10.0894384556995</v>
      </c>
      <c r="D2826" s="21">
        <f t="shared" si="93"/>
        <v>3.19500780031201</v>
      </c>
    </row>
    <row r="2827" ht="14.4" spans="2:4">
      <c r="B2827" s="20">
        <v>11260</v>
      </c>
      <c r="C2827" s="21">
        <f t="shared" si="92"/>
        <v>10.0962163644618</v>
      </c>
      <c r="D2827" s="21">
        <f t="shared" si="93"/>
        <v>3.19750195160031</v>
      </c>
    </row>
    <row r="2828" ht="14.4" spans="2:4">
      <c r="B2828" s="20">
        <v>11264</v>
      </c>
      <c r="C2828" s="21">
        <f t="shared" si="92"/>
        <v>10.1029995663981</v>
      </c>
      <c r="D2828" s="21">
        <f t="shared" si="93"/>
        <v>3.2</v>
      </c>
    </row>
    <row r="2829" ht="14.4" spans="2:4">
      <c r="B2829" s="20">
        <v>11268</v>
      </c>
      <c r="C2829" s="21">
        <f t="shared" si="92"/>
        <v>10.1097880697824</v>
      </c>
      <c r="D2829" s="21">
        <f t="shared" si="93"/>
        <v>3.20250195465207</v>
      </c>
    </row>
    <row r="2830" ht="14.4" spans="2:4">
      <c r="B2830" s="20">
        <v>11272</v>
      </c>
      <c r="C2830" s="21">
        <f t="shared" si="92"/>
        <v>10.1165818829079</v>
      </c>
      <c r="D2830" s="21">
        <f t="shared" si="93"/>
        <v>3.20500782472613</v>
      </c>
    </row>
    <row r="2831" ht="14.4" spans="2:4">
      <c r="B2831" s="20">
        <v>11276</v>
      </c>
      <c r="C2831" s="21">
        <f t="shared" si="92"/>
        <v>10.1233810140872</v>
      </c>
      <c r="D2831" s="21">
        <f t="shared" si="93"/>
        <v>3.20751761942052</v>
      </c>
    </row>
    <row r="2832" ht="14.4" spans="2:4">
      <c r="B2832" s="20">
        <v>11280</v>
      </c>
      <c r="C2832" s="21">
        <f t="shared" si="92"/>
        <v>10.1301854716526</v>
      </c>
      <c r="D2832" s="21">
        <f t="shared" si="93"/>
        <v>3.21003134796238</v>
      </c>
    </row>
    <row r="2833" ht="14.4" spans="2:4">
      <c r="B2833" s="20">
        <v>11284</v>
      </c>
      <c r="C2833" s="21">
        <f t="shared" si="92"/>
        <v>10.136995263956</v>
      </c>
      <c r="D2833" s="21">
        <f t="shared" si="93"/>
        <v>3.21254901960784</v>
      </c>
    </row>
    <row r="2834" ht="14.4" spans="2:4">
      <c r="B2834" s="20">
        <v>11288</v>
      </c>
      <c r="C2834" s="21">
        <f t="shared" si="92"/>
        <v>10.1438103993689</v>
      </c>
      <c r="D2834" s="21">
        <f t="shared" si="93"/>
        <v>3.21507064364207</v>
      </c>
    </row>
    <row r="2835" ht="14.4" spans="2:4">
      <c r="B2835" s="20">
        <v>11292</v>
      </c>
      <c r="C2835" s="21">
        <f t="shared" si="92"/>
        <v>10.1506308862824</v>
      </c>
      <c r="D2835" s="21">
        <f t="shared" si="93"/>
        <v>3.21759622937942</v>
      </c>
    </row>
    <row r="2836" ht="14.4" spans="2:4">
      <c r="B2836" s="20">
        <v>11296</v>
      </c>
      <c r="C2836" s="21">
        <f t="shared" si="92"/>
        <v>10.1574567331076</v>
      </c>
      <c r="D2836" s="21">
        <f t="shared" si="93"/>
        <v>3.22012578616352</v>
      </c>
    </row>
    <row r="2837" ht="14.4" spans="2:4">
      <c r="B2837" s="20">
        <v>11300</v>
      </c>
      <c r="C2837" s="21">
        <f t="shared" si="92"/>
        <v>10.1642879482753</v>
      </c>
      <c r="D2837" s="21">
        <f t="shared" si="93"/>
        <v>3.22265932336743</v>
      </c>
    </row>
    <row r="2838" ht="14.4" spans="2:4">
      <c r="B2838" s="20">
        <v>11304</v>
      </c>
      <c r="C2838" s="21">
        <f t="shared" si="92"/>
        <v>10.1711245402363</v>
      </c>
      <c r="D2838" s="21">
        <f t="shared" si="93"/>
        <v>3.2251968503937</v>
      </c>
    </row>
    <row r="2839" ht="14.4" spans="2:4">
      <c r="B2839" s="20">
        <v>11308</v>
      </c>
      <c r="C2839" s="21">
        <f t="shared" si="92"/>
        <v>10.1779665174614</v>
      </c>
      <c r="D2839" s="21">
        <f t="shared" si="93"/>
        <v>3.22773837667455</v>
      </c>
    </row>
    <row r="2840" ht="14.4" spans="2:4">
      <c r="B2840" s="20">
        <v>11312</v>
      </c>
      <c r="C2840" s="21">
        <f t="shared" si="92"/>
        <v>10.1848138884412</v>
      </c>
      <c r="D2840" s="21">
        <f t="shared" si="93"/>
        <v>3.23028391167192</v>
      </c>
    </row>
    <row r="2841" ht="14.4" spans="2:4">
      <c r="B2841" s="20">
        <v>11316</v>
      </c>
      <c r="C2841" s="21">
        <f t="shared" si="92"/>
        <v>10.1916666616867</v>
      </c>
      <c r="D2841" s="21">
        <f t="shared" si="93"/>
        <v>3.23283346487766</v>
      </c>
    </row>
    <row r="2842" ht="14.4" spans="2:4">
      <c r="B2842" s="20">
        <v>11320</v>
      </c>
      <c r="C2842" s="21">
        <f t="shared" si="92"/>
        <v>10.1985248457288</v>
      </c>
      <c r="D2842" s="21">
        <f t="shared" si="93"/>
        <v>3.23538704581359</v>
      </c>
    </row>
    <row r="2843" ht="14.4" spans="2:4">
      <c r="B2843" s="20">
        <v>11324</v>
      </c>
      <c r="C2843" s="21">
        <f t="shared" si="92"/>
        <v>10.2053884491188</v>
      </c>
      <c r="D2843" s="21">
        <f t="shared" si="93"/>
        <v>3.23794466403162</v>
      </c>
    </row>
    <row r="2844" ht="14.4" spans="2:4">
      <c r="B2844" s="20">
        <v>11328</v>
      </c>
      <c r="C2844" s="21">
        <f t="shared" si="92"/>
        <v>10.2122574804282</v>
      </c>
      <c r="D2844" s="21">
        <f t="shared" si="93"/>
        <v>3.24050632911392</v>
      </c>
    </row>
    <row r="2845" ht="14.4" spans="2:4">
      <c r="B2845" s="20">
        <v>11332</v>
      </c>
      <c r="C2845" s="21">
        <f t="shared" si="92"/>
        <v>10.2191319482489</v>
      </c>
      <c r="D2845" s="21">
        <f t="shared" si="93"/>
        <v>3.243072050673</v>
      </c>
    </row>
    <row r="2846" ht="14.4" spans="2:4">
      <c r="B2846" s="20">
        <v>11336</v>
      </c>
      <c r="C2846" s="21">
        <f t="shared" si="92"/>
        <v>10.2260118611932</v>
      </c>
      <c r="D2846" s="21">
        <f t="shared" si="93"/>
        <v>3.24564183835182</v>
      </c>
    </row>
    <row r="2847" ht="14.4" spans="2:4">
      <c r="B2847" s="20">
        <v>11340</v>
      </c>
      <c r="C2847" s="21">
        <f t="shared" si="92"/>
        <v>10.2328972278939</v>
      </c>
      <c r="D2847" s="21">
        <f t="shared" si="93"/>
        <v>3.24821570182395</v>
      </c>
    </row>
    <row r="2848" ht="14.4" spans="2:4">
      <c r="B2848" s="20">
        <v>11344</v>
      </c>
      <c r="C2848" s="21">
        <f t="shared" si="92"/>
        <v>10.2397880570042</v>
      </c>
      <c r="D2848" s="21">
        <f t="shared" si="93"/>
        <v>3.25079365079365</v>
      </c>
    </row>
    <row r="2849" ht="14.4" spans="2:4">
      <c r="B2849" s="20">
        <v>11348</v>
      </c>
      <c r="C2849" s="21">
        <f t="shared" si="92"/>
        <v>10.2466843571982</v>
      </c>
      <c r="D2849" s="21">
        <f t="shared" si="93"/>
        <v>3.25337569499603</v>
      </c>
    </row>
    <row r="2850" ht="14.4" spans="2:4">
      <c r="B2850" s="20">
        <v>11352</v>
      </c>
      <c r="C2850" s="21">
        <f t="shared" si="92"/>
        <v>10.2535861371705</v>
      </c>
      <c r="D2850" s="21">
        <f t="shared" si="93"/>
        <v>3.25596184419714</v>
      </c>
    </row>
    <row r="2851" ht="14.4" spans="2:4">
      <c r="B2851" s="20">
        <v>11356</v>
      </c>
      <c r="C2851" s="21">
        <f t="shared" si="92"/>
        <v>10.2604934056363</v>
      </c>
      <c r="D2851" s="21">
        <f t="shared" si="93"/>
        <v>3.25855210819411</v>
      </c>
    </row>
    <row r="2852" ht="14.4" spans="2:4">
      <c r="B2852" s="20">
        <v>11360</v>
      </c>
      <c r="C2852" s="21">
        <f t="shared" si="92"/>
        <v>10.2674061713319</v>
      </c>
      <c r="D2852" s="21">
        <f t="shared" si="93"/>
        <v>3.26114649681529</v>
      </c>
    </row>
    <row r="2853" ht="14.4" spans="2:4">
      <c r="B2853" s="20">
        <v>11364</v>
      </c>
      <c r="C2853" s="21">
        <f t="shared" si="92"/>
        <v>10.2743244430143</v>
      </c>
      <c r="D2853" s="21">
        <f t="shared" si="93"/>
        <v>3.26374501992032</v>
      </c>
    </row>
    <row r="2854" ht="14.4" spans="2:4">
      <c r="B2854" s="20">
        <v>11368</v>
      </c>
      <c r="C2854" s="21">
        <f t="shared" si="92"/>
        <v>10.2812482294615</v>
      </c>
      <c r="D2854" s="21">
        <f t="shared" si="93"/>
        <v>3.26634768740032</v>
      </c>
    </row>
    <row r="2855" ht="14.4" spans="2:4">
      <c r="B2855" s="20">
        <v>11372</v>
      </c>
      <c r="C2855" s="21">
        <f t="shared" si="92"/>
        <v>10.2881775394725</v>
      </c>
      <c r="D2855" s="21">
        <f t="shared" si="93"/>
        <v>3.26895450917797</v>
      </c>
    </row>
    <row r="2856" ht="14.4" spans="2:4">
      <c r="B2856" s="20">
        <v>11376</v>
      </c>
      <c r="C2856" s="21">
        <f t="shared" si="92"/>
        <v>10.2951123818673</v>
      </c>
      <c r="D2856" s="21">
        <f t="shared" si="93"/>
        <v>3.27156549520767</v>
      </c>
    </row>
    <row r="2857" ht="14.4" spans="2:4">
      <c r="B2857" s="20">
        <v>11380</v>
      </c>
      <c r="C2857" s="21">
        <f t="shared" si="92"/>
        <v>10.3020527654871</v>
      </c>
      <c r="D2857" s="21">
        <f t="shared" si="93"/>
        <v>3.27418065547562</v>
      </c>
    </row>
    <row r="2858" ht="14.4" spans="2:4">
      <c r="B2858" s="20">
        <v>11384</v>
      </c>
      <c r="C2858" s="21">
        <f t="shared" si="92"/>
        <v>10.3089986991944</v>
      </c>
      <c r="D2858" s="21">
        <f t="shared" si="93"/>
        <v>3.2768</v>
      </c>
    </row>
    <row r="2859" ht="14.4" spans="2:4">
      <c r="B2859" s="20">
        <v>11388</v>
      </c>
      <c r="C2859" s="21">
        <f t="shared" si="92"/>
        <v>10.3159501918728</v>
      </c>
      <c r="D2859" s="21">
        <f t="shared" si="93"/>
        <v>3.27942353883106</v>
      </c>
    </row>
    <row r="2860" ht="14.4" spans="2:4">
      <c r="B2860" s="20">
        <v>11392</v>
      </c>
      <c r="C2860" s="21">
        <f t="shared" si="92"/>
        <v>10.3229072524274</v>
      </c>
      <c r="D2860" s="21">
        <f t="shared" si="93"/>
        <v>3.28205128205128</v>
      </c>
    </row>
    <row r="2861" ht="14.4" spans="2:4">
      <c r="B2861" s="20">
        <v>11396</v>
      </c>
      <c r="C2861" s="21">
        <f t="shared" si="92"/>
        <v>10.3298698897846</v>
      </c>
      <c r="D2861" s="21">
        <f t="shared" si="93"/>
        <v>3.28468323977546</v>
      </c>
    </row>
    <row r="2862" ht="14.4" spans="2:4">
      <c r="B2862" s="20">
        <v>11400</v>
      </c>
      <c r="C2862" s="21">
        <f t="shared" si="92"/>
        <v>10.3368381128925</v>
      </c>
      <c r="D2862" s="21">
        <f t="shared" si="93"/>
        <v>3.28731942215088</v>
      </c>
    </row>
    <row r="2863" ht="14.4" spans="2:4">
      <c r="B2863" s="20">
        <v>11404</v>
      </c>
      <c r="C2863" s="21">
        <f t="shared" si="92"/>
        <v>10.3438119307204</v>
      </c>
      <c r="D2863" s="21">
        <f t="shared" si="93"/>
        <v>3.28995983935743</v>
      </c>
    </row>
    <row r="2864" ht="14.4" spans="2:4">
      <c r="B2864" s="20">
        <v>11408</v>
      </c>
      <c r="C2864" s="21">
        <f t="shared" si="92"/>
        <v>10.3507913522595</v>
      </c>
      <c r="D2864" s="21">
        <f t="shared" si="93"/>
        <v>3.29260450160772</v>
      </c>
    </row>
    <row r="2865" ht="14.4" spans="2:4">
      <c r="B2865" s="20">
        <v>11412</v>
      </c>
      <c r="C2865" s="21">
        <f t="shared" si="92"/>
        <v>10.3577763865226</v>
      </c>
      <c r="D2865" s="21">
        <f t="shared" si="93"/>
        <v>3.29525341914722</v>
      </c>
    </row>
    <row r="2866" ht="14.4" spans="2:4">
      <c r="B2866" s="20">
        <v>11416</v>
      </c>
      <c r="C2866" s="21">
        <f t="shared" si="92"/>
        <v>10.3647670425443</v>
      </c>
      <c r="D2866" s="21">
        <f t="shared" si="93"/>
        <v>3.29790660225443</v>
      </c>
    </row>
    <row r="2867" ht="14.4" spans="2:4">
      <c r="B2867" s="20">
        <v>11420</v>
      </c>
      <c r="C2867" s="21">
        <f t="shared" si="92"/>
        <v>10.3717633293809</v>
      </c>
      <c r="D2867" s="21">
        <f t="shared" si="93"/>
        <v>3.30056406124093</v>
      </c>
    </row>
    <row r="2868" ht="14.4" spans="2:4">
      <c r="B2868" s="20">
        <v>11424</v>
      </c>
      <c r="C2868" s="21">
        <f t="shared" si="92"/>
        <v>10.3787652561108</v>
      </c>
      <c r="D2868" s="21">
        <f t="shared" si="93"/>
        <v>3.30322580645161</v>
      </c>
    </row>
    <row r="2869" ht="14.4" spans="2:4">
      <c r="B2869" s="20">
        <v>11428</v>
      </c>
      <c r="C2869" s="21">
        <f t="shared" si="92"/>
        <v>10.3857728318342</v>
      </c>
      <c r="D2869" s="21">
        <f t="shared" si="93"/>
        <v>3.30589184826473</v>
      </c>
    </row>
    <row r="2870" ht="14.4" spans="2:4">
      <c r="B2870" s="20">
        <v>11432</v>
      </c>
      <c r="C2870" s="21">
        <f t="shared" si="92"/>
        <v>10.3927860656735</v>
      </c>
      <c r="D2870" s="21">
        <f t="shared" si="93"/>
        <v>3.30856219709208</v>
      </c>
    </row>
    <row r="2871" ht="14.4" spans="2:4">
      <c r="B2871" s="20">
        <v>11436</v>
      </c>
      <c r="C2871" s="21">
        <f t="shared" si="92"/>
        <v>10.3998049667731</v>
      </c>
      <c r="D2871" s="21">
        <f t="shared" si="93"/>
        <v>3.31123686337914</v>
      </c>
    </row>
    <row r="2872" ht="14.4" spans="2:4">
      <c r="B2872" s="20">
        <v>11440</v>
      </c>
      <c r="C2872" s="21">
        <f t="shared" si="92"/>
        <v>10.4068295442995</v>
      </c>
      <c r="D2872" s="21">
        <f t="shared" si="93"/>
        <v>3.31391585760518</v>
      </c>
    </row>
    <row r="2873" ht="14.4" spans="2:4">
      <c r="B2873" s="20">
        <v>11444</v>
      </c>
      <c r="C2873" s="21">
        <f t="shared" si="92"/>
        <v>10.4138598074418</v>
      </c>
      <c r="D2873" s="21">
        <f t="shared" si="93"/>
        <v>3.3165991902834</v>
      </c>
    </row>
    <row r="2874" ht="14.4" spans="2:4">
      <c r="B2874" s="20">
        <v>11448</v>
      </c>
      <c r="C2874" s="21">
        <f t="shared" si="92"/>
        <v>10.420895765411</v>
      </c>
      <c r="D2874" s="21">
        <f t="shared" si="93"/>
        <v>3.3192868719611</v>
      </c>
    </row>
    <row r="2875" ht="14.4" spans="2:4">
      <c r="B2875" s="20">
        <v>11452</v>
      </c>
      <c r="C2875" s="21">
        <f t="shared" si="92"/>
        <v>10.4279374274409</v>
      </c>
      <c r="D2875" s="21">
        <f t="shared" si="93"/>
        <v>3.32197891321979</v>
      </c>
    </row>
    <row r="2876" ht="14.4" spans="2:4">
      <c r="B2876" s="20">
        <v>11456</v>
      </c>
      <c r="C2876" s="21">
        <f t="shared" si="92"/>
        <v>10.4349848027874</v>
      </c>
      <c r="D2876" s="21">
        <f t="shared" si="93"/>
        <v>3.32467532467532</v>
      </c>
    </row>
    <row r="2877" ht="14.4" spans="2:4">
      <c r="B2877" s="20">
        <v>11460</v>
      </c>
      <c r="C2877" s="21">
        <f t="shared" si="92"/>
        <v>10.4420379007292</v>
      </c>
      <c r="D2877" s="21">
        <f t="shared" si="93"/>
        <v>3.32737611697807</v>
      </c>
    </row>
    <row r="2878" ht="14.4" spans="2:4">
      <c r="B2878" s="20">
        <v>11464</v>
      </c>
      <c r="C2878" s="21">
        <f t="shared" si="92"/>
        <v>10.4490967305675</v>
      </c>
      <c r="D2878" s="21">
        <f t="shared" si="93"/>
        <v>3.33008130081301</v>
      </c>
    </row>
    <row r="2879" ht="14.4" spans="2:4">
      <c r="B2879" s="20">
        <v>11468</v>
      </c>
      <c r="C2879" s="21">
        <f t="shared" si="92"/>
        <v>10.4561613016264</v>
      </c>
      <c r="D2879" s="21">
        <f t="shared" si="93"/>
        <v>3.33279088689992</v>
      </c>
    </row>
    <row r="2880" ht="14.4" spans="2:4">
      <c r="B2880" s="20">
        <v>11472</v>
      </c>
      <c r="C2880" s="21">
        <f t="shared" si="92"/>
        <v>10.4632316232525</v>
      </c>
      <c r="D2880" s="21">
        <f t="shared" si="93"/>
        <v>3.33550488599349</v>
      </c>
    </row>
    <row r="2881" ht="14.4" spans="2:4">
      <c r="B2881" s="20">
        <v>11476</v>
      </c>
      <c r="C2881" s="21">
        <f t="shared" si="92"/>
        <v>10.4703077048154</v>
      </c>
      <c r="D2881" s="21">
        <f t="shared" si="93"/>
        <v>3.33822330888346</v>
      </c>
    </row>
    <row r="2882" ht="14.4" spans="2:4">
      <c r="B2882" s="20">
        <v>11480</v>
      </c>
      <c r="C2882" s="21">
        <f t="shared" si="92"/>
        <v>10.4773895557076</v>
      </c>
      <c r="D2882" s="21">
        <f t="shared" si="93"/>
        <v>3.34094616639478</v>
      </c>
    </row>
    <row r="2883" ht="14.4" spans="2:4">
      <c r="B2883" s="20">
        <v>11484</v>
      </c>
      <c r="C2883" s="21">
        <f t="shared" si="92"/>
        <v>10.4844771853445</v>
      </c>
      <c r="D2883" s="21">
        <f t="shared" si="93"/>
        <v>3.34367346938776</v>
      </c>
    </row>
    <row r="2884" ht="14.4" spans="2:4">
      <c r="B2884" s="20">
        <v>11488</v>
      </c>
      <c r="C2884" s="21">
        <f t="shared" si="92"/>
        <v>10.4915706031646</v>
      </c>
      <c r="D2884" s="21">
        <f t="shared" si="93"/>
        <v>3.34640522875817</v>
      </c>
    </row>
    <row r="2885" ht="14.4" spans="2:4">
      <c r="B2885" s="20">
        <v>11492</v>
      </c>
      <c r="C2885" s="21">
        <f t="shared" si="92"/>
        <v>10.4986698186298</v>
      </c>
      <c r="D2885" s="21">
        <f t="shared" si="93"/>
        <v>3.34914145543745</v>
      </c>
    </row>
    <row r="2886" ht="14.4" spans="2:4">
      <c r="B2886" s="20">
        <v>11496</v>
      </c>
      <c r="C2886" s="21">
        <f t="shared" ref="C2886:C2949" si="94">20*LOG(D2886)</f>
        <v>10.5057748412248</v>
      </c>
      <c r="D2886" s="21">
        <f t="shared" ref="D2886:D2949" si="95">16384/(16384-B2886)</f>
        <v>3.3518821603928</v>
      </c>
    </row>
    <row r="2887" ht="14.4" spans="2:4">
      <c r="B2887" s="20">
        <v>11500</v>
      </c>
      <c r="C2887" s="21">
        <f t="shared" si="94"/>
        <v>10.5128856804578</v>
      </c>
      <c r="D2887" s="21">
        <f t="shared" si="95"/>
        <v>3.35462735462735</v>
      </c>
    </row>
    <row r="2888" ht="14.4" spans="2:4">
      <c r="B2888" s="20">
        <v>11504</v>
      </c>
      <c r="C2888" s="21">
        <f t="shared" si="94"/>
        <v>10.5200023458605</v>
      </c>
      <c r="D2888" s="21">
        <f t="shared" si="95"/>
        <v>3.35737704918033</v>
      </c>
    </row>
    <row r="2889" ht="14.4" spans="2:4">
      <c r="B2889" s="20">
        <v>11508</v>
      </c>
      <c r="C2889" s="21">
        <f t="shared" si="94"/>
        <v>10.5271248469878</v>
      </c>
      <c r="D2889" s="21">
        <f t="shared" si="95"/>
        <v>3.36013125512715</v>
      </c>
    </row>
    <row r="2890" ht="14.4" spans="2:4">
      <c r="B2890" s="20">
        <v>11512</v>
      </c>
      <c r="C2890" s="21">
        <f t="shared" si="94"/>
        <v>10.5342531934184</v>
      </c>
      <c r="D2890" s="21">
        <f t="shared" si="95"/>
        <v>3.36288998357964</v>
      </c>
    </row>
    <row r="2891" ht="14.4" spans="2:4">
      <c r="B2891" s="20">
        <v>11516</v>
      </c>
      <c r="C2891" s="21">
        <f t="shared" si="94"/>
        <v>10.5413873947542</v>
      </c>
      <c r="D2891" s="21">
        <f t="shared" si="95"/>
        <v>3.36565324568611</v>
      </c>
    </row>
    <row r="2892" ht="14.4" spans="2:4">
      <c r="B2892" s="20">
        <v>11520</v>
      </c>
      <c r="C2892" s="21">
        <f t="shared" si="94"/>
        <v>10.5485274606212</v>
      </c>
      <c r="D2892" s="21">
        <f t="shared" si="95"/>
        <v>3.36842105263158</v>
      </c>
    </row>
    <row r="2893" ht="14.4" spans="2:4">
      <c r="B2893" s="20">
        <v>11524</v>
      </c>
      <c r="C2893" s="21">
        <f t="shared" si="94"/>
        <v>10.5556734006689</v>
      </c>
      <c r="D2893" s="21">
        <f t="shared" si="95"/>
        <v>3.37119341563786</v>
      </c>
    </row>
    <row r="2894" ht="14.4" spans="2:4">
      <c r="B2894" s="20">
        <v>11528</v>
      </c>
      <c r="C2894" s="21">
        <f t="shared" si="94"/>
        <v>10.5628252245707</v>
      </c>
      <c r="D2894" s="21">
        <f t="shared" si="95"/>
        <v>3.37397034596376</v>
      </c>
    </row>
    <row r="2895" ht="14.4" spans="2:4">
      <c r="B2895" s="20">
        <v>11532</v>
      </c>
      <c r="C2895" s="21">
        <f t="shared" si="94"/>
        <v>10.569982942024</v>
      </c>
      <c r="D2895" s="21">
        <f t="shared" si="95"/>
        <v>3.37675185490519</v>
      </c>
    </row>
    <row r="2896" ht="14.4" spans="2:4">
      <c r="B2896" s="20">
        <v>11536</v>
      </c>
      <c r="C2896" s="21">
        <f t="shared" si="94"/>
        <v>10.5771465627501</v>
      </c>
      <c r="D2896" s="21">
        <f t="shared" si="95"/>
        <v>3.37953795379538</v>
      </c>
    </row>
    <row r="2897" ht="14.4" spans="2:4">
      <c r="B2897" s="20">
        <v>11540</v>
      </c>
      <c r="C2897" s="21">
        <f t="shared" si="94"/>
        <v>10.5843160964944</v>
      </c>
      <c r="D2897" s="21">
        <f t="shared" si="95"/>
        <v>3.38232865400495</v>
      </c>
    </row>
    <row r="2898" ht="14.4" spans="2:4">
      <c r="B2898" s="20">
        <v>11544</v>
      </c>
      <c r="C2898" s="21">
        <f t="shared" si="94"/>
        <v>10.5914915530265</v>
      </c>
      <c r="D2898" s="21">
        <f t="shared" si="95"/>
        <v>3.38512396694215</v>
      </c>
    </row>
    <row r="2899" ht="14.4" spans="2:4">
      <c r="B2899" s="20">
        <v>11548</v>
      </c>
      <c r="C2899" s="21">
        <f t="shared" si="94"/>
        <v>10.59867294214</v>
      </c>
      <c r="D2899" s="21">
        <f t="shared" si="95"/>
        <v>3.38792390405294</v>
      </c>
    </row>
    <row r="2900" ht="14.4" spans="2:4">
      <c r="B2900" s="20">
        <v>11552</v>
      </c>
      <c r="C2900" s="21">
        <f t="shared" si="94"/>
        <v>10.6058602736532</v>
      </c>
      <c r="D2900" s="21">
        <f t="shared" si="95"/>
        <v>3.39072847682119</v>
      </c>
    </row>
    <row r="2901" ht="14.4" spans="2:4">
      <c r="B2901" s="20">
        <v>11556</v>
      </c>
      <c r="C2901" s="21">
        <f t="shared" si="94"/>
        <v>10.6130535574085</v>
      </c>
      <c r="D2901" s="21">
        <f t="shared" si="95"/>
        <v>3.39353769676885</v>
      </c>
    </row>
    <row r="2902" ht="14.4" spans="2:4">
      <c r="B2902" s="20">
        <v>11560</v>
      </c>
      <c r="C2902" s="21">
        <f t="shared" si="94"/>
        <v>10.6202528032728</v>
      </c>
      <c r="D2902" s="21">
        <f t="shared" si="95"/>
        <v>3.39635157545605</v>
      </c>
    </row>
    <row r="2903" ht="14.4" spans="2:4">
      <c r="B2903" s="20">
        <v>11564</v>
      </c>
      <c r="C2903" s="21">
        <f t="shared" si="94"/>
        <v>10.6274580211377</v>
      </c>
      <c r="D2903" s="21">
        <f t="shared" si="95"/>
        <v>3.39917012448133</v>
      </c>
    </row>
    <row r="2904" ht="14.4" spans="2:4">
      <c r="B2904" s="20">
        <v>11568</v>
      </c>
      <c r="C2904" s="21">
        <f t="shared" si="94"/>
        <v>10.6346692209194</v>
      </c>
      <c r="D2904" s="21">
        <f t="shared" si="95"/>
        <v>3.40199335548173</v>
      </c>
    </row>
    <row r="2905" ht="14.4" spans="2:4">
      <c r="B2905" s="20">
        <v>11572</v>
      </c>
      <c r="C2905" s="21">
        <f t="shared" si="94"/>
        <v>10.6418864125586</v>
      </c>
      <c r="D2905" s="21">
        <f t="shared" si="95"/>
        <v>3.404821280133</v>
      </c>
    </row>
    <row r="2906" ht="14.4" spans="2:4">
      <c r="B2906" s="20">
        <v>11576</v>
      </c>
      <c r="C2906" s="21">
        <f t="shared" si="94"/>
        <v>10.6491096060211</v>
      </c>
      <c r="D2906" s="21">
        <f t="shared" si="95"/>
        <v>3.40765391014975</v>
      </c>
    </row>
    <row r="2907" ht="14.4" spans="2:4">
      <c r="B2907" s="20">
        <v>11580</v>
      </c>
      <c r="C2907" s="21">
        <f t="shared" si="94"/>
        <v>10.6563388112974</v>
      </c>
      <c r="D2907" s="21">
        <f t="shared" si="95"/>
        <v>3.4104912572856</v>
      </c>
    </row>
    <row r="2908" ht="14.4" spans="2:4">
      <c r="B2908" s="20">
        <v>11584</v>
      </c>
      <c r="C2908" s="21">
        <f t="shared" si="94"/>
        <v>10.663574038403</v>
      </c>
      <c r="D2908" s="21">
        <f t="shared" si="95"/>
        <v>3.41333333333333</v>
      </c>
    </row>
    <row r="2909" ht="14.4" spans="2:4">
      <c r="B2909" s="20">
        <v>11588</v>
      </c>
      <c r="C2909" s="21">
        <f t="shared" si="94"/>
        <v>10.6708152973785</v>
      </c>
      <c r="D2909" s="21">
        <f t="shared" si="95"/>
        <v>3.4161801501251</v>
      </c>
    </row>
    <row r="2910" ht="14.4" spans="2:4">
      <c r="B2910" s="20">
        <v>11592</v>
      </c>
      <c r="C2910" s="21">
        <f t="shared" si="94"/>
        <v>10.6780625982896</v>
      </c>
      <c r="D2910" s="21">
        <f t="shared" si="95"/>
        <v>3.41903171953255</v>
      </c>
    </row>
    <row r="2911" ht="14.4" spans="2:4">
      <c r="B2911" s="20">
        <v>11596</v>
      </c>
      <c r="C2911" s="21">
        <f t="shared" si="94"/>
        <v>10.6853159512273</v>
      </c>
      <c r="D2911" s="21">
        <f t="shared" si="95"/>
        <v>3.421888053467</v>
      </c>
    </row>
    <row r="2912" ht="14.4" spans="2:4">
      <c r="B2912" s="20">
        <v>11600</v>
      </c>
      <c r="C2912" s="21">
        <f t="shared" si="94"/>
        <v>10.6925753663076</v>
      </c>
      <c r="D2912" s="21">
        <f t="shared" si="95"/>
        <v>3.4247491638796</v>
      </c>
    </row>
    <row r="2913" ht="14.4" spans="2:4">
      <c r="B2913" s="20">
        <v>11604</v>
      </c>
      <c r="C2913" s="21">
        <f t="shared" si="94"/>
        <v>10.6998408536724</v>
      </c>
      <c r="D2913" s="21">
        <f t="shared" si="95"/>
        <v>3.42761506276151</v>
      </c>
    </row>
    <row r="2914" ht="14.4" spans="2:4">
      <c r="B2914" s="20">
        <v>11608</v>
      </c>
      <c r="C2914" s="21">
        <f t="shared" si="94"/>
        <v>10.7071124234885</v>
      </c>
      <c r="D2914" s="21">
        <f t="shared" si="95"/>
        <v>3.43048576214405</v>
      </c>
    </row>
    <row r="2915" ht="14.4" spans="2:4">
      <c r="B2915" s="20">
        <v>11612</v>
      </c>
      <c r="C2915" s="21">
        <f t="shared" si="94"/>
        <v>10.7143900859486</v>
      </c>
      <c r="D2915" s="21">
        <f t="shared" si="95"/>
        <v>3.43336127409891</v>
      </c>
    </row>
    <row r="2916" ht="14.4" spans="2:4">
      <c r="B2916" s="20">
        <v>11616</v>
      </c>
      <c r="C2916" s="21">
        <f t="shared" si="94"/>
        <v>10.7216738512711</v>
      </c>
      <c r="D2916" s="21">
        <f t="shared" si="95"/>
        <v>3.43624161073825</v>
      </c>
    </row>
    <row r="2917" ht="14.4" spans="2:4">
      <c r="B2917" s="20">
        <v>11620</v>
      </c>
      <c r="C2917" s="21">
        <f t="shared" si="94"/>
        <v>10.7289637296999</v>
      </c>
      <c r="D2917" s="21">
        <f t="shared" si="95"/>
        <v>3.43912678421495</v>
      </c>
    </row>
    <row r="2918" ht="14.4" spans="2:4">
      <c r="B2918" s="20">
        <v>11624</v>
      </c>
      <c r="C2918" s="21">
        <f t="shared" si="94"/>
        <v>10.7362597315049</v>
      </c>
      <c r="D2918" s="21">
        <f t="shared" si="95"/>
        <v>3.44201680672269</v>
      </c>
    </row>
    <row r="2919" ht="14.4" spans="2:4">
      <c r="B2919" s="20">
        <v>11628</v>
      </c>
      <c r="C2919" s="21">
        <f t="shared" si="94"/>
        <v>10.7435618669817</v>
      </c>
      <c r="D2919" s="21">
        <f t="shared" si="95"/>
        <v>3.44491169049621</v>
      </c>
    </row>
    <row r="2920" ht="14.4" spans="2:4">
      <c r="B2920" s="20">
        <v>11632</v>
      </c>
      <c r="C2920" s="21">
        <f t="shared" si="94"/>
        <v>10.750870146452</v>
      </c>
      <c r="D2920" s="21">
        <f t="shared" si="95"/>
        <v>3.44781144781145</v>
      </c>
    </row>
    <row r="2921" ht="14.4" spans="2:4">
      <c r="B2921" s="20">
        <v>11636</v>
      </c>
      <c r="C2921" s="21">
        <f t="shared" si="94"/>
        <v>10.7581845802637</v>
      </c>
      <c r="D2921" s="21">
        <f t="shared" si="95"/>
        <v>3.45071609098568</v>
      </c>
    </row>
    <row r="2922" ht="14.4" spans="2:4">
      <c r="B2922" s="20">
        <v>11640</v>
      </c>
      <c r="C2922" s="21">
        <f t="shared" si="94"/>
        <v>10.7655051787906</v>
      </c>
      <c r="D2922" s="21">
        <f t="shared" si="95"/>
        <v>3.45362563237774</v>
      </c>
    </row>
    <row r="2923" ht="14.4" spans="2:4">
      <c r="B2923" s="20">
        <v>11644</v>
      </c>
      <c r="C2923" s="21">
        <f t="shared" si="94"/>
        <v>10.772831952433</v>
      </c>
      <c r="D2923" s="21">
        <f t="shared" si="95"/>
        <v>3.45654008438819</v>
      </c>
    </row>
    <row r="2924" ht="14.4" spans="2:4">
      <c r="B2924" s="20">
        <v>11648</v>
      </c>
      <c r="C2924" s="21">
        <f t="shared" si="94"/>
        <v>10.7801649116175</v>
      </c>
      <c r="D2924" s="21">
        <f t="shared" si="95"/>
        <v>3.45945945945946</v>
      </c>
    </row>
    <row r="2925" ht="14.4" spans="2:4">
      <c r="B2925" s="20">
        <v>11652</v>
      </c>
      <c r="C2925" s="21">
        <f t="shared" si="94"/>
        <v>10.7875040667969</v>
      </c>
      <c r="D2925" s="21">
        <f t="shared" si="95"/>
        <v>3.46238377007608</v>
      </c>
    </row>
    <row r="2926" ht="14.4" spans="2:4">
      <c r="B2926" s="20">
        <v>11656</v>
      </c>
      <c r="C2926" s="21">
        <f t="shared" si="94"/>
        <v>10.7948494284508</v>
      </c>
      <c r="D2926" s="21">
        <f t="shared" si="95"/>
        <v>3.46531302876481</v>
      </c>
    </row>
    <row r="2927" ht="14.4" spans="2:4">
      <c r="B2927" s="20">
        <v>11660</v>
      </c>
      <c r="C2927" s="21">
        <f t="shared" si="94"/>
        <v>10.8022010070852</v>
      </c>
      <c r="D2927" s="21">
        <f t="shared" si="95"/>
        <v>3.46824724809483</v>
      </c>
    </row>
    <row r="2928" ht="14.4" spans="2:4">
      <c r="B2928" s="20">
        <v>11664</v>
      </c>
      <c r="C2928" s="21">
        <f t="shared" si="94"/>
        <v>10.809558813233</v>
      </c>
      <c r="D2928" s="21">
        <f t="shared" si="95"/>
        <v>3.47118644067797</v>
      </c>
    </row>
    <row r="2929" ht="14.4" spans="2:4">
      <c r="B2929" s="20">
        <v>11668</v>
      </c>
      <c r="C2929" s="21">
        <f t="shared" si="94"/>
        <v>10.8169228574537</v>
      </c>
      <c r="D2929" s="21">
        <f t="shared" si="95"/>
        <v>3.47413061916879</v>
      </c>
    </row>
    <row r="2930" ht="14.4" spans="2:4">
      <c r="B2930" s="20">
        <v>11672</v>
      </c>
      <c r="C2930" s="21">
        <f t="shared" si="94"/>
        <v>10.8242931503338</v>
      </c>
      <c r="D2930" s="21">
        <f t="shared" si="95"/>
        <v>3.47707979626486</v>
      </c>
    </row>
    <row r="2931" ht="14.4" spans="2:4">
      <c r="B2931" s="20">
        <v>11676</v>
      </c>
      <c r="C2931" s="21">
        <f t="shared" si="94"/>
        <v>10.8316697024868</v>
      </c>
      <c r="D2931" s="21">
        <f t="shared" si="95"/>
        <v>3.48003398470688</v>
      </c>
    </row>
    <row r="2932" ht="14.4" spans="2:4">
      <c r="B2932" s="20">
        <v>11680</v>
      </c>
      <c r="C2932" s="21">
        <f t="shared" si="94"/>
        <v>10.8390525245531</v>
      </c>
      <c r="D2932" s="21">
        <f t="shared" si="95"/>
        <v>3.48299319727891</v>
      </c>
    </row>
    <row r="2933" ht="14.4" spans="2:4">
      <c r="B2933" s="20">
        <v>11684</v>
      </c>
      <c r="C2933" s="21">
        <f t="shared" si="94"/>
        <v>10.8464416272004</v>
      </c>
      <c r="D2933" s="21">
        <f t="shared" si="95"/>
        <v>3.48595744680851</v>
      </c>
    </row>
    <row r="2934" ht="14.4" spans="2:4">
      <c r="B2934" s="20">
        <v>11688</v>
      </c>
      <c r="C2934" s="21">
        <f t="shared" si="94"/>
        <v>10.8538370211236</v>
      </c>
      <c r="D2934" s="21">
        <f t="shared" si="95"/>
        <v>3.48892674616695</v>
      </c>
    </row>
    <row r="2935" ht="14.4" spans="2:4">
      <c r="B2935" s="20">
        <v>11692</v>
      </c>
      <c r="C2935" s="21">
        <f t="shared" si="94"/>
        <v>10.8612387170449</v>
      </c>
      <c r="D2935" s="21">
        <f t="shared" si="95"/>
        <v>3.49190110826939</v>
      </c>
    </row>
    <row r="2936" ht="14.4" spans="2:4">
      <c r="B2936" s="20">
        <v>11696</v>
      </c>
      <c r="C2936" s="21">
        <f t="shared" si="94"/>
        <v>10.8686467257141</v>
      </c>
      <c r="D2936" s="21">
        <f t="shared" si="95"/>
        <v>3.49488054607509</v>
      </c>
    </row>
    <row r="2937" ht="14.4" spans="2:4">
      <c r="B2937" s="20">
        <v>11700</v>
      </c>
      <c r="C2937" s="21">
        <f t="shared" si="94"/>
        <v>10.8760610579082</v>
      </c>
      <c r="D2937" s="21">
        <f t="shared" si="95"/>
        <v>3.49786507258753</v>
      </c>
    </row>
    <row r="2938" ht="14.4" spans="2:4">
      <c r="B2938" s="20">
        <v>11704</v>
      </c>
      <c r="C2938" s="21">
        <f t="shared" si="94"/>
        <v>10.8834817244323</v>
      </c>
      <c r="D2938" s="21">
        <f t="shared" si="95"/>
        <v>3.5008547008547</v>
      </c>
    </row>
    <row r="2939" ht="14.4" spans="2:4">
      <c r="B2939" s="20">
        <v>11708</v>
      </c>
      <c r="C2939" s="21">
        <f t="shared" si="94"/>
        <v>10.8909087361187</v>
      </c>
      <c r="D2939" s="21">
        <f t="shared" si="95"/>
        <v>3.5038494439692</v>
      </c>
    </row>
    <row r="2940" ht="14.4" spans="2:4">
      <c r="B2940" s="20">
        <v>11712</v>
      </c>
      <c r="C2940" s="21">
        <f t="shared" si="94"/>
        <v>10.8983421038279</v>
      </c>
      <c r="D2940" s="21">
        <f t="shared" si="95"/>
        <v>3.50684931506849</v>
      </c>
    </row>
    <row r="2941" ht="14.4" spans="2:4">
      <c r="B2941" s="20">
        <v>11716</v>
      </c>
      <c r="C2941" s="21">
        <f t="shared" si="94"/>
        <v>10.9057818384481</v>
      </c>
      <c r="D2941" s="21">
        <f t="shared" si="95"/>
        <v>3.50985432733505</v>
      </c>
    </row>
    <row r="2942" ht="14.4" spans="2:4">
      <c r="B2942" s="20">
        <v>11720</v>
      </c>
      <c r="C2942" s="21">
        <f t="shared" si="94"/>
        <v>10.9132279508956</v>
      </c>
      <c r="D2942" s="21">
        <f t="shared" si="95"/>
        <v>3.51286449399657</v>
      </c>
    </row>
    <row r="2943" ht="14.4" spans="2:4">
      <c r="B2943" s="20">
        <v>11724</v>
      </c>
      <c r="C2943" s="21">
        <f t="shared" si="94"/>
        <v>10.9206804521147</v>
      </c>
      <c r="D2943" s="21">
        <f t="shared" si="95"/>
        <v>3.51587982832618</v>
      </c>
    </row>
    <row r="2944" ht="14.4" spans="2:4">
      <c r="B2944" s="20">
        <v>11728</v>
      </c>
      <c r="C2944" s="21">
        <f t="shared" si="94"/>
        <v>10.9281393530781</v>
      </c>
      <c r="D2944" s="21">
        <f t="shared" si="95"/>
        <v>3.51890034364261</v>
      </c>
    </row>
    <row r="2945" ht="14.4" spans="2:4">
      <c r="B2945" s="20">
        <v>11732</v>
      </c>
      <c r="C2945" s="21">
        <f t="shared" si="94"/>
        <v>10.9356046647865</v>
      </c>
      <c r="D2945" s="21">
        <f t="shared" si="95"/>
        <v>3.5219260533104</v>
      </c>
    </row>
    <row r="2946" ht="14.4" spans="2:4">
      <c r="B2946" s="20">
        <v>11736</v>
      </c>
      <c r="C2946" s="21">
        <f t="shared" si="94"/>
        <v>10.9430763982692</v>
      </c>
      <c r="D2946" s="21">
        <f t="shared" si="95"/>
        <v>3.5249569707401</v>
      </c>
    </row>
    <row r="2947" ht="14.4" spans="2:4">
      <c r="B2947" s="20">
        <v>11740</v>
      </c>
      <c r="C2947" s="21">
        <f t="shared" si="94"/>
        <v>10.950554564584</v>
      </c>
      <c r="D2947" s="21">
        <f t="shared" si="95"/>
        <v>3.52799310938846</v>
      </c>
    </row>
    <row r="2948" ht="14.4" spans="2:4">
      <c r="B2948" s="20">
        <v>11744</v>
      </c>
      <c r="C2948" s="21">
        <f t="shared" si="94"/>
        <v>10.9580391748171</v>
      </c>
      <c r="D2948" s="21">
        <f t="shared" si="95"/>
        <v>3.53103448275862</v>
      </c>
    </row>
    <row r="2949" ht="14.4" spans="2:4">
      <c r="B2949" s="20">
        <v>11748</v>
      </c>
      <c r="C2949" s="21">
        <f t="shared" si="94"/>
        <v>10.9655302400836</v>
      </c>
      <c r="D2949" s="21">
        <f t="shared" si="95"/>
        <v>3.53408110440035</v>
      </c>
    </row>
    <row r="2950" ht="14.4" spans="2:4">
      <c r="B2950" s="20">
        <v>11752</v>
      </c>
      <c r="C2950" s="21">
        <f t="shared" ref="C2950:C3013" si="96">20*LOG(D2950)</f>
        <v>10.9730277715271</v>
      </c>
      <c r="D2950" s="21">
        <f t="shared" ref="D2950:D3013" si="97">16384/(16384-B2950)</f>
        <v>3.53713298791019</v>
      </c>
    </row>
    <row r="2951" ht="14.4" spans="2:4">
      <c r="B2951" s="20">
        <v>11756</v>
      </c>
      <c r="C2951" s="21">
        <f t="shared" si="96"/>
        <v>10.9805317803205</v>
      </c>
      <c r="D2951" s="21">
        <f t="shared" si="97"/>
        <v>3.54019014693172</v>
      </c>
    </row>
    <row r="2952" ht="14.4" spans="2:4">
      <c r="B2952" s="20">
        <v>11760</v>
      </c>
      <c r="C2952" s="21">
        <f t="shared" si="96"/>
        <v>10.9880422776653</v>
      </c>
      <c r="D2952" s="21">
        <f t="shared" si="97"/>
        <v>3.54325259515571</v>
      </c>
    </row>
    <row r="2953" ht="14.4" spans="2:4">
      <c r="B2953" s="20">
        <v>11764</v>
      </c>
      <c r="C2953" s="21">
        <f t="shared" si="96"/>
        <v>10.9955592747922</v>
      </c>
      <c r="D2953" s="21">
        <f t="shared" si="97"/>
        <v>3.54632034632035</v>
      </c>
    </row>
    <row r="2954" ht="14.4" spans="2:4">
      <c r="B2954" s="20">
        <v>11768</v>
      </c>
      <c r="C2954" s="21">
        <f t="shared" si="96"/>
        <v>11.0030827829612</v>
      </c>
      <c r="D2954" s="21">
        <f t="shared" si="97"/>
        <v>3.54939341421144</v>
      </c>
    </row>
    <row r="2955" ht="14.4" spans="2:4">
      <c r="B2955" s="20">
        <v>11772</v>
      </c>
      <c r="C2955" s="21">
        <f t="shared" si="96"/>
        <v>11.0106128134615</v>
      </c>
      <c r="D2955" s="21">
        <f t="shared" si="97"/>
        <v>3.55247181266262</v>
      </c>
    </row>
    <row r="2956" ht="14.4" spans="2:4">
      <c r="B2956" s="20">
        <v>11776</v>
      </c>
      <c r="C2956" s="21">
        <f t="shared" si="96"/>
        <v>11.0181493776116</v>
      </c>
      <c r="D2956" s="21">
        <f t="shared" si="97"/>
        <v>3.55555555555556</v>
      </c>
    </row>
    <row r="2957" ht="14.4" spans="2:4">
      <c r="B2957" s="20">
        <v>11780</v>
      </c>
      <c r="C2957" s="21">
        <f t="shared" si="96"/>
        <v>11.0256924867597</v>
      </c>
      <c r="D2957" s="21">
        <f t="shared" si="97"/>
        <v>3.55864465682016</v>
      </c>
    </row>
    <row r="2958" ht="14.4" spans="2:4">
      <c r="B2958" s="20">
        <v>11784</v>
      </c>
      <c r="C2958" s="21">
        <f t="shared" si="96"/>
        <v>11.0332421522833</v>
      </c>
      <c r="D2958" s="21">
        <f t="shared" si="97"/>
        <v>3.56173913043478</v>
      </c>
    </row>
    <row r="2959" ht="14.4" spans="2:4">
      <c r="B2959" s="20">
        <v>11788</v>
      </c>
      <c r="C2959" s="21">
        <f t="shared" si="96"/>
        <v>11.0407983855898</v>
      </c>
      <c r="D2959" s="21">
        <f t="shared" si="97"/>
        <v>3.56483899042646</v>
      </c>
    </row>
    <row r="2960" ht="14.4" spans="2:4">
      <c r="B2960" s="20">
        <v>11792</v>
      </c>
      <c r="C2960" s="21">
        <f t="shared" si="96"/>
        <v>11.0483611981164</v>
      </c>
      <c r="D2960" s="21">
        <f t="shared" si="97"/>
        <v>3.56794425087108</v>
      </c>
    </row>
    <row r="2961" ht="14.4" spans="2:4">
      <c r="B2961" s="20">
        <v>11796</v>
      </c>
      <c r="C2961" s="21">
        <f t="shared" si="96"/>
        <v>11.0559306013301</v>
      </c>
      <c r="D2961" s="21">
        <f t="shared" si="97"/>
        <v>3.57105492589364</v>
      </c>
    </row>
    <row r="2962" ht="14.4" spans="2:4">
      <c r="B2962" s="20">
        <v>11800</v>
      </c>
      <c r="C2962" s="21">
        <f t="shared" si="96"/>
        <v>11.0635066067281</v>
      </c>
      <c r="D2962" s="21">
        <f t="shared" si="97"/>
        <v>3.57417102966841</v>
      </c>
    </row>
    <row r="2963" ht="14.4" spans="2:4">
      <c r="B2963" s="20">
        <v>11804</v>
      </c>
      <c r="C2963" s="21">
        <f t="shared" si="96"/>
        <v>11.0710892258374</v>
      </c>
      <c r="D2963" s="21">
        <f t="shared" si="97"/>
        <v>3.57729257641921</v>
      </c>
    </row>
    <row r="2964" ht="14.4" spans="2:4">
      <c r="B2964" s="20">
        <v>11808</v>
      </c>
      <c r="C2964" s="21">
        <f t="shared" si="96"/>
        <v>11.0786784702154</v>
      </c>
      <c r="D2964" s="21">
        <f t="shared" si="97"/>
        <v>3.58041958041958</v>
      </c>
    </row>
    <row r="2965" ht="14.4" spans="2:4">
      <c r="B2965" s="20">
        <v>11812</v>
      </c>
      <c r="C2965" s="21">
        <f t="shared" si="96"/>
        <v>11.0862743514499</v>
      </c>
      <c r="D2965" s="21">
        <f t="shared" si="97"/>
        <v>3.583552055993</v>
      </c>
    </row>
    <row r="2966" ht="14.4" spans="2:4">
      <c r="B2966" s="20">
        <v>11816</v>
      </c>
      <c r="C2966" s="21">
        <f t="shared" si="96"/>
        <v>11.0938768811589</v>
      </c>
      <c r="D2966" s="21">
        <f t="shared" si="97"/>
        <v>3.58669001751313</v>
      </c>
    </row>
    <row r="2967" ht="14.4" spans="2:4">
      <c r="B2967" s="20">
        <v>11820</v>
      </c>
      <c r="C2967" s="21">
        <f t="shared" si="96"/>
        <v>11.1014860709912</v>
      </c>
      <c r="D2967" s="21">
        <f t="shared" si="97"/>
        <v>3.58983347940403</v>
      </c>
    </row>
    <row r="2968" ht="14.4" spans="2:4">
      <c r="B2968" s="20">
        <v>11824</v>
      </c>
      <c r="C2968" s="21">
        <f t="shared" si="96"/>
        <v>11.109101932626</v>
      </c>
      <c r="D2968" s="21">
        <f t="shared" si="97"/>
        <v>3.59298245614035</v>
      </c>
    </row>
    <row r="2969" ht="14.4" spans="2:4">
      <c r="B2969" s="20">
        <v>11828</v>
      </c>
      <c r="C2969" s="21">
        <f t="shared" si="96"/>
        <v>11.1167244777735</v>
      </c>
      <c r="D2969" s="21">
        <f t="shared" si="97"/>
        <v>3.59613696224759</v>
      </c>
    </row>
    <row r="2970" ht="14.4" spans="2:4">
      <c r="B2970" s="20">
        <v>11832</v>
      </c>
      <c r="C2970" s="21">
        <f t="shared" si="96"/>
        <v>11.1243537181744</v>
      </c>
      <c r="D2970" s="21">
        <f t="shared" si="97"/>
        <v>3.59929701230228</v>
      </c>
    </row>
    <row r="2971" ht="14.4" spans="2:4">
      <c r="B2971" s="20">
        <v>11836</v>
      </c>
      <c r="C2971" s="21">
        <f t="shared" si="96"/>
        <v>11.1319896656008</v>
      </c>
      <c r="D2971" s="21">
        <f t="shared" si="97"/>
        <v>3.60246262093228</v>
      </c>
    </row>
    <row r="2972" ht="14.4" spans="2:4">
      <c r="B2972" s="20">
        <v>11840</v>
      </c>
      <c r="C2972" s="21">
        <f t="shared" si="96"/>
        <v>11.1396323318555</v>
      </c>
      <c r="D2972" s="21">
        <f t="shared" si="97"/>
        <v>3.6056338028169</v>
      </c>
    </row>
    <row r="2973" ht="14.4" spans="2:4">
      <c r="B2973" s="20">
        <v>11844</v>
      </c>
      <c r="C2973" s="21">
        <f t="shared" si="96"/>
        <v>11.1472817287727</v>
      </c>
      <c r="D2973" s="21">
        <f t="shared" si="97"/>
        <v>3.60881057268722</v>
      </c>
    </row>
    <row r="2974" ht="14.4" spans="2:4">
      <c r="B2974" s="20">
        <v>11848</v>
      </c>
      <c r="C2974" s="21">
        <f t="shared" si="96"/>
        <v>11.1549378682177</v>
      </c>
      <c r="D2974" s="21">
        <f t="shared" si="97"/>
        <v>3.61199294532628</v>
      </c>
    </row>
    <row r="2975" ht="14.4" spans="2:4">
      <c r="B2975" s="20">
        <v>11852</v>
      </c>
      <c r="C2975" s="21">
        <f t="shared" si="96"/>
        <v>11.1626007620875</v>
      </c>
      <c r="D2975" s="21">
        <f t="shared" si="97"/>
        <v>3.61518093556929</v>
      </c>
    </row>
    <row r="2976" ht="14.4" spans="2:4">
      <c r="B2976" s="20">
        <v>11856</v>
      </c>
      <c r="C2976" s="21">
        <f t="shared" si="96"/>
        <v>11.1702704223104</v>
      </c>
      <c r="D2976" s="21">
        <f t="shared" si="97"/>
        <v>3.61837455830389</v>
      </c>
    </row>
    <row r="2977" ht="14.4" spans="2:4">
      <c r="B2977" s="20">
        <v>11860</v>
      </c>
      <c r="C2977" s="21">
        <f t="shared" si="96"/>
        <v>11.1779468608464</v>
      </c>
      <c r="D2977" s="21">
        <f t="shared" si="97"/>
        <v>3.62157382847038</v>
      </c>
    </row>
    <row r="2978" ht="14.4" spans="2:4">
      <c r="B2978" s="20">
        <v>11864</v>
      </c>
      <c r="C2978" s="21">
        <f t="shared" si="96"/>
        <v>11.1856300896871</v>
      </c>
      <c r="D2978" s="21">
        <f t="shared" si="97"/>
        <v>3.62477876106195</v>
      </c>
    </row>
    <row r="2979" ht="14.4" spans="2:4">
      <c r="B2979" s="20">
        <v>11868</v>
      </c>
      <c r="C2979" s="21">
        <f t="shared" si="96"/>
        <v>11.1933201208561</v>
      </c>
      <c r="D2979" s="21">
        <f t="shared" si="97"/>
        <v>3.62798937112489</v>
      </c>
    </row>
    <row r="2980" ht="14.4" spans="2:4">
      <c r="B2980" s="20">
        <v>11872</v>
      </c>
      <c r="C2980" s="21">
        <f t="shared" si="96"/>
        <v>11.201016966409</v>
      </c>
      <c r="D2980" s="21">
        <f t="shared" si="97"/>
        <v>3.63120567375886</v>
      </c>
    </row>
    <row r="2981" ht="14.4" spans="2:4">
      <c r="B2981" s="20">
        <v>11876</v>
      </c>
      <c r="C2981" s="21">
        <f t="shared" si="96"/>
        <v>11.2087206384334</v>
      </c>
      <c r="D2981" s="21">
        <f t="shared" si="97"/>
        <v>3.63442768411713</v>
      </c>
    </row>
    <row r="2982" ht="14.4" spans="2:4">
      <c r="B2982" s="20">
        <v>11880</v>
      </c>
      <c r="C2982" s="21">
        <f t="shared" si="96"/>
        <v>11.2164311490489</v>
      </c>
      <c r="D2982" s="21">
        <f t="shared" si="97"/>
        <v>3.63765541740675</v>
      </c>
    </row>
    <row r="2983" ht="14.4" spans="2:4">
      <c r="B2983" s="20">
        <v>11884</v>
      </c>
      <c r="C2983" s="21">
        <f t="shared" si="96"/>
        <v>11.2241485104079</v>
      </c>
      <c r="D2983" s="21">
        <f t="shared" si="97"/>
        <v>3.64088888888889</v>
      </c>
    </row>
    <row r="2984" ht="14.4" spans="2:4">
      <c r="B2984" s="20">
        <v>11888</v>
      </c>
      <c r="C2984" s="21">
        <f t="shared" si="96"/>
        <v>11.2318727346946</v>
      </c>
      <c r="D2984" s="21">
        <f t="shared" si="97"/>
        <v>3.644128113879</v>
      </c>
    </row>
    <row r="2985" ht="14.4" spans="2:4">
      <c r="B2985" s="20">
        <v>11892</v>
      </c>
      <c r="C2985" s="21">
        <f t="shared" si="96"/>
        <v>11.2396038341263</v>
      </c>
      <c r="D2985" s="21">
        <f t="shared" si="97"/>
        <v>3.64737310774711</v>
      </c>
    </row>
    <row r="2986" ht="14.4" spans="2:4">
      <c r="B2986" s="20">
        <v>11896</v>
      </c>
      <c r="C2986" s="21">
        <f t="shared" si="96"/>
        <v>11.2473418209526</v>
      </c>
      <c r="D2986" s="21">
        <f t="shared" si="97"/>
        <v>3.650623885918</v>
      </c>
    </row>
    <row r="2987" ht="14.4" spans="2:4">
      <c r="B2987" s="20">
        <v>11900</v>
      </c>
      <c r="C2987" s="21">
        <f t="shared" si="96"/>
        <v>11.255086707456</v>
      </c>
      <c r="D2987" s="21">
        <f t="shared" si="97"/>
        <v>3.65388046387154</v>
      </c>
    </row>
    <row r="2988" ht="14.4" spans="2:4">
      <c r="B2988" s="20">
        <v>11904</v>
      </c>
      <c r="C2988" s="21">
        <f t="shared" si="96"/>
        <v>11.2628385059519</v>
      </c>
      <c r="D2988" s="21">
        <f t="shared" si="97"/>
        <v>3.65714285714286</v>
      </c>
    </row>
    <row r="2989" ht="14.4" spans="2:4">
      <c r="B2989" s="20">
        <v>11908</v>
      </c>
      <c r="C2989" s="21">
        <f t="shared" si="96"/>
        <v>11.2705972287885</v>
      </c>
      <c r="D2989" s="21">
        <f t="shared" si="97"/>
        <v>3.66041108132261</v>
      </c>
    </row>
    <row r="2990" ht="14.4" spans="2:4">
      <c r="B2990" s="20">
        <v>11912</v>
      </c>
      <c r="C2990" s="21">
        <f t="shared" si="96"/>
        <v>11.2783628883474</v>
      </c>
      <c r="D2990" s="21">
        <f t="shared" si="97"/>
        <v>3.66368515205724</v>
      </c>
    </row>
    <row r="2991" ht="14.4" spans="2:4">
      <c r="B2991" s="20">
        <v>11916</v>
      </c>
      <c r="C2991" s="21">
        <f t="shared" si="96"/>
        <v>11.2861354970433</v>
      </c>
      <c r="D2991" s="21">
        <f t="shared" si="97"/>
        <v>3.66696508504924</v>
      </c>
    </row>
    <row r="2992" ht="14.4" spans="2:4">
      <c r="B2992" s="20">
        <v>11920</v>
      </c>
      <c r="C2992" s="21">
        <f t="shared" si="96"/>
        <v>11.2939150673243</v>
      </c>
      <c r="D2992" s="21">
        <f t="shared" si="97"/>
        <v>3.67025089605735</v>
      </c>
    </row>
    <row r="2993" ht="14.4" spans="2:4">
      <c r="B2993" s="20">
        <v>11924</v>
      </c>
      <c r="C2993" s="21">
        <f t="shared" si="96"/>
        <v>11.3017016116719</v>
      </c>
      <c r="D2993" s="21">
        <f t="shared" si="97"/>
        <v>3.67354260089686</v>
      </c>
    </row>
    <row r="2994" ht="14.4" spans="2:4">
      <c r="B2994" s="20">
        <v>11928</v>
      </c>
      <c r="C2994" s="21">
        <f t="shared" si="96"/>
        <v>11.3094951426013</v>
      </c>
      <c r="D2994" s="21">
        <f t="shared" si="97"/>
        <v>3.67684021543986</v>
      </c>
    </row>
    <row r="2995" ht="14.4" spans="2:4">
      <c r="B2995" s="20">
        <v>11932</v>
      </c>
      <c r="C2995" s="21">
        <f t="shared" si="96"/>
        <v>11.3172956726613</v>
      </c>
      <c r="D2995" s="21">
        <f t="shared" si="97"/>
        <v>3.68014375561545</v>
      </c>
    </row>
    <row r="2996" ht="14.4" spans="2:4">
      <c r="B2996" s="20">
        <v>11936</v>
      </c>
      <c r="C2996" s="21">
        <f t="shared" si="96"/>
        <v>11.3251032144347</v>
      </c>
      <c r="D2996" s="21">
        <f t="shared" si="97"/>
        <v>3.68345323741007</v>
      </c>
    </row>
    <row r="2997" ht="14.4" spans="2:4">
      <c r="B2997" s="20">
        <v>11940</v>
      </c>
      <c r="C2997" s="21">
        <f t="shared" si="96"/>
        <v>11.3329177805381</v>
      </c>
      <c r="D2997" s="21">
        <f t="shared" si="97"/>
        <v>3.68676867686769</v>
      </c>
    </row>
    <row r="2998" ht="14.4" spans="2:4">
      <c r="B2998" s="20">
        <v>11944</v>
      </c>
      <c r="C2998" s="21">
        <f t="shared" si="96"/>
        <v>11.3407393836223</v>
      </c>
      <c r="D2998" s="21">
        <f t="shared" si="97"/>
        <v>3.69009009009009</v>
      </c>
    </row>
    <row r="2999" ht="14.4" spans="2:4">
      <c r="B2999" s="20">
        <v>11948</v>
      </c>
      <c r="C2999" s="21">
        <f t="shared" si="96"/>
        <v>11.3485680363723</v>
      </c>
      <c r="D2999" s="21">
        <f t="shared" si="97"/>
        <v>3.69341749323715</v>
      </c>
    </row>
    <row r="3000" ht="14.4" spans="2:4">
      <c r="B3000" s="20">
        <v>11952</v>
      </c>
      <c r="C3000" s="21">
        <f t="shared" si="96"/>
        <v>11.3564037515073</v>
      </c>
      <c r="D3000" s="21">
        <f t="shared" si="97"/>
        <v>3.69675090252708</v>
      </c>
    </row>
    <row r="3001" ht="14.4" spans="2:4">
      <c r="B3001" s="20">
        <v>11956</v>
      </c>
      <c r="C3001" s="21">
        <f t="shared" si="96"/>
        <v>11.364246541781</v>
      </c>
      <c r="D3001" s="21">
        <f t="shared" si="97"/>
        <v>3.70009033423668</v>
      </c>
    </row>
    <row r="3002" ht="14.4" spans="2:4">
      <c r="B3002" s="20">
        <v>11960</v>
      </c>
      <c r="C3002" s="21">
        <f t="shared" si="96"/>
        <v>11.3720964199819</v>
      </c>
      <c r="D3002" s="21">
        <f t="shared" si="97"/>
        <v>3.70343580470163</v>
      </c>
    </row>
    <row r="3003" ht="14.4" spans="2:4">
      <c r="B3003" s="20">
        <v>11964</v>
      </c>
      <c r="C3003" s="21">
        <f t="shared" si="96"/>
        <v>11.3799533989329</v>
      </c>
      <c r="D3003" s="21">
        <f t="shared" si="97"/>
        <v>3.70678733031674</v>
      </c>
    </row>
    <row r="3004" ht="14.4" spans="2:4">
      <c r="B3004" s="20">
        <v>11968</v>
      </c>
      <c r="C3004" s="21">
        <f t="shared" si="96"/>
        <v>11.3878174914919</v>
      </c>
      <c r="D3004" s="21">
        <f t="shared" si="97"/>
        <v>3.71014492753623</v>
      </c>
    </row>
    <row r="3005" ht="14.4" spans="2:4">
      <c r="B3005" s="20">
        <v>11972</v>
      </c>
      <c r="C3005" s="21">
        <f t="shared" si="96"/>
        <v>11.3956887105517</v>
      </c>
      <c r="D3005" s="21">
        <f t="shared" si="97"/>
        <v>3.71350861287398</v>
      </c>
    </row>
    <row r="3006" ht="14.4" spans="2:4">
      <c r="B3006" s="20">
        <v>11976</v>
      </c>
      <c r="C3006" s="21">
        <f t="shared" si="96"/>
        <v>11.4035670690402</v>
      </c>
      <c r="D3006" s="21">
        <f t="shared" si="97"/>
        <v>3.71687840290381</v>
      </c>
    </row>
    <row r="3007" ht="14.4" spans="2:4">
      <c r="B3007" s="20">
        <v>11980</v>
      </c>
      <c r="C3007" s="21">
        <f t="shared" si="96"/>
        <v>11.4114525799205</v>
      </c>
      <c r="D3007" s="21">
        <f t="shared" si="97"/>
        <v>3.72025431425976</v>
      </c>
    </row>
    <row r="3008" ht="14.4" spans="2:4">
      <c r="B3008" s="20">
        <v>11984</v>
      </c>
      <c r="C3008" s="21">
        <f t="shared" si="96"/>
        <v>11.419345256191</v>
      </c>
      <c r="D3008" s="21">
        <f t="shared" si="97"/>
        <v>3.72363636363636</v>
      </c>
    </row>
    <row r="3009" ht="14.4" spans="2:4">
      <c r="B3009" s="20">
        <v>11988</v>
      </c>
      <c r="C3009" s="21">
        <f t="shared" si="96"/>
        <v>11.4272451108857</v>
      </c>
      <c r="D3009" s="21">
        <f t="shared" si="97"/>
        <v>3.7270245677889</v>
      </c>
    </row>
    <row r="3010" ht="14.4" spans="2:4">
      <c r="B3010" s="20">
        <v>11992</v>
      </c>
      <c r="C3010" s="21">
        <f t="shared" si="96"/>
        <v>11.435152157074</v>
      </c>
      <c r="D3010" s="21">
        <f t="shared" si="97"/>
        <v>3.7304189435337</v>
      </c>
    </row>
    <row r="3011" ht="14.4" spans="2:4">
      <c r="B3011" s="20">
        <v>11996</v>
      </c>
      <c r="C3011" s="21">
        <f t="shared" si="96"/>
        <v>11.4430664078613</v>
      </c>
      <c r="D3011" s="21">
        <f t="shared" si="97"/>
        <v>3.7338195077484</v>
      </c>
    </row>
    <row r="3012" ht="14.4" spans="2:4">
      <c r="B3012" s="20">
        <v>12000</v>
      </c>
      <c r="C3012" s="21">
        <f t="shared" si="96"/>
        <v>11.4509878763885</v>
      </c>
      <c r="D3012" s="21">
        <f t="shared" si="97"/>
        <v>3.73722627737226</v>
      </c>
    </row>
    <row r="3013" ht="14.4" spans="2:4">
      <c r="B3013" s="20">
        <v>12004</v>
      </c>
      <c r="C3013" s="21">
        <f t="shared" si="96"/>
        <v>11.4589165758327</v>
      </c>
      <c r="D3013" s="21">
        <f t="shared" si="97"/>
        <v>3.74063926940639</v>
      </c>
    </row>
    <row r="3014" ht="14.4" spans="2:4">
      <c r="B3014" s="20">
        <v>12008</v>
      </c>
      <c r="C3014" s="21">
        <f t="shared" ref="C3014:C3077" si="98">20*LOG(D3014)</f>
        <v>11.4668525194072</v>
      </c>
      <c r="D3014" s="21">
        <f t="shared" ref="D3014:D3077" si="99">16384/(16384-B3014)</f>
        <v>3.74405850091408</v>
      </c>
    </row>
    <row r="3015" ht="14.4" spans="2:4">
      <c r="B3015" s="20">
        <v>12012</v>
      </c>
      <c r="C3015" s="21">
        <f t="shared" si="98"/>
        <v>11.4747957203614</v>
      </c>
      <c r="D3015" s="21">
        <f t="shared" si="99"/>
        <v>3.74748398902104</v>
      </c>
    </row>
    <row r="3016" ht="14.4" spans="2:4">
      <c r="B3016" s="20">
        <v>12016</v>
      </c>
      <c r="C3016" s="21">
        <f t="shared" si="98"/>
        <v>11.4827461919811</v>
      </c>
      <c r="D3016" s="21">
        <f t="shared" si="99"/>
        <v>3.75091575091575</v>
      </c>
    </row>
    <row r="3017" ht="14.4" spans="2:4">
      <c r="B3017" s="20">
        <v>12020</v>
      </c>
      <c r="C3017" s="21">
        <f t="shared" si="98"/>
        <v>11.4907039475886</v>
      </c>
      <c r="D3017" s="21">
        <f t="shared" si="99"/>
        <v>3.75435380384968</v>
      </c>
    </row>
    <row r="3018" ht="14.4" spans="2:4">
      <c r="B3018" s="20">
        <v>12024</v>
      </c>
      <c r="C3018" s="21">
        <f t="shared" si="98"/>
        <v>11.498669000543</v>
      </c>
      <c r="D3018" s="21">
        <f t="shared" si="99"/>
        <v>3.75779816513761</v>
      </c>
    </row>
    <row r="3019" ht="14.4" spans="2:4">
      <c r="B3019" s="20">
        <v>12028</v>
      </c>
      <c r="C3019" s="21">
        <f t="shared" si="98"/>
        <v>11.50664136424</v>
      </c>
      <c r="D3019" s="21">
        <f t="shared" si="99"/>
        <v>3.76124885215794</v>
      </c>
    </row>
    <row r="3020" ht="14.4" spans="2:4">
      <c r="B3020" s="20">
        <v>12032</v>
      </c>
      <c r="C3020" s="21">
        <f t="shared" si="98"/>
        <v>11.5146210521123</v>
      </c>
      <c r="D3020" s="21">
        <f t="shared" si="99"/>
        <v>3.76470588235294</v>
      </c>
    </row>
    <row r="3021" ht="14.4" spans="2:4">
      <c r="B3021" s="20">
        <v>12036</v>
      </c>
      <c r="C3021" s="21">
        <f t="shared" si="98"/>
        <v>11.5226080776296</v>
      </c>
      <c r="D3021" s="21">
        <f t="shared" si="99"/>
        <v>3.76816927322907</v>
      </c>
    </row>
    <row r="3022" ht="14.4" spans="2:4">
      <c r="B3022" s="20">
        <v>12040</v>
      </c>
      <c r="C3022" s="21">
        <f t="shared" si="98"/>
        <v>11.5306024542989</v>
      </c>
      <c r="D3022" s="21">
        <f t="shared" si="99"/>
        <v>3.77163904235727</v>
      </c>
    </row>
    <row r="3023" ht="14.4" spans="2:4">
      <c r="B3023" s="20">
        <v>12044</v>
      </c>
      <c r="C3023" s="21">
        <f t="shared" si="98"/>
        <v>11.5386041956645</v>
      </c>
      <c r="D3023" s="21">
        <f t="shared" si="99"/>
        <v>3.77511520737327</v>
      </c>
    </row>
    <row r="3024" ht="14.4" spans="2:4">
      <c r="B3024" s="20">
        <v>12048</v>
      </c>
      <c r="C3024" s="21">
        <f t="shared" si="98"/>
        <v>11.5466133153081</v>
      </c>
      <c r="D3024" s="21">
        <f t="shared" si="99"/>
        <v>3.77859778597786</v>
      </c>
    </row>
    <row r="3025" ht="14.4" spans="2:4">
      <c r="B3025" s="20">
        <v>12052</v>
      </c>
      <c r="C3025" s="21">
        <f t="shared" si="98"/>
        <v>11.5546298268491</v>
      </c>
      <c r="D3025" s="21">
        <f t="shared" si="99"/>
        <v>3.78208679593721</v>
      </c>
    </row>
    <row r="3026" ht="14.4" spans="2:4">
      <c r="B3026" s="20">
        <v>12056</v>
      </c>
      <c r="C3026" s="21">
        <f t="shared" si="98"/>
        <v>11.5626537439445</v>
      </c>
      <c r="D3026" s="21">
        <f t="shared" si="99"/>
        <v>3.78558225508318</v>
      </c>
    </row>
    <row r="3027" ht="14.4" spans="2:4">
      <c r="B3027" s="20">
        <v>12060</v>
      </c>
      <c r="C3027" s="21">
        <f t="shared" si="98"/>
        <v>11.5706850802893</v>
      </c>
      <c r="D3027" s="21">
        <f t="shared" si="99"/>
        <v>3.7890841813136</v>
      </c>
    </row>
    <row r="3028" ht="14.4" spans="2:4">
      <c r="B3028" s="20">
        <v>12064</v>
      </c>
      <c r="C3028" s="21">
        <f t="shared" si="98"/>
        <v>11.5787238496165</v>
      </c>
      <c r="D3028" s="21">
        <f t="shared" si="99"/>
        <v>3.79259259259259</v>
      </c>
    </row>
    <row r="3029" ht="14.4" spans="2:4">
      <c r="B3029" s="20">
        <v>12068</v>
      </c>
      <c r="C3029" s="21">
        <f t="shared" si="98"/>
        <v>11.5867700656973</v>
      </c>
      <c r="D3029" s="21">
        <f t="shared" si="99"/>
        <v>3.79610750695088</v>
      </c>
    </row>
    <row r="3030" ht="14.4" spans="2:4">
      <c r="B3030" s="20">
        <v>12072</v>
      </c>
      <c r="C3030" s="21">
        <f t="shared" si="98"/>
        <v>11.5948237423411</v>
      </c>
      <c r="D3030" s="21">
        <f t="shared" si="99"/>
        <v>3.79962894248609</v>
      </c>
    </row>
    <row r="3031" ht="14.4" spans="2:4">
      <c r="B3031" s="20">
        <v>12076</v>
      </c>
      <c r="C3031" s="21">
        <f t="shared" si="98"/>
        <v>11.6028848933959</v>
      </c>
      <c r="D3031" s="21">
        <f t="shared" si="99"/>
        <v>3.80315691736305</v>
      </c>
    </row>
    <row r="3032" ht="14.4" spans="2:4">
      <c r="B3032" s="20">
        <v>12080</v>
      </c>
      <c r="C3032" s="21">
        <f t="shared" si="98"/>
        <v>11.6109535327481</v>
      </c>
      <c r="D3032" s="21">
        <f t="shared" si="99"/>
        <v>3.80669144981413</v>
      </c>
    </row>
    <row r="3033" ht="14.4" spans="2:4">
      <c r="B3033" s="20">
        <v>12084</v>
      </c>
      <c r="C3033" s="21">
        <f t="shared" si="98"/>
        <v>11.619029674323</v>
      </c>
      <c r="D3033" s="21">
        <f t="shared" si="99"/>
        <v>3.81023255813953</v>
      </c>
    </row>
    <row r="3034" ht="14.4" spans="2:4">
      <c r="B3034" s="20">
        <v>12088</v>
      </c>
      <c r="C3034" s="21">
        <f t="shared" si="98"/>
        <v>11.6271133320848</v>
      </c>
      <c r="D3034" s="21">
        <f t="shared" si="99"/>
        <v>3.81378026070763</v>
      </c>
    </row>
    <row r="3035" ht="14.4" spans="2:4">
      <c r="B3035" s="20">
        <v>12092</v>
      </c>
      <c r="C3035" s="21">
        <f t="shared" si="98"/>
        <v>11.6352045200365</v>
      </c>
      <c r="D3035" s="21">
        <f t="shared" si="99"/>
        <v>3.81733457595527</v>
      </c>
    </row>
    <row r="3036" ht="14.4" spans="2:4">
      <c r="B3036" s="20">
        <v>12096</v>
      </c>
      <c r="C3036" s="21">
        <f t="shared" si="98"/>
        <v>11.6433032522205</v>
      </c>
      <c r="D3036" s="21">
        <f t="shared" si="99"/>
        <v>3.82089552238806</v>
      </c>
    </row>
    <row r="3037" ht="14.4" spans="2:4">
      <c r="B3037" s="20">
        <v>12100</v>
      </c>
      <c r="C3037" s="21">
        <f t="shared" si="98"/>
        <v>11.6514095427184</v>
      </c>
      <c r="D3037" s="21">
        <f t="shared" si="99"/>
        <v>3.82446311858077</v>
      </c>
    </row>
    <row r="3038" ht="14.4" spans="2:4">
      <c r="B3038" s="20">
        <v>12104</v>
      </c>
      <c r="C3038" s="21">
        <f t="shared" si="98"/>
        <v>11.6595234056513</v>
      </c>
      <c r="D3038" s="21">
        <f t="shared" si="99"/>
        <v>3.82803738317757</v>
      </c>
    </row>
    <row r="3039" ht="14.4" spans="2:4">
      <c r="B3039" s="20">
        <v>12108</v>
      </c>
      <c r="C3039" s="21">
        <f t="shared" si="98"/>
        <v>11.6676448551799</v>
      </c>
      <c r="D3039" s="21">
        <f t="shared" si="99"/>
        <v>3.83161833489242</v>
      </c>
    </row>
    <row r="3040" ht="14.4" spans="2:4">
      <c r="B3040" s="20">
        <v>12112</v>
      </c>
      <c r="C3040" s="21">
        <f t="shared" si="98"/>
        <v>11.6757739055047</v>
      </c>
      <c r="D3040" s="21">
        <f t="shared" si="99"/>
        <v>3.83520599250936</v>
      </c>
    </row>
    <row r="3041" ht="14.4" spans="2:4">
      <c r="B3041" s="20">
        <v>12116</v>
      </c>
      <c r="C3041" s="21">
        <f t="shared" si="98"/>
        <v>11.6839105708661</v>
      </c>
      <c r="D3041" s="21">
        <f t="shared" si="99"/>
        <v>3.83880037488285</v>
      </c>
    </row>
    <row r="3042" ht="14.4" spans="2:4">
      <c r="B3042" s="20">
        <v>12120</v>
      </c>
      <c r="C3042" s="21">
        <f t="shared" si="98"/>
        <v>11.6920548655444</v>
      </c>
      <c r="D3042" s="21">
        <f t="shared" si="99"/>
        <v>3.84240150093809</v>
      </c>
    </row>
    <row r="3043" ht="14.4" spans="2:4">
      <c r="B3043" s="20">
        <v>12124</v>
      </c>
      <c r="C3043" s="21">
        <f t="shared" si="98"/>
        <v>11.7002068038604</v>
      </c>
      <c r="D3043" s="21">
        <f t="shared" si="99"/>
        <v>3.84600938967136</v>
      </c>
    </row>
    <row r="3044" ht="14.4" spans="2:4">
      <c r="B3044" s="20">
        <v>12128</v>
      </c>
      <c r="C3044" s="21">
        <f t="shared" si="98"/>
        <v>11.7083664001749</v>
      </c>
      <c r="D3044" s="21">
        <f t="shared" si="99"/>
        <v>3.84962406015038</v>
      </c>
    </row>
    <row r="3045" ht="14.4" spans="2:4">
      <c r="B3045" s="20">
        <v>12132</v>
      </c>
      <c r="C3045" s="21">
        <f t="shared" si="98"/>
        <v>11.7165336688896</v>
      </c>
      <c r="D3045" s="21">
        <f t="shared" si="99"/>
        <v>3.85324553151458</v>
      </c>
    </row>
    <row r="3046" ht="14.4" spans="2:4">
      <c r="B3046" s="20">
        <v>12136</v>
      </c>
      <c r="C3046" s="21">
        <f t="shared" si="98"/>
        <v>11.7247086244465</v>
      </c>
      <c r="D3046" s="21">
        <f t="shared" si="99"/>
        <v>3.85687382297552</v>
      </c>
    </row>
    <row r="3047" ht="14.4" spans="2:4">
      <c r="B3047" s="20">
        <v>12140</v>
      </c>
      <c r="C3047" s="21">
        <f t="shared" si="98"/>
        <v>11.7328912813287</v>
      </c>
      <c r="D3047" s="21">
        <f t="shared" si="99"/>
        <v>3.86050895381715</v>
      </c>
    </row>
    <row r="3048" ht="14.4" spans="2:4">
      <c r="B3048" s="20">
        <v>12144</v>
      </c>
      <c r="C3048" s="21">
        <f t="shared" si="98"/>
        <v>11.7410816540601</v>
      </c>
      <c r="D3048" s="21">
        <f t="shared" si="99"/>
        <v>3.86415094339623</v>
      </c>
    </row>
    <row r="3049" ht="14.4" spans="2:4">
      <c r="B3049" s="20">
        <v>12148</v>
      </c>
      <c r="C3049" s="21">
        <f t="shared" si="98"/>
        <v>11.7492797572058</v>
      </c>
      <c r="D3049" s="21">
        <f t="shared" si="99"/>
        <v>3.86779981114259</v>
      </c>
    </row>
    <row r="3050" ht="14.4" spans="2:4">
      <c r="B3050" s="20">
        <v>12152</v>
      </c>
      <c r="C3050" s="21">
        <f t="shared" si="98"/>
        <v>11.7574856053721</v>
      </c>
      <c r="D3050" s="21">
        <f t="shared" si="99"/>
        <v>3.87145557655955</v>
      </c>
    </row>
    <row r="3051" ht="14.4" spans="2:4">
      <c r="B3051" s="20">
        <v>12156</v>
      </c>
      <c r="C3051" s="21">
        <f t="shared" si="98"/>
        <v>11.765699213207</v>
      </c>
      <c r="D3051" s="21">
        <f t="shared" si="99"/>
        <v>3.87511825922422</v>
      </c>
    </row>
    <row r="3052" ht="14.4" spans="2:4">
      <c r="B3052" s="20">
        <v>12160</v>
      </c>
      <c r="C3052" s="21">
        <f t="shared" si="98"/>
        <v>11.7739205953996</v>
      </c>
      <c r="D3052" s="21">
        <f t="shared" si="99"/>
        <v>3.87878787878788</v>
      </c>
    </row>
    <row r="3053" ht="14.4" spans="2:4">
      <c r="B3053" s="20">
        <v>12164</v>
      </c>
      <c r="C3053" s="21">
        <f t="shared" si="98"/>
        <v>11.7821497666813</v>
      </c>
      <c r="D3053" s="21">
        <f t="shared" si="99"/>
        <v>3.8824644549763</v>
      </c>
    </row>
    <row r="3054" ht="14.4" spans="2:4">
      <c r="B3054" s="20">
        <v>12168</v>
      </c>
      <c r="C3054" s="21">
        <f t="shared" si="98"/>
        <v>11.7903867418249</v>
      </c>
      <c r="D3054" s="21">
        <f t="shared" si="99"/>
        <v>3.88614800759013</v>
      </c>
    </row>
    <row r="3055" ht="14.4" spans="2:4">
      <c r="B3055" s="20">
        <v>12172</v>
      </c>
      <c r="C3055" s="21">
        <f t="shared" si="98"/>
        <v>11.7986315356458</v>
      </c>
      <c r="D3055" s="21">
        <f t="shared" si="99"/>
        <v>3.88983855650522</v>
      </c>
    </row>
    <row r="3056" ht="14.4" spans="2:4">
      <c r="B3056" s="20">
        <v>12176</v>
      </c>
      <c r="C3056" s="21">
        <f t="shared" si="98"/>
        <v>11.8068841630011</v>
      </c>
      <c r="D3056" s="21">
        <f t="shared" si="99"/>
        <v>3.893536121673</v>
      </c>
    </row>
    <row r="3057" ht="14.4" spans="2:4">
      <c r="B3057" s="20">
        <v>12180</v>
      </c>
      <c r="C3057" s="21">
        <f t="shared" si="98"/>
        <v>11.8151446387906</v>
      </c>
      <c r="D3057" s="21">
        <f t="shared" si="99"/>
        <v>3.89724072312084</v>
      </c>
    </row>
    <row r="3058" ht="14.4" spans="2:4">
      <c r="B3058" s="20">
        <v>12184</v>
      </c>
      <c r="C3058" s="21">
        <f t="shared" si="98"/>
        <v>11.8234129779567</v>
      </c>
      <c r="D3058" s="21">
        <f t="shared" si="99"/>
        <v>3.90095238095238</v>
      </c>
    </row>
    <row r="3059" ht="14.4" spans="2:4">
      <c r="B3059" s="20">
        <v>12188</v>
      </c>
      <c r="C3059" s="21">
        <f t="shared" si="98"/>
        <v>11.8316891954843</v>
      </c>
      <c r="D3059" s="21">
        <f t="shared" si="99"/>
        <v>3.90467111534795</v>
      </c>
    </row>
    <row r="3060" ht="14.4" spans="2:4">
      <c r="B3060" s="20">
        <v>12192</v>
      </c>
      <c r="C3060" s="21">
        <f t="shared" si="98"/>
        <v>11.8399733064013</v>
      </c>
      <c r="D3060" s="21">
        <f t="shared" si="99"/>
        <v>3.90839694656489</v>
      </c>
    </row>
    <row r="3061" ht="14.4" spans="2:4">
      <c r="B3061" s="20">
        <v>12196</v>
      </c>
      <c r="C3061" s="21">
        <f t="shared" si="98"/>
        <v>11.8482653257786</v>
      </c>
      <c r="D3061" s="21">
        <f t="shared" si="99"/>
        <v>3.91212989493792</v>
      </c>
    </row>
    <row r="3062" ht="14.4" spans="2:4">
      <c r="B3062" s="20">
        <v>12200</v>
      </c>
      <c r="C3062" s="21">
        <f t="shared" si="98"/>
        <v>11.8565652687304</v>
      </c>
      <c r="D3062" s="21">
        <f t="shared" si="99"/>
        <v>3.91586998087954</v>
      </c>
    </row>
    <row r="3063" ht="14.4" spans="2:4">
      <c r="B3063" s="20">
        <v>12204</v>
      </c>
      <c r="C3063" s="21">
        <f t="shared" si="98"/>
        <v>11.864873150414</v>
      </c>
      <c r="D3063" s="21">
        <f t="shared" si="99"/>
        <v>3.91961722488038</v>
      </c>
    </row>
    <row r="3064" ht="14.4" spans="2:4">
      <c r="B3064" s="20">
        <v>12208</v>
      </c>
      <c r="C3064" s="21">
        <f t="shared" si="98"/>
        <v>11.8731889860306</v>
      </c>
      <c r="D3064" s="21">
        <f t="shared" si="99"/>
        <v>3.92337164750958</v>
      </c>
    </row>
    <row r="3065" ht="14.4" spans="2:4">
      <c r="B3065" s="20">
        <v>12212</v>
      </c>
      <c r="C3065" s="21">
        <f t="shared" si="98"/>
        <v>11.8815127908249</v>
      </c>
      <c r="D3065" s="21">
        <f t="shared" si="99"/>
        <v>3.92713326941515</v>
      </c>
    </row>
    <row r="3066" ht="14.4" spans="2:4">
      <c r="B3066" s="20">
        <v>12216</v>
      </c>
      <c r="C3066" s="21">
        <f t="shared" si="98"/>
        <v>11.8898445800854</v>
      </c>
      <c r="D3066" s="21">
        <f t="shared" si="99"/>
        <v>3.93090211132438</v>
      </c>
    </row>
    <row r="3067" ht="14.4" spans="2:4">
      <c r="B3067" s="20">
        <v>12220</v>
      </c>
      <c r="C3067" s="21">
        <f t="shared" si="98"/>
        <v>11.8981843691448</v>
      </c>
      <c r="D3067" s="21">
        <f t="shared" si="99"/>
        <v>3.93467819404419</v>
      </c>
    </row>
    <row r="3068" ht="14.4" spans="2:4">
      <c r="B3068" s="20">
        <v>12224</v>
      </c>
      <c r="C3068" s="21">
        <f t="shared" si="98"/>
        <v>11.9065321733799</v>
      </c>
      <c r="D3068" s="21">
        <f t="shared" si="99"/>
        <v>3.93846153846154</v>
      </c>
    </row>
    <row r="3069" ht="14.4" spans="2:4">
      <c r="B3069" s="20">
        <v>12228</v>
      </c>
      <c r="C3069" s="21">
        <f t="shared" si="98"/>
        <v>11.9148880082119</v>
      </c>
      <c r="D3069" s="21">
        <f t="shared" si="99"/>
        <v>3.94225216554379</v>
      </c>
    </row>
    <row r="3070" ht="14.4" spans="2:4">
      <c r="B3070" s="20">
        <v>12232</v>
      </c>
      <c r="C3070" s="21">
        <f t="shared" si="98"/>
        <v>11.9232518891067</v>
      </c>
      <c r="D3070" s="21">
        <f t="shared" si="99"/>
        <v>3.94605009633911</v>
      </c>
    </row>
    <row r="3071" ht="14.4" spans="2:4">
      <c r="B3071" s="20">
        <v>12236</v>
      </c>
      <c r="C3071" s="21">
        <f t="shared" si="98"/>
        <v>11.9316238315747</v>
      </c>
      <c r="D3071" s="21">
        <f t="shared" si="99"/>
        <v>3.94985535197686</v>
      </c>
    </row>
    <row r="3072" ht="14.4" spans="2:4">
      <c r="B3072" s="20">
        <v>12240</v>
      </c>
      <c r="C3072" s="21">
        <f t="shared" si="98"/>
        <v>11.9400038511712</v>
      </c>
      <c r="D3072" s="21">
        <f t="shared" si="99"/>
        <v>3.95366795366795</v>
      </c>
    </row>
    <row r="3073" ht="14.4" spans="2:4">
      <c r="B3073" s="20">
        <v>12244</v>
      </c>
      <c r="C3073" s="21">
        <f t="shared" si="98"/>
        <v>11.9483919634968</v>
      </c>
      <c r="D3073" s="21">
        <f t="shared" si="99"/>
        <v>3.95748792270531</v>
      </c>
    </row>
    <row r="3074" ht="14.4" spans="2:4">
      <c r="B3074" s="20">
        <v>12248</v>
      </c>
      <c r="C3074" s="21">
        <f t="shared" si="98"/>
        <v>11.956788184197</v>
      </c>
      <c r="D3074" s="21">
        <f t="shared" si="99"/>
        <v>3.96131528046422</v>
      </c>
    </row>
    <row r="3075" ht="14.4" spans="2:4">
      <c r="B3075" s="20">
        <v>12252</v>
      </c>
      <c r="C3075" s="21">
        <f t="shared" si="98"/>
        <v>11.9651925289631</v>
      </c>
      <c r="D3075" s="21">
        <f t="shared" si="99"/>
        <v>3.96515004840271</v>
      </c>
    </row>
    <row r="3076" ht="14.4" spans="2:4">
      <c r="B3076" s="20">
        <v>12256</v>
      </c>
      <c r="C3076" s="21">
        <f t="shared" si="98"/>
        <v>11.9736050135316</v>
      </c>
      <c r="D3076" s="21">
        <f t="shared" si="99"/>
        <v>3.96899224806202</v>
      </c>
    </row>
    <row r="3077" ht="14.4" spans="2:4">
      <c r="B3077" s="20">
        <v>12260</v>
      </c>
      <c r="C3077" s="21">
        <f t="shared" si="98"/>
        <v>11.9820256536852</v>
      </c>
      <c r="D3077" s="21">
        <f t="shared" si="99"/>
        <v>3.97284190106693</v>
      </c>
    </row>
    <row r="3078" ht="14.4" spans="2:4">
      <c r="B3078" s="20">
        <v>12264</v>
      </c>
      <c r="C3078" s="21">
        <f t="shared" ref="C3078:C3141" si="100">20*LOG(D3078)</f>
        <v>11.990454465252</v>
      </c>
      <c r="D3078" s="21">
        <f t="shared" ref="D3078:D3141" si="101">16384/(16384-B3078)</f>
        <v>3.97669902912621</v>
      </c>
    </row>
    <row r="3079" ht="14.4" spans="2:4">
      <c r="B3079" s="20">
        <v>12268</v>
      </c>
      <c r="C3079" s="21">
        <f t="shared" si="100"/>
        <v>11.9988914641068</v>
      </c>
      <c r="D3079" s="21">
        <f t="shared" si="101"/>
        <v>3.98056365403304</v>
      </c>
    </row>
    <row r="3080" ht="14.4" spans="2:4">
      <c r="B3080" s="20">
        <v>12272</v>
      </c>
      <c r="C3080" s="21">
        <f t="shared" si="100"/>
        <v>12.0073366661703</v>
      </c>
      <c r="D3080" s="21">
        <f t="shared" si="101"/>
        <v>3.98443579766537</v>
      </c>
    </row>
    <row r="3081" ht="14.4" spans="2:4">
      <c r="B3081" s="20">
        <v>12276</v>
      </c>
      <c r="C3081" s="21">
        <f t="shared" si="100"/>
        <v>12.0157900874099</v>
      </c>
      <c r="D3081" s="21">
        <f t="shared" si="101"/>
        <v>3.98831548198637</v>
      </c>
    </row>
    <row r="3082" ht="14.4" spans="2:4">
      <c r="B3082" s="20">
        <v>12280</v>
      </c>
      <c r="C3082" s="21">
        <f t="shared" si="100"/>
        <v>12.0242517438395</v>
      </c>
      <c r="D3082" s="21">
        <f t="shared" si="101"/>
        <v>3.99220272904483</v>
      </c>
    </row>
    <row r="3083" ht="14.4" spans="2:4">
      <c r="B3083" s="20">
        <v>12284</v>
      </c>
      <c r="C3083" s="21">
        <f t="shared" si="100"/>
        <v>12.03272165152</v>
      </c>
      <c r="D3083" s="21">
        <f t="shared" si="101"/>
        <v>3.99609756097561</v>
      </c>
    </row>
    <row r="3084" ht="14.4" spans="2:4">
      <c r="B3084" s="20">
        <v>12288</v>
      </c>
      <c r="C3084" s="21">
        <f t="shared" si="100"/>
        <v>12.0411998265592</v>
      </c>
      <c r="D3084" s="21">
        <f t="shared" si="101"/>
        <v>4</v>
      </c>
    </row>
    <row r="3085" ht="14.4" spans="2:4">
      <c r="B3085" s="20">
        <v>12292</v>
      </c>
      <c r="C3085" s="21">
        <f t="shared" si="100"/>
        <v>12.0496862851123</v>
      </c>
      <c r="D3085" s="21">
        <f t="shared" si="101"/>
        <v>4.0039100684262</v>
      </c>
    </row>
    <row r="3086" ht="14.4" spans="2:4">
      <c r="B3086" s="20">
        <v>12296</v>
      </c>
      <c r="C3086" s="21">
        <f t="shared" si="100"/>
        <v>12.0581810433816</v>
      </c>
      <c r="D3086" s="21">
        <f t="shared" si="101"/>
        <v>4.00782778864971</v>
      </c>
    </row>
    <row r="3087" ht="14.4" spans="2:4">
      <c r="B3087" s="20">
        <v>12300</v>
      </c>
      <c r="C3087" s="21">
        <f t="shared" si="100"/>
        <v>12.0666841176173</v>
      </c>
      <c r="D3087" s="21">
        <f t="shared" si="101"/>
        <v>4.01175318315377</v>
      </c>
    </row>
    <row r="3088" ht="14.4" spans="2:4">
      <c r="B3088" s="20">
        <v>12304</v>
      </c>
      <c r="C3088" s="21">
        <f t="shared" si="100"/>
        <v>12.0751955241171</v>
      </c>
      <c r="D3088" s="21">
        <f t="shared" si="101"/>
        <v>4.0156862745098</v>
      </c>
    </row>
    <row r="3089" ht="14.4" spans="2:4">
      <c r="B3089" s="20">
        <v>12308</v>
      </c>
      <c r="C3089" s="21">
        <f t="shared" si="100"/>
        <v>12.083715279227</v>
      </c>
      <c r="D3089" s="21">
        <f t="shared" si="101"/>
        <v>4.01962708537782</v>
      </c>
    </row>
    <row r="3090" ht="14.4" spans="2:4">
      <c r="B3090" s="20">
        <v>12312</v>
      </c>
      <c r="C3090" s="21">
        <f t="shared" si="100"/>
        <v>12.0922433993407</v>
      </c>
      <c r="D3090" s="21">
        <f t="shared" si="101"/>
        <v>4.02357563850688</v>
      </c>
    </row>
    <row r="3091" ht="14.4" spans="2:4">
      <c r="B3091" s="20">
        <v>12316</v>
      </c>
      <c r="C3091" s="21">
        <f t="shared" si="100"/>
        <v>12.1007799009006</v>
      </c>
      <c r="D3091" s="21">
        <f t="shared" si="101"/>
        <v>4.0275319567355</v>
      </c>
    </row>
    <row r="3092" ht="14.4" spans="2:4">
      <c r="B3092" s="20">
        <v>12320</v>
      </c>
      <c r="C3092" s="21">
        <f t="shared" si="100"/>
        <v>12.1093248003975</v>
      </c>
      <c r="D3092" s="21">
        <f t="shared" si="101"/>
        <v>4.03149606299213</v>
      </c>
    </row>
    <row r="3093" ht="14.4" spans="2:4">
      <c r="B3093" s="20">
        <v>12324</v>
      </c>
      <c r="C3093" s="21">
        <f t="shared" si="100"/>
        <v>12.1178781143709</v>
      </c>
      <c r="D3093" s="21">
        <f t="shared" si="101"/>
        <v>4.03546798029557</v>
      </c>
    </row>
    <row r="3094" ht="14.4" spans="2:4">
      <c r="B3094" s="20">
        <v>12328</v>
      </c>
      <c r="C3094" s="21">
        <f t="shared" si="100"/>
        <v>12.1264398594091</v>
      </c>
      <c r="D3094" s="21">
        <f t="shared" si="101"/>
        <v>4.03944773175542</v>
      </c>
    </row>
    <row r="3095" ht="14.4" spans="2:4">
      <c r="B3095" s="20">
        <v>12332</v>
      </c>
      <c r="C3095" s="21">
        <f t="shared" si="100"/>
        <v>12.1350100521499</v>
      </c>
      <c r="D3095" s="21">
        <f t="shared" si="101"/>
        <v>4.04343534057256</v>
      </c>
    </row>
    <row r="3096" ht="14.4" spans="2:4">
      <c r="B3096" s="20">
        <v>12336</v>
      </c>
      <c r="C3096" s="21">
        <f t="shared" si="100"/>
        <v>12.1435887092799</v>
      </c>
      <c r="D3096" s="21">
        <f t="shared" si="101"/>
        <v>4.04743083003953</v>
      </c>
    </row>
    <row r="3097" ht="14.4" spans="2:4">
      <c r="B3097" s="20">
        <v>12340</v>
      </c>
      <c r="C3097" s="21">
        <f t="shared" si="100"/>
        <v>12.1521758475355</v>
      </c>
      <c r="D3097" s="21">
        <f t="shared" si="101"/>
        <v>4.05143422354105</v>
      </c>
    </row>
    <row r="3098" ht="14.4" spans="2:4">
      <c r="B3098" s="20">
        <v>12344</v>
      </c>
      <c r="C3098" s="21">
        <f t="shared" si="100"/>
        <v>12.1607714837026</v>
      </c>
      <c r="D3098" s="21">
        <f t="shared" si="101"/>
        <v>4.05544554455446</v>
      </c>
    </row>
    <row r="3099" ht="14.4" spans="2:4">
      <c r="B3099" s="20">
        <v>12348</v>
      </c>
      <c r="C3099" s="21">
        <f t="shared" si="100"/>
        <v>12.1693756346173</v>
      </c>
      <c r="D3099" s="21">
        <f t="shared" si="101"/>
        <v>4.05946481665015</v>
      </c>
    </row>
    <row r="3100" ht="14.4" spans="2:4">
      <c r="B3100" s="20">
        <v>12352</v>
      </c>
      <c r="C3100" s="21">
        <f t="shared" si="100"/>
        <v>12.1779883171654</v>
      </c>
      <c r="D3100" s="21">
        <f t="shared" si="101"/>
        <v>4.06349206349206</v>
      </c>
    </row>
    <row r="3101" ht="14.4" spans="2:4">
      <c r="B3101" s="20">
        <v>12356</v>
      </c>
      <c r="C3101" s="21">
        <f t="shared" si="100"/>
        <v>12.1866095482831</v>
      </c>
      <c r="D3101" s="21">
        <f t="shared" si="101"/>
        <v>4.06752730883813</v>
      </c>
    </row>
    <row r="3102" ht="14.4" spans="2:4">
      <c r="B3102" s="20">
        <v>12360</v>
      </c>
      <c r="C3102" s="21">
        <f t="shared" si="100"/>
        <v>12.1952393449573</v>
      </c>
      <c r="D3102" s="21">
        <f t="shared" si="101"/>
        <v>4.07157057654076</v>
      </c>
    </row>
    <row r="3103" ht="14.4" spans="2:4">
      <c r="B3103" s="20">
        <v>12364</v>
      </c>
      <c r="C3103" s="21">
        <f t="shared" si="100"/>
        <v>12.2038777242253</v>
      </c>
      <c r="D3103" s="21">
        <f t="shared" si="101"/>
        <v>4.07562189054726</v>
      </c>
    </row>
    <row r="3104" ht="14.4" spans="2:4">
      <c r="B3104" s="20">
        <v>12368</v>
      </c>
      <c r="C3104" s="21">
        <f t="shared" si="100"/>
        <v>12.2125247031755</v>
      </c>
      <c r="D3104" s="21">
        <f t="shared" si="101"/>
        <v>4.0796812749004</v>
      </c>
    </row>
    <row r="3105" ht="14.4" spans="2:4">
      <c r="B3105" s="20">
        <v>12372</v>
      </c>
      <c r="C3105" s="21">
        <f t="shared" si="100"/>
        <v>12.2211802989471</v>
      </c>
      <c r="D3105" s="21">
        <f t="shared" si="101"/>
        <v>4.08374875373878</v>
      </c>
    </row>
    <row r="3106" ht="14.4" spans="2:4">
      <c r="B3106" s="20">
        <v>12376</v>
      </c>
      <c r="C3106" s="21">
        <f t="shared" si="100"/>
        <v>12.2298445287309</v>
      </c>
      <c r="D3106" s="21">
        <f t="shared" si="101"/>
        <v>4.0878243512974</v>
      </c>
    </row>
    <row r="3107" ht="14.4" spans="2:4">
      <c r="B3107" s="20">
        <v>12380</v>
      </c>
      <c r="C3107" s="21">
        <f t="shared" si="100"/>
        <v>12.2385174097691</v>
      </c>
      <c r="D3107" s="21">
        <f t="shared" si="101"/>
        <v>4.09190809190809</v>
      </c>
    </row>
    <row r="3108" ht="14.4" spans="2:4">
      <c r="B3108" s="20">
        <v>12384</v>
      </c>
      <c r="C3108" s="21">
        <f t="shared" si="100"/>
        <v>12.2471989593555</v>
      </c>
      <c r="D3108" s="21">
        <f t="shared" si="101"/>
        <v>4.096</v>
      </c>
    </row>
    <row r="3109" ht="14.4" spans="2:4">
      <c r="B3109" s="20">
        <v>12388</v>
      </c>
      <c r="C3109" s="21">
        <f t="shared" si="100"/>
        <v>12.2558891948358</v>
      </c>
      <c r="D3109" s="21">
        <f t="shared" si="101"/>
        <v>4.1001001001001</v>
      </c>
    </row>
    <row r="3110" ht="14.4" spans="2:4">
      <c r="B3110" s="20">
        <v>12392</v>
      </c>
      <c r="C3110" s="21">
        <f t="shared" si="100"/>
        <v>12.2645881336081</v>
      </c>
      <c r="D3110" s="21">
        <f t="shared" si="101"/>
        <v>4.10420841683367</v>
      </c>
    </row>
    <row r="3111" ht="14.4" spans="2:4">
      <c r="B3111" s="20">
        <v>12396</v>
      </c>
      <c r="C3111" s="21">
        <f t="shared" si="100"/>
        <v>12.2732957931224</v>
      </c>
      <c r="D3111" s="21">
        <f t="shared" si="101"/>
        <v>4.10832497492477</v>
      </c>
    </row>
    <row r="3112" ht="14.4" spans="2:4">
      <c r="B3112" s="20">
        <v>12400</v>
      </c>
      <c r="C3112" s="21">
        <f t="shared" si="100"/>
        <v>12.2820121908815</v>
      </c>
      <c r="D3112" s="21">
        <f t="shared" si="101"/>
        <v>4.11244979919679</v>
      </c>
    </row>
    <row r="3113" ht="14.4" spans="2:4">
      <c r="B3113" s="20">
        <v>12404</v>
      </c>
      <c r="C3113" s="21">
        <f t="shared" si="100"/>
        <v>12.290737344441</v>
      </c>
      <c r="D3113" s="21">
        <f t="shared" si="101"/>
        <v>4.11658291457286</v>
      </c>
    </row>
    <row r="3114" ht="14.4" spans="2:4">
      <c r="B3114" s="20">
        <v>12408</v>
      </c>
      <c r="C3114" s="21">
        <f t="shared" si="100"/>
        <v>12.2994712714092</v>
      </c>
      <c r="D3114" s="21">
        <f t="shared" si="101"/>
        <v>4.12072434607646</v>
      </c>
    </row>
    <row r="3115" ht="14.4" spans="2:4">
      <c r="B3115" s="20">
        <v>12412</v>
      </c>
      <c r="C3115" s="21">
        <f t="shared" si="100"/>
        <v>12.3082139894479</v>
      </c>
      <c r="D3115" s="21">
        <f t="shared" si="101"/>
        <v>4.12487411883182</v>
      </c>
    </row>
    <row r="3116" ht="14.4" spans="2:4">
      <c r="B3116" s="20">
        <v>12416</v>
      </c>
      <c r="C3116" s="21">
        <f t="shared" si="100"/>
        <v>12.3169655162719</v>
      </c>
      <c r="D3116" s="21">
        <f t="shared" si="101"/>
        <v>4.12903225806452</v>
      </c>
    </row>
    <row r="3117" ht="14.4" spans="2:4">
      <c r="B3117" s="20">
        <v>12420</v>
      </c>
      <c r="C3117" s="21">
        <f t="shared" si="100"/>
        <v>12.32572586965</v>
      </c>
      <c r="D3117" s="21">
        <f t="shared" si="101"/>
        <v>4.13319878910192</v>
      </c>
    </row>
    <row r="3118" ht="14.4" spans="2:4">
      <c r="B3118" s="20">
        <v>12424</v>
      </c>
      <c r="C3118" s="21">
        <f t="shared" si="100"/>
        <v>12.3344950674045</v>
      </c>
      <c r="D3118" s="21">
        <f t="shared" si="101"/>
        <v>4.13737373737374</v>
      </c>
    </row>
    <row r="3119" ht="14.4" spans="2:4">
      <c r="B3119" s="20">
        <v>12428</v>
      </c>
      <c r="C3119" s="21">
        <f t="shared" si="100"/>
        <v>12.3432731274119</v>
      </c>
      <c r="D3119" s="21">
        <f t="shared" si="101"/>
        <v>4.14155712841254</v>
      </c>
    </row>
    <row r="3120" ht="14.4" spans="2:4">
      <c r="B3120" s="20">
        <v>12432</v>
      </c>
      <c r="C3120" s="21">
        <f t="shared" si="100"/>
        <v>12.3520600676029</v>
      </c>
      <c r="D3120" s="21">
        <f t="shared" si="101"/>
        <v>4.14574898785425</v>
      </c>
    </row>
    <row r="3121" ht="14.4" spans="2:4">
      <c r="B3121" s="20">
        <v>12436</v>
      </c>
      <c r="C3121" s="21">
        <f t="shared" si="100"/>
        <v>12.3608559059628</v>
      </c>
      <c r="D3121" s="21">
        <f t="shared" si="101"/>
        <v>4.1499493414387</v>
      </c>
    </row>
    <row r="3122" ht="14.4" spans="2:4">
      <c r="B3122" s="20">
        <v>12440</v>
      </c>
      <c r="C3122" s="21">
        <f t="shared" si="100"/>
        <v>12.3696606605313</v>
      </c>
      <c r="D3122" s="21">
        <f t="shared" si="101"/>
        <v>4.15415821501014</v>
      </c>
    </row>
    <row r="3123" ht="14.4" spans="2:4">
      <c r="B3123" s="20">
        <v>12444</v>
      </c>
      <c r="C3123" s="21">
        <f t="shared" si="100"/>
        <v>12.3784743494033</v>
      </c>
      <c r="D3123" s="21">
        <f t="shared" si="101"/>
        <v>4.15837563451777</v>
      </c>
    </row>
    <row r="3124" ht="14.4" spans="2:4">
      <c r="B3124" s="20">
        <v>12448</v>
      </c>
      <c r="C3124" s="21">
        <f t="shared" si="100"/>
        <v>12.3872969907287</v>
      </c>
      <c r="D3124" s="21">
        <f t="shared" si="101"/>
        <v>4.16260162601626</v>
      </c>
    </row>
    <row r="3125" ht="14.4" spans="2:4">
      <c r="B3125" s="20">
        <v>12452</v>
      </c>
      <c r="C3125" s="21">
        <f t="shared" si="100"/>
        <v>12.3961286027128</v>
      </c>
      <c r="D3125" s="21">
        <f t="shared" si="101"/>
        <v>4.16683621566633</v>
      </c>
    </row>
    <row r="3126" ht="14.4" spans="2:4">
      <c r="B3126" s="20">
        <v>12456</v>
      </c>
      <c r="C3126" s="21">
        <f t="shared" si="100"/>
        <v>12.4049692036165</v>
      </c>
      <c r="D3126" s="21">
        <f t="shared" si="101"/>
        <v>4.17107942973523</v>
      </c>
    </row>
    <row r="3127" ht="14.4" spans="2:4">
      <c r="B3127" s="20">
        <v>12460</v>
      </c>
      <c r="C3127" s="21">
        <f t="shared" si="100"/>
        <v>12.4138188117565</v>
      </c>
      <c r="D3127" s="21">
        <f t="shared" si="101"/>
        <v>4.17533129459735</v>
      </c>
    </row>
    <row r="3128" ht="14.4" spans="2:4">
      <c r="B3128" s="20">
        <v>12464</v>
      </c>
      <c r="C3128" s="21">
        <f t="shared" si="100"/>
        <v>12.4226774455056</v>
      </c>
      <c r="D3128" s="21">
        <f t="shared" si="101"/>
        <v>4.17959183673469</v>
      </c>
    </row>
    <row r="3129" ht="14.4" spans="2:4">
      <c r="B3129" s="20">
        <v>12468</v>
      </c>
      <c r="C3129" s="21">
        <f t="shared" si="100"/>
        <v>12.4315451232927</v>
      </c>
      <c r="D3129" s="21">
        <f t="shared" si="101"/>
        <v>4.18386108273749</v>
      </c>
    </row>
    <row r="3130" ht="14.4" spans="2:4">
      <c r="B3130" s="20">
        <v>12472</v>
      </c>
      <c r="C3130" s="21">
        <f t="shared" si="100"/>
        <v>12.4404218636035</v>
      </c>
      <c r="D3130" s="21">
        <f t="shared" si="101"/>
        <v>4.1881390593047</v>
      </c>
    </row>
    <row r="3131" ht="14.4" spans="2:4">
      <c r="B3131" s="20">
        <v>12476</v>
      </c>
      <c r="C3131" s="21">
        <f t="shared" si="100"/>
        <v>12.44930768498</v>
      </c>
      <c r="D3131" s="21">
        <f t="shared" si="101"/>
        <v>4.19242579324463</v>
      </c>
    </row>
    <row r="3132" ht="14.4" spans="2:4">
      <c r="B3132" s="20">
        <v>12480</v>
      </c>
      <c r="C3132" s="21">
        <f t="shared" si="100"/>
        <v>12.4582026060217</v>
      </c>
      <c r="D3132" s="21">
        <f t="shared" si="101"/>
        <v>4.19672131147541</v>
      </c>
    </row>
    <row r="3133" ht="14.4" spans="2:4">
      <c r="B3133" s="20">
        <v>12484</v>
      </c>
      <c r="C3133" s="21">
        <f t="shared" si="100"/>
        <v>12.4671066453848</v>
      </c>
      <c r="D3133" s="21">
        <f t="shared" si="101"/>
        <v>4.20102564102564</v>
      </c>
    </row>
    <row r="3134" ht="14.4" spans="2:4">
      <c r="B3134" s="20">
        <v>12488</v>
      </c>
      <c r="C3134" s="21">
        <f t="shared" si="100"/>
        <v>12.4760198217832</v>
      </c>
      <c r="D3134" s="21">
        <f t="shared" si="101"/>
        <v>4.20533880903491</v>
      </c>
    </row>
    <row r="3135" ht="14.4" spans="2:4">
      <c r="B3135" s="20">
        <v>12492</v>
      </c>
      <c r="C3135" s="21">
        <f t="shared" si="100"/>
        <v>12.4849421539884</v>
      </c>
      <c r="D3135" s="21">
        <f t="shared" si="101"/>
        <v>4.20966084275437</v>
      </c>
    </row>
    <row r="3136" ht="14.4" spans="2:4">
      <c r="B3136" s="20">
        <v>12496</v>
      </c>
      <c r="C3136" s="21">
        <f t="shared" si="100"/>
        <v>12.49387366083</v>
      </c>
      <c r="D3136" s="21">
        <f t="shared" si="101"/>
        <v>4.21399176954733</v>
      </c>
    </row>
    <row r="3137" ht="14.4" spans="2:4">
      <c r="B3137" s="20">
        <v>12500</v>
      </c>
      <c r="C3137" s="21">
        <f t="shared" si="100"/>
        <v>12.5028143611954</v>
      </c>
      <c r="D3137" s="21">
        <f t="shared" si="101"/>
        <v>4.2183316168898</v>
      </c>
    </row>
    <row r="3138" ht="14.4" spans="2:4">
      <c r="B3138" s="20">
        <v>12504</v>
      </c>
      <c r="C3138" s="21">
        <f t="shared" si="100"/>
        <v>12.5117642740306</v>
      </c>
      <c r="D3138" s="21">
        <f t="shared" si="101"/>
        <v>4.22268041237113</v>
      </c>
    </row>
    <row r="3139" ht="14.4" spans="2:4">
      <c r="B3139" s="20">
        <v>12508</v>
      </c>
      <c r="C3139" s="21">
        <f t="shared" si="100"/>
        <v>12.5207234183402</v>
      </c>
      <c r="D3139" s="21">
        <f t="shared" si="101"/>
        <v>4.22703818369453</v>
      </c>
    </row>
    <row r="3140" ht="14.4" spans="2:4">
      <c r="B3140" s="20">
        <v>12512</v>
      </c>
      <c r="C3140" s="21">
        <f t="shared" si="100"/>
        <v>12.5296918131876</v>
      </c>
      <c r="D3140" s="21">
        <f t="shared" si="101"/>
        <v>4.23140495867769</v>
      </c>
    </row>
    <row r="3141" ht="14.4" spans="2:4">
      <c r="B3141" s="20">
        <v>12516</v>
      </c>
      <c r="C3141" s="21">
        <f t="shared" si="100"/>
        <v>12.5386694776955</v>
      </c>
      <c r="D3141" s="21">
        <f t="shared" si="101"/>
        <v>4.23578076525336</v>
      </c>
    </row>
    <row r="3142" ht="14.4" spans="2:4">
      <c r="B3142" s="20">
        <v>12520</v>
      </c>
      <c r="C3142" s="21">
        <f t="shared" ref="C3142:C3205" si="102">20*LOG(D3142)</f>
        <v>12.5476564310456</v>
      </c>
      <c r="D3142" s="21">
        <f t="shared" ref="D3142:D3205" si="103">16384/(16384-B3142)</f>
        <v>4.24016563146998</v>
      </c>
    </row>
    <row r="3143" ht="14.4" spans="2:4">
      <c r="B3143" s="20">
        <v>12524</v>
      </c>
      <c r="C3143" s="21">
        <f t="shared" si="102"/>
        <v>12.5566526924796</v>
      </c>
      <c r="D3143" s="21">
        <f t="shared" si="103"/>
        <v>4.24455958549223</v>
      </c>
    </row>
    <row r="3144" ht="14.4" spans="2:4">
      <c r="B3144" s="20">
        <v>12528</v>
      </c>
      <c r="C3144" s="21">
        <f t="shared" si="102"/>
        <v>12.5656582812989</v>
      </c>
      <c r="D3144" s="21">
        <f t="shared" si="103"/>
        <v>4.24896265560166</v>
      </c>
    </row>
    <row r="3145" ht="14.4" spans="2:4">
      <c r="B3145" s="20">
        <v>12532</v>
      </c>
      <c r="C3145" s="21">
        <f t="shared" si="102"/>
        <v>12.5746732168648</v>
      </c>
      <c r="D3145" s="21">
        <f t="shared" si="103"/>
        <v>4.2533748701973</v>
      </c>
    </row>
    <row r="3146" ht="14.4" spans="2:4">
      <c r="B3146" s="20">
        <v>12536</v>
      </c>
      <c r="C3146" s="21">
        <f t="shared" si="102"/>
        <v>12.5836975185992</v>
      </c>
      <c r="D3146" s="21">
        <f t="shared" si="103"/>
        <v>4.25779625779626</v>
      </c>
    </row>
    <row r="3147" ht="14.4" spans="2:4">
      <c r="B3147" s="20">
        <v>12540</v>
      </c>
      <c r="C3147" s="21">
        <f t="shared" si="102"/>
        <v>12.5927312059846</v>
      </c>
      <c r="D3147" s="21">
        <f t="shared" si="103"/>
        <v>4.26222684703434</v>
      </c>
    </row>
    <row r="3148" ht="14.4" spans="2:4">
      <c r="B3148" s="20">
        <v>12544</v>
      </c>
      <c r="C3148" s="21">
        <f t="shared" si="102"/>
        <v>12.6017742985641</v>
      </c>
      <c r="D3148" s="21">
        <f t="shared" si="103"/>
        <v>4.26666666666667</v>
      </c>
    </row>
    <row r="3149" ht="14.4" spans="2:4">
      <c r="B3149" s="20">
        <v>12548</v>
      </c>
      <c r="C3149" s="21">
        <f t="shared" si="102"/>
        <v>12.6108268159422</v>
      </c>
      <c r="D3149" s="21">
        <f t="shared" si="103"/>
        <v>4.2711157455683</v>
      </c>
    </row>
    <row r="3150" ht="14.4" spans="2:4">
      <c r="B3150" s="20">
        <v>12552</v>
      </c>
      <c r="C3150" s="21">
        <f t="shared" si="102"/>
        <v>12.6198887777846</v>
      </c>
      <c r="D3150" s="21">
        <f t="shared" si="103"/>
        <v>4.27557411273486</v>
      </c>
    </row>
    <row r="3151" ht="14.4" spans="2:4">
      <c r="B3151" s="20">
        <v>12556</v>
      </c>
      <c r="C3151" s="21">
        <f t="shared" si="102"/>
        <v>12.6289602038186</v>
      </c>
      <c r="D3151" s="21">
        <f t="shared" si="103"/>
        <v>4.28004179728318</v>
      </c>
    </row>
    <row r="3152" ht="14.4" spans="2:4">
      <c r="B3152" s="20">
        <v>12560</v>
      </c>
      <c r="C3152" s="21">
        <f t="shared" si="102"/>
        <v>12.6380411138335</v>
      </c>
      <c r="D3152" s="21">
        <f t="shared" si="103"/>
        <v>4.28451882845188</v>
      </c>
    </row>
    <row r="3153" ht="14.4" spans="2:4">
      <c r="B3153" s="20">
        <v>12564</v>
      </c>
      <c r="C3153" s="21">
        <f t="shared" si="102"/>
        <v>12.6471315276806</v>
      </c>
      <c r="D3153" s="21">
        <f t="shared" si="103"/>
        <v>4.28900523560209</v>
      </c>
    </row>
    <row r="3154" ht="14.4" spans="2:4">
      <c r="B3154" s="20">
        <v>12568</v>
      </c>
      <c r="C3154" s="21">
        <f t="shared" si="102"/>
        <v>12.6562314652736</v>
      </c>
      <c r="D3154" s="21">
        <f t="shared" si="103"/>
        <v>4.29350104821803</v>
      </c>
    </row>
    <row r="3155" ht="14.4" spans="2:4">
      <c r="B3155" s="20">
        <v>12572</v>
      </c>
      <c r="C3155" s="21">
        <f t="shared" si="102"/>
        <v>12.665340946589</v>
      </c>
      <c r="D3155" s="21">
        <f t="shared" si="103"/>
        <v>4.29800629590766</v>
      </c>
    </row>
    <row r="3156" ht="14.4" spans="2:4">
      <c r="B3156" s="20">
        <v>12576</v>
      </c>
      <c r="C3156" s="21">
        <f t="shared" si="102"/>
        <v>12.674459991666</v>
      </c>
      <c r="D3156" s="21">
        <f t="shared" si="103"/>
        <v>4.30252100840336</v>
      </c>
    </row>
    <row r="3157" ht="14.4" spans="2:4">
      <c r="B3157" s="20">
        <v>12580</v>
      </c>
      <c r="C3157" s="21">
        <f t="shared" si="102"/>
        <v>12.6835886206072</v>
      </c>
      <c r="D3157" s="21">
        <f t="shared" si="103"/>
        <v>4.30704521556257</v>
      </c>
    </row>
    <row r="3158" ht="14.4" spans="2:4">
      <c r="B3158" s="20">
        <v>12584</v>
      </c>
      <c r="C3158" s="21">
        <f t="shared" si="102"/>
        <v>12.6927268535785</v>
      </c>
      <c r="D3158" s="21">
        <f t="shared" si="103"/>
        <v>4.31157894736842</v>
      </c>
    </row>
    <row r="3159" ht="14.4" spans="2:4">
      <c r="B3159" s="20">
        <v>12588</v>
      </c>
      <c r="C3159" s="21">
        <f t="shared" si="102"/>
        <v>12.7018747108096</v>
      </c>
      <c r="D3159" s="21">
        <f t="shared" si="103"/>
        <v>4.31612223393045</v>
      </c>
    </row>
    <row r="3160" ht="14.4" spans="2:4">
      <c r="B3160" s="20">
        <v>12592</v>
      </c>
      <c r="C3160" s="21">
        <f t="shared" si="102"/>
        <v>12.7110322125942</v>
      </c>
      <c r="D3160" s="21">
        <f t="shared" si="103"/>
        <v>4.32067510548523</v>
      </c>
    </row>
    <row r="3161" ht="14.4" spans="2:4">
      <c r="B3161" s="20">
        <v>12596</v>
      </c>
      <c r="C3161" s="21">
        <f t="shared" si="102"/>
        <v>12.72019937929</v>
      </c>
      <c r="D3161" s="21">
        <f t="shared" si="103"/>
        <v>4.32523759239704</v>
      </c>
    </row>
    <row r="3162" ht="14.4" spans="2:4">
      <c r="B3162" s="20">
        <v>12600</v>
      </c>
      <c r="C3162" s="21">
        <f t="shared" si="102"/>
        <v>12.7293762313196</v>
      </c>
      <c r="D3162" s="21">
        <f t="shared" si="103"/>
        <v>4.32980972515856</v>
      </c>
    </row>
    <row r="3163" ht="14.4" spans="2:4">
      <c r="B3163" s="20">
        <v>12604</v>
      </c>
      <c r="C3163" s="21">
        <f t="shared" si="102"/>
        <v>12.7385627891702</v>
      </c>
      <c r="D3163" s="21">
        <f t="shared" si="103"/>
        <v>4.33439153439153</v>
      </c>
    </row>
    <row r="3164" ht="14.4" spans="2:4">
      <c r="B3164" s="20">
        <v>12608</v>
      </c>
      <c r="C3164" s="21">
        <f t="shared" si="102"/>
        <v>12.7477590733941</v>
      </c>
      <c r="D3164" s="21">
        <f t="shared" si="103"/>
        <v>4.33898305084746</v>
      </c>
    </row>
    <row r="3165" ht="14.4" spans="2:4">
      <c r="B3165" s="20">
        <v>12612</v>
      </c>
      <c r="C3165" s="21">
        <f t="shared" si="102"/>
        <v>12.7569651046089</v>
      </c>
      <c r="D3165" s="21">
        <f t="shared" si="103"/>
        <v>4.34358430540827</v>
      </c>
    </row>
    <row r="3166" ht="14.4" spans="2:4">
      <c r="B3166" s="20">
        <v>12616</v>
      </c>
      <c r="C3166" s="21">
        <f t="shared" si="102"/>
        <v>12.7661809034979</v>
      </c>
      <c r="D3166" s="21">
        <f t="shared" si="103"/>
        <v>4.34819532908705</v>
      </c>
    </row>
    <row r="3167" ht="14.4" spans="2:4">
      <c r="B3167" s="20">
        <v>12620</v>
      </c>
      <c r="C3167" s="21">
        <f t="shared" si="102"/>
        <v>12.7754064908103</v>
      </c>
      <c r="D3167" s="21">
        <f t="shared" si="103"/>
        <v>4.35281615302869</v>
      </c>
    </row>
    <row r="3168" ht="14.4" spans="2:4">
      <c r="B3168" s="20">
        <v>12624</v>
      </c>
      <c r="C3168" s="21">
        <f t="shared" si="102"/>
        <v>12.7846418873615</v>
      </c>
      <c r="D3168" s="21">
        <f t="shared" si="103"/>
        <v>4.35744680851064</v>
      </c>
    </row>
    <row r="3169" ht="14.4" spans="2:4">
      <c r="B3169" s="20">
        <v>12628</v>
      </c>
      <c r="C3169" s="21">
        <f t="shared" si="102"/>
        <v>12.7938871140333</v>
      </c>
      <c r="D3169" s="21">
        <f t="shared" si="103"/>
        <v>4.36208732694356</v>
      </c>
    </row>
    <row r="3170" ht="14.4" spans="2:4">
      <c r="B3170" s="20">
        <v>12632</v>
      </c>
      <c r="C3170" s="21">
        <f t="shared" si="102"/>
        <v>12.8031421917742</v>
      </c>
      <c r="D3170" s="21">
        <f t="shared" si="103"/>
        <v>4.36673773987207</v>
      </c>
    </row>
    <row r="3171" ht="14.4" spans="2:4">
      <c r="B3171" s="20">
        <v>12636</v>
      </c>
      <c r="C3171" s="21">
        <f t="shared" si="102"/>
        <v>12.8124071415999</v>
      </c>
      <c r="D3171" s="21">
        <f t="shared" si="103"/>
        <v>4.37139807897545</v>
      </c>
    </row>
    <row r="3172" ht="14.4" spans="2:4">
      <c r="B3172" s="20">
        <v>12640</v>
      </c>
      <c r="C3172" s="21">
        <f t="shared" si="102"/>
        <v>12.8216819845934</v>
      </c>
      <c r="D3172" s="21">
        <f t="shared" si="103"/>
        <v>4.37606837606838</v>
      </c>
    </row>
    <row r="3173" ht="14.4" spans="2:4">
      <c r="B3173" s="20">
        <v>12644</v>
      </c>
      <c r="C3173" s="21">
        <f t="shared" si="102"/>
        <v>12.8309667419051</v>
      </c>
      <c r="D3173" s="21">
        <f t="shared" si="103"/>
        <v>4.3807486631016</v>
      </c>
    </row>
    <row r="3174" ht="14.4" spans="2:4">
      <c r="B3174" s="20">
        <v>12648</v>
      </c>
      <c r="C3174" s="21">
        <f t="shared" si="102"/>
        <v>12.8402614347536</v>
      </c>
      <c r="D3174" s="21">
        <f t="shared" si="103"/>
        <v>4.38543897216274</v>
      </c>
    </row>
    <row r="3175" ht="14.4" spans="2:4">
      <c r="B3175" s="20">
        <v>12652</v>
      </c>
      <c r="C3175" s="21">
        <f t="shared" si="102"/>
        <v>12.8495660844255</v>
      </c>
      <c r="D3175" s="21">
        <f t="shared" si="103"/>
        <v>4.39013933547696</v>
      </c>
    </row>
    <row r="3176" ht="14.4" spans="2:4">
      <c r="B3176" s="20">
        <v>12656</v>
      </c>
      <c r="C3176" s="21">
        <f t="shared" si="102"/>
        <v>12.8588807122759</v>
      </c>
      <c r="D3176" s="21">
        <f t="shared" si="103"/>
        <v>4.39484978540773</v>
      </c>
    </row>
    <row r="3177" ht="14.4" spans="2:4">
      <c r="B3177" s="20">
        <v>12660</v>
      </c>
      <c r="C3177" s="21">
        <f t="shared" si="102"/>
        <v>12.8682053397286</v>
      </c>
      <c r="D3177" s="21">
        <f t="shared" si="103"/>
        <v>4.39957035445757</v>
      </c>
    </row>
    <row r="3178" ht="14.4" spans="2:4">
      <c r="B3178" s="20">
        <v>12664</v>
      </c>
      <c r="C3178" s="21">
        <f t="shared" si="102"/>
        <v>12.8775399882768</v>
      </c>
      <c r="D3178" s="21">
        <f t="shared" si="103"/>
        <v>4.40430107526882</v>
      </c>
    </row>
    <row r="3179" ht="14.4" spans="2:4">
      <c r="B3179" s="20">
        <v>12668</v>
      </c>
      <c r="C3179" s="21">
        <f t="shared" si="102"/>
        <v>12.8868846794827</v>
      </c>
      <c r="D3179" s="21">
        <f t="shared" si="103"/>
        <v>4.40904198062433</v>
      </c>
    </row>
    <row r="3180" ht="14.4" spans="2:4">
      <c r="B3180" s="20">
        <v>12672</v>
      </c>
      <c r="C3180" s="21">
        <f t="shared" si="102"/>
        <v>12.8962394349782</v>
      </c>
      <c r="D3180" s="21">
        <f t="shared" si="103"/>
        <v>4.41379310344828</v>
      </c>
    </row>
    <row r="3181" ht="14.4" spans="2:4">
      <c r="B3181" s="20">
        <v>12676</v>
      </c>
      <c r="C3181" s="21">
        <f t="shared" si="102"/>
        <v>12.9056042764655</v>
      </c>
      <c r="D3181" s="21">
        <f t="shared" si="103"/>
        <v>4.4185544768069</v>
      </c>
    </row>
    <row r="3182" ht="14.4" spans="2:4">
      <c r="B3182" s="20">
        <v>12680</v>
      </c>
      <c r="C3182" s="21">
        <f t="shared" si="102"/>
        <v>12.9149792257168</v>
      </c>
      <c r="D3182" s="21">
        <f t="shared" si="103"/>
        <v>4.42332613390929</v>
      </c>
    </row>
    <row r="3183" ht="14.4" spans="2:4">
      <c r="B3183" s="20">
        <v>12684</v>
      </c>
      <c r="C3183" s="21">
        <f t="shared" si="102"/>
        <v>12.9243643045748</v>
      </c>
      <c r="D3183" s="21">
        <f t="shared" si="103"/>
        <v>4.42810810810811</v>
      </c>
    </row>
    <row r="3184" ht="14.4" spans="2:4">
      <c r="B3184" s="20">
        <v>12688</v>
      </c>
      <c r="C3184" s="21">
        <f t="shared" si="102"/>
        <v>12.9337595349534</v>
      </c>
      <c r="D3184" s="21">
        <f t="shared" si="103"/>
        <v>4.43290043290043</v>
      </c>
    </row>
    <row r="3185" ht="14.4" spans="2:4">
      <c r="B3185" s="20">
        <v>12692</v>
      </c>
      <c r="C3185" s="21">
        <f t="shared" si="102"/>
        <v>12.9431649388372</v>
      </c>
      <c r="D3185" s="21">
        <f t="shared" si="103"/>
        <v>4.43770314192849</v>
      </c>
    </row>
    <row r="3186" ht="14.4" spans="2:4">
      <c r="B3186" s="20">
        <v>12696</v>
      </c>
      <c r="C3186" s="21">
        <f t="shared" si="102"/>
        <v>12.9525805382829</v>
      </c>
      <c r="D3186" s="21">
        <f t="shared" si="103"/>
        <v>4.44251626898048</v>
      </c>
    </row>
    <row r="3187" ht="14.4" spans="2:4">
      <c r="B3187" s="20">
        <v>12700</v>
      </c>
      <c r="C3187" s="21">
        <f t="shared" si="102"/>
        <v>12.9620063554185</v>
      </c>
      <c r="D3187" s="21">
        <f t="shared" si="103"/>
        <v>4.44733984799131</v>
      </c>
    </row>
    <row r="3188" ht="14.4" spans="2:4">
      <c r="B3188" s="20">
        <v>12704</v>
      </c>
      <c r="C3188" s="21">
        <f t="shared" si="102"/>
        <v>12.9714424124444</v>
      </c>
      <c r="D3188" s="21">
        <f t="shared" si="103"/>
        <v>4.45217391304348</v>
      </c>
    </row>
    <row r="3189" ht="14.4" spans="2:4">
      <c r="B3189" s="20">
        <v>12708</v>
      </c>
      <c r="C3189" s="21">
        <f t="shared" si="102"/>
        <v>12.9808887316333</v>
      </c>
      <c r="D3189" s="21">
        <f t="shared" si="103"/>
        <v>4.45701849836779</v>
      </c>
    </row>
    <row r="3190" ht="14.4" spans="2:4">
      <c r="B3190" s="20">
        <v>12712</v>
      </c>
      <c r="C3190" s="21">
        <f t="shared" si="102"/>
        <v>12.9903453353306</v>
      </c>
      <c r="D3190" s="21">
        <f t="shared" si="103"/>
        <v>4.46187363834423</v>
      </c>
    </row>
    <row r="3191" ht="14.4" spans="2:4">
      <c r="B3191" s="20">
        <v>12716</v>
      </c>
      <c r="C3191" s="21">
        <f t="shared" si="102"/>
        <v>12.9998122459551</v>
      </c>
      <c r="D3191" s="21">
        <f t="shared" si="103"/>
        <v>4.46673936750273</v>
      </c>
    </row>
    <row r="3192" ht="14.4" spans="2:4">
      <c r="B3192" s="20">
        <v>12720</v>
      </c>
      <c r="C3192" s="21">
        <f t="shared" si="102"/>
        <v>13.0092894859985</v>
      </c>
      <c r="D3192" s="21">
        <f t="shared" si="103"/>
        <v>4.47161572052402</v>
      </c>
    </row>
    <row r="3193" ht="14.4" spans="2:4">
      <c r="B3193" s="20">
        <v>12724</v>
      </c>
      <c r="C3193" s="21">
        <f t="shared" si="102"/>
        <v>13.0187770780265</v>
      </c>
      <c r="D3193" s="21">
        <f t="shared" si="103"/>
        <v>4.47650273224044</v>
      </c>
    </row>
    <row r="3194" ht="14.4" spans="2:4">
      <c r="B3194" s="20">
        <v>12728</v>
      </c>
      <c r="C3194" s="21">
        <f t="shared" si="102"/>
        <v>13.0282750446789</v>
      </c>
      <c r="D3194" s="21">
        <f t="shared" si="103"/>
        <v>4.48140043763676</v>
      </c>
    </row>
    <row r="3195" ht="14.4" spans="2:4">
      <c r="B3195" s="20">
        <v>12732</v>
      </c>
      <c r="C3195" s="21">
        <f t="shared" si="102"/>
        <v>13.0377834086695</v>
      </c>
      <c r="D3195" s="21">
        <f t="shared" si="103"/>
        <v>4.48630887185104</v>
      </c>
    </row>
    <row r="3196" ht="14.4" spans="2:4">
      <c r="B3196" s="20">
        <v>12736</v>
      </c>
      <c r="C3196" s="21">
        <f t="shared" si="102"/>
        <v>13.0473021927872</v>
      </c>
      <c r="D3196" s="21">
        <f t="shared" si="103"/>
        <v>4.49122807017544</v>
      </c>
    </row>
    <row r="3197" ht="14.4" spans="2:4">
      <c r="B3197" s="20">
        <v>12740</v>
      </c>
      <c r="C3197" s="21">
        <f t="shared" si="102"/>
        <v>13.0568314198955</v>
      </c>
      <c r="D3197" s="21">
        <f t="shared" si="103"/>
        <v>4.49615806805708</v>
      </c>
    </row>
    <row r="3198" ht="14.4" spans="2:4">
      <c r="B3198" s="20">
        <v>12744</v>
      </c>
      <c r="C3198" s="21">
        <f t="shared" si="102"/>
        <v>13.0663711129336</v>
      </c>
      <c r="D3198" s="21">
        <f t="shared" si="103"/>
        <v>4.5010989010989</v>
      </c>
    </row>
    <row r="3199" ht="14.4" spans="2:4">
      <c r="B3199" s="20">
        <v>12748</v>
      </c>
      <c r="C3199" s="21">
        <f t="shared" si="102"/>
        <v>13.0759212949161</v>
      </c>
      <c r="D3199" s="21">
        <f t="shared" si="103"/>
        <v>4.50605060506051</v>
      </c>
    </row>
    <row r="3200" ht="14.4" spans="2:4">
      <c r="B3200" s="20">
        <v>12752</v>
      </c>
      <c r="C3200" s="21">
        <f t="shared" si="102"/>
        <v>13.0854819889338</v>
      </c>
      <c r="D3200" s="21">
        <f t="shared" si="103"/>
        <v>4.51101321585903</v>
      </c>
    </row>
    <row r="3201" ht="14.4" spans="2:4">
      <c r="B3201" s="20">
        <v>12756</v>
      </c>
      <c r="C3201" s="21">
        <f t="shared" si="102"/>
        <v>13.0950532181536</v>
      </c>
      <c r="D3201" s="21">
        <f t="shared" si="103"/>
        <v>4.51598676957001</v>
      </c>
    </row>
    <row r="3202" ht="14.4" spans="2:4">
      <c r="B3202" s="20">
        <v>12760</v>
      </c>
      <c r="C3202" s="21">
        <f t="shared" si="102"/>
        <v>13.1046350058192</v>
      </c>
      <c r="D3202" s="21">
        <f t="shared" si="103"/>
        <v>4.52097130242826</v>
      </c>
    </row>
    <row r="3203" ht="14.4" spans="2:4">
      <c r="B3203" s="20">
        <v>12764</v>
      </c>
      <c r="C3203" s="21">
        <f t="shared" si="102"/>
        <v>13.1142273752514</v>
      </c>
      <c r="D3203" s="21">
        <f t="shared" si="103"/>
        <v>4.52596685082873</v>
      </c>
    </row>
    <row r="3204" ht="14.4" spans="2:4">
      <c r="B3204" s="20">
        <v>12768</v>
      </c>
      <c r="C3204" s="21">
        <f t="shared" si="102"/>
        <v>13.1238303498482</v>
      </c>
      <c r="D3204" s="21">
        <f t="shared" si="103"/>
        <v>4.53097345132743</v>
      </c>
    </row>
    <row r="3205" ht="14.4" spans="2:4">
      <c r="B3205" s="20">
        <v>12772</v>
      </c>
      <c r="C3205" s="21">
        <f t="shared" si="102"/>
        <v>13.1334439530854</v>
      </c>
      <c r="D3205" s="21">
        <f t="shared" si="103"/>
        <v>4.5359911406423</v>
      </c>
    </row>
    <row r="3206" ht="14.4" spans="2:4">
      <c r="B3206" s="20">
        <v>12776</v>
      </c>
      <c r="C3206" s="21">
        <f t="shared" ref="C3206:C3269" si="104">20*LOG(D3206)</f>
        <v>13.1430682085167</v>
      </c>
      <c r="D3206" s="21">
        <f t="shared" ref="D3206:D3269" si="105">16384/(16384-B3206)</f>
        <v>4.5410199556541</v>
      </c>
    </row>
    <row r="3207" ht="14.4" spans="2:4">
      <c r="B3207" s="20">
        <v>12780</v>
      </c>
      <c r="C3207" s="21">
        <f t="shared" si="104"/>
        <v>13.1527031397742</v>
      </c>
      <c r="D3207" s="21">
        <f t="shared" si="105"/>
        <v>4.54605993340733</v>
      </c>
    </row>
    <row r="3208" ht="14.4" spans="2:4">
      <c r="B3208" s="20">
        <v>12784</v>
      </c>
      <c r="C3208" s="21">
        <f t="shared" si="104"/>
        <v>13.162348770569</v>
      </c>
      <c r="D3208" s="21">
        <f t="shared" si="105"/>
        <v>4.55111111111111</v>
      </c>
    </row>
    <row r="3209" ht="14.4" spans="2:4">
      <c r="B3209" s="20">
        <v>12788</v>
      </c>
      <c r="C3209" s="21">
        <f t="shared" si="104"/>
        <v>13.1720051246909</v>
      </c>
      <c r="D3209" s="21">
        <f t="shared" si="105"/>
        <v>4.55617352614016</v>
      </c>
    </row>
    <row r="3210" ht="14.4" spans="2:4">
      <c r="B3210" s="20">
        <v>12792</v>
      </c>
      <c r="C3210" s="21">
        <f t="shared" si="104"/>
        <v>13.1816722260094</v>
      </c>
      <c r="D3210" s="21">
        <f t="shared" si="105"/>
        <v>4.56124721603563</v>
      </c>
    </row>
    <row r="3211" ht="14.4" spans="2:4">
      <c r="B3211" s="20">
        <v>12796</v>
      </c>
      <c r="C3211" s="21">
        <f t="shared" si="104"/>
        <v>13.1913500984736</v>
      </c>
      <c r="D3211" s="21">
        <f t="shared" si="105"/>
        <v>4.56633221850613</v>
      </c>
    </row>
    <row r="3212" ht="14.4" spans="2:4">
      <c r="B3212" s="20">
        <v>12800</v>
      </c>
      <c r="C3212" s="21">
        <f t="shared" si="104"/>
        <v>13.201038766113</v>
      </c>
      <c r="D3212" s="21">
        <f t="shared" si="105"/>
        <v>4.57142857142857</v>
      </c>
    </row>
    <row r="3213" ht="14.4" spans="2:4">
      <c r="B3213" s="20">
        <v>12804</v>
      </c>
      <c r="C3213" s="21">
        <f t="shared" si="104"/>
        <v>13.2107382530372</v>
      </c>
      <c r="D3213" s="21">
        <f t="shared" si="105"/>
        <v>4.57653631284916</v>
      </c>
    </row>
    <row r="3214" ht="14.4" spans="2:4">
      <c r="B3214" s="20">
        <v>12808</v>
      </c>
      <c r="C3214" s="21">
        <f t="shared" si="104"/>
        <v>13.2204485834371</v>
      </c>
      <c r="D3214" s="21">
        <f t="shared" si="105"/>
        <v>4.58165548098434</v>
      </c>
    </row>
    <row r="3215" ht="14.4" spans="2:4">
      <c r="B3215" s="20">
        <v>12812</v>
      </c>
      <c r="C3215" s="21">
        <f t="shared" si="104"/>
        <v>13.2301697815846</v>
      </c>
      <c r="D3215" s="21">
        <f t="shared" si="105"/>
        <v>4.58678611422172</v>
      </c>
    </row>
    <row r="3216" ht="14.4" spans="2:4">
      <c r="B3216" s="20">
        <v>12816</v>
      </c>
      <c r="C3216" s="21">
        <f t="shared" si="104"/>
        <v>13.239901871833</v>
      </c>
      <c r="D3216" s="21">
        <f t="shared" si="105"/>
        <v>4.59192825112108</v>
      </c>
    </row>
    <row r="3217" ht="14.4" spans="2:4">
      <c r="B3217" s="20">
        <v>12820</v>
      </c>
      <c r="C3217" s="21">
        <f t="shared" si="104"/>
        <v>13.249644878618</v>
      </c>
      <c r="D3217" s="21">
        <f t="shared" si="105"/>
        <v>4.59708193041526</v>
      </c>
    </row>
    <row r="3218" ht="14.4" spans="2:4">
      <c r="B3218" s="20">
        <v>12824</v>
      </c>
      <c r="C3218" s="21">
        <f t="shared" si="104"/>
        <v>13.2593988264572</v>
      </c>
      <c r="D3218" s="21">
        <f t="shared" si="105"/>
        <v>4.60224719101124</v>
      </c>
    </row>
    <row r="3219" ht="14.4" spans="2:4">
      <c r="B3219" s="20">
        <v>12828</v>
      </c>
      <c r="C3219" s="21">
        <f t="shared" si="104"/>
        <v>13.2691637399512</v>
      </c>
      <c r="D3219" s="21">
        <f t="shared" si="105"/>
        <v>4.607424071991</v>
      </c>
    </row>
    <row r="3220" ht="14.4" spans="2:4">
      <c r="B3220" s="20">
        <v>12832</v>
      </c>
      <c r="C3220" s="21">
        <f t="shared" si="104"/>
        <v>13.2789396437835</v>
      </c>
      <c r="D3220" s="21">
        <f t="shared" si="105"/>
        <v>4.61261261261261</v>
      </c>
    </row>
    <row r="3221" ht="14.4" spans="2:4">
      <c r="B3221" s="20">
        <v>12836</v>
      </c>
      <c r="C3221" s="21">
        <f t="shared" si="104"/>
        <v>13.288726562721</v>
      </c>
      <c r="D3221" s="21">
        <f t="shared" si="105"/>
        <v>4.61781285231116</v>
      </c>
    </row>
    <row r="3222" ht="14.4" spans="2:4">
      <c r="B3222" s="20">
        <v>12840</v>
      </c>
      <c r="C3222" s="21">
        <f t="shared" si="104"/>
        <v>13.2985245216145</v>
      </c>
      <c r="D3222" s="21">
        <f t="shared" si="105"/>
        <v>4.62302483069977</v>
      </c>
    </row>
    <row r="3223" ht="14.4" spans="2:4">
      <c r="B3223" s="20">
        <v>12844</v>
      </c>
      <c r="C3223" s="21">
        <f t="shared" si="104"/>
        <v>13.308333545399</v>
      </c>
      <c r="D3223" s="21">
        <f t="shared" si="105"/>
        <v>4.62824858757062</v>
      </c>
    </row>
    <row r="3224" ht="14.4" spans="2:4">
      <c r="B3224" s="20">
        <v>12848</v>
      </c>
      <c r="C3224" s="21">
        <f t="shared" si="104"/>
        <v>13.318153659094</v>
      </c>
      <c r="D3224" s="21">
        <f t="shared" si="105"/>
        <v>4.63348416289593</v>
      </c>
    </row>
    <row r="3225" ht="14.4" spans="2:4">
      <c r="B3225" s="20">
        <v>12852</v>
      </c>
      <c r="C3225" s="21">
        <f t="shared" si="104"/>
        <v>13.3279848878041</v>
      </c>
      <c r="D3225" s="21">
        <f t="shared" si="105"/>
        <v>4.63873159682899</v>
      </c>
    </row>
    <row r="3226" ht="14.4" spans="2:4">
      <c r="B3226" s="20">
        <v>12856</v>
      </c>
      <c r="C3226" s="21">
        <f t="shared" si="104"/>
        <v>13.3378272567191</v>
      </c>
      <c r="D3226" s="21">
        <f t="shared" si="105"/>
        <v>4.64399092970522</v>
      </c>
    </row>
    <row r="3227" ht="14.4" spans="2:4">
      <c r="B3227" s="20">
        <v>12860</v>
      </c>
      <c r="C3227" s="21">
        <f t="shared" si="104"/>
        <v>13.3476807911145</v>
      </c>
      <c r="D3227" s="21">
        <f t="shared" si="105"/>
        <v>4.64926220204313</v>
      </c>
    </row>
    <row r="3228" ht="14.4" spans="2:4">
      <c r="B3228" s="20">
        <v>12864</v>
      </c>
      <c r="C3228" s="21">
        <f t="shared" si="104"/>
        <v>13.3575455163521</v>
      </c>
      <c r="D3228" s="21">
        <f t="shared" si="105"/>
        <v>4.65454545454545</v>
      </c>
    </row>
    <row r="3229" ht="14.4" spans="2:4">
      <c r="B3229" s="20">
        <v>12868</v>
      </c>
      <c r="C3229" s="21">
        <f t="shared" si="104"/>
        <v>13.36742145788</v>
      </c>
      <c r="D3229" s="21">
        <f t="shared" si="105"/>
        <v>4.65984072810011</v>
      </c>
    </row>
    <row r="3230" ht="14.4" spans="2:4">
      <c r="B3230" s="20">
        <v>12872</v>
      </c>
      <c r="C3230" s="21">
        <f t="shared" si="104"/>
        <v>13.3773086412334</v>
      </c>
      <c r="D3230" s="21">
        <f t="shared" si="105"/>
        <v>4.66514806378132</v>
      </c>
    </row>
    <row r="3231" ht="14.4" spans="2:4">
      <c r="B3231" s="20">
        <v>12876</v>
      </c>
      <c r="C3231" s="21">
        <f t="shared" si="104"/>
        <v>13.3872070920347</v>
      </c>
      <c r="D3231" s="21">
        <f t="shared" si="105"/>
        <v>4.67046750285063</v>
      </c>
    </row>
    <row r="3232" ht="14.4" spans="2:4">
      <c r="B3232" s="20">
        <v>12880</v>
      </c>
      <c r="C3232" s="21">
        <f t="shared" si="104"/>
        <v>13.3971168359939</v>
      </c>
      <c r="D3232" s="21">
        <f t="shared" si="105"/>
        <v>4.67579908675799</v>
      </c>
    </row>
    <row r="3233" ht="14.4" spans="2:4">
      <c r="B3233" s="20">
        <v>12884</v>
      </c>
      <c r="C3233" s="21">
        <f t="shared" si="104"/>
        <v>13.4070378989092</v>
      </c>
      <c r="D3233" s="21">
        <f t="shared" si="105"/>
        <v>4.68114285714286</v>
      </c>
    </row>
    <row r="3234" ht="14.4" spans="2:4">
      <c r="B3234" s="20">
        <v>12888</v>
      </c>
      <c r="C3234" s="21">
        <f t="shared" si="104"/>
        <v>13.4169703066674</v>
      </c>
      <c r="D3234" s="21">
        <f t="shared" si="105"/>
        <v>4.68649885583524</v>
      </c>
    </row>
    <row r="3235" ht="14.4" spans="2:4">
      <c r="B3235" s="20">
        <v>12892</v>
      </c>
      <c r="C3235" s="21">
        <f t="shared" si="104"/>
        <v>13.4269140852441</v>
      </c>
      <c r="D3235" s="21">
        <f t="shared" si="105"/>
        <v>4.69186712485682</v>
      </c>
    </row>
    <row r="3236" ht="14.4" spans="2:4">
      <c r="B3236" s="20">
        <v>12896</v>
      </c>
      <c r="C3236" s="21">
        <f t="shared" si="104"/>
        <v>13.4368692607041</v>
      </c>
      <c r="D3236" s="21">
        <f t="shared" si="105"/>
        <v>4.69724770642202</v>
      </c>
    </row>
    <row r="3237" ht="14.4" spans="2:4">
      <c r="B3237" s="20">
        <v>12900</v>
      </c>
      <c r="C3237" s="21">
        <f t="shared" si="104"/>
        <v>13.4468358592022</v>
      </c>
      <c r="D3237" s="21">
        <f t="shared" si="105"/>
        <v>4.70264064293915</v>
      </c>
    </row>
    <row r="3238" ht="14.4" spans="2:4">
      <c r="B3238" s="20">
        <v>12904</v>
      </c>
      <c r="C3238" s="21">
        <f t="shared" si="104"/>
        <v>13.4568139069831</v>
      </c>
      <c r="D3238" s="21">
        <f t="shared" si="105"/>
        <v>4.70804597701149</v>
      </c>
    </row>
    <row r="3239" ht="14.4" spans="2:4">
      <c r="B3239" s="20">
        <v>12908</v>
      </c>
      <c r="C3239" s="21">
        <f t="shared" si="104"/>
        <v>13.4668034303822</v>
      </c>
      <c r="D3239" s="21">
        <f t="shared" si="105"/>
        <v>4.71346375143843</v>
      </c>
    </row>
    <row r="3240" ht="14.4" spans="2:4">
      <c r="B3240" s="20">
        <v>12912</v>
      </c>
      <c r="C3240" s="21">
        <f t="shared" si="104"/>
        <v>13.4768044558256</v>
      </c>
      <c r="D3240" s="21">
        <f t="shared" si="105"/>
        <v>4.71889400921659</v>
      </c>
    </row>
    <row r="3241" ht="14.4" spans="2:4">
      <c r="B3241" s="20">
        <v>12916</v>
      </c>
      <c r="C3241" s="21">
        <f t="shared" si="104"/>
        <v>13.4868170098313</v>
      </c>
      <c r="D3241" s="21">
        <f t="shared" si="105"/>
        <v>4.72433679354095</v>
      </c>
    </row>
    <row r="3242" ht="14.4" spans="2:4">
      <c r="B3242" s="20">
        <v>12920</v>
      </c>
      <c r="C3242" s="21">
        <f t="shared" si="104"/>
        <v>13.4968411190086</v>
      </c>
      <c r="D3242" s="21">
        <f t="shared" si="105"/>
        <v>4.729792147806</v>
      </c>
    </row>
    <row r="3243" ht="14.4" spans="2:4">
      <c r="B3243" s="20">
        <v>12924</v>
      </c>
      <c r="C3243" s="21">
        <f t="shared" si="104"/>
        <v>13.5068768100592</v>
      </c>
      <c r="D3243" s="21">
        <f t="shared" si="105"/>
        <v>4.73526011560694</v>
      </c>
    </row>
    <row r="3244" ht="14.4" spans="2:4">
      <c r="B3244" s="20">
        <v>12928</v>
      </c>
      <c r="C3244" s="21">
        <f t="shared" si="104"/>
        <v>13.5169241097776</v>
      </c>
      <c r="D3244" s="21">
        <f t="shared" si="105"/>
        <v>4.74074074074074</v>
      </c>
    </row>
    <row r="3245" ht="14.4" spans="2:4">
      <c r="B3245" s="20">
        <v>12932</v>
      </c>
      <c r="C3245" s="21">
        <f t="shared" si="104"/>
        <v>13.5269830450513</v>
      </c>
      <c r="D3245" s="21">
        <f t="shared" si="105"/>
        <v>4.74623406720742</v>
      </c>
    </row>
    <row r="3246" ht="14.4" spans="2:4">
      <c r="B3246" s="20">
        <v>12936</v>
      </c>
      <c r="C3246" s="21">
        <f t="shared" si="104"/>
        <v>13.5370536428612</v>
      </c>
      <c r="D3246" s="21">
        <f t="shared" si="105"/>
        <v>4.75174013921114</v>
      </c>
    </row>
    <row r="3247" ht="14.4" spans="2:4">
      <c r="B3247" s="20">
        <v>12940</v>
      </c>
      <c r="C3247" s="21">
        <f t="shared" si="104"/>
        <v>13.5471359302824</v>
      </c>
      <c r="D3247" s="21">
        <f t="shared" si="105"/>
        <v>4.75725900116144</v>
      </c>
    </row>
    <row r="3248" ht="14.4" spans="2:4">
      <c r="B3248" s="20">
        <v>12944</v>
      </c>
      <c r="C3248" s="21">
        <f t="shared" si="104"/>
        <v>13.5572299344841</v>
      </c>
      <c r="D3248" s="21">
        <f t="shared" si="105"/>
        <v>4.76279069767442</v>
      </c>
    </row>
    <row r="3249" ht="14.4" spans="2:4">
      <c r="B3249" s="20">
        <v>12948</v>
      </c>
      <c r="C3249" s="21">
        <f t="shared" si="104"/>
        <v>13.5673356827306</v>
      </c>
      <c r="D3249" s="21">
        <f t="shared" si="105"/>
        <v>4.76833527357392</v>
      </c>
    </row>
    <row r="3250" ht="14.4" spans="2:4">
      <c r="B3250" s="20">
        <v>12952</v>
      </c>
      <c r="C3250" s="21">
        <f t="shared" si="104"/>
        <v>13.5774532023814</v>
      </c>
      <c r="D3250" s="21">
        <f t="shared" si="105"/>
        <v>4.77389277389277</v>
      </c>
    </row>
    <row r="3251" ht="14.4" spans="2:4">
      <c r="B3251" s="20">
        <v>12956</v>
      </c>
      <c r="C3251" s="21">
        <f t="shared" si="104"/>
        <v>13.5875825208915</v>
      </c>
      <c r="D3251" s="21">
        <f t="shared" si="105"/>
        <v>4.77946324387398</v>
      </c>
    </row>
    <row r="3252" ht="14.4" spans="2:4">
      <c r="B3252" s="20">
        <v>12960</v>
      </c>
      <c r="C3252" s="21">
        <f t="shared" si="104"/>
        <v>13.5977236658124</v>
      </c>
      <c r="D3252" s="21">
        <f t="shared" si="105"/>
        <v>4.78504672897196</v>
      </c>
    </row>
    <row r="3253" ht="14.4" spans="2:4">
      <c r="B3253" s="20">
        <v>12964</v>
      </c>
      <c r="C3253" s="21">
        <f t="shared" si="104"/>
        <v>13.607876664792</v>
      </c>
      <c r="D3253" s="21">
        <f t="shared" si="105"/>
        <v>4.7906432748538</v>
      </c>
    </row>
    <row r="3254" ht="14.4" spans="2:4">
      <c r="B3254" s="20">
        <v>12968</v>
      </c>
      <c r="C3254" s="21">
        <f t="shared" si="104"/>
        <v>13.6180415455754</v>
      </c>
      <c r="D3254" s="21">
        <f t="shared" si="105"/>
        <v>4.79625292740047</v>
      </c>
    </row>
    <row r="3255" ht="14.4" spans="2:4">
      <c r="B3255" s="20">
        <v>12972</v>
      </c>
      <c r="C3255" s="21">
        <f t="shared" si="104"/>
        <v>13.628218336005</v>
      </c>
      <c r="D3255" s="21">
        <f t="shared" si="105"/>
        <v>4.80187573270809</v>
      </c>
    </row>
    <row r="3256" ht="14.4" spans="2:4">
      <c r="B3256" s="20">
        <v>12976</v>
      </c>
      <c r="C3256" s="21">
        <f t="shared" si="104"/>
        <v>13.6384070640215</v>
      </c>
      <c r="D3256" s="21">
        <f t="shared" si="105"/>
        <v>4.8075117370892</v>
      </c>
    </row>
    <row r="3257" ht="14.4" spans="2:4">
      <c r="B3257" s="20">
        <v>12980</v>
      </c>
      <c r="C3257" s="21">
        <f t="shared" si="104"/>
        <v>13.6486077576637</v>
      </c>
      <c r="D3257" s="21">
        <f t="shared" si="105"/>
        <v>4.81316098707403</v>
      </c>
    </row>
    <row r="3258" ht="14.4" spans="2:4">
      <c r="B3258" s="20">
        <v>12984</v>
      </c>
      <c r="C3258" s="21">
        <f t="shared" si="104"/>
        <v>13.6588204450696</v>
      </c>
      <c r="D3258" s="21">
        <f t="shared" si="105"/>
        <v>4.81882352941176</v>
      </c>
    </row>
    <row r="3259" ht="14.4" spans="2:4">
      <c r="B3259" s="20">
        <v>12988</v>
      </c>
      <c r="C3259" s="21">
        <f t="shared" si="104"/>
        <v>13.6690451544764</v>
      </c>
      <c r="D3259" s="21">
        <f t="shared" si="105"/>
        <v>4.82449941107185</v>
      </c>
    </row>
    <row r="3260" ht="14.4" spans="2:4">
      <c r="B3260" s="20">
        <v>12992</v>
      </c>
      <c r="C3260" s="21">
        <f t="shared" si="104"/>
        <v>13.6792819142212</v>
      </c>
      <c r="D3260" s="21">
        <f t="shared" si="105"/>
        <v>4.83018867924528</v>
      </c>
    </row>
    <row r="3261" ht="14.4" spans="2:4">
      <c r="B3261" s="20">
        <v>12996</v>
      </c>
      <c r="C3261" s="21">
        <f t="shared" si="104"/>
        <v>13.6895307527413</v>
      </c>
      <c r="D3261" s="21">
        <f t="shared" si="105"/>
        <v>4.83589138134593</v>
      </c>
    </row>
    <row r="3262" ht="14.4" spans="2:4">
      <c r="B3262" s="20">
        <v>13000</v>
      </c>
      <c r="C3262" s="21">
        <f t="shared" si="104"/>
        <v>13.699791698575</v>
      </c>
      <c r="D3262" s="21">
        <f t="shared" si="105"/>
        <v>4.84160756501182</v>
      </c>
    </row>
    <row r="3263" ht="14.4" spans="2:4">
      <c r="B3263" s="20">
        <v>13004</v>
      </c>
      <c r="C3263" s="21">
        <f t="shared" si="104"/>
        <v>13.7100647803616</v>
      </c>
      <c r="D3263" s="21">
        <f t="shared" si="105"/>
        <v>4.84733727810651</v>
      </c>
    </row>
    <row r="3264" ht="14.4" spans="2:4">
      <c r="B3264" s="20">
        <v>13008</v>
      </c>
      <c r="C3264" s="21">
        <f t="shared" si="104"/>
        <v>13.7203500268424</v>
      </c>
      <c r="D3264" s="21">
        <f t="shared" si="105"/>
        <v>4.85308056872038</v>
      </c>
    </row>
    <row r="3265" ht="14.4" spans="2:4">
      <c r="B3265" s="20">
        <v>13012</v>
      </c>
      <c r="C3265" s="21">
        <f t="shared" si="104"/>
        <v>13.7306474668606</v>
      </c>
      <c r="D3265" s="21">
        <f t="shared" si="105"/>
        <v>4.85883748517201</v>
      </c>
    </row>
    <row r="3266" ht="14.4" spans="2:4">
      <c r="B3266" s="20">
        <v>13016</v>
      </c>
      <c r="C3266" s="21">
        <f t="shared" si="104"/>
        <v>13.7409571293625</v>
      </c>
      <c r="D3266" s="21">
        <f t="shared" si="105"/>
        <v>4.8646080760095</v>
      </c>
    </row>
    <row r="3267" ht="14.4" spans="2:4">
      <c r="B3267" s="20">
        <v>13020</v>
      </c>
      <c r="C3267" s="21">
        <f t="shared" si="104"/>
        <v>13.7512790433972</v>
      </c>
      <c r="D3267" s="21">
        <f t="shared" si="105"/>
        <v>4.87039239001189</v>
      </c>
    </row>
    <row r="3268" ht="14.4" spans="2:4">
      <c r="B3268" s="20">
        <v>13024</v>
      </c>
      <c r="C3268" s="21">
        <f t="shared" si="104"/>
        <v>13.7616132381179</v>
      </c>
      <c r="D3268" s="21">
        <f t="shared" si="105"/>
        <v>4.87619047619048</v>
      </c>
    </row>
    <row r="3269" ht="14.4" spans="2:4">
      <c r="B3269" s="20">
        <v>13028</v>
      </c>
      <c r="C3269" s="21">
        <f t="shared" si="104"/>
        <v>13.7719597427815</v>
      </c>
      <c r="D3269" s="21">
        <f t="shared" si="105"/>
        <v>4.88200238379023</v>
      </c>
    </row>
    <row r="3270" ht="14.4" spans="2:4">
      <c r="B3270" s="20">
        <v>13032</v>
      </c>
      <c r="C3270" s="21">
        <f t="shared" ref="C3270:C3333" si="106">20*LOG(D3270)</f>
        <v>13.78231858675</v>
      </c>
      <c r="D3270" s="21">
        <f t="shared" ref="D3270:D3333" si="107">16384/(16384-B3270)</f>
        <v>4.88782816229117</v>
      </c>
    </row>
    <row r="3271" ht="14.4" spans="2:4">
      <c r="B3271" s="20">
        <v>13036</v>
      </c>
      <c r="C3271" s="21">
        <f t="shared" si="106"/>
        <v>13.7926897994903</v>
      </c>
      <c r="D3271" s="21">
        <f t="shared" si="107"/>
        <v>4.8936678614098</v>
      </c>
    </row>
    <row r="3272" ht="14.4" spans="2:4">
      <c r="B3272" s="20">
        <v>13040</v>
      </c>
      <c r="C3272" s="21">
        <f t="shared" si="106"/>
        <v>13.8030734105752</v>
      </c>
      <c r="D3272" s="21">
        <f t="shared" si="107"/>
        <v>4.89952153110048</v>
      </c>
    </row>
    <row r="3273" ht="14.4" spans="2:4">
      <c r="B3273" s="20">
        <v>13044</v>
      </c>
      <c r="C3273" s="21">
        <f t="shared" si="106"/>
        <v>13.8134694496834</v>
      </c>
      <c r="D3273" s="21">
        <f t="shared" si="107"/>
        <v>4.90538922155689</v>
      </c>
    </row>
    <row r="3274" ht="14.4" spans="2:4">
      <c r="B3274" s="20">
        <v>13048</v>
      </c>
      <c r="C3274" s="21">
        <f t="shared" si="106"/>
        <v>13.8238779466007</v>
      </c>
      <c r="D3274" s="21">
        <f t="shared" si="107"/>
        <v>4.91127098321343</v>
      </c>
    </row>
    <row r="3275" ht="14.4" spans="2:4">
      <c r="B3275" s="20">
        <v>13052</v>
      </c>
      <c r="C3275" s="21">
        <f t="shared" si="106"/>
        <v>13.8342989312197</v>
      </c>
      <c r="D3275" s="21">
        <f t="shared" si="107"/>
        <v>4.9171668667467</v>
      </c>
    </row>
    <row r="3276" ht="14.4" spans="2:4">
      <c r="B3276" s="20">
        <v>13056</v>
      </c>
      <c r="C3276" s="21">
        <f t="shared" si="106"/>
        <v>13.844732433541</v>
      </c>
      <c r="D3276" s="21">
        <f t="shared" si="107"/>
        <v>4.92307692307692</v>
      </c>
    </row>
    <row r="3277" ht="14.4" spans="2:4">
      <c r="B3277" s="20">
        <v>13060</v>
      </c>
      <c r="C3277" s="21">
        <f t="shared" si="106"/>
        <v>13.8551784836733</v>
      </c>
      <c r="D3277" s="21">
        <f t="shared" si="107"/>
        <v>4.92900120336943</v>
      </c>
    </row>
    <row r="3278" ht="14.4" spans="2:4">
      <c r="B3278" s="20">
        <v>13064</v>
      </c>
      <c r="C3278" s="21">
        <f t="shared" si="106"/>
        <v>13.865637111834</v>
      </c>
      <c r="D3278" s="21">
        <f t="shared" si="107"/>
        <v>4.93493975903615</v>
      </c>
    </row>
    <row r="3279" ht="14.4" spans="2:4">
      <c r="B3279" s="20">
        <v>13068</v>
      </c>
      <c r="C3279" s="21">
        <f t="shared" si="106"/>
        <v>13.87610834835</v>
      </c>
      <c r="D3279" s="21">
        <f t="shared" si="107"/>
        <v>4.94089264173703</v>
      </c>
    </row>
    <row r="3280" ht="14.4" spans="2:4">
      <c r="B3280" s="20">
        <v>13072</v>
      </c>
      <c r="C3280" s="21">
        <f t="shared" si="106"/>
        <v>13.8865922236579</v>
      </c>
      <c r="D3280" s="21">
        <f t="shared" si="107"/>
        <v>4.94685990338164</v>
      </c>
    </row>
    <row r="3281" ht="14.4" spans="2:4">
      <c r="B3281" s="20">
        <v>13076</v>
      </c>
      <c r="C3281" s="21">
        <f t="shared" si="106"/>
        <v>13.8970887683046</v>
      </c>
      <c r="D3281" s="21">
        <f t="shared" si="107"/>
        <v>4.95284159613059</v>
      </c>
    </row>
    <row r="3282" ht="14.4" spans="2:4">
      <c r="B3282" s="20">
        <v>13080</v>
      </c>
      <c r="C3282" s="21">
        <f t="shared" si="106"/>
        <v>13.9075980129478</v>
      </c>
      <c r="D3282" s="21">
        <f t="shared" si="107"/>
        <v>4.95883777239709</v>
      </c>
    </row>
    <row r="3283" ht="14.4" spans="2:4">
      <c r="B3283" s="20">
        <v>13084</v>
      </c>
      <c r="C3283" s="21">
        <f t="shared" si="106"/>
        <v>13.918119988357</v>
      </c>
      <c r="D3283" s="21">
        <f t="shared" si="107"/>
        <v>4.96484848484848</v>
      </c>
    </row>
    <row r="3284" ht="14.4" spans="2:4">
      <c r="B3284" s="20">
        <v>13088</v>
      </c>
      <c r="C3284" s="21">
        <f t="shared" si="106"/>
        <v>13.9286547254132</v>
      </c>
      <c r="D3284" s="21">
        <f t="shared" si="107"/>
        <v>4.97087378640777</v>
      </c>
    </row>
    <row r="3285" ht="14.4" spans="2:4">
      <c r="B3285" s="20">
        <v>13092</v>
      </c>
      <c r="C3285" s="21">
        <f t="shared" si="106"/>
        <v>13.9392022551101</v>
      </c>
      <c r="D3285" s="21">
        <f t="shared" si="107"/>
        <v>4.97691373025516</v>
      </c>
    </row>
    <row r="3286" ht="14.4" spans="2:4">
      <c r="B3286" s="20">
        <v>13096</v>
      </c>
      <c r="C3286" s="21">
        <f t="shared" si="106"/>
        <v>13.9497626085545</v>
      </c>
      <c r="D3286" s="21">
        <f t="shared" si="107"/>
        <v>4.98296836982968</v>
      </c>
    </row>
    <row r="3287" ht="14.4" spans="2:4">
      <c r="B3287" s="20">
        <v>13100</v>
      </c>
      <c r="C3287" s="21">
        <f t="shared" si="106"/>
        <v>13.9603358169667</v>
      </c>
      <c r="D3287" s="21">
        <f t="shared" si="107"/>
        <v>4.98903775883069</v>
      </c>
    </row>
    <row r="3288" ht="14.4" spans="2:4">
      <c r="B3288" s="20">
        <v>13104</v>
      </c>
      <c r="C3288" s="21">
        <f t="shared" si="106"/>
        <v>13.9709219116812</v>
      </c>
      <c r="D3288" s="21">
        <f t="shared" si="107"/>
        <v>4.99512195121951</v>
      </c>
    </row>
    <row r="3289" ht="14.4" spans="2:4">
      <c r="B3289" s="20">
        <v>13108</v>
      </c>
      <c r="C3289" s="21">
        <f t="shared" si="106"/>
        <v>13.9815209241471</v>
      </c>
      <c r="D3289" s="21">
        <f t="shared" si="107"/>
        <v>5.001221001221</v>
      </c>
    </row>
    <row r="3290" ht="14.4" spans="2:4">
      <c r="B3290" s="20">
        <v>13112</v>
      </c>
      <c r="C3290" s="21">
        <f t="shared" si="106"/>
        <v>13.992132885929</v>
      </c>
      <c r="D3290" s="21">
        <f t="shared" si="107"/>
        <v>5.00733496332518</v>
      </c>
    </row>
    <row r="3291" ht="14.4" spans="2:4">
      <c r="B3291" s="20">
        <v>13116</v>
      </c>
      <c r="C3291" s="21">
        <f t="shared" si="106"/>
        <v>14.0027578287072</v>
      </c>
      <c r="D3291" s="21">
        <f t="shared" si="107"/>
        <v>5.01346389228886</v>
      </c>
    </row>
    <row r="3292" ht="14.4" spans="2:4">
      <c r="B3292" s="20">
        <v>13120</v>
      </c>
      <c r="C3292" s="21">
        <f t="shared" si="106"/>
        <v>14.0133957842783</v>
      </c>
      <c r="D3292" s="21">
        <f t="shared" si="107"/>
        <v>5.01960784313725</v>
      </c>
    </row>
    <row r="3293" ht="14.4" spans="2:4">
      <c r="B3293" s="20">
        <v>13124</v>
      </c>
      <c r="C3293" s="21">
        <f t="shared" si="106"/>
        <v>14.024046784556</v>
      </c>
      <c r="D3293" s="21">
        <f t="shared" si="107"/>
        <v>5.02576687116564</v>
      </c>
    </row>
    <row r="3294" ht="14.4" spans="2:4">
      <c r="B3294" s="20">
        <v>13128</v>
      </c>
      <c r="C3294" s="21">
        <f t="shared" si="106"/>
        <v>14.0347108615715</v>
      </c>
      <c r="D3294" s="21">
        <f t="shared" si="107"/>
        <v>5.03194103194103</v>
      </c>
    </row>
    <row r="3295" ht="14.4" spans="2:4">
      <c r="B3295" s="20">
        <v>13132</v>
      </c>
      <c r="C3295" s="21">
        <f t="shared" si="106"/>
        <v>14.0453880474741</v>
      </c>
      <c r="D3295" s="21">
        <f t="shared" si="107"/>
        <v>5.03813038130381</v>
      </c>
    </row>
    <row r="3296" ht="14.4" spans="2:4">
      <c r="B3296" s="20">
        <v>13136</v>
      </c>
      <c r="C3296" s="21">
        <f t="shared" si="106"/>
        <v>14.056078374532</v>
      </c>
      <c r="D3296" s="21">
        <f t="shared" si="107"/>
        <v>5.04433497536946</v>
      </c>
    </row>
    <row r="3297" ht="14.4" spans="2:4">
      <c r="B3297" s="20">
        <v>13140</v>
      </c>
      <c r="C3297" s="21">
        <f t="shared" si="106"/>
        <v>14.0667818751324</v>
      </c>
      <c r="D3297" s="21">
        <f t="shared" si="107"/>
        <v>5.05055487053021</v>
      </c>
    </row>
    <row r="3298" ht="14.4" spans="2:4">
      <c r="B3298" s="20">
        <v>13144</v>
      </c>
      <c r="C3298" s="21">
        <f t="shared" si="106"/>
        <v>14.0774985817825</v>
      </c>
      <c r="D3298" s="21">
        <f t="shared" si="107"/>
        <v>5.05679012345679</v>
      </c>
    </row>
    <row r="3299" ht="14.4" spans="2:4">
      <c r="B3299" s="20">
        <v>13148</v>
      </c>
      <c r="C3299" s="21">
        <f t="shared" si="106"/>
        <v>14.08822852711</v>
      </c>
      <c r="D3299" s="21">
        <f t="shared" si="107"/>
        <v>5.06304079110012</v>
      </c>
    </row>
    <row r="3300" ht="14.4" spans="2:4">
      <c r="B3300" s="20">
        <v>13152</v>
      </c>
      <c r="C3300" s="21">
        <f t="shared" si="106"/>
        <v>14.0989717438638</v>
      </c>
      <c r="D3300" s="21">
        <f t="shared" si="107"/>
        <v>5.06930693069307</v>
      </c>
    </row>
    <row r="3301" ht="14.4" spans="2:4">
      <c r="B3301" s="20">
        <v>13156</v>
      </c>
      <c r="C3301" s="21">
        <f t="shared" si="106"/>
        <v>14.1097282649141</v>
      </c>
      <c r="D3301" s="21">
        <f t="shared" si="107"/>
        <v>5.07558859975217</v>
      </c>
    </row>
    <row r="3302" ht="14.4" spans="2:4">
      <c r="B3302" s="20">
        <v>13160</v>
      </c>
      <c r="C3302" s="21">
        <f t="shared" si="106"/>
        <v>14.1204981232537</v>
      </c>
      <c r="D3302" s="21">
        <f t="shared" si="107"/>
        <v>5.0818858560794</v>
      </c>
    </row>
    <row r="3303" ht="14.4" spans="2:4">
      <c r="B3303" s="20">
        <v>13164</v>
      </c>
      <c r="C3303" s="21">
        <f t="shared" si="106"/>
        <v>14.1312813519981</v>
      </c>
      <c r="D3303" s="21">
        <f t="shared" si="107"/>
        <v>5.08819875776398</v>
      </c>
    </row>
    <row r="3304" ht="14.4" spans="2:4">
      <c r="B3304" s="20">
        <v>13168</v>
      </c>
      <c r="C3304" s="21">
        <f t="shared" si="106"/>
        <v>14.1420779843865</v>
      </c>
      <c r="D3304" s="21">
        <f t="shared" si="107"/>
        <v>5.09452736318408</v>
      </c>
    </row>
    <row r="3305" ht="14.4" spans="2:4">
      <c r="B3305" s="20">
        <v>13172</v>
      </c>
      <c r="C3305" s="21">
        <f t="shared" si="106"/>
        <v>14.1528880537819</v>
      </c>
      <c r="D3305" s="21">
        <f t="shared" si="107"/>
        <v>5.10087173100872</v>
      </c>
    </row>
    <row r="3306" ht="14.4" spans="2:4">
      <c r="B3306" s="20">
        <v>13176</v>
      </c>
      <c r="C3306" s="21">
        <f t="shared" si="106"/>
        <v>14.1637115936722</v>
      </c>
      <c r="D3306" s="21">
        <f t="shared" si="107"/>
        <v>5.1072319201995</v>
      </c>
    </row>
    <row r="3307" ht="14.4" spans="2:4">
      <c r="B3307" s="20">
        <v>13180</v>
      </c>
      <c r="C3307" s="21">
        <f t="shared" si="106"/>
        <v>14.1745486376707</v>
      </c>
      <c r="D3307" s="21">
        <f t="shared" si="107"/>
        <v>5.11360799001248</v>
      </c>
    </row>
    <row r="3308" ht="14.4" spans="2:4">
      <c r="B3308" s="20">
        <v>13184</v>
      </c>
      <c r="C3308" s="21">
        <f t="shared" si="106"/>
        <v>14.1853992195166</v>
      </c>
      <c r="D3308" s="21">
        <f t="shared" si="107"/>
        <v>5.12</v>
      </c>
    </row>
    <row r="3309" ht="14.4" spans="2:4">
      <c r="B3309" s="20">
        <v>13188</v>
      </c>
      <c r="C3309" s="21">
        <f t="shared" si="106"/>
        <v>14.1962633730757</v>
      </c>
      <c r="D3309" s="21">
        <f t="shared" si="107"/>
        <v>5.12640801001252</v>
      </c>
    </row>
    <row r="3310" ht="14.4" spans="2:4">
      <c r="B3310" s="20">
        <v>13192</v>
      </c>
      <c r="C3310" s="21">
        <f t="shared" si="106"/>
        <v>14.2071411323409</v>
      </c>
      <c r="D3310" s="21">
        <f t="shared" si="107"/>
        <v>5.1328320802005</v>
      </c>
    </row>
    <row r="3311" ht="14.4" spans="2:4">
      <c r="B3311" s="20">
        <v>13196</v>
      </c>
      <c r="C3311" s="21">
        <f t="shared" si="106"/>
        <v>14.2180325314332</v>
      </c>
      <c r="D3311" s="21">
        <f t="shared" si="107"/>
        <v>5.13927227101631</v>
      </c>
    </row>
    <row r="3312" ht="14.4" spans="2:4">
      <c r="B3312" s="20">
        <v>13200</v>
      </c>
      <c r="C3312" s="21">
        <f t="shared" si="106"/>
        <v>14.2289376046021</v>
      </c>
      <c r="D3312" s="21">
        <f t="shared" si="107"/>
        <v>5.14572864321608</v>
      </c>
    </row>
    <row r="3313" ht="14.4" spans="2:4">
      <c r="B3313" s="20">
        <v>13204</v>
      </c>
      <c r="C3313" s="21">
        <f t="shared" si="106"/>
        <v>14.2398563862261</v>
      </c>
      <c r="D3313" s="21">
        <f t="shared" si="107"/>
        <v>5.15220125786163</v>
      </c>
    </row>
    <row r="3314" ht="14.4" spans="2:4">
      <c r="B3314" s="20">
        <v>13208</v>
      </c>
      <c r="C3314" s="21">
        <f t="shared" si="106"/>
        <v>14.2507889108136</v>
      </c>
      <c r="D3314" s="21">
        <f t="shared" si="107"/>
        <v>5.15869017632242</v>
      </c>
    </row>
    <row r="3315" ht="14.4" spans="2:4">
      <c r="B3315" s="20">
        <v>13212</v>
      </c>
      <c r="C3315" s="21">
        <f t="shared" si="106"/>
        <v>14.2617352130034</v>
      </c>
      <c r="D3315" s="21">
        <f t="shared" si="107"/>
        <v>5.16519546027743</v>
      </c>
    </row>
    <row r="3316" ht="14.4" spans="2:4">
      <c r="B3316" s="20">
        <v>13216</v>
      </c>
      <c r="C3316" s="21">
        <f t="shared" si="106"/>
        <v>14.2726953275656</v>
      </c>
      <c r="D3316" s="21">
        <f t="shared" si="107"/>
        <v>5.17171717171717</v>
      </c>
    </row>
    <row r="3317" ht="14.4" spans="2:4">
      <c r="B3317" s="20">
        <v>13220</v>
      </c>
      <c r="C3317" s="21">
        <f t="shared" si="106"/>
        <v>14.283669289402</v>
      </c>
      <c r="D3317" s="21">
        <f t="shared" si="107"/>
        <v>5.17825537294564</v>
      </c>
    </row>
    <row r="3318" ht="14.4" spans="2:4">
      <c r="B3318" s="20">
        <v>13224</v>
      </c>
      <c r="C3318" s="21">
        <f t="shared" si="106"/>
        <v>14.2946571335467</v>
      </c>
      <c r="D3318" s="21">
        <f t="shared" si="107"/>
        <v>5.18481012658228</v>
      </c>
    </row>
    <row r="3319" ht="14.4" spans="2:4">
      <c r="B3319" s="20">
        <v>13228</v>
      </c>
      <c r="C3319" s="21">
        <f t="shared" si="106"/>
        <v>14.3056588951671</v>
      </c>
      <c r="D3319" s="21">
        <f t="shared" si="107"/>
        <v>5.191381495564</v>
      </c>
    </row>
    <row r="3320" ht="14.4" spans="2:4">
      <c r="B3320" s="20">
        <v>13232</v>
      </c>
      <c r="C3320" s="21">
        <f t="shared" si="106"/>
        <v>14.3166746095644</v>
      </c>
      <c r="D3320" s="21">
        <f t="shared" si="107"/>
        <v>5.19796954314721</v>
      </c>
    </row>
    <row r="3321" ht="14.4" spans="2:4">
      <c r="B3321" s="20">
        <v>13236</v>
      </c>
      <c r="C3321" s="21">
        <f t="shared" si="106"/>
        <v>14.3277043121742</v>
      </c>
      <c r="D3321" s="21">
        <f t="shared" si="107"/>
        <v>5.20457433290978</v>
      </c>
    </row>
    <row r="3322" ht="14.4" spans="2:4">
      <c r="B3322" s="20">
        <v>13240</v>
      </c>
      <c r="C3322" s="21">
        <f t="shared" si="106"/>
        <v>14.3387480385673</v>
      </c>
      <c r="D3322" s="21">
        <f t="shared" si="107"/>
        <v>5.21119592875318</v>
      </c>
    </row>
    <row r="3323" ht="14.4" spans="2:4">
      <c r="B3323" s="20">
        <v>13244</v>
      </c>
      <c r="C3323" s="21">
        <f t="shared" si="106"/>
        <v>14.3498058244504</v>
      </c>
      <c r="D3323" s="21">
        <f t="shared" si="107"/>
        <v>5.21783439490446</v>
      </c>
    </row>
    <row r="3324" ht="14.4" spans="2:4">
      <c r="B3324" s="20">
        <v>13248</v>
      </c>
      <c r="C3324" s="21">
        <f t="shared" si="106"/>
        <v>14.3608777056667</v>
      </c>
      <c r="D3324" s="21">
        <f t="shared" si="107"/>
        <v>5.22448979591837</v>
      </c>
    </row>
    <row r="3325" ht="14.4" spans="2:4">
      <c r="B3325" s="20">
        <v>13252</v>
      </c>
      <c r="C3325" s="21">
        <f t="shared" si="106"/>
        <v>14.3719637181966</v>
      </c>
      <c r="D3325" s="21">
        <f t="shared" si="107"/>
        <v>5.23116219667944</v>
      </c>
    </row>
    <row r="3326" ht="14.4" spans="2:4">
      <c r="B3326" s="20">
        <v>13256</v>
      </c>
      <c r="C3326" s="21">
        <f t="shared" si="106"/>
        <v>14.3830638981585</v>
      </c>
      <c r="D3326" s="21">
        <f t="shared" si="107"/>
        <v>5.23785166240409</v>
      </c>
    </row>
    <row r="3327" ht="14.4" spans="2:4">
      <c r="B3327" s="20">
        <v>13260</v>
      </c>
      <c r="C3327" s="21">
        <f t="shared" si="106"/>
        <v>14.3941782818095</v>
      </c>
      <c r="D3327" s="21">
        <f t="shared" si="107"/>
        <v>5.24455825864277</v>
      </c>
    </row>
    <row r="3328" ht="14.4" spans="2:4">
      <c r="B3328" s="20">
        <v>13264</v>
      </c>
      <c r="C3328" s="21">
        <f t="shared" si="106"/>
        <v>14.4053069055459</v>
      </c>
      <c r="D3328" s="21">
        <f t="shared" si="107"/>
        <v>5.25128205128205</v>
      </c>
    </row>
    <row r="3329" ht="14.4" spans="2:4">
      <c r="B3329" s="20">
        <v>13268</v>
      </c>
      <c r="C3329" s="21">
        <f t="shared" si="106"/>
        <v>14.4164498059042</v>
      </c>
      <c r="D3329" s="21">
        <f t="shared" si="107"/>
        <v>5.25802310654685</v>
      </c>
    </row>
    <row r="3330" ht="14.4" spans="2:4">
      <c r="B3330" s="20">
        <v>13272</v>
      </c>
      <c r="C3330" s="21">
        <f t="shared" si="106"/>
        <v>14.4276070195617</v>
      </c>
      <c r="D3330" s="21">
        <f t="shared" si="107"/>
        <v>5.26478149100257</v>
      </c>
    </row>
    <row r="3331" ht="14.4" spans="2:4">
      <c r="B3331" s="20">
        <v>13276</v>
      </c>
      <c r="C3331" s="21">
        <f t="shared" si="106"/>
        <v>14.4387785833372</v>
      </c>
      <c r="D3331" s="21">
        <f t="shared" si="107"/>
        <v>5.27155727155727</v>
      </c>
    </row>
    <row r="3332" ht="14.4" spans="2:4">
      <c r="B3332" s="20">
        <v>13280</v>
      </c>
      <c r="C3332" s="21">
        <f t="shared" si="106"/>
        <v>14.4499645341917</v>
      </c>
      <c r="D3332" s="21">
        <f t="shared" si="107"/>
        <v>5.27835051546392</v>
      </c>
    </row>
    <row r="3333" ht="14.4" spans="2:4">
      <c r="B3333" s="20">
        <v>13284</v>
      </c>
      <c r="C3333" s="21">
        <f t="shared" si="106"/>
        <v>14.4611649092293</v>
      </c>
      <c r="D3333" s="21">
        <f t="shared" si="107"/>
        <v>5.28516129032258</v>
      </c>
    </row>
    <row r="3334" ht="14.4" spans="2:4">
      <c r="B3334" s="20">
        <v>13288</v>
      </c>
      <c r="C3334" s="21">
        <f t="shared" ref="C3334:C3397" si="108">20*LOG(D3334)</f>
        <v>14.4723797456976</v>
      </c>
      <c r="D3334" s="21">
        <f t="shared" ref="D3334:D3397" si="109">16384/(16384-B3334)</f>
        <v>5.29198966408269</v>
      </c>
    </row>
    <row r="3335" ht="14.4" spans="2:4">
      <c r="B3335" s="20">
        <v>13292</v>
      </c>
      <c r="C3335" s="21">
        <f t="shared" si="108"/>
        <v>14.483609080989</v>
      </c>
      <c r="D3335" s="21">
        <f t="shared" si="109"/>
        <v>5.29883570504528</v>
      </c>
    </row>
    <row r="3336" ht="14.4" spans="2:4">
      <c r="B3336" s="20">
        <v>13296</v>
      </c>
      <c r="C3336" s="21">
        <f t="shared" si="108"/>
        <v>14.4948529526408</v>
      </c>
      <c r="D3336" s="21">
        <f t="shared" si="109"/>
        <v>5.30569948186529</v>
      </c>
    </row>
    <row r="3337" ht="14.4" spans="2:4">
      <c r="B3337" s="20">
        <v>13300</v>
      </c>
      <c r="C3337" s="21">
        <f t="shared" si="108"/>
        <v>14.5061113983363</v>
      </c>
      <c r="D3337" s="21">
        <f t="shared" si="109"/>
        <v>5.31258106355383</v>
      </c>
    </row>
    <row r="3338" ht="14.4" spans="2:4">
      <c r="B3338" s="20">
        <v>13304</v>
      </c>
      <c r="C3338" s="21">
        <f t="shared" si="108"/>
        <v>14.5173844559058</v>
      </c>
      <c r="D3338" s="21">
        <f t="shared" si="109"/>
        <v>5.31948051948052</v>
      </c>
    </row>
    <row r="3339" ht="14.4" spans="2:4">
      <c r="B3339" s="20">
        <v>13308</v>
      </c>
      <c r="C3339" s="21">
        <f t="shared" si="108"/>
        <v>14.5286721633269</v>
      </c>
      <c r="D3339" s="21">
        <f t="shared" si="109"/>
        <v>5.32639791937581</v>
      </c>
    </row>
    <row r="3340" ht="14.4" spans="2:4">
      <c r="B3340" s="20">
        <v>13312</v>
      </c>
      <c r="C3340" s="21">
        <f t="shared" si="108"/>
        <v>14.5399745587252</v>
      </c>
      <c r="D3340" s="21">
        <f t="shared" si="109"/>
        <v>5.33333333333333</v>
      </c>
    </row>
    <row r="3341" ht="14.4" spans="2:4">
      <c r="B3341" s="20">
        <v>13316</v>
      </c>
      <c r="C3341" s="21">
        <f t="shared" si="108"/>
        <v>14.5512916803759</v>
      </c>
      <c r="D3341" s="21">
        <f t="shared" si="109"/>
        <v>5.34028683181226</v>
      </c>
    </row>
    <row r="3342" ht="14.4" spans="2:4">
      <c r="B3342" s="20">
        <v>13320</v>
      </c>
      <c r="C3342" s="21">
        <f t="shared" si="108"/>
        <v>14.5626235667034</v>
      </c>
      <c r="D3342" s="21">
        <f t="shared" si="109"/>
        <v>5.34725848563969</v>
      </c>
    </row>
    <row r="3343" ht="14.4" spans="2:4">
      <c r="B3343" s="20">
        <v>13324</v>
      </c>
      <c r="C3343" s="21">
        <f t="shared" si="108"/>
        <v>14.5739702562831</v>
      </c>
      <c r="D3343" s="21">
        <f t="shared" si="109"/>
        <v>5.35424836601307</v>
      </c>
    </row>
    <row r="3344" ht="14.4" spans="2:4">
      <c r="B3344" s="20">
        <v>13328</v>
      </c>
      <c r="C3344" s="21">
        <f t="shared" si="108"/>
        <v>14.5853317878417</v>
      </c>
      <c r="D3344" s="21">
        <f t="shared" si="109"/>
        <v>5.36125654450262</v>
      </c>
    </row>
    <row r="3345" ht="14.4" spans="2:4">
      <c r="B3345" s="20">
        <v>13332</v>
      </c>
      <c r="C3345" s="21">
        <f t="shared" si="108"/>
        <v>14.5967082002579</v>
      </c>
      <c r="D3345" s="21">
        <f t="shared" si="109"/>
        <v>5.36828309305374</v>
      </c>
    </row>
    <row r="3346" ht="14.4" spans="2:4">
      <c r="B3346" s="20">
        <v>13336</v>
      </c>
      <c r="C3346" s="21">
        <f t="shared" si="108"/>
        <v>14.6080995325635</v>
      </c>
      <c r="D3346" s="21">
        <f t="shared" si="109"/>
        <v>5.3753280839895</v>
      </c>
    </row>
    <row r="3347" ht="14.4" spans="2:4">
      <c r="B3347" s="20">
        <v>13340</v>
      </c>
      <c r="C3347" s="21">
        <f t="shared" si="108"/>
        <v>14.619505823944</v>
      </c>
      <c r="D3347" s="21">
        <f t="shared" si="109"/>
        <v>5.38239159001314</v>
      </c>
    </row>
    <row r="3348" ht="14.4" spans="2:4">
      <c r="B3348" s="20">
        <v>13344</v>
      </c>
      <c r="C3348" s="21">
        <f t="shared" si="108"/>
        <v>14.6309271137397</v>
      </c>
      <c r="D3348" s="21">
        <f t="shared" si="109"/>
        <v>5.38947368421053</v>
      </c>
    </row>
    <row r="3349" ht="14.4" spans="2:4">
      <c r="B3349" s="20">
        <v>13348</v>
      </c>
      <c r="C3349" s="21">
        <f t="shared" si="108"/>
        <v>14.6423634414459</v>
      </c>
      <c r="D3349" s="21">
        <f t="shared" si="109"/>
        <v>5.3965744400527</v>
      </c>
    </row>
    <row r="3350" ht="14.4" spans="2:4">
      <c r="B3350" s="20">
        <v>13352</v>
      </c>
      <c r="C3350" s="21">
        <f t="shared" si="108"/>
        <v>14.6538148467144</v>
      </c>
      <c r="D3350" s="21">
        <f t="shared" si="109"/>
        <v>5.40369393139842</v>
      </c>
    </row>
    <row r="3351" ht="14.4" spans="2:4">
      <c r="B3351" s="20">
        <v>13356</v>
      </c>
      <c r="C3351" s="21">
        <f t="shared" si="108"/>
        <v>14.665281369354</v>
      </c>
      <c r="D3351" s="21">
        <f t="shared" si="109"/>
        <v>5.4108322324967</v>
      </c>
    </row>
    <row r="3352" ht="14.4" spans="2:4">
      <c r="B3352" s="20">
        <v>13360</v>
      </c>
      <c r="C3352" s="21">
        <f t="shared" si="108"/>
        <v>14.6767630493314</v>
      </c>
      <c r="D3352" s="21">
        <f t="shared" si="109"/>
        <v>5.41798941798942</v>
      </c>
    </row>
    <row r="3353" ht="14.4" spans="2:4">
      <c r="B3353" s="20">
        <v>13364</v>
      </c>
      <c r="C3353" s="21">
        <f t="shared" si="108"/>
        <v>14.6882599267717</v>
      </c>
      <c r="D3353" s="21">
        <f t="shared" si="109"/>
        <v>5.42516556291391</v>
      </c>
    </row>
    <row r="3354" ht="14.4" spans="2:4">
      <c r="B3354" s="20">
        <v>13368</v>
      </c>
      <c r="C3354" s="21">
        <f t="shared" si="108"/>
        <v>14.69977204196</v>
      </c>
      <c r="D3354" s="21">
        <f t="shared" si="109"/>
        <v>5.43236074270557</v>
      </c>
    </row>
    <row r="3355" ht="14.4" spans="2:4">
      <c r="B3355" s="20">
        <v>13372</v>
      </c>
      <c r="C3355" s="21">
        <f t="shared" si="108"/>
        <v>14.7112994353415</v>
      </c>
      <c r="D3355" s="21">
        <f t="shared" si="109"/>
        <v>5.43957503320053</v>
      </c>
    </row>
    <row r="3356" ht="14.4" spans="2:4">
      <c r="B3356" s="20">
        <v>13376</v>
      </c>
      <c r="C3356" s="21">
        <f t="shared" si="108"/>
        <v>14.7228421475226</v>
      </c>
      <c r="D3356" s="21">
        <f t="shared" si="109"/>
        <v>5.4468085106383</v>
      </c>
    </row>
    <row r="3357" ht="14.4" spans="2:4">
      <c r="B3357" s="20">
        <v>13380</v>
      </c>
      <c r="C3357" s="21">
        <f t="shared" si="108"/>
        <v>14.7344002192721</v>
      </c>
      <c r="D3357" s="21">
        <f t="shared" si="109"/>
        <v>5.45406125166445</v>
      </c>
    </row>
    <row r="3358" ht="14.4" spans="2:4">
      <c r="B3358" s="20">
        <v>13384</v>
      </c>
      <c r="C3358" s="21">
        <f t="shared" si="108"/>
        <v>14.7459736915215</v>
      </c>
      <c r="D3358" s="21">
        <f t="shared" si="109"/>
        <v>5.46133333333333</v>
      </c>
    </row>
    <row r="3359" ht="14.4" spans="2:4">
      <c r="B3359" s="20">
        <v>13388</v>
      </c>
      <c r="C3359" s="21">
        <f t="shared" si="108"/>
        <v>14.7575626053662</v>
      </c>
      <c r="D3359" s="21">
        <f t="shared" si="109"/>
        <v>5.46862483311081</v>
      </c>
    </row>
    <row r="3360" ht="14.4" spans="2:4">
      <c r="B3360" s="20">
        <v>13392</v>
      </c>
      <c r="C3360" s="21">
        <f t="shared" si="108"/>
        <v>14.7691670020663</v>
      </c>
      <c r="D3360" s="21">
        <f t="shared" si="109"/>
        <v>5.47593582887701</v>
      </c>
    </row>
    <row r="3361" ht="14.4" spans="2:4">
      <c r="B3361" s="20">
        <v>13396</v>
      </c>
      <c r="C3361" s="21">
        <f t="shared" si="108"/>
        <v>14.7807869230475</v>
      </c>
      <c r="D3361" s="21">
        <f t="shared" si="109"/>
        <v>5.48326639892905</v>
      </c>
    </row>
    <row r="3362" ht="14.4" spans="2:4">
      <c r="B3362" s="20">
        <v>13400</v>
      </c>
      <c r="C3362" s="21">
        <f t="shared" si="108"/>
        <v>14.7924224099021</v>
      </c>
      <c r="D3362" s="21">
        <f t="shared" si="109"/>
        <v>5.49061662198391</v>
      </c>
    </row>
    <row r="3363" ht="14.4" spans="2:4">
      <c r="B3363" s="20">
        <v>13404</v>
      </c>
      <c r="C3363" s="21">
        <f t="shared" si="108"/>
        <v>14.8040735043896</v>
      </c>
      <c r="D3363" s="21">
        <f t="shared" si="109"/>
        <v>5.49798657718121</v>
      </c>
    </row>
    <row r="3364" ht="14.4" spans="2:4">
      <c r="B3364" s="20">
        <v>13408</v>
      </c>
      <c r="C3364" s="21">
        <f t="shared" si="108"/>
        <v>14.8157402484379</v>
      </c>
      <c r="D3364" s="21">
        <f t="shared" si="109"/>
        <v>5.50537634408602</v>
      </c>
    </row>
    <row r="3365" ht="14.4" spans="2:4">
      <c r="B3365" s="20">
        <v>13412</v>
      </c>
      <c r="C3365" s="21">
        <f t="shared" si="108"/>
        <v>14.827422684144</v>
      </c>
      <c r="D3365" s="21">
        <f t="shared" si="109"/>
        <v>5.51278600269179</v>
      </c>
    </row>
    <row r="3366" ht="14.4" spans="2:4">
      <c r="B3366" s="20">
        <v>13416</v>
      </c>
      <c r="C3366" s="21">
        <f t="shared" si="108"/>
        <v>14.8391208537749</v>
      </c>
      <c r="D3366" s="21">
        <f t="shared" si="109"/>
        <v>5.52021563342318</v>
      </c>
    </row>
    <row r="3367" ht="14.4" spans="2:4">
      <c r="B3367" s="20">
        <v>13420</v>
      </c>
      <c r="C3367" s="21">
        <f t="shared" si="108"/>
        <v>14.8508347997689</v>
      </c>
      <c r="D3367" s="21">
        <f t="shared" si="109"/>
        <v>5.527665317139</v>
      </c>
    </row>
    <row r="3368" ht="14.4" spans="2:4">
      <c r="B3368" s="20">
        <v>13424</v>
      </c>
      <c r="C3368" s="21">
        <f t="shared" si="108"/>
        <v>14.862564564736</v>
      </c>
      <c r="D3368" s="21">
        <f t="shared" si="109"/>
        <v>5.53513513513514</v>
      </c>
    </row>
    <row r="3369" ht="14.4" spans="2:4">
      <c r="B3369" s="20">
        <v>13428</v>
      </c>
      <c r="C3369" s="21">
        <f t="shared" si="108"/>
        <v>14.874310191459</v>
      </c>
      <c r="D3369" s="21">
        <f t="shared" si="109"/>
        <v>5.5426251691475</v>
      </c>
    </row>
    <row r="3370" ht="14.4" spans="2:4">
      <c r="B3370" s="20">
        <v>13432</v>
      </c>
      <c r="C3370" s="21">
        <f t="shared" si="108"/>
        <v>14.8860717228947</v>
      </c>
      <c r="D3370" s="21">
        <f t="shared" si="109"/>
        <v>5.55013550135501</v>
      </c>
    </row>
    <row r="3371" ht="14.4" spans="2:4">
      <c r="B3371" s="20">
        <v>13436</v>
      </c>
      <c r="C3371" s="21">
        <f t="shared" si="108"/>
        <v>14.8978492021745</v>
      </c>
      <c r="D3371" s="21">
        <f t="shared" si="109"/>
        <v>5.55766621438263</v>
      </c>
    </row>
    <row r="3372" ht="14.4" spans="2:4">
      <c r="B3372" s="20">
        <v>13440</v>
      </c>
      <c r="C3372" s="21">
        <f t="shared" si="108"/>
        <v>14.9096426726055</v>
      </c>
      <c r="D3372" s="21">
        <f t="shared" si="109"/>
        <v>5.56521739130435</v>
      </c>
    </row>
    <row r="3373" ht="14.4" spans="2:4">
      <c r="B3373" s="20">
        <v>13444</v>
      </c>
      <c r="C3373" s="21">
        <f t="shared" si="108"/>
        <v>14.9214521776716</v>
      </c>
      <c r="D3373" s="21">
        <f t="shared" si="109"/>
        <v>5.57278911564626</v>
      </c>
    </row>
    <row r="3374" ht="14.4" spans="2:4">
      <c r="B3374" s="20">
        <v>13448</v>
      </c>
      <c r="C3374" s="21">
        <f t="shared" si="108"/>
        <v>14.9332777610341</v>
      </c>
      <c r="D3374" s="21">
        <f t="shared" si="109"/>
        <v>5.58038147138965</v>
      </c>
    </row>
    <row r="3375" ht="14.4" spans="2:4">
      <c r="B3375" s="20">
        <v>13452</v>
      </c>
      <c r="C3375" s="21">
        <f t="shared" si="108"/>
        <v>14.9451194665329</v>
      </c>
      <c r="D3375" s="21">
        <f t="shared" si="109"/>
        <v>5.58799454297408</v>
      </c>
    </row>
    <row r="3376" ht="14.4" spans="2:4">
      <c r="B3376" s="20">
        <v>13456</v>
      </c>
      <c r="C3376" s="21">
        <f t="shared" si="108"/>
        <v>14.9569773381876</v>
      </c>
      <c r="D3376" s="21">
        <f t="shared" si="109"/>
        <v>5.59562841530055</v>
      </c>
    </row>
    <row r="3377" ht="14.4" spans="2:4">
      <c r="B3377" s="20">
        <v>13460</v>
      </c>
      <c r="C3377" s="21">
        <f t="shared" si="108"/>
        <v>14.9688514201983</v>
      </c>
      <c r="D3377" s="21">
        <f t="shared" si="109"/>
        <v>5.60328317373461</v>
      </c>
    </row>
    <row r="3378" ht="14.4" spans="2:4">
      <c r="B3378" s="20">
        <v>13464</v>
      </c>
      <c r="C3378" s="21">
        <f t="shared" si="108"/>
        <v>14.9807417569464</v>
      </c>
      <c r="D3378" s="21">
        <f t="shared" si="109"/>
        <v>5.61095890410959</v>
      </c>
    </row>
    <row r="3379" ht="14.4" spans="2:4">
      <c r="B3379" s="20">
        <v>13468</v>
      </c>
      <c r="C3379" s="21">
        <f t="shared" si="108"/>
        <v>14.992648392996</v>
      </c>
      <c r="D3379" s="21">
        <f t="shared" si="109"/>
        <v>5.61865569272977</v>
      </c>
    </row>
    <row r="3380" ht="14.4" spans="2:4">
      <c r="B3380" s="20">
        <v>13472</v>
      </c>
      <c r="C3380" s="21">
        <f t="shared" si="108"/>
        <v>15.0045713730947</v>
      </c>
      <c r="D3380" s="21">
        <f t="shared" si="109"/>
        <v>5.62637362637363</v>
      </c>
    </row>
    <row r="3381" ht="14.4" spans="2:4">
      <c r="B3381" s="20">
        <v>13476</v>
      </c>
      <c r="C3381" s="21">
        <f t="shared" si="108"/>
        <v>15.0165107421747</v>
      </c>
      <c r="D3381" s="21">
        <f t="shared" si="109"/>
        <v>5.63411279229711</v>
      </c>
    </row>
    <row r="3382" ht="14.4" spans="2:4">
      <c r="B3382" s="20">
        <v>13480</v>
      </c>
      <c r="C3382" s="21">
        <f t="shared" si="108"/>
        <v>15.0284665453536</v>
      </c>
      <c r="D3382" s="21">
        <f t="shared" si="109"/>
        <v>5.64187327823691</v>
      </c>
    </row>
    <row r="3383" ht="14.4" spans="2:4">
      <c r="B3383" s="20">
        <v>13484</v>
      </c>
      <c r="C3383" s="21">
        <f t="shared" si="108"/>
        <v>15.0404388279356</v>
      </c>
      <c r="D3383" s="21">
        <f t="shared" si="109"/>
        <v>5.64965517241379</v>
      </c>
    </row>
    <row r="3384" ht="14.4" spans="2:4">
      <c r="B3384" s="20">
        <v>13488</v>
      </c>
      <c r="C3384" s="21">
        <f t="shared" si="108"/>
        <v>15.0524276354125</v>
      </c>
      <c r="D3384" s="21">
        <f t="shared" si="109"/>
        <v>5.65745856353591</v>
      </c>
    </row>
    <row r="3385" ht="14.4" spans="2:4">
      <c r="B3385" s="20">
        <v>13492</v>
      </c>
      <c r="C3385" s="21">
        <f t="shared" si="108"/>
        <v>15.0644330134649</v>
      </c>
      <c r="D3385" s="21">
        <f t="shared" si="109"/>
        <v>5.66528354080221</v>
      </c>
    </row>
    <row r="3386" ht="14.4" spans="2:4">
      <c r="B3386" s="20">
        <v>13496</v>
      </c>
      <c r="C3386" s="21">
        <f t="shared" si="108"/>
        <v>15.0764550079627</v>
      </c>
      <c r="D3386" s="21">
        <f t="shared" si="109"/>
        <v>5.67313019390582</v>
      </c>
    </row>
    <row r="3387" ht="14.4" spans="2:4">
      <c r="B3387" s="20">
        <v>13500</v>
      </c>
      <c r="C3387" s="21">
        <f t="shared" si="108"/>
        <v>15.0884936649669</v>
      </c>
      <c r="D3387" s="21">
        <f t="shared" si="109"/>
        <v>5.68099861303745</v>
      </c>
    </row>
    <row r="3388" ht="14.4" spans="2:4">
      <c r="B3388" s="20">
        <v>13504</v>
      </c>
      <c r="C3388" s="21">
        <f t="shared" si="108"/>
        <v>15.1005490307301</v>
      </c>
      <c r="D3388" s="21">
        <f t="shared" si="109"/>
        <v>5.68888888888889</v>
      </c>
    </row>
    <row r="3389" ht="14.4" spans="2:4">
      <c r="B3389" s="20">
        <v>13508</v>
      </c>
      <c r="C3389" s="21">
        <f t="shared" si="108"/>
        <v>15.1126211516978</v>
      </c>
      <c r="D3389" s="21">
        <f t="shared" si="109"/>
        <v>5.69680111265647</v>
      </c>
    </row>
    <row r="3390" ht="14.4" spans="2:4">
      <c r="B3390" s="20">
        <v>13512</v>
      </c>
      <c r="C3390" s="21">
        <f t="shared" si="108"/>
        <v>15.1247100745095</v>
      </c>
      <c r="D3390" s="21">
        <f t="shared" si="109"/>
        <v>5.70473537604457</v>
      </c>
    </row>
    <row r="3391" ht="14.4" spans="2:4">
      <c r="B3391" s="20">
        <v>13516</v>
      </c>
      <c r="C3391" s="21">
        <f t="shared" si="108"/>
        <v>15.1368158459995</v>
      </c>
      <c r="D3391" s="21">
        <f t="shared" si="109"/>
        <v>5.71269177126918</v>
      </c>
    </row>
    <row r="3392" ht="14.4" spans="2:4">
      <c r="B3392" s="20">
        <v>13520</v>
      </c>
      <c r="C3392" s="21">
        <f t="shared" si="108"/>
        <v>15.1489385131984</v>
      </c>
      <c r="D3392" s="21">
        <f t="shared" si="109"/>
        <v>5.72067039106145</v>
      </c>
    </row>
    <row r="3393" ht="14.4" spans="2:4">
      <c r="B3393" s="20">
        <v>13524</v>
      </c>
      <c r="C3393" s="21">
        <f t="shared" si="108"/>
        <v>15.1610781233339</v>
      </c>
      <c r="D3393" s="21">
        <f t="shared" si="109"/>
        <v>5.72867132867133</v>
      </c>
    </row>
    <row r="3394" ht="14.4" spans="2:4">
      <c r="B3394" s="20">
        <v>13528</v>
      </c>
      <c r="C3394" s="21">
        <f t="shared" si="108"/>
        <v>15.173234723832</v>
      </c>
      <c r="D3394" s="21">
        <f t="shared" si="109"/>
        <v>5.73669467787115</v>
      </c>
    </row>
    <row r="3395" ht="14.4" spans="2:4">
      <c r="B3395" s="20">
        <v>13532</v>
      </c>
      <c r="C3395" s="21">
        <f t="shared" si="108"/>
        <v>15.1854083623182</v>
      </c>
      <c r="D3395" s="21">
        <f t="shared" si="109"/>
        <v>5.74474053295933</v>
      </c>
    </row>
    <row r="3396" ht="14.4" spans="2:4">
      <c r="B3396" s="20">
        <v>13536</v>
      </c>
      <c r="C3396" s="21">
        <f t="shared" si="108"/>
        <v>15.1975990866184</v>
      </c>
      <c r="D3396" s="21">
        <f t="shared" si="109"/>
        <v>5.75280898876404</v>
      </c>
    </row>
    <row r="3397" ht="14.4" spans="2:4">
      <c r="B3397" s="20">
        <v>13540</v>
      </c>
      <c r="C3397" s="21">
        <f t="shared" si="108"/>
        <v>15.2098069447602</v>
      </c>
      <c r="D3397" s="21">
        <f t="shared" si="109"/>
        <v>5.76090014064698</v>
      </c>
    </row>
    <row r="3398" ht="14.4" spans="2:4">
      <c r="B3398" s="20">
        <v>13544</v>
      </c>
      <c r="C3398" s="21">
        <f t="shared" ref="C3398:C3461" si="110">20*LOG(D3398)</f>
        <v>15.222031984974</v>
      </c>
      <c r="D3398" s="21">
        <f t="shared" ref="D3398:D3461" si="111">16384/(16384-B3398)</f>
        <v>5.76901408450704</v>
      </c>
    </row>
    <row r="3399" ht="14.4" spans="2:4">
      <c r="B3399" s="20">
        <v>13548</v>
      </c>
      <c r="C3399" s="21">
        <f t="shared" si="110"/>
        <v>15.2342742556942</v>
      </c>
      <c r="D3399" s="21">
        <f t="shared" si="111"/>
        <v>5.7771509167842</v>
      </c>
    </row>
    <row r="3400" ht="14.4" spans="2:4">
      <c r="B3400" s="20">
        <v>13552</v>
      </c>
      <c r="C3400" s="21">
        <f t="shared" si="110"/>
        <v>15.2465338055601</v>
      </c>
      <c r="D3400" s="21">
        <f t="shared" si="111"/>
        <v>5.78531073446328</v>
      </c>
    </row>
    <row r="3401" ht="14.4" spans="2:4">
      <c r="B3401" s="20">
        <v>13556</v>
      </c>
      <c r="C3401" s="21">
        <f t="shared" si="110"/>
        <v>15.2588106834175</v>
      </c>
      <c r="D3401" s="21">
        <f t="shared" si="111"/>
        <v>5.79349363507779</v>
      </c>
    </row>
    <row r="3402" ht="14.4" spans="2:4">
      <c r="B3402" s="20">
        <v>13560</v>
      </c>
      <c r="C3402" s="21">
        <f t="shared" si="110"/>
        <v>15.2711049383194</v>
      </c>
      <c r="D3402" s="21">
        <f t="shared" si="111"/>
        <v>5.80169971671388</v>
      </c>
    </row>
    <row r="3403" ht="14.4" spans="2:4">
      <c r="B3403" s="20">
        <v>13564</v>
      </c>
      <c r="C3403" s="21">
        <f t="shared" si="110"/>
        <v>15.2834166195275</v>
      </c>
      <c r="D3403" s="21">
        <f t="shared" si="111"/>
        <v>5.80992907801418</v>
      </c>
    </row>
    <row r="3404" ht="14.4" spans="2:4">
      <c r="B3404" s="20">
        <v>13568</v>
      </c>
      <c r="C3404" s="21">
        <f t="shared" si="110"/>
        <v>15.2957457765132</v>
      </c>
      <c r="D3404" s="21">
        <f t="shared" si="111"/>
        <v>5.81818181818182</v>
      </c>
    </row>
    <row r="3405" ht="14.4" spans="2:4">
      <c r="B3405" s="20">
        <v>13572</v>
      </c>
      <c r="C3405" s="21">
        <f t="shared" si="110"/>
        <v>15.308092458959</v>
      </c>
      <c r="D3405" s="21">
        <f t="shared" si="111"/>
        <v>5.82645803698435</v>
      </c>
    </row>
    <row r="3406" ht="14.4" spans="2:4">
      <c r="B3406" s="20">
        <v>13576</v>
      </c>
      <c r="C3406" s="21">
        <f t="shared" si="110"/>
        <v>15.3204567167594</v>
      </c>
      <c r="D3406" s="21">
        <f t="shared" si="111"/>
        <v>5.83475783475784</v>
      </c>
    </row>
    <row r="3407" ht="14.4" spans="2:4">
      <c r="B3407" s="20">
        <v>13580</v>
      </c>
      <c r="C3407" s="21">
        <f t="shared" si="110"/>
        <v>15.3328386000223</v>
      </c>
      <c r="D3407" s="21">
        <f t="shared" si="111"/>
        <v>5.84308131241084</v>
      </c>
    </row>
    <row r="3408" ht="14.4" spans="2:4">
      <c r="B3408" s="20">
        <v>13584</v>
      </c>
      <c r="C3408" s="21">
        <f t="shared" si="110"/>
        <v>15.3452381590704</v>
      </c>
      <c r="D3408" s="21">
        <f t="shared" si="111"/>
        <v>5.85142857142857</v>
      </c>
    </row>
    <row r="3409" ht="14.4" spans="2:4">
      <c r="B3409" s="20">
        <v>13588</v>
      </c>
      <c r="C3409" s="21">
        <f t="shared" si="110"/>
        <v>15.3576554444419</v>
      </c>
      <c r="D3409" s="21">
        <f t="shared" si="111"/>
        <v>5.85979971387697</v>
      </c>
    </row>
    <row r="3410" ht="14.4" spans="2:4">
      <c r="B3410" s="20">
        <v>13592</v>
      </c>
      <c r="C3410" s="21">
        <f t="shared" si="110"/>
        <v>15.3700905068923</v>
      </c>
      <c r="D3410" s="21">
        <f t="shared" si="111"/>
        <v>5.86819484240688</v>
      </c>
    </row>
    <row r="3411" ht="14.4" spans="2:4">
      <c r="B3411" s="20">
        <v>13596</v>
      </c>
      <c r="C3411" s="21">
        <f t="shared" si="110"/>
        <v>15.3825433973953</v>
      </c>
      <c r="D3411" s="21">
        <f t="shared" si="111"/>
        <v>5.87661406025825</v>
      </c>
    </row>
    <row r="3412" ht="14.4" spans="2:4">
      <c r="B3412" s="20">
        <v>13600</v>
      </c>
      <c r="C3412" s="21">
        <f t="shared" si="110"/>
        <v>15.3950141671442</v>
      </c>
      <c r="D3412" s="21">
        <f t="shared" si="111"/>
        <v>5.88505747126437</v>
      </c>
    </row>
    <row r="3413" ht="14.4" spans="2:4">
      <c r="B3413" s="20">
        <v>13604</v>
      </c>
      <c r="C3413" s="21">
        <f t="shared" si="110"/>
        <v>15.4075028675532</v>
      </c>
      <c r="D3413" s="21">
        <f t="shared" si="111"/>
        <v>5.89352517985612</v>
      </c>
    </row>
    <row r="3414" ht="14.4" spans="2:4">
      <c r="B3414" s="20">
        <v>13608</v>
      </c>
      <c r="C3414" s="21">
        <f t="shared" si="110"/>
        <v>15.4200095502584</v>
      </c>
      <c r="D3414" s="21">
        <f t="shared" si="111"/>
        <v>5.90201729106628</v>
      </c>
    </row>
    <row r="3415" ht="14.4" spans="2:4">
      <c r="B3415" s="20">
        <v>13612</v>
      </c>
      <c r="C3415" s="21">
        <f t="shared" si="110"/>
        <v>15.4325342671194</v>
      </c>
      <c r="D3415" s="21">
        <f t="shared" si="111"/>
        <v>5.91053391053391</v>
      </c>
    </row>
    <row r="3416" ht="14.4" spans="2:4">
      <c r="B3416" s="20">
        <v>13616</v>
      </c>
      <c r="C3416" s="21">
        <f t="shared" si="110"/>
        <v>15.4450770702203</v>
      </c>
      <c r="D3416" s="21">
        <f t="shared" si="111"/>
        <v>5.91907514450867</v>
      </c>
    </row>
    <row r="3417" ht="14.4" spans="2:4">
      <c r="B3417" s="20">
        <v>13620</v>
      </c>
      <c r="C3417" s="21">
        <f t="shared" si="110"/>
        <v>15.4576380118715</v>
      </c>
      <c r="D3417" s="21">
        <f t="shared" si="111"/>
        <v>5.92764109985528</v>
      </c>
    </row>
    <row r="3418" ht="14.4" spans="2:4">
      <c r="B3418" s="20">
        <v>13624</v>
      </c>
      <c r="C3418" s="21">
        <f t="shared" si="110"/>
        <v>15.4702171446104</v>
      </c>
      <c r="D3418" s="21">
        <f t="shared" si="111"/>
        <v>5.93623188405797</v>
      </c>
    </row>
    <row r="3419" ht="14.4" spans="2:4">
      <c r="B3419" s="20">
        <v>13628</v>
      </c>
      <c r="C3419" s="21">
        <f t="shared" si="110"/>
        <v>15.482814521203</v>
      </c>
      <c r="D3419" s="21">
        <f t="shared" si="111"/>
        <v>5.94484760522496</v>
      </c>
    </row>
    <row r="3420" ht="14.4" spans="2:4">
      <c r="B3420" s="20">
        <v>13632</v>
      </c>
      <c r="C3420" s="21">
        <f t="shared" si="110"/>
        <v>15.4954301946453</v>
      </c>
      <c r="D3420" s="21">
        <f t="shared" si="111"/>
        <v>5.95348837209302</v>
      </c>
    </row>
    <row r="3421" ht="14.4" spans="2:4">
      <c r="B3421" s="20">
        <v>13636</v>
      </c>
      <c r="C3421" s="21">
        <f t="shared" si="110"/>
        <v>15.5080642181645</v>
      </c>
      <c r="D3421" s="21">
        <f t="shared" si="111"/>
        <v>5.96215429403202</v>
      </c>
    </row>
    <row r="3422" ht="14.4" spans="2:4">
      <c r="B3422" s="20">
        <v>13640</v>
      </c>
      <c r="C3422" s="21">
        <f t="shared" si="110"/>
        <v>15.5207166452205</v>
      </c>
      <c r="D3422" s="21">
        <f t="shared" si="111"/>
        <v>5.97084548104956</v>
      </c>
    </row>
    <row r="3423" ht="14.4" spans="2:4">
      <c r="B3423" s="20">
        <v>13644</v>
      </c>
      <c r="C3423" s="21">
        <f t="shared" si="110"/>
        <v>15.533387529507</v>
      </c>
      <c r="D3423" s="21">
        <f t="shared" si="111"/>
        <v>5.97956204379562</v>
      </c>
    </row>
    <row r="3424" ht="14.4" spans="2:4">
      <c r="B3424" s="20">
        <v>13648</v>
      </c>
      <c r="C3424" s="21">
        <f t="shared" si="110"/>
        <v>15.5460769249532</v>
      </c>
      <c r="D3424" s="21">
        <f t="shared" si="111"/>
        <v>5.98830409356725</v>
      </c>
    </row>
    <row r="3425" ht="14.4" spans="2:4">
      <c r="B3425" s="20">
        <v>13652</v>
      </c>
      <c r="C3425" s="21">
        <f t="shared" si="110"/>
        <v>15.5587848857248</v>
      </c>
      <c r="D3425" s="21">
        <f t="shared" si="111"/>
        <v>5.99707174231332</v>
      </c>
    </row>
    <row r="3426" ht="14.4" spans="2:4">
      <c r="B3426" s="20">
        <v>13656</v>
      </c>
      <c r="C3426" s="21">
        <f t="shared" si="110"/>
        <v>15.5715114662259</v>
      </c>
      <c r="D3426" s="21">
        <f t="shared" si="111"/>
        <v>6.0058651026393</v>
      </c>
    </row>
    <row r="3427" ht="14.4" spans="2:4">
      <c r="B3427" s="20">
        <v>13660</v>
      </c>
      <c r="C3427" s="21">
        <f t="shared" si="110"/>
        <v>15.5842567210998</v>
      </c>
      <c r="D3427" s="21">
        <f t="shared" si="111"/>
        <v>6.01468428781204</v>
      </c>
    </row>
    <row r="3428" ht="14.4" spans="2:4">
      <c r="B3428" s="20">
        <v>13664</v>
      </c>
      <c r="C3428" s="21">
        <f t="shared" si="110"/>
        <v>15.5970207052308</v>
      </c>
      <c r="D3428" s="21">
        <f t="shared" si="111"/>
        <v>6.02352941176471</v>
      </c>
    </row>
    <row r="3429" ht="14.4" spans="2:4">
      <c r="B3429" s="20">
        <v>13668</v>
      </c>
      <c r="C3429" s="21">
        <f t="shared" si="110"/>
        <v>15.6098034737455</v>
      </c>
      <c r="D3429" s="21">
        <f t="shared" si="111"/>
        <v>6.03240058910162</v>
      </c>
    </row>
    <row r="3430" ht="14.4" spans="2:4">
      <c r="B3430" s="20">
        <v>13672</v>
      </c>
      <c r="C3430" s="21">
        <f t="shared" si="110"/>
        <v>15.6226050820142</v>
      </c>
      <c r="D3430" s="21">
        <f t="shared" si="111"/>
        <v>6.04129793510324</v>
      </c>
    </row>
    <row r="3431" ht="14.4" spans="2:4">
      <c r="B3431" s="20">
        <v>13676</v>
      </c>
      <c r="C3431" s="21">
        <f t="shared" si="110"/>
        <v>15.6354255856526</v>
      </c>
      <c r="D3431" s="21">
        <f t="shared" si="111"/>
        <v>6.05022156573117</v>
      </c>
    </row>
    <row r="3432" ht="14.4" spans="2:4">
      <c r="B3432" s="20">
        <v>13680</v>
      </c>
      <c r="C3432" s="21">
        <f t="shared" si="110"/>
        <v>15.6482650405228</v>
      </c>
      <c r="D3432" s="21">
        <f t="shared" si="111"/>
        <v>6.05917159763314</v>
      </c>
    </row>
    <row r="3433" ht="14.4" spans="2:4">
      <c r="B3433" s="20">
        <v>13684</v>
      </c>
      <c r="C3433" s="21">
        <f t="shared" si="110"/>
        <v>15.661123502735</v>
      </c>
      <c r="D3433" s="21">
        <f t="shared" si="111"/>
        <v>6.06814814814815</v>
      </c>
    </row>
    <row r="3434" ht="14.4" spans="2:4">
      <c r="B3434" s="20">
        <v>13688</v>
      </c>
      <c r="C3434" s="21">
        <f t="shared" si="110"/>
        <v>15.6740010286491</v>
      </c>
      <c r="D3434" s="21">
        <f t="shared" si="111"/>
        <v>6.07715133531157</v>
      </c>
    </row>
    <row r="3435" ht="14.4" spans="2:4">
      <c r="B3435" s="20">
        <v>13692</v>
      </c>
      <c r="C3435" s="21">
        <f t="shared" si="110"/>
        <v>15.686897674876</v>
      </c>
      <c r="D3435" s="21">
        <f t="shared" si="111"/>
        <v>6.08618127786033</v>
      </c>
    </row>
    <row r="3436" ht="14.4" spans="2:4">
      <c r="B3436" s="20">
        <v>13696</v>
      </c>
      <c r="C3436" s="21">
        <f t="shared" si="110"/>
        <v>15.699813498279</v>
      </c>
      <c r="D3436" s="21">
        <f t="shared" si="111"/>
        <v>6.09523809523809</v>
      </c>
    </row>
    <row r="3437" ht="14.4" spans="2:4">
      <c r="B3437" s="20">
        <v>13700</v>
      </c>
      <c r="C3437" s="21">
        <f t="shared" si="110"/>
        <v>15.7127485559756</v>
      </c>
      <c r="D3437" s="21">
        <f t="shared" si="111"/>
        <v>6.1043219076006</v>
      </c>
    </row>
    <row r="3438" ht="14.4" spans="2:4">
      <c r="B3438" s="20">
        <v>13704</v>
      </c>
      <c r="C3438" s="21">
        <f t="shared" si="110"/>
        <v>15.725702905339</v>
      </c>
      <c r="D3438" s="21">
        <f t="shared" si="111"/>
        <v>6.1134328358209</v>
      </c>
    </row>
    <row r="3439" ht="14.4" spans="2:4">
      <c r="B3439" s="20">
        <v>13708</v>
      </c>
      <c r="C3439" s="21">
        <f t="shared" si="110"/>
        <v>15.738676603999</v>
      </c>
      <c r="D3439" s="21">
        <f t="shared" si="111"/>
        <v>6.12257100149477</v>
      </c>
    </row>
    <row r="3440" ht="14.4" spans="2:4">
      <c r="B3440" s="20">
        <v>13712</v>
      </c>
      <c r="C3440" s="21">
        <f t="shared" si="110"/>
        <v>15.7516697098446</v>
      </c>
      <c r="D3440" s="21">
        <f t="shared" si="111"/>
        <v>6.13173652694611</v>
      </c>
    </row>
    <row r="3441" ht="14.4" spans="2:4">
      <c r="B3441" s="20">
        <v>13716</v>
      </c>
      <c r="C3441" s="21">
        <f t="shared" si="110"/>
        <v>15.7646822810245</v>
      </c>
      <c r="D3441" s="21">
        <f t="shared" si="111"/>
        <v>6.14092953523238</v>
      </c>
    </row>
    <row r="3442" ht="14.4" spans="2:4">
      <c r="B3442" s="20">
        <v>13720</v>
      </c>
      <c r="C3442" s="21">
        <f t="shared" si="110"/>
        <v>15.7777143759495</v>
      </c>
      <c r="D3442" s="21">
        <f t="shared" si="111"/>
        <v>6.15015015015015</v>
      </c>
    </row>
    <row r="3443" ht="14.4" spans="2:4">
      <c r="B3443" s="20">
        <v>13724</v>
      </c>
      <c r="C3443" s="21">
        <f t="shared" si="110"/>
        <v>15.7907660532934</v>
      </c>
      <c r="D3443" s="21">
        <f t="shared" si="111"/>
        <v>6.1593984962406</v>
      </c>
    </row>
    <row r="3444" ht="14.4" spans="2:4">
      <c r="B3444" s="20">
        <v>13728</v>
      </c>
      <c r="C3444" s="21">
        <f t="shared" si="110"/>
        <v>15.8038373719951</v>
      </c>
      <c r="D3444" s="21">
        <f t="shared" si="111"/>
        <v>6.16867469879518</v>
      </c>
    </row>
    <row r="3445" ht="14.4" spans="2:4">
      <c r="B3445" s="20">
        <v>13732</v>
      </c>
      <c r="C3445" s="21">
        <f t="shared" si="110"/>
        <v>15.81692839126</v>
      </c>
      <c r="D3445" s="21">
        <f t="shared" si="111"/>
        <v>6.17797888386124</v>
      </c>
    </row>
    <row r="3446" ht="14.4" spans="2:4">
      <c r="B3446" s="20">
        <v>13736</v>
      </c>
      <c r="C3446" s="21">
        <f t="shared" si="110"/>
        <v>15.8300391705615</v>
      </c>
      <c r="D3446" s="21">
        <f t="shared" si="111"/>
        <v>6.18731117824773</v>
      </c>
    </row>
    <row r="3447" ht="14.4" spans="2:4">
      <c r="B3447" s="20">
        <v>13740</v>
      </c>
      <c r="C3447" s="21">
        <f t="shared" si="110"/>
        <v>15.8431697696427</v>
      </c>
      <c r="D3447" s="21">
        <f t="shared" si="111"/>
        <v>6.19667170953101</v>
      </c>
    </row>
    <row r="3448" ht="14.4" spans="2:4">
      <c r="B3448" s="20">
        <v>13744</v>
      </c>
      <c r="C3448" s="21">
        <f t="shared" si="110"/>
        <v>15.8563202485181</v>
      </c>
      <c r="D3448" s="21">
        <f t="shared" si="111"/>
        <v>6.20606060606061</v>
      </c>
    </row>
    <row r="3449" ht="14.4" spans="2:4">
      <c r="B3449" s="20">
        <v>13748</v>
      </c>
      <c r="C3449" s="21">
        <f t="shared" si="110"/>
        <v>15.8694906674753</v>
      </c>
      <c r="D3449" s="21">
        <f t="shared" si="111"/>
        <v>6.2154779969651</v>
      </c>
    </row>
    <row r="3450" ht="14.4" spans="2:4">
      <c r="B3450" s="20">
        <v>13752</v>
      </c>
      <c r="C3450" s="21">
        <f t="shared" si="110"/>
        <v>15.8826810870764</v>
      </c>
      <c r="D3450" s="21">
        <f t="shared" si="111"/>
        <v>6.22492401215805</v>
      </c>
    </row>
    <row r="3451" ht="14.4" spans="2:4">
      <c r="B3451" s="20">
        <v>13756</v>
      </c>
      <c r="C3451" s="21">
        <f t="shared" si="110"/>
        <v>15.8958915681599</v>
      </c>
      <c r="D3451" s="21">
        <f t="shared" si="111"/>
        <v>6.23439878234399</v>
      </c>
    </row>
    <row r="3452" ht="14.4" spans="2:4">
      <c r="B3452" s="20">
        <v>13760</v>
      </c>
      <c r="C3452" s="21">
        <f t="shared" si="110"/>
        <v>15.9091221718423</v>
      </c>
      <c r="D3452" s="21">
        <f t="shared" si="111"/>
        <v>6.24390243902439</v>
      </c>
    </row>
    <row r="3453" ht="14.4" spans="2:4">
      <c r="B3453" s="20">
        <v>13764</v>
      </c>
      <c r="C3453" s="21">
        <f t="shared" si="110"/>
        <v>15.9223729595198</v>
      </c>
      <c r="D3453" s="21">
        <f t="shared" si="111"/>
        <v>6.25343511450382</v>
      </c>
    </row>
    <row r="3454" ht="14.4" spans="2:4">
      <c r="B3454" s="20">
        <v>13768</v>
      </c>
      <c r="C3454" s="21">
        <f t="shared" si="110"/>
        <v>15.9356439928701</v>
      </c>
      <c r="D3454" s="21">
        <f t="shared" si="111"/>
        <v>6.26299694189602</v>
      </c>
    </row>
    <row r="3455" ht="14.4" spans="2:4">
      <c r="B3455" s="20">
        <v>13772</v>
      </c>
      <c r="C3455" s="21">
        <f t="shared" si="110"/>
        <v>15.948935333854</v>
      </c>
      <c r="D3455" s="21">
        <f t="shared" si="111"/>
        <v>6.27258805513017</v>
      </c>
    </row>
    <row r="3456" ht="14.4" spans="2:4">
      <c r="B3456" s="20">
        <v>13776</v>
      </c>
      <c r="C3456" s="21">
        <f t="shared" si="110"/>
        <v>15.9622470447171</v>
      </c>
      <c r="D3456" s="21">
        <f t="shared" si="111"/>
        <v>6.28220858895706</v>
      </c>
    </row>
    <row r="3457" ht="14.4" spans="2:4">
      <c r="B3457" s="20">
        <v>13780</v>
      </c>
      <c r="C3457" s="21">
        <f t="shared" si="110"/>
        <v>15.9755791879916</v>
      </c>
      <c r="D3457" s="21">
        <f t="shared" si="111"/>
        <v>6.29185867895545</v>
      </c>
    </row>
    <row r="3458" ht="14.4" spans="2:4">
      <c r="B3458" s="20">
        <v>13784</v>
      </c>
      <c r="C3458" s="21">
        <f t="shared" si="110"/>
        <v>15.9889318264984</v>
      </c>
      <c r="D3458" s="21">
        <f t="shared" si="111"/>
        <v>6.30153846153846</v>
      </c>
    </row>
    <row r="3459" ht="14.4" spans="2:4">
      <c r="B3459" s="20">
        <v>13788</v>
      </c>
      <c r="C3459" s="21">
        <f t="shared" si="110"/>
        <v>16.0023050233481</v>
      </c>
      <c r="D3459" s="21">
        <f t="shared" si="111"/>
        <v>6.31124807395994</v>
      </c>
    </row>
    <row r="3460" ht="14.4" spans="2:4">
      <c r="B3460" s="20">
        <v>13792</v>
      </c>
      <c r="C3460" s="21">
        <f t="shared" si="110"/>
        <v>16.0156988419436</v>
      </c>
      <c r="D3460" s="21">
        <f t="shared" si="111"/>
        <v>6.32098765432099</v>
      </c>
    </row>
    <row r="3461" ht="14.4" spans="2:4">
      <c r="B3461" s="20">
        <v>13796</v>
      </c>
      <c r="C3461" s="21">
        <f t="shared" si="110"/>
        <v>16.0291133459815</v>
      </c>
      <c r="D3461" s="21">
        <f t="shared" si="111"/>
        <v>6.33075734157651</v>
      </c>
    </row>
    <row r="3462" ht="14.4" spans="2:4">
      <c r="B3462" s="20">
        <v>13800</v>
      </c>
      <c r="C3462" s="21">
        <f t="shared" ref="C3462:C3525" si="112">20*LOG(D3462)</f>
        <v>16.0425485994538</v>
      </c>
      <c r="D3462" s="21">
        <f t="shared" ref="D3462:D3525" si="113">16384/(16384-B3462)</f>
        <v>6.3405572755418</v>
      </c>
    </row>
    <row r="3463" ht="14.4" spans="2:4">
      <c r="B3463" s="20">
        <v>13804</v>
      </c>
      <c r="C3463" s="21">
        <f t="shared" si="112"/>
        <v>16.0560046666501</v>
      </c>
      <c r="D3463" s="21">
        <f t="shared" si="113"/>
        <v>6.35038759689922</v>
      </c>
    </row>
    <row r="3464" ht="14.4" spans="2:4">
      <c r="B3464" s="20">
        <v>13808</v>
      </c>
      <c r="C3464" s="21">
        <f t="shared" si="112"/>
        <v>16.0694816121592</v>
      </c>
      <c r="D3464" s="21">
        <f t="shared" si="113"/>
        <v>6.36024844720497</v>
      </c>
    </row>
    <row r="3465" ht="14.4" spans="2:4">
      <c r="B3465" s="20">
        <v>13812</v>
      </c>
      <c r="C3465" s="21">
        <f t="shared" si="112"/>
        <v>16.082979500871</v>
      </c>
      <c r="D3465" s="21">
        <f t="shared" si="113"/>
        <v>6.3701399688958</v>
      </c>
    </row>
    <row r="3466" ht="14.4" spans="2:4">
      <c r="B3466" s="20">
        <v>13816</v>
      </c>
      <c r="C3466" s="21">
        <f t="shared" si="112"/>
        <v>16.0964983979784</v>
      </c>
      <c r="D3466" s="21">
        <f t="shared" si="113"/>
        <v>6.38006230529595</v>
      </c>
    </row>
    <row r="3467" ht="14.4" spans="2:4">
      <c r="B3467" s="20">
        <v>13820</v>
      </c>
      <c r="C3467" s="21">
        <f t="shared" si="112"/>
        <v>16.1100383689791</v>
      </c>
      <c r="D3467" s="21">
        <f t="shared" si="113"/>
        <v>6.39001560062403</v>
      </c>
    </row>
    <row r="3468" ht="14.4" spans="2:4">
      <c r="B3468" s="20">
        <v>13824</v>
      </c>
      <c r="C3468" s="21">
        <f t="shared" si="112"/>
        <v>16.1235994796777</v>
      </c>
      <c r="D3468" s="21">
        <f t="shared" si="113"/>
        <v>6.4</v>
      </c>
    </row>
    <row r="3469" ht="14.4" spans="2:4">
      <c r="B3469" s="20">
        <v>13828</v>
      </c>
      <c r="C3469" s="21">
        <f t="shared" si="112"/>
        <v>16.1371817961875</v>
      </c>
      <c r="D3469" s="21">
        <f t="shared" si="113"/>
        <v>6.41001564945227</v>
      </c>
    </row>
    <row r="3470" ht="14.4" spans="2:4">
      <c r="B3470" s="20">
        <v>13832</v>
      </c>
      <c r="C3470" s="21">
        <f t="shared" si="112"/>
        <v>16.1507853849322</v>
      </c>
      <c r="D3470" s="21">
        <f t="shared" si="113"/>
        <v>6.42006269592476</v>
      </c>
    </row>
    <row r="3471" ht="14.4" spans="2:4">
      <c r="B3471" s="20">
        <v>13836</v>
      </c>
      <c r="C3471" s="21">
        <f t="shared" si="112"/>
        <v>16.1644103126485</v>
      </c>
      <c r="D3471" s="21">
        <f t="shared" si="113"/>
        <v>6.43014128728414</v>
      </c>
    </row>
    <row r="3472" ht="14.4" spans="2:4">
      <c r="B3472" s="20">
        <v>13840</v>
      </c>
      <c r="C3472" s="21">
        <f t="shared" si="112"/>
        <v>16.1780566463872</v>
      </c>
      <c r="D3472" s="21">
        <f t="shared" si="113"/>
        <v>6.44025157232704</v>
      </c>
    </row>
    <row r="3473" ht="14.4" spans="2:4">
      <c r="B3473" s="20">
        <v>13844</v>
      </c>
      <c r="C3473" s="21">
        <f t="shared" si="112"/>
        <v>16.191724453516</v>
      </c>
      <c r="D3473" s="21">
        <f t="shared" si="113"/>
        <v>6.4503937007874</v>
      </c>
    </row>
    <row r="3474" ht="14.4" spans="2:4">
      <c r="B3474" s="20">
        <v>13848</v>
      </c>
      <c r="C3474" s="21">
        <f t="shared" si="112"/>
        <v>16.2054138017208</v>
      </c>
      <c r="D3474" s="21">
        <f t="shared" si="113"/>
        <v>6.46056782334385</v>
      </c>
    </row>
    <row r="3475" ht="14.4" spans="2:4">
      <c r="B3475" s="20">
        <v>13852</v>
      </c>
      <c r="C3475" s="21">
        <f t="shared" si="112"/>
        <v>16.2191247590084</v>
      </c>
      <c r="D3475" s="21">
        <f t="shared" si="113"/>
        <v>6.47077409162717</v>
      </c>
    </row>
    <row r="3476" ht="14.4" spans="2:4">
      <c r="B3476" s="20">
        <v>13856</v>
      </c>
      <c r="C3476" s="21">
        <f t="shared" si="112"/>
        <v>16.2328573937078</v>
      </c>
      <c r="D3476" s="21">
        <f t="shared" si="113"/>
        <v>6.48101265822785</v>
      </c>
    </row>
    <row r="3477" ht="14.4" spans="2:4">
      <c r="B3477" s="20">
        <v>13860</v>
      </c>
      <c r="C3477" s="21">
        <f t="shared" si="112"/>
        <v>16.2466117744728</v>
      </c>
      <c r="D3477" s="21">
        <f t="shared" si="113"/>
        <v>6.49128367670365</v>
      </c>
    </row>
    <row r="3478" ht="14.4" spans="2:4">
      <c r="B3478" s="20">
        <v>13864</v>
      </c>
      <c r="C3478" s="21">
        <f t="shared" si="112"/>
        <v>16.2603879702839</v>
      </c>
      <c r="D3478" s="21">
        <f t="shared" si="113"/>
        <v>6.5015873015873</v>
      </c>
    </row>
    <row r="3479" ht="14.4" spans="2:4">
      <c r="B3479" s="20">
        <v>13868</v>
      </c>
      <c r="C3479" s="21">
        <f t="shared" si="112"/>
        <v>16.2741860504501</v>
      </c>
      <c r="D3479" s="21">
        <f t="shared" si="113"/>
        <v>6.51192368839428</v>
      </c>
    </row>
    <row r="3480" ht="14.4" spans="2:4">
      <c r="B3480" s="20">
        <v>13872</v>
      </c>
      <c r="C3480" s="21">
        <f t="shared" si="112"/>
        <v>16.2880060846116</v>
      </c>
      <c r="D3480" s="21">
        <f t="shared" si="113"/>
        <v>6.52229299363057</v>
      </c>
    </row>
    <row r="3481" ht="14.4" spans="2:4">
      <c r="B3481" s="20">
        <v>13876</v>
      </c>
      <c r="C3481" s="21">
        <f t="shared" si="112"/>
        <v>16.3018481427412</v>
      </c>
      <c r="D3481" s="21">
        <f t="shared" si="113"/>
        <v>6.53269537480064</v>
      </c>
    </row>
    <row r="3482" ht="14.4" spans="2:4">
      <c r="B3482" s="20">
        <v>13880</v>
      </c>
      <c r="C3482" s="21">
        <f t="shared" si="112"/>
        <v>16.3157122951469</v>
      </c>
      <c r="D3482" s="21">
        <f t="shared" si="113"/>
        <v>6.54313099041534</v>
      </c>
    </row>
    <row r="3483" ht="14.4" spans="2:4">
      <c r="B3483" s="20">
        <v>13884</v>
      </c>
      <c r="C3483" s="21">
        <f t="shared" si="112"/>
        <v>16.329598612474</v>
      </c>
      <c r="D3483" s="21">
        <f t="shared" si="113"/>
        <v>6.5536</v>
      </c>
    </row>
    <row r="3484" ht="14.4" spans="2:4">
      <c r="B3484" s="20">
        <v>13888</v>
      </c>
      <c r="C3484" s="21">
        <f t="shared" si="112"/>
        <v>16.343507165707</v>
      </c>
      <c r="D3484" s="21">
        <f t="shared" si="113"/>
        <v>6.56410256410256</v>
      </c>
    </row>
    <row r="3485" ht="14.4" spans="2:4">
      <c r="B3485" s="20">
        <v>13892</v>
      </c>
      <c r="C3485" s="21">
        <f t="shared" si="112"/>
        <v>16.3574380261721</v>
      </c>
      <c r="D3485" s="21">
        <f t="shared" si="113"/>
        <v>6.57463884430177</v>
      </c>
    </row>
    <row r="3486" ht="14.4" spans="2:4">
      <c r="B3486" s="20">
        <v>13896</v>
      </c>
      <c r="C3486" s="21">
        <f t="shared" si="112"/>
        <v>16.3713912655391</v>
      </c>
      <c r="D3486" s="21">
        <f t="shared" si="113"/>
        <v>6.58520900321543</v>
      </c>
    </row>
    <row r="3487" ht="14.4" spans="2:4">
      <c r="B3487" s="20">
        <v>13900</v>
      </c>
      <c r="C3487" s="21">
        <f t="shared" si="112"/>
        <v>16.3853669558239</v>
      </c>
      <c r="D3487" s="21">
        <f t="shared" si="113"/>
        <v>6.59581320450886</v>
      </c>
    </row>
    <row r="3488" ht="14.4" spans="2:4">
      <c r="B3488" s="20">
        <v>13904</v>
      </c>
      <c r="C3488" s="21">
        <f t="shared" si="112"/>
        <v>16.3993651693904</v>
      </c>
      <c r="D3488" s="21">
        <f t="shared" si="113"/>
        <v>6.60645161290323</v>
      </c>
    </row>
    <row r="3489" ht="14.4" spans="2:4">
      <c r="B3489" s="20">
        <v>13908</v>
      </c>
      <c r="C3489" s="21">
        <f t="shared" si="112"/>
        <v>16.4133859789531</v>
      </c>
      <c r="D3489" s="21">
        <f t="shared" si="113"/>
        <v>6.61712439418417</v>
      </c>
    </row>
    <row r="3490" ht="14.4" spans="2:4">
      <c r="B3490" s="20">
        <v>13912</v>
      </c>
      <c r="C3490" s="21">
        <f t="shared" si="112"/>
        <v>16.4274294575792</v>
      </c>
      <c r="D3490" s="21">
        <f t="shared" si="113"/>
        <v>6.62783171521036</v>
      </c>
    </row>
    <row r="3491" ht="14.4" spans="2:4">
      <c r="B3491" s="20">
        <v>13916</v>
      </c>
      <c r="C3491" s="21">
        <f t="shared" si="112"/>
        <v>16.4414956786907</v>
      </c>
      <c r="D3491" s="21">
        <f t="shared" si="113"/>
        <v>6.6385737439222</v>
      </c>
    </row>
    <row r="3492" ht="14.4" spans="2:4">
      <c r="B3492" s="20">
        <v>13920</v>
      </c>
      <c r="C3492" s="21">
        <f t="shared" si="112"/>
        <v>16.455584716067</v>
      </c>
      <c r="D3492" s="21">
        <f t="shared" si="113"/>
        <v>6.64935064935065</v>
      </c>
    </row>
    <row r="3493" ht="14.4" spans="2:4">
      <c r="B3493" s="20">
        <v>13924</v>
      </c>
      <c r="C3493" s="21">
        <f t="shared" si="112"/>
        <v>16.4696966438472</v>
      </c>
      <c r="D3493" s="21">
        <f t="shared" si="113"/>
        <v>6.66016260162602</v>
      </c>
    </row>
    <row r="3494" ht="14.4" spans="2:4">
      <c r="B3494" s="20">
        <v>13928</v>
      </c>
      <c r="C3494" s="21">
        <f t="shared" si="112"/>
        <v>16.4838315365321</v>
      </c>
      <c r="D3494" s="21">
        <f t="shared" si="113"/>
        <v>6.67100977198697</v>
      </c>
    </row>
    <row r="3495" ht="14.4" spans="2:4">
      <c r="B3495" s="20">
        <v>13932</v>
      </c>
      <c r="C3495" s="21">
        <f t="shared" si="112"/>
        <v>16.4979894689872</v>
      </c>
      <c r="D3495" s="21">
        <f t="shared" si="113"/>
        <v>6.68189233278956</v>
      </c>
    </row>
    <row r="3496" ht="14.4" spans="2:4">
      <c r="B3496" s="20">
        <v>13936</v>
      </c>
      <c r="C3496" s="21">
        <f t="shared" si="112"/>
        <v>16.5121705164443</v>
      </c>
      <c r="D3496" s="21">
        <f t="shared" si="113"/>
        <v>6.69281045751634</v>
      </c>
    </row>
    <row r="3497" ht="14.4" spans="2:4">
      <c r="B3497" s="20">
        <v>13940</v>
      </c>
      <c r="C3497" s="21">
        <f t="shared" si="112"/>
        <v>16.5263747545044</v>
      </c>
      <c r="D3497" s="21">
        <f t="shared" si="113"/>
        <v>6.7037643207856</v>
      </c>
    </row>
    <row r="3498" ht="14.4" spans="2:4">
      <c r="B3498" s="20">
        <v>13944</v>
      </c>
      <c r="C3498" s="21">
        <f t="shared" si="112"/>
        <v>16.5406022591401</v>
      </c>
      <c r="D3498" s="21">
        <f t="shared" si="113"/>
        <v>6.71475409836066</v>
      </c>
    </row>
    <row r="3499" ht="14.4" spans="2:4">
      <c r="B3499" s="20">
        <v>13948</v>
      </c>
      <c r="C3499" s="21">
        <f t="shared" si="112"/>
        <v>16.554853106698</v>
      </c>
      <c r="D3499" s="21">
        <f t="shared" si="113"/>
        <v>6.72577996715928</v>
      </c>
    </row>
    <row r="3500" ht="14.4" spans="2:4">
      <c r="B3500" s="20">
        <v>13952</v>
      </c>
      <c r="C3500" s="21">
        <f t="shared" si="112"/>
        <v>16.5691273739008</v>
      </c>
      <c r="D3500" s="21">
        <f t="shared" si="113"/>
        <v>6.73684210526316</v>
      </c>
    </row>
    <row r="3501" ht="14.4" spans="2:4">
      <c r="B3501" s="20">
        <v>13956</v>
      </c>
      <c r="C3501" s="21">
        <f t="shared" si="112"/>
        <v>16.5834251378503</v>
      </c>
      <c r="D3501" s="21">
        <f t="shared" si="113"/>
        <v>6.74794069192751</v>
      </c>
    </row>
    <row r="3502" ht="14.4" spans="2:4">
      <c r="B3502" s="20">
        <v>13960</v>
      </c>
      <c r="C3502" s="21">
        <f t="shared" si="112"/>
        <v>16.5977464760298</v>
      </c>
      <c r="D3502" s="21">
        <f t="shared" si="113"/>
        <v>6.75907590759076</v>
      </c>
    </row>
    <row r="3503" ht="14.4" spans="2:4">
      <c r="B3503" s="20">
        <v>13964</v>
      </c>
      <c r="C3503" s="21">
        <f t="shared" si="112"/>
        <v>16.6120914663061</v>
      </c>
      <c r="D3503" s="21">
        <f t="shared" si="113"/>
        <v>6.7702479338843</v>
      </c>
    </row>
    <row r="3504" ht="14.4" spans="2:4">
      <c r="B3504" s="20">
        <v>13968</v>
      </c>
      <c r="C3504" s="21">
        <f t="shared" si="112"/>
        <v>16.6264601869328</v>
      </c>
      <c r="D3504" s="21">
        <f t="shared" si="113"/>
        <v>6.78145695364238</v>
      </c>
    </row>
    <row r="3505" ht="14.4" spans="2:4">
      <c r="B3505" s="20">
        <v>13972</v>
      </c>
      <c r="C3505" s="21">
        <f t="shared" si="112"/>
        <v>16.6408527165525</v>
      </c>
      <c r="D3505" s="21">
        <f t="shared" si="113"/>
        <v>6.79270315091211</v>
      </c>
    </row>
    <row r="3506" ht="14.4" spans="2:4">
      <c r="B3506" s="20">
        <v>13976</v>
      </c>
      <c r="C3506" s="21">
        <f t="shared" si="112"/>
        <v>16.655269134199</v>
      </c>
      <c r="D3506" s="21">
        <f t="shared" si="113"/>
        <v>6.80398671096346</v>
      </c>
    </row>
    <row r="3507" ht="14.4" spans="2:4">
      <c r="B3507" s="20">
        <v>13980</v>
      </c>
      <c r="C3507" s="21">
        <f t="shared" si="112"/>
        <v>16.6697095193007</v>
      </c>
      <c r="D3507" s="21">
        <f t="shared" si="113"/>
        <v>6.8153078202995</v>
      </c>
    </row>
    <row r="3508" ht="14.4" spans="2:4">
      <c r="B3508" s="20">
        <v>13984</v>
      </c>
      <c r="C3508" s="21">
        <f t="shared" si="112"/>
        <v>16.6841739516826</v>
      </c>
      <c r="D3508" s="21">
        <f t="shared" si="113"/>
        <v>6.82666666666667</v>
      </c>
    </row>
    <row r="3509" ht="14.4" spans="2:4">
      <c r="B3509" s="20">
        <v>13988</v>
      </c>
      <c r="C3509" s="21">
        <f t="shared" si="112"/>
        <v>16.6986625115693</v>
      </c>
      <c r="D3509" s="21">
        <f t="shared" si="113"/>
        <v>6.83806343906511</v>
      </c>
    </row>
    <row r="3510" ht="14.4" spans="2:4">
      <c r="B3510" s="20">
        <v>13992</v>
      </c>
      <c r="C3510" s="21">
        <f t="shared" si="112"/>
        <v>16.7131752795873</v>
      </c>
      <c r="D3510" s="21">
        <f t="shared" si="113"/>
        <v>6.8494983277592</v>
      </c>
    </row>
    <row r="3511" ht="14.4" spans="2:4">
      <c r="B3511" s="20">
        <v>13996</v>
      </c>
      <c r="C3511" s="21">
        <f t="shared" si="112"/>
        <v>16.7277123367681</v>
      </c>
      <c r="D3511" s="21">
        <f t="shared" si="113"/>
        <v>6.86097152428811</v>
      </c>
    </row>
    <row r="3512" ht="14.4" spans="2:4">
      <c r="B3512" s="20">
        <v>14000</v>
      </c>
      <c r="C3512" s="21">
        <f t="shared" si="112"/>
        <v>16.7422737645508</v>
      </c>
      <c r="D3512" s="21">
        <f t="shared" si="113"/>
        <v>6.87248322147651</v>
      </c>
    </row>
    <row r="3513" ht="14.4" spans="2:4">
      <c r="B3513" s="20">
        <v>14004</v>
      </c>
      <c r="C3513" s="21">
        <f t="shared" si="112"/>
        <v>16.7568596447845</v>
      </c>
      <c r="D3513" s="21">
        <f t="shared" si="113"/>
        <v>6.88403361344538</v>
      </c>
    </row>
    <row r="3514" ht="14.4" spans="2:4">
      <c r="B3514" s="20">
        <v>14008</v>
      </c>
      <c r="C3514" s="21">
        <f t="shared" si="112"/>
        <v>16.7714700597316</v>
      </c>
      <c r="D3514" s="21">
        <f t="shared" si="113"/>
        <v>6.8956228956229</v>
      </c>
    </row>
    <row r="3515" ht="14.4" spans="2:4">
      <c r="B3515" s="20">
        <v>14012</v>
      </c>
      <c r="C3515" s="21">
        <f t="shared" si="112"/>
        <v>16.7861050920702</v>
      </c>
      <c r="D3515" s="21">
        <f t="shared" si="113"/>
        <v>6.90725126475548</v>
      </c>
    </row>
    <row r="3516" ht="14.4" spans="2:4">
      <c r="B3516" s="20">
        <v>14016</v>
      </c>
      <c r="C3516" s="21">
        <f t="shared" si="112"/>
        <v>16.8007648248971</v>
      </c>
      <c r="D3516" s="21">
        <f t="shared" si="113"/>
        <v>6.91891891891892</v>
      </c>
    </row>
    <row r="3517" ht="14.4" spans="2:4">
      <c r="B3517" s="20">
        <v>14020</v>
      </c>
      <c r="C3517" s="21">
        <f t="shared" si="112"/>
        <v>16.8154493417304</v>
      </c>
      <c r="D3517" s="21">
        <f t="shared" si="113"/>
        <v>6.93062605752961</v>
      </c>
    </row>
    <row r="3518" ht="14.4" spans="2:4">
      <c r="B3518" s="20">
        <v>14024</v>
      </c>
      <c r="C3518" s="21">
        <f t="shared" si="112"/>
        <v>16.8301587265126</v>
      </c>
      <c r="D3518" s="21">
        <f t="shared" si="113"/>
        <v>6.94237288135593</v>
      </c>
    </row>
    <row r="3519" ht="14.4" spans="2:4">
      <c r="B3519" s="20">
        <v>14028</v>
      </c>
      <c r="C3519" s="21">
        <f t="shared" si="112"/>
        <v>16.8448930636135</v>
      </c>
      <c r="D3519" s="21">
        <f t="shared" si="113"/>
        <v>6.95415959252971</v>
      </c>
    </row>
    <row r="3520" ht="14.4" spans="2:4">
      <c r="B3520" s="20">
        <v>14032</v>
      </c>
      <c r="C3520" s="21">
        <f t="shared" si="112"/>
        <v>16.8596524378327</v>
      </c>
      <c r="D3520" s="21">
        <f t="shared" si="113"/>
        <v>6.96598639455782</v>
      </c>
    </row>
    <row r="3521" ht="14.4" spans="2:4">
      <c r="B3521" s="20">
        <v>14036</v>
      </c>
      <c r="C3521" s="21">
        <f t="shared" si="112"/>
        <v>16.8744369344032</v>
      </c>
      <c r="D3521" s="21">
        <f t="shared" si="113"/>
        <v>6.9778534923339</v>
      </c>
    </row>
    <row r="3522" ht="14.4" spans="2:4">
      <c r="B3522" s="20">
        <v>14040</v>
      </c>
      <c r="C3522" s="21">
        <f t="shared" si="112"/>
        <v>16.8892466389937</v>
      </c>
      <c r="D3522" s="21">
        <f t="shared" si="113"/>
        <v>6.98976109215017</v>
      </c>
    </row>
    <row r="3523" ht="14.4" spans="2:4">
      <c r="B3523" s="20">
        <v>14044</v>
      </c>
      <c r="C3523" s="21">
        <f t="shared" si="112"/>
        <v>16.9040816377119</v>
      </c>
      <c r="D3523" s="21">
        <f t="shared" si="113"/>
        <v>7.0017094017094</v>
      </c>
    </row>
    <row r="3524" ht="14.4" spans="2:4">
      <c r="B3524" s="20">
        <v>14048</v>
      </c>
      <c r="C3524" s="21">
        <f t="shared" si="112"/>
        <v>16.9189420171075</v>
      </c>
      <c r="D3524" s="21">
        <f t="shared" si="113"/>
        <v>7.01369863013699</v>
      </c>
    </row>
    <row r="3525" ht="14.4" spans="2:4">
      <c r="B3525" s="20">
        <v>14052</v>
      </c>
      <c r="C3525" s="21">
        <f t="shared" si="112"/>
        <v>16.9338278641752</v>
      </c>
      <c r="D3525" s="21">
        <f t="shared" si="113"/>
        <v>7.02572898799314</v>
      </c>
    </row>
    <row r="3526" ht="14.4" spans="2:4">
      <c r="B3526" s="20">
        <v>14056</v>
      </c>
      <c r="C3526" s="21">
        <f t="shared" ref="C3526:C3589" si="114">20*LOG(D3526)</f>
        <v>16.9487392663577</v>
      </c>
      <c r="D3526" s="21">
        <f t="shared" ref="D3526:D3589" si="115">16384/(16384-B3526)</f>
        <v>7.03780068728522</v>
      </c>
    </row>
    <row r="3527" ht="14.4" spans="2:4">
      <c r="B3527" s="20">
        <v>14060</v>
      </c>
      <c r="C3527" s="21">
        <f t="shared" si="114"/>
        <v>16.9636763115489</v>
      </c>
      <c r="D3527" s="21">
        <f t="shared" si="115"/>
        <v>7.04991394148021</v>
      </c>
    </row>
    <row r="3528" ht="14.4" spans="2:4">
      <c r="B3528" s="20">
        <v>14064</v>
      </c>
      <c r="C3528" s="21">
        <f t="shared" si="114"/>
        <v>16.9786390880967</v>
      </c>
      <c r="D3528" s="21">
        <f t="shared" si="115"/>
        <v>7.06206896551724</v>
      </c>
    </row>
    <row r="3529" ht="14.4" spans="2:4">
      <c r="B3529" s="20">
        <v>14068</v>
      </c>
      <c r="C3529" s="21">
        <f t="shared" si="114"/>
        <v>16.9936276848068</v>
      </c>
      <c r="D3529" s="21">
        <f t="shared" si="115"/>
        <v>7.07426597582038</v>
      </c>
    </row>
    <row r="3530" ht="14.4" spans="2:4">
      <c r="B3530" s="20">
        <v>14072</v>
      </c>
      <c r="C3530" s="21">
        <f t="shared" si="114"/>
        <v>17.0086421909449</v>
      </c>
      <c r="D3530" s="21">
        <f t="shared" si="115"/>
        <v>7.08650519031142</v>
      </c>
    </row>
    <row r="3531" ht="14.4" spans="2:4">
      <c r="B3531" s="20">
        <v>14076</v>
      </c>
      <c r="C3531" s="21">
        <f t="shared" si="114"/>
        <v>17.0236826962409</v>
      </c>
      <c r="D3531" s="21">
        <f t="shared" si="115"/>
        <v>7.09878682842288</v>
      </c>
    </row>
    <row r="3532" ht="14.4" spans="2:4">
      <c r="B3532" s="20">
        <v>14080</v>
      </c>
      <c r="C3532" s="21">
        <f t="shared" si="114"/>
        <v>17.0387492908912</v>
      </c>
      <c r="D3532" s="21">
        <f t="shared" si="115"/>
        <v>7.11111111111111</v>
      </c>
    </row>
    <row r="3533" ht="14.4" spans="2:4">
      <c r="B3533" s="20">
        <v>14084</v>
      </c>
      <c r="C3533" s="21">
        <f t="shared" si="114"/>
        <v>17.0538420655629</v>
      </c>
      <c r="D3533" s="21">
        <f t="shared" si="115"/>
        <v>7.12347826086957</v>
      </c>
    </row>
    <row r="3534" ht="14.4" spans="2:4">
      <c r="B3534" s="20">
        <v>14088</v>
      </c>
      <c r="C3534" s="21">
        <f t="shared" si="114"/>
        <v>17.068961111396</v>
      </c>
      <c r="D3534" s="21">
        <f t="shared" si="115"/>
        <v>7.13588850174216</v>
      </c>
    </row>
    <row r="3535" ht="14.4" spans="2:4">
      <c r="B3535" s="20">
        <v>14092</v>
      </c>
      <c r="C3535" s="21">
        <f t="shared" si="114"/>
        <v>17.0841065200077</v>
      </c>
      <c r="D3535" s="21">
        <f t="shared" si="115"/>
        <v>7.14834205933682</v>
      </c>
    </row>
    <row r="3536" ht="14.4" spans="2:4">
      <c r="B3536" s="20">
        <v>14096</v>
      </c>
      <c r="C3536" s="21">
        <f t="shared" si="114"/>
        <v>17.099278383495</v>
      </c>
      <c r="D3536" s="21">
        <f t="shared" si="115"/>
        <v>7.16083916083916</v>
      </c>
    </row>
    <row r="3537" ht="14.4" spans="2:4">
      <c r="B3537" s="20">
        <v>14100</v>
      </c>
      <c r="C3537" s="21">
        <f t="shared" si="114"/>
        <v>17.1144767944385</v>
      </c>
      <c r="D3537" s="21">
        <f t="shared" si="115"/>
        <v>7.17338003502627</v>
      </c>
    </row>
    <row r="3538" ht="14.4" spans="2:4">
      <c r="B3538" s="20">
        <v>14104</v>
      </c>
      <c r="C3538" s="21">
        <f t="shared" si="114"/>
        <v>17.1297018459057</v>
      </c>
      <c r="D3538" s="21">
        <f t="shared" si="115"/>
        <v>7.1859649122807</v>
      </c>
    </row>
    <row r="3539" ht="14.4" spans="2:4">
      <c r="B3539" s="20">
        <v>14108</v>
      </c>
      <c r="C3539" s="21">
        <f t="shared" si="114"/>
        <v>17.1449536314541</v>
      </c>
      <c r="D3539" s="21">
        <f t="shared" si="115"/>
        <v>7.19859402460457</v>
      </c>
    </row>
    <row r="3540" ht="14.4" spans="2:4">
      <c r="B3540" s="20">
        <v>14112</v>
      </c>
      <c r="C3540" s="21">
        <f t="shared" si="114"/>
        <v>17.1602322451351</v>
      </c>
      <c r="D3540" s="21">
        <f t="shared" si="115"/>
        <v>7.2112676056338</v>
      </c>
    </row>
    <row r="3541" ht="14.4" spans="2:4">
      <c r="B3541" s="20">
        <v>14116</v>
      </c>
      <c r="C3541" s="21">
        <f t="shared" si="114"/>
        <v>17.1755377814974</v>
      </c>
      <c r="D3541" s="21">
        <f t="shared" si="115"/>
        <v>7.22398589065256</v>
      </c>
    </row>
    <row r="3542" ht="14.4" spans="2:4">
      <c r="B3542" s="20">
        <v>14120</v>
      </c>
      <c r="C3542" s="21">
        <f t="shared" si="114"/>
        <v>17.1908703355901</v>
      </c>
      <c r="D3542" s="21">
        <f t="shared" si="115"/>
        <v>7.23674911660777</v>
      </c>
    </row>
    <row r="3543" ht="14.4" spans="2:4">
      <c r="B3543" s="20">
        <v>14124</v>
      </c>
      <c r="C3543" s="21">
        <f t="shared" si="114"/>
        <v>17.2062300029667</v>
      </c>
      <c r="D3543" s="21">
        <f t="shared" si="115"/>
        <v>7.24955752212389</v>
      </c>
    </row>
    <row r="3544" ht="14.4" spans="2:4">
      <c r="B3544" s="20">
        <v>14128</v>
      </c>
      <c r="C3544" s="21">
        <f t="shared" si="114"/>
        <v>17.2216168796886</v>
      </c>
      <c r="D3544" s="21">
        <f t="shared" si="115"/>
        <v>7.26241134751773</v>
      </c>
    </row>
    <row r="3545" ht="14.4" spans="2:4">
      <c r="B3545" s="20">
        <v>14132</v>
      </c>
      <c r="C3545" s="21">
        <f t="shared" si="114"/>
        <v>17.2370310623286</v>
      </c>
      <c r="D3545" s="21">
        <f t="shared" si="115"/>
        <v>7.2753108348135</v>
      </c>
    </row>
    <row r="3546" ht="14.4" spans="2:4">
      <c r="B3546" s="20">
        <v>14136</v>
      </c>
      <c r="C3546" s="21">
        <f t="shared" si="114"/>
        <v>17.2524726479743</v>
      </c>
      <c r="D3546" s="21">
        <f t="shared" si="115"/>
        <v>7.28825622775801</v>
      </c>
    </row>
    <row r="3547" ht="14.4" spans="2:4">
      <c r="B3547" s="20">
        <v>14140</v>
      </c>
      <c r="C3547" s="21">
        <f t="shared" si="114"/>
        <v>17.2679417342323</v>
      </c>
      <c r="D3547" s="21">
        <f t="shared" si="115"/>
        <v>7.30124777183601</v>
      </c>
    </row>
    <row r="3548" ht="14.4" spans="2:4">
      <c r="B3548" s="20">
        <v>14144</v>
      </c>
      <c r="C3548" s="21">
        <f t="shared" si="114"/>
        <v>17.2834384192315</v>
      </c>
      <c r="D3548" s="21">
        <f t="shared" si="115"/>
        <v>7.31428571428571</v>
      </c>
    </row>
    <row r="3549" ht="14.4" spans="2:4">
      <c r="B3549" s="20">
        <v>14148</v>
      </c>
      <c r="C3549" s="21">
        <f t="shared" si="114"/>
        <v>17.298962801627</v>
      </c>
      <c r="D3549" s="21">
        <f t="shared" si="115"/>
        <v>7.32737030411449</v>
      </c>
    </row>
    <row r="3550" ht="14.4" spans="2:4">
      <c r="B3550" s="20">
        <v>14152</v>
      </c>
      <c r="C3550" s="21">
        <f t="shared" si="114"/>
        <v>17.3145149806039</v>
      </c>
      <c r="D3550" s="21">
        <f t="shared" si="115"/>
        <v>7.3405017921147</v>
      </c>
    </row>
    <row r="3551" ht="14.4" spans="2:4">
      <c r="B3551" s="20">
        <v>14156</v>
      </c>
      <c r="C3551" s="21">
        <f t="shared" si="114"/>
        <v>17.3300950558809</v>
      </c>
      <c r="D3551" s="21">
        <f t="shared" si="115"/>
        <v>7.35368043087971</v>
      </c>
    </row>
    <row r="3552" ht="14.4" spans="2:4">
      <c r="B3552" s="20">
        <v>14160</v>
      </c>
      <c r="C3552" s="21">
        <f t="shared" si="114"/>
        <v>17.3457031277143</v>
      </c>
      <c r="D3552" s="21">
        <f t="shared" si="115"/>
        <v>7.36690647482014</v>
      </c>
    </row>
    <row r="3553" ht="14.4" spans="2:4">
      <c r="B3553" s="20">
        <v>14164</v>
      </c>
      <c r="C3553" s="21">
        <f t="shared" si="114"/>
        <v>17.361339296902</v>
      </c>
      <c r="D3553" s="21">
        <f t="shared" si="115"/>
        <v>7.38018018018018</v>
      </c>
    </row>
    <row r="3554" ht="14.4" spans="2:4">
      <c r="B3554" s="20">
        <v>14168</v>
      </c>
      <c r="C3554" s="21">
        <f t="shared" si="114"/>
        <v>17.3770036647869</v>
      </c>
      <c r="D3554" s="21">
        <f t="shared" si="115"/>
        <v>7.39350180505415</v>
      </c>
    </row>
    <row r="3555" ht="14.4" spans="2:4">
      <c r="B3555" s="20">
        <v>14172</v>
      </c>
      <c r="C3555" s="21">
        <f t="shared" si="114"/>
        <v>17.3926963332615</v>
      </c>
      <c r="D3555" s="21">
        <f t="shared" si="115"/>
        <v>7.40687160940325</v>
      </c>
    </row>
    <row r="3556" ht="14.4" spans="2:4">
      <c r="B3556" s="20">
        <v>14176</v>
      </c>
      <c r="C3556" s="21">
        <f t="shared" si="114"/>
        <v>17.4084174047715</v>
      </c>
      <c r="D3556" s="21">
        <f t="shared" si="115"/>
        <v>7.42028985507246</v>
      </c>
    </row>
    <row r="3557" ht="14.4" spans="2:4">
      <c r="B3557" s="20">
        <v>14180</v>
      </c>
      <c r="C3557" s="21">
        <f t="shared" si="114"/>
        <v>17.4241669823198</v>
      </c>
      <c r="D3557" s="21">
        <f t="shared" si="115"/>
        <v>7.43375680580762</v>
      </c>
    </row>
    <row r="3558" ht="14.4" spans="2:4">
      <c r="B3558" s="20">
        <v>14184</v>
      </c>
      <c r="C3558" s="21">
        <f t="shared" si="114"/>
        <v>17.4399451694706</v>
      </c>
      <c r="D3558" s="21">
        <f t="shared" si="115"/>
        <v>7.44727272727273</v>
      </c>
    </row>
    <row r="3559" ht="14.4" spans="2:4">
      <c r="B3559" s="20">
        <v>14188</v>
      </c>
      <c r="C3559" s="21">
        <f t="shared" si="114"/>
        <v>17.4557520703537</v>
      </c>
      <c r="D3559" s="21">
        <f t="shared" si="115"/>
        <v>7.4608378870674</v>
      </c>
    </row>
    <row r="3560" ht="14.4" spans="2:4">
      <c r="B3560" s="20">
        <v>14192</v>
      </c>
      <c r="C3560" s="21">
        <f t="shared" si="114"/>
        <v>17.4715877896681</v>
      </c>
      <c r="D3560" s="21">
        <f t="shared" si="115"/>
        <v>7.47445255474453</v>
      </c>
    </row>
    <row r="3561" ht="14.4" spans="2:4">
      <c r="B3561" s="20">
        <v>14196</v>
      </c>
      <c r="C3561" s="21">
        <f t="shared" si="114"/>
        <v>17.4874524326869</v>
      </c>
      <c r="D3561" s="21">
        <f t="shared" si="115"/>
        <v>7.48811700182815</v>
      </c>
    </row>
    <row r="3562" ht="14.4" spans="2:4">
      <c r="B3562" s="20">
        <v>14200</v>
      </c>
      <c r="C3562" s="21">
        <f t="shared" si="114"/>
        <v>17.5033461052607</v>
      </c>
      <c r="D3562" s="21">
        <f t="shared" si="115"/>
        <v>7.5018315018315</v>
      </c>
    </row>
    <row r="3563" ht="14.4" spans="2:4">
      <c r="B3563" s="20">
        <v>14204</v>
      </c>
      <c r="C3563" s="21">
        <f t="shared" si="114"/>
        <v>17.5192689138226</v>
      </c>
      <c r="D3563" s="21">
        <f t="shared" si="115"/>
        <v>7.51559633027523</v>
      </c>
    </row>
    <row r="3564" ht="14.4" spans="2:4">
      <c r="B3564" s="20">
        <v>14208</v>
      </c>
      <c r="C3564" s="21">
        <f t="shared" si="114"/>
        <v>17.5352209653919</v>
      </c>
      <c r="D3564" s="21">
        <f t="shared" si="115"/>
        <v>7.52941176470588</v>
      </c>
    </row>
    <row r="3565" ht="14.4" spans="2:4">
      <c r="B3565" s="20">
        <v>14212</v>
      </c>
      <c r="C3565" s="21">
        <f t="shared" si="114"/>
        <v>17.5512023675785</v>
      </c>
      <c r="D3565" s="21">
        <f t="shared" si="115"/>
        <v>7.54327808471455</v>
      </c>
    </row>
    <row r="3566" ht="14.4" spans="2:4">
      <c r="B3566" s="20">
        <v>14216</v>
      </c>
      <c r="C3566" s="21">
        <f t="shared" si="114"/>
        <v>17.5672132285877</v>
      </c>
      <c r="D3566" s="21">
        <f t="shared" si="115"/>
        <v>7.55719557195572</v>
      </c>
    </row>
    <row r="3567" ht="14.4" spans="2:4">
      <c r="B3567" s="20">
        <v>14220</v>
      </c>
      <c r="C3567" s="21">
        <f t="shared" si="114"/>
        <v>17.5832536572241</v>
      </c>
      <c r="D3567" s="21">
        <f t="shared" si="115"/>
        <v>7.57116451016636</v>
      </c>
    </row>
    <row r="3568" ht="14.4" spans="2:4">
      <c r="B3568" s="20">
        <v>14224</v>
      </c>
      <c r="C3568" s="21">
        <f t="shared" si="114"/>
        <v>17.5993237628961</v>
      </c>
      <c r="D3568" s="21">
        <f t="shared" si="115"/>
        <v>7.58518518518519</v>
      </c>
    </row>
    <row r="3569" ht="14.4" spans="2:4">
      <c r="B3569" s="20">
        <v>14228</v>
      </c>
      <c r="C3569" s="21">
        <f t="shared" si="114"/>
        <v>17.6154236556207</v>
      </c>
      <c r="D3569" s="21">
        <f t="shared" si="115"/>
        <v>7.59925788497217</v>
      </c>
    </row>
    <row r="3570" ht="14.4" spans="2:4">
      <c r="B3570" s="20">
        <v>14232</v>
      </c>
      <c r="C3570" s="21">
        <f t="shared" si="114"/>
        <v>17.6315534460277</v>
      </c>
      <c r="D3570" s="21">
        <f t="shared" si="115"/>
        <v>7.61338289962825</v>
      </c>
    </row>
    <row r="3571" ht="14.4" spans="2:4">
      <c r="B3571" s="20">
        <v>14236</v>
      </c>
      <c r="C3571" s="21">
        <f t="shared" si="114"/>
        <v>17.6477132453644</v>
      </c>
      <c r="D3571" s="21">
        <f t="shared" si="115"/>
        <v>7.62756052141527</v>
      </c>
    </row>
    <row r="3572" ht="14.4" spans="2:4">
      <c r="B3572" s="20">
        <v>14240</v>
      </c>
      <c r="C3572" s="21">
        <f t="shared" si="114"/>
        <v>17.6639031655001</v>
      </c>
      <c r="D3572" s="21">
        <f t="shared" si="115"/>
        <v>7.64179104477612</v>
      </c>
    </row>
    <row r="3573" ht="14.4" spans="2:4">
      <c r="B3573" s="20">
        <v>14244</v>
      </c>
      <c r="C3573" s="21">
        <f t="shared" si="114"/>
        <v>17.6801233189309</v>
      </c>
      <c r="D3573" s="21">
        <f t="shared" si="115"/>
        <v>7.65607476635514</v>
      </c>
    </row>
    <row r="3574" ht="14.4" spans="2:4">
      <c r="B3574" s="20">
        <v>14248</v>
      </c>
      <c r="C3574" s="21">
        <f t="shared" si="114"/>
        <v>17.6963738187844</v>
      </c>
      <c r="D3574" s="21">
        <f t="shared" si="115"/>
        <v>7.67041198501873</v>
      </c>
    </row>
    <row r="3575" ht="14.4" spans="2:4">
      <c r="B3575" s="20">
        <v>14252</v>
      </c>
      <c r="C3575" s="21">
        <f t="shared" si="114"/>
        <v>17.712654778824</v>
      </c>
      <c r="D3575" s="21">
        <f t="shared" si="115"/>
        <v>7.68480300187617</v>
      </c>
    </row>
    <row r="3576" ht="14.4" spans="2:4">
      <c r="B3576" s="20">
        <v>14256</v>
      </c>
      <c r="C3576" s="21">
        <f t="shared" si="114"/>
        <v>17.7289663134545</v>
      </c>
      <c r="D3576" s="21">
        <f t="shared" si="115"/>
        <v>7.69924812030075</v>
      </c>
    </row>
    <row r="3577" ht="14.4" spans="2:4">
      <c r="B3577" s="20">
        <v>14260</v>
      </c>
      <c r="C3577" s="21">
        <f t="shared" si="114"/>
        <v>17.7453085377261</v>
      </c>
      <c r="D3577" s="21">
        <f t="shared" si="115"/>
        <v>7.71374764595104</v>
      </c>
    </row>
    <row r="3578" ht="14.4" spans="2:4">
      <c r="B3578" s="20">
        <v>14264</v>
      </c>
      <c r="C3578" s="21">
        <f t="shared" si="114"/>
        <v>17.7616815673397</v>
      </c>
      <c r="D3578" s="21">
        <f t="shared" si="115"/>
        <v>7.72830188679245</v>
      </c>
    </row>
    <row r="3579" ht="14.4" spans="2:4">
      <c r="B3579" s="20">
        <v>14268</v>
      </c>
      <c r="C3579" s="21">
        <f t="shared" si="114"/>
        <v>17.7780855186518</v>
      </c>
      <c r="D3579" s="21">
        <f t="shared" si="115"/>
        <v>7.74291115311909</v>
      </c>
    </row>
    <row r="3580" ht="14.4" spans="2:4">
      <c r="B3580" s="20">
        <v>14272</v>
      </c>
      <c r="C3580" s="21">
        <f t="shared" si="114"/>
        <v>17.7945205086792</v>
      </c>
      <c r="D3580" s="21">
        <f t="shared" si="115"/>
        <v>7.75757575757576</v>
      </c>
    </row>
    <row r="3581" ht="14.4" spans="2:4">
      <c r="B3581" s="20">
        <v>14276</v>
      </c>
      <c r="C3581" s="21">
        <f t="shared" si="114"/>
        <v>17.8109866551046</v>
      </c>
      <c r="D3581" s="21">
        <f t="shared" si="115"/>
        <v>7.77229601518027</v>
      </c>
    </row>
    <row r="3582" ht="14.4" spans="2:4">
      <c r="B3582" s="20">
        <v>14280</v>
      </c>
      <c r="C3582" s="21">
        <f t="shared" si="114"/>
        <v>17.8274840762807</v>
      </c>
      <c r="D3582" s="21">
        <f t="shared" si="115"/>
        <v>7.78707224334601</v>
      </c>
    </row>
    <row r="3583" ht="14.4" spans="2:4">
      <c r="B3583" s="20">
        <v>14284</v>
      </c>
      <c r="C3583" s="21">
        <f t="shared" si="114"/>
        <v>17.8440128912363</v>
      </c>
      <c r="D3583" s="21">
        <f t="shared" si="115"/>
        <v>7.80190476190476</v>
      </c>
    </row>
    <row r="3584" ht="14.4" spans="2:4">
      <c r="B3584" s="20">
        <v>14288</v>
      </c>
      <c r="C3584" s="21">
        <f t="shared" si="114"/>
        <v>17.860573219681</v>
      </c>
      <c r="D3584" s="21">
        <f t="shared" si="115"/>
        <v>7.81679389312977</v>
      </c>
    </row>
    <row r="3585" ht="14.4" spans="2:4">
      <c r="B3585" s="20">
        <v>14292</v>
      </c>
      <c r="C3585" s="21">
        <f t="shared" si="114"/>
        <v>17.87716518201</v>
      </c>
      <c r="D3585" s="21">
        <f t="shared" si="115"/>
        <v>7.83173996175908</v>
      </c>
    </row>
    <row r="3586" ht="14.4" spans="2:4">
      <c r="B3586" s="20">
        <v>14296</v>
      </c>
      <c r="C3586" s="21">
        <f t="shared" si="114"/>
        <v>17.8937888993102</v>
      </c>
      <c r="D3586" s="21">
        <f t="shared" si="115"/>
        <v>7.84674329501916</v>
      </c>
    </row>
    <row r="3587" ht="14.4" spans="2:4">
      <c r="B3587" s="20">
        <v>14300</v>
      </c>
      <c r="C3587" s="21">
        <f t="shared" si="114"/>
        <v>17.910444493365</v>
      </c>
      <c r="D3587" s="21">
        <f t="shared" si="115"/>
        <v>7.86180422264875</v>
      </c>
    </row>
    <row r="3588" ht="14.4" spans="2:4">
      <c r="B3588" s="20">
        <v>14304</v>
      </c>
      <c r="C3588" s="21">
        <f t="shared" si="114"/>
        <v>17.9271320866595</v>
      </c>
      <c r="D3588" s="21">
        <f t="shared" si="115"/>
        <v>7.87692307692308</v>
      </c>
    </row>
    <row r="3589" ht="14.4" spans="2:4">
      <c r="B3589" s="20">
        <v>14308</v>
      </c>
      <c r="C3589" s="21">
        <f t="shared" si="114"/>
        <v>17.9438518023863</v>
      </c>
      <c r="D3589" s="21">
        <f t="shared" si="115"/>
        <v>7.89210019267823</v>
      </c>
    </row>
    <row r="3590" ht="14.4" spans="2:4">
      <c r="B3590" s="20">
        <v>14312</v>
      </c>
      <c r="C3590" s="21">
        <f t="shared" ref="C3590:C3653" si="116">20*LOG(D3590)</f>
        <v>17.9606037644508</v>
      </c>
      <c r="D3590" s="21">
        <f t="shared" ref="D3590:D3653" si="117">16384/(16384-B3590)</f>
        <v>7.90733590733591</v>
      </c>
    </row>
    <row r="3591" ht="14.4" spans="2:4">
      <c r="B3591" s="20">
        <v>14316</v>
      </c>
      <c r="C3591" s="21">
        <f t="shared" si="116"/>
        <v>17.9773880974766</v>
      </c>
      <c r="D3591" s="21">
        <f t="shared" si="117"/>
        <v>7.92263056092843</v>
      </c>
    </row>
    <row r="3592" ht="14.4" spans="2:4">
      <c r="B3592" s="20">
        <v>14320</v>
      </c>
      <c r="C3592" s="21">
        <f t="shared" si="116"/>
        <v>17.9942049268113</v>
      </c>
      <c r="D3592" s="21">
        <f t="shared" si="117"/>
        <v>7.93798449612403</v>
      </c>
    </row>
    <row r="3593" ht="14.4" spans="2:4">
      <c r="B3593" s="20">
        <v>14324</v>
      </c>
      <c r="C3593" s="21">
        <f t="shared" si="116"/>
        <v>18.0110543785317</v>
      </c>
      <c r="D3593" s="21">
        <f t="shared" si="117"/>
        <v>7.95339805825243</v>
      </c>
    </row>
    <row r="3594" ht="14.4" spans="2:4">
      <c r="B3594" s="20">
        <v>14328</v>
      </c>
      <c r="C3594" s="21">
        <f t="shared" si="116"/>
        <v>18.02793657945</v>
      </c>
      <c r="D3594" s="21">
        <f t="shared" si="117"/>
        <v>7.96887159533074</v>
      </c>
    </row>
    <row r="3595" ht="14.4" spans="2:4">
      <c r="B3595" s="20">
        <v>14332</v>
      </c>
      <c r="C3595" s="21">
        <f t="shared" si="116"/>
        <v>18.0448516571192</v>
      </c>
      <c r="D3595" s="21">
        <f t="shared" si="117"/>
        <v>7.98440545808967</v>
      </c>
    </row>
    <row r="3596" ht="14.4" spans="2:4">
      <c r="B3596" s="20">
        <v>14336</v>
      </c>
      <c r="C3596" s="21">
        <f t="shared" si="116"/>
        <v>18.0617997398389</v>
      </c>
      <c r="D3596" s="21">
        <f t="shared" si="117"/>
        <v>8</v>
      </c>
    </row>
    <row r="3597" ht="14.4" spans="2:4">
      <c r="B3597" s="20">
        <v>14340</v>
      </c>
      <c r="C3597" s="21">
        <f t="shared" si="116"/>
        <v>18.0787809566612</v>
      </c>
      <c r="D3597" s="21">
        <f t="shared" si="117"/>
        <v>8.01565557729941</v>
      </c>
    </row>
    <row r="3598" ht="14.4" spans="2:4">
      <c r="B3598" s="20">
        <v>14344</v>
      </c>
      <c r="C3598" s="21">
        <f t="shared" si="116"/>
        <v>18.0957954373968</v>
      </c>
      <c r="D3598" s="21">
        <f t="shared" si="117"/>
        <v>8.03137254901961</v>
      </c>
    </row>
    <row r="3599" ht="14.4" spans="2:4">
      <c r="B3599" s="20">
        <v>14348</v>
      </c>
      <c r="C3599" s="21">
        <f t="shared" si="116"/>
        <v>18.1128433126203</v>
      </c>
      <c r="D3599" s="21">
        <f t="shared" si="117"/>
        <v>8.04715127701375</v>
      </c>
    </row>
    <row r="3600" ht="14.4" spans="2:4">
      <c r="B3600" s="20">
        <v>14352</v>
      </c>
      <c r="C3600" s="21">
        <f t="shared" si="116"/>
        <v>18.1299247136771</v>
      </c>
      <c r="D3600" s="21">
        <f t="shared" si="117"/>
        <v>8.06299212598425</v>
      </c>
    </row>
    <row r="3601" ht="14.4" spans="2:4">
      <c r="B3601" s="20">
        <v>14356</v>
      </c>
      <c r="C3601" s="21">
        <f t="shared" si="116"/>
        <v>18.1470397726888</v>
      </c>
      <c r="D3601" s="21">
        <f t="shared" si="117"/>
        <v>8.07889546351085</v>
      </c>
    </row>
    <row r="3602" ht="14.4" spans="2:4">
      <c r="B3602" s="20">
        <v>14360</v>
      </c>
      <c r="C3602" s="21">
        <f t="shared" si="116"/>
        <v>18.1641886225595</v>
      </c>
      <c r="D3602" s="21">
        <f t="shared" si="117"/>
        <v>8.09486166007905</v>
      </c>
    </row>
    <row r="3603" ht="14.4" spans="2:4">
      <c r="B3603" s="20">
        <v>14364</v>
      </c>
      <c r="C3603" s="21">
        <f t="shared" si="116"/>
        <v>18.1813713969823</v>
      </c>
      <c r="D3603" s="21">
        <f t="shared" si="117"/>
        <v>8.11089108910891</v>
      </c>
    </row>
    <row r="3604" ht="14.4" spans="2:4">
      <c r="B3604" s="20">
        <v>14368</v>
      </c>
      <c r="C3604" s="21">
        <f t="shared" si="116"/>
        <v>18.198588230445</v>
      </c>
      <c r="D3604" s="21">
        <f t="shared" si="117"/>
        <v>8.12698412698413</v>
      </c>
    </row>
    <row r="3605" ht="14.4" spans="2:4">
      <c r="B3605" s="20">
        <v>14372</v>
      </c>
      <c r="C3605" s="21">
        <f t="shared" si="116"/>
        <v>18.2158392582369</v>
      </c>
      <c r="D3605" s="21">
        <f t="shared" si="117"/>
        <v>8.14314115308151</v>
      </c>
    </row>
    <row r="3606" ht="14.4" spans="2:4">
      <c r="B3606" s="20">
        <v>14376</v>
      </c>
      <c r="C3606" s="21">
        <f t="shared" si="116"/>
        <v>18.2331246164551</v>
      </c>
      <c r="D3606" s="21">
        <f t="shared" si="117"/>
        <v>8.1593625498008</v>
      </c>
    </row>
    <row r="3607" ht="14.4" spans="2:4">
      <c r="B3607" s="20">
        <v>14380</v>
      </c>
      <c r="C3607" s="21">
        <f t="shared" si="116"/>
        <v>18.2504444420106</v>
      </c>
      <c r="D3607" s="21">
        <f t="shared" si="117"/>
        <v>8.17564870259481</v>
      </c>
    </row>
    <row r="3608" ht="14.4" spans="2:4">
      <c r="B3608" s="20">
        <v>14384</v>
      </c>
      <c r="C3608" s="21">
        <f t="shared" si="116"/>
        <v>18.2677988726351</v>
      </c>
      <c r="D3608" s="21">
        <f t="shared" si="117"/>
        <v>8.192</v>
      </c>
    </row>
    <row r="3609" ht="14.4" spans="2:4">
      <c r="B3609" s="20">
        <v>14388</v>
      </c>
      <c r="C3609" s="21">
        <f t="shared" si="116"/>
        <v>18.2851880468877</v>
      </c>
      <c r="D3609" s="21">
        <f t="shared" si="117"/>
        <v>8.20841683366733</v>
      </c>
    </row>
    <row r="3610" ht="14.4" spans="2:4">
      <c r="B3610" s="20">
        <v>14392</v>
      </c>
      <c r="C3610" s="21">
        <f t="shared" si="116"/>
        <v>18.3026121041611</v>
      </c>
      <c r="D3610" s="21">
        <f t="shared" si="117"/>
        <v>8.22489959839357</v>
      </c>
    </row>
    <row r="3611" ht="14.4" spans="2:4">
      <c r="B3611" s="20">
        <v>14396</v>
      </c>
      <c r="C3611" s="21">
        <f t="shared" si="116"/>
        <v>18.3200711846888</v>
      </c>
      <c r="D3611" s="21">
        <f t="shared" si="117"/>
        <v>8.24144869215292</v>
      </c>
    </row>
    <row r="3612" ht="14.4" spans="2:4">
      <c r="B3612" s="20">
        <v>14400</v>
      </c>
      <c r="C3612" s="21">
        <f t="shared" si="116"/>
        <v>18.3375654295515</v>
      </c>
      <c r="D3612" s="21">
        <f t="shared" si="117"/>
        <v>8.25806451612903</v>
      </c>
    </row>
    <row r="3613" ht="14.4" spans="2:4">
      <c r="B3613" s="20">
        <v>14404</v>
      </c>
      <c r="C3613" s="21">
        <f t="shared" si="116"/>
        <v>18.3550949806841</v>
      </c>
      <c r="D3613" s="21">
        <f t="shared" si="117"/>
        <v>8.27474747474747</v>
      </c>
    </row>
    <row r="3614" ht="14.4" spans="2:4">
      <c r="B3614" s="20">
        <v>14408</v>
      </c>
      <c r="C3614" s="21">
        <f t="shared" si="116"/>
        <v>18.3726599808825</v>
      </c>
      <c r="D3614" s="21">
        <f t="shared" si="117"/>
        <v>8.2914979757085</v>
      </c>
    </row>
    <row r="3615" ht="14.4" spans="2:4">
      <c r="B3615" s="20">
        <v>14412</v>
      </c>
      <c r="C3615" s="21">
        <f t="shared" si="116"/>
        <v>18.3902605738109</v>
      </c>
      <c r="D3615" s="21">
        <f t="shared" si="117"/>
        <v>8.30831643002028</v>
      </c>
    </row>
    <row r="3616" ht="14.4" spans="2:4">
      <c r="B3616" s="20">
        <v>14416</v>
      </c>
      <c r="C3616" s="21">
        <f t="shared" si="116"/>
        <v>18.4078969040083</v>
      </c>
      <c r="D3616" s="21">
        <f t="shared" si="117"/>
        <v>8.32520325203252</v>
      </c>
    </row>
    <row r="3617" ht="14.4" spans="2:4">
      <c r="B3617" s="20">
        <v>14420</v>
      </c>
      <c r="C3617" s="21">
        <f t="shared" si="116"/>
        <v>18.4255691168961</v>
      </c>
      <c r="D3617" s="21">
        <f t="shared" si="117"/>
        <v>8.34215885947047</v>
      </c>
    </row>
    <row r="3618" ht="14.4" spans="2:4">
      <c r="B3618" s="20">
        <v>14424</v>
      </c>
      <c r="C3618" s="21">
        <f t="shared" si="116"/>
        <v>18.4432773587852</v>
      </c>
      <c r="D3618" s="21">
        <f t="shared" si="117"/>
        <v>8.35918367346939</v>
      </c>
    </row>
    <row r="3619" ht="14.4" spans="2:4">
      <c r="B3619" s="20">
        <v>14428</v>
      </c>
      <c r="C3619" s="21">
        <f t="shared" si="116"/>
        <v>18.4610217768831</v>
      </c>
      <c r="D3619" s="21">
        <f t="shared" si="117"/>
        <v>8.37627811860941</v>
      </c>
    </row>
    <row r="3620" ht="14.4" spans="2:4">
      <c r="B3620" s="20">
        <v>14432</v>
      </c>
      <c r="C3620" s="21">
        <f t="shared" si="116"/>
        <v>18.4788025193013</v>
      </c>
      <c r="D3620" s="21">
        <f t="shared" si="117"/>
        <v>8.39344262295082</v>
      </c>
    </row>
    <row r="3621" ht="14.4" spans="2:4">
      <c r="B3621" s="20">
        <v>14436</v>
      </c>
      <c r="C3621" s="21">
        <f t="shared" si="116"/>
        <v>18.4966197350628</v>
      </c>
      <c r="D3621" s="21">
        <f t="shared" si="117"/>
        <v>8.41067761806982</v>
      </c>
    </row>
    <row r="3622" ht="14.4" spans="2:4">
      <c r="B3622" s="20">
        <v>14440</v>
      </c>
      <c r="C3622" s="21">
        <f t="shared" si="116"/>
        <v>18.5144735741096</v>
      </c>
      <c r="D3622" s="21">
        <f t="shared" si="117"/>
        <v>8.42798353909465</v>
      </c>
    </row>
    <row r="3623" ht="14.4" spans="2:4">
      <c r="B3623" s="20">
        <v>14444</v>
      </c>
      <c r="C3623" s="21">
        <f t="shared" si="116"/>
        <v>18.5323641873102</v>
      </c>
      <c r="D3623" s="21">
        <f t="shared" si="117"/>
        <v>8.44536082474227</v>
      </c>
    </row>
    <row r="3624" ht="14.4" spans="2:4">
      <c r="B3624" s="20">
        <v>14448</v>
      </c>
      <c r="C3624" s="21">
        <f t="shared" si="116"/>
        <v>18.5502917264672</v>
      </c>
      <c r="D3624" s="21">
        <f t="shared" si="117"/>
        <v>8.46280991735537</v>
      </c>
    </row>
    <row r="3625" ht="14.4" spans="2:4">
      <c r="B3625" s="20">
        <v>14452</v>
      </c>
      <c r="C3625" s="21">
        <f t="shared" si="116"/>
        <v>18.5682563443252</v>
      </c>
      <c r="D3625" s="21">
        <f t="shared" si="117"/>
        <v>8.48033126293996</v>
      </c>
    </row>
    <row r="3626" ht="14.4" spans="2:4">
      <c r="B3626" s="20">
        <v>14456</v>
      </c>
      <c r="C3626" s="21">
        <f t="shared" si="116"/>
        <v>18.5862581945785</v>
      </c>
      <c r="D3626" s="21">
        <f t="shared" si="117"/>
        <v>8.49792531120332</v>
      </c>
    </row>
    <row r="3627" ht="14.4" spans="2:4">
      <c r="B3627" s="20">
        <v>14460</v>
      </c>
      <c r="C3627" s="21">
        <f t="shared" si="116"/>
        <v>18.6042974318789</v>
      </c>
      <c r="D3627" s="21">
        <f t="shared" si="117"/>
        <v>8.51559251559252</v>
      </c>
    </row>
    <row r="3628" ht="14.4" spans="2:4">
      <c r="B3628" s="20">
        <v>14464</v>
      </c>
      <c r="C3628" s="21">
        <f t="shared" si="116"/>
        <v>18.6223742118437</v>
      </c>
      <c r="D3628" s="21">
        <f t="shared" si="117"/>
        <v>8.53333333333333</v>
      </c>
    </row>
    <row r="3629" ht="14.4" spans="2:4">
      <c r="B3629" s="20">
        <v>14468</v>
      </c>
      <c r="C3629" s="21">
        <f t="shared" si="116"/>
        <v>18.6404886910642</v>
      </c>
      <c r="D3629" s="21">
        <f t="shared" si="117"/>
        <v>8.55114822546973</v>
      </c>
    </row>
    <row r="3630" ht="14.4" spans="2:4">
      <c r="B3630" s="20">
        <v>14472</v>
      </c>
      <c r="C3630" s="21">
        <f t="shared" si="116"/>
        <v>18.6586410271131</v>
      </c>
      <c r="D3630" s="21">
        <f t="shared" si="117"/>
        <v>8.56903765690376</v>
      </c>
    </row>
    <row r="3631" ht="14.4" spans="2:4">
      <c r="B3631" s="20">
        <v>14476</v>
      </c>
      <c r="C3631" s="21">
        <f t="shared" si="116"/>
        <v>18.6768313785532</v>
      </c>
      <c r="D3631" s="21">
        <f t="shared" si="117"/>
        <v>8.58700209643606</v>
      </c>
    </row>
    <row r="3632" ht="14.4" spans="2:4">
      <c r="B3632" s="20">
        <v>14480</v>
      </c>
      <c r="C3632" s="21">
        <f t="shared" si="116"/>
        <v>18.6950599049456</v>
      </c>
      <c r="D3632" s="21">
        <f t="shared" si="117"/>
        <v>8.60504201680672</v>
      </c>
    </row>
    <row r="3633" ht="14.4" spans="2:4">
      <c r="B3633" s="20">
        <v>14484</v>
      </c>
      <c r="C3633" s="21">
        <f t="shared" si="116"/>
        <v>18.7133267668582</v>
      </c>
      <c r="D3633" s="21">
        <f t="shared" si="117"/>
        <v>8.62315789473684</v>
      </c>
    </row>
    <row r="3634" ht="14.4" spans="2:4">
      <c r="B3634" s="20">
        <v>14488</v>
      </c>
      <c r="C3634" s="21">
        <f t="shared" si="116"/>
        <v>18.7316321258738</v>
      </c>
      <c r="D3634" s="21">
        <f t="shared" si="117"/>
        <v>8.64135021097046</v>
      </c>
    </row>
    <row r="3635" ht="14.4" spans="2:4">
      <c r="B3635" s="20">
        <v>14492</v>
      </c>
      <c r="C3635" s="21">
        <f t="shared" si="116"/>
        <v>18.7499761445993</v>
      </c>
      <c r="D3635" s="21">
        <f t="shared" si="117"/>
        <v>8.65961945031713</v>
      </c>
    </row>
    <row r="3636" ht="14.4" spans="2:4">
      <c r="B3636" s="20">
        <v>14496</v>
      </c>
      <c r="C3636" s="21">
        <f t="shared" si="116"/>
        <v>18.7683589866737</v>
      </c>
      <c r="D3636" s="21">
        <f t="shared" si="117"/>
        <v>8.67796610169492</v>
      </c>
    </row>
    <row r="3637" ht="14.4" spans="2:4">
      <c r="B3637" s="20">
        <v>14500</v>
      </c>
      <c r="C3637" s="21">
        <f t="shared" si="116"/>
        <v>18.7867808167776</v>
      </c>
      <c r="D3637" s="21">
        <f t="shared" si="117"/>
        <v>8.6963906581741</v>
      </c>
    </row>
    <row r="3638" ht="14.4" spans="2:4">
      <c r="B3638" s="20">
        <v>14504</v>
      </c>
      <c r="C3638" s="21">
        <f t="shared" si="116"/>
        <v>18.8052418006411</v>
      </c>
      <c r="D3638" s="21">
        <f t="shared" si="117"/>
        <v>8.71489361702128</v>
      </c>
    </row>
    <row r="3639" ht="14.4" spans="2:4">
      <c r="B3639" s="20">
        <v>14508</v>
      </c>
      <c r="C3639" s="21">
        <f t="shared" si="116"/>
        <v>18.8237421050538</v>
      </c>
      <c r="D3639" s="21">
        <f t="shared" si="117"/>
        <v>8.73347547974414</v>
      </c>
    </row>
    <row r="3640" ht="14.4" spans="2:4">
      <c r="B3640" s="20">
        <v>14512</v>
      </c>
      <c r="C3640" s="21">
        <f t="shared" si="116"/>
        <v>18.842281897873</v>
      </c>
      <c r="D3640" s="21">
        <f t="shared" si="117"/>
        <v>8.75213675213675</v>
      </c>
    </row>
    <row r="3641" ht="14.4" spans="2:4">
      <c r="B3641" s="20">
        <v>14516</v>
      </c>
      <c r="C3641" s="21">
        <f t="shared" si="116"/>
        <v>18.8608613480332</v>
      </c>
      <c r="D3641" s="21">
        <f t="shared" si="117"/>
        <v>8.77087794432548</v>
      </c>
    </row>
    <row r="3642" ht="14.4" spans="2:4">
      <c r="B3642" s="20">
        <v>14520</v>
      </c>
      <c r="C3642" s="21">
        <f t="shared" si="116"/>
        <v>18.8794806255555</v>
      </c>
      <c r="D3642" s="21">
        <f t="shared" si="117"/>
        <v>8.78969957081545</v>
      </c>
    </row>
    <row r="3643" ht="14.4" spans="2:4">
      <c r="B3643" s="20">
        <v>14524</v>
      </c>
      <c r="C3643" s="21">
        <f t="shared" si="116"/>
        <v>18.8981399015564</v>
      </c>
      <c r="D3643" s="21">
        <f t="shared" si="117"/>
        <v>8.80860215053763</v>
      </c>
    </row>
    <row r="3644" ht="14.4" spans="2:4">
      <c r="B3644" s="20">
        <v>14528</v>
      </c>
      <c r="C3644" s="21">
        <f t="shared" si="116"/>
        <v>18.9168393482579</v>
      </c>
      <c r="D3644" s="21">
        <f t="shared" si="117"/>
        <v>8.82758620689655</v>
      </c>
    </row>
    <row r="3645" ht="14.4" spans="2:4">
      <c r="B3645" s="20">
        <v>14532</v>
      </c>
      <c r="C3645" s="21">
        <f t="shared" si="116"/>
        <v>18.9355791389964</v>
      </c>
      <c r="D3645" s="21">
        <f t="shared" si="117"/>
        <v>8.84665226781858</v>
      </c>
    </row>
    <row r="3646" ht="14.4" spans="2:4">
      <c r="B3646" s="20">
        <v>14536</v>
      </c>
      <c r="C3646" s="21">
        <f t="shared" si="116"/>
        <v>18.954359448233</v>
      </c>
      <c r="D3646" s="21">
        <f t="shared" si="117"/>
        <v>8.86580086580087</v>
      </c>
    </row>
    <row r="3647" ht="14.4" spans="2:4">
      <c r="B3647" s="20">
        <v>14540</v>
      </c>
      <c r="C3647" s="21">
        <f t="shared" si="116"/>
        <v>18.9731804515625</v>
      </c>
      <c r="D3647" s="21">
        <f t="shared" si="117"/>
        <v>8.88503253796095</v>
      </c>
    </row>
    <row r="3648" ht="14.4" spans="2:4">
      <c r="B3648" s="20">
        <v>14544</v>
      </c>
      <c r="C3648" s="21">
        <f t="shared" si="116"/>
        <v>18.992042325724</v>
      </c>
      <c r="D3648" s="21">
        <f t="shared" si="117"/>
        <v>8.90434782608696</v>
      </c>
    </row>
    <row r="3649" ht="14.4" spans="2:4">
      <c r="B3649" s="20">
        <v>14548</v>
      </c>
      <c r="C3649" s="21">
        <f t="shared" si="116"/>
        <v>19.0109452486103</v>
      </c>
      <c r="D3649" s="21">
        <f t="shared" si="117"/>
        <v>8.92374727668845</v>
      </c>
    </row>
    <row r="3650" ht="14.4" spans="2:4">
      <c r="B3650" s="20">
        <v>14552</v>
      </c>
      <c r="C3650" s="21">
        <f t="shared" si="116"/>
        <v>19.0298893992781</v>
      </c>
      <c r="D3650" s="21">
        <f t="shared" si="117"/>
        <v>8.94323144104803</v>
      </c>
    </row>
    <row r="3651" ht="14.4" spans="2:4">
      <c r="B3651" s="20">
        <v>14556</v>
      </c>
      <c r="C3651" s="21">
        <f t="shared" si="116"/>
        <v>19.0488749579585</v>
      </c>
      <c r="D3651" s="21">
        <f t="shared" si="117"/>
        <v>8.96280087527352</v>
      </c>
    </row>
    <row r="3652" ht="14.4" spans="2:4">
      <c r="B3652" s="20">
        <v>14560</v>
      </c>
      <c r="C3652" s="21">
        <f t="shared" si="116"/>
        <v>19.0679021060668</v>
      </c>
      <c r="D3652" s="21">
        <f t="shared" si="117"/>
        <v>8.98245614035088</v>
      </c>
    </row>
    <row r="3653" ht="14.4" spans="2:4">
      <c r="B3653" s="20">
        <v>14564</v>
      </c>
      <c r="C3653" s="21">
        <f t="shared" si="116"/>
        <v>19.0869710262132</v>
      </c>
      <c r="D3653" s="21">
        <f t="shared" si="117"/>
        <v>9.0021978021978</v>
      </c>
    </row>
    <row r="3654" ht="14.4" spans="2:4">
      <c r="B3654" s="20">
        <v>14568</v>
      </c>
      <c r="C3654" s="21">
        <f t="shared" ref="C3654:C3717" si="118">20*LOG(D3654)</f>
        <v>19.1060819022134</v>
      </c>
      <c r="D3654" s="21">
        <f t="shared" ref="D3654:D3717" si="119">16384/(16384-B3654)</f>
        <v>9.02202643171806</v>
      </c>
    </row>
    <row r="3655" ht="14.4" spans="2:4">
      <c r="B3655" s="20">
        <v>14572</v>
      </c>
      <c r="C3655" s="21">
        <f t="shared" si="118"/>
        <v>19.1252349190989</v>
      </c>
      <c r="D3655" s="21">
        <f t="shared" si="119"/>
        <v>9.04194260485651</v>
      </c>
    </row>
    <row r="3656" ht="14.4" spans="2:4">
      <c r="B3656" s="20">
        <v>14576</v>
      </c>
      <c r="C3656" s="21">
        <f t="shared" si="118"/>
        <v>19.1444302631278</v>
      </c>
      <c r="D3656" s="21">
        <f t="shared" si="119"/>
        <v>9.06194690265487</v>
      </c>
    </row>
    <row r="3657" ht="14.4" spans="2:4">
      <c r="B3657" s="20">
        <v>14580</v>
      </c>
      <c r="C3657" s="21">
        <f t="shared" si="118"/>
        <v>19.1636681217963</v>
      </c>
      <c r="D3657" s="21">
        <f t="shared" si="119"/>
        <v>9.0820399113082</v>
      </c>
    </row>
    <row r="3658" ht="14.4" spans="2:4">
      <c r="B3658" s="20">
        <v>14584</v>
      </c>
      <c r="C3658" s="21">
        <f t="shared" si="118"/>
        <v>19.1829486838486</v>
      </c>
      <c r="D3658" s="21">
        <f t="shared" si="119"/>
        <v>9.10222222222222</v>
      </c>
    </row>
    <row r="3659" ht="14.4" spans="2:4">
      <c r="B3659" s="20">
        <v>14588</v>
      </c>
      <c r="C3659" s="21">
        <f t="shared" si="118"/>
        <v>19.202272139289</v>
      </c>
      <c r="D3659" s="21">
        <f t="shared" si="119"/>
        <v>9.12249443207127</v>
      </c>
    </row>
    <row r="3660" ht="14.4" spans="2:4">
      <c r="B3660" s="20">
        <v>14592</v>
      </c>
      <c r="C3660" s="21">
        <f t="shared" si="118"/>
        <v>19.2216386793926</v>
      </c>
      <c r="D3660" s="21">
        <f t="shared" si="119"/>
        <v>9.14285714285714</v>
      </c>
    </row>
    <row r="3661" ht="14.4" spans="2:4">
      <c r="B3661" s="20">
        <v>14596</v>
      </c>
      <c r="C3661" s="21">
        <f t="shared" si="118"/>
        <v>19.2410484967168</v>
      </c>
      <c r="D3661" s="21">
        <f t="shared" si="119"/>
        <v>9.16331096196868</v>
      </c>
    </row>
    <row r="3662" ht="14.4" spans="2:4">
      <c r="B3662" s="20">
        <v>14600</v>
      </c>
      <c r="C3662" s="21">
        <f t="shared" si="118"/>
        <v>19.2605017851126</v>
      </c>
      <c r="D3662" s="21">
        <f t="shared" si="119"/>
        <v>9.18385650224215</v>
      </c>
    </row>
    <row r="3663" ht="14.4" spans="2:4">
      <c r="B3663" s="20">
        <v>14604</v>
      </c>
      <c r="C3663" s="21">
        <f t="shared" si="118"/>
        <v>19.2799987397369</v>
      </c>
      <c r="D3663" s="21">
        <f t="shared" si="119"/>
        <v>9.20449438202247</v>
      </c>
    </row>
    <row r="3664" ht="14.4" spans="2:4">
      <c r="B3664" s="20">
        <v>14608</v>
      </c>
      <c r="C3664" s="21">
        <f t="shared" si="118"/>
        <v>19.2995395570631</v>
      </c>
      <c r="D3664" s="21">
        <f t="shared" si="119"/>
        <v>9.22522522522523</v>
      </c>
    </row>
    <row r="3665" ht="14.4" spans="2:4">
      <c r="B3665" s="20">
        <v>14612</v>
      </c>
      <c r="C3665" s="21">
        <f t="shared" si="118"/>
        <v>19.3191244348941</v>
      </c>
      <c r="D3665" s="21">
        <f t="shared" si="119"/>
        <v>9.24604966139955</v>
      </c>
    </row>
    <row r="3666" ht="14.4" spans="2:4">
      <c r="B3666" s="20">
        <v>14616</v>
      </c>
      <c r="C3666" s="21">
        <f t="shared" si="118"/>
        <v>19.3387535723737</v>
      </c>
      <c r="D3666" s="21">
        <f t="shared" si="119"/>
        <v>9.26696832579186</v>
      </c>
    </row>
    <row r="3667" ht="14.4" spans="2:4">
      <c r="B3667" s="20">
        <v>14620</v>
      </c>
      <c r="C3667" s="21">
        <f t="shared" si="118"/>
        <v>19.3584271699987</v>
      </c>
      <c r="D3667" s="21">
        <f t="shared" si="119"/>
        <v>9.28798185941043</v>
      </c>
    </row>
    <row r="3668" ht="14.4" spans="2:4">
      <c r="B3668" s="20">
        <v>14624</v>
      </c>
      <c r="C3668" s="21">
        <f t="shared" si="118"/>
        <v>19.3781454296317</v>
      </c>
      <c r="D3668" s="21">
        <f t="shared" si="119"/>
        <v>9.30909090909091</v>
      </c>
    </row>
    <row r="3669" ht="14.4" spans="2:4">
      <c r="B3669" s="20">
        <v>14628</v>
      </c>
      <c r="C3669" s="21">
        <f t="shared" si="118"/>
        <v>19.3979085545131</v>
      </c>
      <c r="D3669" s="21">
        <f t="shared" si="119"/>
        <v>9.33029612756264</v>
      </c>
    </row>
    <row r="3670" ht="14.4" spans="2:4">
      <c r="B3670" s="20">
        <v>14632</v>
      </c>
      <c r="C3670" s="21">
        <f t="shared" si="118"/>
        <v>19.4177167492735</v>
      </c>
      <c r="D3670" s="21">
        <f t="shared" si="119"/>
        <v>9.35159817351598</v>
      </c>
    </row>
    <row r="3671" ht="14.4" spans="2:4">
      <c r="B3671" s="20">
        <v>14636</v>
      </c>
      <c r="C3671" s="21">
        <f t="shared" si="118"/>
        <v>19.437570219947</v>
      </c>
      <c r="D3671" s="21">
        <f t="shared" si="119"/>
        <v>9.37299771167048</v>
      </c>
    </row>
    <row r="3672" ht="14.4" spans="2:4">
      <c r="B3672" s="20">
        <v>14640</v>
      </c>
      <c r="C3672" s="21">
        <f t="shared" si="118"/>
        <v>19.4574691739838</v>
      </c>
      <c r="D3672" s="21">
        <f t="shared" si="119"/>
        <v>9.39449541284404</v>
      </c>
    </row>
    <row r="3673" ht="14.4" spans="2:4">
      <c r="B3673" s="20">
        <v>14644</v>
      </c>
      <c r="C3673" s="21">
        <f t="shared" si="118"/>
        <v>19.4774138202627</v>
      </c>
      <c r="D3673" s="21">
        <f t="shared" si="119"/>
        <v>9.41609195402299</v>
      </c>
    </row>
    <row r="3674" ht="14.4" spans="2:4">
      <c r="B3674" s="20">
        <v>14648</v>
      </c>
      <c r="C3674" s="21">
        <f t="shared" si="118"/>
        <v>19.4974043691053</v>
      </c>
      <c r="D3674" s="21">
        <f t="shared" si="119"/>
        <v>9.43778801843318</v>
      </c>
    </row>
    <row r="3675" ht="14.4" spans="2:4">
      <c r="B3675" s="20">
        <v>14652</v>
      </c>
      <c r="C3675" s="21">
        <f t="shared" si="118"/>
        <v>19.5174410322882</v>
      </c>
      <c r="D3675" s="21">
        <f t="shared" si="119"/>
        <v>9.45958429561201</v>
      </c>
    </row>
    <row r="3676" ht="14.4" spans="2:4">
      <c r="B3676" s="20">
        <v>14656</v>
      </c>
      <c r="C3676" s="21">
        <f t="shared" si="118"/>
        <v>19.5375240230572</v>
      </c>
      <c r="D3676" s="21">
        <f t="shared" si="119"/>
        <v>9.48148148148148</v>
      </c>
    </row>
    <row r="3677" ht="14.4" spans="2:4">
      <c r="B3677" s="20">
        <v>14660</v>
      </c>
      <c r="C3677" s="21">
        <f t="shared" si="118"/>
        <v>19.5576535561409</v>
      </c>
      <c r="D3677" s="21">
        <f t="shared" si="119"/>
        <v>9.50348027842227</v>
      </c>
    </row>
    <row r="3678" ht="14.4" spans="2:4">
      <c r="B3678" s="20">
        <v>14664</v>
      </c>
      <c r="C3678" s="21">
        <f t="shared" si="118"/>
        <v>19.5778298477638</v>
      </c>
      <c r="D3678" s="21">
        <f t="shared" si="119"/>
        <v>9.52558139534884</v>
      </c>
    </row>
    <row r="3679" ht="14.4" spans="2:4">
      <c r="B3679" s="20">
        <v>14668</v>
      </c>
      <c r="C3679" s="21">
        <f t="shared" si="118"/>
        <v>19.598053115661</v>
      </c>
      <c r="D3679" s="21">
        <f t="shared" si="119"/>
        <v>9.54778554778555</v>
      </c>
    </row>
    <row r="3680" ht="14.4" spans="2:4">
      <c r="B3680" s="20">
        <v>14672</v>
      </c>
      <c r="C3680" s="21">
        <f t="shared" si="118"/>
        <v>19.618323579092</v>
      </c>
      <c r="D3680" s="21">
        <f t="shared" si="119"/>
        <v>9.57009345794392</v>
      </c>
    </row>
    <row r="3681" ht="14.4" spans="2:4">
      <c r="B3681" s="20">
        <v>14676</v>
      </c>
      <c r="C3681" s="21">
        <f t="shared" si="118"/>
        <v>19.638641458855</v>
      </c>
      <c r="D3681" s="21">
        <f t="shared" si="119"/>
        <v>9.59250585480094</v>
      </c>
    </row>
    <row r="3682" ht="14.4" spans="2:4">
      <c r="B3682" s="20">
        <v>14680</v>
      </c>
      <c r="C3682" s="21">
        <f t="shared" si="118"/>
        <v>19.6590069773011</v>
      </c>
      <c r="D3682" s="21">
        <f t="shared" si="119"/>
        <v>9.6150234741784</v>
      </c>
    </row>
    <row r="3683" ht="14.4" spans="2:4">
      <c r="B3683" s="20">
        <v>14684</v>
      </c>
      <c r="C3683" s="21">
        <f t="shared" si="118"/>
        <v>19.6794203583493</v>
      </c>
      <c r="D3683" s="21">
        <f t="shared" si="119"/>
        <v>9.63764705882353</v>
      </c>
    </row>
    <row r="3684" ht="14.4" spans="2:4">
      <c r="B3684" s="20">
        <v>14688</v>
      </c>
      <c r="C3684" s="21">
        <f t="shared" si="118"/>
        <v>19.6998818275008</v>
      </c>
      <c r="D3684" s="21">
        <f t="shared" si="119"/>
        <v>9.66037735849057</v>
      </c>
    </row>
    <row r="3685" ht="14.4" spans="2:4">
      <c r="B3685" s="20">
        <v>14692</v>
      </c>
      <c r="C3685" s="21">
        <f t="shared" si="118"/>
        <v>19.7203916118546</v>
      </c>
      <c r="D3685" s="21">
        <f t="shared" si="119"/>
        <v>9.68321513002364</v>
      </c>
    </row>
    <row r="3686" ht="14.4" spans="2:4">
      <c r="B3686" s="20">
        <v>14696</v>
      </c>
      <c r="C3686" s="21">
        <f t="shared" si="118"/>
        <v>19.740949940122</v>
      </c>
      <c r="D3686" s="21">
        <f t="shared" si="119"/>
        <v>9.70616113744076</v>
      </c>
    </row>
    <row r="3687" ht="14.4" spans="2:4">
      <c r="B3687" s="20">
        <v>14700</v>
      </c>
      <c r="C3687" s="21">
        <f t="shared" si="118"/>
        <v>19.7615570426421</v>
      </c>
      <c r="D3687" s="21">
        <f t="shared" si="119"/>
        <v>9.729216152019</v>
      </c>
    </row>
    <row r="3688" ht="14.4" spans="2:4">
      <c r="B3688" s="20">
        <v>14704</v>
      </c>
      <c r="C3688" s="21">
        <f t="shared" si="118"/>
        <v>19.7822131513975</v>
      </c>
      <c r="D3688" s="21">
        <f t="shared" si="119"/>
        <v>9.75238095238095</v>
      </c>
    </row>
    <row r="3689" ht="14.4" spans="2:4">
      <c r="B3689" s="20">
        <v>14708</v>
      </c>
      <c r="C3689" s="21">
        <f t="shared" si="118"/>
        <v>19.8029185000296</v>
      </c>
      <c r="D3689" s="21">
        <f t="shared" si="119"/>
        <v>9.77565632458234</v>
      </c>
    </row>
    <row r="3690" ht="14.4" spans="2:4">
      <c r="B3690" s="20">
        <v>14712</v>
      </c>
      <c r="C3690" s="21">
        <f t="shared" si="118"/>
        <v>19.8236733238548</v>
      </c>
      <c r="D3690" s="21">
        <f t="shared" si="119"/>
        <v>9.79904306220096</v>
      </c>
    </row>
    <row r="3691" ht="14.4" spans="2:4">
      <c r="B3691" s="20">
        <v>14716</v>
      </c>
      <c r="C3691" s="21">
        <f t="shared" si="118"/>
        <v>19.8444778598803</v>
      </c>
      <c r="D3691" s="21">
        <f t="shared" si="119"/>
        <v>9.82254196642686</v>
      </c>
    </row>
    <row r="3692" ht="14.4" spans="2:4">
      <c r="B3692" s="20">
        <v>14720</v>
      </c>
      <c r="C3692" s="21">
        <f t="shared" si="118"/>
        <v>19.8653323468206</v>
      </c>
      <c r="D3692" s="21">
        <f t="shared" si="119"/>
        <v>9.84615384615385</v>
      </c>
    </row>
    <row r="3693" ht="14.4" spans="2:4">
      <c r="B3693" s="20">
        <v>14724</v>
      </c>
      <c r="C3693" s="21">
        <f t="shared" si="118"/>
        <v>19.8862370251136</v>
      </c>
      <c r="D3693" s="21">
        <f t="shared" si="119"/>
        <v>9.86987951807229</v>
      </c>
    </row>
    <row r="3694" ht="14.4" spans="2:4">
      <c r="B3694" s="20">
        <v>14728</v>
      </c>
      <c r="C3694" s="21">
        <f t="shared" si="118"/>
        <v>19.9071921369375</v>
      </c>
      <c r="D3694" s="21">
        <f t="shared" si="119"/>
        <v>9.89371980676328</v>
      </c>
    </row>
    <row r="3695" ht="14.4" spans="2:4">
      <c r="B3695" s="20">
        <v>14732</v>
      </c>
      <c r="C3695" s="21">
        <f t="shared" si="118"/>
        <v>19.9281979262275</v>
      </c>
      <c r="D3695" s="21">
        <f t="shared" si="119"/>
        <v>9.91767554479419</v>
      </c>
    </row>
    <row r="3696" ht="14.4" spans="2:4">
      <c r="B3696" s="20">
        <v>14736</v>
      </c>
      <c r="C3696" s="21">
        <f t="shared" si="118"/>
        <v>19.9492546386928</v>
      </c>
      <c r="D3696" s="21">
        <f t="shared" si="119"/>
        <v>9.94174757281553</v>
      </c>
    </row>
    <row r="3697" ht="14.4" spans="2:4">
      <c r="B3697" s="20">
        <v>14740</v>
      </c>
      <c r="C3697" s="21">
        <f t="shared" si="118"/>
        <v>19.9703625218341</v>
      </c>
      <c r="D3697" s="21">
        <f t="shared" si="119"/>
        <v>9.96593673965937</v>
      </c>
    </row>
    <row r="3698" ht="14.4" spans="2:4">
      <c r="B3698" s="20">
        <v>14744</v>
      </c>
      <c r="C3698" s="21">
        <f t="shared" si="118"/>
        <v>19.9915218249608</v>
      </c>
      <c r="D3698" s="21">
        <f t="shared" si="119"/>
        <v>9.99024390243902</v>
      </c>
    </row>
    <row r="3699" ht="14.4" spans="2:4">
      <c r="B3699" s="20">
        <v>14748</v>
      </c>
      <c r="C3699" s="21">
        <f t="shared" si="118"/>
        <v>20.0127327992086</v>
      </c>
      <c r="D3699" s="21">
        <f t="shared" si="119"/>
        <v>10.0146699266504</v>
      </c>
    </row>
    <row r="3700" ht="14.4" spans="2:4">
      <c r="B3700" s="20">
        <v>14752</v>
      </c>
      <c r="C3700" s="21">
        <f t="shared" si="118"/>
        <v>20.0339956975579</v>
      </c>
      <c r="D3700" s="21">
        <f t="shared" si="119"/>
        <v>10.0392156862745</v>
      </c>
    </row>
    <row r="3701" ht="14.4" spans="2:4">
      <c r="B3701" s="20">
        <v>14756</v>
      </c>
      <c r="C3701" s="21">
        <f t="shared" si="118"/>
        <v>20.0553107748511</v>
      </c>
      <c r="D3701" s="21">
        <f t="shared" si="119"/>
        <v>10.0638820638821</v>
      </c>
    </row>
    <row r="3702" ht="14.4" spans="2:4">
      <c r="B3702" s="20">
        <v>14760</v>
      </c>
      <c r="C3702" s="21">
        <f t="shared" si="118"/>
        <v>20.0766782878116</v>
      </c>
      <c r="D3702" s="21">
        <f t="shared" si="119"/>
        <v>10.0886699507389</v>
      </c>
    </row>
    <row r="3703" ht="14.4" spans="2:4">
      <c r="B3703" s="20">
        <v>14764</v>
      </c>
      <c r="C3703" s="21">
        <f t="shared" si="118"/>
        <v>20.0980984950621</v>
      </c>
      <c r="D3703" s="21">
        <f t="shared" si="119"/>
        <v>10.1135802469136</v>
      </c>
    </row>
    <row r="3704" ht="14.4" spans="2:4">
      <c r="B3704" s="20">
        <v>14768</v>
      </c>
      <c r="C3704" s="21">
        <f t="shared" si="118"/>
        <v>20.1195716571434</v>
      </c>
      <c r="D3704" s="21">
        <f t="shared" si="119"/>
        <v>10.1386138613861</v>
      </c>
    </row>
    <row r="3705" ht="14.4" spans="2:4">
      <c r="B3705" s="20">
        <v>14772</v>
      </c>
      <c r="C3705" s="21">
        <f t="shared" si="118"/>
        <v>20.1410980365333</v>
      </c>
      <c r="D3705" s="21">
        <f t="shared" si="119"/>
        <v>10.1637717121588</v>
      </c>
    </row>
    <row r="3706" ht="14.4" spans="2:4">
      <c r="B3706" s="20">
        <v>14776</v>
      </c>
      <c r="C3706" s="21">
        <f t="shared" si="118"/>
        <v>20.1626778976661</v>
      </c>
      <c r="D3706" s="21">
        <f t="shared" si="119"/>
        <v>10.1890547263682</v>
      </c>
    </row>
    <row r="3707" ht="14.4" spans="2:4">
      <c r="B3707" s="20">
        <v>14780</v>
      </c>
      <c r="C3707" s="21">
        <f t="shared" si="118"/>
        <v>20.1843115069518</v>
      </c>
      <c r="D3707" s="21">
        <f t="shared" si="119"/>
        <v>10.214463840399</v>
      </c>
    </row>
    <row r="3708" ht="14.4" spans="2:4">
      <c r="B3708" s="20">
        <v>14784</v>
      </c>
      <c r="C3708" s="21">
        <f t="shared" si="118"/>
        <v>20.2059991327962</v>
      </c>
      <c r="D3708" s="21">
        <f t="shared" si="119"/>
        <v>10.24</v>
      </c>
    </row>
    <row r="3709" ht="14.4" spans="2:4">
      <c r="B3709" s="20">
        <v>14788</v>
      </c>
      <c r="C3709" s="21">
        <f t="shared" si="118"/>
        <v>20.2277410456205</v>
      </c>
      <c r="D3709" s="21">
        <f t="shared" si="119"/>
        <v>10.265664160401</v>
      </c>
    </row>
    <row r="3710" ht="14.4" spans="2:4">
      <c r="B3710" s="20">
        <v>14792</v>
      </c>
      <c r="C3710" s="21">
        <f t="shared" si="118"/>
        <v>20.2495375178817</v>
      </c>
      <c r="D3710" s="21">
        <f t="shared" si="119"/>
        <v>10.2914572864322</v>
      </c>
    </row>
    <row r="3711" ht="14.4" spans="2:4">
      <c r="B3711" s="20">
        <v>14796</v>
      </c>
      <c r="C3711" s="21">
        <f t="shared" si="118"/>
        <v>20.2713888240932</v>
      </c>
      <c r="D3711" s="21">
        <f t="shared" si="119"/>
        <v>10.3173803526448</v>
      </c>
    </row>
    <row r="3712" ht="14.4" spans="2:4">
      <c r="B3712" s="20">
        <v>14800</v>
      </c>
      <c r="C3712" s="21">
        <f t="shared" si="118"/>
        <v>20.2932952408452</v>
      </c>
      <c r="D3712" s="21">
        <f t="shared" si="119"/>
        <v>10.3434343434343</v>
      </c>
    </row>
    <row r="3713" ht="14.4" spans="2:4">
      <c r="B3713" s="20">
        <v>14804</v>
      </c>
      <c r="C3713" s="21">
        <f t="shared" si="118"/>
        <v>20.3152570468263</v>
      </c>
      <c r="D3713" s="21">
        <f t="shared" si="119"/>
        <v>10.3696202531646</v>
      </c>
    </row>
    <row r="3714" ht="14.4" spans="2:4">
      <c r="B3714" s="20">
        <v>14808</v>
      </c>
      <c r="C3714" s="21">
        <f t="shared" si="118"/>
        <v>20.337274522844</v>
      </c>
      <c r="D3714" s="21">
        <f t="shared" si="119"/>
        <v>10.3959390862944</v>
      </c>
    </row>
    <row r="3715" ht="14.4" spans="2:4">
      <c r="B3715" s="20">
        <v>14812</v>
      </c>
      <c r="C3715" s="21">
        <f t="shared" si="118"/>
        <v>20.359347951847</v>
      </c>
      <c r="D3715" s="21">
        <f t="shared" si="119"/>
        <v>10.4223918575064</v>
      </c>
    </row>
    <row r="3716" ht="14.4" spans="2:4">
      <c r="B3716" s="20">
        <v>14816</v>
      </c>
      <c r="C3716" s="21">
        <f t="shared" si="118"/>
        <v>20.3814776189463</v>
      </c>
      <c r="D3716" s="21">
        <f t="shared" si="119"/>
        <v>10.4489795918367</v>
      </c>
    </row>
    <row r="3717" ht="14.4" spans="2:4">
      <c r="B3717" s="20">
        <v>14820</v>
      </c>
      <c r="C3717" s="21">
        <f t="shared" si="118"/>
        <v>20.4036638114382</v>
      </c>
      <c r="D3717" s="21">
        <f t="shared" si="119"/>
        <v>10.4757033248082</v>
      </c>
    </row>
    <row r="3718" ht="14.4" spans="2:4">
      <c r="B3718" s="20">
        <v>14824</v>
      </c>
      <c r="C3718" s="21">
        <f t="shared" ref="C3718:C3781" si="120">20*LOG(D3718)</f>
        <v>20.4259068188255</v>
      </c>
      <c r="D3718" s="21">
        <f t="shared" ref="D3718:D3781" si="121">16384/(16384-B3718)</f>
        <v>10.5025641025641</v>
      </c>
    </row>
    <row r="3719" ht="14.4" spans="2:4">
      <c r="B3719" s="20">
        <v>14828</v>
      </c>
      <c r="C3719" s="21">
        <f t="shared" si="120"/>
        <v>20.4482069328413</v>
      </c>
      <c r="D3719" s="21">
        <f t="shared" si="121"/>
        <v>10.5295629820051</v>
      </c>
    </row>
    <row r="3720" ht="14.4" spans="2:4">
      <c r="B3720" s="20">
        <v>14832</v>
      </c>
      <c r="C3720" s="21">
        <f t="shared" si="120"/>
        <v>20.4705644474713</v>
      </c>
      <c r="D3720" s="21">
        <f t="shared" si="121"/>
        <v>10.5567010309278</v>
      </c>
    </row>
    <row r="3721" ht="14.4" spans="2:4">
      <c r="B3721" s="20">
        <v>14836</v>
      </c>
      <c r="C3721" s="21">
        <f t="shared" si="120"/>
        <v>20.4929796589773</v>
      </c>
      <c r="D3721" s="21">
        <f t="shared" si="121"/>
        <v>10.5839793281654</v>
      </c>
    </row>
    <row r="3722" ht="14.4" spans="2:4">
      <c r="B3722" s="20">
        <v>14840</v>
      </c>
      <c r="C3722" s="21">
        <f t="shared" si="120"/>
        <v>20.5154528659204</v>
      </c>
      <c r="D3722" s="21">
        <f t="shared" si="121"/>
        <v>10.6113989637306</v>
      </c>
    </row>
    <row r="3723" ht="14.4" spans="2:4">
      <c r="B3723" s="20">
        <v>14844</v>
      </c>
      <c r="C3723" s="21">
        <f t="shared" si="120"/>
        <v>20.5379843691855</v>
      </c>
      <c r="D3723" s="21">
        <f t="shared" si="121"/>
        <v>10.638961038961</v>
      </c>
    </row>
    <row r="3724" ht="14.4" spans="2:4">
      <c r="B3724" s="20">
        <v>14848</v>
      </c>
      <c r="C3724" s="21">
        <f t="shared" si="120"/>
        <v>20.5605744720049</v>
      </c>
      <c r="D3724" s="21">
        <f t="shared" si="121"/>
        <v>10.6666666666667</v>
      </c>
    </row>
    <row r="3725" ht="14.4" spans="2:4">
      <c r="B3725" s="20">
        <v>14852</v>
      </c>
      <c r="C3725" s="21">
        <f t="shared" si="120"/>
        <v>20.583223479983</v>
      </c>
      <c r="D3725" s="21">
        <f t="shared" si="121"/>
        <v>10.6945169712794</v>
      </c>
    </row>
    <row r="3726" ht="14.4" spans="2:4">
      <c r="B3726" s="20">
        <v>14856</v>
      </c>
      <c r="C3726" s="21">
        <f t="shared" si="120"/>
        <v>20.6059317011213</v>
      </c>
      <c r="D3726" s="21">
        <f t="shared" si="121"/>
        <v>10.7225130890052</v>
      </c>
    </row>
    <row r="3727" ht="14.4" spans="2:4">
      <c r="B3727" s="20">
        <v>14860</v>
      </c>
      <c r="C3727" s="21">
        <f t="shared" si="120"/>
        <v>20.6286994458431</v>
      </c>
      <c r="D3727" s="21">
        <f t="shared" si="121"/>
        <v>10.750656167979</v>
      </c>
    </row>
    <row r="3728" ht="14.4" spans="2:4">
      <c r="B3728" s="20">
        <v>14864</v>
      </c>
      <c r="C3728" s="21">
        <f t="shared" si="120"/>
        <v>20.6515270270193</v>
      </c>
      <c r="D3728" s="21">
        <f t="shared" si="121"/>
        <v>10.7789473684211</v>
      </c>
    </row>
    <row r="3729" ht="14.4" spans="2:4">
      <c r="B3729" s="20">
        <v>14868</v>
      </c>
      <c r="C3729" s="21">
        <f t="shared" si="120"/>
        <v>20.674414759994</v>
      </c>
      <c r="D3729" s="21">
        <f t="shared" si="121"/>
        <v>10.8073878627968</v>
      </c>
    </row>
    <row r="3730" ht="14.4" spans="2:4">
      <c r="B3730" s="20">
        <v>14872</v>
      </c>
      <c r="C3730" s="21">
        <f t="shared" si="120"/>
        <v>20.697362962611</v>
      </c>
      <c r="D3730" s="21">
        <f t="shared" si="121"/>
        <v>10.8359788359788</v>
      </c>
    </row>
    <row r="3731" ht="14.4" spans="2:4">
      <c r="B3731" s="20">
        <v>14876</v>
      </c>
      <c r="C3731" s="21">
        <f t="shared" si="120"/>
        <v>20.7203719552396</v>
      </c>
      <c r="D3731" s="21">
        <f t="shared" si="121"/>
        <v>10.8647214854111</v>
      </c>
    </row>
    <row r="3732" ht="14.4" spans="2:4">
      <c r="B3732" s="20">
        <v>14880</v>
      </c>
      <c r="C3732" s="21">
        <f t="shared" si="120"/>
        <v>20.7434420608023</v>
      </c>
      <c r="D3732" s="21">
        <f t="shared" si="121"/>
        <v>10.8936170212766</v>
      </c>
    </row>
    <row r="3733" ht="14.4" spans="2:4">
      <c r="B3733" s="20">
        <v>14884</v>
      </c>
      <c r="C3733" s="21">
        <f t="shared" si="120"/>
        <v>20.7665736048011</v>
      </c>
      <c r="D3733" s="21">
        <f t="shared" si="121"/>
        <v>10.9226666666667</v>
      </c>
    </row>
    <row r="3734" ht="14.4" spans="2:4">
      <c r="B3734" s="20">
        <v>14888</v>
      </c>
      <c r="C3734" s="21">
        <f t="shared" si="120"/>
        <v>20.7897669153459</v>
      </c>
      <c r="D3734" s="21">
        <f t="shared" si="121"/>
        <v>10.951871657754</v>
      </c>
    </row>
    <row r="3735" ht="14.4" spans="2:4">
      <c r="B3735" s="20">
        <v>14892</v>
      </c>
      <c r="C3735" s="21">
        <f t="shared" si="120"/>
        <v>20.8130223231817</v>
      </c>
      <c r="D3735" s="21">
        <f t="shared" si="121"/>
        <v>10.9812332439678</v>
      </c>
    </row>
    <row r="3736" ht="14.4" spans="2:4">
      <c r="B3736" s="20">
        <v>14896</v>
      </c>
      <c r="C3736" s="21">
        <f t="shared" si="120"/>
        <v>20.8363401617175</v>
      </c>
      <c r="D3736" s="21">
        <f t="shared" si="121"/>
        <v>11.010752688172</v>
      </c>
    </row>
    <row r="3737" ht="14.4" spans="2:4">
      <c r="B3737" s="20">
        <v>14900</v>
      </c>
      <c r="C3737" s="21">
        <f t="shared" si="120"/>
        <v>20.8597207670546</v>
      </c>
      <c r="D3737" s="21">
        <f t="shared" si="121"/>
        <v>11.0404312668464</v>
      </c>
    </row>
    <row r="3738" ht="14.4" spans="2:4">
      <c r="B3738" s="20">
        <v>14904</v>
      </c>
      <c r="C3738" s="21">
        <f t="shared" si="120"/>
        <v>20.8831644780156</v>
      </c>
      <c r="D3738" s="21">
        <f t="shared" si="121"/>
        <v>11.0702702702703</v>
      </c>
    </row>
    <row r="3739" ht="14.4" spans="2:4">
      <c r="B3739" s="20">
        <v>14908</v>
      </c>
      <c r="C3739" s="21">
        <f t="shared" si="120"/>
        <v>20.9066716361743</v>
      </c>
      <c r="D3739" s="21">
        <f t="shared" si="121"/>
        <v>11.10027100271</v>
      </c>
    </row>
    <row r="3740" ht="14.4" spans="2:4">
      <c r="B3740" s="20">
        <v>14912</v>
      </c>
      <c r="C3740" s="21">
        <f t="shared" si="120"/>
        <v>20.9302425858851</v>
      </c>
      <c r="D3740" s="21">
        <f t="shared" si="121"/>
        <v>11.1304347826087</v>
      </c>
    </row>
    <row r="3741" ht="14.4" spans="2:4">
      <c r="B3741" s="20">
        <v>14916</v>
      </c>
      <c r="C3741" s="21">
        <f t="shared" si="120"/>
        <v>20.9538776743137</v>
      </c>
      <c r="D3741" s="21">
        <f t="shared" si="121"/>
        <v>11.1607629427793</v>
      </c>
    </row>
    <row r="3742" ht="14.4" spans="2:4">
      <c r="B3742" s="20">
        <v>14920</v>
      </c>
      <c r="C3742" s="21">
        <f t="shared" si="120"/>
        <v>20.9775772514673</v>
      </c>
      <c r="D3742" s="21">
        <f t="shared" si="121"/>
        <v>11.1912568306011</v>
      </c>
    </row>
    <row r="3743" ht="14.4" spans="2:4">
      <c r="B3743" s="20">
        <v>14924</v>
      </c>
      <c r="C3743" s="21">
        <f t="shared" si="120"/>
        <v>21.001341670226</v>
      </c>
      <c r="D3743" s="21">
        <f t="shared" si="121"/>
        <v>11.2219178082192</v>
      </c>
    </row>
    <row r="3744" ht="14.4" spans="2:4">
      <c r="B3744" s="20">
        <v>14928</v>
      </c>
      <c r="C3744" s="21">
        <f t="shared" si="120"/>
        <v>21.0251712863744</v>
      </c>
      <c r="D3744" s="21">
        <f t="shared" si="121"/>
        <v>11.2527472527473</v>
      </c>
    </row>
    <row r="3745" ht="14.4" spans="2:4">
      <c r="B3745" s="20">
        <v>14932</v>
      </c>
      <c r="C3745" s="21">
        <f t="shared" si="120"/>
        <v>21.0490664586332</v>
      </c>
      <c r="D3745" s="21">
        <f t="shared" si="121"/>
        <v>11.2837465564738</v>
      </c>
    </row>
    <row r="3746" ht="14.4" spans="2:4">
      <c r="B3746" s="20">
        <v>14936</v>
      </c>
      <c r="C3746" s="21">
        <f t="shared" si="120"/>
        <v>21.0730275486922</v>
      </c>
      <c r="D3746" s="21">
        <f t="shared" si="121"/>
        <v>11.3149171270718</v>
      </c>
    </row>
    <row r="3747" ht="14.4" spans="2:4">
      <c r="B3747" s="20">
        <v>14940</v>
      </c>
      <c r="C3747" s="21">
        <f t="shared" si="120"/>
        <v>21.0970549212423</v>
      </c>
      <c r="D3747" s="21">
        <f t="shared" si="121"/>
        <v>11.3462603878116</v>
      </c>
    </row>
    <row r="3748" ht="14.4" spans="2:4">
      <c r="B3748" s="20">
        <v>14944</v>
      </c>
      <c r="C3748" s="21">
        <f t="shared" si="120"/>
        <v>21.1211489440097</v>
      </c>
      <c r="D3748" s="21">
        <f t="shared" si="121"/>
        <v>11.3777777777778</v>
      </c>
    </row>
    <row r="3749" ht="14.4" spans="2:4">
      <c r="B3749" s="20">
        <v>14948</v>
      </c>
      <c r="C3749" s="21">
        <f t="shared" si="120"/>
        <v>21.1453099877891</v>
      </c>
      <c r="D3749" s="21">
        <f t="shared" si="121"/>
        <v>11.4094707520891</v>
      </c>
    </row>
    <row r="3750" ht="14.4" spans="2:4">
      <c r="B3750" s="20">
        <v>14952</v>
      </c>
      <c r="C3750" s="21">
        <f t="shared" si="120"/>
        <v>21.169538426478</v>
      </c>
      <c r="D3750" s="21">
        <f t="shared" si="121"/>
        <v>11.4413407821229</v>
      </c>
    </row>
    <row r="3751" ht="14.4" spans="2:4">
      <c r="B3751" s="20">
        <v>14956</v>
      </c>
      <c r="C3751" s="21">
        <f t="shared" si="120"/>
        <v>21.1938346371116</v>
      </c>
      <c r="D3751" s="21">
        <f t="shared" si="121"/>
        <v>11.4733893557423</v>
      </c>
    </row>
    <row r="3752" ht="14.4" spans="2:4">
      <c r="B3752" s="20">
        <v>14960</v>
      </c>
      <c r="C3752" s="21">
        <f t="shared" si="120"/>
        <v>21.218198999898</v>
      </c>
      <c r="D3752" s="21">
        <f t="shared" si="121"/>
        <v>11.5056179775281</v>
      </c>
    </row>
    <row r="3753" ht="14.4" spans="2:4">
      <c r="B3753" s="20">
        <v>14964</v>
      </c>
      <c r="C3753" s="21">
        <f t="shared" si="120"/>
        <v>21.2426318982536</v>
      </c>
      <c r="D3753" s="21">
        <f t="shared" si="121"/>
        <v>11.5380281690141</v>
      </c>
    </row>
    <row r="3754" ht="14.4" spans="2:4">
      <c r="B3754" s="20">
        <v>14968</v>
      </c>
      <c r="C3754" s="21">
        <f t="shared" si="120"/>
        <v>21.2671337188397</v>
      </c>
      <c r="D3754" s="21">
        <f t="shared" si="121"/>
        <v>11.5706214689266</v>
      </c>
    </row>
    <row r="3755" ht="14.4" spans="2:4">
      <c r="B3755" s="20">
        <v>14972</v>
      </c>
      <c r="C3755" s="21">
        <f t="shared" si="120"/>
        <v>21.291704851599</v>
      </c>
      <c r="D3755" s="21">
        <f t="shared" si="121"/>
        <v>11.6033994334278</v>
      </c>
    </row>
    <row r="3756" ht="14.4" spans="2:4">
      <c r="B3756" s="20">
        <v>14976</v>
      </c>
      <c r="C3756" s="21">
        <f t="shared" si="120"/>
        <v>21.3163456897929</v>
      </c>
      <c r="D3756" s="21">
        <f t="shared" si="121"/>
        <v>11.6363636363636</v>
      </c>
    </row>
    <row r="3757" ht="14.4" spans="2:4">
      <c r="B3757" s="20">
        <v>14980</v>
      </c>
      <c r="C3757" s="21">
        <f t="shared" si="120"/>
        <v>21.341056630039</v>
      </c>
      <c r="D3757" s="21">
        <f t="shared" si="121"/>
        <v>11.6695156695157</v>
      </c>
    </row>
    <row r="3758" ht="14.4" spans="2:4">
      <c r="B3758" s="20">
        <v>14984</v>
      </c>
      <c r="C3758" s="21">
        <f t="shared" si="120"/>
        <v>21.36583807235</v>
      </c>
      <c r="D3758" s="21">
        <f t="shared" si="121"/>
        <v>11.7028571428571</v>
      </c>
    </row>
    <row r="3759" ht="14.4" spans="2:4">
      <c r="B3759" s="20">
        <v>14988</v>
      </c>
      <c r="C3759" s="21">
        <f t="shared" si="120"/>
        <v>21.3906904201719</v>
      </c>
      <c r="D3759" s="21">
        <f t="shared" si="121"/>
        <v>11.7363896848138</v>
      </c>
    </row>
    <row r="3760" ht="14.4" spans="2:4">
      <c r="B3760" s="20">
        <v>14992</v>
      </c>
      <c r="C3760" s="21">
        <f t="shared" si="120"/>
        <v>21.4156140804239</v>
      </c>
      <c r="D3760" s="21">
        <f t="shared" si="121"/>
        <v>11.7701149425287</v>
      </c>
    </row>
    <row r="3761" ht="14.4" spans="2:4">
      <c r="B3761" s="20">
        <v>14996</v>
      </c>
      <c r="C3761" s="21">
        <f t="shared" si="120"/>
        <v>21.440609463538</v>
      </c>
      <c r="D3761" s="21">
        <f t="shared" si="121"/>
        <v>11.8040345821326</v>
      </c>
    </row>
    <row r="3762" ht="14.4" spans="2:4">
      <c r="B3762" s="20">
        <v>15000</v>
      </c>
      <c r="C3762" s="21">
        <f t="shared" si="120"/>
        <v>21.4656769835</v>
      </c>
      <c r="D3762" s="21">
        <f t="shared" si="121"/>
        <v>11.8381502890173</v>
      </c>
    </row>
    <row r="3763" ht="14.4" spans="2:4">
      <c r="B3763" s="20">
        <v>15004</v>
      </c>
      <c r="C3763" s="21">
        <f t="shared" si="120"/>
        <v>21.49081705789</v>
      </c>
      <c r="D3763" s="21">
        <f t="shared" si="121"/>
        <v>11.8724637681159</v>
      </c>
    </row>
    <row r="3764" ht="14.4" spans="2:4">
      <c r="B3764" s="20">
        <v>15008</v>
      </c>
      <c r="C3764" s="21">
        <f t="shared" si="120"/>
        <v>21.5160301079249</v>
      </c>
      <c r="D3764" s="21">
        <f t="shared" si="121"/>
        <v>11.906976744186</v>
      </c>
    </row>
    <row r="3765" ht="14.4" spans="2:4">
      <c r="B3765" s="20">
        <v>15012</v>
      </c>
      <c r="C3765" s="21">
        <f t="shared" si="120"/>
        <v>21.5413165585001</v>
      </c>
      <c r="D3765" s="21">
        <f t="shared" si="121"/>
        <v>11.9416909620991</v>
      </c>
    </row>
    <row r="3766" ht="14.4" spans="2:4">
      <c r="B3766" s="20">
        <v>15016</v>
      </c>
      <c r="C3766" s="21">
        <f t="shared" si="120"/>
        <v>21.5666768382328</v>
      </c>
      <c r="D3766" s="21">
        <f t="shared" si="121"/>
        <v>11.9766081871345</v>
      </c>
    </row>
    <row r="3767" ht="14.4" spans="2:4">
      <c r="B3767" s="20">
        <v>15020</v>
      </c>
      <c r="C3767" s="21">
        <f t="shared" si="120"/>
        <v>21.5921113795055</v>
      </c>
      <c r="D3767" s="21">
        <f t="shared" si="121"/>
        <v>12.0117302052786</v>
      </c>
    </row>
    <row r="3768" ht="14.4" spans="2:4">
      <c r="B3768" s="20">
        <v>15024</v>
      </c>
      <c r="C3768" s="21">
        <f t="shared" si="120"/>
        <v>21.6176206185104</v>
      </c>
      <c r="D3768" s="21">
        <f t="shared" si="121"/>
        <v>12.0470588235294</v>
      </c>
    </row>
    <row r="3769" ht="14.4" spans="2:4">
      <c r="B3769" s="20">
        <v>15028</v>
      </c>
      <c r="C3769" s="21">
        <f t="shared" si="120"/>
        <v>21.6432049952938</v>
      </c>
      <c r="D3769" s="21">
        <f t="shared" si="121"/>
        <v>12.0825958702065</v>
      </c>
    </row>
    <row r="3770" ht="14.4" spans="2:4">
      <c r="B3770" s="20">
        <v>15032</v>
      </c>
      <c r="C3770" s="21">
        <f t="shared" si="120"/>
        <v>21.6688649538024</v>
      </c>
      <c r="D3770" s="21">
        <f t="shared" si="121"/>
        <v>12.1183431952663</v>
      </c>
    </row>
    <row r="3771" ht="14.4" spans="2:4">
      <c r="B3771" s="20">
        <v>15036</v>
      </c>
      <c r="C3771" s="21">
        <f t="shared" si="120"/>
        <v>21.6946009419287</v>
      </c>
      <c r="D3771" s="21">
        <f t="shared" si="121"/>
        <v>12.1543026706231</v>
      </c>
    </row>
    <row r="3772" ht="14.4" spans="2:4">
      <c r="B3772" s="20">
        <v>15040</v>
      </c>
      <c r="C3772" s="21">
        <f t="shared" si="120"/>
        <v>21.7204134115586</v>
      </c>
      <c r="D3772" s="21">
        <f t="shared" si="121"/>
        <v>12.1904761904762</v>
      </c>
    </row>
    <row r="3773" ht="14.4" spans="2:4">
      <c r="B3773" s="20">
        <v>15044</v>
      </c>
      <c r="C3773" s="21">
        <f t="shared" si="120"/>
        <v>21.7463028186186</v>
      </c>
      <c r="D3773" s="21">
        <f t="shared" si="121"/>
        <v>12.2268656716418</v>
      </c>
    </row>
    <row r="3774" ht="14.4" spans="2:4">
      <c r="B3774" s="20">
        <v>15048</v>
      </c>
      <c r="C3774" s="21">
        <f t="shared" si="120"/>
        <v>21.7722696231242</v>
      </c>
      <c r="D3774" s="21">
        <f t="shared" si="121"/>
        <v>12.2634730538922</v>
      </c>
    </row>
    <row r="3775" ht="14.4" spans="2:4">
      <c r="B3775" s="20">
        <v>15052</v>
      </c>
      <c r="C3775" s="21">
        <f t="shared" si="120"/>
        <v>21.7983142892291</v>
      </c>
      <c r="D3775" s="21">
        <f t="shared" si="121"/>
        <v>12.3003003003003</v>
      </c>
    </row>
    <row r="3776" ht="14.4" spans="2:4">
      <c r="B3776" s="20">
        <v>15056</v>
      </c>
      <c r="C3776" s="21">
        <f t="shared" si="120"/>
        <v>21.8244372852748</v>
      </c>
      <c r="D3776" s="21">
        <f t="shared" si="121"/>
        <v>12.3373493975904</v>
      </c>
    </row>
    <row r="3777" ht="14.4" spans="2:4">
      <c r="B3777" s="20">
        <v>15060</v>
      </c>
      <c r="C3777" s="21">
        <f t="shared" si="120"/>
        <v>21.8506390838411</v>
      </c>
      <c r="D3777" s="21">
        <f t="shared" si="121"/>
        <v>12.3746223564955</v>
      </c>
    </row>
    <row r="3778" ht="14.4" spans="2:4">
      <c r="B3778" s="20">
        <v>15064</v>
      </c>
      <c r="C3778" s="21">
        <f t="shared" si="120"/>
        <v>21.8769201617977</v>
      </c>
      <c r="D3778" s="21">
        <f t="shared" si="121"/>
        <v>12.4121212121212</v>
      </c>
    </row>
    <row r="3779" ht="14.4" spans="2:4">
      <c r="B3779" s="20">
        <v>15068</v>
      </c>
      <c r="C3779" s="21">
        <f t="shared" si="120"/>
        <v>21.903281000356</v>
      </c>
      <c r="D3779" s="21">
        <f t="shared" si="121"/>
        <v>12.4498480243161</v>
      </c>
    </row>
    <row r="3780" ht="14.4" spans="2:4">
      <c r="B3780" s="20">
        <v>15072</v>
      </c>
      <c r="C3780" s="21">
        <f t="shared" si="120"/>
        <v>21.9297220851219</v>
      </c>
      <c r="D3780" s="21">
        <f t="shared" si="121"/>
        <v>12.4878048780488</v>
      </c>
    </row>
    <row r="3781" ht="14.4" spans="2:4">
      <c r="B3781" s="20">
        <v>15076</v>
      </c>
      <c r="C3781" s="21">
        <f t="shared" si="120"/>
        <v>21.9562439061498</v>
      </c>
      <c r="D3781" s="21">
        <f t="shared" si="121"/>
        <v>12.525993883792</v>
      </c>
    </row>
    <row r="3782" ht="14.4" spans="2:4">
      <c r="B3782" s="20">
        <v>15080</v>
      </c>
      <c r="C3782" s="21">
        <f t="shared" ref="C3782:C3845" si="122">20*LOG(D3782)</f>
        <v>21.9828469579967</v>
      </c>
      <c r="D3782" s="21">
        <f t="shared" ref="D3782:D3845" si="123">16384/(16384-B3782)</f>
        <v>12.5644171779141</v>
      </c>
    </row>
    <row r="3783" ht="14.4" spans="2:4">
      <c r="B3783" s="20">
        <v>15084</v>
      </c>
      <c r="C3783" s="21">
        <f t="shared" si="122"/>
        <v>22.009531739778</v>
      </c>
      <c r="D3783" s="21">
        <f t="shared" si="123"/>
        <v>12.6030769230769</v>
      </c>
    </row>
    <row r="3784" ht="14.4" spans="2:4">
      <c r="B3784" s="20">
        <v>15088</v>
      </c>
      <c r="C3784" s="21">
        <f t="shared" si="122"/>
        <v>22.0362987552232</v>
      </c>
      <c r="D3784" s="21">
        <f t="shared" si="123"/>
        <v>12.641975308642</v>
      </c>
    </row>
    <row r="3785" ht="14.4" spans="2:4">
      <c r="B3785" s="20">
        <v>15092</v>
      </c>
      <c r="C3785" s="21">
        <f t="shared" si="122"/>
        <v>22.0631485127334</v>
      </c>
      <c r="D3785" s="21">
        <f t="shared" si="123"/>
        <v>12.6811145510836</v>
      </c>
    </row>
    <row r="3786" ht="14.4" spans="2:4">
      <c r="B3786" s="20">
        <v>15096</v>
      </c>
      <c r="C3786" s="21">
        <f t="shared" si="122"/>
        <v>22.0900815254389</v>
      </c>
      <c r="D3786" s="21">
        <f t="shared" si="123"/>
        <v>12.7204968944099</v>
      </c>
    </row>
    <row r="3787" ht="14.4" spans="2:4">
      <c r="B3787" s="20">
        <v>15100</v>
      </c>
      <c r="C3787" s="21">
        <f t="shared" si="122"/>
        <v>22.117098311258</v>
      </c>
      <c r="D3787" s="21">
        <f t="shared" si="123"/>
        <v>12.7601246105919</v>
      </c>
    </row>
    <row r="3788" ht="14.4" spans="2:4">
      <c r="B3788" s="20">
        <v>15104</v>
      </c>
      <c r="C3788" s="21">
        <f t="shared" si="122"/>
        <v>22.1441993929574</v>
      </c>
      <c r="D3788" s="21">
        <f t="shared" si="123"/>
        <v>12.8</v>
      </c>
    </row>
    <row r="3789" ht="14.4" spans="2:4">
      <c r="B3789" s="20">
        <v>15108</v>
      </c>
      <c r="C3789" s="21">
        <f t="shared" si="122"/>
        <v>22.1713852982119</v>
      </c>
      <c r="D3789" s="21">
        <f t="shared" si="123"/>
        <v>12.8401253918495</v>
      </c>
    </row>
    <row r="3790" ht="14.4" spans="2:4">
      <c r="B3790" s="20">
        <v>15112</v>
      </c>
      <c r="C3790" s="21">
        <f t="shared" si="122"/>
        <v>22.1986565596668</v>
      </c>
      <c r="D3790" s="21">
        <f t="shared" si="123"/>
        <v>12.8805031446541</v>
      </c>
    </row>
    <row r="3791" ht="14.4" spans="2:4">
      <c r="B3791" s="20">
        <v>15116</v>
      </c>
      <c r="C3791" s="21">
        <f t="shared" si="122"/>
        <v>22.2260137150005</v>
      </c>
      <c r="D3791" s="21">
        <f t="shared" si="123"/>
        <v>12.9211356466877</v>
      </c>
    </row>
    <row r="3792" ht="14.4" spans="2:4">
      <c r="B3792" s="20">
        <v>15120</v>
      </c>
      <c r="C3792" s="21">
        <f t="shared" si="122"/>
        <v>22.2534573069874</v>
      </c>
      <c r="D3792" s="21">
        <f t="shared" si="123"/>
        <v>12.9620253164557</v>
      </c>
    </row>
    <row r="3793" ht="14.4" spans="2:4">
      <c r="B3793" s="20">
        <v>15124</v>
      </c>
      <c r="C3793" s="21">
        <f t="shared" si="122"/>
        <v>22.2809878835635</v>
      </c>
      <c r="D3793" s="21">
        <f t="shared" si="123"/>
        <v>13.0031746031746</v>
      </c>
    </row>
    <row r="3794" ht="14.4" spans="2:4">
      <c r="B3794" s="20">
        <v>15128</v>
      </c>
      <c r="C3794" s="21">
        <f t="shared" si="122"/>
        <v>22.3086059978912</v>
      </c>
      <c r="D3794" s="21">
        <f t="shared" si="123"/>
        <v>13.0445859872611</v>
      </c>
    </row>
    <row r="3795" ht="14.4" spans="2:4">
      <c r="B3795" s="20">
        <v>15132</v>
      </c>
      <c r="C3795" s="21">
        <f t="shared" si="122"/>
        <v>22.3363122084265</v>
      </c>
      <c r="D3795" s="21">
        <f t="shared" si="123"/>
        <v>13.0862619808307</v>
      </c>
    </row>
    <row r="3796" ht="14.4" spans="2:4">
      <c r="B3796" s="20">
        <v>15136</v>
      </c>
      <c r="C3796" s="21">
        <f t="shared" si="122"/>
        <v>22.3641070789866</v>
      </c>
      <c r="D3796" s="21">
        <f t="shared" si="123"/>
        <v>13.1282051282051</v>
      </c>
    </row>
    <row r="3797" ht="14.4" spans="2:4">
      <c r="B3797" s="20">
        <v>15140</v>
      </c>
      <c r="C3797" s="21">
        <f t="shared" si="122"/>
        <v>22.3919911788187</v>
      </c>
      <c r="D3797" s="21">
        <f t="shared" si="123"/>
        <v>13.1704180064309</v>
      </c>
    </row>
    <row r="3798" ht="14.4" spans="2:4">
      <c r="B3798" s="20">
        <v>15144</v>
      </c>
      <c r="C3798" s="21">
        <f t="shared" si="122"/>
        <v>22.41996508267</v>
      </c>
      <c r="D3798" s="21">
        <f t="shared" si="123"/>
        <v>13.2129032258065</v>
      </c>
    </row>
    <row r="3799" ht="14.4" spans="2:4">
      <c r="B3799" s="20">
        <v>15148</v>
      </c>
      <c r="C3799" s="21">
        <f t="shared" si="122"/>
        <v>22.4480293708588</v>
      </c>
      <c r="D3799" s="21">
        <f t="shared" si="123"/>
        <v>13.2556634304207</v>
      </c>
    </row>
    <row r="3800" ht="14.4" spans="2:4">
      <c r="B3800" s="20">
        <v>15152</v>
      </c>
      <c r="C3800" s="21">
        <f t="shared" si="122"/>
        <v>22.4761846293466</v>
      </c>
      <c r="D3800" s="21">
        <f t="shared" si="123"/>
        <v>13.2987012987013</v>
      </c>
    </row>
    <row r="3801" ht="14.4" spans="2:4">
      <c r="B3801" s="20">
        <v>15156</v>
      </c>
      <c r="C3801" s="21">
        <f t="shared" si="122"/>
        <v>22.5044314498118</v>
      </c>
      <c r="D3801" s="21">
        <f t="shared" si="123"/>
        <v>13.3420195439739</v>
      </c>
    </row>
    <row r="3802" ht="14.4" spans="2:4">
      <c r="B3802" s="20">
        <v>15160</v>
      </c>
      <c r="C3802" s="21">
        <f t="shared" si="122"/>
        <v>22.5327704297239</v>
      </c>
      <c r="D3802" s="21">
        <f t="shared" si="123"/>
        <v>13.3856209150327</v>
      </c>
    </row>
    <row r="3803" ht="14.4" spans="2:4">
      <c r="B3803" s="20">
        <v>15164</v>
      </c>
      <c r="C3803" s="21">
        <f t="shared" si="122"/>
        <v>22.5612021724198</v>
      </c>
      <c r="D3803" s="21">
        <f t="shared" si="123"/>
        <v>13.4295081967213</v>
      </c>
    </row>
    <row r="3804" ht="14.4" spans="2:4">
      <c r="B3804" s="20">
        <v>15168</v>
      </c>
      <c r="C3804" s="21">
        <f t="shared" si="122"/>
        <v>22.5897272871804</v>
      </c>
      <c r="D3804" s="21">
        <f t="shared" si="123"/>
        <v>13.4736842105263</v>
      </c>
    </row>
    <row r="3805" ht="14.4" spans="2:4">
      <c r="B3805" s="20">
        <v>15172</v>
      </c>
      <c r="C3805" s="21">
        <f t="shared" si="122"/>
        <v>22.6183463893094</v>
      </c>
      <c r="D3805" s="21">
        <f t="shared" si="123"/>
        <v>13.5181518151815</v>
      </c>
    </row>
    <row r="3806" ht="14.4" spans="2:4">
      <c r="B3806" s="20">
        <v>15176</v>
      </c>
      <c r="C3806" s="21">
        <f t="shared" si="122"/>
        <v>22.6470601002125</v>
      </c>
      <c r="D3806" s="21">
        <f t="shared" si="123"/>
        <v>13.5629139072848</v>
      </c>
    </row>
    <row r="3807" ht="14.4" spans="2:4">
      <c r="B3807" s="20">
        <v>15180</v>
      </c>
      <c r="C3807" s="21">
        <f t="shared" si="122"/>
        <v>22.6758690474786</v>
      </c>
      <c r="D3807" s="21">
        <f t="shared" si="123"/>
        <v>13.6079734219269</v>
      </c>
    </row>
    <row r="3808" ht="14.4" spans="2:4">
      <c r="B3808" s="20">
        <v>15184</v>
      </c>
      <c r="C3808" s="21">
        <f t="shared" si="122"/>
        <v>22.7047738649622</v>
      </c>
      <c r="D3808" s="21">
        <f t="shared" si="123"/>
        <v>13.6533333333333</v>
      </c>
    </row>
    <row r="3809" ht="14.4" spans="2:4">
      <c r="B3809" s="20">
        <v>15188</v>
      </c>
      <c r="C3809" s="21">
        <f t="shared" si="122"/>
        <v>22.7337751928669</v>
      </c>
      <c r="D3809" s="21">
        <f t="shared" si="123"/>
        <v>13.6989966555184</v>
      </c>
    </row>
    <row r="3810" ht="14.4" spans="2:4">
      <c r="B3810" s="20">
        <v>15192</v>
      </c>
      <c r="C3810" s="21">
        <f t="shared" si="122"/>
        <v>22.7628736778304</v>
      </c>
      <c r="D3810" s="21">
        <f t="shared" si="123"/>
        <v>13.744966442953</v>
      </c>
    </row>
    <row r="3811" ht="14.4" spans="2:4">
      <c r="B3811" s="20">
        <v>15196</v>
      </c>
      <c r="C3811" s="21">
        <f t="shared" si="122"/>
        <v>22.7920699730112</v>
      </c>
      <c r="D3811" s="21">
        <f t="shared" si="123"/>
        <v>13.7912457912458</v>
      </c>
    </row>
    <row r="3812" ht="14.4" spans="2:4">
      <c r="B3812" s="20">
        <v>15200</v>
      </c>
      <c r="C3812" s="21">
        <f t="shared" si="122"/>
        <v>22.8213647381767</v>
      </c>
      <c r="D3812" s="21">
        <f t="shared" si="123"/>
        <v>13.8378378378378</v>
      </c>
    </row>
    <row r="3813" ht="14.4" spans="2:4">
      <c r="B3813" s="20">
        <v>15204</v>
      </c>
      <c r="C3813" s="21">
        <f t="shared" si="122"/>
        <v>22.8507586397922</v>
      </c>
      <c r="D3813" s="21">
        <f t="shared" si="123"/>
        <v>13.8847457627119</v>
      </c>
    </row>
    <row r="3814" ht="14.4" spans="2:4">
      <c r="B3814" s="20">
        <v>15208</v>
      </c>
      <c r="C3814" s="21">
        <f t="shared" si="122"/>
        <v>22.8802523511123</v>
      </c>
      <c r="D3814" s="21">
        <f t="shared" si="123"/>
        <v>13.9319727891156</v>
      </c>
    </row>
    <row r="3815" ht="14.4" spans="2:4">
      <c r="B3815" s="20">
        <v>15212</v>
      </c>
      <c r="C3815" s="21">
        <f t="shared" si="122"/>
        <v>22.9098465522733</v>
      </c>
      <c r="D3815" s="21">
        <f t="shared" si="123"/>
        <v>13.9795221843003</v>
      </c>
    </row>
    <row r="3816" ht="14.4" spans="2:4">
      <c r="B3816" s="20">
        <v>15216</v>
      </c>
      <c r="C3816" s="21">
        <f t="shared" si="122"/>
        <v>22.9395419303871</v>
      </c>
      <c r="D3816" s="21">
        <f t="shared" si="123"/>
        <v>14.027397260274</v>
      </c>
    </row>
    <row r="3817" ht="14.4" spans="2:4">
      <c r="B3817" s="20">
        <v>15220</v>
      </c>
      <c r="C3817" s="21">
        <f t="shared" si="122"/>
        <v>22.9693391796373</v>
      </c>
      <c r="D3817" s="21">
        <f t="shared" si="123"/>
        <v>14.0756013745704</v>
      </c>
    </row>
    <row r="3818" ht="14.4" spans="2:4">
      <c r="B3818" s="20">
        <v>15224</v>
      </c>
      <c r="C3818" s="21">
        <f t="shared" si="122"/>
        <v>22.9992390013764</v>
      </c>
      <c r="D3818" s="21">
        <f t="shared" si="123"/>
        <v>14.1241379310345</v>
      </c>
    </row>
    <row r="3819" ht="14.4" spans="2:4">
      <c r="B3819" s="20">
        <v>15228</v>
      </c>
      <c r="C3819" s="21">
        <f t="shared" si="122"/>
        <v>23.0292421042245</v>
      </c>
      <c r="D3819" s="21">
        <f t="shared" si="123"/>
        <v>14.1730103806228</v>
      </c>
    </row>
    <row r="3820" ht="14.4" spans="2:4">
      <c r="B3820" s="20">
        <v>15232</v>
      </c>
      <c r="C3820" s="21">
        <f t="shared" si="122"/>
        <v>23.0593492041709</v>
      </c>
      <c r="D3820" s="21">
        <f t="shared" si="123"/>
        <v>14.2222222222222</v>
      </c>
    </row>
    <row r="3821" ht="14.4" spans="2:4">
      <c r="B3821" s="20">
        <v>15236</v>
      </c>
      <c r="C3821" s="21">
        <f t="shared" si="122"/>
        <v>23.0895610246756</v>
      </c>
      <c r="D3821" s="21">
        <f t="shared" si="123"/>
        <v>14.2717770034843</v>
      </c>
    </row>
    <row r="3822" ht="14.4" spans="2:4">
      <c r="B3822" s="20">
        <v>15240</v>
      </c>
      <c r="C3822" s="21">
        <f t="shared" si="122"/>
        <v>23.1198782967746</v>
      </c>
      <c r="D3822" s="21">
        <f t="shared" si="123"/>
        <v>14.3216783216783</v>
      </c>
    </row>
    <row r="3823" ht="14.4" spans="2:4">
      <c r="B3823" s="20">
        <v>15244</v>
      </c>
      <c r="C3823" s="21">
        <f t="shared" si="122"/>
        <v>23.1503017591853</v>
      </c>
      <c r="D3823" s="21">
        <f t="shared" si="123"/>
        <v>14.3719298245614</v>
      </c>
    </row>
    <row r="3824" ht="14.4" spans="2:4">
      <c r="B3824" s="20">
        <v>15248</v>
      </c>
      <c r="C3824" s="21">
        <f t="shared" si="122"/>
        <v>23.1808321584147</v>
      </c>
      <c r="D3824" s="21">
        <f t="shared" si="123"/>
        <v>14.4225352112676</v>
      </c>
    </row>
    <row r="3825" ht="14.4" spans="2:4">
      <c r="B3825" s="20">
        <v>15252</v>
      </c>
      <c r="C3825" s="21">
        <f t="shared" si="122"/>
        <v>23.2114702488697</v>
      </c>
      <c r="D3825" s="21">
        <f t="shared" si="123"/>
        <v>14.4734982332155</v>
      </c>
    </row>
    <row r="3826" ht="14.4" spans="2:4">
      <c r="B3826" s="20">
        <v>15256</v>
      </c>
      <c r="C3826" s="21">
        <f t="shared" si="122"/>
        <v>23.2422167929683</v>
      </c>
      <c r="D3826" s="21">
        <f t="shared" si="123"/>
        <v>14.5248226950355</v>
      </c>
    </row>
    <row r="3827" ht="14.4" spans="2:4">
      <c r="B3827" s="20">
        <v>15260</v>
      </c>
      <c r="C3827" s="21">
        <f t="shared" si="122"/>
        <v>23.2730725612539</v>
      </c>
      <c r="D3827" s="21">
        <f t="shared" si="123"/>
        <v>14.576512455516</v>
      </c>
    </row>
    <row r="3828" ht="14.4" spans="2:4">
      <c r="B3828" s="20">
        <v>15264</v>
      </c>
      <c r="C3828" s="21">
        <f t="shared" si="122"/>
        <v>23.3040383325111</v>
      </c>
      <c r="D3828" s="21">
        <f t="shared" si="123"/>
        <v>14.6285714285714</v>
      </c>
    </row>
    <row r="3829" ht="14.4" spans="2:4">
      <c r="B3829" s="20">
        <v>15268</v>
      </c>
      <c r="C3829" s="21">
        <f t="shared" si="122"/>
        <v>23.3351148938835</v>
      </c>
      <c r="D3829" s="21">
        <f t="shared" si="123"/>
        <v>14.6810035842294</v>
      </c>
    </row>
    <row r="3830" ht="14.4" spans="2:4">
      <c r="B3830" s="20">
        <v>15272</v>
      </c>
      <c r="C3830" s="21">
        <f t="shared" si="122"/>
        <v>23.366303040994</v>
      </c>
      <c r="D3830" s="21">
        <f t="shared" si="123"/>
        <v>14.7338129496403</v>
      </c>
    </row>
    <row r="3831" ht="14.4" spans="2:4">
      <c r="B3831" s="20">
        <v>15276</v>
      </c>
      <c r="C3831" s="21">
        <f t="shared" si="122"/>
        <v>23.3976035780665</v>
      </c>
      <c r="D3831" s="21">
        <f t="shared" si="123"/>
        <v>14.7870036101083</v>
      </c>
    </row>
    <row r="3832" ht="14.4" spans="2:4">
      <c r="B3832" s="20">
        <v>15280</v>
      </c>
      <c r="C3832" s="21">
        <f t="shared" si="122"/>
        <v>23.4290173180511</v>
      </c>
      <c r="D3832" s="21">
        <f t="shared" si="123"/>
        <v>14.8405797101449</v>
      </c>
    </row>
    <row r="3833" ht="14.4" spans="2:4">
      <c r="B3833" s="20">
        <v>15284</v>
      </c>
      <c r="C3833" s="21">
        <f t="shared" si="122"/>
        <v>23.4605450827502</v>
      </c>
      <c r="D3833" s="21">
        <f t="shared" si="123"/>
        <v>14.8945454545455</v>
      </c>
    </row>
    <row r="3834" ht="14.4" spans="2:4">
      <c r="B3834" s="20">
        <v>15288</v>
      </c>
      <c r="C3834" s="21">
        <f t="shared" si="122"/>
        <v>23.4921877029477</v>
      </c>
      <c r="D3834" s="21">
        <f t="shared" si="123"/>
        <v>14.9489051094891</v>
      </c>
    </row>
    <row r="3835" ht="14.4" spans="2:4">
      <c r="B3835" s="20">
        <v>15292</v>
      </c>
      <c r="C3835" s="21">
        <f t="shared" si="122"/>
        <v>23.5239460185404</v>
      </c>
      <c r="D3835" s="21">
        <f t="shared" si="123"/>
        <v>15.003663003663</v>
      </c>
    </row>
    <row r="3836" ht="14.4" spans="2:4">
      <c r="B3836" s="20">
        <v>15296</v>
      </c>
      <c r="C3836" s="21">
        <f t="shared" si="122"/>
        <v>23.5558208786715</v>
      </c>
      <c r="D3836" s="21">
        <f t="shared" si="123"/>
        <v>15.0588235294118</v>
      </c>
    </row>
    <row r="3837" ht="14.4" spans="2:4">
      <c r="B3837" s="20">
        <v>15300</v>
      </c>
      <c r="C3837" s="21">
        <f t="shared" si="122"/>
        <v>23.5878131418674</v>
      </c>
      <c r="D3837" s="21">
        <f t="shared" si="123"/>
        <v>15.1143911439114</v>
      </c>
    </row>
    <row r="3838" ht="14.4" spans="2:4">
      <c r="B3838" s="20">
        <v>15304</v>
      </c>
      <c r="C3838" s="21">
        <f t="shared" si="122"/>
        <v>23.6199236761757</v>
      </c>
      <c r="D3838" s="21">
        <f t="shared" si="123"/>
        <v>15.1703703703704</v>
      </c>
    </row>
    <row r="3839" ht="14.4" spans="2:4">
      <c r="B3839" s="20">
        <v>15308</v>
      </c>
      <c r="C3839" s="21">
        <f t="shared" si="122"/>
        <v>23.6521533593073</v>
      </c>
      <c r="D3839" s="21">
        <f t="shared" si="123"/>
        <v>15.2267657992565</v>
      </c>
    </row>
    <row r="3840" ht="14.4" spans="2:4">
      <c r="B3840" s="20">
        <v>15312</v>
      </c>
      <c r="C3840" s="21">
        <f t="shared" si="122"/>
        <v>23.6845030787797</v>
      </c>
      <c r="D3840" s="21">
        <f t="shared" si="123"/>
        <v>15.2835820895522</v>
      </c>
    </row>
    <row r="3841" ht="14.4" spans="2:4">
      <c r="B3841" s="20">
        <v>15316</v>
      </c>
      <c r="C3841" s="21">
        <f t="shared" si="122"/>
        <v>23.716973732064</v>
      </c>
      <c r="D3841" s="21">
        <f t="shared" si="123"/>
        <v>15.3408239700375</v>
      </c>
    </row>
    <row r="3842" ht="14.4" spans="2:4">
      <c r="B3842" s="20">
        <v>15320</v>
      </c>
      <c r="C3842" s="21">
        <f t="shared" si="122"/>
        <v>23.7495662267341</v>
      </c>
      <c r="D3842" s="21">
        <f t="shared" si="123"/>
        <v>15.3984962406015</v>
      </c>
    </row>
    <row r="3843" ht="14.4" spans="2:4">
      <c r="B3843" s="20">
        <v>15324</v>
      </c>
      <c r="C3843" s="21">
        <f t="shared" si="122"/>
        <v>23.7822814806193</v>
      </c>
      <c r="D3843" s="21">
        <f t="shared" si="123"/>
        <v>15.4566037735849</v>
      </c>
    </row>
    <row r="3844" ht="14.4" spans="2:4">
      <c r="B3844" s="20">
        <v>15328</v>
      </c>
      <c r="C3844" s="21">
        <f t="shared" si="122"/>
        <v>23.8151204219589</v>
      </c>
      <c r="D3844" s="21">
        <f t="shared" si="123"/>
        <v>15.5151515151515</v>
      </c>
    </row>
    <row r="3845" ht="14.4" spans="2:4">
      <c r="B3845" s="20">
        <v>15332</v>
      </c>
      <c r="C3845" s="21">
        <f t="shared" si="122"/>
        <v>23.8480839895603</v>
      </c>
      <c r="D3845" s="21">
        <f t="shared" si="123"/>
        <v>15.574144486692</v>
      </c>
    </row>
    <row r="3846" ht="14.4" spans="2:4">
      <c r="B3846" s="20">
        <v>15336</v>
      </c>
      <c r="C3846" s="21">
        <f t="shared" ref="C3846:C3909" si="124">20*LOG(D3846)</f>
        <v>23.8811731329606</v>
      </c>
      <c r="D3846" s="21">
        <f t="shared" ref="D3846:D3909" si="125">16384/(16384-B3846)</f>
        <v>15.6335877862595</v>
      </c>
    </row>
    <row r="3847" ht="14.4" spans="2:4">
      <c r="B3847" s="20">
        <v>15340</v>
      </c>
      <c r="C3847" s="21">
        <f t="shared" si="124"/>
        <v>23.9143888125899</v>
      </c>
      <c r="D3847" s="21">
        <f t="shared" si="125"/>
        <v>15.6934865900383</v>
      </c>
    </row>
    <row r="3848" ht="14.4" spans="2:4">
      <c r="B3848" s="20">
        <v>15344</v>
      </c>
      <c r="C3848" s="21">
        <f t="shared" si="124"/>
        <v>23.9477319999391</v>
      </c>
      <c r="D3848" s="21">
        <f t="shared" si="125"/>
        <v>15.7538461538462</v>
      </c>
    </row>
    <row r="3849" ht="14.4" spans="2:4">
      <c r="B3849" s="20">
        <v>15348</v>
      </c>
      <c r="C3849" s="21">
        <f t="shared" si="124"/>
        <v>23.9812036777304</v>
      </c>
      <c r="D3849" s="21">
        <f t="shared" si="125"/>
        <v>15.8146718146718</v>
      </c>
    </row>
    <row r="3850" ht="14.4" spans="2:4">
      <c r="B3850" s="20">
        <v>15352</v>
      </c>
      <c r="C3850" s="21">
        <f t="shared" si="124"/>
        <v>24.0148048400909</v>
      </c>
      <c r="D3850" s="21">
        <f t="shared" si="125"/>
        <v>15.8759689922481</v>
      </c>
    </row>
    <row r="3851" ht="14.4" spans="2:4">
      <c r="B3851" s="20">
        <v>15356</v>
      </c>
      <c r="C3851" s="21">
        <f t="shared" si="124"/>
        <v>24.0485364927296</v>
      </c>
      <c r="D3851" s="21">
        <f t="shared" si="125"/>
        <v>15.9377431906615</v>
      </c>
    </row>
    <row r="3852" ht="14.4" spans="2:4">
      <c r="B3852" s="20">
        <v>15360</v>
      </c>
      <c r="C3852" s="21">
        <f t="shared" si="124"/>
        <v>24.0823996531185</v>
      </c>
      <c r="D3852" s="21">
        <f t="shared" si="125"/>
        <v>16</v>
      </c>
    </row>
    <row r="3853" ht="14.4" spans="2:4">
      <c r="B3853" s="20">
        <v>15364</v>
      </c>
      <c r="C3853" s="21">
        <f t="shared" si="124"/>
        <v>24.1163953506764</v>
      </c>
      <c r="D3853" s="21">
        <f t="shared" si="125"/>
        <v>16.0627450980392</v>
      </c>
    </row>
    <row r="3854" ht="14.4" spans="2:4">
      <c r="B3854" s="20">
        <v>15368</v>
      </c>
      <c r="C3854" s="21">
        <f t="shared" si="124"/>
        <v>24.1505246269567</v>
      </c>
      <c r="D3854" s="21">
        <f t="shared" si="125"/>
        <v>16.1259842519685</v>
      </c>
    </row>
    <row r="3855" ht="14.4" spans="2:4">
      <c r="B3855" s="20">
        <v>15372</v>
      </c>
      <c r="C3855" s="21">
        <f t="shared" si="124"/>
        <v>24.1847885358391</v>
      </c>
      <c r="D3855" s="21">
        <f t="shared" si="125"/>
        <v>16.1897233201581</v>
      </c>
    </row>
    <row r="3856" ht="14.4" spans="2:4">
      <c r="B3856" s="20">
        <v>15376</v>
      </c>
      <c r="C3856" s="21">
        <f t="shared" si="124"/>
        <v>24.2191881437246</v>
      </c>
      <c r="D3856" s="21">
        <f t="shared" si="125"/>
        <v>16.2539682539683</v>
      </c>
    </row>
    <row r="3857" ht="14.4" spans="2:4">
      <c r="B3857" s="20">
        <v>15380</v>
      </c>
      <c r="C3857" s="21">
        <f t="shared" si="124"/>
        <v>24.2537245297347</v>
      </c>
      <c r="D3857" s="21">
        <f t="shared" si="125"/>
        <v>16.3187250996016</v>
      </c>
    </row>
    <row r="3858" ht="14.4" spans="2:4">
      <c r="B3858" s="20">
        <v>15384</v>
      </c>
      <c r="C3858" s="21">
        <f t="shared" si="124"/>
        <v>24.2883987859147</v>
      </c>
      <c r="D3858" s="21">
        <f t="shared" si="125"/>
        <v>16.384</v>
      </c>
    </row>
    <row r="3859" ht="14.4" spans="2:4">
      <c r="B3859" s="20">
        <v>15388</v>
      </c>
      <c r="C3859" s="21">
        <f t="shared" si="124"/>
        <v>24.3232120174408</v>
      </c>
      <c r="D3859" s="21">
        <f t="shared" si="125"/>
        <v>16.4497991967871</v>
      </c>
    </row>
    <row r="3860" ht="14.4" spans="2:4">
      <c r="B3860" s="20">
        <v>15392</v>
      </c>
      <c r="C3860" s="21">
        <f t="shared" si="124"/>
        <v>24.3581653428312</v>
      </c>
      <c r="D3860" s="21">
        <f t="shared" si="125"/>
        <v>16.5161290322581</v>
      </c>
    </row>
    <row r="3861" ht="14.4" spans="2:4">
      <c r="B3861" s="20">
        <v>15396</v>
      </c>
      <c r="C3861" s="21">
        <f t="shared" si="124"/>
        <v>24.3932598941622</v>
      </c>
      <c r="D3861" s="21">
        <f t="shared" si="125"/>
        <v>16.582995951417</v>
      </c>
    </row>
    <row r="3862" ht="14.4" spans="2:4">
      <c r="B3862" s="20">
        <v>15400</v>
      </c>
      <c r="C3862" s="21">
        <f t="shared" si="124"/>
        <v>24.4284968172879</v>
      </c>
      <c r="D3862" s="21">
        <f t="shared" si="125"/>
        <v>16.650406504065</v>
      </c>
    </row>
    <row r="3863" ht="14.4" spans="2:4">
      <c r="B3863" s="20">
        <v>15404</v>
      </c>
      <c r="C3863" s="21">
        <f t="shared" si="124"/>
        <v>24.4638772720648</v>
      </c>
      <c r="D3863" s="21">
        <f t="shared" si="125"/>
        <v>16.7183673469388</v>
      </c>
    </row>
    <row r="3864" ht="14.4" spans="2:4">
      <c r="B3864" s="20">
        <v>15408</v>
      </c>
      <c r="C3864" s="21">
        <f t="shared" si="124"/>
        <v>24.4994024325809</v>
      </c>
      <c r="D3864" s="21">
        <f t="shared" si="125"/>
        <v>16.7868852459016</v>
      </c>
    </row>
    <row r="3865" ht="14.4" spans="2:4">
      <c r="B3865" s="20">
        <v>15412</v>
      </c>
      <c r="C3865" s="21">
        <f t="shared" si="124"/>
        <v>24.5350734873892</v>
      </c>
      <c r="D3865" s="21">
        <f t="shared" si="125"/>
        <v>16.8559670781893</v>
      </c>
    </row>
    <row r="3866" ht="14.4" spans="2:4">
      <c r="B3866" s="20">
        <v>15416</v>
      </c>
      <c r="C3866" s="21">
        <f t="shared" si="124"/>
        <v>24.5708916397469</v>
      </c>
      <c r="D3866" s="21">
        <f t="shared" si="125"/>
        <v>16.9256198347107</v>
      </c>
    </row>
    <row r="3867" ht="14.4" spans="2:4">
      <c r="B3867" s="20">
        <v>15420</v>
      </c>
      <c r="C3867" s="21">
        <f t="shared" si="124"/>
        <v>24.6068581078581</v>
      </c>
      <c r="D3867" s="21">
        <f t="shared" si="125"/>
        <v>16.9958506224066</v>
      </c>
    </row>
    <row r="3868" ht="14.4" spans="2:4">
      <c r="B3868" s="20">
        <v>15424</v>
      </c>
      <c r="C3868" s="21">
        <f t="shared" si="124"/>
        <v>24.6429741251234</v>
      </c>
      <c r="D3868" s="21">
        <f t="shared" si="125"/>
        <v>17.0666666666667</v>
      </c>
    </row>
    <row r="3869" ht="14.4" spans="2:4">
      <c r="B3869" s="20">
        <v>15428</v>
      </c>
      <c r="C3869" s="21">
        <f t="shared" si="124"/>
        <v>24.6792409403927</v>
      </c>
      <c r="D3869" s="21">
        <f t="shared" si="125"/>
        <v>17.1380753138075</v>
      </c>
    </row>
    <row r="3870" ht="14.4" spans="2:4">
      <c r="B3870" s="20">
        <v>15432</v>
      </c>
      <c r="C3870" s="21">
        <f t="shared" si="124"/>
        <v>24.7156598182252</v>
      </c>
      <c r="D3870" s="21">
        <f t="shared" si="125"/>
        <v>17.2100840336134</v>
      </c>
    </row>
    <row r="3871" ht="14.4" spans="2:4">
      <c r="B3871" s="20">
        <v>15436</v>
      </c>
      <c r="C3871" s="21">
        <f t="shared" si="124"/>
        <v>24.7522320391534</v>
      </c>
      <c r="D3871" s="21">
        <f t="shared" si="125"/>
        <v>17.2827004219409</v>
      </c>
    </row>
    <row r="3872" ht="14.4" spans="2:4">
      <c r="B3872" s="20">
        <v>15440</v>
      </c>
      <c r="C3872" s="21">
        <f t="shared" si="124"/>
        <v>24.7889588999534</v>
      </c>
      <c r="D3872" s="21">
        <f t="shared" si="125"/>
        <v>17.3559322033898</v>
      </c>
    </row>
    <row r="3873" ht="14.4" spans="2:4">
      <c r="B3873" s="20">
        <v>15444</v>
      </c>
      <c r="C3873" s="21">
        <f t="shared" si="124"/>
        <v>24.8258417139208</v>
      </c>
      <c r="D3873" s="21">
        <f t="shared" si="125"/>
        <v>17.4297872340426</v>
      </c>
    </row>
    <row r="3874" ht="14.4" spans="2:4">
      <c r="B3874" s="20">
        <v>15448</v>
      </c>
      <c r="C3874" s="21">
        <f t="shared" si="124"/>
        <v>24.8628818111526</v>
      </c>
      <c r="D3874" s="21">
        <f t="shared" si="125"/>
        <v>17.5042735042735</v>
      </c>
    </row>
    <row r="3875" ht="14.4" spans="2:4">
      <c r="B3875" s="20">
        <v>15452</v>
      </c>
      <c r="C3875" s="21">
        <f t="shared" si="124"/>
        <v>24.9000805388351</v>
      </c>
      <c r="D3875" s="21">
        <f t="shared" si="125"/>
        <v>17.5793991416309</v>
      </c>
    </row>
    <row r="3876" ht="14.4" spans="2:4">
      <c r="B3876" s="20">
        <v>15456</v>
      </c>
      <c r="C3876" s="21">
        <f t="shared" si="124"/>
        <v>24.9374392615375</v>
      </c>
      <c r="D3876" s="21">
        <f t="shared" si="125"/>
        <v>17.6551724137931</v>
      </c>
    </row>
    <row r="3877" ht="14.4" spans="2:4">
      <c r="B3877" s="20">
        <v>15460</v>
      </c>
      <c r="C3877" s="21">
        <f t="shared" si="124"/>
        <v>24.9749593615126</v>
      </c>
      <c r="D3877" s="21">
        <f t="shared" si="125"/>
        <v>17.7316017316017</v>
      </c>
    </row>
    <row r="3878" ht="14.4" spans="2:4">
      <c r="B3878" s="20">
        <v>15464</v>
      </c>
      <c r="C3878" s="21">
        <f t="shared" si="124"/>
        <v>25.0126422390036</v>
      </c>
      <c r="D3878" s="21">
        <f t="shared" si="125"/>
        <v>17.8086956521739</v>
      </c>
    </row>
    <row r="3879" ht="14.4" spans="2:4">
      <c r="B3879" s="20">
        <v>15468</v>
      </c>
      <c r="C3879" s="21">
        <f t="shared" si="124"/>
        <v>25.0504893125577</v>
      </c>
      <c r="D3879" s="21">
        <f t="shared" si="125"/>
        <v>17.8864628820961</v>
      </c>
    </row>
    <row r="3880" ht="14.4" spans="2:4">
      <c r="B3880" s="20">
        <v>15472</v>
      </c>
      <c r="C3880" s="21">
        <f t="shared" si="124"/>
        <v>25.0885020193464</v>
      </c>
      <c r="D3880" s="21">
        <f t="shared" si="125"/>
        <v>17.9649122807018</v>
      </c>
    </row>
    <row r="3881" ht="14.4" spans="2:4">
      <c r="B3881" s="20">
        <v>15476</v>
      </c>
      <c r="C3881" s="21">
        <f t="shared" si="124"/>
        <v>25.126681815493</v>
      </c>
      <c r="D3881" s="21">
        <f t="shared" si="125"/>
        <v>18.0440528634361</v>
      </c>
    </row>
    <row r="3882" ht="14.4" spans="2:4">
      <c r="B3882" s="20">
        <v>15480</v>
      </c>
      <c r="C3882" s="21">
        <f t="shared" si="124"/>
        <v>25.1650301764075</v>
      </c>
      <c r="D3882" s="21">
        <f t="shared" si="125"/>
        <v>18.1238938053097</v>
      </c>
    </row>
    <row r="3883" ht="14.4" spans="2:4">
      <c r="B3883" s="20">
        <v>15484</v>
      </c>
      <c r="C3883" s="21">
        <f t="shared" si="124"/>
        <v>25.2035485971282</v>
      </c>
      <c r="D3883" s="21">
        <f t="shared" si="125"/>
        <v>18.2044444444444</v>
      </c>
    </row>
    <row r="3884" ht="14.4" spans="2:4">
      <c r="B3884" s="20">
        <v>15488</v>
      </c>
      <c r="C3884" s="21">
        <f t="shared" si="124"/>
        <v>25.2422385926722</v>
      </c>
      <c r="D3884" s="21">
        <f t="shared" si="125"/>
        <v>18.2857142857143</v>
      </c>
    </row>
    <row r="3885" ht="14.4" spans="2:4">
      <c r="B3885" s="20">
        <v>15492</v>
      </c>
      <c r="C3885" s="21">
        <f t="shared" si="124"/>
        <v>25.2811016983923</v>
      </c>
      <c r="D3885" s="21">
        <f t="shared" si="125"/>
        <v>18.3677130044843</v>
      </c>
    </row>
    <row r="3886" ht="14.4" spans="2:4">
      <c r="B3886" s="20">
        <v>15496</v>
      </c>
      <c r="C3886" s="21">
        <f t="shared" si="124"/>
        <v>25.3201394703427</v>
      </c>
      <c r="D3886" s="21">
        <f t="shared" si="125"/>
        <v>18.4504504504505</v>
      </c>
    </row>
    <row r="3887" ht="14.4" spans="2:4">
      <c r="B3887" s="20">
        <v>15500</v>
      </c>
      <c r="C3887" s="21">
        <f t="shared" si="124"/>
        <v>25.3593534856533</v>
      </c>
      <c r="D3887" s="21">
        <f t="shared" si="125"/>
        <v>18.5339366515837</v>
      </c>
    </row>
    <row r="3888" ht="14.4" spans="2:4">
      <c r="B3888" s="20">
        <v>15504</v>
      </c>
      <c r="C3888" s="21">
        <f t="shared" si="124"/>
        <v>25.3987453429114</v>
      </c>
      <c r="D3888" s="21">
        <f t="shared" si="125"/>
        <v>18.6181818181818</v>
      </c>
    </row>
    <row r="3889" ht="14.4" spans="2:4">
      <c r="B3889" s="20">
        <v>15508</v>
      </c>
      <c r="C3889" s="21">
        <f t="shared" si="124"/>
        <v>25.4383166625531</v>
      </c>
      <c r="D3889" s="21">
        <f t="shared" si="125"/>
        <v>18.703196347032</v>
      </c>
    </row>
    <row r="3890" ht="14.4" spans="2:4">
      <c r="B3890" s="20">
        <v>15512</v>
      </c>
      <c r="C3890" s="21">
        <f t="shared" si="124"/>
        <v>25.4780690872634</v>
      </c>
      <c r="D3890" s="21">
        <f t="shared" si="125"/>
        <v>18.7889908256881</v>
      </c>
    </row>
    <row r="3891" ht="14.4" spans="2:4">
      <c r="B3891" s="20">
        <v>15516</v>
      </c>
      <c r="C3891" s="21">
        <f t="shared" si="124"/>
        <v>25.5180042823849</v>
      </c>
      <c r="D3891" s="21">
        <f t="shared" si="125"/>
        <v>18.8755760368664</v>
      </c>
    </row>
    <row r="3892" ht="14.4" spans="2:4">
      <c r="B3892" s="20">
        <v>15520</v>
      </c>
      <c r="C3892" s="21">
        <f t="shared" si="124"/>
        <v>25.5581239363369</v>
      </c>
      <c r="D3892" s="21">
        <f t="shared" si="125"/>
        <v>18.962962962963</v>
      </c>
    </row>
    <row r="3893" ht="14.4" spans="2:4">
      <c r="B3893" s="20">
        <v>15524</v>
      </c>
      <c r="C3893" s="21">
        <f t="shared" si="124"/>
        <v>25.5984297610434</v>
      </c>
      <c r="D3893" s="21">
        <f t="shared" si="125"/>
        <v>19.0511627906977</v>
      </c>
    </row>
    <row r="3894" ht="14.4" spans="2:4">
      <c r="B3894" s="20">
        <v>15528</v>
      </c>
      <c r="C3894" s="21">
        <f t="shared" si="124"/>
        <v>25.6389234923717</v>
      </c>
      <c r="D3894" s="21">
        <f t="shared" si="125"/>
        <v>19.1401869158878</v>
      </c>
    </row>
    <row r="3895" ht="14.4" spans="2:4">
      <c r="B3895" s="20">
        <v>15532</v>
      </c>
      <c r="C3895" s="21">
        <f t="shared" si="124"/>
        <v>25.6796068905807</v>
      </c>
      <c r="D3895" s="21">
        <f t="shared" si="125"/>
        <v>19.2300469483568</v>
      </c>
    </row>
    <row r="3896" ht="14.4" spans="2:4">
      <c r="B3896" s="20">
        <v>15536</v>
      </c>
      <c r="C3896" s="21">
        <f t="shared" si="124"/>
        <v>25.7204817407805</v>
      </c>
      <c r="D3896" s="21">
        <f t="shared" si="125"/>
        <v>19.3207547169811</v>
      </c>
    </row>
    <row r="3897" ht="14.4" spans="2:4">
      <c r="B3897" s="20">
        <v>15540</v>
      </c>
      <c r="C3897" s="21">
        <f t="shared" si="124"/>
        <v>25.7615498534016</v>
      </c>
      <c r="D3897" s="21">
        <f t="shared" si="125"/>
        <v>19.4123222748815</v>
      </c>
    </row>
    <row r="3898" ht="14.4" spans="2:4">
      <c r="B3898" s="20">
        <v>15544</v>
      </c>
      <c r="C3898" s="21">
        <f t="shared" si="124"/>
        <v>25.8028130646771</v>
      </c>
      <c r="D3898" s="21">
        <f t="shared" si="125"/>
        <v>19.5047619047619</v>
      </c>
    </row>
    <row r="3899" ht="14.4" spans="2:4">
      <c r="B3899" s="20">
        <v>15548</v>
      </c>
      <c r="C3899" s="21">
        <f t="shared" si="124"/>
        <v>25.8442732371344</v>
      </c>
      <c r="D3899" s="21">
        <f t="shared" si="125"/>
        <v>19.5980861244019</v>
      </c>
    </row>
    <row r="3900" ht="14.4" spans="2:4">
      <c r="B3900" s="20">
        <v>15552</v>
      </c>
      <c r="C3900" s="21">
        <f t="shared" si="124"/>
        <v>25.8859322601003</v>
      </c>
      <c r="D3900" s="21">
        <f t="shared" si="125"/>
        <v>19.6923076923077</v>
      </c>
    </row>
    <row r="3901" ht="14.4" spans="2:4">
      <c r="B3901" s="20">
        <v>15556</v>
      </c>
      <c r="C3901" s="21">
        <f t="shared" si="124"/>
        <v>25.9277920502171</v>
      </c>
      <c r="D3901" s="21">
        <f t="shared" si="125"/>
        <v>19.7874396135266</v>
      </c>
    </row>
    <row r="3902" ht="14.4" spans="2:4">
      <c r="B3902" s="20">
        <v>15560</v>
      </c>
      <c r="C3902" s="21">
        <f t="shared" si="124"/>
        <v>25.9698545519724</v>
      </c>
      <c r="D3902" s="21">
        <f t="shared" si="125"/>
        <v>19.8834951456311</v>
      </c>
    </row>
    <row r="3903" ht="14.4" spans="2:4">
      <c r="B3903" s="20">
        <v>15564</v>
      </c>
      <c r="C3903" s="21">
        <f t="shared" si="124"/>
        <v>26.0121217382404</v>
      </c>
      <c r="D3903" s="21">
        <f t="shared" si="125"/>
        <v>19.980487804878</v>
      </c>
    </row>
    <row r="3904" ht="14.4" spans="2:4">
      <c r="B3904" s="20">
        <v>15568</v>
      </c>
      <c r="C3904" s="21">
        <f t="shared" si="124"/>
        <v>26.0545956108375</v>
      </c>
      <c r="D3904" s="21">
        <f t="shared" si="125"/>
        <v>20.078431372549</v>
      </c>
    </row>
    <row r="3905" ht="14.4" spans="2:4">
      <c r="B3905" s="20">
        <v>15572</v>
      </c>
      <c r="C3905" s="21">
        <f t="shared" si="124"/>
        <v>26.0972782010912</v>
      </c>
      <c r="D3905" s="21">
        <f t="shared" si="125"/>
        <v>20.1773399014778</v>
      </c>
    </row>
    <row r="3906" ht="14.4" spans="2:4">
      <c r="B3906" s="20">
        <v>15576</v>
      </c>
      <c r="C3906" s="21">
        <f t="shared" si="124"/>
        <v>26.140171570423</v>
      </c>
      <c r="D3906" s="21">
        <f t="shared" si="125"/>
        <v>20.2772277227723</v>
      </c>
    </row>
    <row r="3907" ht="14.4" spans="2:4">
      <c r="B3907" s="20">
        <v>15580</v>
      </c>
      <c r="C3907" s="21">
        <f t="shared" si="124"/>
        <v>26.1832778109457</v>
      </c>
      <c r="D3907" s="21">
        <f t="shared" si="125"/>
        <v>20.3781094527363</v>
      </c>
    </row>
    <row r="3908" ht="14.4" spans="2:4">
      <c r="B3908" s="20">
        <v>15584</v>
      </c>
      <c r="C3908" s="21">
        <f t="shared" si="124"/>
        <v>26.2265990460759</v>
      </c>
      <c r="D3908" s="21">
        <f t="shared" si="125"/>
        <v>20.48</v>
      </c>
    </row>
    <row r="3909" ht="14.4" spans="2:4">
      <c r="B3909" s="20">
        <v>15588</v>
      </c>
      <c r="C3909" s="21">
        <f t="shared" si="124"/>
        <v>26.2701374311614</v>
      </c>
      <c r="D3909" s="21">
        <f t="shared" si="125"/>
        <v>20.5829145728643</v>
      </c>
    </row>
    <row r="3910" ht="14.4" spans="2:4">
      <c r="B3910" s="20">
        <v>15592</v>
      </c>
      <c r="C3910" s="21">
        <f t="shared" ref="C3910:C3973" si="126">20*LOG(D3910)</f>
        <v>26.3138951541249</v>
      </c>
      <c r="D3910" s="21">
        <f t="shared" ref="D3910:D3973" si="127">16384/(16384-B3910)</f>
        <v>20.6868686868687</v>
      </c>
    </row>
    <row r="3911" ht="14.4" spans="2:4">
      <c r="B3911" s="20">
        <v>15596</v>
      </c>
      <c r="C3911" s="21">
        <f t="shared" si="126"/>
        <v>26.3578744361236</v>
      </c>
      <c r="D3911" s="21">
        <f t="shared" si="127"/>
        <v>20.7918781725888</v>
      </c>
    </row>
    <row r="3912" ht="14.4" spans="2:4">
      <c r="B3912" s="20">
        <v>15600</v>
      </c>
      <c r="C3912" s="21">
        <f t="shared" si="126"/>
        <v>26.402077532226</v>
      </c>
      <c r="D3912" s="21">
        <f t="shared" si="127"/>
        <v>20.8979591836735</v>
      </c>
    </row>
    <row r="3913" ht="14.4" spans="2:4">
      <c r="B3913" s="20">
        <v>15604</v>
      </c>
      <c r="C3913" s="21">
        <f t="shared" si="126"/>
        <v>26.4465067321051</v>
      </c>
      <c r="D3913" s="21">
        <f t="shared" si="127"/>
        <v>21.0051282051282</v>
      </c>
    </row>
    <row r="3914" ht="14.4" spans="2:4">
      <c r="B3914" s="20">
        <v>15608</v>
      </c>
      <c r="C3914" s="21">
        <f t="shared" si="126"/>
        <v>26.491164360751</v>
      </c>
      <c r="D3914" s="21">
        <f t="shared" si="127"/>
        <v>21.1134020618557</v>
      </c>
    </row>
    <row r="3915" ht="14.4" spans="2:4">
      <c r="B3915" s="20">
        <v>15612</v>
      </c>
      <c r="C3915" s="21">
        <f t="shared" si="126"/>
        <v>26.5360527792</v>
      </c>
      <c r="D3915" s="21">
        <f t="shared" si="127"/>
        <v>21.2227979274611</v>
      </c>
    </row>
    <row r="3916" ht="14.4" spans="2:4">
      <c r="B3916" s="20">
        <v>15616</v>
      </c>
      <c r="C3916" s="21">
        <f t="shared" si="126"/>
        <v>26.5811743852845</v>
      </c>
      <c r="D3916" s="21">
        <f t="shared" si="127"/>
        <v>21.3333333333333</v>
      </c>
    </row>
    <row r="3917" ht="14.4" spans="2:4">
      <c r="B3917" s="20">
        <v>15620</v>
      </c>
      <c r="C3917" s="21">
        <f t="shared" si="126"/>
        <v>26.6265316144009</v>
      </c>
      <c r="D3917" s="21">
        <f t="shared" si="127"/>
        <v>21.4450261780105</v>
      </c>
    </row>
    <row r="3918" ht="14.4" spans="2:4">
      <c r="B3918" s="20">
        <v>15624</v>
      </c>
      <c r="C3918" s="21">
        <f t="shared" si="126"/>
        <v>26.6721269402989</v>
      </c>
      <c r="D3918" s="21">
        <f t="shared" si="127"/>
        <v>21.5578947368421</v>
      </c>
    </row>
    <row r="3919" ht="14.4" spans="2:4">
      <c r="B3919" s="20">
        <v>15628</v>
      </c>
      <c r="C3919" s="21">
        <f t="shared" si="126"/>
        <v>26.7179628758906</v>
      </c>
      <c r="D3919" s="21">
        <f t="shared" si="127"/>
        <v>21.6719576719577</v>
      </c>
    </row>
    <row r="3920" ht="14.4" spans="2:4">
      <c r="B3920" s="20">
        <v>15632</v>
      </c>
      <c r="C3920" s="21">
        <f t="shared" si="126"/>
        <v>26.7640419740819</v>
      </c>
      <c r="D3920" s="21">
        <f t="shared" si="127"/>
        <v>21.7872340425532</v>
      </c>
    </row>
    <row r="3921" ht="14.4" spans="2:4">
      <c r="B3921" s="20">
        <v>15636</v>
      </c>
      <c r="C3921" s="21">
        <f t="shared" si="126"/>
        <v>26.8103668286255</v>
      </c>
      <c r="D3921" s="21">
        <f t="shared" si="127"/>
        <v>21.903743315508</v>
      </c>
    </row>
    <row r="3922" ht="14.4" spans="2:4">
      <c r="B3922" s="20">
        <v>15640</v>
      </c>
      <c r="C3922" s="21">
        <f t="shared" si="126"/>
        <v>26.8569400749972</v>
      </c>
      <c r="D3922" s="21">
        <f t="shared" si="127"/>
        <v>22.0215053763441</v>
      </c>
    </row>
    <row r="3923" ht="14.4" spans="2:4">
      <c r="B3923" s="20">
        <v>15644</v>
      </c>
      <c r="C3923" s="21">
        <f t="shared" si="126"/>
        <v>26.9037643912952</v>
      </c>
      <c r="D3923" s="21">
        <f t="shared" si="127"/>
        <v>22.1405405405405</v>
      </c>
    </row>
    <row r="3924" ht="14.4" spans="2:4">
      <c r="B3924" s="20">
        <v>15648</v>
      </c>
      <c r="C3924" s="21">
        <f t="shared" si="126"/>
        <v>26.9508424991648</v>
      </c>
      <c r="D3924" s="21">
        <f t="shared" si="127"/>
        <v>22.2608695652174</v>
      </c>
    </row>
    <row r="3925" ht="14.4" spans="2:4">
      <c r="B3925" s="20">
        <v>15652</v>
      </c>
      <c r="C3925" s="21">
        <f t="shared" si="126"/>
        <v>26.9981771647469</v>
      </c>
      <c r="D3925" s="21">
        <f t="shared" si="127"/>
        <v>22.3825136612022</v>
      </c>
    </row>
    <row r="3926" ht="14.4" spans="2:4">
      <c r="B3926" s="20">
        <v>15656</v>
      </c>
      <c r="C3926" s="21">
        <f t="shared" si="126"/>
        <v>27.045771199654</v>
      </c>
      <c r="D3926" s="21">
        <f t="shared" si="127"/>
        <v>22.5054945054945</v>
      </c>
    </row>
    <row r="3927" ht="14.4" spans="2:4">
      <c r="B3927" s="20">
        <v>15660</v>
      </c>
      <c r="C3927" s="21">
        <f t="shared" si="126"/>
        <v>27.0936274619718</v>
      </c>
      <c r="D3927" s="21">
        <f t="shared" si="127"/>
        <v>22.6298342541436</v>
      </c>
    </row>
    <row r="3928" ht="14.4" spans="2:4">
      <c r="B3928" s="20">
        <v>15664</v>
      </c>
      <c r="C3928" s="21">
        <f t="shared" si="126"/>
        <v>27.1417488572894</v>
      </c>
      <c r="D3928" s="21">
        <f t="shared" si="127"/>
        <v>22.7555555555556</v>
      </c>
    </row>
    <row r="3929" ht="14.4" spans="2:4">
      <c r="B3929" s="20">
        <v>15668</v>
      </c>
      <c r="C3929" s="21">
        <f t="shared" si="126"/>
        <v>27.1901383397576</v>
      </c>
      <c r="D3929" s="21">
        <f t="shared" si="127"/>
        <v>22.8826815642458</v>
      </c>
    </row>
    <row r="3930" ht="14.4" spans="2:4">
      <c r="B3930" s="20">
        <v>15672</v>
      </c>
      <c r="C3930" s="21">
        <f t="shared" si="126"/>
        <v>27.2387989131776</v>
      </c>
      <c r="D3930" s="21">
        <f t="shared" si="127"/>
        <v>23.0112359550562</v>
      </c>
    </row>
    <row r="3931" ht="14.4" spans="2:4">
      <c r="B3931" s="20">
        <v>15676</v>
      </c>
      <c r="C3931" s="21">
        <f t="shared" si="126"/>
        <v>27.2877336321194</v>
      </c>
      <c r="D3931" s="21">
        <f t="shared" si="127"/>
        <v>23.1412429378531</v>
      </c>
    </row>
    <row r="3932" ht="14.4" spans="2:4">
      <c r="B3932" s="20">
        <v>15680</v>
      </c>
      <c r="C3932" s="21">
        <f t="shared" si="126"/>
        <v>27.3369456030725</v>
      </c>
      <c r="D3932" s="21">
        <f t="shared" si="127"/>
        <v>23.2727272727273</v>
      </c>
    </row>
    <row r="3933" ht="14.4" spans="2:4">
      <c r="B3933" s="20">
        <v>15684</v>
      </c>
      <c r="C3933" s="21">
        <f t="shared" si="126"/>
        <v>27.3864379856296</v>
      </c>
      <c r="D3933" s="21">
        <f t="shared" si="127"/>
        <v>23.4057142857143</v>
      </c>
    </row>
    <row r="3934" ht="14.4" spans="2:4">
      <c r="B3934" s="20">
        <v>15688</v>
      </c>
      <c r="C3934" s="21">
        <f t="shared" si="126"/>
        <v>27.4362139937035</v>
      </c>
      <c r="D3934" s="21">
        <f t="shared" si="127"/>
        <v>23.5402298850575</v>
      </c>
    </row>
    <row r="3935" ht="14.4" spans="2:4">
      <c r="B3935" s="20">
        <v>15692</v>
      </c>
      <c r="C3935" s="21">
        <f t="shared" si="126"/>
        <v>27.4862768967796</v>
      </c>
      <c r="D3935" s="21">
        <f t="shared" si="127"/>
        <v>23.6763005780347</v>
      </c>
    </row>
    <row r="3936" ht="14.4" spans="2:4">
      <c r="B3936" s="20">
        <v>15696</v>
      </c>
      <c r="C3936" s="21">
        <f t="shared" si="126"/>
        <v>27.5366300212045</v>
      </c>
      <c r="D3936" s="21">
        <f t="shared" si="127"/>
        <v>23.8139534883721</v>
      </c>
    </row>
    <row r="3937" ht="14.4" spans="2:4">
      <c r="B3937" s="20">
        <v>15700</v>
      </c>
      <c r="C3937" s="21">
        <f t="shared" si="126"/>
        <v>27.5872767515124</v>
      </c>
      <c r="D3937" s="21">
        <f t="shared" si="127"/>
        <v>23.953216374269</v>
      </c>
    </row>
    <row r="3938" ht="14.4" spans="2:4">
      <c r="B3938" s="20">
        <v>15704</v>
      </c>
      <c r="C3938" s="21">
        <f t="shared" si="126"/>
        <v>27.63822053179</v>
      </c>
      <c r="D3938" s="21">
        <f t="shared" si="127"/>
        <v>24.0941176470588</v>
      </c>
    </row>
    <row r="3939" ht="14.4" spans="2:4">
      <c r="B3939" s="20">
        <v>15708</v>
      </c>
      <c r="C3939" s="21">
        <f t="shared" si="126"/>
        <v>27.689464867082</v>
      </c>
      <c r="D3939" s="21">
        <f t="shared" si="127"/>
        <v>24.2366863905325</v>
      </c>
    </row>
    <row r="3940" ht="14.4" spans="2:4">
      <c r="B3940" s="20">
        <v>15712</v>
      </c>
      <c r="C3940" s="21">
        <f t="shared" si="126"/>
        <v>27.7410133248382</v>
      </c>
      <c r="D3940" s="21">
        <f t="shared" si="127"/>
        <v>24.3809523809524</v>
      </c>
    </row>
    <row r="3941" ht="14.4" spans="2:4">
      <c r="B3941" s="20">
        <v>15716</v>
      </c>
      <c r="C3941" s="21">
        <f t="shared" si="126"/>
        <v>27.7928695364038</v>
      </c>
      <c r="D3941" s="21">
        <f t="shared" si="127"/>
        <v>24.5269461077844</v>
      </c>
    </row>
    <row r="3942" ht="14.4" spans="2:4">
      <c r="B3942" s="20">
        <v>15720</v>
      </c>
      <c r="C3942" s="21">
        <f t="shared" si="126"/>
        <v>27.8450371985544</v>
      </c>
      <c r="D3942" s="21">
        <f t="shared" si="127"/>
        <v>24.6746987951807</v>
      </c>
    </row>
    <row r="3943" ht="14.4" spans="2:4">
      <c r="B3943" s="20">
        <v>15724</v>
      </c>
      <c r="C3943" s="21">
        <f t="shared" si="126"/>
        <v>27.8975200750774</v>
      </c>
      <c r="D3943" s="21">
        <f t="shared" si="127"/>
        <v>24.8242424242424</v>
      </c>
    </row>
    <row r="3944" ht="14.4" spans="2:4">
      <c r="B3944" s="20">
        <v>15728</v>
      </c>
      <c r="C3944" s="21">
        <f t="shared" si="126"/>
        <v>27.9503219984015</v>
      </c>
      <c r="D3944" s="21">
        <f t="shared" si="127"/>
        <v>24.9756097560976</v>
      </c>
    </row>
    <row r="3945" ht="14.4" spans="2:4">
      <c r="B3945" s="20">
        <v>15732</v>
      </c>
      <c r="C3945" s="21">
        <f t="shared" si="126"/>
        <v>28.0034468712763</v>
      </c>
      <c r="D3945" s="21">
        <f t="shared" si="127"/>
        <v>25.1288343558282</v>
      </c>
    </row>
    <row r="3946" ht="14.4" spans="2:4">
      <c r="B3946" s="20">
        <v>15736</v>
      </c>
      <c r="C3946" s="21">
        <f t="shared" si="126"/>
        <v>28.0568986685029</v>
      </c>
      <c r="D3946" s="21">
        <f t="shared" si="127"/>
        <v>25.2839506172839</v>
      </c>
    </row>
    <row r="3947" ht="14.4" spans="2:4">
      <c r="B3947" s="20">
        <v>15740</v>
      </c>
      <c r="C3947" s="21">
        <f t="shared" si="126"/>
        <v>28.1106814387185</v>
      </c>
      <c r="D3947" s="21">
        <f t="shared" si="127"/>
        <v>25.4409937888199</v>
      </c>
    </row>
    <row r="3948" ht="14.4" spans="2:4">
      <c r="B3948" s="20">
        <v>15744</v>
      </c>
      <c r="C3948" s="21">
        <f t="shared" si="126"/>
        <v>28.164799306237</v>
      </c>
      <c r="D3948" s="21">
        <f t="shared" si="127"/>
        <v>25.6</v>
      </c>
    </row>
    <row r="3949" ht="14.4" spans="2:4">
      <c r="B3949" s="20">
        <v>15748</v>
      </c>
      <c r="C3949" s="21">
        <f t="shared" si="126"/>
        <v>28.2192564729465</v>
      </c>
      <c r="D3949" s="21">
        <f t="shared" si="127"/>
        <v>25.7610062893082</v>
      </c>
    </row>
    <row r="3950" ht="14.4" spans="2:4">
      <c r="B3950" s="20">
        <v>15752</v>
      </c>
      <c r="C3950" s="21">
        <f t="shared" si="126"/>
        <v>28.274057220267</v>
      </c>
      <c r="D3950" s="21">
        <f t="shared" si="127"/>
        <v>25.9240506329114</v>
      </c>
    </row>
    <row r="3951" ht="14.4" spans="2:4">
      <c r="B3951" s="20">
        <v>15756</v>
      </c>
      <c r="C3951" s="21">
        <f t="shared" si="126"/>
        <v>28.3292059111708</v>
      </c>
      <c r="D3951" s="21">
        <f t="shared" si="127"/>
        <v>26.0891719745223</v>
      </c>
    </row>
    <row r="3952" ht="14.4" spans="2:4">
      <c r="B3952" s="20">
        <v>15760</v>
      </c>
      <c r="C3952" s="21">
        <f t="shared" si="126"/>
        <v>28.3847069922663</v>
      </c>
      <c r="D3952" s="21">
        <f t="shared" si="127"/>
        <v>26.2564102564103</v>
      </c>
    </row>
    <row r="3953" ht="14.4" spans="2:4">
      <c r="B3953" s="20">
        <v>15764</v>
      </c>
      <c r="C3953" s="21">
        <f t="shared" si="126"/>
        <v>28.4405649959497</v>
      </c>
      <c r="D3953" s="21">
        <f t="shared" si="127"/>
        <v>26.4258064516129</v>
      </c>
    </row>
    <row r="3954" ht="14.4" spans="2:4">
      <c r="B3954" s="20">
        <v>15768</v>
      </c>
      <c r="C3954" s="21">
        <f t="shared" si="126"/>
        <v>28.4967845426262</v>
      </c>
      <c r="D3954" s="21">
        <f t="shared" si="127"/>
        <v>26.5974025974026</v>
      </c>
    </row>
    <row r="3955" ht="14.4" spans="2:4">
      <c r="B3955" s="20">
        <v>15772</v>
      </c>
      <c r="C3955" s="21">
        <f t="shared" si="126"/>
        <v>28.5533703430035</v>
      </c>
      <c r="D3955" s="21">
        <f t="shared" si="127"/>
        <v>26.7712418300654</v>
      </c>
    </row>
    <row r="3956" ht="14.4" spans="2:4">
      <c r="B3956" s="20">
        <v>15776</v>
      </c>
      <c r="C3956" s="21">
        <f t="shared" si="126"/>
        <v>28.61032720046</v>
      </c>
      <c r="D3956" s="21">
        <f t="shared" si="127"/>
        <v>26.9473684210526</v>
      </c>
    </row>
    <row r="3957" ht="14.4" spans="2:4">
      <c r="B3957" s="20">
        <v>15780</v>
      </c>
      <c r="C3957" s="21">
        <f t="shared" si="126"/>
        <v>28.6676600134921</v>
      </c>
      <c r="D3957" s="21">
        <f t="shared" si="127"/>
        <v>27.1258278145695</v>
      </c>
    </row>
    <row r="3958" ht="14.4" spans="2:4">
      <c r="B3958" s="20">
        <v>15784</v>
      </c>
      <c r="C3958" s="21">
        <f t="shared" si="126"/>
        <v>28.7253737782419</v>
      </c>
      <c r="D3958" s="21">
        <f t="shared" si="127"/>
        <v>27.3066666666667</v>
      </c>
    </row>
    <row r="3959" ht="14.4" spans="2:4">
      <c r="B3959" s="20">
        <v>15788</v>
      </c>
      <c r="C3959" s="21">
        <f t="shared" si="126"/>
        <v>28.78347359111</v>
      </c>
      <c r="D3959" s="21">
        <f t="shared" si="127"/>
        <v>27.489932885906</v>
      </c>
    </row>
    <row r="3960" ht="14.4" spans="2:4">
      <c r="B3960" s="20">
        <v>15792</v>
      </c>
      <c r="C3960" s="21">
        <f t="shared" si="126"/>
        <v>28.8419646514563</v>
      </c>
      <c r="D3960" s="21">
        <f t="shared" si="127"/>
        <v>27.6756756756757</v>
      </c>
    </row>
    <row r="3961" ht="14.4" spans="2:4">
      <c r="B3961" s="20">
        <v>15796</v>
      </c>
      <c r="C3961" s="21">
        <f t="shared" si="126"/>
        <v>28.900852264392</v>
      </c>
      <c r="D3961" s="21">
        <f t="shared" si="127"/>
        <v>27.8639455782313</v>
      </c>
    </row>
    <row r="3962" ht="14.4" spans="2:4">
      <c r="B3962" s="20">
        <v>15800</v>
      </c>
      <c r="C3962" s="21">
        <f t="shared" si="126"/>
        <v>28.9601418436667</v>
      </c>
      <c r="D3962" s="21">
        <f t="shared" si="127"/>
        <v>28.0547945205479</v>
      </c>
    </row>
    <row r="3963" ht="14.4" spans="2:4">
      <c r="B3963" s="20">
        <v>15804</v>
      </c>
      <c r="C3963" s="21">
        <f t="shared" si="126"/>
        <v>29.019838914656</v>
      </c>
      <c r="D3963" s="21">
        <f t="shared" si="127"/>
        <v>28.248275862069</v>
      </c>
    </row>
    <row r="3964" ht="14.4" spans="2:4">
      <c r="B3964" s="20">
        <v>15808</v>
      </c>
      <c r="C3964" s="21">
        <f t="shared" si="126"/>
        <v>29.0799491174505</v>
      </c>
      <c r="D3964" s="21">
        <f t="shared" si="127"/>
        <v>28.4444444444444</v>
      </c>
    </row>
    <row r="3965" ht="14.4" spans="2:4">
      <c r="B3965" s="20">
        <v>15812</v>
      </c>
      <c r="C3965" s="21">
        <f t="shared" si="126"/>
        <v>29.1404782100543</v>
      </c>
      <c r="D3965" s="21">
        <f t="shared" si="127"/>
        <v>28.6433566433566</v>
      </c>
    </row>
    <row r="3966" ht="14.4" spans="2:4">
      <c r="B3966" s="20">
        <v>15816</v>
      </c>
      <c r="C3966" s="21">
        <f t="shared" si="126"/>
        <v>29.2014320716944</v>
      </c>
      <c r="D3966" s="21">
        <f t="shared" si="127"/>
        <v>28.8450704225352</v>
      </c>
    </row>
    <row r="3967" ht="14.4" spans="2:4">
      <c r="B3967" s="20">
        <v>15820</v>
      </c>
      <c r="C3967" s="21">
        <f t="shared" si="126"/>
        <v>29.2628167062479</v>
      </c>
      <c r="D3967" s="21">
        <f t="shared" si="127"/>
        <v>29.0496453900709</v>
      </c>
    </row>
    <row r="3968" ht="14.4" spans="2:4">
      <c r="B3968" s="20">
        <v>15824</v>
      </c>
      <c r="C3968" s="21">
        <f t="shared" si="126"/>
        <v>29.3246382457907</v>
      </c>
      <c r="D3968" s="21">
        <f t="shared" si="127"/>
        <v>29.2571428571429</v>
      </c>
    </row>
    <row r="3969" ht="14.4" spans="2:4">
      <c r="B3969" s="20">
        <v>15828</v>
      </c>
      <c r="C3969" s="21">
        <f t="shared" si="126"/>
        <v>29.3869029542736</v>
      </c>
      <c r="D3969" s="21">
        <f t="shared" si="127"/>
        <v>29.4676258992806</v>
      </c>
    </row>
    <row r="3970" ht="14.4" spans="2:4">
      <c r="B3970" s="20">
        <v>15832</v>
      </c>
      <c r="C3970" s="21">
        <f t="shared" si="126"/>
        <v>29.4496172313308</v>
      </c>
      <c r="D3970" s="21">
        <f t="shared" si="127"/>
        <v>29.6811594202899</v>
      </c>
    </row>
    <row r="3971" ht="14.4" spans="2:4">
      <c r="B3971" s="20">
        <v>15836</v>
      </c>
      <c r="C3971" s="21">
        <f t="shared" si="126"/>
        <v>29.5127876162273</v>
      </c>
      <c r="D3971" s="21">
        <f t="shared" si="127"/>
        <v>29.8978102189781</v>
      </c>
    </row>
    <row r="3972" ht="14.4" spans="2:4">
      <c r="B3972" s="20">
        <v>15840</v>
      </c>
      <c r="C3972" s="21">
        <f t="shared" si="126"/>
        <v>29.5764207919511</v>
      </c>
      <c r="D3972" s="21">
        <f t="shared" si="127"/>
        <v>30.1176470588235</v>
      </c>
    </row>
    <row r="3973" ht="14.4" spans="2:4">
      <c r="B3973" s="20">
        <v>15844</v>
      </c>
      <c r="C3973" s="21">
        <f t="shared" si="126"/>
        <v>29.6405235894554</v>
      </c>
      <c r="D3973" s="21">
        <f t="shared" si="127"/>
        <v>30.3407407407407</v>
      </c>
    </row>
    <row r="3974" ht="14.4" spans="2:4">
      <c r="B3974" s="20">
        <v>15848</v>
      </c>
      <c r="C3974" s="21">
        <f t="shared" ref="C3974:C4037" si="128">20*LOG(D3974)</f>
        <v>29.7051029920593</v>
      </c>
      <c r="D3974" s="21">
        <f t="shared" ref="D3974:D4037" si="129">16384/(16384-B3974)</f>
        <v>30.5671641791045</v>
      </c>
    </row>
    <row r="3975" ht="14.4" spans="2:4">
      <c r="B3975" s="20">
        <v>15852</v>
      </c>
      <c r="C3975" s="21">
        <f t="shared" si="128"/>
        <v>29.7701661400138</v>
      </c>
      <c r="D3975" s="21">
        <f t="shared" si="129"/>
        <v>30.796992481203</v>
      </c>
    </row>
    <row r="3976" ht="14.4" spans="2:4">
      <c r="B3976" s="20">
        <v>15856</v>
      </c>
      <c r="C3976" s="21">
        <f t="shared" si="128"/>
        <v>29.8357203352385</v>
      </c>
      <c r="D3976" s="21">
        <f t="shared" si="129"/>
        <v>31.030303030303</v>
      </c>
    </row>
    <row r="3977" ht="14.4" spans="2:4">
      <c r="B3977" s="20">
        <v>15860</v>
      </c>
      <c r="C3977" s="21">
        <f t="shared" si="128"/>
        <v>29.9017730462402</v>
      </c>
      <c r="D3977" s="21">
        <f t="shared" si="129"/>
        <v>31.2671755725191</v>
      </c>
    </row>
    <row r="3978" ht="14.4" spans="2:4">
      <c r="B3978" s="20">
        <v>15864</v>
      </c>
      <c r="C3978" s="21">
        <f t="shared" si="128"/>
        <v>29.9683319132188</v>
      </c>
      <c r="D3978" s="21">
        <f t="shared" si="129"/>
        <v>31.5076923076923</v>
      </c>
    </row>
    <row r="3979" ht="14.4" spans="2:4">
      <c r="B3979" s="20">
        <v>15868</v>
      </c>
      <c r="C3979" s="21">
        <f t="shared" si="128"/>
        <v>30.0354047533705</v>
      </c>
      <c r="D3979" s="21">
        <f t="shared" si="129"/>
        <v>31.7519379844961</v>
      </c>
    </row>
    <row r="3980" ht="14.4" spans="2:4">
      <c r="B3980" s="20">
        <v>15872</v>
      </c>
      <c r="C3980" s="21">
        <f t="shared" si="128"/>
        <v>30.1029995663981</v>
      </c>
      <c r="D3980" s="21">
        <f t="shared" si="129"/>
        <v>32</v>
      </c>
    </row>
    <row r="3981" ht="14.4" spans="2:4">
      <c r="B3981" s="20">
        <v>15876</v>
      </c>
      <c r="C3981" s="21">
        <f t="shared" si="128"/>
        <v>30.1711245402364</v>
      </c>
      <c r="D3981" s="21">
        <f t="shared" si="129"/>
        <v>32.251968503937</v>
      </c>
    </row>
    <row r="3982" ht="14.4" spans="2:4">
      <c r="B3982" s="20">
        <v>15880</v>
      </c>
      <c r="C3982" s="21">
        <f t="shared" si="128"/>
        <v>30.2397880570042</v>
      </c>
      <c r="D3982" s="21">
        <f t="shared" si="129"/>
        <v>32.5079365079365</v>
      </c>
    </row>
    <row r="3983" ht="14.4" spans="2:4">
      <c r="B3983" s="20">
        <v>15884</v>
      </c>
      <c r="C3983" s="21">
        <f t="shared" si="128"/>
        <v>30.3089986991944</v>
      </c>
      <c r="D3983" s="21">
        <f t="shared" si="129"/>
        <v>32.768</v>
      </c>
    </row>
    <row r="3984" ht="14.4" spans="2:4">
      <c r="B3984" s="20">
        <v>15888</v>
      </c>
      <c r="C3984" s="21">
        <f t="shared" si="128"/>
        <v>30.3787652561108</v>
      </c>
      <c r="D3984" s="21">
        <f t="shared" si="129"/>
        <v>33.0322580645161</v>
      </c>
    </row>
    <row r="3985" ht="14.4" spans="2:4">
      <c r="B3985" s="20">
        <v>15892</v>
      </c>
      <c r="C3985" s="21">
        <f t="shared" si="128"/>
        <v>30.4490967305675</v>
      </c>
      <c r="D3985" s="21">
        <f t="shared" si="129"/>
        <v>33.3008130081301</v>
      </c>
    </row>
    <row r="3986" ht="14.4" spans="2:4">
      <c r="B3986" s="20">
        <v>15896</v>
      </c>
      <c r="C3986" s="21">
        <f t="shared" si="128"/>
        <v>30.5200023458605</v>
      </c>
      <c r="D3986" s="21">
        <f t="shared" si="129"/>
        <v>33.5737704918033</v>
      </c>
    </row>
    <row r="3987" ht="14.4" spans="2:4">
      <c r="B3987" s="20">
        <v>15900</v>
      </c>
      <c r="C3987" s="21">
        <f t="shared" si="128"/>
        <v>30.5914915530265</v>
      </c>
      <c r="D3987" s="21">
        <f t="shared" si="129"/>
        <v>33.8512396694215</v>
      </c>
    </row>
    <row r="3988" ht="14.4" spans="2:4">
      <c r="B3988" s="20">
        <v>15904</v>
      </c>
      <c r="C3988" s="21">
        <f t="shared" si="128"/>
        <v>30.663574038403</v>
      </c>
      <c r="D3988" s="21">
        <f t="shared" si="129"/>
        <v>34.1333333333333</v>
      </c>
    </row>
    <row r="3989" ht="14.4" spans="2:4">
      <c r="B3989" s="20">
        <v>15908</v>
      </c>
      <c r="C3989" s="21">
        <f t="shared" si="128"/>
        <v>30.7362597315049</v>
      </c>
      <c r="D3989" s="21">
        <f t="shared" si="129"/>
        <v>34.4201680672269</v>
      </c>
    </row>
    <row r="3990" ht="14.4" spans="2:4">
      <c r="B3990" s="20">
        <v>15912</v>
      </c>
      <c r="C3990" s="21">
        <f t="shared" si="128"/>
        <v>30.809558813233</v>
      </c>
      <c r="D3990" s="21">
        <f t="shared" si="129"/>
        <v>34.7118644067797</v>
      </c>
    </row>
    <row r="3991" ht="14.4" spans="2:4">
      <c r="B3991" s="20">
        <v>15916</v>
      </c>
      <c r="C3991" s="21">
        <f t="shared" si="128"/>
        <v>30.8834817244323</v>
      </c>
      <c r="D3991" s="21">
        <f t="shared" si="129"/>
        <v>35.008547008547</v>
      </c>
    </row>
    <row r="3992" ht="14.4" spans="2:4">
      <c r="B3992" s="20">
        <v>15920</v>
      </c>
      <c r="C3992" s="21">
        <f t="shared" si="128"/>
        <v>30.9580391748171</v>
      </c>
      <c r="D3992" s="21">
        <f t="shared" si="129"/>
        <v>35.3103448275862</v>
      </c>
    </row>
    <row r="3993" ht="14.4" spans="2:4">
      <c r="B3993" s="20">
        <v>15924</v>
      </c>
      <c r="C3993" s="21">
        <f t="shared" si="128"/>
        <v>31.0332421522833</v>
      </c>
      <c r="D3993" s="21">
        <f t="shared" si="129"/>
        <v>35.6173913043478</v>
      </c>
    </row>
    <row r="3994" ht="14.4" spans="2:4">
      <c r="B3994" s="20">
        <v>15928</v>
      </c>
      <c r="C3994" s="21">
        <f t="shared" si="128"/>
        <v>31.109101932626</v>
      </c>
      <c r="D3994" s="21">
        <f t="shared" si="129"/>
        <v>35.9298245614035</v>
      </c>
    </row>
    <row r="3995" ht="14.4" spans="2:4">
      <c r="B3995" s="20">
        <v>15932</v>
      </c>
      <c r="C3995" s="21">
        <f t="shared" si="128"/>
        <v>31.1856300896871</v>
      </c>
      <c r="D3995" s="21">
        <f t="shared" si="129"/>
        <v>36.2477876106195</v>
      </c>
    </row>
    <row r="3996" ht="14.4" spans="2:4">
      <c r="B3996" s="20">
        <v>15936</v>
      </c>
      <c r="C3996" s="21">
        <f t="shared" si="128"/>
        <v>31.2628385059519</v>
      </c>
      <c r="D3996" s="21">
        <f t="shared" si="129"/>
        <v>36.5714285714286</v>
      </c>
    </row>
    <row r="3997" ht="14.4" spans="2:4">
      <c r="B3997" s="20">
        <v>15940</v>
      </c>
      <c r="C3997" s="21">
        <f t="shared" si="128"/>
        <v>31.3407393836223</v>
      </c>
      <c r="D3997" s="21">
        <f t="shared" si="129"/>
        <v>36.9009009009009</v>
      </c>
    </row>
    <row r="3998" ht="14.4" spans="2:4">
      <c r="B3998" s="20">
        <v>15944</v>
      </c>
      <c r="C3998" s="21">
        <f t="shared" si="128"/>
        <v>31.419345256191</v>
      </c>
      <c r="D3998" s="21">
        <f t="shared" si="129"/>
        <v>37.2363636363636</v>
      </c>
    </row>
    <row r="3999" ht="14.4" spans="2:4">
      <c r="B3999" s="20">
        <v>15948</v>
      </c>
      <c r="C3999" s="21">
        <f t="shared" si="128"/>
        <v>31.498669000543</v>
      </c>
      <c r="D3999" s="21">
        <f t="shared" si="129"/>
        <v>37.5779816513761</v>
      </c>
    </row>
    <row r="4000" ht="14.4" spans="2:4">
      <c r="B4000" s="20">
        <v>15952</v>
      </c>
      <c r="C4000" s="21">
        <f t="shared" si="128"/>
        <v>31.5787238496165</v>
      </c>
      <c r="D4000" s="21">
        <f t="shared" si="129"/>
        <v>37.9259259259259</v>
      </c>
    </row>
    <row r="4001" ht="14.4" spans="2:4">
      <c r="B4001" s="20">
        <v>15956</v>
      </c>
      <c r="C4001" s="21">
        <f t="shared" si="128"/>
        <v>31.6595234056513</v>
      </c>
      <c r="D4001" s="21">
        <f t="shared" si="129"/>
        <v>38.2803738317757</v>
      </c>
    </row>
    <row r="4002" ht="14.4" spans="2:4">
      <c r="B4002" s="20">
        <v>15960</v>
      </c>
      <c r="C4002" s="21">
        <f t="shared" si="128"/>
        <v>31.7410816540601</v>
      </c>
      <c r="D4002" s="21">
        <f t="shared" si="129"/>
        <v>38.6415094339623</v>
      </c>
    </row>
    <row r="4003" ht="14.4" spans="2:4">
      <c r="B4003" s="20">
        <v>15964</v>
      </c>
      <c r="C4003" s="21">
        <f t="shared" si="128"/>
        <v>31.8234129779567</v>
      </c>
      <c r="D4003" s="21">
        <f t="shared" si="129"/>
        <v>39.0095238095238</v>
      </c>
    </row>
    <row r="4004" ht="14.4" spans="2:4">
      <c r="B4004" s="20">
        <v>15968</v>
      </c>
      <c r="C4004" s="21">
        <f t="shared" si="128"/>
        <v>31.9065321733799</v>
      </c>
      <c r="D4004" s="21">
        <f t="shared" si="129"/>
        <v>39.3846153846154</v>
      </c>
    </row>
    <row r="4005" ht="14.4" spans="2:4">
      <c r="B4005" s="20">
        <v>15972</v>
      </c>
      <c r="C4005" s="21">
        <f t="shared" si="128"/>
        <v>31.990454465252</v>
      </c>
      <c r="D4005" s="21">
        <f t="shared" si="129"/>
        <v>39.7669902912621</v>
      </c>
    </row>
    <row r="4006" ht="14.4" spans="2:4">
      <c r="B4006" s="20">
        <v>15976</v>
      </c>
      <c r="C4006" s="21">
        <f t="shared" si="128"/>
        <v>32.0751955241171</v>
      </c>
      <c r="D4006" s="21">
        <f t="shared" si="129"/>
        <v>40.156862745098</v>
      </c>
    </row>
    <row r="4007" ht="14.4" spans="2:4">
      <c r="B4007" s="20">
        <v>15980</v>
      </c>
      <c r="C4007" s="21">
        <f t="shared" si="128"/>
        <v>32.1607714837026</v>
      </c>
      <c r="D4007" s="21">
        <f t="shared" si="129"/>
        <v>40.5544554455446</v>
      </c>
    </row>
    <row r="4008" ht="14.4" spans="2:4">
      <c r="B4008" s="20">
        <v>15984</v>
      </c>
      <c r="C4008" s="21">
        <f t="shared" si="128"/>
        <v>32.2471989593555</v>
      </c>
      <c r="D4008" s="21">
        <f t="shared" si="129"/>
        <v>40.96</v>
      </c>
    </row>
    <row r="4009" ht="14.4" spans="2:4">
      <c r="B4009" s="20">
        <v>15988</v>
      </c>
      <c r="C4009" s="21">
        <f t="shared" si="128"/>
        <v>32.3344950674045</v>
      </c>
      <c r="D4009" s="21">
        <f t="shared" si="129"/>
        <v>41.3737373737374</v>
      </c>
    </row>
    <row r="4010" ht="14.4" spans="2:4">
      <c r="B4010" s="20">
        <v>15992</v>
      </c>
      <c r="C4010" s="21">
        <f t="shared" si="128"/>
        <v>32.4226774455056</v>
      </c>
      <c r="D4010" s="21">
        <f t="shared" si="129"/>
        <v>41.7959183673469</v>
      </c>
    </row>
    <row r="4011" ht="14.4" spans="2:4">
      <c r="B4011" s="20">
        <v>15996</v>
      </c>
      <c r="C4011" s="21">
        <f t="shared" si="128"/>
        <v>32.5117642740306</v>
      </c>
      <c r="D4011" s="21">
        <f t="shared" si="129"/>
        <v>42.2268041237113</v>
      </c>
    </row>
    <row r="4012" ht="14.4" spans="2:4">
      <c r="B4012" s="20">
        <v>16000</v>
      </c>
      <c r="C4012" s="21">
        <f t="shared" si="128"/>
        <v>32.6017742985641</v>
      </c>
      <c r="D4012" s="21">
        <f t="shared" si="129"/>
        <v>42.6666666666667</v>
      </c>
    </row>
    <row r="4013" ht="14.4" spans="2:4">
      <c r="B4013" s="20">
        <v>16004</v>
      </c>
      <c r="C4013" s="21">
        <f t="shared" si="128"/>
        <v>32.6927268535785</v>
      </c>
      <c r="D4013" s="21">
        <f t="shared" si="129"/>
        <v>43.1157894736842</v>
      </c>
    </row>
    <row r="4014" ht="14.4" spans="2:4">
      <c r="B4014" s="20">
        <v>16008</v>
      </c>
      <c r="C4014" s="21">
        <f t="shared" si="128"/>
        <v>32.7846418873615</v>
      </c>
      <c r="D4014" s="21">
        <f t="shared" si="129"/>
        <v>43.5744680851064</v>
      </c>
    </row>
    <row r="4015" ht="14.4" spans="2:4">
      <c r="B4015" s="20">
        <v>16012</v>
      </c>
      <c r="C4015" s="21">
        <f t="shared" si="128"/>
        <v>32.8775399882768</v>
      </c>
      <c r="D4015" s="21">
        <f t="shared" si="129"/>
        <v>44.0430107526882</v>
      </c>
    </row>
    <row r="4016" ht="14.4" spans="2:4">
      <c r="B4016" s="20">
        <v>16016</v>
      </c>
      <c r="C4016" s="21">
        <f t="shared" si="128"/>
        <v>32.9714424124444</v>
      </c>
      <c r="D4016" s="21">
        <f t="shared" si="129"/>
        <v>44.5217391304348</v>
      </c>
    </row>
    <row r="4017" ht="14.4" spans="2:4">
      <c r="B4017" s="20">
        <v>16020</v>
      </c>
      <c r="C4017" s="21">
        <f t="shared" si="128"/>
        <v>33.0663711129336</v>
      </c>
      <c r="D4017" s="21">
        <f t="shared" si="129"/>
        <v>45.010989010989</v>
      </c>
    </row>
    <row r="4018" ht="14.4" spans="2:4">
      <c r="B4018" s="20">
        <v>16024</v>
      </c>
      <c r="C4018" s="21">
        <f t="shared" si="128"/>
        <v>33.162348770569</v>
      </c>
      <c r="D4018" s="21">
        <f t="shared" si="129"/>
        <v>45.5111111111111</v>
      </c>
    </row>
    <row r="4019" ht="14.4" spans="2:4">
      <c r="B4019" s="20">
        <v>16028</v>
      </c>
      <c r="C4019" s="21">
        <f t="shared" si="128"/>
        <v>33.2593988264572</v>
      </c>
      <c r="D4019" s="21">
        <f t="shared" si="129"/>
        <v>46.0224719101124</v>
      </c>
    </row>
    <row r="4020" ht="14.4" spans="2:4">
      <c r="B4020" s="20">
        <v>16032</v>
      </c>
      <c r="C4020" s="21">
        <f t="shared" si="128"/>
        <v>33.3575455163521</v>
      </c>
      <c r="D4020" s="21">
        <f t="shared" si="129"/>
        <v>46.5454545454545</v>
      </c>
    </row>
    <row r="4021" ht="14.4" spans="2:4">
      <c r="B4021" s="20">
        <v>16036</v>
      </c>
      <c r="C4021" s="21">
        <f t="shared" si="128"/>
        <v>33.4568139069831</v>
      </c>
      <c r="D4021" s="21">
        <f t="shared" si="129"/>
        <v>47.0804597701149</v>
      </c>
    </row>
    <row r="4022" ht="14.4" spans="2:4">
      <c r="B4022" s="20">
        <v>16040</v>
      </c>
      <c r="C4022" s="21">
        <f t="shared" si="128"/>
        <v>33.5572299344841</v>
      </c>
      <c r="D4022" s="21">
        <f t="shared" si="129"/>
        <v>47.6279069767442</v>
      </c>
    </row>
    <row r="4023" ht="14.4" spans="2:4">
      <c r="B4023" s="20">
        <v>16044</v>
      </c>
      <c r="C4023" s="21">
        <f t="shared" si="128"/>
        <v>33.6588204450696</v>
      </c>
      <c r="D4023" s="21">
        <f t="shared" si="129"/>
        <v>48.1882352941176</v>
      </c>
    </row>
    <row r="4024" ht="14.4" spans="2:4">
      <c r="B4024" s="20">
        <v>16048</v>
      </c>
      <c r="C4024" s="21">
        <f t="shared" si="128"/>
        <v>33.7616132381179</v>
      </c>
      <c r="D4024" s="21">
        <f t="shared" si="129"/>
        <v>48.7619047619048</v>
      </c>
    </row>
    <row r="4025" ht="14.4" spans="2:4">
      <c r="B4025" s="20">
        <v>16052</v>
      </c>
      <c r="C4025" s="21">
        <f t="shared" si="128"/>
        <v>33.865637111834</v>
      </c>
      <c r="D4025" s="21">
        <f t="shared" si="129"/>
        <v>49.3493975903614</v>
      </c>
    </row>
    <row r="4026" ht="14.4" spans="2:4">
      <c r="B4026" s="20">
        <v>16056</v>
      </c>
      <c r="C4026" s="21">
        <f t="shared" si="128"/>
        <v>33.9709219116812</v>
      </c>
      <c r="D4026" s="21">
        <f t="shared" si="129"/>
        <v>49.9512195121951</v>
      </c>
    </row>
    <row r="4027" ht="14.4" spans="2:4">
      <c r="B4027" s="20">
        <v>16060</v>
      </c>
      <c r="C4027" s="21">
        <f t="shared" si="128"/>
        <v>34.0774985817825</v>
      </c>
      <c r="D4027" s="21">
        <f t="shared" si="129"/>
        <v>50.5679012345679</v>
      </c>
    </row>
    <row r="4028" ht="14.4" spans="2:4">
      <c r="B4028" s="20">
        <v>16064</v>
      </c>
      <c r="C4028" s="21">
        <f t="shared" si="128"/>
        <v>34.1853992195166</v>
      </c>
      <c r="D4028" s="21">
        <f t="shared" si="129"/>
        <v>51.2</v>
      </c>
    </row>
    <row r="4029" ht="14.4" spans="2:4">
      <c r="B4029" s="20">
        <v>16068</v>
      </c>
      <c r="C4029" s="21">
        <f t="shared" si="128"/>
        <v>34.2946571335467</v>
      </c>
      <c r="D4029" s="21">
        <f t="shared" si="129"/>
        <v>51.8481012658228</v>
      </c>
    </row>
    <row r="4030" ht="14.4" spans="2:4">
      <c r="B4030" s="20">
        <v>16072</v>
      </c>
      <c r="C4030" s="21">
        <f t="shared" si="128"/>
        <v>34.4053069055459</v>
      </c>
      <c r="D4030" s="21">
        <f t="shared" si="129"/>
        <v>52.5128205128205</v>
      </c>
    </row>
    <row r="4031" ht="14.4" spans="2:4">
      <c r="B4031" s="20">
        <v>16076</v>
      </c>
      <c r="C4031" s="21">
        <f t="shared" si="128"/>
        <v>34.5173844559058</v>
      </c>
      <c r="D4031" s="21">
        <f t="shared" si="129"/>
        <v>53.1948051948052</v>
      </c>
    </row>
    <row r="4032" ht="14.4" spans="2:4">
      <c r="B4032" s="20">
        <v>16080</v>
      </c>
      <c r="C4032" s="21">
        <f t="shared" si="128"/>
        <v>34.6309271137397</v>
      </c>
      <c r="D4032" s="21">
        <f t="shared" si="129"/>
        <v>53.8947368421053</v>
      </c>
    </row>
    <row r="4033" ht="14.4" spans="2:4">
      <c r="B4033" s="20">
        <v>16084</v>
      </c>
      <c r="C4033" s="21">
        <f t="shared" si="128"/>
        <v>34.7459736915215</v>
      </c>
      <c r="D4033" s="21">
        <f t="shared" si="129"/>
        <v>54.6133333333333</v>
      </c>
    </row>
    <row r="4034" ht="14.4" spans="2:4">
      <c r="B4034" s="20">
        <v>16088</v>
      </c>
      <c r="C4034" s="21">
        <f t="shared" si="128"/>
        <v>34.862564564736</v>
      </c>
      <c r="D4034" s="21">
        <f t="shared" si="129"/>
        <v>55.3513513513514</v>
      </c>
    </row>
    <row r="4035" ht="14.4" spans="2:4">
      <c r="B4035" s="20">
        <v>16092</v>
      </c>
      <c r="C4035" s="21">
        <f t="shared" si="128"/>
        <v>34.9807417569464</v>
      </c>
      <c r="D4035" s="21">
        <f t="shared" si="129"/>
        <v>56.1095890410959</v>
      </c>
    </row>
    <row r="4036" ht="14.4" spans="2:4">
      <c r="B4036" s="20">
        <v>16096</v>
      </c>
      <c r="C4036" s="21">
        <f t="shared" si="128"/>
        <v>35.1005490307301</v>
      </c>
      <c r="D4036" s="21">
        <f t="shared" si="129"/>
        <v>56.8888888888889</v>
      </c>
    </row>
    <row r="4037" ht="14.4" spans="2:4">
      <c r="B4037" s="20">
        <v>16100</v>
      </c>
      <c r="C4037" s="21">
        <f t="shared" si="128"/>
        <v>35.222031984974</v>
      </c>
      <c r="D4037" s="21">
        <f t="shared" si="129"/>
        <v>57.6901408450704</v>
      </c>
    </row>
    <row r="4038" ht="14.4" spans="2:4">
      <c r="B4038" s="20">
        <v>16104</v>
      </c>
      <c r="C4038" s="21">
        <f t="shared" ref="C4038:C4044" si="130">20*LOG(D4038)</f>
        <v>35.3452381590703</v>
      </c>
      <c r="D4038" s="21">
        <f t="shared" ref="D4038:D4044" si="131">16384/(16384-B4038)</f>
        <v>58.5142857142857</v>
      </c>
    </row>
    <row r="4039" ht="14.4" spans="2:4">
      <c r="B4039" s="20">
        <v>16108</v>
      </c>
      <c r="C4039" s="21">
        <f t="shared" si="130"/>
        <v>35.4702171446104</v>
      </c>
      <c r="D4039" s="21">
        <f t="shared" si="131"/>
        <v>59.3623188405797</v>
      </c>
    </row>
    <row r="4040" ht="14.4" spans="2:4">
      <c r="B4040" s="20">
        <v>16112</v>
      </c>
      <c r="C4040" s="21">
        <f t="shared" si="130"/>
        <v>35.5970207052308</v>
      </c>
      <c r="D4040" s="21">
        <f t="shared" si="131"/>
        <v>60.2352941176471</v>
      </c>
    </row>
    <row r="4041" ht="14.4" spans="2:4">
      <c r="B4041" s="20">
        <v>16116</v>
      </c>
      <c r="C4041" s="21">
        <f t="shared" si="130"/>
        <v>35.725702905339</v>
      </c>
      <c r="D4041" s="21">
        <f t="shared" si="131"/>
        <v>61.134328358209</v>
      </c>
    </row>
    <row r="4042" ht="14.4" spans="2:4">
      <c r="B4042" s="20">
        <v>16120</v>
      </c>
      <c r="C4042" s="21">
        <f t="shared" si="130"/>
        <v>35.8563202485181</v>
      </c>
      <c r="D4042" s="21">
        <f t="shared" si="131"/>
        <v>62.0606060606061</v>
      </c>
    </row>
    <row r="4043" ht="14.4" spans="2:4">
      <c r="B4043" s="20">
        <v>16124</v>
      </c>
      <c r="C4043" s="21">
        <f t="shared" si="130"/>
        <v>35.9889318264984</v>
      </c>
      <c r="D4043" s="21">
        <f t="shared" si="131"/>
        <v>63.0153846153846</v>
      </c>
    </row>
    <row r="4044" ht="14.4" spans="2:4">
      <c r="B4044" s="20">
        <v>16128</v>
      </c>
      <c r="C4044" s="21">
        <f t="shared" si="130"/>
        <v>36.1235994796777</v>
      </c>
      <c r="D4044" s="21">
        <f t="shared" si="131"/>
        <v>64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C1:O14"/>
  <sheetViews>
    <sheetView showGridLines="0" workbookViewId="0">
      <selection activeCell="A1" sqref="A1"/>
    </sheetView>
  </sheetViews>
  <sheetFormatPr defaultColWidth="9" defaultRowHeight="14.4"/>
  <cols>
    <col min="1" max="1" width="1.37962962962963" style="3" customWidth="1"/>
    <col min="2" max="2" width="2" style="3" customWidth="1"/>
    <col min="3" max="3" width="15.5" style="3" customWidth="1"/>
    <col min="4" max="4" width="12.6296296296296" style="3" customWidth="1"/>
    <col min="5" max="15" width="3.87962962962963" style="3" customWidth="1"/>
    <col min="16" max="16384" width="9" style="3"/>
  </cols>
  <sheetData>
    <row r="1" spans="3:15">
      <c r="G1" s="1"/>
      <c r="H1" s="1"/>
      <c r="I1" s="2"/>
      <c r="J1" s="2"/>
      <c r="K1" s="2"/>
      <c r="L1" s="2"/>
      <c r="M1" s="2"/>
      <c r="N1" s="2"/>
    </row>
    <row r="2" spans="3:15">
      <c r="E2" s="2"/>
      <c r="F2" s="2"/>
      <c r="G2" s="2"/>
      <c r="H2" s="2"/>
      <c r="I2" s="2"/>
      <c r="J2" s="2"/>
    </row>
    <row r="4" spans="3:15">
      <c r="D4" s="3" t="s">
        <v>1128</v>
      </c>
    </row>
    <row r="5" spans="3:15">
      <c r="D5" s="3" t="s">
        <v>1129</v>
      </c>
    </row>
    <row r="6" spans="3:15">
      <c r="E6" s="4" t="s">
        <v>1130</v>
      </c>
      <c r="F6" s="5"/>
      <c r="G6" s="5"/>
      <c r="H6" s="5"/>
      <c r="I6" s="5"/>
      <c r="J6" s="5"/>
      <c r="K6" s="5"/>
      <c r="L6" s="5"/>
      <c r="M6" s="5"/>
      <c r="N6" s="5"/>
    </row>
    <row r="7" s="1" customFormat="1" ht="199.25" spans="3:15">
      <c r="D7" s="6" t="s">
        <v>1131</v>
      </c>
      <c r="E7" s="7" t="s">
        <v>1132</v>
      </c>
      <c r="F7" s="7" t="s">
        <v>1133</v>
      </c>
      <c r="G7" s="7" t="s">
        <v>1134</v>
      </c>
      <c r="H7" s="7" t="s">
        <v>1135</v>
      </c>
      <c r="I7" s="7" t="s">
        <v>1136</v>
      </c>
      <c r="J7" s="7" t="s">
        <v>1137</v>
      </c>
      <c r="K7" s="7" t="s">
        <v>1138</v>
      </c>
      <c r="L7" s="7" t="s">
        <v>1139</v>
      </c>
      <c r="M7" s="7" t="s">
        <v>1140</v>
      </c>
      <c r="N7" s="7" t="s">
        <v>1141</v>
      </c>
      <c r="O7" s="3"/>
    </row>
    <row r="8" s="1" customFormat="1" ht="11.25" customHeight="1" spans="3:15"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3"/>
    </row>
    <row r="9" s="2" customFormat="1" spans="3:15">
      <c r="D9" s="10" t="s">
        <v>1142</v>
      </c>
      <c r="E9" s="10">
        <v>6</v>
      </c>
      <c r="F9" s="10">
        <v>7</v>
      </c>
      <c r="G9" s="10">
        <v>8</v>
      </c>
      <c r="H9" s="10">
        <v>9</v>
      </c>
      <c r="I9" s="10">
        <v>10</v>
      </c>
      <c r="J9" s="10">
        <v>11</v>
      </c>
      <c r="K9" s="10">
        <v>12</v>
      </c>
      <c r="L9" s="10">
        <v>13</v>
      </c>
      <c r="M9" s="10">
        <v>14</v>
      </c>
      <c r="N9" s="10">
        <v>15</v>
      </c>
      <c r="O9" s="3"/>
    </row>
    <row r="10" s="2" customFormat="1" spans="3:15">
      <c r="C10" s="11" t="s">
        <v>1143</v>
      </c>
      <c r="D10" s="12" t="s">
        <v>1144</v>
      </c>
      <c r="E10" s="13">
        <v>3</v>
      </c>
      <c r="F10" s="13">
        <v>5</v>
      </c>
      <c r="G10" s="13">
        <v>7</v>
      </c>
      <c r="H10" s="13">
        <v>9</v>
      </c>
      <c r="I10" s="13">
        <v>11</v>
      </c>
      <c r="J10" s="14">
        <v>13</v>
      </c>
      <c r="K10" s="14">
        <v>15</v>
      </c>
      <c r="L10" s="14">
        <v>17</v>
      </c>
      <c r="M10" s="14">
        <v>19</v>
      </c>
      <c r="N10" s="14">
        <v>21</v>
      </c>
      <c r="O10" s="3"/>
    </row>
    <row r="11" s="2" customFormat="1" spans="3:15">
      <c r="C11" s="11" t="s">
        <v>1145</v>
      </c>
      <c r="D11" s="15" t="s">
        <v>1146</v>
      </c>
      <c r="E11" s="16">
        <v>3</v>
      </c>
      <c r="F11" s="16">
        <v>5</v>
      </c>
      <c r="G11" s="16">
        <v>7</v>
      </c>
      <c r="H11" s="16">
        <v>9</v>
      </c>
      <c r="I11" s="16">
        <v>9</v>
      </c>
      <c r="J11" s="14">
        <v>11</v>
      </c>
      <c r="K11" s="14">
        <v>13</v>
      </c>
      <c r="L11" s="14">
        <v>15</v>
      </c>
      <c r="M11" s="14">
        <v>17</v>
      </c>
      <c r="N11" s="14">
        <v>17</v>
      </c>
      <c r="O11" s="3"/>
    </row>
    <row r="12" s="2" customFormat="1" spans="3:15">
      <c r="C12" s="11" t="s">
        <v>1147</v>
      </c>
      <c r="D12" s="17" t="s">
        <v>1148</v>
      </c>
      <c r="E12" s="13">
        <v>7</v>
      </c>
      <c r="F12" s="13">
        <v>9</v>
      </c>
      <c r="G12" s="13">
        <v>13</v>
      </c>
      <c r="H12" s="13">
        <v>15</v>
      </c>
      <c r="I12" s="13">
        <v>19</v>
      </c>
      <c r="J12" s="14">
        <v>23</v>
      </c>
      <c r="K12" s="14">
        <v>25</v>
      </c>
      <c r="L12" s="14">
        <v>29</v>
      </c>
      <c r="M12" s="14">
        <v>31</v>
      </c>
      <c r="N12" s="14">
        <v>35</v>
      </c>
      <c r="O12" s="3"/>
    </row>
    <row r="13" s="2" customFormat="1" spans="3:15">
      <c r="C13" s="11" t="s">
        <v>1149</v>
      </c>
      <c r="D13" s="15" t="s">
        <v>1150</v>
      </c>
      <c r="E13" s="13">
        <v>41</v>
      </c>
      <c r="F13" s="13">
        <v>41</v>
      </c>
      <c r="G13" s="13">
        <v>41</v>
      </c>
      <c r="H13" s="13">
        <v>41</v>
      </c>
      <c r="I13" s="13">
        <v>41</v>
      </c>
      <c r="J13" s="14">
        <v>41</v>
      </c>
      <c r="K13" s="14">
        <v>41</v>
      </c>
      <c r="L13" s="14">
        <v>41</v>
      </c>
      <c r="M13" s="14">
        <v>41</v>
      </c>
      <c r="N13" s="14">
        <v>41</v>
      </c>
      <c r="O13" s="3"/>
    </row>
    <row r="14" s="2" customFormat="1" spans="3:15">
      <c r="C14" s="11" t="s">
        <v>1151</v>
      </c>
      <c r="D14" s="12" t="s">
        <v>1152</v>
      </c>
      <c r="E14" s="16">
        <v>25</v>
      </c>
      <c r="F14" s="16">
        <v>25</v>
      </c>
      <c r="G14" s="16">
        <v>25</v>
      </c>
      <c r="H14" s="16">
        <v>25</v>
      </c>
      <c r="I14" s="16">
        <v>25</v>
      </c>
      <c r="J14" s="14">
        <v>25</v>
      </c>
      <c r="K14" s="14">
        <v>25</v>
      </c>
      <c r="L14" s="14">
        <v>25</v>
      </c>
      <c r="M14" s="14">
        <v>25</v>
      </c>
      <c r="N14" s="14">
        <v>25</v>
      </c>
      <c r="O14" s="3"/>
    </row>
  </sheetData>
  <mergeCells count="1">
    <mergeCell ref="E6:N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chenyy53</cp:lastModifiedBy>
  <dcterms:created xsi:type="dcterms:W3CDTF">2026-01-08T05:06:00Z</dcterms:created>
  <dcterms:modified xsi:type="dcterms:W3CDTF">2026-01-10T02:50:04Z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A1AEAAE6B03344E4B3650175E49141B8_12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