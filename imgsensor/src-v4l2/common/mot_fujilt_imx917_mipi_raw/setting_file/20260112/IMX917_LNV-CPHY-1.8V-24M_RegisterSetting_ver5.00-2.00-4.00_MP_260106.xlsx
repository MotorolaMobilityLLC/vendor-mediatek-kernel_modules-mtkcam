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4"/>
    <sheet state="visible" name="RegisterSetting(Mode)" sheetId="2" r:id="rId5"/>
    <sheet state="visible" name="Mode List" sheetId="3" r:id="rId6"/>
    <sheet state="visible" name="&lt;reference&gt;Gain_Table" sheetId="4" r:id="rId7"/>
    <sheet state="visible" name="&lt;reference&gt;GlobalTiming" sheetId="5" r:id="rId8"/>
  </sheets>
  <definedNames/>
  <calcPr/>
  <extLst>
    <ext uri="GoogleSheetsCustomDataVersion2">
      <go:sheetsCustomData xmlns:go="http://customooxmlschemas.google.com/" r:id="rId9" roundtripDataChecksum="1AuqcHt0SdudPozQVlM0lpRXgc9D9wf89GmbjmeNk3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8">
      <text>
        <t xml:space="preserve">======
ID#AAABybCv34M
作成者    (2026-01-09 02:18:13)
included FS/FE</t>
      </text>
    </comment>
    <comment authorId="0" ref="AU8">
      <text>
        <t xml:space="preserve">======
ID#AAABybCv34Q
作成者    (2026-01-09 02:18:13)
included PH/PF</t>
      </text>
    </comment>
  </commentList>
  <extLst>
    <ext uri="GoogleSheetsCustomDataVersion2">
      <go:sheetsCustomData xmlns:go="http://customooxmlschemas.google.com/" r:id="rId1" roundtripDataSignature="AMtx7miUGhTbtEdrwWSOXHLzHWx1BoTmHQ=="/>
    </ext>
  </extLst>
</comments>
</file>

<file path=xl/sharedStrings.xml><?xml version="1.0" encoding="utf-8"?>
<sst xmlns="http://schemas.openxmlformats.org/spreadsheetml/2006/main" count="10347" uniqueCount="1149">
  <si>
    <t>*</t>
  </si>
  <si>
    <t>Date</t>
  </si>
  <si>
    <t>Ver.</t>
  </si>
  <si>
    <t>Template Ver.</t>
  </si>
  <si>
    <t>Sheet</t>
  </si>
  <si>
    <t>Comment</t>
  </si>
  <si>
    <t>1.00</t>
  </si>
  <si>
    <t>2.00_MP
(MP)</t>
  </si>
  <si>
    <t>-</t>
  </si>
  <si>
    <t>- First version
    reg_0_ 0    Full resolution (RMSC) w/ All-PD
    reg_1       2x2 Adjacent Pixel Binning (Vbin) w/ All-PD
    reg_2       Full resolution (RMSC) w/ All-PD
    reg_3       DAG(4:1)2x2 Adjacent Pixel Binning DAG-HDR w/ Partial-PD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reg_10      2x2 Adjacent Pixel Binning Fine12AD w/ Partial-PD
    reg_11      2x2 Adjacent Pixel Binning (Vbin) w/ All-PD</t>
  </si>
  <si>
    <t>2.00</t>
  </si>
  <si>
    <t>-Add Mode
   reg_12    2x2 Adjacent Pixel Binning (Vbin) V2H2 w/ All-PD</t>
  </si>
  <si>
    <t>2.10</t>
  </si>
  <si>
    <t>-Mode Correction
    reg_5       2x2 Adjacent Pixel Binning w/Partial PD
    reg_8       2x2 Adjacent Pixel Binning (Vbin) V2H2 w/ All-PD
    reg_10    2x2 Adjacent Pixel Binning Fine12AD w/ Partial-PD</t>
  </si>
  <si>
    <t>2.20</t>
  </si>
  <si>
    <t>-Mode Correction
    reg_12    2x2 Adjacent Pixel Binning (Vbin) V2H2 w/ All-PD</t>
  </si>
  <si>
    <t>3.00</t>
  </si>
  <si>
    <t>-ModeAdd
    reg_13    2x2 Adjacent Pixel Binning w/ Partial-PD
    reg_14    2x2 Adjacent Pixel Binning (Vbin) V2H2 w/ All-PD</t>
  </si>
  <si>
    <t>3.10</t>
  </si>
  <si>
    <t>-Mode Modify
    reg_3    DAG(4:1)2x2 Adjacent Pixel Binning DAG-HDR w/ Partial-PD
    reg_4    2x2 Adjacent Pixel Binning (Vbin) w/ All-PD
    reg_10   2x2 Adjacent Pixel Binning Fine12AD w/ Partial-PD
    reg_11   2x2 Adjacent Pixel Binning (Vbin) w/ All-PD</t>
  </si>
  <si>
    <t>3.20</t>
  </si>
  <si>
    <t>-Mode Modify
    reg_3    DAG(4:1)2x2 Adjacent Pixel Binning DAG-HDR w/ Partial-PD
               Output Control for PDAF Data : HSG-&gt; LSG
    reg_10   2x2 Adjacent Pixel Binning Fine12AD w/ Partial-PD
               -&gt; 2x2 Adjacent Pixel Binning DAG-HDR w/ Partial-PD</t>
  </si>
  <si>
    <t>4.00</t>
  </si>
  <si>
    <t xml:space="preserve">-Mode Modify( Pedestarl Value=64d -&gt; 256d)
    reg_3    DAG(4:1)2x2 Adjacent Pixel Binning DAG-HDR w/ Partial-PD
    reg_10  2x2 Adjacent Pixel Binning DAG-HDR w/ Partial-PD
</t>
  </si>
  <si>
    <t>4.01</t>
  </si>
  <si>
    <t>-Mode Modify(PEDESTAL_OFFSET_EN=0x00)
    reg_0_ 0    Full resolution (RMSC) w/ All-PD
    reg_1       2x2 Adjacent Pixel Binning (Vbin) w/ All-PD
    reg_2       Full resolution (RMSC) w/ All-PD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reg_11      2x2 Adjacent Pixel Binning (Vbin) w/ All-PD</t>
  </si>
  <si>
    <t>5.00</t>
  </si>
  <si>
    <t>-Mode Add
   reg1-1   2x2 Adjacent Pixel Binning (Vbin) w/ All-PD
       reg1 with HFPN tuned setting for S1A5052A and L917S00 modules</t>
  </si>
  <si>
    <t>2.00-4.00</t>
  </si>
  <si>
    <t>- Parameter update(2.00-4.00)</t>
  </si>
  <si>
    <t>Please refer to Software Reference Manual about the command sequence.</t>
  </si>
  <si>
    <t>Stand-by OFF Sequence</t>
  </si>
  <si>
    <t>Power ON</t>
  </si>
  <si>
    <t>Input EXTCLK</t>
  </si>
  <si>
    <t>XCLR OFF</t>
  </si>
  <si>
    <t>External Clock Setting</t>
  </si>
  <si>
    <t>Register Name</t>
  </si>
  <si>
    <t>Initial value</t>
  </si>
  <si>
    <t>Group</t>
  </si>
  <si>
    <t>Address</t>
  </si>
  <si>
    <t>value</t>
  </si>
  <si>
    <t>EXCK_FREQ[15:8]</t>
  </si>
  <si>
    <t>0x18</t>
  </si>
  <si>
    <t>A-1</t>
  </si>
  <si>
    <t>0x0136</t>
  </si>
  <si>
    <t>EXCK_FREQ[7:0]</t>
  </si>
  <si>
    <t>0x00</t>
  </si>
  <si>
    <t>0x0137</t>
  </si>
  <si>
    <t>Global Setting 0</t>
  </si>
  <si>
    <t>0xF800</t>
  </si>
  <si>
    <t>0xFD</t>
  </si>
  <si>
    <t>0xF801</t>
  </si>
  <si>
    <t>0xF802</t>
  </si>
  <si>
    <t>0xD7</t>
  </si>
  <si>
    <t>0xF803</t>
  </si>
  <si>
    <t>0xE3</t>
  </si>
  <si>
    <t>0xF804</t>
  </si>
  <si>
    <t>0x55</t>
  </si>
  <si>
    <t>0xF805</t>
  </si>
  <si>
    <t>0xC0</t>
  </si>
  <si>
    <t>0xF806</t>
  </si>
  <si>
    <t>0x03</t>
  </si>
  <si>
    <t>0xF807</t>
  </si>
  <si>
    <t>0x01</t>
  </si>
  <si>
    <t>0xF808</t>
  </si>
  <si>
    <t>0x16</t>
  </si>
  <si>
    <t>0xF809</t>
  </si>
  <si>
    <t>0xFA</t>
  </si>
  <si>
    <t>0xF80A</t>
  </si>
  <si>
    <t>0x82</t>
  </si>
  <si>
    <t>0xF80B</t>
  </si>
  <si>
    <t>0xF80C</t>
  </si>
  <si>
    <t>0xF80D</t>
  </si>
  <si>
    <t>0xC4</t>
  </si>
  <si>
    <t>0xF80E</t>
  </si>
  <si>
    <t>0xF80F</t>
  </si>
  <si>
    <t>0xF810</t>
  </si>
  <si>
    <t>0x1B</t>
  </si>
  <si>
    <t>0xF811</t>
  </si>
  <si>
    <t>0x24</t>
  </si>
  <si>
    <t>0xF812</t>
  </si>
  <si>
    <t>0xC2</t>
  </si>
  <si>
    <t>0xF813</t>
  </si>
  <si>
    <t>0xFC</t>
  </si>
  <si>
    <t>0xF814</t>
  </si>
  <si>
    <t>0xF815</t>
  </si>
  <si>
    <t>0x90</t>
  </si>
  <si>
    <t>0xF816</t>
  </si>
  <si>
    <t>0x11</t>
  </si>
  <si>
    <t>0xF817</t>
  </si>
  <si>
    <t>0xF818</t>
  </si>
  <si>
    <t>0xF819</t>
  </si>
  <si>
    <t>0xF81A</t>
  </si>
  <si>
    <t>0x51</t>
  </si>
  <si>
    <t>0xF81B</t>
  </si>
  <si>
    <t>0xF81C</t>
  </si>
  <si>
    <t>0xF81D</t>
  </si>
  <si>
    <t>0x94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</si>
  <si>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</si>
  <si>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</si>
  <si>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</si>
  <si>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</si>
  <si>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</si>
  <si>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</si>
  <si>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</si>
  <si>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</si>
  <si>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0x98</t>
  </si>
  <si>
    <t>0xF826</t>
  </si>
  <si>
    <t>0xF827</t>
  </si>
  <si>
    <t>0xF828</t>
  </si>
  <si>
    <t>0xB4</t>
  </si>
  <si>
    <t>0xF829</t>
  </si>
  <si>
    <t>0xF82A</t>
  </si>
  <si>
    <t>0x20</t>
  </si>
  <si>
    <t>0xF82B</t>
  </si>
  <si>
    <t>0xEF</t>
  </si>
  <si>
    <t>0xF82C</t>
  </si>
  <si>
    <t>0xF82D</t>
  </si>
  <si>
    <t>0x64</t>
  </si>
  <si>
    <t>0xF82E</t>
  </si>
  <si>
    <t>0x39</t>
  </si>
  <si>
    <t>0xF82F</t>
  </si>
  <si>
    <t>0xF830</t>
  </si>
  <si>
    <t>0x32</t>
  </si>
  <si>
    <t>0xF831</t>
  </si>
  <si>
    <t>0xC8</t>
  </si>
  <si>
    <t>0xF832</t>
  </si>
  <si>
    <t>0x17</t>
  </si>
  <si>
    <t>0xF833</t>
  </si>
  <si>
    <t>0xF884</t>
  </si>
  <si>
    <t>0x4F</t>
  </si>
  <si>
    <t>0xF885</t>
  </si>
  <si>
    <t>0x06</t>
  </si>
  <si>
    <t>0xF886</t>
  </si>
  <si>
    <t>0xAC</t>
  </si>
  <si>
    <t>0xF887</t>
  </si>
  <si>
    <t>0x27</t>
  </si>
  <si>
    <t>0xF888</t>
  </si>
  <si>
    <t>0xF889</t>
  </si>
  <si>
    <t>0x1D</t>
  </si>
  <si>
    <t>0xF88A</t>
  </si>
  <si>
    <t>0xF88B</t>
  </si>
  <si>
    <t>0x14</t>
  </si>
  <si>
    <t>0xF88C</t>
  </si>
  <si>
    <t>0xD4</t>
  </si>
  <si>
    <t>0xF88D</t>
  </si>
  <si>
    <t>0xF88E</t>
  </si>
  <si>
    <t>0x08</t>
  </si>
  <si>
    <t>0xF88F</t>
  </si>
  <si>
    <t>0xF890</t>
  </si>
  <si>
    <t>0xF0</t>
  </si>
  <si>
    <t>0xF891</t>
  </si>
  <si>
    <t>0x45</t>
  </si>
  <si>
    <t>0xF892</t>
  </si>
  <si>
    <t>0xF893</t>
  </si>
  <si>
    <t>0xD8</t>
  </si>
  <si>
    <t>0xF894</t>
  </si>
  <si>
    <t>0xF895</t>
  </si>
  <si>
    <t>0x21</t>
  </si>
  <si>
    <t>0xF896</t>
  </si>
  <si>
    <t>0x42</t>
  </si>
  <si>
    <t>0xF897</t>
  </si>
  <si>
    <t>0x84</t>
  </si>
  <si>
    <t>0xF898</t>
  </si>
  <si>
    <t>0x1E</t>
  </si>
  <si>
    <t>0xF899</t>
  </si>
  <si>
    <t>0x44</t>
  </si>
  <si>
    <t>0xF89A</t>
  </si>
  <si>
    <t>0x29</t>
  </si>
  <si>
    <t>0xF89B</t>
  </si>
  <si>
    <t>0xF89C</t>
  </si>
  <si>
    <t>0xF89D</t>
  </si>
  <si>
    <t>0x0C</t>
  </si>
  <si>
    <t>0xF89E</t>
  </si>
  <si>
    <t>0xF89F</t>
  </si>
  <si>
    <t>0xF8A0</t>
  </si>
  <si>
    <t>0xF8A1</t>
  </si>
  <si>
    <t>0x86</t>
  </si>
  <si>
    <t>0xF8A2</t>
  </si>
  <si>
    <t>0xF8A3</t>
  </si>
  <si>
    <t>0xF8A4</t>
  </si>
  <si>
    <t>0x0F</t>
  </si>
  <si>
    <t>0xF8A5</t>
  </si>
  <si>
    <t>0xF8A6</t>
  </si>
  <si>
    <t>0x80</t>
  </si>
  <si>
    <t>0xF8A7</t>
  </si>
  <si>
    <t>0x04</t>
  </si>
  <si>
    <t>0xF8A8</t>
  </si>
  <si>
    <t>0xF8A9</t>
  </si>
  <si>
    <t>0xF8AA</t>
  </si>
  <si>
    <t>0xF8AB</t>
  </si>
  <si>
    <t>0x41</t>
  </si>
  <si>
    <t>0xF8AC</t>
  </si>
  <si>
    <t>0xA1</t>
  </si>
  <si>
    <t>0xF8AD</t>
  </si>
  <si>
    <t>0x50</t>
  </si>
  <si>
    <t>0xF8AE</t>
  </si>
  <si>
    <t>0xA8</t>
  </si>
  <si>
    <t>0xF8AF</t>
  </si>
  <si>
    <t>0xF8B0</t>
  </si>
  <si>
    <t>0xF8B1</t>
  </si>
  <si>
    <t>0xF8B2</t>
  </si>
  <si>
    <t>0xF8B3</t>
  </si>
  <si>
    <t>0xF8B4</t>
  </si>
  <si>
    <t>0xA0</t>
  </si>
  <si>
    <t>0xF8B5</t>
  </si>
  <si>
    <t>0x09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</si>
  <si>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</si>
  <si>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</si>
  <si>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</si>
  <si>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</si>
  <si>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</si>
  <si>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</si>
  <si>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</si>
  <si>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</si>
  <si>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</si>
  <si>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0xD0</t>
  </si>
  <si>
    <t>0xF8BF</t>
  </si>
  <si>
    <t>0xF8C0</t>
  </si>
  <si>
    <t>0xF8C1</t>
  </si>
  <si>
    <t>0xF8C2</t>
  </si>
  <si>
    <t>0xF8C3</t>
  </si>
  <si>
    <t>0xF8C4</t>
  </si>
  <si>
    <t>0xBE</t>
  </si>
  <si>
    <t>0xF8C5</t>
  </si>
  <si>
    <t>0x54</t>
  </si>
  <si>
    <t>0xF8C6</t>
  </si>
  <si>
    <t>0xF8C7</t>
  </si>
  <si>
    <t>0xF8C8</t>
  </si>
  <si>
    <t>0xF8C9</t>
  </si>
  <si>
    <t>0xF8CA</t>
  </si>
  <si>
    <t>0xF8CB</t>
  </si>
  <si>
    <t>0x05</t>
  </si>
  <si>
    <t>0xF8CC</t>
  </si>
  <si>
    <t>0xF8CD</t>
  </si>
  <si>
    <t>0xF8CE</t>
  </si>
  <si>
    <t>0xF8CF</t>
  </si>
  <si>
    <t>0xF8</t>
  </si>
  <si>
    <t>0xF8D0</t>
  </si>
  <si>
    <t>0xF1</t>
  </si>
  <si>
    <t>0xF8D1</t>
  </si>
  <si>
    <t>0xF8D2</t>
  </si>
  <si>
    <t>0xF8D3</t>
  </si>
  <si>
    <t>0x02</t>
  </si>
  <si>
    <t>0xF8D4</t>
  </si>
  <si>
    <t>0x1A</t>
  </si>
  <si>
    <t>0xF8D5</t>
  </si>
  <si>
    <t>0x40</t>
  </si>
  <si>
    <t>0xF8D6</t>
  </si>
  <si>
    <t>0xD2</t>
  </si>
  <si>
    <t>0xF8D7</t>
  </si>
  <si>
    <t>0xF8D8</t>
  </si>
  <si>
    <t>0xF8D9</t>
  </si>
  <si>
    <t>0xF8DA</t>
  </si>
  <si>
    <t>0xF8DB</t>
  </si>
  <si>
    <t>0x22</t>
  </si>
  <si>
    <t>0xF8DC</t>
  </si>
  <si>
    <t>0xF8DD</t>
  </si>
  <si>
    <t>0xF8DE</t>
  </si>
  <si>
    <t>0xF8DF</t>
  </si>
  <si>
    <t>0xF8E0</t>
  </si>
  <si>
    <t>0xF8E1</t>
  </si>
  <si>
    <t>0x0E</t>
  </si>
  <si>
    <t>0xF8E2</t>
  </si>
  <si>
    <t>0xF8E3</t>
  </si>
  <si>
    <t>0xF8E4</t>
  </si>
  <si>
    <t>0x7F</t>
  </si>
  <si>
    <t>0xF8E5</t>
  </si>
  <si>
    <t>0xFF</t>
  </si>
  <si>
    <t>0xF8E6</t>
  </si>
  <si>
    <t>0xF8E7</t>
  </si>
  <si>
    <t>0x31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</si>
  <si>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</si>
  <si>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</si>
  <si>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</si>
  <si>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</si>
  <si>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</si>
  <si>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</si>
  <si>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</si>
  <si>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</si>
  <si>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</si>
  <si>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</si>
  <si>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</si>
  <si>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</si>
  <si>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0xE8</t>
  </si>
  <si>
    <t>0xF8F4</t>
  </si>
  <si>
    <t>0x07</t>
  </si>
  <si>
    <t>0xF8F5</t>
  </si>
  <si>
    <t>0xF8F6</t>
  </si>
  <si>
    <t>0xF8F7</t>
  </si>
  <si>
    <t>0xF8F8</t>
  </si>
  <si>
    <t>0x15</t>
  </si>
  <si>
    <t>0xF8F9</t>
  </si>
  <si>
    <t>0xF8FA</t>
  </si>
  <si>
    <t>0x6F</t>
  </si>
  <si>
    <t>0xF8FB</t>
  </si>
  <si>
    <t>0xF5</t>
  </si>
  <si>
    <t>0xF8FC</t>
  </si>
  <si>
    <t>0x28</t>
  </si>
  <si>
    <t>0xF8FD</t>
  </si>
  <si>
    <t>0xF8FE</t>
  </si>
  <si>
    <t>0xA6</t>
  </si>
  <si>
    <t>0xF8FF</t>
  </si>
  <si>
    <t>0x13</t>
  </si>
  <si>
    <t>0xF900</t>
  </si>
  <si>
    <t>0xA5</t>
  </si>
  <si>
    <t>0xF901</t>
  </si>
  <si>
    <t>0x53</t>
  </si>
  <si>
    <t>0xF902</t>
  </si>
  <si>
    <t>0xF903</t>
  </si>
  <si>
    <t>0xF904</t>
  </si>
  <si>
    <t>0xF905</t>
  </si>
  <si>
    <t>0xE9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</si>
  <si>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</si>
  <si>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</si>
  <si>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</si>
  <si>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</si>
  <si>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</si>
  <si>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</si>
  <si>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</si>
  <si>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</si>
  <si>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0x30</t>
  </si>
  <si>
    <t>0xF90E</t>
  </si>
  <si>
    <t>0xF90F</t>
  </si>
  <si>
    <t>0xF910</t>
  </si>
  <si>
    <t>0xB8</t>
  </si>
  <si>
    <t>0xF911</t>
  </si>
  <si>
    <t>0xF912</t>
  </si>
  <si>
    <t>0x19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</si>
  <si>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</si>
  <si>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</si>
  <si>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</si>
  <si>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</si>
  <si>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</si>
  <si>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</si>
  <si>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</si>
  <si>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</si>
  <si>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</si>
  <si>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0x10</t>
  </si>
  <si>
    <t>0xF91C</t>
  </si>
  <si>
    <t>0xF91D</t>
  </si>
  <si>
    <t>0xF91E</t>
  </si>
  <si>
    <t>0x5F</t>
  </si>
  <si>
    <t>0xF91F</t>
  </si>
  <si>
    <t>0xF920</t>
  </si>
  <si>
    <t>0xD1</t>
  </si>
  <si>
    <t>0xF921</t>
  </si>
  <si>
    <t>0xF922</t>
  </si>
  <si>
    <t>0x26</t>
  </si>
  <si>
    <t>0xF923</t>
  </si>
  <si>
    <t>0x58</t>
  </si>
  <si>
    <t>0xF924</t>
  </si>
  <si>
    <t>0xF925</t>
  </si>
  <si>
    <t>0x12</t>
  </si>
  <si>
    <t>0xF926</t>
  </si>
  <si>
    <t>0xF927</t>
  </si>
  <si>
    <t>0xF928</t>
  </si>
  <si>
    <t>0xF929</t>
  </si>
  <si>
    <t>0xF92A</t>
  </si>
  <si>
    <t>0xF6</t>
  </si>
  <si>
    <t>0xF92B</t>
  </si>
  <si>
    <t>0xF92C</t>
  </si>
  <si>
    <t>0xF92D</t>
  </si>
  <si>
    <t>0x3A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</si>
  <si>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</si>
  <si>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</si>
  <si>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</si>
  <si>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</si>
  <si>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</si>
  <si>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</si>
  <si>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</si>
  <si>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</si>
  <si>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</si>
  <si>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</si>
  <si>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</si>
  <si>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</si>
  <si>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</si>
  <si>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0xA4</t>
  </si>
  <si>
    <t>0xF93B</t>
  </si>
  <si>
    <t>0xF93C</t>
  </si>
  <si>
    <t>0xF93D</t>
  </si>
  <si>
    <t>0x23</t>
  </si>
  <si>
    <t>0xF93E</t>
  </si>
  <si>
    <t>0xF93F</t>
  </si>
  <si>
    <t>0xF940</t>
  </si>
  <si>
    <t>0xF941</t>
  </si>
  <si>
    <t>0xFE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</si>
  <si>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</si>
  <si>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</si>
  <si>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</si>
  <si>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</si>
  <si>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</si>
  <si>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</si>
  <si>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</si>
  <si>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</si>
  <si>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</si>
  <si>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</si>
  <si>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</si>
  <si>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</si>
  <si>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</si>
  <si>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</si>
  <si>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</si>
  <si>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</si>
  <si>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</si>
  <si>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0x2A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</si>
  <si>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</si>
  <si>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</si>
  <si>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</si>
  <si>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</si>
  <si>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</si>
  <si>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</si>
  <si>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</si>
  <si>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</si>
  <si>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0x3F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</si>
  <si>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</si>
  <si>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</si>
  <si>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</si>
  <si>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</si>
  <si>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</si>
  <si>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</si>
  <si>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</si>
  <si>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</si>
  <si>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</si>
  <si>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</si>
  <si>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</si>
  <si>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</si>
  <si>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</si>
  <si>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</si>
  <si>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</si>
  <si>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</si>
  <si>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</si>
  <si>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</si>
  <si>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</si>
  <si>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</si>
  <si>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</si>
  <si>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0x76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</si>
  <si>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</si>
  <si>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</si>
  <si>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</si>
  <si>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</si>
  <si>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</si>
  <si>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</si>
  <si>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</si>
  <si>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</si>
  <si>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</si>
  <si>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</si>
  <si>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</si>
  <si>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</si>
  <si>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</si>
  <si>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</si>
  <si>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</si>
  <si>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</si>
  <si>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</si>
  <si>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</si>
  <si>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</si>
  <si>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</si>
  <si>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</si>
  <si>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</si>
  <si>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</si>
  <si>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</si>
  <si>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</si>
  <si>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</si>
  <si>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</si>
  <si>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</si>
  <si>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</si>
  <si>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</si>
  <si>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</si>
  <si>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</si>
  <si>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</si>
  <si>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</si>
  <si>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</si>
  <si>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</si>
  <si>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</si>
  <si>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</si>
  <si>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</si>
  <si>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</si>
  <si>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</si>
  <si>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</si>
  <si>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</si>
  <si>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</si>
  <si>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</si>
  <si>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</si>
  <si>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</si>
  <si>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</si>
  <si>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</si>
  <si>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</si>
  <si>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0x2C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</si>
  <si>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</si>
  <si>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</si>
  <si>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</si>
  <si>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</si>
  <si>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</si>
  <si>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</si>
  <si>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</si>
  <si>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</si>
  <si>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</si>
  <si>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</si>
  <si>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</si>
  <si>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</si>
  <si>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</si>
  <si>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</si>
  <si>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0xE7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</si>
  <si>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</si>
  <si>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</si>
  <si>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</si>
  <si>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</si>
  <si>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</si>
  <si>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</si>
  <si>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</si>
  <si>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</si>
  <si>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0x25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</si>
  <si>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</si>
  <si>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</si>
  <si>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</si>
  <si>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</si>
  <si>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</si>
  <si>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</si>
  <si>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</si>
  <si>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</si>
  <si>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0x1C</t>
  </si>
  <si>
    <t>0xF9C0</t>
  </si>
  <si>
    <t>0xF9C1</t>
  </si>
  <si>
    <t>0x8B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</si>
  <si>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</si>
  <si>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</si>
  <si>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</si>
  <si>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</si>
  <si>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</si>
  <si>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</si>
  <si>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</si>
  <si>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</si>
  <si>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0x74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</si>
  <si>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</si>
  <si>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</si>
  <si>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</si>
  <si>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</si>
  <si>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</si>
  <si>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</si>
  <si>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</si>
  <si>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</si>
  <si>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</si>
  <si>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</si>
  <si>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0xF4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</si>
  <si>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</si>
  <si>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</si>
  <si>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</si>
  <si>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</si>
  <si>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</si>
  <si>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</si>
  <si>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</si>
  <si>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</si>
  <si>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0x0A</t>
  </si>
  <si>
    <t>0xF9DC</t>
  </si>
  <si>
    <t>0xF9DD</t>
  </si>
  <si>
    <t>0xF9DE</t>
  </si>
  <si>
    <t>0xF9DF</t>
  </si>
  <si>
    <t>0xF9E0</t>
  </si>
  <si>
    <t>0xF9E1</t>
  </si>
  <si>
    <t>0xE6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</si>
  <si>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</si>
  <si>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</si>
  <si>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</si>
  <si>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</si>
  <si>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</si>
  <si>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</si>
  <si>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</si>
  <si>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</si>
  <si>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0xEC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</si>
  <si>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</si>
  <si>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</si>
  <si>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</si>
  <si>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</si>
  <si>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</si>
  <si>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</si>
  <si>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</si>
  <si>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</si>
  <si>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</si>
  <si>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</si>
  <si>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</si>
  <si>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</si>
  <si>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</si>
  <si>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</si>
  <si>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</si>
  <si>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</si>
  <si>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</si>
  <si>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</si>
  <si>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</si>
  <si>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</si>
  <si>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</si>
  <si>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0x0B</t>
  </si>
  <si>
    <t>0x97DB</t>
  </si>
  <si>
    <t>0x38</t>
  </si>
  <si>
    <t>0x4331</t>
  </si>
  <si>
    <t>PHY_VIF Setting</t>
  </si>
  <si>
    <t>0x3304</t>
  </si>
  <si>
    <t>Register version</t>
  </si>
  <si>
    <t>C_VERSION</t>
  </si>
  <si>
    <t>A-2</t>
  </si>
  <si>
    <t>0x33F0</t>
  </si>
  <si>
    <t>T_VERSION</t>
  </si>
  <si>
    <t>0x33F1</t>
  </si>
  <si>
    <t>Signaling mode setting</t>
  </si>
  <si>
    <t>CSI_SIG_MODE</t>
  </si>
  <si>
    <t>0x0111</t>
  </si>
  <si>
    <t>Flip Mirror Setting</t>
  </si>
  <si>
    <t>IMG_ORIENTATION_V,IMG_ORIENTATION_H</t>
  </si>
  <si>
    <t>B-1</t>
  </si>
  <si>
    <t>0x0101</t>
  </si>
  <si>
    <t>Global Setting</t>
  </si>
  <si>
    <t>0x920C</t>
  </si>
  <si>
    <t>0x920E</t>
  </si>
  <si>
    <t>0x6C</t>
  </si>
  <si>
    <t>0x920F</t>
  </si>
  <si>
    <t>0x9210</t>
  </si>
  <si>
    <t>0x9212</t>
  </si>
  <si>
    <t>0x9213</t>
  </si>
  <si>
    <t>0xD9</t>
  </si>
  <si>
    <t>0x9214</t>
  </si>
  <si>
    <t>0x9216</t>
  </si>
  <si>
    <t>0x62</t>
  </si>
  <si>
    <t>0x9217</t>
  </si>
  <si>
    <t>0x9B</t>
  </si>
  <si>
    <t>0x9218</t>
  </si>
  <si>
    <t>0x921A</t>
  </si>
  <si>
    <t>0x7D</t>
  </si>
  <si>
    <t>0x921B</t>
  </si>
  <si>
    <t>0x68</t>
  </si>
  <si>
    <t>0x921C</t>
  </si>
  <si>
    <t>0x921E</t>
  </si>
  <si>
    <t>0x921F</t>
  </si>
  <si>
    <t>0x7B</t>
  </si>
  <si>
    <t>0x9220</t>
  </si>
  <si>
    <t>0x9222</t>
  </si>
  <si>
    <t>0x9223</t>
  </si>
  <si>
    <t>0x8E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</si>
  <si>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</si>
  <si>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</si>
  <si>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</si>
  <si>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</si>
  <si>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</si>
  <si>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</si>
  <si>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</si>
  <si>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</si>
  <si>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</si>
  <si>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</si>
  <si>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</si>
  <si>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</si>
  <si>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</si>
  <si>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</si>
  <si>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</si>
  <si>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</si>
  <si>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</si>
  <si>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</si>
  <si>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</si>
  <si>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</si>
  <si>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</si>
  <si>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</si>
  <si>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</si>
  <si>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</si>
  <si>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</si>
  <si>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</si>
  <si>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</si>
  <si>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0x6D</t>
  </si>
  <si>
    <t>0x9248</t>
  </si>
  <si>
    <t>0x924A</t>
  </si>
  <si>
    <t>0x924B</t>
  </si>
  <si>
    <t>0xA71E</t>
  </si>
  <si>
    <t>0xA722</t>
  </si>
  <si>
    <t>0x0D</t>
  </si>
  <si>
    <t>0xAD01</t>
  </si>
  <si>
    <t>0xAD02</t>
  </si>
  <si>
    <t>0xAD0E</t>
  </si>
  <si>
    <t>0xAE48</t>
  </si>
  <si>
    <t>0xAE49</t>
  </si>
  <si>
    <t>0x61</t>
  </si>
  <si>
    <t>0xAE4A</t>
  </si>
  <si>
    <t>0xAE4B</t>
  </si>
  <si>
    <t>0xDF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</si>
  <si>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</si>
  <si>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</si>
  <si>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</si>
  <si>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</si>
  <si>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</si>
  <si>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</si>
  <si>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</si>
  <si>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</si>
  <si>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</si>
  <si>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</si>
  <si>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</si>
  <si>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0xAA</t>
  </si>
  <si>
    <t>0xAEBD</t>
  </si>
  <si>
    <t>0xAEC1</t>
  </si>
  <si>
    <t>0xAEC3</t>
  </si>
  <si>
    <t>0x2E</t>
  </si>
  <si>
    <t>0xAEC9</t>
  </si>
  <si>
    <t>0x78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</si>
  <si>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</si>
  <si>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</si>
  <si>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</si>
  <si>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</si>
  <si>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</si>
  <si>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</si>
  <si>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</si>
  <si>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</si>
  <si>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</si>
  <si>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3Lane</t>
  </si>
  <si>
    <t>reg_0_0</t>
  </si>
  <si>
    <t>reg_1</t>
  </si>
  <si>
    <t>reg_2</t>
  </si>
  <si>
    <t>reg_3</t>
  </si>
  <si>
    <t>reg_4</t>
  </si>
  <si>
    <t>reg_5</t>
  </si>
  <si>
    <t>reg_6</t>
  </si>
  <si>
    <t>reg_7</t>
  </si>
  <si>
    <t>reg_8</t>
  </si>
  <si>
    <t>reg_9</t>
  </si>
  <si>
    <t>reg_10</t>
  </si>
  <si>
    <t>reg_11</t>
  </si>
  <si>
    <t>reg_12</t>
  </si>
  <si>
    <t>reg_13</t>
  </si>
  <si>
    <t>reg_14</t>
  </si>
  <si>
    <t>reg_1_1</t>
  </si>
  <si>
    <t>Full resolution (RMSC) w/ All-PD</t>
  </si>
  <si>
    <t>2x2 Adjacent Pixel Binning (Vbin) w/ All-PD</t>
  </si>
  <si>
    <t>DAG(4:1)2x2 Adjacent Pixel Binning DAG-HDR w/ Partial-PD, HSG</t>
  </si>
  <si>
    <t>2x2 Adjacent Pixel Binning w/Partial PD</t>
  </si>
  <si>
    <t xml:space="preserve">2x2 Adjacent Pixel Binning V2H2 </t>
  </si>
  <si>
    <t>2x2 Adjacent Pixel Binning (Vbin) V2H2 w/ All-PD</t>
  </si>
  <si>
    <t>Full resolution (RAW) w/ All-PD</t>
  </si>
  <si>
    <t>2x2 Adjacent Pixel Binning DAG-HDR w/ Partial-PD, HSG</t>
  </si>
  <si>
    <t>H: 8192</t>
  </si>
  <si>
    <t>H: 4096</t>
  </si>
  <si>
    <t>H: 2048</t>
  </si>
  <si>
    <t>H: 3840</t>
  </si>
  <si>
    <t>V: 6144</t>
  </si>
  <si>
    <t>V: 3072</t>
  </si>
  <si>
    <t>V: 2304</t>
  </si>
  <si>
    <t>V: 1152</t>
  </si>
  <si>
    <t>V: 1536</t>
  </si>
  <si>
    <t>V: 2160</t>
  </si>
  <si>
    <t>MIPI output setting</t>
  </si>
  <si>
    <t>CSI_DT_FMT_H</t>
  </si>
  <si>
    <t>0x0112</t>
  </si>
  <si>
    <t>CSI_DT_FMT_L</t>
  </si>
  <si>
    <t>0x0113</t>
  </si>
  <si>
    <t>CSI_LANE_MODE</t>
  </si>
  <si>
    <t>0x0114</t>
  </si>
  <si>
    <t>0x319A</t>
  </si>
  <si>
    <t>0x319B</t>
  </si>
  <si>
    <t>0x3239</t>
  </si>
  <si>
    <t>Line Length PCK Setting</t>
  </si>
  <si>
    <t>LINE_LENGTH_PCK[15:8]</t>
  </si>
  <si>
    <t>0x48</t>
  </si>
  <si>
    <t>0x0342</t>
  </si>
  <si>
    <t>0x36</t>
  </si>
  <si>
    <t>0x37</t>
  </si>
  <si>
    <t>LINE_LENGTH_PCK[7:0]</t>
  </si>
  <si>
    <t>0x0343</t>
  </si>
  <si>
    <t>0xB0</t>
  </si>
  <si>
    <t>0xE0</t>
  </si>
  <si>
    <t>0x3850</t>
  </si>
  <si>
    <t>0x3851</t>
  </si>
  <si>
    <t>0xD3</t>
  </si>
  <si>
    <t>0x7E</t>
  </si>
  <si>
    <t>0x4C</t>
  </si>
  <si>
    <t>0x77</t>
  </si>
  <si>
    <t>Frame Length Lines Setting</t>
  </si>
  <si>
    <t>FRM_LENGTH_LINES[15:8]</t>
  </si>
  <si>
    <t>0x0340</t>
  </si>
  <si>
    <t>FRM_LENGTH_LINES[7:0]</t>
  </si>
  <si>
    <t>0xAF</t>
  </si>
  <si>
    <t>0x0341</t>
  </si>
  <si>
    <t>0x33</t>
  </si>
  <si>
    <t>0xCF</t>
  </si>
  <si>
    <t>0x99</t>
  </si>
  <si>
    <t>0x66</t>
  </si>
  <si>
    <t>0x46</t>
  </si>
  <si>
    <t>ROI Setting</t>
  </si>
  <si>
    <t>X_ADD_STA[13:8]</t>
  </si>
  <si>
    <t>0x0344</t>
  </si>
  <si>
    <t>X_ADD_STA[7:0]</t>
  </si>
  <si>
    <t>0x0345</t>
  </si>
  <si>
    <t>Y_ADD_STA[12:8]</t>
  </si>
  <si>
    <t>0x0346</t>
  </si>
  <si>
    <t>Y_ADD_STA[7:0]</t>
  </si>
  <si>
    <t>0x0347</t>
  </si>
  <si>
    <t>X_ADD_END[13:8]</t>
  </si>
  <si>
    <t>0x1F</t>
  </si>
  <si>
    <t>0x0348</t>
  </si>
  <si>
    <t>X_ADD_END[7:0]</t>
  </si>
  <si>
    <t>0x0349</t>
  </si>
  <si>
    <t>Y_ADD_END[12:8]</t>
  </si>
  <si>
    <t>0x034A</t>
  </si>
  <si>
    <t>Y_ADD_END[7:0]</t>
  </si>
  <si>
    <t>0x034B</t>
  </si>
  <si>
    <t>Mode Setting</t>
  </si>
  <si>
    <t>BINNING_MODE</t>
  </si>
  <si>
    <t>0x0900</t>
  </si>
  <si>
    <t>BINNING_TYPE_H,BINNING_TYPE_V</t>
  </si>
  <si>
    <t>0x0901</t>
  </si>
  <si>
    <t>BINNING_WEIGHTING</t>
  </si>
  <si>
    <t>0x0902</t>
  </si>
  <si>
    <t>0x3005</t>
  </si>
  <si>
    <t>0x3006</t>
  </si>
  <si>
    <t>0x3140</t>
  </si>
  <si>
    <t>0x3144</t>
  </si>
  <si>
    <t>0x3148</t>
  </si>
  <si>
    <t>0x31C0</t>
  </si>
  <si>
    <t>0x43</t>
  </si>
  <si>
    <t>0x31C1</t>
  </si>
  <si>
    <t>0x3205</t>
  </si>
  <si>
    <t>0x323C</t>
  </si>
  <si>
    <t>Digital Crop &amp; Scaling</t>
  </si>
  <si>
    <t>DIG_CROP_X_OFFSET[13:8]</t>
  </si>
  <si>
    <t>0x0408</t>
  </si>
  <si>
    <t>DIG_CROP_X_OFFSET[7:0]</t>
  </si>
  <si>
    <t>0x0409</t>
  </si>
  <si>
    <t>DIG_CROP_Y_OFFSET[12:8]</t>
  </si>
  <si>
    <t>0x040A</t>
  </si>
  <si>
    <t>DIG_CROP_Y_OFFSET[7:0]</t>
  </si>
  <si>
    <t>0x040B</t>
  </si>
  <si>
    <t>DIG_CROP_IMAGE_WIDTH[13:8]</t>
  </si>
  <si>
    <t>0x040C</t>
  </si>
  <si>
    <t>DIG_CROP_IMAGE_WIDTH[7:0]</t>
  </si>
  <si>
    <t>0x040D</t>
  </si>
  <si>
    <t>DIG_CROP_IMAGE_HEIGHT[12:8]</t>
  </si>
  <si>
    <t>0x040E</t>
  </si>
  <si>
    <t>DIG_CROP_IMAGE_HEIGHT[7:0]</t>
  </si>
  <si>
    <t>0x040F</t>
  </si>
  <si>
    <t>0x70</t>
  </si>
  <si>
    <t>Output Size Setting</t>
  </si>
  <si>
    <t>X_OUT_SIZE[13:8]</t>
  </si>
  <si>
    <t>0x034C</t>
  </si>
  <si>
    <t>X_OUT_SIZE[7:0]</t>
  </si>
  <si>
    <t>0x034D</t>
  </si>
  <si>
    <t>Y_OUT_SIZE[12:8]</t>
  </si>
  <si>
    <t>0x034E</t>
  </si>
  <si>
    <t>Y_OUT_SIZE[7:0]</t>
  </si>
  <si>
    <t>0x034F</t>
  </si>
  <si>
    <t>Clock Setting</t>
  </si>
  <si>
    <t>IVT_PXCK_DIV</t>
  </si>
  <si>
    <t>0x0301</t>
  </si>
  <si>
    <t>IVT_SYCK_DIV</t>
  </si>
  <si>
    <t>0x0303</t>
  </si>
  <si>
    <t>IVT_PREPLLCK_DIV</t>
  </si>
  <si>
    <t>0x0305</t>
  </si>
  <si>
    <t>IVT_PLL_MPY[10:8]</t>
  </si>
  <si>
    <t>0x0306</t>
  </si>
  <si>
    <t>IVT_PLL_MPY[7:0]</t>
  </si>
  <si>
    <t>0x6E</t>
  </si>
  <si>
    <t>0x0307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</si>
  <si>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</si>
  <si>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</si>
  <si>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</si>
  <si>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</si>
  <si>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</si>
  <si>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</si>
  <si>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</si>
  <si>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</si>
  <si>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</si>
  <si>
    <t>0x3104</t>
  </si>
  <si>
    <t>0x324C</t>
  </si>
  <si>
    <t>0x3800</t>
  </si>
  <si>
    <t>0x3801</t>
  </si>
  <si>
    <t>0x3802</t>
  </si>
  <si>
    <t>0x3803</t>
  </si>
  <si>
    <t>0x3804</t>
  </si>
  <si>
    <t>0x3805</t>
  </si>
  <si>
    <t>0xEA</t>
  </si>
  <si>
    <t>0x3806</t>
  </si>
  <si>
    <t>0x3807</t>
  </si>
  <si>
    <t>0x3808</t>
  </si>
  <si>
    <t>0x3809</t>
  </si>
  <si>
    <t>0x380A</t>
  </si>
  <si>
    <t>0x380B</t>
  </si>
  <si>
    <t>0x380C</t>
  </si>
  <si>
    <t>0x380D</t>
  </si>
  <si>
    <t>0x380E</t>
  </si>
  <si>
    <t>0x380F</t>
  </si>
  <si>
    <t>0x3810</t>
  </si>
  <si>
    <t>0x3811</t>
  </si>
  <si>
    <t>0x3812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</si>
  <si>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</si>
  <si>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</si>
  <si>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</si>
  <si>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</si>
  <si>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</si>
  <si>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</si>
  <si>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</si>
  <si>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</si>
  <si>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</si>
  <si>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</si>
  <si>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</si>
  <si>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</si>
  <si>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</si>
  <si>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</si>
  <si>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</si>
  <si>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</si>
  <si>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</si>
  <si>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</si>
  <si>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</si>
  <si>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</si>
  <si>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</si>
  <si>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</si>
  <si>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0x39AC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</si>
  <si>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</si>
  <si>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</si>
  <si>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</si>
  <si>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</si>
  <si>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</si>
  <si>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</si>
  <si>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</si>
  <si>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</si>
  <si>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</si>
  <si>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</si>
  <si>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</si>
  <si>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</si>
  <si>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</si>
  <si>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</si>
  <si>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</si>
  <si>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</si>
  <si>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</si>
  <si>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</si>
  <si>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</si>
  <si>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</si>
  <si>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</si>
  <si>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0x81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</si>
  <si>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</si>
  <si>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</si>
  <si>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</si>
  <si>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</si>
  <si>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</si>
  <si>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</si>
  <si>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</si>
  <si>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</si>
  <si>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</si>
  <si>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</si>
  <si>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</si>
  <si>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</si>
  <si>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</si>
  <si>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</si>
  <si>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</si>
  <si>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</si>
  <si>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</si>
  <si>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</si>
  <si>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</si>
  <si>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</si>
  <si>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</si>
  <si>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</si>
  <si>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</si>
  <si>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</si>
  <si>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</si>
  <si>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</si>
  <si>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</si>
  <si>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</si>
  <si>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</si>
  <si>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</si>
  <si>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</si>
  <si>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</si>
  <si>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</si>
  <si>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</si>
  <si>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</si>
  <si>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</si>
  <si>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</si>
  <si>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Integration Setting</t>
  </si>
  <si>
    <t>COARSE_INTEG_TIME[15:8]</t>
  </si>
  <si>
    <t>0x0202</t>
  </si>
  <si>
    <t>COARSE_INTEG_TIME[7:0]</t>
  </si>
  <si>
    <t>0x0203</t>
  </si>
  <si>
    <t>Gain Setting</t>
  </si>
  <si>
    <t>ANA_GAIN_GLOBAL[13:8]</t>
  </si>
  <si>
    <t>0x0204</t>
  </si>
  <si>
    <t>ANA_GAIN_GLOBAL[7:0]</t>
  </si>
  <si>
    <t>0x0205</t>
  </si>
  <si>
    <t>DIG_GAIN_GLOBAL[15:8]</t>
  </si>
  <si>
    <t>0x020E</t>
  </si>
  <si>
    <t>DIG_GAIN_GLOBAL[7:0]</t>
  </si>
  <si>
    <t>0x020F</t>
  </si>
  <si>
    <t>DAG-HDR Setting</t>
  </si>
  <si>
    <t>0x3184</t>
  </si>
  <si>
    <t>0x3186</t>
  </si>
  <si>
    <t>0x320B</t>
  </si>
  <si>
    <t>Flicker Setting</t>
  </si>
  <si>
    <t>0x3107</t>
  </si>
  <si>
    <t>0x3264</t>
  </si>
  <si>
    <t>0x3265</t>
  </si>
  <si>
    <t>0x3266</t>
  </si>
  <si>
    <t>0x3267</t>
  </si>
  <si>
    <t>0x3268</t>
  </si>
  <si>
    <t>PDAF TYPE2 Setting</t>
  </si>
  <si>
    <t>0x3103</t>
  </si>
  <si>
    <t>0x3422</t>
  </si>
  <si>
    <t>0x3423</t>
  </si>
  <si>
    <t>PDAF TYPE2 Output Data Setting</t>
  </si>
  <si>
    <t>0x3978</t>
  </si>
  <si>
    <t>Gain Setting2</t>
  </si>
  <si>
    <t>ST_ANA_GAIN_GLOBAL[13:8]</t>
  </si>
  <si>
    <t>0x0216</t>
  </si>
  <si>
    <t>ST_ANA_GAIN_GLOBAL[7:0]</t>
  </si>
  <si>
    <t>0x0217</t>
  </si>
  <si>
    <t>ST_DIG_GAIN_GLOBAL[15:8]</t>
  </si>
  <si>
    <t>0x0218</t>
  </si>
  <si>
    <t>ST_DIG_GAIN_GLOBAL[7:0]</t>
  </si>
  <si>
    <t>0x0219</t>
  </si>
  <si>
    <t>Flicker VCID Setting</t>
  </si>
  <si>
    <t>0x30AC</t>
  </si>
  <si>
    <t>0x30F6</t>
  </si>
  <si>
    <t>Flicker data type Setting</t>
  </si>
  <si>
    <t>0x30AD</t>
  </si>
  <si>
    <t>PHASE PIX VCID Setting</t>
  </si>
  <si>
    <t>0x30A4</t>
  </si>
  <si>
    <t>0x30A6</t>
  </si>
  <si>
    <t>0x30F2</t>
  </si>
  <si>
    <t>0x30F3</t>
  </si>
  <si>
    <t>PHASE PIX data type Setting</t>
  </si>
  <si>
    <t>0x30A5</t>
  </si>
  <si>
    <t>0x30A7</t>
  </si>
  <si>
    <t>PDAF TYPE2 VCID Setting</t>
  </si>
  <si>
    <t>0x30A2</t>
  </si>
  <si>
    <t>0x30F1</t>
  </si>
  <si>
    <t>PDAF TYPE2 data type Setting</t>
  </si>
  <si>
    <t>0x30A3</t>
  </si>
  <si>
    <t>Additional Mode Setting2</t>
  </si>
  <si>
    <t>0x3953</t>
  </si>
  <si>
    <t>0x3954</t>
  </si>
  <si>
    <t>0x3955</t>
  </si>
  <si>
    <t>0x320D</t>
  </si>
  <si>
    <t>0x34F0</t>
  </si>
  <si>
    <t>0x34F1</t>
  </si>
  <si>
    <t>Streaming setting</t>
  </si>
  <si>
    <t>0x0100</t>
  </si>
  <si>
    <t>PLL Lock Up Time + Wake-Up Time -&gt; Init. Time</t>
  </si>
  <si>
    <t>Streaming</t>
  </si>
  <si>
    <t>Software Standby settings</t>
  </si>
  <si>
    <t>PDAF Setting</t>
  </si>
  <si>
    <t>Streaming settings</t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</si>
  <si>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</si>
  <si>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</si>
  <si>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</si>
  <si>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</si>
  <si>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</si>
  <si>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</si>
  <si>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</si>
  <si>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</si>
  <si>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</si>
  <si>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DT_FMT</t>
  </si>
  <si>
    <t>INCK
[MHz]</t>
  </si>
  <si>
    <t>OPSYCK system</t>
  </si>
  <si>
    <t>VTPXCK system</t>
  </si>
  <si>
    <t>FPS</t>
  </si>
  <si>
    <t>max.
FPS</t>
  </si>
  <si>
    <t>Ana Gain
min.
(code value)</t>
  </si>
  <si>
    <t>Ana Gain
max.
(code value)</t>
  </si>
  <si>
    <t>Vertical direction [unit:line]</t>
  </si>
  <si>
    <t>Horizontal direction [unit:pix]</t>
  </si>
  <si>
    <t>Sub-sampling</t>
  </si>
  <si>
    <t>Binning</t>
  </si>
  <si>
    <t>Scaler</t>
  </si>
  <si>
    <t>OPSYCK</t>
  </si>
  <si>
    <t>VTPXCK</t>
  </si>
  <si>
    <t>ADCK</t>
  </si>
  <si>
    <t>CPCK</t>
  </si>
  <si>
    <t>PCLK</t>
  </si>
  <si>
    <t>MDBCK</t>
  </si>
  <si>
    <t>Horizontal</t>
  </si>
  <si>
    <t>Vertical</t>
  </si>
  <si>
    <t>H</t>
  </si>
  <si>
    <t>V</t>
  </si>
  <si>
    <t>preDiv</t>
  </si>
  <si>
    <t>PLL Multiply</t>
  </si>
  <si>
    <t>PLL
[MHz]</t>
  </si>
  <si>
    <t>Pixel rate
[Mpps]</t>
  </si>
  <si>
    <t xml:space="preserve">Data rate
[Msps/Trio] </t>
  </si>
  <si>
    <t>min.FLL</t>
  </si>
  <si>
    <t>Emb</t>
  </si>
  <si>
    <t>Active 
Pixels</t>
  </si>
  <si>
    <t>Flicker</t>
  </si>
  <si>
    <t>Phase difference pixel</t>
  </si>
  <si>
    <t>LR sensitivity data</t>
  </si>
  <si>
    <t>LR sensitivity data (HG)</t>
  </si>
  <si>
    <t>LR sensitivity data (LG)</t>
  </si>
  <si>
    <t>Blanking</t>
  </si>
  <si>
    <t>OPB-PVSTA</t>
  </si>
  <si>
    <t>frame_length
_lines</t>
  </si>
  <si>
    <t>NUM_DOL</t>
  </si>
  <si>
    <t>line_length_
pck</t>
  </si>
  <si>
    <t>line_length_
inck</t>
  </si>
  <si>
    <t>Tline</t>
  </si>
  <si>
    <t>FLL for VBLK calc.</t>
  </si>
  <si>
    <t>System
Div</t>
  </si>
  <si>
    <t>OPSYCK
[MHz]</t>
  </si>
  <si>
    <t>Pixel
Div</t>
  </si>
  <si>
    <t>VTPXCK
[MHz]</t>
  </si>
  <si>
    <t>div</t>
  </si>
  <si>
    <t>[MHz]</t>
  </si>
  <si>
    <t>PHASE_PIX_COUNT</t>
  </si>
  <si>
    <t>PLL mode</t>
  </si>
  <si>
    <t>x_add_sta</t>
  </si>
  <si>
    <t>x_add_end</t>
  </si>
  <si>
    <t>y_add_sta</t>
  </si>
  <si>
    <t>y_add_end</t>
  </si>
  <si>
    <t>DIG_CROP_IMAGE_WIDTH</t>
  </si>
  <si>
    <t>DIG_CROP_IMAGE_HEIGHT</t>
  </si>
  <si>
    <t>Ratio of CIT
in DOL</t>
  </si>
  <si>
    <t>Ratio of GAIN
in Dual Gain HDR</t>
  </si>
  <si>
    <t>0_0</t>
  </si>
  <si>
    <t>Normal</t>
  </si>
  <si>
    <t>RAW10</t>
  </si>
  <si>
    <t>0dB(0)</t>
  </si>
  <si>
    <t>24dB(15359)</t>
  </si>
  <si>
    <t>Dual</t>
  </si>
  <si>
    <t>Analog addition average</t>
  </si>
  <si>
    <t>36dB(16128)</t>
  </si>
  <si>
    <t>DAG-HDR</t>
  </si>
  <si>
    <t>RAW12</t>
  </si>
  <si>
    <t>12dB(0)</t>
  </si>
  <si>
    <t>36dB(15359)</t>
  </si>
  <si>
    <t>DAG(4:1)2x2 Adjacent Pixel Binning DAG-HDR w/ Partial-PD, LSG</t>
  </si>
  <si>
    <t>2x2 Adjacent Pixel Binning DAG-HDR w/ Partial-PD, LSG</t>
  </si>
  <si>
    <t>1_1</t>
  </si>
  <si>
    <t>Gain Table</t>
  </si>
  <si>
    <t xml:space="preserve">ana_gain_global
</t>
  </si>
  <si>
    <t>Normalized 
Gain[dB]</t>
  </si>
  <si>
    <t>Normalized
 Gain[x]</t>
  </si>
  <si>
    <t>Please set up "Global Timing" according to a data rate.</t>
  </si>
  <si>
    <t>Register Setting Value for Global Timing(Register Setting Value is displayed in decimal.)</t>
  </si>
  <si>
    <t>settable Global Timing</t>
  </si>
  <si>
    <t>symbol rate / trio
(=Rate)</t>
  </si>
  <si>
    <t>300 [Msps/trio] &lt;= Rate &lt; 448 [Msps/trio]</t>
  </si>
  <si>
    <t>448 [Msps/trio] &lt;= Rate &lt; 672 [Msps/trio]</t>
  </si>
  <si>
    <t>672 [Msps/trio] &lt;= Rate &lt; 896 [Msps/trio]</t>
  </si>
  <si>
    <t>896 [Msps/trio] &lt;= Rate &lt; 1120 [Msps/trio]</t>
  </si>
  <si>
    <t>1120 [Msps/trio] &lt;= Rate &lt; 1344 [Msps/trio]</t>
  </si>
  <si>
    <t>1344 [Msps/trio] &lt;= Rate &lt; 1568 [Msps/trio]</t>
  </si>
  <si>
    <t>1568 [Msps/trio] &lt;= Rate &lt; 1792 [Msps/trio]</t>
  </si>
  <si>
    <t>1792 [Msps/trio] &lt;= Rate &lt; 2016 [Msps/trio]</t>
  </si>
  <si>
    <t>2016 [Msps/trio] &lt;= Rate &lt; 2240 [Msps/trio]</t>
  </si>
  <si>
    <t>2240 [Msps/trio] &lt;= Rate &lt;= 2400 [Msps/trio]</t>
  </si>
  <si>
    <t>Table No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</si>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</sst>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m/dd"/>
    <numFmt numFmtId="165" formatCode="&quot;Ver&quot;0.0"/>
    <numFmt numFmtId="166" formatCode="0.00_ "/>
    <numFmt numFmtId="167" formatCode="0.00_);[Red]\(0.00\)"/>
    <numFmt numFmtId="168" formatCode="0_ "/>
    <numFmt numFmtId="169" formatCode="0.00&quot;ms&quot;"/>
    <numFmt numFmtId="170" formatCode="0.00&quot;us&quot;"/>
    <numFmt numFmtId="171" formatCode="0.0_ "/>
  </numFmts>
  <fonts count="37">
    <font>
      <sz val="11.0"/>
      <color rgb="FF000000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sz val="10.0"/>
      <color theme="0"/>
      <name val="Meiryo"/>
    </font>
    <font>
      <b/>
      <sz val="11.0"/>
      <color theme="1"/>
      <name val="Meiryo"/>
    </font>
    <font>
      <b/>
      <sz val="10.0"/>
      <color rgb="FFFFFFFF"/>
      <name val="Meiryo"/>
    </font>
    <font>
      <b/>
      <sz val="11.0"/>
      <color theme="0"/>
      <name val="Meiryo"/>
    </font>
    <font>
      <sz val="10.0"/>
      <color theme="1"/>
      <name val="Calibri"/>
    </font>
    <font>
      <b/>
      <sz val="12.0"/>
      <color theme="0"/>
      <name val="Calibri"/>
    </font>
    <font>
      <sz val="8.0"/>
      <color rgb="FF0000FF"/>
      <name val="Calibri"/>
    </font>
    <font>
      <b/>
      <sz val="11.0"/>
      <color rgb="FFFF0000"/>
      <name val="Calibri"/>
    </font>
    <font>
      <b/>
      <sz val="8.0"/>
      <color rgb="FF0000FF"/>
      <name val="Calibri"/>
    </font>
    <font>
      <b/>
      <sz val="10.0"/>
      <color theme="1"/>
      <name val="Calibri"/>
    </font>
    <font>
      <sz val="10.0"/>
      <color theme="1"/>
      <name val="MS PGothic"/>
    </font>
    <font>
      <sz val="8.0"/>
      <color rgb="FF0000FF"/>
      <name val="Meiryo"/>
    </font>
    <font>
      <sz val="10.0"/>
      <color rgb="FF0000FF"/>
      <name val="MS PGothic"/>
    </font>
    <font>
      <sz val="9.0"/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0.0"/>
      <color rgb="FF0000FF"/>
      <name val="Calibri"/>
    </font>
    <font/>
    <font>
      <sz val="8.0"/>
      <color theme="1"/>
      <name val="Calibri"/>
    </font>
    <font>
      <sz val="8.0"/>
      <color rgb="FF000000"/>
      <name val="Calibri"/>
    </font>
    <font>
      <sz val="11.0"/>
      <color rgb="FF0000FF"/>
      <name val="Meiryo"/>
    </font>
    <font>
      <sz val="18.0"/>
      <color theme="1"/>
      <name val="Meiryo"/>
    </font>
    <font>
      <sz val="9.0"/>
      <color rgb="FF0000FF"/>
      <name val="Meiryo"/>
    </font>
    <font>
      <sz val="9.0"/>
      <color theme="1"/>
      <name val="Meiryo"/>
    </font>
    <font>
      <b/>
      <sz val="9.0"/>
      <color rgb="FFFFFFFF"/>
      <name val="Meiryo"/>
    </font>
    <font>
      <b/>
      <sz val="10.0"/>
      <color theme="0"/>
      <name val="Meiryo"/>
    </font>
    <font>
      <sz val="10.0"/>
      <color rgb="FF000000"/>
      <name val="Meiryo"/>
    </font>
    <font>
      <b/>
      <u/>
      <sz val="28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8DB3E2"/>
      <name val="Calibri"/>
    </font>
    <font>
      <sz val="8.0"/>
      <color theme="1"/>
      <name val="Meiryo"/>
    </font>
    <font>
      <sz val="11.0"/>
      <color theme="1"/>
      <name val="Calibri"/>
    </font>
    <font>
      <b/>
      <sz val="10.0"/>
      <color theme="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00CCFF"/>
        <bgColor rgb="FF00CCFF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7BA7D3"/>
        <bgColor rgb="FF7BA7D3"/>
      </patternFill>
    </fill>
    <fill>
      <patternFill patternType="solid">
        <fgColor rgb="FF3E7DBC"/>
        <bgColor rgb="FF3E7DBC"/>
      </patternFill>
    </fill>
    <fill>
      <patternFill patternType="solid">
        <fgColor rgb="FFC6D9EC"/>
        <bgColor rgb="FFC6D9EC"/>
      </patternFill>
    </fill>
    <fill>
      <patternFill patternType="solid">
        <fgColor rgb="FFCCCCFF"/>
        <bgColor rgb="FFCCCCFF"/>
      </patternFill>
    </fill>
  </fills>
  <borders count="64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3" fillId="3" fontId="5" numFmtId="49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5" fillId="2" fontId="2" numFmtId="164" xfId="0" applyAlignment="1" applyBorder="1" applyFont="1" applyNumberFormat="1">
      <alignment horizontal="center" vertical="top"/>
    </xf>
    <xf borderId="6" fillId="2" fontId="2" numFmtId="49" xfId="0" applyAlignment="1" applyBorder="1" applyFont="1" applyNumberFormat="1">
      <alignment horizontal="center" vertical="top"/>
    </xf>
    <xf borderId="7" fillId="2" fontId="2" numFmtId="49" xfId="0" applyAlignment="1" applyBorder="1" applyFont="1" applyNumberFormat="1">
      <alignment horizontal="center" shrinkToFit="0" vertical="top" wrapText="1"/>
    </xf>
    <xf borderId="6" fillId="2" fontId="2" numFmtId="0" xfId="0" applyAlignment="1" applyBorder="1" applyFont="1">
      <alignment horizontal="center" vertical="top"/>
    </xf>
    <xf quotePrefix="1" borderId="8" fillId="2" fontId="2" numFmtId="0" xfId="0" applyAlignment="1" applyBorder="1" applyFont="1">
      <alignment horizontal="left" shrinkToFit="0" vertical="top" wrapText="1"/>
    </xf>
    <xf borderId="9" fillId="2" fontId="2" numFmtId="164" xfId="0" applyAlignment="1" applyBorder="1" applyFont="1" applyNumberFormat="1">
      <alignment horizontal="center" vertical="top"/>
    </xf>
    <xf borderId="7" fillId="2" fontId="2" numFmtId="49" xfId="0" applyAlignment="1" applyBorder="1" applyFont="1" applyNumberFormat="1">
      <alignment horizontal="center" vertical="top"/>
    </xf>
    <xf borderId="7" fillId="2" fontId="2" numFmtId="0" xfId="0" applyAlignment="1" applyBorder="1" applyFont="1">
      <alignment horizontal="center" vertical="top"/>
    </xf>
    <xf quotePrefix="1" borderId="10" fillId="2" fontId="2" numFmtId="0" xfId="0" applyAlignment="1" applyBorder="1" applyFont="1">
      <alignment horizontal="left" shrinkToFit="0" vertical="top" wrapText="1"/>
    </xf>
    <xf borderId="11" fillId="2" fontId="2" numFmtId="0" xfId="0" applyAlignment="1" applyBorder="1" applyFont="1">
      <alignment horizontal="center" vertical="top"/>
    </xf>
    <xf quotePrefix="1" borderId="12" fillId="2" fontId="2" numFmtId="0" xfId="0" applyAlignment="1" applyBorder="1" applyFont="1">
      <alignment horizontal="left" shrinkToFit="0" vertical="top" wrapText="1"/>
    </xf>
    <xf borderId="13" fillId="2" fontId="2" numFmtId="164" xfId="0" applyAlignment="1" applyBorder="1" applyFont="1" applyNumberFormat="1">
      <alignment horizontal="center" vertical="top"/>
    </xf>
    <xf borderId="11" fillId="2" fontId="2" numFmtId="49" xfId="0" applyAlignment="1" applyBorder="1" applyFont="1" applyNumberFormat="1">
      <alignment horizontal="center" vertical="top"/>
    </xf>
    <xf borderId="14" fillId="2" fontId="2" numFmtId="164" xfId="0" applyAlignment="1" applyBorder="1" applyFont="1" applyNumberFormat="1">
      <alignment horizontal="center" vertical="top"/>
    </xf>
    <xf borderId="15" fillId="2" fontId="2" numFmtId="49" xfId="0" applyAlignment="1" applyBorder="1" applyFont="1" applyNumberFormat="1">
      <alignment horizontal="center" vertical="top"/>
    </xf>
    <xf borderId="15" fillId="2" fontId="2" numFmtId="49" xfId="0" applyAlignment="1" applyBorder="1" applyFont="1" applyNumberFormat="1">
      <alignment horizontal="center" shrinkToFit="0" vertical="top" wrapText="1"/>
    </xf>
    <xf borderId="15" fillId="2" fontId="2" numFmtId="0" xfId="0" applyAlignment="1" applyBorder="1" applyFont="1">
      <alignment horizontal="center" vertical="top"/>
    </xf>
    <xf borderId="16" fillId="2" fontId="2" numFmtId="0" xfId="0" applyAlignment="1" applyBorder="1" applyFont="1">
      <alignment horizontal="left" shrinkToFit="0" vertical="top" wrapText="1"/>
    </xf>
    <xf borderId="1" fillId="2" fontId="2" numFmtId="164" xfId="0" applyAlignment="1" applyBorder="1" applyFont="1" applyNumberFormat="1">
      <alignment horizontal="center" vertical="top"/>
    </xf>
    <xf borderId="1" fillId="2" fontId="2" numFmtId="49" xfId="0" applyAlignment="1" applyBorder="1" applyFont="1" applyNumberFormat="1">
      <alignment horizontal="center" vertical="top"/>
    </xf>
    <xf borderId="1" fillId="2" fontId="2" numFmtId="49" xfId="0" applyAlignment="1" applyBorder="1" applyFont="1" applyNumberFormat="1">
      <alignment horizontal="center" shrinkToFit="0" vertical="top" wrapText="1"/>
    </xf>
    <xf borderId="1" fillId="2" fontId="2" numFmtId="0" xfId="0" applyAlignment="1" applyBorder="1" applyFont="1">
      <alignment horizontal="center" vertical="top"/>
    </xf>
    <xf borderId="1" fillId="2" fontId="2" numFmtId="0" xfId="0" applyAlignment="1" applyBorder="1" applyFont="1">
      <alignment horizontal="left" shrinkToFit="0" vertical="top" wrapText="1"/>
    </xf>
    <xf borderId="1" fillId="2" fontId="2" numFmtId="49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vertical="center"/>
    </xf>
    <xf borderId="1" fillId="2" fontId="7" numFmtId="0" xfId="0" applyAlignment="1" applyBorder="1" applyFont="1">
      <alignment horizontal="right" vertical="center"/>
    </xf>
    <xf borderId="1" fillId="4" fontId="8" numFmtId="165" xfId="0" applyAlignment="1" applyBorder="1" applyFill="1" applyFont="1" applyNumberFormat="1">
      <alignment vertical="center"/>
    </xf>
    <xf borderId="1" fillId="2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vertical="center"/>
    </xf>
    <xf borderId="1" fillId="2" fontId="9" numFmtId="49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horizontal="left" vertical="center"/>
    </xf>
    <xf borderId="1" fillId="2" fontId="11" numFmtId="49" xfId="0" applyAlignment="1" applyBorder="1" applyFont="1" applyNumberFormat="1">
      <alignment horizontal="center" vertical="center"/>
    </xf>
    <xf borderId="17" fillId="2" fontId="12" numFmtId="0" xfId="0" applyAlignment="1" applyBorder="1" applyFont="1">
      <alignment vertical="center"/>
    </xf>
    <xf borderId="18" fillId="2" fontId="7" numFmtId="0" xfId="0" applyAlignment="1" applyBorder="1" applyFont="1">
      <alignment vertical="center"/>
    </xf>
    <xf borderId="19" fillId="2" fontId="7" numFmtId="0" xfId="0" applyAlignment="1" applyBorder="1" applyFont="1">
      <alignment vertical="center"/>
    </xf>
    <xf borderId="1" fillId="4" fontId="13" numFmtId="0" xfId="0" applyAlignment="1" applyBorder="1" applyFont="1">
      <alignment horizontal="right" vertical="center"/>
    </xf>
    <xf borderId="20" fillId="2" fontId="12" numFmtId="0" xfId="0" applyAlignment="1" applyBorder="1" applyFont="1">
      <alignment vertical="center"/>
    </xf>
    <xf borderId="21" fillId="5" fontId="7" numFmtId="0" xfId="0" applyAlignment="1" applyBorder="1" applyFill="1" applyFont="1">
      <alignment vertical="center"/>
    </xf>
    <xf borderId="1" fillId="5" fontId="7" numFmtId="0" xfId="0" applyAlignment="1" applyBorder="1" applyFont="1">
      <alignment vertical="center"/>
    </xf>
    <xf borderId="22" fillId="5" fontId="7" numFmtId="0" xfId="0" applyAlignment="1" applyBorder="1" applyFont="1">
      <alignment vertical="center"/>
    </xf>
    <xf borderId="1" fillId="2" fontId="13" numFmtId="0" xfId="0" applyAlignment="1" applyBorder="1" applyFont="1">
      <alignment horizontal="right" vertical="center"/>
    </xf>
    <xf borderId="1" fillId="2" fontId="14" numFmtId="0" xfId="0" applyAlignment="1" applyBorder="1" applyFont="1">
      <alignment horizontal="left" vertical="center"/>
    </xf>
    <xf borderId="1" fillId="2" fontId="15" numFmtId="0" xfId="0" applyAlignment="1" applyBorder="1" applyFont="1">
      <alignment horizontal="left" vertical="center"/>
    </xf>
    <xf borderId="23" fillId="5" fontId="7" numFmtId="0" xfId="0" applyAlignment="1" applyBorder="1" applyFont="1">
      <alignment vertical="center"/>
    </xf>
    <xf borderId="24" fillId="5" fontId="7" numFmtId="0" xfId="0" applyAlignment="1" applyBorder="1" applyFont="1">
      <alignment vertical="center"/>
    </xf>
    <xf borderId="25" fillId="5" fontId="7" numFmtId="0" xfId="0" applyAlignment="1" applyBorder="1" applyFont="1">
      <alignment vertical="center"/>
    </xf>
    <xf borderId="1" fillId="2" fontId="16" numFmtId="49" xfId="0" applyAlignment="1" applyBorder="1" applyFont="1" applyNumberFormat="1">
      <alignment horizontal="right" vertical="center"/>
    </xf>
    <xf borderId="1" fillId="2" fontId="9" numFmtId="0" xfId="0" applyAlignment="1" applyBorder="1" applyFont="1">
      <alignment horizontal="left" vertical="center"/>
    </xf>
    <xf borderId="20" fillId="4" fontId="12" numFmtId="0" xfId="0" applyAlignment="1" applyBorder="1" applyFont="1">
      <alignment vertical="center"/>
    </xf>
    <xf borderId="1" fillId="4" fontId="9" numFmtId="0" xfId="0" applyAlignment="1" applyBorder="1" applyFont="1">
      <alignment horizontal="right" vertical="center"/>
    </xf>
    <xf borderId="20" fillId="4" fontId="7" numFmtId="0" xfId="0" applyAlignment="1" applyBorder="1" applyFont="1">
      <alignment vertical="center"/>
    </xf>
    <xf borderId="21" fillId="2" fontId="7" numFmtId="0" xfId="0" applyAlignment="1" applyBorder="1" applyFont="1">
      <alignment vertical="center"/>
    </xf>
    <xf borderId="26" fillId="2" fontId="7" numFmtId="0" xfId="0" applyAlignment="1" applyBorder="1" applyFont="1">
      <alignment vertical="center"/>
    </xf>
    <xf borderId="27" fillId="2" fontId="7" numFmtId="0" xfId="0" applyAlignment="1" applyBorder="1" applyFont="1">
      <alignment vertical="center"/>
    </xf>
    <xf borderId="7" fillId="6" fontId="7" numFmtId="49" xfId="0" applyAlignment="1" applyBorder="1" applyFill="1" applyFont="1" applyNumberFormat="1">
      <alignment horizontal="right" vertical="center"/>
    </xf>
    <xf borderId="7" fillId="6" fontId="7" numFmtId="49" xfId="0" applyAlignment="1" applyBorder="1" applyFont="1" applyNumberFormat="1">
      <alignment horizontal="left" vertical="center"/>
    </xf>
    <xf borderId="28" fillId="2" fontId="7" numFmtId="0" xfId="0" applyAlignment="1" applyBorder="1" applyFont="1">
      <alignment vertical="center"/>
    </xf>
    <xf borderId="7" fillId="6" fontId="7" numFmtId="0" xfId="0" applyAlignment="1" applyBorder="1" applyFont="1">
      <alignment horizontal="left" shrinkToFit="0" vertical="center" wrapText="1"/>
    </xf>
    <xf borderId="10" fillId="6" fontId="7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right" vertical="center"/>
    </xf>
    <xf borderId="7" fillId="2" fontId="17" numFmtId="0" xfId="0" applyAlignment="1" applyBorder="1" applyFont="1">
      <alignment horizontal="left" vertical="center"/>
    </xf>
    <xf borderId="7" fillId="4" fontId="7" numFmtId="0" xfId="0" applyAlignment="1" applyBorder="1" applyFont="1">
      <alignment vertical="center"/>
    </xf>
    <xf borderId="10" fillId="4" fontId="7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1" fillId="2" fontId="13" numFmtId="0" xfId="0" applyAlignment="1" applyBorder="1" applyFont="1">
      <alignment vertical="center"/>
    </xf>
    <xf borderId="1" fillId="4" fontId="7" numFmtId="0" xfId="0" applyAlignment="1" applyBorder="1" applyFont="1">
      <alignment horizontal="right" vertical="center"/>
    </xf>
    <xf borderId="1" fillId="4" fontId="7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left" shrinkToFit="0" vertical="center" wrapText="1"/>
    </xf>
    <xf borderId="1" fillId="4" fontId="9" numFmtId="49" xfId="0" applyAlignment="1" applyBorder="1" applyFont="1" applyNumberFormat="1">
      <alignment horizontal="center" vertical="center"/>
    </xf>
    <xf borderId="1" fillId="4" fontId="9" numFmtId="49" xfId="0" applyAlignment="1" applyBorder="1" applyFont="1" applyNumberFormat="1">
      <alignment vertical="center"/>
    </xf>
    <xf borderId="1" fillId="2" fontId="9" numFmtId="0" xfId="0" applyAlignment="1" applyBorder="1" applyFont="1">
      <alignment vertical="center"/>
    </xf>
    <xf borderId="7" fillId="2" fontId="7" numFmtId="0" xfId="0" applyAlignment="1" applyBorder="1" applyFont="1">
      <alignment horizontal="right" vertical="center"/>
    </xf>
    <xf borderId="29" fillId="4" fontId="7" numFmtId="0" xfId="0" applyAlignment="1" applyBorder="1" applyFont="1">
      <alignment textRotation="90" vertical="center"/>
    </xf>
    <xf borderId="10" fillId="4" fontId="18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left" vertical="center"/>
    </xf>
    <xf borderId="10" fillId="4" fontId="17" numFmtId="0" xfId="0" applyAlignment="1" applyBorder="1" applyFont="1">
      <alignment horizontal="left" vertical="center"/>
    </xf>
    <xf borderId="30" fillId="2" fontId="7" numFmtId="0" xfId="0" applyAlignment="1" applyBorder="1" applyFont="1">
      <alignment vertical="center"/>
    </xf>
    <xf borderId="1" fillId="4" fontId="19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center" vertical="center"/>
    </xf>
    <xf borderId="26" fillId="2" fontId="7" numFmtId="0" xfId="0" applyAlignment="1" applyBorder="1" applyFont="1">
      <alignment horizontal="left" vertical="center"/>
    </xf>
    <xf borderId="27" fillId="2" fontId="17" numFmtId="0" xfId="0" applyAlignment="1" applyBorder="1" applyFont="1">
      <alignment horizontal="center" shrinkToFit="0" textRotation="180" vertical="center" wrapText="1"/>
    </xf>
    <xf borderId="7" fillId="2" fontId="7" numFmtId="0" xfId="0" applyAlignment="1" applyBorder="1" applyFont="1">
      <alignment horizontal="left" vertical="center"/>
    </xf>
    <xf borderId="10" fillId="4" fontId="18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0" fillId="4" fontId="7" numFmtId="0" xfId="0" applyAlignment="1" applyBorder="1" applyFont="1">
      <alignment shrinkToFit="0" vertical="center" wrapText="1"/>
    </xf>
    <xf borderId="1" fillId="4" fontId="19" numFmtId="0" xfId="0" applyAlignment="1" applyBorder="1" applyFont="1">
      <alignment vertical="center"/>
    </xf>
    <xf borderId="7" fillId="2" fontId="7" numFmtId="49" xfId="0" applyAlignment="1" applyBorder="1" applyFont="1" applyNumberFormat="1">
      <alignment horizontal="right" vertical="center"/>
    </xf>
    <xf borderId="7" fillId="0" fontId="7" numFmtId="49" xfId="0" applyAlignment="1" applyBorder="1" applyFont="1" applyNumberFormat="1">
      <alignment horizontal="left" vertical="center"/>
    </xf>
    <xf borderId="0" fillId="0" fontId="7" numFmtId="0" xfId="0" applyAlignment="1" applyFont="1">
      <alignment vertical="center"/>
    </xf>
    <xf borderId="31" fillId="0" fontId="7" numFmtId="0" xfId="0" applyAlignment="1" applyBorder="1" applyFont="1">
      <alignment vertical="center"/>
    </xf>
    <xf borderId="32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left" shrinkToFit="0" vertical="center" wrapText="1"/>
    </xf>
    <xf borderId="10" fillId="0" fontId="18" numFmtId="0" xfId="0" applyAlignment="1" applyBorder="1" applyFont="1">
      <alignment horizontal="left" vertical="center"/>
    </xf>
    <xf borderId="0" fillId="0" fontId="9" numFmtId="49" xfId="0" applyAlignment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33" fillId="2" fontId="12" numFmtId="0" xfId="0" applyAlignment="1" applyBorder="1" applyFont="1">
      <alignment horizontal="left" vertical="center"/>
    </xf>
    <xf borderId="34" fillId="2" fontId="12" numFmtId="0" xfId="0" applyAlignment="1" applyBorder="1" applyFont="1">
      <alignment horizontal="left" vertical="center"/>
    </xf>
    <xf borderId="20" fillId="2" fontId="7" numFmtId="0" xfId="0" applyAlignment="1" applyBorder="1" applyFont="1">
      <alignment vertical="center"/>
    </xf>
    <xf borderId="7" fillId="2" fontId="7" numFmtId="0" xfId="0" applyAlignment="1" applyBorder="1" applyFont="1">
      <alignment horizontal="left" shrinkToFit="0" vertical="center" wrapText="1"/>
    </xf>
    <xf borderId="10" fillId="2" fontId="7" numFmtId="0" xfId="0" applyAlignment="1" applyBorder="1" applyFont="1">
      <alignment horizontal="left" vertical="center"/>
    </xf>
    <xf borderId="35" fillId="7" fontId="7" numFmtId="0" xfId="0" applyAlignment="1" applyBorder="1" applyFill="1" applyFont="1">
      <alignment horizontal="center" vertical="center"/>
    </xf>
    <xf borderId="36" fillId="0" fontId="20" numFmtId="0" xfId="0" applyAlignment="1" applyBorder="1" applyFont="1">
      <alignment vertical="center"/>
    </xf>
    <xf borderId="37" fillId="0" fontId="20" numFmtId="0" xfId="0" applyAlignment="1" applyBorder="1" applyFont="1">
      <alignment vertical="center"/>
    </xf>
    <xf borderId="21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ill="1" applyFont="1">
      <alignment horizontal="left" vertical="center"/>
    </xf>
    <xf borderId="28" fillId="2" fontId="7" numFmtId="0" xfId="0" applyAlignment="1" applyBorder="1" applyFont="1">
      <alignment horizontal="center" shrinkToFit="0" vertical="center" wrapText="1"/>
    </xf>
    <xf borderId="38" fillId="2" fontId="7" numFmtId="0" xfId="0" applyAlignment="1" applyBorder="1" applyFont="1">
      <alignment horizontal="center" shrinkToFit="0" vertical="center" wrapText="1"/>
    </xf>
    <xf borderId="35" fillId="9" fontId="7" numFmtId="0" xfId="0" applyAlignment="1" applyBorder="1" applyFill="1" applyFont="1">
      <alignment horizontal="left" vertical="center"/>
    </xf>
    <xf borderId="35" fillId="2" fontId="7" numFmtId="0" xfId="0" applyAlignment="1" applyBorder="1" applyFont="1">
      <alignment horizontal="left" vertical="center"/>
    </xf>
    <xf borderId="39" fillId="2" fontId="7" numFmtId="0" xfId="0" applyAlignment="1" applyBorder="1" applyFont="1">
      <alignment vertical="center"/>
    </xf>
    <xf borderId="40" fillId="2" fontId="7" numFmtId="0" xfId="0" applyAlignment="1" applyBorder="1" applyFont="1">
      <alignment horizontal="center" shrinkToFit="0" vertical="center" wrapText="1"/>
    </xf>
    <xf borderId="41" fillId="2" fontId="7" numFmtId="0" xfId="0" applyAlignment="1" applyBorder="1" applyFont="1">
      <alignment horizontal="center" shrinkToFit="0" vertical="center" wrapText="1"/>
    </xf>
    <xf borderId="42" fillId="2" fontId="7" numFmtId="0" xfId="0" applyAlignment="1" applyBorder="1" applyFont="1">
      <alignment horizontal="left" vertical="center"/>
    </xf>
    <xf borderId="43" fillId="0" fontId="20" numFmtId="0" xfId="0" applyAlignment="1" applyBorder="1" applyFont="1">
      <alignment vertical="center"/>
    </xf>
    <xf borderId="44" fillId="0" fontId="20" numFmtId="0" xfId="0" applyAlignment="1" applyBorder="1" applyFont="1">
      <alignment vertical="center"/>
    </xf>
    <xf borderId="27" fillId="2" fontId="17" numFmtId="0" xfId="0" applyAlignment="1" applyBorder="1" applyFont="1">
      <alignment horizontal="center" shrinkToFit="0" vertical="center" wrapText="1"/>
    </xf>
    <xf borderId="45" fillId="2" fontId="17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vertical="center"/>
    </xf>
    <xf borderId="7" fillId="6" fontId="7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right" vertical="top"/>
    </xf>
    <xf borderId="7" fillId="2" fontId="17" numFmtId="0" xfId="0" applyAlignment="1" applyBorder="1" applyFont="1">
      <alignment shrinkToFit="0" vertical="center" wrapText="1"/>
    </xf>
    <xf borderId="46" fillId="4" fontId="17" numFmtId="0" xfId="0" applyAlignment="1" applyBorder="1" applyFont="1">
      <alignment horizontal="left" vertical="center"/>
    </xf>
    <xf borderId="1" fillId="4" fontId="9" numFmtId="0" xfId="0" applyAlignment="1" applyBorder="1" applyFont="1">
      <alignment vertical="center"/>
    </xf>
    <xf borderId="28" fillId="4" fontId="7" numFmtId="0" xfId="0" applyAlignment="1" applyBorder="1" applyFont="1">
      <alignment vertical="center"/>
    </xf>
    <xf borderId="10" fillId="2" fontId="17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vertical="center"/>
    </xf>
    <xf borderId="7" fillId="2" fontId="18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shrinkToFit="0" vertical="center" wrapText="1"/>
    </xf>
    <xf borderId="46" fillId="2" fontId="17" numFmtId="0" xfId="0" applyAlignment="1" applyBorder="1" applyFont="1">
      <alignment horizontal="left" vertical="center"/>
    </xf>
    <xf borderId="1" fillId="4" fontId="21" numFmtId="0" xfId="0" applyAlignment="1" applyBorder="1" applyFont="1">
      <alignment vertical="center"/>
    </xf>
    <xf borderId="29" fillId="4" fontId="7" numFmtId="0" xfId="0" applyAlignment="1" applyBorder="1" applyFont="1">
      <alignment vertical="center"/>
    </xf>
    <xf borderId="29" fillId="2" fontId="7" numFmtId="0" xfId="0" applyAlignment="1" applyBorder="1" applyFont="1">
      <alignment vertical="center"/>
    </xf>
    <xf borderId="47" fillId="4" fontId="7" numFmtId="0" xfId="0" applyAlignment="1" applyBorder="1" applyFont="1">
      <alignment vertical="center"/>
    </xf>
    <xf borderId="47" fillId="2" fontId="7" numFmtId="0" xfId="0" applyAlignment="1" applyBorder="1" applyFont="1">
      <alignment vertical="center"/>
    </xf>
    <xf borderId="7" fillId="2" fontId="7" numFmtId="0" xfId="0" applyAlignment="1" applyBorder="1" applyFont="1">
      <alignment horizontal="right" vertical="top"/>
    </xf>
    <xf borderId="1" fillId="2" fontId="7" numFmtId="0" xfId="0" applyAlignment="1" applyBorder="1" applyFont="1">
      <alignment horizontal="left" vertical="top"/>
    </xf>
    <xf borderId="1" fillId="2" fontId="21" numFmtId="0" xfId="0" applyAlignment="1" applyBorder="1" applyFont="1">
      <alignment horizontal="right" vertical="top"/>
    </xf>
    <xf borderId="22" fillId="2" fontId="17" numFmtId="0" xfId="0" applyAlignment="1" applyBorder="1" applyFont="1">
      <alignment horizontal="center" shrinkToFit="0" vertical="center" wrapText="1"/>
    </xf>
    <xf borderId="48" fillId="2" fontId="1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right" shrinkToFit="0" vertical="center" wrapText="1"/>
    </xf>
    <xf borderId="1" fillId="2" fontId="17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31" fillId="0" fontId="17" numFmtId="0" xfId="0" applyAlignment="1" applyBorder="1" applyFont="1">
      <alignment vertical="center"/>
    </xf>
    <xf borderId="32" fillId="0" fontId="17" numFmtId="0" xfId="0" applyAlignment="1" applyBorder="1" applyFont="1">
      <alignment textRotation="90" vertical="center"/>
    </xf>
    <xf borderId="7" fillId="0" fontId="17" numFmtId="0" xfId="0" applyAlignment="1" applyBorder="1" applyFont="1">
      <alignment horizontal="left" shrinkToFit="0" vertical="center" wrapText="1"/>
    </xf>
    <xf borderId="10" fillId="0" fontId="17" numFmtId="0" xfId="0" applyAlignment="1" applyBorder="1" applyFont="1">
      <alignment horizontal="left" vertical="center"/>
    </xf>
    <xf borderId="1" fillId="2" fontId="22" numFmtId="0" xfId="0" applyAlignment="1" applyBorder="1" applyFont="1">
      <alignment horizontal="center" vertical="center"/>
    </xf>
    <xf borderId="28" fillId="2" fontId="17" numFmtId="0" xfId="0" applyAlignment="1" applyBorder="1" applyFont="1">
      <alignment textRotation="90" vertical="center"/>
    </xf>
    <xf borderId="7" fillId="2" fontId="17" numFmtId="0" xfId="0" applyAlignment="1" applyBorder="1" applyFont="1">
      <alignment horizontal="left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23" fillId="4" fontId="7" numFmtId="0" xfId="0" applyAlignment="1" applyBorder="1" applyFont="1">
      <alignment vertical="center"/>
    </xf>
    <xf borderId="23" fillId="2" fontId="7" numFmtId="0" xfId="0" applyAlignment="1" applyBorder="1" applyFont="1">
      <alignment vertical="center"/>
    </xf>
    <xf borderId="45" fillId="2" fontId="17" numFmtId="0" xfId="0" applyAlignment="1" applyBorder="1" applyFont="1">
      <alignment horizontal="center" shrinkToFit="0" textRotation="180" vertical="center" wrapText="1"/>
    </xf>
    <xf borderId="11" fillId="4" fontId="7" numFmtId="0" xfId="0" applyAlignment="1" applyBorder="1" applyFont="1">
      <alignment horizontal="left" shrinkToFit="0" vertical="center" wrapText="1"/>
    </xf>
    <xf borderId="12" fillId="4" fontId="7" numFmtId="0" xfId="0" applyAlignment="1" applyBorder="1" applyFont="1">
      <alignment shrinkToFit="0" vertical="center" wrapText="1"/>
    </xf>
    <xf borderId="12" fillId="6" fontId="7" numFmtId="0" xfId="0" applyAlignment="1" applyBorder="1" applyFont="1">
      <alignment horizontal="left" vertical="center"/>
    </xf>
    <xf borderId="7" fillId="4" fontId="17" numFmtId="0" xfId="0" applyAlignment="1" applyBorder="1" applyFont="1">
      <alignment horizontal="left" vertical="center"/>
    </xf>
    <xf borderId="12" fillId="2" fontId="17" numFmtId="0" xfId="0" applyAlignment="1" applyBorder="1" applyFont="1">
      <alignment shrinkToFit="0" vertical="center" wrapText="1"/>
    </xf>
    <xf borderId="23" fillId="4" fontId="7" numFmtId="0" xfId="0" applyAlignment="1" applyBorder="1" applyFont="1">
      <alignment horizontal="left" shrinkToFit="0" vertical="center" wrapText="1"/>
    </xf>
    <xf borderId="22" fillId="2" fontId="7" numFmtId="0" xfId="0" applyAlignment="1" applyBorder="1" applyFont="1">
      <alignment horizontal="left" vertical="center"/>
    </xf>
    <xf borderId="1" fillId="2" fontId="19" numFmtId="0" xfId="0" applyAlignment="1" applyBorder="1" applyFont="1">
      <alignment vertical="center"/>
    </xf>
    <xf borderId="7" fillId="0" fontId="7" numFmtId="0" xfId="0" applyAlignment="1" applyBorder="1" applyFont="1">
      <alignment horizontal="left" vertical="center"/>
    </xf>
    <xf borderId="1" fillId="2" fontId="19" numFmtId="0" xfId="0" applyAlignment="1" applyBorder="1" applyFont="1">
      <alignment horizontal="left" vertical="center"/>
    </xf>
    <xf borderId="28" fillId="10" fontId="7" numFmtId="0" xfId="0" applyAlignment="1" applyBorder="1" applyFill="1" applyFont="1">
      <alignment vertical="center"/>
    </xf>
    <xf borderId="1" fillId="10" fontId="7" numFmtId="0" xfId="0" applyAlignment="1" applyBorder="1" applyFont="1">
      <alignment horizontal="left" vertical="center"/>
    </xf>
    <xf borderId="22" fillId="10" fontId="7" numFmtId="0" xfId="0" applyAlignment="1" applyBorder="1" applyFont="1">
      <alignment horizontal="left" vertical="center"/>
    </xf>
    <xf borderId="1" fillId="10" fontId="7" numFmtId="0" xfId="0" applyAlignment="1" applyBorder="1" applyFont="1">
      <alignment horizontal="left" shrinkToFit="0" vertical="center" wrapText="1"/>
    </xf>
    <xf borderId="30" fillId="10" fontId="7" numFmtId="0" xfId="0" applyAlignment="1" applyBorder="1" applyFont="1">
      <alignment vertical="center"/>
    </xf>
    <xf borderId="49" fillId="10" fontId="7" numFmtId="0" xfId="0" applyAlignment="1" applyBorder="1" applyFont="1">
      <alignment horizontal="left" vertical="center"/>
    </xf>
    <xf borderId="50" fillId="10" fontId="7" numFmtId="0" xfId="0" applyAlignment="1" applyBorder="1" applyFont="1">
      <alignment horizontal="left" vertical="center"/>
    </xf>
    <xf borderId="21" fillId="4" fontId="7" numFmtId="0" xfId="0" applyAlignment="1" applyBorder="1" applyFont="1">
      <alignment vertical="center"/>
    </xf>
    <xf borderId="26" fillId="4" fontId="7" numFmtId="0" xfId="0" applyAlignment="1" applyBorder="1" applyFont="1">
      <alignment horizontal="left" vertical="center"/>
    </xf>
    <xf borderId="27" fillId="4" fontId="7" numFmtId="0" xfId="0" applyAlignment="1" applyBorder="1" applyFont="1">
      <alignment horizontal="left" vertical="center"/>
    </xf>
    <xf borderId="10" fillId="0" fontId="7" numFmtId="0" xfId="0" applyAlignment="1" applyBorder="1" applyFont="1">
      <alignment horizontal="left" vertical="center"/>
    </xf>
    <xf borderId="51" fillId="4" fontId="7" numFmtId="0" xfId="0" applyAlignment="1" applyBorder="1" applyFont="1">
      <alignment vertical="center"/>
    </xf>
    <xf borderId="28" fillId="11" fontId="7" numFmtId="0" xfId="0" applyAlignment="1" applyBorder="1" applyFill="1" applyFont="1">
      <alignment vertical="center"/>
    </xf>
    <xf borderId="26" fillId="11" fontId="7" numFmtId="0" xfId="0" applyAlignment="1" applyBorder="1" applyFont="1">
      <alignment horizontal="left" vertical="center"/>
    </xf>
    <xf borderId="27" fillId="11" fontId="7" numFmtId="0" xfId="0" applyAlignment="1" applyBorder="1" applyFont="1">
      <alignment horizontal="left" vertical="center"/>
    </xf>
    <xf borderId="47" fillId="11" fontId="7" numFmtId="0" xfId="0" applyAlignment="1" applyBorder="1" applyFont="1">
      <alignment vertical="center"/>
    </xf>
    <xf borderId="1" fillId="11" fontId="7" numFmtId="0" xfId="0" applyAlignment="1" applyBorder="1" applyFont="1">
      <alignment horizontal="left" vertical="center"/>
    </xf>
    <xf borderId="22" fillId="11" fontId="7" numFmtId="0" xfId="0" applyAlignment="1" applyBorder="1" applyFont="1">
      <alignment horizontal="left" vertical="center"/>
    </xf>
    <xf borderId="49" fillId="11" fontId="7" numFmtId="0" xfId="0" applyAlignment="1" applyBorder="1" applyFont="1">
      <alignment horizontal="left" vertical="center"/>
    </xf>
    <xf borderId="50" fillId="11" fontId="7" numFmtId="0" xfId="0" applyAlignment="1" applyBorder="1" applyFont="1">
      <alignment horizontal="left" vertical="center"/>
    </xf>
    <xf borderId="30" fillId="11" fontId="7" numFmtId="0" xfId="0" applyAlignment="1" applyBorder="1" applyFont="1">
      <alignment vertical="center"/>
    </xf>
    <xf borderId="52" fillId="2" fontId="7" numFmtId="0" xfId="0" applyAlignment="1" applyBorder="1" applyFont="1">
      <alignment vertical="center"/>
    </xf>
    <xf borderId="53" fillId="5" fontId="7" numFmtId="0" xfId="0" applyAlignment="1" applyBorder="1" applyFont="1">
      <alignment vertical="center"/>
    </xf>
    <xf borderId="54" fillId="5" fontId="7" numFmtId="0" xfId="0" applyAlignment="1" applyBorder="1" applyFont="1">
      <alignment vertical="center"/>
    </xf>
    <xf borderId="55" fillId="5" fontId="7" numFmtId="0" xfId="0" applyAlignment="1" applyBorder="1" applyFont="1">
      <alignment vertical="center"/>
    </xf>
    <xf borderId="1" fillId="2" fontId="7" numFmtId="49" xfId="0" applyAlignment="1" applyBorder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1" fillId="2" fontId="24" numFmtId="0" xfId="0" applyAlignment="1" applyBorder="1" applyFont="1">
      <alignment vertical="center"/>
    </xf>
    <xf borderId="1" fillId="2" fontId="25" numFmtId="0" xfId="0" applyAlignment="1" applyBorder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56" fillId="12" fontId="27" numFmtId="0" xfId="0" applyAlignment="1" applyBorder="1" applyFill="1" applyFont="1">
      <alignment horizontal="left" vertical="center"/>
    </xf>
    <xf borderId="57" fillId="0" fontId="20" numFmtId="0" xfId="0" applyAlignment="1" applyBorder="1" applyFont="1">
      <alignment vertical="center"/>
    </xf>
    <xf borderId="58" fillId="0" fontId="20" numFmtId="0" xfId="0" applyAlignment="1" applyBorder="1" applyFont="1">
      <alignment vertical="center"/>
    </xf>
    <xf borderId="1" fillId="2" fontId="26" numFmtId="0" xfId="0" applyAlignment="1" applyBorder="1" applyFont="1">
      <alignment vertical="center"/>
    </xf>
    <xf borderId="56" fillId="12" fontId="27" numFmtId="0" xfId="0" applyAlignment="1" applyBorder="1" applyFont="1">
      <alignment horizontal="center" vertical="center"/>
    </xf>
    <xf borderId="24" fillId="12" fontId="27" numFmtId="0" xfId="0" applyAlignment="1" applyBorder="1" applyFont="1">
      <alignment vertical="center"/>
    </xf>
    <xf borderId="46" fillId="12" fontId="27" numFmtId="0" xfId="0" applyAlignment="1" applyBorder="1" applyFont="1">
      <alignment vertical="center"/>
    </xf>
    <xf borderId="59" fillId="12" fontId="5" numFmtId="0" xfId="0" applyAlignment="1" applyBorder="1" applyFont="1">
      <alignment horizontal="center" vertical="center"/>
    </xf>
    <xf borderId="59" fillId="12" fontId="5" numFmtId="0" xfId="0" applyAlignment="1" applyBorder="1" applyFont="1">
      <alignment horizontal="center" shrinkToFit="0" vertical="center" wrapText="1"/>
    </xf>
    <xf borderId="56" fillId="12" fontId="5" numFmtId="0" xfId="0" applyAlignment="1" applyBorder="1" applyFont="1">
      <alignment horizontal="center" vertical="center"/>
    </xf>
    <xf borderId="60" fillId="0" fontId="20" numFmtId="0" xfId="0" applyAlignment="1" applyBorder="1" applyFont="1">
      <alignment vertical="center"/>
    </xf>
    <xf borderId="23" fillId="12" fontId="5" numFmtId="0" xfId="0" applyAlignment="1" applyBorder="1" applyFont="1">
      <alignment horizontal="center" vertical="center"/>
    </xf>
    <xf borderId="61" fillId="12" fontId="5" numFmtId="0" xfId="0" applyAlignment="1" applyBorder="1" applyFont="1">
      <alignment horizontal="center" shrinkToFit="0" vertical="center" wrapText="1"/>
    </xf>
    <xf borderId="1" fillId="2" fontId="28" numFmtId="0" xfId="0" applyAlignment="1" applyBorder="1" applyFont="1">
      <alignment vertical="center"/>
    </xf>
    <xf borderId="56" fillId="12" fontId="5" numFmtId="0" xfId="0" applyAlignment="1" applyBorder="1" applyFont="1">
      <alignment horizontal="left" vertical="center"/>
    </xf>
    <xf borderId="56" fillId="12" fontId="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right" vertical="center"/>
    </xf>
    <xf borderId="62" fillId="0" fontId="20" numFmtId="0" xfId="0" applyAlignment="1" applyBorder="1" applyFont="1">
      <alignment vertical="center"/>
    </xf>
    <xf borderId="7" fillId="12" fontId="5" numFmtId="0" xfId="0" applyAlignment="1" applyBorder="1" applyFont="1">
      <alignment horizontal="center" shrinkToFit="0" vertical="center" wrapText="1"/>
    </xf>
    <xf borderId="11" fillId="12" fontId="5" numFmtId="0" xfId="0" applyAlignment="1" applyBorder="1" applyFont="1">
      <alignment horizontal="center" shrinkToFit="0" vertical="center" wrapText="1"/>
    </xf>
    <xf borderId="21" fillId="12" fontId="5" numFmtId="0" xfId="0" applyAlignment="1" applyBorder="1" applyFont="1">
      <alignment horizontal="center" shrinkToFit="0" vertical="center" wrapText="1"/>
    </xf>
    <xf borderId="63" fillId="0" fontId="20" numFmtId="0" xfId="0" applyAlignment="1" applyBorder="1" applyFont="1">
      <alignment vertical="center"/>
    </xf>
    <xf borderId="7" fillId="12" fontId="5" numFmtId="0" xfId="0" applyAlignment="1" applyBorder="1" applyFont="1">
      <alignment horizontal="center" vertical="center"/>
    </xf>
    <xf borderId="23" fillId="12" fontId="5" numFmtId="0" xfId="0" applyAlignment="1" applyBorder="1" applyFont="1">
      <alignment horizontal="center" shrinkToFit="0" vertical="center" wrapText="1"/>
    </xf>
    <xf borderId="1" fillId="4" fontId="28" numFmtId="0" xfId="0" applyAlignment="1" applyBorder="1" applyFont="1">
      <alignment vertical="center"/>
    </xf>
    <xf borderId="7" fillId="12" fontId="5" numFmtId="0" xfId="0" applyAlignment="1" applyBorder="1" applyFont="1">
      <alignment shrinkToFit="0" vertical="center" wrapText="1"/>
    </xf>
    <xf borderId="7" fillId="12" fontId="27" numFmtId="0" xfId="0" applyAlignment="1" applyBorder="1" applyFont="1">
      <alignment horizontal="center" shrinkToFit="0" vertical="center" wrapText="1"/>
    </xf>
    <xf borderId="7" fillId="0" fontId="29" numFmtId="0" xfId="0" applyAlignment="1" applyBorder="1" applyFont="1">
      <alignment horizontal="center" vertical="center"/>
    </xf>
    <xf borderId="7" fillId="0" fontId="29" numFmtId="49" xfId="0" applyAlignment="1" applyBorder="1" applyFont="1" applyNumberFormat="1">
      <alignment horizontal="left" vertical="center"/>
    </xf>
    <xf borderId="7" fillId="0" fontId="29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7" fillId="13" fontId="2" numFmtId="166" xfId="0" applyAlignment="1" applyBorder="1" applyFill="1" applyFont="1" applyNumberFormat="1">
      <alignment horizontal="center" shrinkToFit="0" vertical="center" wrapText="1"/>
    </xf>
    <xf borderId="7" fillId="13" fontId="2" numFmtId="167" xfId="0" applyAlignment="1" applyBorder="1" applyFont="1" applyNumberFormat="1">
      <alignment horizontal="right" shrinkToFit="0" vertical="center" wrapText="1"/>
    </xf>
    <xf borderId="7" fillId="0" fontId="2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7" fillId="13" fontId="2" numFmtId="168" xfId="0" applyAlignment="1" applyBorder="1" applyFont="1" applyNumberFormat="1">
      <alignment horizontal="center" vertical="center"/>
    </xf>
    <xf borderId="7" fillId="13" fontId="2" numFmtId="169" xfId="0" applyAlignment="1" applyBorder="1" applyFont="1" applyNumberFormat="1">
      <alignment horizontal="center" vertical="center"/>
    </xf>
    <xf borderId="7" fillId="13" fontId="2" numFmtId="170" xfId="0" applyAlignment="1" applyBorder="1" applyFont="1" applyNumberFormat="1">
      <alignment horizontal="center" vertical="center"/>
    </xf>
    <xf borderId="7" fillId="0" fontId="2" numFmtId="171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vertical="center"/>
    </xf>
    <xf borderId="7" fillId="13" fontId="2" numFmtId="166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7" fillId="0" fontId="2" numFmtId="168" xfId="0" applyAlignment="1" applyBorder="1" applyFont="1" applyNumberFormat="1">
      <alignment horizontal="center" vertical="center"/>
    </xf>
    <xf borderId="59" fillId="0" fontId="29" numFmtId="0" xfId="0" applyAlignment="1" applyBorder="1" applyFont="1">
      <alignment horizontal="center" vertical="center"/>
    </xf>
    <xf borderId="59" fillId="0" fontId="29" numFmtId="49" xfId="0" applyAlignment="1" applyBorder="1" applyFont="1" applyNumberFormat="1">
      <alignment horizontal="left" vertical="center"/>
    </xf>
    <xf borderId="59" fillId="13" fontId="2" numFmtId="167" xfId="0" applyAlignment="1" applyBorder="1" applyFont="1" applyNumberFormat="1">
      <alignment horizontal="right" shrinkToFit="0" vertical="center" wrapText="1"/>
    </xf>
    <xf borderId="59" fillId="13" fontId="2" numFmtId="168" xfId="0" applyAlignment="1" applyBorder="1" applyFont="1" applyNumberFormat="1">
      <alignment horizontal="center" vertical="center"/>
    </xf>
    <xf borderId="59" fillId="13" fontId="2" numFmtId="169" xfId="0" applyAlignment="1" applyBorder="1" applyFont="1" applyNumberFormat="1">
      <alignment horizontal="center" vertical="center"/>
    </xf>
    <xf borderId="59" fillId="0" fontId="2" numFmtId="0" xfId="0" applyAlignment="1" applyBorder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0" fillId="0" fontId="23" numFmtId="166" xfId="0" applyAlignment="1" applyFont="1" applyNumberFormat="1">
      <alignment horizontal="center" vertical="center"/>
    </xf>
    <xf borderId="1" fillId="2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30" numFmtId="0" xfId="0" applyAlignment="1" applyFont="1">
      <alignment vertical="center"/>
    </xf>
    <xf borderId="7" fillId="14" fontId="31" numFmtId="0" xfId="0" applyAlignment="1" applyBorder="1" applyFill="1" applyFont="1">
      <alignment horizontal="center" shrinkToFit="0" vertical="center" wrapText="1"/>
    </xf>
    <xf borderId="7" fillId="0" fontId="32" numFmtId="0" xfId="0" applyAlignment="1" applyBorder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5" numFmtId="0" xfId="0" applyAlignment="1" applyFont="1">
      <alignment vertical="center"/>
    </xf>
    <xf borderId="0" fillId="0" fontId="35" numFmtId="0" xfId="0" applyAlignment="1" applyFont="1">
      <alignment textRotation="180" vertical="center"/>
    </xf>
    <xf borderId="0" fillId="0" fontId="35" numFmtId="0" xfId="0" applyAlignment="1" applyFont="1">
      <alignment vertical="bottom"/>
    </xf>
    <xf borderId="56" fillId="15" fontId="31" numFmtId="0" xfId="0" applyAlignment="1" applyBorder="1" applyFill="1" applyFont="1">
      <alignment horizontal="center" vertical="center"/>
    </xf>
    <xf borderId="11" fillId="14" fontId="36" numFmtId="0" xfId="0" applyAlignment="1" applyBorder="1" applyFont="1">
      <alignment horizontal="center" shrinkToFit="0" textRotation="180" vertical="bottom" wrapText="1"/>
    </xf>
    <xf borderId="11" fillId="14" fontId="36" numFmtId="0" xfId="0" applyAlignment="1" applyBorder="1" applyFont="1">
      <alignment horizontal="center" textRotation="180" vertical="bottom"/>
    </xf>
    <xf borderId="47" fillId="14" fontId="36" numFmtId="0" xfId="0" applyAlignment="1" applyBorder="1" applyFont="1">
      <alignment horizontal="center" shrinkToFit="0" textRotation="180" vertical="bottom" wrapText="1"/>
    </xf>
    <xf borderId="47" fillId="14" fontId="36" numFmtId="0" xfId="0" applyAlignment="1" applyBorder="1" applyFont="1">
      <alignment horizontal="center" textRotation="180" vertical="bottom"/>
    </xf>
    <xf borderId="7" fillId="16" fontId="7" numFmtId="0" xfId="0" applyAlignment="1" applyBorder="1" applyFill="1" applyFont="1">
      <alignment horizontal="center" vertical="bottom"/>
    </xf>
    <xf borderId="7" fillId="17" fontId="7" numFmtId="49" xfId="0" applyAlignment="1" applyBorder="1" applyFill="1" applyFont="1" applyNumberFormat="1">
      <alignment vertical="bottom"/>
    </xf>
    <xf borderId="23" fillId="2" fontId="7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vertical="center"/>
    </xf>
    <xf borderId="23" fillId="4" fontId="7" numFmtId="0" xfId="0" applyAlignment="1" applyBorder="1" applyFont="1">
      <alignment horizontal="right" vertical="bottom"/>
    </xf>
    <xf borderId="7" fillId="4" fontId="7" numFmtId="0" xfId="0" applyAlignment="1" applyBorder="1" applyFont="1">
      <alignment horizontal="center" vertical="center"/>
    </xf>
    <xf borderId="23" fillId="2" fontId="1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" cy="31432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4695825</xdr:colOff>
      <xdr:row>12</xdr:row>
      <xdr:rowOff>152400</xdr:rowOff>
    </xdr:from>
    <xdr:ext cx="2486025" cy="1905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295400" cy="39052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23975" cy="342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23975" cy="342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</xdr:row>
      <xdr:rowOff>9525</xdr:rowOff>
    </xdr:from>
    <xdr:ext cx="7477125" cy="1143000"/>
    <xdr:sp>
      <xdr:nvSpPr>
        <xdr:cNvPr id="3" name="Shape 3"/>
        <xdr:cNvSpPr txBox="1"/>
      </xdr:nvSpPr>
      <xdr:spPr>
        <a:xfrm>
          <a:off x="1612200" y="3213263"/>
          <a:ext cx="7467600" cy="11334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Normalized Gain can be calculated with following equation: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Normalized Gain = (16384)/(16384 - X),  where x is  ana_gain_global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Table below shows relationship between  "ana_gain_global " and  "Normalized Gain."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relationship between the setting values X of ana_gain_global and the gain is shown on the following table. The ana_gain_global value is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normally set in  the range from 0d to 15360d [0dB to 24dB] or 0d to 16128d [0dB to 36dB]. 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009650" cy="31432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9525</xdr:rowOff>
    </xdr:from>
    <xdr:ext cx="1066800" cy="33337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43"/>
    <col customWidth="1" min="2" max="2" width="13.71"/>
    <col customWidth="1" min="3" max="3" width="10.0"/>
    <col customWidth="1" min="4" max="4" width="16.14"/>
    <col customWidth="1" min="5" max="5" width="21.29"/>
    <col customWidth="1" min="6" max="6" width="115.71"/>
    <col customWidth="1" min="7" max="7" width="7.86"/>
    <col customWidth="1" min="8" max="26" width="9.0"/>
  </cols>
  <sheetData>
    <row r="1" ht="18.75" customHeight="1">
      <c r="A1" s="1"/>
      <c r="B1" s="2"/>
      <c r="C1" s="3" t="s">
        <v>0</v>
      </c>
      <c r="D1" s="3" t="s">
        <v>0</v>
      </c>
      <c r="E1" s="3" t="s">
        <v>0</v>
      </c>
      <c r="F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2"/>
      <c r="C2" s="3" t="s">
        <v>0</v>
      </c>
      <c r="D2" s="3" t="s">
        <v>0</v>
      </c>
      <c r="E2" s="3" t="s">
        <v>0</v>
      </c>
      <c r="F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8"/>
      <c r="B4" s="9">
        <v>45896.0</v>
      </c>
      <c r="C4" s="10" t="s">
        <v>6</v>
      </c>
      <c r="D4" s="11" t="s">
        <v>7</v>
      </c>
      <c r="E4" s="12" t="s">
        <v>8</v>
      </c>
      <c r="F4" s="13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8"/>
      <c r="B5" s="14">
        <v>45924.0</v>
      </c>
      <c r="C5" s="15" t="s">
        <v>10</v>
      </c>
      <c r="D5" s="11" t="s">
        <v>7</v>
      </c>
      <c r="E5" s="16"/>
      <c r="F5" s="17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8"/>
      <c r="B6" s="14">
        <v>45931.0</v>
      </c>
      <c r="C6" s="15" t="s">
        <v>12</v>
      </c>
      <c r="D6" s="11" t="s">
        <v>7</v>
      </c>
      <c r="E6" s="16"/>
      <c r="F6" s="17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8"/>
      <c r="B7" s="14">
        <v>45931.0</v>
      </c>
      <c r="C7" s="15" t="s">
        <v>14</v>
      </c>
      <c r="D7" s="11" t="s">
        <v>7</v>
      </c>
      <c r="E7" s="16"/>
      <c r="F7" s="17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8"/>
      <c r="B8" s="14">
        <v>45946.0</v>
      </c>
      <c r="C8" s="15" t="s">
        <v>16</v>
      </c>
      <c r="D8" s="11" t="s">
        <v>7</v>
      </c>
      <c r="E8" s="16"/>
      <c r="F8" s="17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8"/>
      <c r="B9" s="14">
        <v>45946.0</v>
      </c>
      <c r="C9" s="15" t="s">
        <v>18</v>
      </c>
      <c r="D9" s="11" t="s">
        <v>7</v>
      </c>
      <c r="E9" s="16"/>
      <c r="F9" s="17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8"/>
      <c r="B10" s="14">
        <v>45950.0</v>
      </c>
      <c r="C10" s="15" t="s">
        <v>20</v>
      </c>
      <c r="D10" s="11" t="s">
        <v>7</v>
      </c>
      <c r="E10" s="16"/>
      <c r="F10" s="17" t="s">
        <v>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8"/>
      <c r="B11" s="14">
        <v>45954.0</v>
      </c>
      <c r="C11" s="15" t="s">
        <v>22</v>
      </c>
      <c r="D11" s="11" t="s">
        <v>7</v>
      </c>
      <c r="E11" s="16"/>
      <c r="F11" s="17" t="s">
        <v>23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8"/>
      <c r="B12" s="14">
        <v>45957.0</v>
      </c>
      <c r="C12" s="15" t="s">
        <v>24</v>
      </c>
      <c r="D12" s="11" t="s">
        <v>7</v>
      </c>
      <c r="E12" s="18"/>
      <c r="F12" s="19" t="s">
        <v>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8.5" customHeight="1">
      <c r="A13" s="8"/>
      <c r="B13" s="20">
        <v>46028.0</v>
      </c>
      <c r="C13" s="21" t="s">
        <v>26</v>
      </c>
      <c r="D13" s="11" t="s">
        <v>7</v>
      </c>
      <c r="E13" s="18"/>
      <c r="F13" s="19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8"/>
      <c r="B14" s="14">
        <v>46028.0</v>
      </c>
      <c r="C14" s="15" t="s">
        <v>26</v>
      </c>
      <c r="D14" s="11" t="s">
        <v>28</v>
      </c>
      <c r="E14" s="16"/>
      <c r="F14" s="17" t="s">
        <v>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8"/>
      <c r="B15" s="22"/>
      <c r="C15" s="23"/>
      <c r="D15" s="24"/>
      <c r="E15" s="25"/>
      <c r="F15" s="2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8"/>
      <c r="B16" s="27"/>
      <c r="C16" s="28"/>
      <c r="D16" s="29"/>
      <c r="E16" s="30"/>
      <c r="F16" s="3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2"/>
      <c r="C17" s="32"/>
      <c r="D17" s="32"/>
      <c r="E17" s="32"/>
      <c r="F17" s="3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2"/>
      <c r="C18" s="32"/>
      <c r="D18" s="32"/>
      <c r="E18" s="32"/>
      <c r="F18" s="3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2"/>
      <c r="C19" s="32"/>
      <c r="D19" s="32"/>
      <c r="E19" s="32"/>
      <c r="F19" s="3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2"/>
      <c r="C20" s="32"/>
      <c r="D20" s="32"/>
      <c r="E20" s="32"/>
      <c r="F20" s="3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2"/>
      <c r="C21" s="32"/>
      <c r="D21" s="32"/>
      <c r="E21" s="32"/>
      <c r="F21" s="3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2"/>
      <c r="C22" s="32"/>
      <c r="D22" s="32"/>
      <c r="E22" s="32"/>
      <c r="F22" s="3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2"/>
      <c r="C23" s="32"/>
      <c r="D23" s="32"/>
      <c r="E23" s="32"/>
      <c r="F23" s="3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2"/>
      <c r="C24" s="32"/>
      <c r="D24" s="32"/>
      <c r="E24" s="32"/>
      <c r="F24" s="3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2"/>
      <c r="C25" s="32"/>
      <c r="D25" s="32"/>
      <c r="E25" s="32"/>
      <c r="F25" s="3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2"/>
      <c r="C26" s="32"/>
      <c r="D26" s="32"/>
      <c r="E26" s="32"/>
      <c r="F26" s="3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2"/>
      <c r="C27" s="32"/>
      <c r="D27" s="32"/>
      <c r="E27" s="32"/>
      <c r="F27" s="3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2"/>
      <c r="C28" s="32"/>
      <c r="D28" s="32"/>
      <c r="E28" s="32"/>
      <c r="F28" s="3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2"/>
      <c r="C29" s="32"/>
      <c r="D29" s="32"/>
      <c r="E29" s="32"/>
      <c r="F29" s="3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2"/>
      <c r="C30" s="32"/>
      <c r="D30" s="32"/>
      <c r="E30" s="32"/>
      <c r="F30" s="3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2"/>
      <c r="C31" s="32"/>
      <c r="D31" s="32"/>
      <c r="E31" s="32"/>
      <c r="F31" s="3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2"/>
      <c r="C32" s="32"/>
      <c r="D32" s="32"/>
      <c r="E32" s="32"/>
      <c r="F32" s="3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2"/>
      <c r="C33" s="32"/>
      <c r="D33" s="32"/>
      <c r="E33" s="32"/>
      <c r="F33" s="3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2"/>
      <c r="C34" s="32"/>
      <c r="D34" s="32"/>
      <c r="E34" s="32"/>
      <c r="F34" s="3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2"/>
      <c r="C35" s="32"/>
      <c r="D35" s="32"/>
      <c r="E35" s="32"/>
      <c r="F35" s="3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2"/>
      <c r="C36" s="32"/>
      <c r="D36" s="32"/>
      <c r="E36" s="32"/>
      <c r="F36" s="3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2"/>
      <c r="C37" s="32"/>
      <c r="D37" s="32"/>
      <c r="E37" s="32"/>
      <c r="F37" s="3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2"/>
      <c r="C38" s="32"/>
      <c r="D38" s="32"/>
      <c r="E38" s="32"/>
      <c r="F38" s="3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2"/>
      <c r="C39" s="32"/>
      <c r="D39" s="32"/>
      <c r="E39" s="32"/>
      <c r="F39" s="3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2"/>
      <c r="C40" s="32"/>
      <c r="D40" s="32"/>
      <c r="E40" s="32"/>
      <c r="F40" s="3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2"/>
      <c r="C41" s="32"/>
      <c r="D41" s="32"/>
      <c r="E41" s="32"/>
      <c r="F41" s="3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2"/>
      <c r="C42" s="32"/>
      <c r="D42" s="32"/>
      <c r="E42" s="32"/>
      <c r="F42" s="3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2"/>
      <c r="C43" s="32"/>
      <c r="D43" s="32"/>
      <c r="E43" s="32"/>
      <c r="F43" s="3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2"/>
      <c r="C44" s="32"/>
      <c r="D44" s="32"/>
      <c r="E44" s="32"/>
      <c r="F44" s="3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2"/>
      <c r="C45" s="32"/>
      <c r="D45" s="32"/>
      <c r="E45" s="32"/>
      <c r="F45" s="3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2"/>
      <c r="C46" s="32"/>
      <c r="D46" s="32"/>
      <c r="E46" s="32"/>
      <c r="F46" s="3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2"/>
      <c r="C47" s="32"/>
      <c r="D47" s="32"/>
      <c r="E47" s="32"/>
      <c r="F47" s="3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2"/>
      <c r="C48" s="32"/>
      <c r="D48" s="32"/>
      <c r="E48" s="32"/>
      <c r="F48" s="3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2"/>
      <c r="C49" s="32"/>
      <c r="D49" s="32"/>
      <c r="E49" s="32"/>
      <c r="F49" s="3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2"/>
      <c r="C50" s="32"/>
      <c r="D50" s="32"/>
      <c r="E50" s="32"/>
      <c r="F50" s="3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2"/>
      <c r="C51" s="32"/>
      <c r="D51" s="32"/>
      <c r="E51" s="32"/>
      <c r="F51" s="3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2"/>
      <c r="C52" s="32"/>
      <c r="D52" s="32"/>
      <c r="E52" s="32"/>
      <c r="F52" s="3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2"/>
      <c r="C53" s="32"/>
      <c r="D53" s="32"/>
      <c r="E53" s="32"/>
      <c r="F53" s="3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2"/>
      <c r="C54" s="32"/>
      <c r="D54" s="32"/>
      <c r="E54" s="32"/>
      <c r="F54" s="3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2"/>
      <c r="C55" s="32"/>
      <c r="D55" s="32"/>
      <c r="E55" s="32"/>
      <c r="F55" s="3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2"/>
      <c r="C56" s="32"/>
      <c r="D56" s="32"/>
      <c r="E56" s="32"/>
      <c r="F56" s="3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2"/>
      <c r="C57" s="32"/>
      <c r="D57" s="32"/>
      <c r="E57" s="32"/>
      <c r="F57" s="3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2"/>
      <c r="C58" s="32"/>
      <c r="D58" s="32"/>
      <c r="E58" s="32"/>
      <c r="F58" s="3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2"/>
      <c r="C59" s="32"/>
      <c r="D59" s="32"/>
      <c r="E59" s="32"/>
      <c r="F59" s="3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2"/>
      <c r="C60" s="32"/>
      <c r="D60" s="32"/>
      <c r="E60" s="32"/>
      <c r="F60" s="3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2"/>
      <c r="C61" s="32"/>
      <c r="D61" s="32"/>
      <c r="E61" s="32"/>
      <c r="F61" s="3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2"/>
      <c r="C62" s="32"/>
      <c r="D62" s="32"/>
      <c r="E62" s="32"/>
      <c r="F62" s="3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2"/>
      <c r="C63" s="32"/>
      <c r="D63" s="32"/>
      <c r="E63" s="32"/>
      <c r="F63" s="3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2"/>
      <c r="C64" s="32"/>
      <c r="D64" s="32"/>
      <c r="E64" s="32"/>
      <c r="F64" s="3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2"/>
      <c r="C65" s="32"/>
      <c r="D65" s="32"/>
      <c r="E65" s="32"/>
      <c r="F65" s="3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2"/>
      <c r="C66" s="32"/>
      <c r="D66" s="32"/>
      <c r="E66" s="32"/>
      <c r="F66" s="3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2"/>
      <c r="C67" s="32"/>
      <c r="D67" s="32"/>
      <c r="E67" s="32"/>
      <c r="F67" s="3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2"/>
      <c r="C68" s="32"/>
      <c r="D68" s="32"/>
      <c r="E68" s="32"/>
      <c r="F68" s="3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2"/>
      <c r="C69" s="32"/>
      <c r="D69" s="32"/>
      <c r="E69" s="32"/>
      <c r="F69" s="3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2"/>
      <c r="C70" s="32"/>
      <c r="D70" s="32"/>
      <c r="E70" s="32"/>
      <c r="F70" s="3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2"/>
      <c r="C71" s="32"/>
      <c r="D71" s="32"/>
      <c r="E71" s="32"/>
      <c r="F71" s="3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2"/>
      <c r="C72" s="32"/>
      <c r="D72" s="32"/>
      <c r="E72" s="32"/>
      <c r="F72" s="3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2"/>
      <c r="C73" s="32"/>
      <c r="D73" s="32"/>
      <c r="E73" s="32"/>
      <c r="F73" s="3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2"/>
      <c r="C74" s="32"/>
      <c r="D74" s="32"/>
      <c r="E74" s="32"/>
      <c r="F74" s="3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2"/>
      <c r="C75" s="32"/>
      <c r="D75" s="32"/>
      <c r="E75" s="32"/>
      <c r="F75" s="3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2"/>
      <c r="C76" s="32"/>
      <c r="D76" s="32"/>
      <c r="E76" s="32"/>
      <c r="F76" s="3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2"/>
      <c r="C77" s="32"/>
      <c r="D77" s="32"/>
      <c r="E77" s="32"/>
      <c r="F77" s="3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2"/>
      <c r="C78" s="32"/>
      <c r="D78" s="32"/>
      <c r="E78" s="32"/>
      <c r="F78" s="3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2"/>
      <c r="C79" s="32"/>
      <c r="D79" s="32"/>
      <c r="E79" s="32"/>
      <c r="F79" s="3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2"/>
      <c r="C80" s="32"/>
      <c r="D80" s="32"/>
      <c r="E80" s="32"/>
      <c r="F80" s="3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2"/>
      <c r="C81" s="32"/>
      <c r="D81" s="32"/>
      <c r="E81" s="32"/>
      <c r="F81" s="3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2"/>
      <c r="C82" s="32"/>
      <c r="D82" s="32"/>
      <c r="E82" s="32"/>
      <c r="F82" s="3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2"/>
      <c r="C83" s="32"/>
      <c r="D83" s="32"/>
      <c r="E83" s="32"/>
      <c r="F83" s="3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2"/>
      <c r="C84" s="32"/>
      <c r="D84" s="32"/>
      <c r="E84" s="32"/>
      <c r="F84" s="3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2"/>
      <c r="C85" s="32"/>
      <c r="D85" s="32"/>
      <c r="E85" s="32"/>
      <c r="F85" s="3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2"/>
      <c r="C86" s="32"/>
      <c r="D86" s="32"/>
      <c r="E86" s="32"/>
      <c r="F86" s="3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2"/>
      <c r="C87" s="32"/>
      <c r="D87" s="32"/>
      <c r="E87" s="32"/>
      <c r="F87" s="3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2"/>
      <c r="C88" s="32"/>
      <c r="D88" s="32"/>
      <c r="E88" s="32"/>
      <c r="F88" s="3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2"/>
      <c r="C89" s="32"/>
      <c r="D89" s="32"/>
      <c r="E89" s="32"/>
      <c r="F89" s="3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2"/>
      <c r="C90" s="32"/>
      <c r="D90" s="32"/>
      <c r="E90" s="32"/>
      <c r="F90" s="3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2"/>
      <c r="C91" s="32"/>
      <c r="D91" s="32"/>
      <c r="E91" s="32"/>
      <c r="F91" s="3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2"/>
      <c r="C92" s="32"/>
      <c r="D92" s="32"/>
      <c r="E92" s="32"/>
      <c r="F92" s="3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2"/>
      <c r="C93" s="32"/>
      <c r="D93" s="32"/>
      <c r="E93" s="32"/>
      <c r="F93" s="3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2"/>
      <c r="C94" s="32"/>
      <c r="D94" s="32"/>
      <c r="E94" s="32"/>
      <c r="F94" s="3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2"/>
      <c r="C95" s="32"/>
      <c r="D95" s="32"/>
      <c r="E95" s="32"/>
      <c r="F95" s="3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2"/>
      <c r="C96" s="32"/>
      <c r="D96" s="32"/>
      <c r="E96" s="32"/>
      <c r="F96" s="3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2"/>
      <c r="C97" s="32"/>
      <c r="D97" s="32"/>
      <c r="E97" s="32"/>
      <c r="F97" s="3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2"/>
      <c r="C98" s="32"/>
      <c r="D98" s="32"/>
      <c r="E98" s="32"/>
      <c r="F98" s="3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2"/>
      <c r="C99" s="32"/>
      <c r="D99" s="32"/>
      <c r="E99" s="32"/>
      <c r="F99" s="3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2"/>
      <c r="C100" s="32"/>
      <c r="D100" s="32"/>
      <c r="E100" s="32"/>
      <c r="F100" s="3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2"/>
      <c r="C101" s="32"/>
      <c r="D101" s="32"/>
      <c r="E101" s="32"/>
      <c r="F101" s="3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2"/>
      <c r="C102" s="32"/>
      <c r="D102" s="32"/>
      <c r="E102" s="32"/>
      <c r="F102" s="3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2"/>
      <c r="C103" s="32"/>
      <c r="D103" s="32"/>
      <c r="E103" s="32"/>
      <c r="F103" s="3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2"/>
      <c r="C104" s="32"/>
      <c r="D104" s="32"/>
      <c r="E104" s="32"/>
      <c r="F104" s="3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2"/>
      <c r="C105" s="32"/>
      <c r="D105" s="32"/>
      <c r="E105" s="32"/>
      <c r="F105" s="3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2"/>
      <c r="C106" s="32"/>
      <c r="D106" s="32"/>
      <c r="E106" s="32"/>
      <c r="F106" s="3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2"/>
      <c r="C107" s="32"/>
      <c r="D107" s="32"/>
      <c r="E107" s="32"/>
      <c r="F107" s="3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2"/>
      <c r="C108" s="32"/>
      <c r="D108" s="32"/>
      <c r="E108" s="32"/>
      <c r="F108" s="3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2"/>
      <c r="C109" s="32"/>
      <c r="D109" s="32"/>
      <c r="E109" s="32"/>
      <c r="F109" s="3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2"/>
      <c r="C110" s="32"/>
      <c r="D110" s="32"/>
      <c r="E110" s="32"/>
      <c r="F110" s="3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2"/>
      <c r="C111" s="32"/>
      <c r="D111" s="32"/>
      <c r="E111" s="32"/>
      <c r="F111" s="3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2"/>
      <c r="C112" s="32"/>
      <c r="D112" s="32"/>
      <c r="E112" s="32"/>
      <c r="F112" s="3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2"/>
      <c r="C113" s="32"/>
      <c r="D113" s="32"/>
      <c r="E113" s="32"/>
      <c r="F113" s="3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2"/>
      <c r="C114" s="32"/>
      <c r="D114" s="32"/>
      <c r="E114" s="32"/>
      <c r="F114" s="3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2"/>
      <c r="C115" s="32"/>
      <c r="D115" s="32"/>
      <c r="E115" s="32"/>
      <c r="F115" s="3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2"/>
      <c r="C116" s="32"/>
      <c r="D116" s="32"/>
      <c r="E116" s="32"/>
      <c r="F116" s="3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2"/>
      <c r="C117" s="32"/>
      <c r="D117" s="32"/>
      <c r="E117" s="32"/>
      <c r="F117" s="3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2"/>
      <c r="C118" s="32"/>
      <c r="D118" s="32"/>
      <c r="E118" s="32"/>
      <c r="F118" s="3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2"/>
      <c r="C119" s="32"/>
      <c r="D119" s="32"/>
      <c r="E119" s="32"/>
      <c r="F119" s="3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2"/>
      <c r="C120" s="32"/>
      <c r="D120" s="32"/>
      <c r="E120" s="32"/>
      <c r="F120" s="3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2"/>
      <c r="C121" s="32"/>
      <c r="D121" s="32"/>
      <c r="E121" s="32"/>
      <c r="F121" s="3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2"/>
      <c r="C122" s="32"/>
      <c r="D122" s="32"/>
      <c r="E122" s="32"/>
      <c r="F122" s="3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2"/>
      <c r="C123" s="32"/>
      <c r="D123" s="32"/>
      <c r="E123" s="32"/>
      <c r="F123" s="3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2"/>
      <c r="C124" s="32"/>
      <c r="D124" s="32"/>
      <c r="E124" s="32"/>
      <c r="F124" s="3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2"/>
      <c r="C125" s="32"/>
      <c r="D125" s="32"/>
      <c r="E125" s="32"/>
      <c r="F125" s="3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2"/>
      <c r="C126" s="32"/>
      <c r="D126" s="32"/>
      <c r="E126" s="32"/>
      <c r="F126" s="3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2"/>
      <c r="C127" s="32"/>
      <c r="D127" s="32"/>
      <c r="E127" s="32"/>
      <c r="F127" s="3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2"/>
      <c r="C128" s="32"/>
      <c r="D128" s="32"/>
      <c r="E128" s="32"/>
      <c r="F128" s="3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2"/>
      <c r="C129" s="32"/>
      <c r="D129" s="32"/>
      <c r="E129" s="32"/>
      <c r="F129" s="3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2"/>
      <c r="C130" s="32"/>
      <c r="D130" s="32"/>
      <c r="E130" s="32"/>
      <c r="F130" s="3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2"/>
      <c r="C131" s="32"/>
      <c r="D131" s="32"/>
      <c r="E131" s="32"/>
      <c r="F131" s="3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2"/>
      <c r="C132" s="32"/>
      <c r="D132" s="32"/>
      <c r="E132" s="32"/>
      <c r="F132" s="3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2"/>
      <c r="C133" s="32"/>
      <c r="D133" s="32"/>
      <c r="E133" s="32"/>
      <c r="F133" s="3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2"/>
      <c r="C134" s="32"/>
      <c r="D134" s="32"/>
      <c r="E134" s="32"/>
      <c r="F134" s="3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2"/>
      <c r="C135" s="32"/>
      <c r="D135" s="32"/>
      <c r="E135" s="32"/>
      <c r="F135" s="3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2"/>
      <c r="C136" s="32"/>
      <c r="D136" s="32"/>
      <c r="E136" s="32"/>
      <c r="F136" s="3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2"/>
      <c r="C137" s="32"/>
      <c r="D137" s="32"/>
      <c r="E137" s="32"/>
      <c r="F137" s="3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2"/>
      <c r="C138" s="32"/>
      <c r="D138" s="32"/>
      <c r="E138" s="32"/>
      <c r="F138" s="3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2"/>
      <c r="C139" s="32"/>
      <c r="D139" s="32"/>
      <c r="E139" s="32"/>
      <c r="F139" s="3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2"/>
      <c r="C140" s="32"/>
      <c r="D140" s="32"/>
      <c r="E140" s="32"/>
      <c r="F140" s="3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2"/>
      <c r="C141" s="32"/>
      <c r="D141" s="32"/>
      <c r="E141" s="32"/>
      <c r="F141" s="3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2"/>
      <c r="C142" s="32"/>
      <c r="D142" s="32"/>
      <c r="E142" s="32"/>
      <c r="F142" s="3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2"/>
      <c r="C143" s="32"/>
      <c r="D143" s="32"/>
      <c r="E143" s="32"/>
      <c r="F143" s="3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2"/>
      <c r="C144" s="32"/>
      <c r="D144" s="32"/>
      <c r="E144" s="32"/>
      <c r="F144" s="3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2"/>
      <c r="C145" s="32"/>
      <c r="D145" s="32"/>
      <c r="E145" s="32"/>
      <c r="F145" s="3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2"/>
      <c r="C146" s="32"/>
      <c r="D146" s="32"/>
      <c r="E146" s="32"/>
      <c r="F146" s="3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2"/>
      <c r="C147" s="32"/>
      <c r="D147" s="32"/>
      <c r="E147" s="32"/>
      <c r="F147" s="3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2"/>
      <c r="C148" s="32"/>
      <c r="D148" s="32"/>
      <c r="E148" s="32"/>
      <c r="F148" s="3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2"/>
      <c r="C149" s="32"/>
      <c r="D149" s="32"/>
      <c r="E149" s="32"/>
      <c r="F149" s="3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2"/>
      <c r="C150" s="32"/>
      <c r="D150" s="32"/>
      <c r="E150" s="32"/>
      <c r="F150" s="3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2"/>
      <c r="C151" s="32"/>
      <c r="D151" s="32"/>
      <c r="E151" s="32"/>
      <c r="F151" s="3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2"/>
      <c r="C152" s="32"/>
      <c r="D152" s="32"/>
      <c r="E152" s="32"/>
      <c r="F152" s="3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2"/>
      <c r="C153" s="32"/>
      <c r="D153" s="32"/>
      <c r="E153" s="32"/>
      <c r="F153" s="3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2"/>
      <c r="C154" s="32"/>
      <c r="D154" s="32"/>
      <c r="E154" s="32"/>
      <c r="F154" s="3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2"/>
      <c r="C155" s="32"/>
      <c r="D155" s="32"/>
      <c r="E155" s="32"/>
      <c r="F155" s="3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2"/>
      <c r="C156" s="32"/>
      <c r="D156" s="32"/>
      <c r="E156" s="32"/>
      <c r="F156" s="3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2"/>
      <c r="C157" s="32"/>
      <c r="D157" s="32"/>
      <c r="E157" s="32"/>
      <c r="F157" s="3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2"/>
      <c r="C158" s="32"/>
      <c r="D158" s="32"/>
      <c r="E158" s="32"/>
      <c r="F158" s="3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2"/>
      <c r="C159" s="32"/>
      <c r="D159" s="32"/>
      <c r="E159" s="32"/>
      <c r="F159" s="3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2"/>
      <c r="C160" s="32"/>
      <c r="D160" s="32"/>
      <c r="E160" s="32"/>
      <c r="F160" s="3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2"/>
      <c r="C161" s="32"/>
      <c r="D161" s="32"/>
      <c r="E161" s="32"/>
      <c r="F161" s="3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2"/>
      <c r="C162" s="32"/>
      <c r="D162" s="32"/>
      <c r="E162" s="32"/>
      <c r="F162" s="3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2"/>
      <c r="C163" s="32"/>
      <c r="D163" s="32"/>
      <c r="E163" s="32"/>
      <c r="F163" s="3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2"/>
      <c r="C164" s="32"/>
      <c r="D164" s="32"/>
      <c r="E164" s="32"/>
      <c r="F164" s="3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2"/>
      <c r="C165" s="32"/>
      <c r="D165" s="32"/>
      <c r="E165" s="32"/>
      <c r="F165" s="3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2"/>
      <c r="C166" s="32"/>
      <c r="D166" s="32"/>
      <c r="E166" s="32"/>
      <c r="F166" s="3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2"/>
      <c r="C167" s="32"/>
      <c r="D167" s="32"/>
      <c r="E167" s="32"/>
      <c r="F167" s="3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2"/>
      <c r="C168" s="32"/>
      <c r="D168" s="32"/>
      <c r="E168" s="32"/>
      <c r="F168" s="3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2"/>
      <c r="C169" s="32"/>
      <c r="D169" s="32"/>
      <c r="E169" s="32"/>
      <c r="F169" s="3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2"/>
      <c r="C170" s="32"/>
      <c r="D170" s="32"/>
      <c r="E170" s="32"/>
      <c r="F170" s="3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2"/>
      <c r="C171" s="32"/>
      <c r="D171" s="32"/>
      <c r="E171" s="32"/>
      <c r="F171" s="3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2"/>
      <c r="C172" s="32"/>
      <c r="D172" s="32"/>
      <c r="E172" s="32"/>
      <c r="F172" s="3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2"/>
      <c r="C173" s="32"/>
      <c r="D173" s="32"/>
      <c r="E173" s="32"/>
      <c r="F173" s="3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2"/>
      <c r="C174" s="32"/>
      <c r="D174" s="32"/>
      <c r="E174" s="32"/>
      <c r="F174" s="3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2"/>
      <c r="C175" s="32"/>
      <c r="D175" s="32"/>
      <c r="E175" s="32"/>
      <c r="F175" s="3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2"/>
      <c r="C176" s="32"/>
      <c r="D176" s="32"/>
      <c r="E176" s="32"/>
      <c r="F176" s="3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2"/>
      <c r="C177" s="32"/>
      <c r="D177" s="32"/>
      <c r="E177" s="32"/>
      <c r="F177" s="3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2"/>
      <c r="C178" s="32"/>
      <c r="D178" s="32"/>
      <c r="E178" s="32"/>
      <c r="F178" s="3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2"/>
      <c r="C179" s="32"/>
      <c r="D179" s="32"/>
      <c r="E179" s="32"/>
      <c r="F179" s="3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2"/>
      <c r="C180" s="32"/>
      <c r="D180" s="32"/>
      <c r="E180" s="32"/>
      <c r="F180" s="3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2"/>
      <c r="C181" s="32"/>
      <c r="D181" s="32"/>
      <c r="E181" s="32"/>
      <c r="F181" s="3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2"/>
      <c r="C182" s="32"/>
      <c r="D182" s="32"/>
      <c r="E182" s="32"/>
      <c r="F182" s="3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2"/>
      <c r="C183" s="32"/>
      <c r="D183" s="32"/>
      <c r="E183" s="32"/>
      <c r="F183" s="3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2"/>
      <c r="C184" s="32"/>
      <c r="D184" s="32"/>
      <c r="E184" s="32"/>
      <c r="F184" s="3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2"/>
      <c r="C185" s="32"/>
      <c r="D185" s="32"/>
      <c r="E185" s="32"/>
      <c r="F185" s="3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2"/>
      <c r="C186" s="32"/>
      <c r="D186" s="32"/>
      <c r="E186" s="32"/>
      <c r="F186" s="3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2"/>
      <c r="C187" s="32"/>
      <c r="D187" s="32"/>
      <c r="E187" s="32"/>
      <c r="F187" s="3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2"/>
      <c r="C188" s="32"/>
      <c r="D188" s="32"/>
      <c r="E188" s="32"/>
      <c r="F188" s="3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2"/>
      <c r="C189" s="32"/>
      <c r="D189" s="32"/>
      <c r="E189" s="32"/>
      <c r="F189" s="3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2"/>
      <c r="C190" s="32"/>
      <c r="D190" s="32"/>
      <c r="E190" s="32"/>
      <c r="F190" s="3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2"/>
      <c r="C191" s="32"/>
      <c r="D191" s="32"/>
      <c r="E191" s="32"/>
      <c r="F191" s="3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2"/>
      <c r="C192" s="32"/>
      <c r="D192" s="32"/>
      <c r="E192" s="32"/>
      <c r="F192" s="3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2"/>
      <c r="C193" s="32"/>
      <c r="D193" s="32"/>
      <c r="E193" s="32"/>
      <c r="F193" s="3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2"/>
      <c r="C194" s="32"/>
      <c r="D194" s="32"/>
      <c r="E194" s="32"/>
      <c r="F194" s="3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2"/>
      <c r="C195" s="32"/>
      <c r="D195" s="32"/>
      <c r="E195" s="32"/>
      <c r="F195" s="3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2"/>
      <c r="C196" s="32"/>
      <c r="D196" s="32"/>
      <c r="E196" s="32"/>
      <c r="F196" s="3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2"/>
      <c r="C197" s="32"/>
      <c r="D197" s="32"/>
      <c r="E197" s="32"/>
      <c r="F197" s="3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2"/>
      <c r="C198" s="32"/>
      <c r="D198" s="32"/>
      <c r="E198" s="32"/>
      <c r="F198" s="3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2"/>
      <c r="C199" s="32"/>
      <c r="D199" s="32"/>
      <c r="E199" s="32"/>
      <c r="F199" s="3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2"/>
      <c r="C200" s="32"/>
      <c r="D200" s="32"/>
      <c r="E200" s="32"/>
      <c r="F200" s="3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2"/>
      <c r="C201" s="32"/>
      <c r="D201" s="32"/>
      <c r="E201" s="32"/>
      <c r="F201" s="3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2"/>
      <c r="C202" s="32"/>
      <c r="D202" s="32"/>
      <c r="E202" s="32"/>
      <c r="F202" s="3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2"/>
      <c r="C203" s="32"/>
      <c r="D203" s="32"/>
      <c r="E203" s="32"/>
      <c r="F203" s="3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2"/>
      <c r="C204" s="32"/>
      <c r="D204" s="32"/>
      <c r="E204" s="32"/>
      <c r="F204" s="3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2"/>
      <c r="C205" s="32"/>
      <c r="D205" s="32"/>
      <c r="E205" s="32"/>
      <c r="F205" s="3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2"/>
      <c r="C206" s="32"/>
      <c r="D206" s="32"/>
      <c r="E206" s="32"/>
      <c r="F206" s="3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2"/>
      <c r="C207" s="32"/>
      <c r="D207" s="32"/>
      <c r="E207" s="32"/>
      <c r="F207" s="3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2"/>
      <c r="C208" s="32"/>
      <c r="D208" s="32"/>
      <c r="E208" s="32"/>
      <c r="F208" s="3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2"/>
      <c r="C209" s="32"/>
      <c r="D209" s="32"/>
      <c r="E209" s="32"/>
      <c r="F209" s="3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2"/>
      <c r="C210" s="32"/>
      <c r="D210" s="32"/>
      <c r="E210" s="32"/>
      <c r="F210" s="3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2"/>
      <c r="C211" s="32"/>
      <c r="D211" s="32"/>
      <c r="E211" s="32"/>
      <c r="F211" s="3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2"/>
      <c r="C212" s="32"/>
      <c r="D212" s="32"/>
      <c r="E212" s="32"/>
      <c r="F212" s="3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2"/>
      <c r="C213" s="32"/>
      <c r="D213" s="32"/>
      <c r="E213" s="32"/>
      <c r="F213" s="3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2"/>
      <c r="C214" s="32"/>
      <c r="D214" s="32"/>
      <c r="E214" s="32"/>
      <c r="F214" s="3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2"/>
      <c r="C215" s="32"/>
      <c r="D215" s="32"/>
      <c r="E215" s="32"/>
      <c r="F215" s="3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2"/>
      <c r="C216" s="32"/>
      <c r="D216" s="32"/>
      <c r="E216" s="32"/>
      <c r="F216" s="3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2"/>
      <c r="C217" s="32"/>
      <c r="D217" s="32"/>
      <c r="E217" s="32"/>
      <c r="F217" s="3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2"/>
      <c r="C218" s="32"/>
      <c r="D218" s="32"/>
      <c r="E218" s="32"/>
      <c r="F218" s="3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2"/>
      <c r="C219" s="32"/>
      <c r="D219" s="32"/>
      <c r="E219" s="32"/>
      <c r="F219" s="3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2"/>
      <c r="C220" s="32"/>
      <c r="D220" s="32"/>
      <c r="E220" s="32"/>
      <c r="F220" s="3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2"/>
      <c r="C221" s="32"/>
      <c r="D221" s="32"/>
      <c r="E221" s="32"/>
      <c r="F221" s="3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2"/>
      <c r="C222" s="32"/>
      <c r="D222" s="32"/>
      <c r="E222" s="32"/>
      <c r="F222" s="3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2"/>
      <c r="C223" s="32"/>
      <c r="D223" s="32"/>
      <c r="E223" s="32"/>
      <c r="F223" s="3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2"/>
      <c r="C224" s="32"/>
      <c r="D224" s="32"/>
      <c r="E224" s="32"/>
      <c r="F224" s="3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2"/>
      <c r="C225" s="32"/>
      <c r="D225" s="32"/>
      <c r="E225" s="32"/>
      <c r="F225" s="3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2"/>
      <c r="C226" s="32"/>
      <c r="D226" s="32"/>
      <c r="E226" s="32"/>
      <c r="F226" s="3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2"/>
      <c r="C227" s="32"/>
      <c r="D227" s="32"/>
      <c r="E227" s="32"/>
      <c r="F227" s="3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2"/>
      <c r="C228" s="32"/>
      <c r="D228" s="32"/>
      <c r="E228" s="32"/>
      <c r="F228" s="3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2"/>
      <c r="C229" s="32"/>
      <c r="D229" s="32"/>
      <c r="E229" s="32"/>
      <c r="F229" s="3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2"/>
      <c r="C230" s="32"/>
      <c r="D230" s="32"/>
      <c r="E230" s="32"/>
      <c r="F230" s="3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2"/>
      <c r="C231" s="32"/>
      <c r="D231" s="32"/>
      <c r="E231" s="32"/>
      <c r="F231" s="3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2"/>
      <c r="C232" s="32"/>
      <c r="D232" s="32"/>
      <c r="E232" s="32"/>
      <c r="F232" s="3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2"/>
      <c r="C233" s="32"/>
      <c r="D233" s="32"/>
      <c r="E233" s="32"/>
      <c r="F233" s="3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2"/>
      <c r="C234" s="32"/>
      <c r="D234" s="32"/>
      <c r="E234" s="32"/>
      <c r="F234" s="3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2"/>
      <c r="C235" s="32"/>
      <c r="D235" s="32"/>
      <c r="E235" s="32"/>
      <c r="F235" s="3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2"/>
      <c r="C236" s="32"/>
      <c r="D236" s="32"/>
      <c r="E236" s="32"/>
      <c r="F236" s="3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2"/>
      <c r="C237" s="32"/>
      <c r="D237" s="32"/>
      <c r="E237" s="32"/>
      <c r="F237" s="3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2"/>
      <c r="C238" s="32"/>
      <c r="D238" s="32"/>
      <c r="E238" s="32"/>
      <c r="F238" s="3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2"/>
      <c r="C239" s="32"/>
      <c r="D239" s="32"/>
      <c r="E239" s="32"/>
      <c r="F239" s="3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2"/>
      <c r="C240" s="32"/>
      <c r="D240" s="32"/>
      <c r="E240" s="32"/>
      <c r="F240" s="3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2"/>
      <c r="C241" s="32"/>
      <c r="D241" s="32"/>
      <c r="E241" s="32"/>
      <c r="F241" s="3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2"/>
      <c r="C242" s="32"/>
      <c r="D242" s="32"/>
      <c r="E242" s="32"/>
      <c r="F242" s="3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2"/>
      <c r="C243" s="32"/>
      <c r="D243" s="32"/>
      <c r="E243" s="32"/>
      <c r="F243" s="3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2"/>
      <c r="C244" s="32"/>
      <c r="D244" s="32"/>
      <c r="E244" s="32"/>
      <c r="F244" s="3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2"/>
      <c r="C245" s="32"/>
      <c r="D245" s="32"/>
      <c r="E245" s="32"/>
      <c r="F245" s="3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2"/>
      <c r="C246" s="32"/>
      <c r="D246" s="32"/>
      <c r="E246" s="32"/>
      <c r="F246" s="3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2"/>
      <c r="C247" s="32"/>
      <c r="D247" s="32"/>
      <c r="E247" s="32"/>
      <c r="F247" s="3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2"/>
      <c r="C248" s="32"/>
      <c r="D248" s="32"/>
      <c r="E248" s="32"/>
      <c r="F248" s="3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2"/>
      <c r="C249" s="32"/>
      <c r="D249" s="32"/>
      <c r="E249" s="32"/>
      <c r="F249" s="3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2"/>
      <c r="C250" s="32"/>
      <c r="D250" s="32"/>
      <c r="E250" s="32"/>
      <c r="F250" s="3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2"/>
      <c r="C251" s="32"/>
      <c r="D251" s="32"/>
      <c r="E251" s="32"/>
      <c r="F251" s="3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2"/>
      <c r="C252" s="32"/>
      <c r="D252" s="32"/>
      <c r="E252" s="32"/>
      <c r="F252" s="3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2"/>
      <c r="C253" s="32"/>
      <c r="D253" s="32"/>
      <c r="E253" s="32"/>
      <c r="F253" s="3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2"/>
      <c r="C254" s="32"/>
      <c r="D254" s="32"/>
      <c r="E254" s="32"/>
      <c r="F254" s="3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2"/>
      <c r="C255" s="32"/>
      <c r="D255" s="32"/>
      <c r="E255" s="32"/>
      <c r="F255" s="3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2"/>
      <c r="C256" s="32"/>
      <c r="D256" s="32"/>
      <c r="E256" s="32"/>
      <c r="F256" s="3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2"/>
      <c r="C257" s="32"/>
      <c r="D257" s="32"/>
      <c r="E257" s="32"/>
      <c r="F257" s="3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2"/>
      <c r="C258" s="32"/>
      <c r="D258" s="32"/>
      <c r="E258" s="32"/>
      <c r="F258" s="3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2"/>
      <c r="C259" s="32"/>
      <c r="D259" s="32"/>
      <c r="E259" s="32"/>
      <c r="F259" s="3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2"/>
      <c r="C260" s="32"/>
      <c r="D260" s="32"/>
      <c r="E260" s="32"/>
      <c r="F260" s="3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2"/>
      <c r="C261" s="32"/>
      <c r="D261" s="32"/>
      <c r="E261" s="32"/>
      <c r="F261" s="3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2"/>
      <c r="C262" s="32"/>
      <c r="D262" s="32"/>
      <c r="E262" s="32"/>
      <c r="F262" s="3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2"/>
      <c r="C263" s="32"/>
      <c r="D263" s="32"/>
      <c r="E263" s="32"/>
      <c r="F263" s="3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2"/>
      <c r="C264" s="32"/>
      <c r="D264" s="32"/>
      <c r="E264" s="32"/>
      <c r="F264" s="3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2"/>
      <c r="C265" s="32"/>
      <c r="D265" s="32"/>
      <c r="E265" s="32"/>
      <c r="F265" s="3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2"/>
      <c r="C266" s="32"/>
      <c r="D266" s="32"/>
      <c r="E266" s="32"/>
      <c r="F266" s="3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2"/>
      <c r="C267" s="32"/>
      <c r="D267" s="32"/>
      <c r="E267" s="32"/>
      <c r="F267" s="3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2"/>
      <c r="C268" s="32"/>
      <c r="D268" s="32"/>
      <c r="E268" s="32"/>
      <c r="F268" s="3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2"/>
      <c r="C269" s="32"/>
      <c r="D269" s="32"/>
      <c r="E269" s="32"/>
      <c r="F269" s="3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2"/>
      <c r="C270" s="32"/>
      <c r="D270" s="32"/>
      <c r="E270" s="32"/>
      <c r="F270" s="3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2"/>
      <c r="C271" s="32"/>
      <c r="D271" s="32"/>
      <c r="E271" s="32"/>
      <c r="F271" s="3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2"/>
      <c r="C272" s="32"/>
      <c r="D272" s="32"/>
      <c r="E272" s="32"/>
      <c r="F272" s="3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2"/>
      <c r="C273" s="32"/>
      <c r="D273" s="32"/>
      <c r="E273" s="32"/>
      <c r="F273" s="3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2"/>
      <c r="C274" s="32"/>
      <c r="D274" s="32"/>
      <c r="E274" s="32"/>
      <c r="F274" s="3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2"/>
      <c r="C275" s="32"/>
      <c r="D275" s="32"/>
      <c r="E275" s="32"/>
      <c r="F275" s="3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2"/>
      <c r="C276" s="32"/>
      <c r="D276" s="32"/>
      <c r="E276" s="32"/>
      <c r="F276" s="3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2"/>
      <c r="C277" s="32"/>
      <c r="D277" s="32"/>
      <c r="E277" s="32"/>
      <c r="F277" s="3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2"/>
      <c r="C278" s="32"/>
      <c r="D278" s="32"/>
      <c r="E278" s="32"/>
      <c r="F278" s="3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2"/>
      <c r="C279" s="32"/>
      <c r="D279" s="32"/>
      <c r="E279" s="32"/>
      <c r="F279" s="3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2"/>
      <c r="C280" s="32"/>
      <c r="D280" s="32"/>
      <c r="E280" s="32"/>
      <c r="F280" s="3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2"/>
      <c r="C281" s="32"/>
      <c r="D281" s="32"/>
      <c r="E281" s="32"/>
      <c r="F281" s="3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2"/>
      <c r="C282" s="32"/>
      <c r="D282" s="32"/>
      <c r="E282" s="32"/>
      <c r="F282" s="3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2"/>
      <c r="C283" s="32"/>
      <c r="D283" s="32"/>
      <c r="E283" s="32"/>
      <c r="F283" s="3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2"/>
      <c r="C284" s="32"/>
      <c r="D284" s="32"/>
      <c r="E284" s="32"/>
      <c r="F284" s="3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2"/>
      <c r="C285" s="32"/>
      <c r="D285" s="32"/>
      <c r="E285" s="32"/>
      <c r="F285" s="3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2"/>
      <c r="C286" s="32"/>
      <c r="D286" s="32"/>
      <c r="E286" s="32"/>
      <c r="F286" s="3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2"/>
      <c r="C287" s="32"/>
      <c r="D287" s="32"/>
      <c r="E287" s="32"/>
      <c r="F287" s="3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2"/>
      <c r="C288" s="32"/>
      <c r="D288" s="32"/>
      <c r="E288" s="32"/>
      <c r="F288" s="3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2"/>
      <c r="C289" s="32"/>
      <c r="D289" s="32"/>
      <c r="E289" s="32"/>
      <c r="F289" s="3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2"/>
      <c r="C290" s="32"/>
      <c r="D290" s="32"/>
      <c r="E290" s="32"/>
      <c r="F290" s="3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2"/>
      <c r="C291" s="32"/>
      <c r="D291" s="32"/>
      <c r="E291" s="32"/>
      <c r="F291" s="3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2"/>
      <c r="C292" s="32"/>
      <c r="D292" s="32"/>
      <c r="E292" s="32"/>
      <c r="F292" s="3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2"/>
      <c r="C293" s="32"/>
      <c r="D293" s="32"/>
      <c r="E293" s="32"/>
      <c r="F293" s="3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2"/>
      <c r="C294" s="32"/>
      <c r="D294" s="32"/>
      <c r="E294" s="32"/>
      <c r="F294" s="3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2"/>
      <c r="C295" s="32"/>
      <c r="D295" s="32"/>
      <c r="E295" s="32"/>
      <c r="F295" s="3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2"/>
      <c r="C296" s="32"/>
      <c r="D296" s="32"/>
      <c r="E296" s="32"/>
      <c r="F296" s="3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2"/>
      <c r="C297" s="32"/>
      <c r="D297" s="32"/>
      <c r="E297" s="32"/>
      <c r="F297" s="3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2"/>
      <c r="C298" s="32"/>
      <c r="D298" s="32"/>
      <c r="E298" s="32"/>
      <c r="F298" s="3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2"/>
      <c r="C299" s="32"/>
      <c r="D299" s="32"/>
      <c r="E299" s="32"/>
      <c r="F299" s="3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2"/>
      <c r="C300" s="32"/>
      <c r="D300" s="32"/>
      <c r="E300" s="32"/>
      <c r="F300" s="3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2"/>
      <c r="C301" s="32"/>
      <c r="D301" s="32"/>
      <c r="E301" s="32"/>
      <c r="F301" s="3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2"/>
      <c r="C302" s="32"/>
      <c r="D302" s="32"/>
      <c r="E302" s="32"/>
      <c r="F302" s="3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2"/>
      <c r="C303" s="32"/>
      <c r="D303" s="32"/>
      <c r="E303" s="32"/>
      <c r="F303" s="3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2"/>
      <c r="C304" s="32"/>
      <c r="D304" s="32"/>
      <c r="E304" s="32"/>
      <c r="F304" s="3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2"/>
      <c r="C305" s="32"/>
      <c r="D305" s="32"/>
      <c r="E305" s="32"/>
      <c r="F305" s="3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2"/>
      <c r="C306" s="32"/>
      <c r="D306" s="32"/>
      <c r="E306" s="32"/>
      <c r="F306" s="3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2"/>
      <c r="C307" s="32"/>
      <c r="D307" s="32"/>
      <c r="E307" s="32"/>
      <c r="F307" s="3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2"/>
      <c r="C308" s="32"/>
      <c r="D308" s="32"/>
      <c r="E308" s="32"/>
      <c r="F308" s="3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2"/>
      <c r="C309" s="32"/>
      <c r="D309" s="32"/>
      <c r="E309" s="32"/>
      <c r="F309" s="3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2"/>
      <c r="C310" s="32"/>
      <c r="D310" s="32"/>
      <c r="E310" s="32"/>
      <c r="F310" s="3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2"/>
      <c r="C311" s="32"/>
      <c r="D311" s="32"/>
      <c r="E311" s="32"/>
      <c r="F311" s="3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2"/>
      <c r="C312" s="32"/>
      <c r="D312" s="32"/>
      <c r="E312" s="32"/>
      <c r="F312" s="3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2"/>
      <c r="C313" s="32"/>
      <c r="D313" s="32"/>
      <c r="E313" s="32"/>
      <c r="F313" s="3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2"/>
      <c r="C314" s="32"/>
      <c r="D314" s="32"/>
      <c r="E314" s="32"/>
      <c r="F314" s="3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2"/>
      <c r="C315" s="32"/>
      <c r="D315" s="32"/>
      <c r="E315" s="32"/>
      <c r="F315" s="3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2"/>
      <c r="C316" s="32"/>
      <c r="D316" s="32"/>
      <c r="E316" s="32"/>
      <c r="F316" s="3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2"/>
      <c r="C317" s="32"/>
      <c r="D317" s="32"/>
      <c r="E317" s="32"/>
      <c r="F317" s="3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2"/>
      <c r="C318" s="32"/>
      <c r="D318" s="32"/>
      <c r="E318" s="32"/>
      <c r="F318" s="3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2"/>
      <c r="C319" s="32"/>
      <c r="D319" s="32"/>
      <c r="E319" s="32"/>
      <c r="F319" s="3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2"/>
      <c r="C320" s="32"/>
      <c r="D320" s="32"/>
      <c r="E320" s="32"/>
      <c r="F320" s="3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2"/>
      <c r="C321" s="32"/>
      <c r="D321" s="32"/>
      <c r="E321" s="32"/>
      <c r="F321" s="3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2"/>
      <c r="C322" s="32"/>
      <c r="D322" s="32"/>
      <c r="E322" s="32"/>
      <c r="F322" s="3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2"/>
      <c r="C323" s="32"/>
      <c r="D323" s="32"/>
      <c r="E323" s="32"/>
      <c r="F323" s="3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2"/>
      <c r="C324" s="32"/>
      <c r="D324" s="32"/>
      <c r="E324" s="32"/>
      <c r="F324" s="3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2"/>
      <c r="C325" s="32"/>
      <c r="D325" s="32"/>
      <c r="E325" s="32"/>
      <c r="F325" s="3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2"/>
      <c r="C326" s="32"/>
      <c r="D326" s="32"/>
      <c r="E326" s="32"/>
      <c r="F326" s="3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2"/>
      <c r="C327" s="32"/>
      <c r="D327" s="32"/>
      <c r="E327" s="32"/>
      <c r="F327" s="3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2"/>
      <c r="C328" s="32"/>
      <c r="D328" s="32"/>
      <c r="E328" s="32"/>
      <c r="F328" s="3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2"/>
      <c r="C329" s="32"/>
      <c r="D329" s="32"/>
      <c r="E329" s="32"/>
      <c r="F329" s="3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2"/>
      <c r="C330" s="32"/>
      <c r="D330" s="32"/>
      <c r="E330" s="32"/>
      <c r="F330" s="3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2"/>
      <c r="C331" s="32"/>
      <c r="D331" s="32"/>
      <c r="E331" s="32"/>
      <c r="F331" s="3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2"/>
      <c r="C332" s="32"/>
      <c r="D332" s="32"/>
      <c r="E332" s="32"/>
      <c r="F332" s="3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2"/>
      <c r="C333" s="32"/>
      <c r="D333" s="32"/>
      <c r="E333" s="32"/>
      <c r="F333" s="3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2"/>
      <c r="C334" s="32"/>
      <c r="D334" s="32"/>
      <c r="E334" s="32"/>
      <c r="F334" s="3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2"/>
      <c r="C335" s="32"/>
      <c r="D335" s="32"/>
      <c r="E335" s="32"/>
      <c r="F335" s="3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2"/>
      <c r="C336" s="32"/>
      <c r="D336" s="32"/>
      <c r="E336" s="32"/>
      <c r="F336" s="3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2"/>
      <c r="C337" s="32"/>
      <c r="D337" s="32"/>
      <c r="E337" s="32"/>
      <c r="F337" s="3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2"/>
      <c r="C338" s="32"/>
      <c r="D338" s="32"/>
      <c r="E338" s="32"/>
      <c r="F338" s="3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2"/>
      <c r="C339" s="32"/>
      <c r="D339" s="32"/>
      <c r="E339" s="32"/>
      <c r="F339" s="3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2"/>
      <c r="C340" s="32"/>
      <c r="D340" s="32"/>
      <c r="E340" s="32"/>
      <c r="F340" s="3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2"/>
      <c r="C341" s="32"/>
      <c r="D341" s="32"/>
      <c r="E341" s="32"/>
      <c r="F341" s="3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2"/>
      <c r="C342" s="32"/>
      <c r="D342" s="32"/>
      <c r="E342" s="32"/>
      <c r="F342" s="3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2"/>
      <c r="C343" s="32"/>
      <c r="D343" s="32"/>
      <c r="E343" s="32"/>
      <c r="F343" s="3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2"/>
      <c r="C344" s="32"/>
      <c r="D344" s="32"/>
      <c r="E344" s="32"/>
      <c r="F344" s="3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2"/>
      <c r="C345" s="32"/>
      <c r="D345" s="32"/>
      <c r="E345" s="32"/>
      <c r="F345" s="3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2"/>
      <c r="C346" s="32"/>
      <c r="D346" s="32"/>
      <c r="E346" s="32"/>
      <c r="F346" s="3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2"/>
      <c r="C347" s="32"/>
      <c r="D347" s="32"/>
      <c r="E347" s="32"/>
      <c r="F347" s="3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2"/>
      <c r="C348" s="32"/>
      <c r="D348" s="32"/>
      <c r="E348" s="32"/>
      <c r="F348" s="3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2"/>
      <c r="C349" s="32"/>
      <c r="D349" s="32"/>
      <c r="E349" s="32"/>
      <c r="F349" s="3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2"/>
      <c r="C350" s="32"/>
      <c r="D350" s="32"/>
      <c r="E350" s="32"/>
      <c r="F350" s="3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2"/>
      <c r="C351" s="32"/>
      <c r="D351" s="32"/>
      <c r="E351" s="32"/>
      <c r="F351" s="3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2"/>
      <c r="C352" s="32"/>
      <c r="D352" s="32"/>
      <c r="E352" s="32"/>
      <c r="F352" s="3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2"/>
      <c r="C353" s="32"/>
      <c r="D353" s="32"/>
      <c r="E353" s="32"/>
      <c r="F353" s="3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2"/>
      <c r="C354" s="32"/>
      <c r="D354" s="32"/>
      <c r="E354" s="32"/>
      <c r="F354" s="3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2"/>
      <c r="C355" s="32"/>
      <c r="D355" s="32"/>
      <c r="E355" s="32"/>
      <c r="F355" s="3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2"/>
      <c r="C356" s="32"/>
      <c r="D356" s="32"/>
      <c r="E356" s="32"/>
      <c r="F356" s="3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2"/>
      <c r="C357" s="32"/>
      <c r="D357" s="32"/>
      <c r="E357" s="32"/>
      <c r="F357" s="3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2"/>
      <c r="C358" s="32"/>
      <c r="D358" s="32"/>
      <c r="E358" s="32"/>
      <c r="F358" s="3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2"/>
      <c r="C359" s="32"/>
      <c r="D359" s="32"/>
      <c r="E359" s="32"/>
      <c r="F359" s="3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2"/>
      <c r="C360" s="32"/>
      <c r="D360" s="32"/>
      <c r="E360" s="32"/>
      <c r="F360" s="3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2"/>
      <c r="C361" s="32"/>
      <c r="D361" s="32"/>
      <c r="E361" s="32"/>
      <c r="F361" s="3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2"/>
      <c r="C362" s="32"/>
      <c r="D362" s="32"/>
      <c r="E362" s="32"/>
      <c r="F362" s="3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2"/>
      <c r="C363" s="32"/>
      <c r="D363" s="32"/>
      <c r="E363" s="32"/>
      <c r="F363" s="3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2"/>
      <c r="C364" s="32"/>
      <c r="D364" s="32"/>
      <c r="E364" s="32"/>
      <c r="F364" s="3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2"/>
      <c r="C365" s="32"/>
      <c r="D365" s="32"/>
      <c r="E365" s="32"/>
      <c r="F365" s="3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2"/>
      <c r="C366" s="32"/>
      <c r="D366" s="32"/>
      <c r="E366" s="32"/>
      <c r="F366" s="3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2"/>
      <c r="C367" s="32"/>
      <c r="D367" s="32"/>
      <c r="E367" s="32"/>
      <c r="F367" s="3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2"/>
      <c r="C368" s="32"/>
      <c r="D368" s="32"/>
      <c r="E368" s="32"/>
      <c r="F368" s="3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2"/>
      <c r="C369" s="32"/>
      <c r="D369" s="32"/>
      <c r="E369" s="32"/>
      <c r="F369" s="3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2"/>
      <c r="C370" s="32"/>
      <c r="D370" s="32"/>
      <c r="E370" s="32"/>
      <c r="F370" s="3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2"/>
      <c r="C371" s="32"/>
      <c r="D371" s="32"/>
      <c r="E371" s="32"/>
      <c r="F371" s="3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2"/>
      <c r="C372" s="32"/>
      <c r="D372" s="32"/>
      <c r="E372" s="32"/>
      <c r="F372" s="3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2"/>
      <c r="C373" s="32"/>
      <c r="D373" s="32"/>
      <c r="E373" s="32"/>
      <c r="F373" s="3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2"/>
      <c r="C374" s="32"/>
      <c r="D374" s="32"/>
      <c r="E374" s="32"/>
      <c r="F374" s="3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2"/>
      <c r="C375" s="32"/>
      <c r="D375" s="32"/>
      <c r="E375" s="32"/>
      <c r="F375" s="3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2"/>
      <c r="C376" s="32"/>
      <c r="D376" s="32"/>
      <c r="E376" s="32"/>
      <c r="F376" s="3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2"/>
      <c r="C377" s="32"/>
      <c r="D377" s="32"/>
      <c r="E377" s="32"/>
      <c r="F377" s="3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2"/>
      <c r="C378" s="32"/>
      <c r="D378" s="32"/>
      <c r="E378" s="32"/>
      <c r="F378" s="3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2"/>
      <c r="C379" s="32"/>
      <c r="D379" s="32"/>
      <c r="E379" s="32"/>
      <c r="F379" s="3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2"/>
      <c r="C380" s="32"/>
      <c r="D380" s="32"/>
      <c r="E380" s="32"/>
      <c r="F380" s="3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2"/>
      <c r="C381" s="32"/>
      <c r="D381" s="32"/>
      <c r="E381" s="32"/>
      <c r="F381" s="3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2"/>
      <c r="C382" s="32"/>
      <c r="D382" s="32"/>
      <c r="E382" s="32"/>
      <c r="F382" s="3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2"/>
      <c r="C383" s="32"/>
      <c r="D383" s="32"/>
      <c r="E383" s="32"/>
      <c r="F383" s="3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2"/>
      <c r="C384" s="32"/>
      <c r="D384" s="32"/>
      <c r="E384" s="32"/>
      <c r="F384" s="3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2"/>
      <c r="C385" s="32"/>
      <c r="D385" s="32"/>
      <c r="E385" s="32"/>
      <c r="F385" s="3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2"/>
      <c r="C386" s="32"/>
      <c r="D386" s="32"/>
      <c r="E386" s="32"/>
      <c r="F386" s="3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2"/>
      <c r="C387" s="32"/>
      <c r="D387" s="32"/>
      <c r="E387" s="32"/>
      <c r="F387" s="3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2"/>
      <c r="C388" s="32"/>
      <c r="D388" s="32"/>
      <c r="E388" s="32"/>
      <c r="F388" s="3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2"/>
      <c r="C389" s="32"/>
      <c r="D389" s="32"/>
      <c r="E389" s="32"/>
      <c r="F389" s="3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2"/>
      <c r="C390" s="32"/>
      <c r="D390" s="32"/>
      <c r="E390" s="32"/>
      <c r="F390" s="3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2"/>
      <c r="C391" s="32"/>
      <c r="D391" s="32"/>
      <c r="E391" s="32"/>
      <c r="F391" s="3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2"/>
      <c r="C392" s="32"/>
      <c r="D392" s="32"/>
      <c r="E392" s="32"/>
      <c r="F392" s="3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2"/>
      <c r="C393" s="32"/>
      <c r="D393" s="32"/>
      <c r="E393" s="32"/>
      <c r="F393" s="3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2"/>
      <c r="C394" s="32"/>
      <c r="D394" s="32"/>
      <c r="E394" s="32"/>
      <c r="F394" s="3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2"/>
      <c r="C395" s="32"/>
      <c r="D395" s="32"/>
      <c r="E395" s="32"/>
      <c r="F395" s="3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2"/>
      <c r="C396" s="32"/>
      <c r="D396" s="32"/>
      <c r="E396" s="32"/>
      <c r="F396" s="3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2"/>
      <c r="C397" s="32"/>
      <c r="D397" s="32"/>
      <c r="E397" s="32"/>
      <c r="F397" s="3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2"/>
      <c r="C398" s="32"/>
      <c r="D398" s="32"/>
      <c r="E398" s="32"/>
      <c r="F398" s="3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2"/>
      <c r="C399" s="32"/>
      <c r="D399" s="32"/>
      <c r="E399" s="32"/>
      <c r="F399" s="3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2"/>
      <c r="C400" s="32"/>
      <c r="D400" s="32"/>
      <c r="E400" s="32"/>
      <c r="F400" s="3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2"/>
      <c r="C401" s="32"/>
      <c r="D401" s="32"/>
      <c r="E401" s="32"/>
      <c r="F401" s="3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2"/>
      <c r="C402" s="32"/>
      <c r="D402" s="32"/>
      <c r="E402" s="32"/>
      <c r="F402" s="3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2"/>
      <c r="C403" s="32"/>
      <c r="D403" s="32"/>
      <c r="E403" s="32"/>
      <c r="F403" s="3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2"/>
      <c r="C404" s="32"/>
      <c r="D404" s="32"/>
      <c r="E404" s="32"/>
      <c r="F404" s="3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2"/>
      <c r="C405" s="32"/>
      <c r="D405" s="32"/>
      <c r="E405" s="32"/>
      <c r="F405" s="3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2"/>
      <c r="C406" s="32"/>
      <c r="D406" s="32"/>
      <c r="E406" s="32"/>
      <c r="F406" s="3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2"/>
      <c r="C407" s="32"/>
      <c r="D407" s="32"/>
      <c r="E407" s="32"/>
      <c r="F407" s="3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2"/>
      <c r="C408" s="32"/>
      <c r="D408" s="32"/>
      <c r="E408" s="32"/>
      <c r="F408" s="3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2"/>
      <c r="C409" s="32"/>
      <c r="D409" s="32"/>
      <c r="E409" s="32"/>
      <c r="F409" s="3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2"/>
      <c r="C410" s="32"/>
      <c r="D410" s="32"/>
      <c r="E410" s="32"/>
      <c r="F410" s="3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2"/>
      <c r="C411" s="32"/>
      <c r="D411" s="32"/>
      <c r="E411" s="32"/>
      <c r="F411" s="3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2"/>
      <c r="C412" s="32"/>
      <c r="D412" s="32"/>
      <c r="E412" s="32"/>
      <c r="F412" s="3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2"/>
      <c r="C413" s="32"/>
      <c r="D413" s="32"/>
      <c r="E413" s="32"/>
      <c r="F413" s="3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2"/>
      <c r="C414" s="32"/>
      <c r="D414" s="32"/>
      <c r="E414" s="32"/>
      <c r="F414" s="3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2"/>
      <c r="C415" s="32"/>
      <c r="D415" s="32"/>
      <c r="E415" s="32"/>
      <c r="F415" s="3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2"/>
      <c r="C416" s="32"/>
      <c r="D416" s="32"/>
      <c r="E416" s="32"/>
      <c r="F416" s="3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2"/>
      <c r="C417" s="32"/>
      <c r="D417" s="32"/>
      <c r="E417" s="32"/>
      <c r="F417" s="3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2"/>
      <c r="C418" s="32"/>
      <c r="D418" s="32"/>
      <c r="E418" s="32"/>
      <c r="F418" s="3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2"/>
      <c r="C419" s="32"/>
      <c r="D419" s="32"/>
      <c r="E419" s="32"/>
      <c r="F419" s="3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2"/>
      <c r="C420" s="32"/>
      <c r="D420" s="32"/>
      <c r="E420" s="32"/>
      <c r="F420" s="3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2"/>
      <c r="C421" s="32"/>
      <c r="D421" s="32"/>
      <c r="E421" s="32"/>
      <c r="F421" s="3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2"/>
      <c r="C422" s="32"/>
      <c r="D422" s="32"/>
      <c r="E422" s="32"/>
      <c r="F422" s="3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2"/>
      <c r="C423" s="32"/>
      <c r="D423" s="32"/>
      <c r="E423" s="32"/>
      <c r="F423" s="3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2"/>
      <c r="C424" s="32"/>
      <c r="D424" s="32"/>
      <c r="E424" s="32"/>
      <c r="F424" s="3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2"/>
      <c r="C425" s="32"/>
      <c r="D425" s="32"/>
      <c r="E425" s="32"/>
      <c r="F425" s="3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2"/>
      <c r="C426" s="32"/>
      <c r="D426" s="32"/>
      <c r="E426" s="32"/>
      <c r="F426" s="3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2"/>
      <c r="C427" s="32"/>
      <c r="D427" s="32"/>
      <c r="E427" s="32"/>
      <c r="F427" s="3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2"/>
      <c r="C428" s="32"/>
      <c r="D428" s="32"/>
      <c r="E428" s="32"/>
      <c r="F428" s="3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2"/>
      <c r="C429" s="32"/>
      <c r="D429" s="32"/>
      <c r="E429" s="32"/>
      <c r="F429" s="3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2"/>
      <c r="C430" s="32"/>
      <c r="D430" s="32"/>
      <c r="E430" s="32"/>
      <c r="F430" s="3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2"/>
      <c r="C431" s="32"/>
      <c r="D431" s="32"/>
      <c r="E431" s="32"/>
      <c r="F431" s="3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2"/>
      <c r="C432" s="32"/>
      <c r="D432" s="32"/>
      <c r="E432" s="32"/>
      <c r="F432" s="3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2"/>
      <c r="C433" s="32"/>
      <c r="D433" s="32"/>
      <c r="E433" s="32"/>
      <c r="F433" s="3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2"/>
      <c r="C434" s="32"/>
      <c r="D434" s="32"/>
      <c r="E434" s="32"/>
      <c r="F434" s="3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2"/>
      <c r="C435" s="32"/>
      <c r="D435" s="32"/>
      <c r="E435" s="32"/>
      <c r="F435" s="3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2"/>
      <c r="C436" s="32"/>
      <c r="D436" s="32"/>
      <c r="E436" s="32"/>
      <c r="F436" s="3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2"/>
      <c r="C437" s="32"/>
      <c r="D437" s="32"/>
      <c r="E437" s="32"/>
      <c r="F437" s="3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2"/>
      <c r="C438" s="32"/>
      <c r="D438" s="32"/>
      <c r="E438" s="32"/>
      <c r="F438" s="3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2"/>
      <c r="C439" s="32"/>
      <c r="D439" s="32"/>
      <c r="E439" s="32"/>
      <c r="F439" s="3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2"/>
      <c r="C440" s="32"/>
      <c r="D440" s="32"/>
      <c r="E440" s="32"/>
      <c r="F440" s="3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2"/>
      <c r="C441" s="32"/>
      <c r="D441" s="32"/>
      <c r="E441" s="32"/>
      <c r="F441" s="3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2"/>
      <c r="C442" s="32"/>
      <c r="D442" s="32"/>
      <c r="E442" s="32"/>
      <c r="F442" s="3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2"/>
      <c r="C443" s="32"/>
      <c r="D443" s="32"/>
      <c r="E443" s="32"/>
      <c r="F443" s="3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2"/>
      <c r="C444" s="32"/>
      <c r="D444" s="32"/>
      <c r="E444" s="32"/>
      <c r="F444" s="3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2"/>
      <c r="C445" s="32"/>
      <c r="D445" s="32"/>
      <c r="E445" s="32"/>
      <c r="F445" s="3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2"/>
      <c r="C446" s="32"/>
      <c r="D446" s="32"/>
      <c r="E446" s="32"/>
      <c r="F446" s="3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2"/>
      <c r="C447" s="32"/>
      <c r="D447" s="32"/>
      <c r="E447" s="32"/>
      <c r="F447" s="3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2"/>
      <c r="C448" s="32"/>
      <c r="D448" s="32"/>
      <c r="E448" s="32"/>
      <c r="F448" s="3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2"/>
      <c r="C449" s="32"/>
      <c r="D449" s="32"/>
      <c r="E449" s="32"/>
      <c r="F449" s="3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2"/>
      <c r="C450" s="32"/>
      <c r="D450" s="32"/>
      <c r="E450" s="32"/>
      <c r="F450" s="3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2"/>
      <c r="C451" s="32"/>
      <c r="D451" s="32"/>
      <c r="E451" s="32"/>
      <c r="F451" s="3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2"/>
      <c r="C452" s="32"/>
      <c r="D452" s="32"/>
      <c r="E452" s="32"/>
      <c r="F452" s="3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2"/>
      <c r="C453" s="32"/>
      <c r="D453" s="32"/>
      <c r="E453" s="32"/>
      <c r="F453" s="3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2"/>
      <c r="C454" s="32"/>
      <c r="D454" s="32"/>
      <c r="E454" s="32"/>
      <c r="F454" s="3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2"/>
      <c r="C455" s="32"/>
      <c r="D455" s="32"/>
      <c r="E455" s="32"/>
      <c r="F455" s="3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2"/>
      <c r="C456" s="32"/>
      <c r="D456" s="32"/>
      <c r="E456" s="32"/>
      <c r="F456" s="3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2"/>
      <c r="C457" s="32"/>
      <c r="D457" s="32"/>
      <c r="E457" s="32"/>
      <c r="F457" s="3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2"/>
      <c r="C458" s="32"/>
      <c r="D458" s="32"/>
      <c r="E458" s="32"/>
      <c r="F458" s="3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2"/>
      <c r="C459" s="32"/>
      <c r="D459" s="32"/>
      <c r="E459" s="32"/>
      <c r="F459" s="3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2"/>
      <c r="C460" s="32"/>
      <c r="D460" s="32"/>
      <c r="E460" s="32"/>
      <c r="F460" s="3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2"/>
      <c r="C461" s="32"/>
      <c r="D461" s="32"/>
      <c r="E461" s="32"/>
      <c r="F461" s="3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2"/>
      <c r="C462" s="32"/>
      <c r="D462" s="32"/>
      <c r="E462" s="32"/>
      <c r="F462" s="3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2"/>
      <c r="C463" s="32"/>
      <c r="D463" s="32"/>
      <c r="E463" s="32"/>
      <c r="F463" s="3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2"/>
      <c r="C464" s="32"/>
      <c r="D464" s="32"/>
      <c r="E464" s="32"/>
      <c r="F464" s="3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2"/>
      <c r="C465" s="32"/>
      <c r="D465" s="32"/>
      <c r="E465" s="32"/>
      <c r="F465" s="3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2"/>
      <c r="C466" s="32"/>
      <c r="D466" s="32"/>
      <c r="E466" s="32"/>
      <c r="F466" s="3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2"/>
      <c r="C467" s="32"/>
      <c r="D467" s="32"/>
      <c r="E467" s="32"/>
      <c r="F467" s="3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2"/>
      <c r="C468" s="32"/>
      <c r="D468" s="32"/>
      <c r="E468" s="32"/>
      <c r="F468" s="3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2"/>
      <c r="C469" s="32"/>
      <c r="D469" s="32"/>
      <c r="E469" s="32"/>
      <c r="F469" s="3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2"/>
      <c r="C470" s="32"/>
      <c r="D470" s="32"/>
      <c r="E470" s="32"/>
      <c r="F470" s="3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2"/>
      <c r="C471" s="32"/>
      <c r="D471" s="32"/>
      <c r="E471" s="32"/>
      <c r="F471" s="3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2"/>
      <c r="C472" s="32"/>
      <c r="D472" s="32"/>
      <c r="E472" s="32"/>
      <c r="F472" s="3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2"/>
      <c r="C473" s="32"/>
      <c r="D473" s="32"/>
      <c r="E473" s="32"/>
      <c r="F473" s="3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2"/>
      <c r="C474" s="32"/>
      <c r="D474" s="32"/>
      <c r="E474" s="32"/>
      <c r="F474" s="3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2"/>
      <c r="C475" s="32"/>
      <c r="D475" s="32"/>
      <c r="E475" s="32"/>
      <c r="F475" s="3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2"/>
      <c r="C476" s="32"/>
      <c r="D476" s="32"/>
      <c r="E476" s="32"/>
      <c r="F476" s="3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2"/>
      <c r="C477" s="32"/>
      <c r="D477" s="32"/>
      <c r="E477" s="32"/>
      <c r="F477" s="3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2"/>
      <c r="C478" s="32"/>
      <c r="D478" s="32"/>
      <c r="E478" s="32"/>
      <c r="F478" s="3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2"/>
      <c r="C479" s="32"/>
      <c r="D479" s="32"/>
      <c r="E479" s="32"/>
      <c r="F479" s="3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2"/>
      <c r="C480" s="32"/>
      <c r="D480" s="32"/>
      <c r="E480" s="32"/>
      <c r="F480" s="3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2"/>
      <c r="C481" s="32"/>
      <c r="D481" s="32"/>
      <c r="E481" s="32"/>
      <c r="F481" s="3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2"/>
      <c r="C482" s="32"/>
      <c r="D482" s="32"/>
      <c r="E482" s="32"/>
      <c r="F482" s="3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2"/>
      <c r="C483" s="32"/>
      <c r="D483" s="32"/>
      <c r="E483" s="32"/>
      <c r="F483" s="3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2"/>
      <c r="C484" s="32"/>
      <c r="D484" s="32"/>
      <c r="E484" s="32"/>
      <c r="F484" s="3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2"/>
      <c r="C485" s="32"/>
      <c r="D485" s="32"/>
      <c r="E485" s="32"/>
      <c r="F485" s="3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2"/>
      <c r="C486" s="32"/>
      <c r="D486" s="32"/>
      <c r="E486" s="32"/>
      <c r="F486" s="3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2"/>
      <c r="C487" s="32"/>
      <c r="D487" s="32"/>
      <c r="E487" s="32"/>
      <c r="F487" s="3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2"/>
      <c r="C488" s="32"/>
      <c r="D488" s="32"/>
      <c r="E488" s="32"/>
      <c r="F488" s="3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2"/>
      <c r="C489" s="32"/>
      <c r="D489" s="32"/>
      <c r="E489" s="32"/>
      <c r="F489" s="3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2"/>
      <c r="C490" s="32"/>
      <c r="D490" s="32"/>
      <c r="E490" s="32"/>
      <c r="F490" s="3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2"/>
      <c r="C491" s="32"/>
      <c r="D491" s="32"/>
      <c r="E491" s="32"/>
      <c r="F491" s="3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2"/>
      <c r="C492" s="32"/>
      <c r="D492" s="32"/>
      <c r="E492" s="32"/>
      <c r="F492" s="3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2"/>
      <c r="C493" s="32"/>
      <c r="D493" s="32"/>
      <c r="E493" s="32"/>
      <c r="F493" s="3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2"/>
      <c r="C494" s="32"/>
      <c r="D494" s="32"/>
      <c r="E494" s="32"/>
      <c r="F494" s="3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2"/>
      <c r="C495" s="32"/>
      <c r="D495" s="32"/>
      <c r="E495" s="32"/>
      <c r="F495" s="3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2"/>
      <c r="C496" s="32"/>
      <c r="D496" s="32"/>
      <c r="E496" s="32"/>
      <c r="F496" s="3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2"/>
      <c r="C497" s="32"/>
      <c r="D497" s="32"/>
      <c r="E497" s="32"/>
      <c r="F497" s="3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2"/>
      <c r="C498" s="32"/>
      <c r="D498" s="32"/>
      <c r="E498" s="32"/>
      <c r="F498" s="3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2"/>
      <c r="C499" s="32"/>
      <c r="D499" s="32"/>
      <c r="E499" s="32"/>
      <c r="F499" s="3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2"/>
      <c r="C500" s="32"/>
      <c r="D500" s="32"/>
      <c r="E500" s="32"/>
      <c r="F500" s="3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2"/>
      <c r="C501" s="32"/>
      <c r="D501" s="32"/>
      <c r="E501" s="32"/>
      <c r="F501" s="3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2"/>
      <c r="C502" s="32"/>
      <c r="D502" s="32"/>
      <c r="E502" s="32"/>
      <c r="F502" s="3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2"/>
      <c r="C503" s="32"/>
      <c r="D503" s="32"/>
      <c r="E503" s="32"/>
      <c r="F503" s="3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2"/>
      <c r="C504" s="32"/>
      <c r="D504" s="32"/>
      <c r="E504" s="32"/>
      <c r="F504" s="3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2"/>
      <c r="C505" s="32"/>
      <c r="D505" s="32"/>
      <c r="E505" s="32"/>
      <c r="F505" s="3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2"/>
      <c r="C506" s="32"/>
      <c r="D506" s="32"/>
      <c r="E506" s="32"/>
      <c r="F506" s="3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2"/>
      <c r="C507" s="32"/>
      <c r="D507" s="32"/>
      <c r="E507" s="32"/>
      <c r="F507" s="3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2"/>
      <c r="C508" s="32"/>
      <c r="D508" s="32"/>
      <c r="E508" s="32"/>
      <c r="F508" s="3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2"/>
      <c r="C509" s="32"/>
      <c r="D509" s="32"/>
      <c r="E509" s="32"/>
      <c r="F509" s="3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2"/>
      <c r="C510" s="32"/>
      <c r="D510" s="32"/>
      <c r="E510" s="32"/>
      <c r="F510" s="3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2"/>
      <c r="C511" s="32"/>
      <c r="D511" s="32"/>
      <c r="E511" s="32"/>
      <c r="F511" s="3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2"/>
      <c r="C512" s="32"/>
      <c r="D512" s="32"/>
      <c r="E512" s="32"/>
      <c r="F512" s="3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2"/>
      <c r="C513" s="32"/>
      <c r="D513" s="32"/>
      <c r="E513" s="32"/>
      <c r="F513" s="3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2"/>
      <c r="C514" s="32"/>
      <c r="D514" s="32"/>
      <c r="E514" s="32"/>
      <c r="F514" s="3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2"/>
      <c r="C515" s="32"/>
      <c r="D515" s="32"/>
      <c r="E515" s="32"/>
      <c r="F515" s="3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2"/>
      <c r="C516" s="32"/>
      <c r="D516" s="32"/>
      <c r="E516" s="32"/>
      <c r="F516" s="3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2"/>
      <c r="C517" s="32"/>
      <c r="D517" s="32"/>
      <c r="E517" s="32"/>
      <c r="F517" s="3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2"/>
      <c r="C518" s="32"/>
      <c r="D518" s="32"/>
      <c r="E518" s="32"/>
      <c r="F518" s="3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2"/>
      <c r="C519" s="32"/>
      <c r="D519" s="32"/>
      <c r="E519" s="32"/>
      <c r="F519" s="3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2"/>
      <c r="C520" s="32"/>
      <c r="D520" s="32"/>
      <c r="E520" s="32"/>
      <c r="F520" s="3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2"/>
      <c r="C521" s="32"/>
      <c r="D521" s="32"/>
      <c r="E521" s="32"/>
      <c r="F521" s="3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2"/>
      <c r="C522" s="32"/>
      <c r="D522" s="32"/>
      <c r="E522" s="32"/>
      <c r="F522" s="3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2"/>
      <c r="C523" s="32"/>
      <c r="D523" s="32"/>
      <c r="E523" s="32"/>
      <c r="F523" s="3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2"/>
      <c r="C524" s="32"/>
      <c r="D524" s="32"/>
      <c r="E524" s="32"/>
      <c r="F524" s="3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2"/>
      <c r="C525" s="32"/>
      <c r="D525" s="32"/>
      <c r="E525" s="32"/>
      <c r="F525" s="3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2"/>
      <c r="C526" s="32"/>
      <c r="D526" s="32"/>
      <c r="E526" s="32"/>
      <c r="F526" s="3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2"/>
      <c r="C527" s="32"/>
      <c r="D527" s="32"/>
      <c r="E527" s="32"/>
      <c r="F527" s="3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2"/>
      <c r="C528" s="32"/>
      <c r="D528" s="32"/>
      <c r="E528" s="32"/>
      <c r="F528" s="3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2"/>
      <c r="C529" s="32"/>
      <c r="D529" s="32"/>
      <c r="E529" s="32"/>
      <c r="F529" s="3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2"/>
      <c r="C530" s="32"/>
      <c r="D530" s="32"/>
      <c r="E530" s="32"/>
      <c r="F530" s="3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2"/>
      <c r="C531" s="32"/>
      <c r="D531" s="32"/>
      <c r="E531" s="32"/>
      <c r="F531" s="3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2"/>
      <c r="C532" s="32"/>
      <c r="D532" s="32"/>
      <c r="E532" s="32"/>
      <c r="F532" s="3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2"/>
      <c r="C533" s="32"/>
      <c r="D533" s="32"/>
      <c r="E533" s="32"/>
      <c r="F533" s="3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2"/>
      <c r="C534" s="32"/>
      <c r="D534" s="32"/>
      <c r="E534" s="32"/>
      <c r="F534" s="3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2"/>
      <c r="C535" s="32"/>
      <c r="D535" s="32"/>
      <c r="E535" s="32"/>
      <c r="F535" s="3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2"/>
      <c r="C536" s="32"/>
      <c r="D536" s="32"/>
      <c r="E536" s="32"/>
      <c r="F536" s="3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2"/>
      <c r="C537" s="32"/>
      <c r="D537" s="32"/>
      <c r="E537" s="32"/>
      <c r="F537" s="3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2"/>
      <c r="C538" s="32"/>
      <c r="D538" s="32"/>
      <c r="E538" s="32"/>
      <c r="F538" s="3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2"/>
      <c r="C539" s="32"/>
      <c r="D539" s="32"/>
      <c r="E539" s="32"/>
      <c r="F539" s="3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2"/>
      <c r="C540" s="32"/>
      <c r="D540" s="32"/>
      <c r="E540" s="32"/>
      <c r="F540" s="3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2"/>
      <c r="C541" s="32"/>
      <c r="D541" s="32"/>
      <c r="E541" s="32"/>
      <c r="F541" s="3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2"/>
      <c r="C542" s="32"/>
      <c r="D542" s="32"/>
      <c r="E542" s="32"/>
      <c r="F542" s="3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2"/>
      <c r="C543" s="32"/>
      <c r="D543" s="32"/>
      <c r="E543" s="32"/>
      <c r="F543" s="3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2"/>
      <c r="C544" s="32"/>
      <c r="D544" s="32"/>
      <c r="E544" s="32"/>
      <c r="F544" s="3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2"/>
      <c r="C545" s="32"/>
      <c r="D545" s="32"/>
      <c r="E545" s="32"/>
      <c r="F545" s="3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2"/>
      <c r="C546" s="32"/>
      <c r="D546" s="32"/>
      <c r="E546" s="32"/>
      <c r="F546" s="3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2"/>
      <c r="C547" s="32"/>
      <c r="D547" s="32"/>
      <c r="E547" s="32"/>
      <c r="F547" s="3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2"/>
      <c r="C548" s="32"/>
      <c r="D548" s="32"/>
      <c r="E548" s="32"/>
      <c r="F548" s="3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2"/>
      <c r="C549" s="32"/>
      <c r="D549" s="32"/>
      <c r="E549" s="32"/>
      <c r="F549" s="3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2"/>
      <c r="C550" s="32"/>
      <c r="D550" s="32"/>
      <c r="E550" s="32"/>
      <c r="F550" s="3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2"/>
      <c r="C551" s="32"/>
      <c r="D551" s="32"/>
      <c r="E551" s="32"/>
      <c r="F551" s="3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2"/>
      <c r="C552" s="32"/>
      <c r="D552" s="32"/>
      <c r="E552" s="32"/>
      <c r="F552" s="3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2"/>
      <c r="C553" s="32"/>
      <c r="D553" s="32"/>
      <c r="E553" s="32"/>
      <c r="F553" s="3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2"/>
      <c r="C554" s="32"/>
      <c r="D554" s="32"/>
      <c r="E554" s="32"/>
      <c r="F554" s="3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2"/>
      <c r="C555" s="32"/>
      <c r="D555" s="32"/>
      <c r="E555" s="32"/>
      <c r="F555" s="3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2"/>
      <c r="C556" s="32"/>
      <c r="D556" s="32"/>
      <c r="E556" s="32"/>
      <c r="F556" s="3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2"/>
      <c r="C557" s="32"/>
      <c r="D557" s="32"/>
      <c r="E557" s="32"/>
      <c r="F557" s="3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2"/>
      <c r="C558" s="32"/>
      <c r="D558" s="32"/>
      <c r="E558" s="32"/>
      <c r="F558" s="3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2"/>
      <c r="C559" s="32"/>
      <c r="D559" s="32"/>
      <c r="E559" s="32"/>
      <c r="F559" s="3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2"/>
      <c r="C560" s="32"/>
      <c r="D560" s="32"/>
      <c r="E560" s="32"/>
      <c r="F560" s="3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2"/>
      <c r="C561" s="32"/>
      <c r="D561" s="32"/>
      <c r="E561" s="32"/>
      <c r="F561" s="3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2"/>
      <c r="C562" s="32"/>
      <c r="D562" s="32"/>
      <c r="E562" s="32"/>
      <c r="F562" s="3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2"/>
      <c r="C563" s="32"/>
      <c r="D563" s="32"/>
      <c r="E563" s="32"/>
      <c r="F563" s="3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2"/>
      <c r="C564" s="32"/>
      <c r="D564" s="32"/>
      <c r="E564" s="32"/>
      <c r="F564" s="3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2"/>
      <c r="C565" s="32"/>
      <c r="D565" s="32"/>
      <c r="E565" s="32"/>
      <c r="F565" s="3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2"/>
      <c r="C566" s="32"/>
      <c r="D566" s="32"/>
      <c r="E566" s="32"/>
      <c r="F566" s="3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2"/>
      <c r="C567" s="32"/>
      <c r="D567" s="32"/>
      <c r="E567" s="32"/>
      <c r="F567" s="3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2"/>
      <c r="C568" s="32"/>
      <c r="D568" s="32"/>
      <c r="E568" s="32"/>
      <c r="F568" s="3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2"/>
      <c r="C569" s="32"/>
      <c r="D569" s="32"/>
      <c r="E569" s="32"/>
      <c r="F569" s="3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2"/>
      <c r="C570" s="32"/>
      <c r="D570" s="32"/>
      <c r="E570" s="32"/>
      <c r="F570" s="3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2"/>
      <c r="C571" s="32"/>
      <c r="D571" s="32"/>
      <c r="E571" s="32"/>
      <c r="F571" s="3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2"/>
      <c r="C572" s="32"/>
      <c r="D572" s="32"/>
      <c r="E572" s="32"/>
      <c r="F572" s="3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2"/>
      <c r="C573" s="32"/>
      <c r="D573" s="32"/>
      <c r="E573" s="32"/>
      <c r="F573" s="3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2"/>
      <c r="C574" s="32"/>
      <c r="D574" s="32"/>
      <c r="E574" s="32"/>
      <c r="F574" s="3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2"/>
      <c r="C575" s="32"/>
      <c r="D575" s="32"/>
      <c r="E575" s="32"/>
      <c r="F575" s="3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2"/>
      <c r="C576" s="32"/>
      <c r="D576" s="32"/>
      <c r="E576" s="32"/>
      <c r="F576" s="3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2"/>
      <c r="C577" s="32"/>
      <c r="D577" s="32"/>
      <c r="E577" s="32"/>
      <c r="F577" s="3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2"/>
      <c r="C578" s="32"/>
      <c r="D578" s="32"/>
      <c r="E578" s="32"/>
      <c r="F578" s="3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2"/>
      <c r="C579" s="32"/>
      <c r="D579" s="32"/>
      <c r="E579" s="32"/>
      <c r="F579" s="3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2"/>
      <c r="C580" s="32"/>
      <c r="D580" s="32"/>
      <c r="E580" s="32"/>
      <c r="F580" s="3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2"/>
      <c r="C581" s="32"/>
      <c r="D581" s="32"/>
      <c r="E581" s="32"/>
      <c r="F581" s="3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2"/>
      <c r="C582" s="32"/>
      <c r="D582" s="32"/>
      <c r="E582" s="32"/>
      <c r="F582" s="3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2"/>
      <c r="C583" s="32"/>
      <c r="D583" s="32"/>
      <c r="E583" s="32"/>
      <c r="F583" s="3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2"/>
      <c r="C584" s="32"/>
      <c r="D584" s="32"/>
      <c r="E584" s="32"/>
      <c r="F584" s="3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2"/>
      <c r="C585" s="32"/>
      <c r="D585" s="32"/>
      <c r="E585" s="32"/>
      <c r="F585" s="3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2"/>
      <c r="C586" s="32"/>
      <c r="D586" s="32"/>
      <c r="E586" s="32"/>
      <c r="F586" s="3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2"/>
      <c r="C587" s="32"/>
      <c r="D587" s="32"/>
      <c r="E587" s="32"/>
      <c r="F587" s="3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2"/>
      <c r="C588" s="32"/>
      <c r="D588" s="32"/>
      <c r="E588" s="32"/>
      <c r="F588" s="3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2"/>
      <c r="C589" s="32"/>
      <c r="D589" s="32"/>
      <c r="E589" s="32"/>
      <c r="F589" s="3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2"/>
      <c r="C590" s="32"/>
      <c r="D590" s="32"/>
      <c r="E590" s="32"/>
      <c r="F590" s="3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2"/>
      <c r="C591" s="32"/>
      <c r="D591" s="32"/>
      <c r="E591" s="32"/>
      <c r="F591" s="3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2"/>
      <c r="C592" s="32"/>
      <c r="D592" s="32"/>
      <c r="E592" s="32"/>
      <c r="F592" s="3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2"/>
      <c r="C593" s="32"/>
      <c r="D593" s="32"/>
      <c r="E593" s="32"/>
      <c r="F593" s="3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2"/>
      <c r="C594" s="32"/>
      <c r="D594" s="32"/>
      <c r="E594" s="32"/>
      <c r="F594" s="3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2"/>
      <c r="C595" s="32"/>
      <c r="D595" s="32"/>
      <c r="E595" s="32"/>
      <c r="F595" s="3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2"/>
      <c r="C596" s="32"/>
      <c r="D596" s="32"/>
      <c r="E596" s="32"/>
      <c r="F596" s="3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2"/>
      <c r="C597" s="32"/>
      <c r="D597" s="32"/>
      <c r="E597" s="32"/>
      <c r="F597" s="3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2"/>
      <c r="C598" s="32"/>
      <c r="D598" s="32"/>
      <c r="E598" s="32"/>
      <c r="F598" s="3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2"/>
      <c r="C599" s="32"/>
      <c r="D599" s="32"/>
      <c r="E599" s="32"/>
      <c r="F599" s="3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2"/>
      <c r="C600" s="32"/>
      <c r="D600" s="32"/>
      <c r="E600" s="32"/>
      <c r="F600" s="3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2"/>
      <c r="C601" s="32"/>
      <c r="D601" s="32"/>
      <c r="E601" s="32"/>
      <c r="F601" s="3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2"/>
      <c r="C602" s="32"/>
      <c r="D602" s="32"/>
      <c r="E602" s="32"/>
      <c r="F602" s="3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2"/>
      <c r="C603" s="32"/>
      <c r="D603" s="32"/>
      <c r="E603" s="32"/>
      <c r="F603" s="3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2"/>
      <c r="C604" s="32"/>
      <c r="D604" s="32"/>
      <c r="E604" s="32"/>
      <c r="F604" s="3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2"/>
      <c r="C605" s="32"/>
      <c r="D605" s="32"/>
      <c r="E605" s="32"/>
      <c r="F605" s="3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2"/>
      <c r="C606" s="32"/>
      <c r="D606" s="32"/>
      <c r="E606" s="32"/>
      <c r="F606" s="3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2"/>
      <c r="C607" s="32"/>
      <c r="D607" s="32"/>
      <c r="E607" s="32"/>
      <c r="F607" s="3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2"/>
      <c r="C608" s="32"/>
      <c r="D608" s="32"/>
      <c r="E608" s="32"/>
      <c r="F608" s="3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2"/>
      <c r="C609" s="32"/>
      <c r="D609" s="32"/>
      <c r="E609" s="32"/>
      <c r="F609" s="3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2"/>
      <c r="C610" s="32"/>
      <c r="D610" s="32"/>
      <c r="E610" s="32"/>
      <c r="F610" s="3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2"/>
      <c r="C611" s="32"/>
      <c r="D611" s="32"/>
      <c r="E611" s="32"/>
      <c r="F611" s="3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2"/>
      <c r="C612" s="32"/>
      <c r="D612" s="32"/>
      <c r="E612" s="32"/>
      <c r="F612" s="3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2"/>
      <c r="C613" s="32"/>
      <c r="D613" s="32"/>
      <c r="E613" s="32"/>
      <c r="F613" s="3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2"/>
      <c r="C614" s="32"/>
      <c r="D614" s="32"/>
      <c r="E614" s="32"/>
      <c r="F614" s="3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2"/>
      <c r="C615" s="32"/>
      <c r="D615" s="32"/>
      <c r="E615" s="32"/>
      <c r="F615" s="3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2"/>
      <c r="C616" s="32"/>
      <c r="D616" s="32"/>
      <c r="E616" s="32"/>
      <c r="F616" s="3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2"/>
      <c r="C617" s="32"/>
      <c r="D617" s="32"/>
      <c r="E617" s="32"/>
      <c r="F617" s="3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2"/>
      <c r="C618" s="32"/>
      <c r="D618" s="32"/>
      <c r="E618" s="32"/>
      <c r="F618" s="3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2"/>
      <c r="C619" s="32"/>
      <c r="D619" s="32"/>
      <c r="E619" s="32"/>
      <c r="F619" s="3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2"/>
      <c r="C620" s="32"/>
      <c r="D620" s="32"/>
      <c r="E620" s="32"/>
      <c r="F620" s="3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2"/>
      <c r="C621" s="32"/>
      <c r="D621" s="32"/>
      <c r="E621" s="32"/>
      <c r="F621" s="3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2"/>
      <c r="C622" s="32"/>
      <c r="D622" s="32"/>
      <c r="E622" s="32"/>
      <c r="F622" s="3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2"/>
      <c r="C623" s="32"/>
      <c r="D623" s="32"/>
      <c r="E623" s="32"/>
      <c r="F623" s="3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2"/>
      <c r="C624" s="32"/>
      <c r="D624" s="32"/>
      <c r="E624" s="32"/>
      <c r="F624" s="3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2"/>
      <c r="C625" s="32"/>
      <c r="D625" s="32"/>
      <c r="E625" s="32"/>
      <c r="F625" s="3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2"/>
      <c r="C626" s="32"/>
      <c r="D626" s="32"/>
      <c r="E626" s="32"/>
      <c r="F626" s="3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2"/>
      <c r="C627" s="32"/>
      <c r="D627" s="32"/>
      <c r="E627" s="32"/>
      <c r="F627" s="3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2"/>
      <c r="C628" s="32"/>
      <c r="D628" s="32"/>
      <c r="E628" s="32"/>
      <c r="F628" s="3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2"/>
      <c r="C629" s="32"/>
      <c r="D629" s="32"/>
      <c r="E629" s="32"/>
      <c r="F629" s="3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2"/>
      <c r="C630" s="32"/>
      <c r="D630" s="32"/>
      <c r="E630" s="32"/>
      <c r="F630" s="3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2"/>
      <c r="C631" s="32"/>
      <c r="D631" s="32"/>
      <c r="E631" s="32"/>
      <c r="F631" s="3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2"/>
      <c r="C632" s="32"/>
      <c r="D632" s="32"/>
      <c r="E632" s="32"/>
      <c r="F632" s="3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2"/>
      <c r="C633" s="32"/>
      <c r="D633" s="32"/>
      <c r="E633" s="32"/>
      <c r="F633" s="3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2"/>
      <c r="C634" s="32"/>
      <c r="D634" s="32"/>
      <c r="E634" s="32"/>
      <c r="F634" s="3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2"/>
      <c r="C635" s="32"/>
      <c r="D635" s="32"/>
      <c r="E635" s="32"/>
      <c r="F635" s="3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2"/>
      <c r="C636" s="32"/>
      <c r="D636" s="32"/>
      <c r="E636" s="32"/>
      <c r="F636" s="3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2"/>
      <c r="C637" s="32"/>
      <c r="D637" s="32"/>
      <c r="E637" s="32"/>
      <c r="F637" s="3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2"/>
      <c r="C638" s="32"/>
      <c r="D638" s="32"/>
      <c r="E638" s="32"/>
      <c r="F638" s="3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2"/>
      <c r="C639" s="32"/>
      <c r="D639" s="32"/>
      <c r="E639" s="32"/>
      <c r="F639" s="3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2"/>
      <c r="C640" s="32"/>
      <c r="D640" s="32"/>
      <c r="E640" s="32"/>
      <c r="F640" s="3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2"/>
      <c r="C641" s="32"/>
      <c r="D641" s="32"/>
      <c r="E641" s="32"/>
      <c r="F641" s="3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2"/>
      <c r="C642" s="32"/>
      <c r="D642" s="32"/>
      <c r="E642" s="32"/>
      <c r="F642" s="3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2"/>
      <c r="C643" s="32"/>
      <c r="D643" s="32"/>
      <c r="E643" s="32"/>
      <c r="F643" s="3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2"/>
      <c r="C644" s="32"/>
      <c r="D644" s="32"/>
      <c r="E644" s="32"/>
      <c r="F644" s="3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2"/>
      <c r="C645" s="32"/>
      <c r="D645" s="32"/>
      <c r="E645" s="32"/>
      <c r="F645" s="3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2"/>
      <c r="C646" s="32"/>
      <c r="D646" s="32"/>
      <c r="E646" s="32"/>
      <c r="F646" s="3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2"/>
      <c r="C647" s="32"/>
      <c r="D647" s="32"/>
      <c r="E647" s="32"/>
      <c r="F647" s="3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2"/>
      <c r="C648" s="32"/>
      <c r="D648" s="32"/>
      <c r="E648" s="32"/>
      <c r="F648" s="3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2"/>
      <c r="C649" s="32"/>
      <c r="D649" s="32"/>
      <c r="E649" s="32"/>
      <c r="F649" s="3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2"/>
      <c r="C650" s="32"/>
      <c r="D650" s="32"/>
      <c r="E650" s="32"/>
      <c r="F650" s="3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2"/>
      <c r="C651" s="32"/>
      <c r="D651" s="32"/>
      <c r="E651" s="32"/>
      <c r="F651" s="3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2"/>
      <c r="C652" s="32"/>
      <c r="D652" s="32"/>
      <c r="E652" s="32"/>
      <c r="F652" s="3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2"/>
      <c r="C653" s="32"/>
      <c r="D653" s="32"/>
      <c r="E653" s="32"/>
      <c r="F653" s="3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2"/>
      <c r="C654" s="32"/>
      <c r="D654" s="32"/>
      <c r="E654" s="32"/>
      <c r="F654" s="3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2"/>
      <c r="C655" s="32"/>
      <c r="D655" s="32"/>
      <c r="E655" s="32"/>
      <c r="F655" s="3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2"/>
      <c r="C656" s="32"/>
      <c r="D656" s="32"/>
      <c r="E656" s="32"/>
      <c r="F656" s="3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2"/>
      <c r="C657" s="32"/>
      <c r="D657" s="32"/>
      <c r="E657" s="32"/>
      <c r="F657" s="3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2"/>
      <c r="C658" s="32"/>
      <c r="D658" s="32"/>
      <c r="E658" s="32"/>
      <c r="F658" s="3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2"/>
      <c r="C659" s="32"/>
      <c r="D659" s="32"/>
      <c r="E659" s="32"/>
      <c r="F659" s="3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2"/>
      <c r="C660" s="32"/>
      <c r="D660" s="32"/>
      <c r="E660" s="32"/>
      <c r="F660" s="3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2"/>
      <c r="C661" s="32"/>
      <c r="D661" s="32"/>
      <c r="E661" s="32"/>
      <c r="F661" s="3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2"/>
      <c r="C662" s="32"/>
      <c r="D662" s="32"/>
      <c r="E662" s="32"/>
      <c r="F662" s="3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2"/>
      <c r="C663" s="32"/>
      <c r="D663" s="32"/>
      <c r="E663" s="32"/>
      <c r="F663" s="3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2"/>
      <c r="C664" s="32"/>
      <c r="D664" s="32"/>
      <c r="E664" s="32"/>
      <c r="F664" s="3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2"/>
      <c r="C665" s="32"/>
      <c r="D665" s="32"/>
      <c r="E665" s="32"/>
      <c r="F665" s="3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2"/>
      <c r="C666" s="32"/>
      <c r="D666" s="32"/>
      <c r="E666" s="32"/>
      <c r="F666" s="3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2"/>
      <c r="C667" s="32"/>
      <c r="D667" s="32"/>
      <c r="E667" s="32"/>
      <c r="F667" s="3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2"/>
      <c r="C668" s="32"/>
      <c r="D668" s="32"/>
      <c r="E668" s="32"/>
      <c r="F668" s="3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2"/>
      <c r="C669" s="32"/>
      <c r="D669" s="32"/>
      <c r="E669" s="32"/>
      <c r="F669" s="3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2"/>
      <c r="C670" s="32"/>
      <c r="D670" s="32"/>
      <c r="E670" s="32"/>
      <c r="F670" s="3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2"/>
      <c r="C671" s="32"/>
      <c r="D671" s="32"/>
      <c r="E671" s="32"/>
      <c r="F671" s="3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2"/>
      <c r="C672" s="32"/>
      <c r="D672" s="32"/>
      <c r="E672" s="32"/>
      <c r="F672" s="3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2"/>
      <c r="C673" s="32"/>
      <c r="D673" s="32"/>
      <c r="E673" s="32"/>
      <c r="F673" s="3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2"/>
      <c r="C674" s="32"/>
      <c r="D674" s="32"/>
      <c r="E674" s="32"/>
      <c r="F674" s="3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2"/>
      <c r="C675" s="32"/>
      <c r="D675" s="32"/>
      <c r="E675" s="32"/>
      <c r="F675" s="3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2"/>
      <c r="C676" s="32"/>
      <c r="D676" s="32"/>
      <c r="E676" s="32"/>
      <c r="F676" s="3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2"/>
      <c r="C677" s="32"/>
      <c r="D677" s="32"/>
      <c r="E677" s="32"/>
      <c r="F677" s="3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2"/>
      <c r="C678" s="32"/>
      <c r="D678" s="32"/>
      <c r="E678" s="32"/>
      <c r="F678" s="3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2"/>
      <c r="C679" s="32"/>
      <c r="D679" s="32"/>
      <c r="E679" s="32"/>
      <c r="F679" s="3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2"/>
      <c r="C680" s="32"/>
      <c r="D680" s="32"/>
      <c r="E680" s="32"/>
      <c r="F680" s="3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2"/>
      <c r="C681" s="32"/>
      <c r="D681" s="32"/>
      <c r="E681" s="32"/>
      <c r="F681" s="3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2"/>
      <c r="C682" s="32"/>
      <c r="D682" s="32"/>
      <c r="E682" s="32"/>
      <c r="F682" s="3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2"/>
      <c r="C683" s="32"/>
      <c r="D683" s="32"/>
      <c r="E683" s="32"/>
      <c r="F683" s="3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2"/>
      <c r="C684" s="32"/>
      <c r="D684" s="32"/>
      <c r="E684" s="32"/>
      <c r="F684" s="3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2"/>
      <c r="C685" s="32"/>
      <c r="D685" s="32"/>
      <c r="E685" s="32"/>
      <c r="F685" s="3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2"/>
      <c r="C686" s="32"/>
      <c r="D686" s="32"/>
      <c r="E686" s="32"/>
      <c r="F686" s="3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2"/>
      <c r="C687" s="32"/>
      <c r="D687" s="32"/>
      <c r="E687" s="32"/>
      <c r="F687" s="3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2"/>
      <c r="C688" s="32"/>
      <c r="D688" s="32"/>
      <c r="E688" s="32"/>
      <c r="F688" s="3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2"/>
      <c r="C689" s="32"/>
      <c r="D689" s="32"/>
      <c r="E689" s="32"/>
      <c r="F689" s="3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2"/>
      <c r="C690" s="32"/>
      <c r="D690" s="32"/>
      <c r="E690" s="32"/>
      <c r="F690" s="3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2"/>
      <c r="C691" s="32"/>
      <c r="D691" s="32"/>
      <c r="E691" s="32"/>
      <c r="F691" s="3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2"/>
      <c r="C692" s="32"/>
      <c r="D692" s="32"/>
      <c r="E692" s="32"/>
      <c r="F692" s="3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2"/>
      <c r="C693" s="32"/>
      <c r="D693" s="32"/>
      <c r="E693" s="32"/>
      <c r="F693" s="3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2"/>
      <c r="C694" s="32"/>
      <c r="D694" s="32"/>
      <c r="E694" s="32"/>
      <c r="F694" s="3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2"/>
      <c r="C695" s="32"/>
      <c r="D695" s="32"/>
      <c r="E695" s="32"/>
      <c r="F695" s="3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2"/>
      <c r="C696" s="32"/>
      <c r="D696" s="32"/>
      <c r="E696" s="32"/>
      <c r="F696" s="3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2"/>
      <c r="C697" s="32"/>
      <c r="D697" s="32"/>
      <c r="E697" s="32"/>
      <c r="F697" s="3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2"/>
      <c r="C698" s="32"/>
      <c r="D698" s="32"/>
      <c r="E698" s="32"/>
      <c r="F698" s="3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2"/>
      <c r="C699" s="32"/>
      <c r="D699" s="32"/>
      <c r="E699" s="32"/>
      <c r="F699" s="3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2"/>
      <c r="C700" s="32"/>
      <c r="D700" s="32"/>
      <c r="E700" s="32"/>
      <c r="F700" s="3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2"/>
      <c r="C701" s="32"/>
      <c r="D701" s="32"/>
      <c r="E701" s="32"/>
      <c r="F701" s="3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2"/>
      <c r="C702" s="32"/>
      <c r="D702" s="32"/>
      <c r="E702" s="32"/>
      <c r="F702" s="3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2"/>
      <c r="C703" s="32"/>
      <c r="D703" s="32"/>
      <c r="E703" s="32"/>
      <c r="F703" s="3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2"/>
      <c r="C704" s="32"/>
      <c r="D704" s="32"/>
      <c r="E704" s="32"/>
      <c r="F704" s="3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2"/>
      <c r="C705" s="32"/>
      <c r="D705" s="32"/>
      <c r="E705" s="32"/>
      <c r="F705" s="3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2"/>
      <c r="C706" s="32"/>
      <c r="D706" s="32"/>
      <c r="E706" s="32"/>
      <c r="F706" s="3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2"/>
      <c r="C707" s="32"/>
      <c r="D707" s="32"/>
      <c r="E707" s="32"/>
      <c r="F707" s="3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2"/>
      <c r="C708" s="32"/>
      <c r="D708" s="32"/>
      <c r="E708" s="32"/>
      <c r="F708" s="3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2"/>
      <c r="C709" s="32"/>
      <c r="D709" s="32"/>
      <c r="E709" s="32"/>
      <c r="F709" s="3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2"/>
      <c r="C710" s="32"/>
      <c r="D710" s="32"/>
      <c r="E710" s="32"/>
      <c r="F710" s="3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2"/>
      <c r="C711" s="32"/>
      <c r="D711" s="32"/>
      <c r="E711" s="32"/>
      <c r="F711" s="3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2"/>
      <c r="C712" s="32"/>
      <c r="D712" s="32"/>
      <c r="E712" s="32"/>
      <c r="F712" s="3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2"/>
      <c r="C713" s="32"/>
      <c r="D713" s="32"/>
      <c r="E713" s="32"/>
      <c r="F713" s="3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2"/>
      <c r="C714" s="32"/>
      <c r="D714" s="32"/>
      <c r="E714" s="32"/>
      <c r="F714" s="3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2"/>
      <c r="C715" s="32"/>
      <c r="D715" s="32"/>
      <c r="E715" s="32"/>
      <c r="F715" s="3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2"/>
      <c r="C716" s="32"/>
      <c r="D716" s="32"/>
      <c r="E716" s="32"/>
      <c r="F716" s="3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2"/>
      <c r="C717" s="32"/>
      <c r="D717" s="32"/>
      <c r="E717" s="32"/>
      <c r="F717" s="3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2"/>
      <c r="C718" s="32"/>
      <c r="D718" s="32"/>
      <c r="E718" s="32"/>
      <c r="F718" s="3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2"/>
      <c r="C719" s="32"/>
      <c r="D719" s="32"/>
      <c r="E719" s="32"/>
      <c r="F719" s="3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2"/>
      <c r="C720" s="32"/>
      <c r="D720" s="32"/>
      <c r="E720" s="32"/>
      <c r="F720" s="3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2"/>
      <c r="C721" s="32"/>
      <c r="D721" s="32"/>
      <c r="E721" s="32"/>
      <c r="F721" s="3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2"/>
      <c r="C722" s="32"/>
      <c r="D722" s="32"/>
      <c r="E722" s="32"/>
      <c r="F722" s="3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2"/>
      <c r="C723" s="32"/>
      <c r="D723" s="32"/>
      <c r="E723" s="32"/>
      <c r="F723" s="3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2"/>
      <c r="C724" s="32"/>
      <c r="D724" s="32"/>
      <c r="E724" s="32"/>
      <c r="F724" s="3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2"/>
      <c r="C725" s="32"/>
      <c r="D725" s="32"/>
      <c r="E725" s="32"/>
      <c r="F725" s="3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2"/>
      <c r="C726" s="32"/>
      <c r="D726" s="32"/>
      <c r="E726" s="32"/>
      <c r="F726" s="3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2"/>
      <c r="C727" s="32"/>
      <c r="D727" s="32"/>
      <c r="E727" s="32"/>
      <c r="F727" s="3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2"/>
      <c r="C728" s="32"/>
      <c r="D728" s="32"/>
      <c r="E728" s="32"/>
      <c r="F728" s="3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2"/>
      <c r="C729" s="32"/>
      <c r="D729" s="32"/>
      <c r="E729" s="32"/>
      <c r="F729" s="3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2"/>
      <c r="C730" s="32"/>
      <c r="D730" s="32"/>
      <c r="E730" s="32"/>
      <c r="F730" s="3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2"/>
      <c r="C731" s="32"/>
      <c r="D731" s="32"/>
      <c r="E731" s="32"/>
      <c r="F731" s="3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2"/>
      <c r="C732" s="32"/>
      <c r="D732" s="32"/>
      <c r="E732" s="32"/>
      <c r="F732" s="3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2"/>
      <c r="C733" s="32"/>
      <c r="D733" s="32"/>
      <c r="E733" s="32"/>
      <c r="F733" s="3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2"/>
      <c r="C734" s="32"/>
      <c r="D734" s="32"/>
      <c r="E734" s="32"/>
      <c r="F734" s="3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2"/>
      <c r="C735" s="32"/>
      <c r="D735" s="32"/>
      <c r="E735" s="32"/>
      <c r="F735" s="3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2"/>
      <c r="C736" s="32"/>
      <c r="D736" s="32"/>
      <c r="E736" s="32"/>
      <c r="F736" s="3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2"/>
      <c r="C737" s="32"/>
      <c r="D737" s="32"/>
      <c r="E737" s="32"/>
      <c r="F737" s="3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2"/>
      <c r="C738" s="32"/>
      <c r="D738" s="32"/>
      <c r="E738" s="32"/>
      <c r="F738" s="3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2"/>
      <c r="C739" s="32"/>
      <c r="D739" s="32"/>
      <c r="E739" s="32"/>
      <c r="F739" s="3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2"/>
      <c r="C740" s="32"/>
      <c r="D740" s="32"/>
      <c r="E740" s="32"/>
      <c r="F740" s="3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2"/>
      <c r="C741" s="32"/>
      <c r="D741" s="32"/>
      <c r="E741" s="32"/>
      <c r="F741" s="3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2"/>
      <c r="C742" s="32"/>
      <c r="D742" s="32"/>
      <c r="E742" s="32"/>
      <c r="F742" s="3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2"/>
      <c r="C743" s="32"/>
      <c r="D743" s="32"/>
      <c r="E743" s="32"/>
      <c r="F743" s="3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2"/>
      <c r="C744" s="32"/>
      <c r="D744" s="32"/>
      <c r="E744" s="32"/>
      <c r="F744" s="3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2"/>
      <c r="C745" s="32"/>
      <c r="D745" s="32"/>
      <c r="E745" s="32"/>
      <c r="F745" s="3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2"/>
      <c r="C746" s="32"/>
      <c r="D746" s="32"/>
      <c r="E746" s="32"/>
      <c r="F746" s="3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2"/>
      <c r="C747" s="32"/>
      <c r="D747" s="32"/>
      <c r="E747" s="32"/>
      <c r="F747" s="3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2"/>
      <c r="C748" s="32"/>
      <c r="D748" s="32"/>
      <c r="E748" s="32"/>
      <c r="F748" s="3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2"/>
      <c r="C749" s="32"/>
      <c r="D749" s="32"/>
      <c r="E749" s="32"/>
      <c r="F749" s="3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2"/>
      <c r="C750" s="32"/>
      <c r="D750" s="32"/>
      <c r="E750" s="32"/>
      <c r="F750" s="3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2"/>
      <c r="C751" s="32"/>
      <c r="D751" s="32"/>
      <c r="E751" s="32"/>
      <c r="F751" s="3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2"/>
      <c r="C752" s="32"/>
      <c r="D752" s="32"/>
      <c r="E752" s="32"/>
      <c r="F752" s="3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2"/>
      <c r="C753" s="32"/>
      <c r="D753" s="32"/>
      <c r="E753" s="32"/>
      <c r="F753" s="3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2"/>
      <c r="C754" s="32"/>
      <c r="D754" s="32"/>
      <c r="E754" s="32"/>
      <c r="F754" s="3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2"/>
      <c r="C755" s="32"/>
      <c r="D755" s="32"/>
      <c r="E755" s="32"/>
      <c r="F755" s="3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2"/>
      <c r="C756" s="32"/>
      <c r="D756" s="32"/>
      <c r="E756" s="32"/>
      <c r="F756" s="3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2"/>
      <c r="C757" s="32"/>
      <c r="D757" s="32"/>
      <c r="E757" s="32"/>
      <c r="F757" s="3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2"/>
      <c r="C758" s="32"/>
      <c r="D758" s="32"/>
      <c r="E758" s="32"/>
      <c r="F758" s="3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2"/>
      <c r="C759" s="32"/>
      <c r="D759" s="32"/>
      <c r="E759" s="32"/>
      <c r="F759" s="3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2"/>
      <c r="C760" s="32"/>
      <c r="D760" s="32"/>
      <c r="E760" s="32"/>
      <c r="F760" s="3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2"/>
      <c r="C761" s="32"/>
      <c r="D761" s="32"/>
      <c r="E761" s="32"/>
      <c r="F761" s="3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2"/>
      <c r="C762" s="32"/>
      <c r="D762" s="32"/>
      <c r="E762" s="32"/>
      <c r="F762" s="3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2"/>
      <c r="C763" s="32"/>
      <c r="D763" s="32"/>
      <c r="E763" s="32"/>
      <c r="F763" s="3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2"/>
      <c r="C764" s="32"/>
      <c r="D764" s="32"/>
      <c r="E764" s="32"/>
      <c r="F764" s="3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2"/>
      <c r="C765" s="32"/>
      <c r="D765" s="32"/>
      <c r="E765" s="32"/>
      <c r="F765" s="3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2"/>
      <c r="C766" s="32"/>
      <c r="D766" s="32"/>
      <c r="E766" s="32"/>
      <c r="F766" s="3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2"/>
      <c r="C767" s="32"/>
      <c r="D767" s="32"/>
      <c r="E767" s="32"/>
      <c r="F767" s="3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2"/>
      <c r="C768" s="32"/>
      <c r="D768" s="32"/>
      <c r="E768" s="32"/>
      <c r="F768" s="3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2"/>
      <c r="C769" s="32"/>
      <c r="D769" s="32"/>
      <c r="E769" s="32"/>
      <c r="F769" s="3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2"/>
      <c r="C770" s="32"/>
      <c r="D770" s="32"/>
      <c r="E770" s="32"/>
      <c r="F770" s="3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2"/>
      <c r="C771" s="32"/>
      <c r="D771" s="32"/>
      <c r="E771" s="32"/>
      <c r="F771" s="3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2"/>
      <c r="C772" s="32"/>
      <c r="D772" s="32"/>
      <c r="E772" s="32"/>
      <c r="F772" s="3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2"/>
      <c r="C773" s="32"/>
      <c r="D773" s="32"/>
      <c r="E773" s="32"/>
      <c r="F773" s="3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2"/>
      <c r="C774" s="32"/>
      <c r="D774" s="32"/>
      <c r="E774" s="32"/>
      <c r="F774" s="3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2"/>
      <c r="C775" s="32"/>
      <c r="D775" s="32"/>
      <c r="E775" s="32"/>
      <c r="F775" s="3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2"/>
      <c r="C776" s="32"/>
      <c r="D776" s="32"/>
      <c r="E776" s="32"/>
      <c r="F776" s="3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2"/>
      <c r="C777" s="32"/>
      <c r="D777" s="32"/>
      <c r="E777" s="32"/>
      <c r="F777" s="3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2"/>
      <c r="C778" s="32"/>
      <c r="D778" s="32"/>
      <c r="E778" s="32"/>
      <c r="F778" s="3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2"/>
      <c r="C779" s="32"/>
      <c r="D779" s="32"/>
      <c r="E779" s="32"/>
      <c r="F779" s="3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2"/>
      <c r="C780" s="32"/>
      <c r="D780" s="32"/>
      <c r="E780" s="32"/>
      <c r="F780" s="3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2"/>
      <c r="C781" s="32"/>
      <c r="D781" s="32"/>
      <c r="E781" s="32"/>
      <c r="F781" s="3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2"/>
      <c r="C782" s="32"/>
      <c r="D782" s="32"/>
      <c r="E782" s="32"/>
      <c r="F782" s="3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2"/>
      <c r="C783" s="32"/>
      <c r="D783" s="32"/>
      <c r="E783" s="32"/>
      <c r="F783" s="3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2"/>
      <c r="C784" s="32"/>
      <c r="D784" s="32"/>
      <c r="E784" s="32"/>
      <c r="F784" s="3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2"/>
      <c r="C785" s="32"/>
      <c r="D785" s="32"/>
      <c r="E785" s="32"/>
      <c r="F785" s="3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2"/>
      <c r="C786" s="32"/>
      <c r="D786" s="32"/>
      <c r="E786" s="32"/>
      <c r="F786" s="3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2"/>
      <c r="C787" s="32"/>
      <c r="D787" s="32"/>
      <c r="E787" s="32"/>
      <c r="F787" s="3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2"/>
      <c r="C788" s="32"/>
      <c r="D788" s="32"/>
      <c r="E788" s="32"/>
      <c r="F788" s="3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2"/>
      <c r="C789" s="32"/>
      <c r="D789" s="32"/>
      <c r="E789" s="32"/>
      <c r="F789" s="3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2"/>
      <c r="C790" s="32"/>
      <c r="D790" s="32"/>
      <c r="E790" s="32"/>
      <c r="F790" s="3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2"/>
      <c r="C791" s="32"/>
      <c r="D791" s="32"/>
      <c r="E791" s="32"/>
      <c r="F791" s="3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2"/>
      <c r="C792" s="32"/>
      <c r="D792" s="32"/>
      <c r="E792" s="32"/>
      <c r="F792" s="3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2"/>
      <c r="C793" s="32"/>
      <c r="D793" s="32"/>
      <c r="E793" s="32"/>
      <c r="F793" s="3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2"/>
      <c r="C794" s="32"/>
      <c r="D794" s="32"/>
      <c r="E794" s="32"/>
      <c r="F794" s="3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2"/>
      <c r="C795" s="32"/>
      <c r="D795" s="32"/>
      <c r="E795" s="32"/>
      <c r="F795" s="3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2"/>
      <c r="C796" s="32"/>
      <c r="D796" s="32"/>
      <c r="E796" s="32"/>
      <c r="F796" s="3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2"/>
      <c r="C797" s="32"/>
      <c r="D797" s="32"/>
      <c r="E797" s="32"/>
      <c r="F797" s="3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2"/>
      <c r="C798" s="32"/>
      <c r="D798" s="32"/>
      <c r="E798" s="32"/>
      <c r="F798" s="3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2"/>
      <c r="C799" s="32"/>
      <c r="D799" s="32"/>
      <c r="E799" s="32"/>
      <c r="F799" s="3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2"/>
      <c r="C800" s="32"/>
      <c r="D800" s="32"/>
      <c r="E800" s="32"/>
      <c r="F800" s="3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2"/>
      <c r="C801" s="32"/>
      <c r="D801" s="32"/>
      <c r="E801" s="32"/>
      <c r="F801" s="3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2"/>
      <c r="C802" s="32"/>
      <c r="D802" s="32"/>
      <c r="E802" s="32"/>
      <c r="F802" s="3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2"/>
      <c r="C803" s="32"/>
      <c r="D803" s="32"/>
      <c r="E803" s="32"/>
      <c r="F803" s="3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2"/>
      <c r="C804" s="32"/>
      <c r="D804" s="32"/>
      <c r="E804" s="32"/>
      <c r="F804" s="3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2"/>
      <c r="C805" s="32"/>
      <c r="D805" s="32"/>
      <c r="E805" s="32"/>
      <c r="F805" s="3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2"/>
      <c r="C806" s="32"/>
      <c r="D806" s="32"/>
      <c r="E806" s="32"/>
      <c r="F806" s="3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2"/>
      <c r="C807" s="32"/>
      <c r="D807" s="32"/>
      <c r="E807" s="32"/>
      <c r="F807" s="3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2"/>
      <c r="C808" s="32"/>
      <c r="D808" s="32"/>
      <c r="E808" s="32"/>
      <c r="F808" s="3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2"/>
      <c r="C809" s="32"/>
      <c r="D809" s="32"/>
      <c r="E809" s="32"/>
      <c r="F809" s="3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2"/>
      <c r="C810" s="32"/>
      <c r="D810" s="32"/>
      <c r="E810" s="32"/>
      <c r="F810" s="3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2"/>
      <c r="C811" s="32"/>
      <c r="D811" s="32"/>
      <c r="E811" s="32"/>
      <c r="F811" s="3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2"/>
      <c r="C812" s="32"/>
      <c r="D812" s="32"/>
      <c r="E812" s="32"/>
      <c r="F812" s="3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2"/>
      <c r="C813" s="32"/>
      <c r="D813" s="32"/>
      <c r="E813" s="32"/>
      <c r="F813" s="3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2"/>
      <c r="C814" s="32"/>
      <c r="D814" s="32"/>
      <c r="E814" s="32"/>
      <c r="F814" s="3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2"/>
      <c r="C815" s="32"/>
      <c r="D815" s="32"/>
      <c r="E815" s="32"/>
      <c r="F815" s="3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2"/>
      <c r="C816" s="32"/>
      <c r="D816" s="32"/>
      <c r="E816" s="32"/>
      <c r="F816" s="3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2"/>
      <c r="C817" s="32"/>
      <c r="D817" s="32"/>
      <c r="E817" s="32"/>
      <c r="F817" s="3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2"/>
      <c r="C818" s="32"/>
      <c r="D818" s="32"/>
      <c r="E818" s="32"/>
      <c r="F818" s="3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2"/>
      <c r="C819" s="32"/>
      <c r="D819" s="32"/>
      <c r="E819" s="32"/>
      <c r="F819" s="3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2"/>
      <c r="C820" s="32"/>
      <c r="D820" s="32"/>
      <c r="E820" s="32"/>
      <c r="F820" s="3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2"/>
      <c r="C821" s="32"/>
      <c r="D821" s="32"/>
      <c r="E821" s="32"/>
      <c r="F821" s="3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2"/>
      <c r="C822" s="32"/>
      <c r="D822" s="32"/>
      <c r="E822" s="32"/>
      <c r="F822" s="3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2"/>
      <c r="C823" s="32"/>
      <c r="D823" s="32"/>
      <c r="E823" s="32"/>
      <c r="F823" s="3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2"/>
      <c r="C824" s="32"/>
      <c r="D824" s="32"/>
      <c r="E824" s="32"/>
      <c r="F824" s="3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2"/>
      <c r="C825" s="32"/>
      <c r="D825" s="32"/>
      <c r="E825" s="32"/>
      <c r="F825" s="3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2"/>
      <c r="C826" s="32"/>
      <c r="D826" s="32"/>
      <c r="E826" s="32"/>
      <c r="F826" s="3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2"/>
      <c r="C827" s="32"/>
      <c r="D827" s="32"/>
      <c r="E827" s="32"/>
      <c r="F827" s="3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2"/>
      <c r="C828" s="32"/>
      <c r="D828" s="32"/>
      <c r="E828" s="32"/>
      <c r="F828" s="3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2"/>
      <c r="C829" s="32"/>
      <c r="D829" s="32"/>
      <c r="E829" s="32"/>
      <c r="F829" s="3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2"/>
      <c r="C830" s="32"/>
      <c r="D830" s="32"/>
      <c r="E830" s="32"/>
      <c r="F830" s="3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2"/>
      <c r="C831" s="32"/>
      <c r="D831" s="32"/>
      <c r="E831" s="32"/>
      <c r="F831" s="3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2"/>
      <c r="C832" s="32"/>
      <c r="D832" s="32"/>
      <c r="E832" s="32"/>
      <c r="F832" s="3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2"/>
      <c r="C833" s="32"/>
      <c r="D833" s="32"/>
      <c r="E833" s="32"/>
      <c r="F833" s="3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2"/>
      <c r="C834" s="32"/>
      <c r="D834" s="32"/>
      <c r="E834" s="32"/>
      <c r="F834" s="3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2"/>
      <c r="C835" s="32"/>
      <c r="D835" s="32"/>
      <c r="E835" s="32"/>
      <c r="F835" s="3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2"/>
      <c r="C836" s="32"/>
      <c r="D836" s="32"/>
      <c r="E836" s="32"/>
      <c r="F836" s="3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2"/>
      <c r="C837" s="32"/>
      <c r="D837" s="32"/>
      <c r="E837" s="32"/>
      <c r="F837" s="3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2"/>
      <c r="C838" s="32"/>
      <c r="D838" s="32"/>
      <c r="E838" s="32"/>
      <c r="F838" s="3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2"/>
      <c r="C839" s="32"/>
      <c r="D839" s="32"/>
      <c r="E839" s="32"/>
      <c r="F839" s="3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2"/>
      <c r="C840" s="32"/>
      <c r="D840" s="32"/>
      <c r="E840" s="32"/>
      <c r="F840" s="3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2"/>
      <c r="C841" s="32"/>
      <c r="D841" s="32"/>
      <c r="E841" s="32"/>
      <c r="F841" s="3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2"/>
      <c r="C842" s="32"/>
      <c r="D842" s="32"/>
      <c r="E842" s="32"/>
      <c r="F842" s="3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2"/>
      <c r="C843" s="32"/>
      <c r="D843" s="32"/>
      <c r="E843" s="32"/>
      <c r="F843" s="3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2"/>
      <c r="C844" s="32"/>
      <c r="D844" s="32"/>
      <c r="E844" s="32"/>
      <c r="F844" s="3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2"/>
      <c r="C845" s="32"/>
      <c r="D845" s="32"/>
      <c r="E845" s="32"/>
      <c r="F845" s="3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2"/>
      <c r="C846" s="32"/>
      <c r="D846" s="32"/>
      <c r="E846" s="32"/>
      <c r="F846" s="3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2"/>
      <c r="C847" s="32"/>
      <c r="D847" s="32"/>
      <c r="E847" s="32"/>
      <c r="F847" s="3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2"/>
      <c r="C848" s="32"/>
      <c r="D848" s="32"/>
      <c r="E848" s="32"/>
      <c r="F848" s="3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2"/>
      <c r="C849" s="32"/>
      <c r="D849" s="32"/>
      <c r="E849" s="32"/>
      <c r="F849" s="3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2"/>
      <c r="C850" s="32"/>
      <c r="D850" s="32"/>
      <c r="E850" s="32"/>
      <c r="F850" s="3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2"/>
      <c r="C851" s="32"/>
      <c r="D851" s="32"/>
      <c r="E851" s="32"/>
      <c r="F851" s="3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2"/>
      <c r="C852" s="32"/>
      <c r="D852" s="32"/>
      <c r="E852" s="32"/>
      <c r="F852" s="3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2"/>
      <c r="C853" s="32"/>
      <c r="D853" s="32"/>
      <c r="E853" s="32"/>
      <c r="F853" s="3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2"/>
      <c r="C854" s="32"/>
      <c r="D854" s="32"/>
      <c r="E854" s="32"/>
      <c r="F854" s="3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2"/>
      <c r="C855" s="32"/>
      <c r="D855" s="32"/>
      <c r="E855" s="32"/>
      <c r="F855" s="3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2"/>
      <c r="C856" s="32"/>
      <c r="D856" s="32"/>
      <c r="E856" s="32"/>
      <c r="F856" s="3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2"/>
      <c r="C857" s="32"/>
      <c r="D857" s="32"/>
      <c r="E857" s="32"/>
      <c r="F857" s="3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2"/>
      <c r="C858" s="32"/>
      <c r="D858" s="32"/>
      <c r="E858" s="32"/>
      <c r="F858" s="3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2"/>
      <c r="C859" s="32"/>
      <c r="D859" s="32"/>
      <c r="E859" s="32"/>
      <c r="F859" s="3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2"/>
      <c r="C860" s="32"/>
      <c r="D860" s="32"/>
      <c r="E860" s="32"/>
      <c r="F860" s="3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2"/>
      <c r="C861" s="32"/>
      <c r="D861" s="32"/>
      <c r="E861" s="32"/>
      <c r="F861" s="3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2"/>
      <c r="C862" s="32"/>
      <c r="D862" s="32"/>
      <c r="E862" s="32"/>
      <c r="F862" s="3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2"/>
      <c r="C863" s="32"/>
      <c r="D863" s="32"/>
      <c r="E863" s="32"/>
      <c r="F863" s="3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2"/>
      <c r="C864" s="32"/>
      <c r="D864" s="32"/>
      <c r="E864" s="32"/>
      <c r="F864" s="3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2"/>
      <c r="C865" s="32"/>
      <c r="D865" s="32"/>
      <c r="E865" s="32"/>
      <c r="F865" s="3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2"/>
      <c r="C866" s="32"/>
      <c r="D866" s="32"/>
      <c r="E866" s="32"/>
      <c r="F866" s="3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2"/>
      <c r="C867" s="32"/>
      <c r="D867" s="32"/>
      <c r="E867" s="32"/>
      <c r="F867" s="3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2"/>
      <c r="C868" s="32"/>
      <c r="D868" s="32"/>
      <c r="E868" s="32"/>
      <c r="F868" s="3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2"/>
      <c r="C869" s="32"/>
      <c r="D869" s="32"/>
      <c r="E869" s="32"/>
      <c r="F869" s="3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2"/>
      <c r="C870" s="32"/>
      <c r="D870" s="32"/>
      <c r="E870" s="32"/>
      <c r="F870" s="3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2"/>
      <c r="C871" s="32"/>
      <c r="D871" s="32"/>
      <c r="E871" s="32"/>
      <c r="F871" s="3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2"/>
      <c r="C872" s="32"/>
      <c r="D872" s="32"/>
      <c r="E872" s="32"/>
      <c r="F872" s="3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2"/>
      <c r="C873" s="32"/>
      <c r="D873" s="32"/>
      <c r="E873" s="32"/>
      <c r="F873" s="3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2"/>
      <c r="C874" s="32"/>
      <c r="D874" s="32"/>
      <c r="E874" s="32"/>
      <c r="F874" s="3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2"/>
      <c r="C875" s="32"/>
      <c r="D875" s="32"/>
      <c r="E875" s="32"/>
      <c r="F875" s="3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2"/>
      <c r="C876" s="32"/>
      <c r="D876" s="32"/>
      <c r="E876" s="32"/>
      <c r="F876" s="3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2"/>
      <c r="C877" s="32"/>
      <c r="D877" s="32"/>
      <c r="E877" s="32"/>
      <c r="F877" s="3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2"/>
      <c r="C878" s="32"/>
      <c r="D878" s="32"/>
      <c r="E878" s="32"/>
      <c r="F878" s="3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2"/>
      <c r="C879" s="32"/>
      <c r="D879" s="32"/>
      <c r="E879" s="32"/>
      <c r="F879" s="3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2"/>
      <c r="C880" s="32"/>
      <c r="D880" s="32"/>
      <c r="E880" s="32"/>
      <c r="F880" s="3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2"/>
      <c r="C881" s="32"/>
      <c r="D881" s="32"/>
      <c r="E881" s="32"/>
      <c r="F881" s="3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2"/>
      <c r="C882" s="32"/>
      <c r="D882" s="32"/>
      <c r="E882" s="32"/>
      <c r="F882" s="3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2"/>
      <c r="C883" s="32"/>
      <c r="D883" s="32"/>
      <c r="E883" s="32"/>
      <c r="F883" s="3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2"/>
      <c r="C884" s="32"/>
      <c r="D884" s="32"/>
      <c r="E884" s="32"/>
      <c r="F884" s="3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2"/>
      <c r="C885" s="32"/>
      <c r="D885" s="32"/>
      <c r="E885" s="32"/>
      <c r="F885" s="3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2"/>
      <c r="C886" s="32"/>
      <c r="D886" s="32"/>
      <c r="E886" s="32"/>
      <c r="F886" s="3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2"/>
      <c r="C887" s="32"/>
      <c r="D887" s="32"/>
      <c r="E887" s="32"/>
      <c r="F887" s="3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2"/>
      <c r="C888" s="32"/>
      <c r="D888" s="32"/>
      <c r="E888" s="32"/>
      <c r="F888" s="3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2"/>
      <c r="C889" s="32"/>
      <c r="D889" s="32"/>
      <c r="E889" s="32"/>
      <c r="F889" s="3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2"/>
      <c r="C890" s="32"/>
      <c r="D890" s="32"/>
      <c r="E890" s="32"/>
      <c r="F890" s="3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2"/>
      <c r="C891" s="32"/>
      <c r="D891" s="32"/>
      <c r="E891" s="32"/>
      <c r="F891" s="3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2"/>
      <c r="C892" s="32"/>
      <c r="D892" s="32"/>
      <c r="E892" s="32"/>
      <c r="F892" s="3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2"/>
      <c r="C893" s="32"/>
      <c r="D893" s="32"/>
      <c r="E893" s="32"/>
      <c r="F893" s="3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2"/>
      <c r="C894" s="32"/>
      <c r="D894" s="32"/>
      <c r="E894" s="32"/>
      <c r="F894" s="3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2"/>
      <c r="C895" s="32"/>
      <c r="D895" s="32"/>
      <c r="E895" s="32"/>
      <c r="F895" s="3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2"/>
      <c r="C896" s="32"/>
      <c r="D896" s="32"/>
      <c r="E896" s="32"/>
      <c r="F896" s="3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2"/>
      <c r="C897" s="32"/>
      <c r="D897" s="32"/>
      <c r="E897" s="32"/>
      <c r="F897" s="3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2"/>
      <c r="C898" s="32"/>
      <c r="D898" s="32"/>
      <c r="E898" s="32"/>
      <c r="F898" s="3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2"/>
      <c r="C899" s="32"/>
      <c r="D899" s="32"/>
      <c r="E899" s="32"/>
      <c r="F899" s="3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2"/>
      <c r="C900" s="32"/>
      <c r="D900" s="32"/>
      <c r="E900" s="32"/>
      <c r="F900" s="3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2"/>
      <c r="C901" s="32"/>
      <c r="D901" s="32"/>
      <c r="E901" s="32"/>
      <c r="F901" s="3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2"/>
      <c r="C902" s="32"/>
      <c r="D902" s="32"/>
      <c r="E902" s="32"/>
      <c r="F902" s="3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2"/>
      <c r="C903" s="32"/>
      <c r="D903" s="32"/>
      <c r="E903" s="32"/>
      <c r="F903" s="3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2"/>
      <c r="C904" s="32"/>
      <c r="D904" s="32"/>
      <c r="E904" s="32"/>
      <c r="F904" s="3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2"/>
      <c r="C905" s="32"/>
      <c r="D905" s="32"/>
      <c r="E905" s="32"/>
      <c r="F905" s="3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2"/>
      <c r="C906" s="32"/>
      <c r="D906" s="32"/>
      <c r="E906" s="32"/>
      <c r="F906" s="3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2"/>
      <c r="C907" s="32"/>
      <c r="D907" s="32"/>
      <c r="E907" s="32"/>
      <c r="F907" s="3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2"/>
      <c r="C908" s="32"/>
      <c r="D908" s="32"/>
      <c r="E908" s="32"/>
      <c r="F908" s="3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2"/>
      <c r="C909" s="32"/>
      <c r="D909" s="32"/>
      <c r="E909" s="32"/>
      <c r="F909" s="3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2"/>
      <c r="C910" s="32"/>
      <c r="D910" s="32"/>
      <c r="E910" s="32"/>
      <c r="F910" s="3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2"/>
      <c r="C911" s="32"/>
      <c r="D911" s="32"/>
      <c r="E911" s="32"/>
      <c r="F911" s="3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2"/>
      <c r="C912" s="32"/>
      <c r="D912" s="32"/>
      <c r="E912" s="32"/>
      <c r="F912" s="3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2"/>
      <c r="C913" s="32"/>
      <c r="D913" s="32"/>
      <c r="E913" s="32"/>
      <c r="F913" s="3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2"/>
      <c r="C914" s="32"/>
      <c r="D914" s="32"/>
      <c r="E914" s="32"/>
      <c r="F914" s="3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2"/>
      <c r="C915" s="32"/>
      <c r="D915" s="32"/>
      <c r="E915" s="32"/>
      <c r="F915" s="3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2"/>
      <c r="C916" s="32"/>
      <c r="D916" s="32"/>
      <c r="E916" s="32"/>
      <c r="F916" s="3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2"/>
      <c r="C917" s="32"/>
      <c r="D917" s="32"/>
      <c r="E917" s="32"/>
      <c r="F917" s="3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2"/>
      <c r="C918" s="32"/>
      <c r="D918" s="32"/>
      <c r="E918" s="32"/>
      <c r="F918" s="3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2"/>
      <c r="C919" s="32"/>
      <c r="D919" s="32"/>
      <c r="E919" s="32"/>
      <c r="F919" s="3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2"/>
      <c r="C920" s="32"/>
      <c r="D920" s="32"/>
      <c r="E920" s="32"/>
      <c r="F920" s="3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2"/>
      <c r="C921" s="32"/>
      <c r="D921" s="32"/>
      <c r="E921" s="32"/>
      <c r="F921" s="3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2"/>
      <c r="C922" s="32"/>
      <c r="D922" s="32"/>
      <c r="E922" s="32"/>
      <c r="F922" s="3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2"/>
      <c r="C923" s="32"/>
      <c r="D923" s="32"/>
      <c r="E923" s="32"/>
      <c r="F923" s="3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2"/>
      <c r="C924" s="32"/>
      <c r="D924" s="32"/>
      <c r="E924" s="32"/>
      <c r="F924" s="3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2"/>
      <c r="C925" s="32"/>
      <c r="D925" s="32"/>
      <c r="E925" s="32"/>
      <c r="F925" s="3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2"/>
      <c r="C926" s="32"/>
      <c r="D926" s="32"/>
      <c r="E926" s="32"/>
      <c r="F926" s="3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2"/>
      <c r="C927" s="32"/>
      <c r="D927" s="32"/>
      <c r="E927" s="32"/>
      <c r="F927" s="3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2"/>
      <c r="C928" s="32"/>
      <c r="D928" s="32"/>
      <c r="E928" s="32"/>
      <c r="F928" s="3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2"/>
      <c r="C929" s="32"/>
      <c r="D929" s="32"/>
      <c r="E929" s="32"/>
      <c r="F929" s="3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2"/>
      <c r="C930" s="32"/>
      <c r="D930" s="32"/>
      <c r="E930" s="32"/>
      <c r="F930" s="3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2"/>
      <c r="C931" s="32"/>
      <c r="D931" s="32"/>
      <c r="E931" s="32"/>
      <c r="F931" s="3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2"/>
      <c r="C932" s="32"/>
      <c r="D932" s="32"/>
      <c r="E932" s="32"/>
      <c r="F932" s="3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2"/>
      <c r="C933" s="32"/>
      <c r="D933" s="32"/>
      <c r="E933" s="32"/>
      <c r="F933" s="3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2"/>
      <c r="C934" s="32"/>
      <c r="D934" s="32"/>
      <c r="E934" s="32"/>
      <c r="F934" s="3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2"/>
      <c r="C935" s="32"/>
      <c r="D935" s="32"/>
      <c r="E935" s="32"/>
      <c r="F935" s="3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2"/>
      <c r="C936" s="32"/>
      <c r="D936" s="32"/>
      <c r="E936" s="32"/>
      <c r="F936" s="3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2"/>
      <c r="C937" s="32"/>
      <c r="D937" s="32"/>
      <c r="E937" s="32"/>
      <c r="F937" s="3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2"/>
      <c r="C938" s="32"/>
      <c r="D938" s="32"/>
      <c r="E938" s="32"/>
      <c r="F938" s="3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2"/>
      <c r="C939" s="32"/>
      <c r="D939" s="32"/>
      <c r="E939" s="32"/>
      <c r="F939" s="3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2"/>
      <c r="C940" s="32"/>
      <c r="D940" s="32"/>
      <c r="E940" s="32"/>
      <c r="F940" s="3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2"/>
      <c r="C941" s="32"/>
      <c r="D941" s="32"/>
      <c r="E941" s="32"/>
      <c r="F941" s="3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2"/>
      <c r="C942" s="32"/>
      <c r="D942" s="32"/>
      <c r="E942" s="32"/>
      <c r="F942" s="3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2"/>
      <c r="C943" s="32"/>
      <c r="D943" s="32"/>
      <c r="E943" s="32"/>
      <c r="F943" s="3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2"/>
      <c r="C944" s="32"/>
      <c r="D944" s="32"/>
      <c r="E944" s="32"/>
      <c r="F944" s="3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2"/>
      <c r="C945" s="32"/>
      <c r="D945" s="32"/>
      <c r="E945" s="32"/>
      <c r="F945" s="3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2"/>
      <c r="C946" s="32"/>
      <c r="D946" s="32"/>
      <c r="E946" s="32"/>
      <c r="F946" s="3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2"/>
      <c r="C947" s="32"/>
      <c r="D947" s="32"/>
      <c r="E947" s="32"/>
      <c r="F947" s="3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2"/>
      <c r="C948" s="32"/>
      <c r="D948" s="32"/>
      <c r="E948" s="32"/>
      <c r="F948" s="3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2"/>
      <c r="C949" s="32"/>
      <c r="D949" s="32"/>
      <c r="E949" s="32"/>
      <c r="F949" s="3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2"/>
      <c r="C950" s="32"/>
      <c r="D950" s="32"/>
      <c r="E950" s="32"/>
      <c r="F950" s="3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2"/>
      <c r="C951" s="32"/>
      <c r="D951" s="32"/>
      <c r="E951" s="32"/>
      <c r="F951" s="3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2"/>
      <c r="C952" s="32"/>
      <c r="D952" s="32"/>
      <c r="E952" s="32"/>
      <c r="F952" s="3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2"/>
      <c r="C953" s="32"/>
      <c r="D953" s="32"/>
      <c r="E953" s="32"/>
      <c r="F953" s="3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2"/>
      <c r="C954" s="32"/>
      <c r="D954" s="32"/>
      <c r="E954" s="32"/>
      <c r="F954" s="3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2"/>
      <c r="C955" s="32"/>
      <c r="D955" s="32"/>
      <c r="E955" s="32"/>
      <c r="F955" s="3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2"/>
      <c r="C956" s="32"/>
      <c r="D956" s="32"/>
      <c r="E956" s="32"/>
      <c r="F956" s="3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2"/>
      <c r="C957" s="32"/>
      <c r="D957" s="32"/>
      <c r="E957" s="32"/>
      <c r="F957" s="3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2"/>
      <c r="C958" s="32"/>
      <c r="D958" s="32"/>
      <c r="E958" s="32"/>
      <c r="F958" s="3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2"/>
      <c r="C959" s="32"/>
      <c r="D959" s="32"/>
      <c r="E959" s="32"/>
      <c r="F959" s="3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2"/>
      <c r="C960" s="32"/>
      <c r="D960" s="32"/>
      <c r="E960" s="32"/>
      <c r="F960" s="3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2"/>
      <c r="C961" s="32"/>
      <c r="D961" s="32"/>
      <c r="E961" s="32"/>
      <c r="F961" s="3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2"/>
      <c r="C962" s="32"/>
      <c r="D962" s="32"/>
      <c r="E962" s="32"/>
      <c r="F962" s="3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2"/>
      <c r="C963" s="32"/>
      <c r="D963" s="32"/>
      <c r="E963" s="32"/>
      <c r="F963" s="3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2"/>
      <c r="C964" s="32"/>
      <c r="D964" s="32"/>
      <c r="E964" s="32"/>
      <c r="F964" s="3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2"/>
      <c r="C965" s="32"/>
      <c r="D965" s="32"/>
      <c r="E965" s="32"/>
      <c r="F965" s="3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2"/>
      <c r="C966" s="32"/>
      <c r="D966" s="32"/>
      <c r="E966" s="32"/>
      <c r="F966" s="3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2"/>
      <c r="C967" s="32"/>
      <c r="D967" s="32"/>
      <c r="E967" s="32"/>
      <c r="F967" s="3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2"/>
      <c r="C968" s="32"/>
      <c r="D968" s="32"/>
      <c r="E968" s="32"/>
      <c r="F968" s="3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2"/>
      <c r="C969" s="32"/>
      <c r="D969" s="32"/>
      <c r="E969" s="32"/>
      <c r="F969" s="3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2"/>
      <c r="C970" s="32"/>
      <c r="D970" s="32"/>
      <c r="E970" s="32"/>
      <c r="F970" s="3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2"/>
      <c r="C971" s="32"/>
      <c r="D971" s="32"/>
      <c r="E971" s="32"/>
      <c r="F971" s="3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2"/>
      <c r="C972" s="32"/>
      <c r="D972" s="32"/>
      <c r="E972" s="32"/>
      <c r="F972" s="3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2"/>
      <c r="C973" s="32"/>
      <c r="D973" s="32"/>
      <c r="E973" s="32"/>
      <c r="F973" s="3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2"/>
      <c r="C974" s="32"/>
      <c r="D974" s="32"/>
      <c r="E974" s="32"/>
      <c r="F974" s="3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2"/>
      <c r="C975" s="32"/>
      <c r="D975" s="32"/>
      <c r="E975" s="32"/>
      <c r="F975" s="3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2"/>
      <c r="C976" s="32"/>
      <c r="D976" s="32"/>
      <c r="E976" s="32"/>
      <c r="F976" s="3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2"/>
      <c r="C977" s="32"/>
      <c r="D977" s="32"/>
      <c r="E977" s="32"/>
      <c r="F977" s="3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2"/>
      <c r="C978" s="32"/>
      <c r="D978" s="32"/>
      <c r="E978" s="32"/>
      <c r="F978" s="3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2"/>
      <c r="C979" s="32"/>
      <c r="D979" s="32"/>
      <c r="E979" s="32"/>
      <c r="F979" s="3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2"/>
      <c r="C980" s="32"/>
      <c r="D980" s="32"/>
      <c r="E980" s="32"/>
      <c r="F980" s="3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2"/>
      <c r="C981" s="32"/>
      <c r="D981" s="32"/>
      <c r="E981" s="32"/>
      <c r="F981" s="3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2"/>
      <c r="C982" s="32"/>
      <c r="D982" s="32"/>
      <c r="E982" s="32"/>
      <c r="F982" s="3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2"/>
      <c r="C983" s="32"/>
      <c r="D983" s="32"/>
      <c r="E983" s="32"/>
      <c r="F983" s="3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2"/>
      <c r="C984" s="32"/>
      <c r="D984" s="32"/>
      <c r="E984" s="32"/>
      <c r="F984" s="3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2"/>
      <c r="C985" s="32"/>
      <c r="D985" s="32"/>
      <c r="E985" s="32"/>
      <c r="F985" s="3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2"/>
      <c r="C986" s="32"/>
      <c r="D986" s="32"/>
      <c r="E986" s="32"/>
      <c r="F986" s="3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2"/>
      <c r="C987" s="32"/>
      <c r="D987" s="32"/>
      <c r="E987" s="32"/>
      <c r="F987" s="3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2"/>
      <c r="C988" s="32"/>
      <c r="D988" s="32"/>
      <c r="E988" s="32"/>
      <c r="F988" s="3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2"/>
      <c r="C989" s="32"/>
      <c r="D989" s="32"/>
      <c r="E989" s="32"/>
      <c r="F989" s="3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2"/>
      <c r="C990" s="32"/>
      <c r="D990" s="32"/>
      <c r="E990" s="32"/>
      <c r="F990" s="3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2"/>
      <c r="C991" s="32"/>
      <c r="D991" s="32"/>
      <c r="E991" s="32"/>
      <c r="F991" s="3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2"/>
      <c r="C992" s="32"/>
      <c r="D992" s="32"/>
      <c r="E992" s="32"/>
      <c r="F992" s="3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2"/>
      <c r="C993" s="32"/>
      <c r="D993" s="32"/>
      <c r="E993" s="32"/>
      <c r="F993" s="3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2"/>
      <c r="C994" s="32"/>
      <c r="D994" s="32"/>
      <c r="E994" s="32"/>
      <c r="F994" s="3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2"/>
      <c r="C995" s="32"/>
      <c r="D995" s="32"/>
      <c r="E995" s="32"/>
      <c r="F995" s="3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2"/>
      <c r="C996" s="32"/>
      <c r="D996" s="32"/>
      <c r="E996" s="32"/>
      <c r="F996" s="3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2"/>
      <c r="C997" s="32"/>
      <c r="D997" s="32"/>
      <c r="E997" s="32"/>
      <c r="F997" s="3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2"/>
      <c r="C998" s="32"/>
      <c r="D998" s="32"/>
      <c r="E998" s="32"/>
      <c r="F998" s="3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2"/>
      <c r="C999" s="32"/>
      <c r="D999" s="32"/>
      <c r="E999" s="32"/>
      <c r="F999" s="3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2"/>
      <c r="C1000" s="32"/>
      <c r="D1000" s="32"/>
      <c r="E1000" s="32"/>
      <c r="F1000" s="3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37.86"/>
    <col customWidth="1" min="2" max="2" width="9.86"/>
    <col customWidth="1" min="3" max="3" width="6.86"/>
    <col customWidth="1" min="4" max="4" width="2.71"/>
    <col customWidth="1" min="5" max="5" width="9.0"/>
    <col customWidth="1" min="6" max="6" width="5.43"/>
    <col customWidth="1" min="7" max="7" width="8.43"/>
    <col customWidth="1" min="8" max="8" width="5.43"/>
    <col customWidth="1" min="9" max="9" width="3.57"/>
    <col customWidth="1" min="10" max="21" width="9.43"/>
    <col customWidth="1" hidden="1" min="22" max="45" width="9.43"/>
    <col customWidth="1" min="46" max="48" width="9.43"/>
    <col customWidth="1" hidden="1" min="49" max="69" width="9.43"/>
    <col customWidth="1" min="70" max="72" width="9.43"/>
    <col customWidth="1" min="73" max="73" width="9.0"/>
  </cols>
  <sheetData>
    <row r="1" ht="15.75" customHeight="1">
      <c r="A1" s="34"/>
      <c r="B1" s="35"/>
      <c r="C1" s="36"/>
      <c r="D1" s="37"/>
      <c r="E1" s="37"/>
      <c r="F1" s="37"/>
      <c r="G1" s="37"/>
      <c r="H1" s="37"/>
      <c r="I1" s="38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</row>
    <row r="2" ht="12.75" customHeight="1">
      <c r="A2" s="34"/>
      <c r="B2" s="35"/>
      <c r="C2" s="36"/>
      <c r="D2" s="37"/>
      <c r="E2" s="37"/>
      <c r="F2" s="37"/>
      <c r="G2" s="37"/>
      <c r="H2" s="37"/>
      <c r="I2" s="38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</row>
    <row r="3" ht="12.75" customHeight="1">
      <c r="A3" s="34"/>
      <c r="B3" s="36"/>
      <c r="C3" s="36"/>
      <c r="D3" s="37"/>
      <c r="E3" s="37"/>
      <c r="F3" s="37"/>
      <c r="G3" s="37"/>
      <c r="H3" s="37"/>
      <c r="I3" s="38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</row>
    <row r="4" ht="12.75" customHeight="1">
      <c r="A4" s="39" t="s">
        <v>30</v>
      </c>
      <c r="B4" s="36"/>
      <c r="C4" s="36"/>
      <c r="D4" s="37"/>
      <c r="E4" s="37"/>
      <c r="F4" s="37"/>
      <c r="G4" s="37"/>
      <c r="H4" s="37"/>
      <c r="I4" s="38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</row>
    <row r="5" ht="12.75" customHeight="1">
      <c r="A5" s="34"/>
      <c r="B5" s="36"/>
      <c r="C5" s="36"/>
      <c r="D5" s="37"/>
      <c r="E5" s="37"/>
      <c r="F5" s="37"/>
      <c r="G5" s="37"/>
      <c r="H5" s="37"/>
      <c r="I5" s="40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</row>
    <row r="6" ht="12.75" customHeight="1">
      <c r="A6" s="34"/>
      <c r="B6" s="36"/>
      <c r="C6" s="36"/>
      <c r="D6" s="37"/>
      <c r="E6" s="41" t="s">
        <v>31</v>
      </c>
      <c r="F6" s="42"/>
      <c r="G6" s="42"/>
      <c r="H6" s="43"/>
      <c r="I6" s="38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</row>
    <row r="7" ht="12.75" customHeight="1">
      <c r="A7" s="44"/>
      <c r="B7" s="36"/>
      <c r="C7" s="36"/>
      <c r="D7" s="37"/>
      <c r="E7" s="45"/>
      <c r="F7" s="46" t="s">
        <v>32</v>
      </c>
      <c r="G7" s="47"/>
      <c r="H7" s="48"/>
      <c r="I7" s="38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</row>
    <row r="8" ht="12.75" customHeight="1">
      <c r="A8" s="49"/>
      <c r="B8" s="50"/>
      <c r="C8" s="51"/>
      <c r="D8" s="37"/>
      <c r="E8" s="45"/>
      <c r="F8" s="52" t="s">
        <v>33</v>
      </c>
      <c r="G8" s="53"/>
      <c r="H8" s="54"/>
      <c r="I8" s="38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</row>
    <row r="9" ht="12.75" customHeight="1">
      <c r="A9" s="55"/>
      <c r="B9" s="56"/>
      <c r="C9" s="56"/>
      <c r="D9" s="37"/>
      <c r="E9" s="57"/>
      <c r="F9" s="52" t="s">
        <v>34</v>
      </c>
      <c r="G9" s="53"/>
      <c r="H9" s="54"/>
      <c r="I9" s="38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ht="12.75" customHeight="1">
      <c r="A10" s="58"/>
      <c r="B10" s="36"/>
      <c r="C10" s="36"/>
      <c r="D10" s="37"/>
      <c r="E10" s="59"/>
      <c r="F10" s="60" t="s">
        <v>35</v>
      </c>
      <c r="G10" s="61"/>
      <c r="H10" s="62"/>
      <c r="I10" s="38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</row>
    <row r="11" ht="12.75" customHeight="1">
      <c r="A11" s="63" t="s">
        <v>36</v>
      </c>
      <c r="B11" s="64" t="s">
        <v>37</v>
      </c>
      <c r="C11" s="64" t="s">
        <v>38</v>
      </c>
      <c r="D11" s="37"/>
      <c r="E11" s="59"/>
      <c r="F11" s="65"/>
      <c r="G11" s="66" t="s">
        <v>39</v>
      </c>
      <c r="H11" s="67" t="s">
        <v>40</v>
      </c>
      <c r="I11" s="38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</row>
    <row r="12" ht="12.75" customHeight="1">
      <c r="A12" s="68" t="s">
        <v>41</v>
      </c>
      <c r="B12" s="69" t="s">
        <v>42</v>
      </c>
      <c r="C12" s="69" t="s">
        <v>43</v>
      </c>
      <c r="D12" s="37"/>
      <c r="E12" s="59"/>
      <c r="F12" s="65"/>
      <c r="G12" s="70" t="s">
        <v>44</v>
      </c>
      <c r="H12" s="71" t="s">
        <v>42</v>
      </c>
      <c r="I12" s="72"/>
      <c r="J12" s="37"/>
      <c r="K12" s="37"/>
      <c r="L12" s="73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</row>
    <row r="13" ht="12.75" customHeight="1">
      <c r="A13" s="68" t="s">
        <v>45</v>
      </c>
      <c r="B13" s="69" t="s">
        <v>46</v>
      </c>
      <c r="C13" s="69" t="s">
        <v>43</v>
      </c>
      <c r="D13" s="37"/>
      <c r="E13" s="59"/>
      <c r="F13" s="65"/>
      <c r="G13" s="70" t="s">
        <v>47</v>
      </c>
      <c r="H13" s="71" t="s">
        <v>46</v>
      </c>
      <c r="I13" s="72"/>
      <c r="J13" s="37"/>
      <c r="K13" s="37"/>
      <c r="L13" s="73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</row>
    <row r="14" ht="12.75" customHeight="1">
      <c r="A14" s="74"/>
      <c r="B14" s="75"/>
      <c r="C14" s="75"/>
      <c r="D14" s="74"/>
      <c r="E14" s="59"/>
      <c r="F14" s="65"/>
      <c r="G14" s="76"/>
      <c r="H14" s="71"/>
      <c r="I14" s="7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</row>
    <row r="15" ht="12.75" customHeight="1">
      <c r="A15" s="74"/>
      <c r="B15" s="75"/>
      <c r="C15" s="75"/>
      <c r="D15" s="74"/>
      <c r="E15" s="59"/>
      <c r="F15" s="65"/>
      <c r="G15" s="76"/>
      <c r="H15" s="71"/>
      <c r="I15" s="7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</row>
    <row r="16" ht="12.75" customHeight="1">
      <c r="A16" s="74"/>
      <c r="B16" s="75"/>
      <c r="C16" s="75"/>
      <c r="D16" s="58"/>
      <c r="E16" s="59"/>
      <c r="F16" s="60" t="s">
        <v>48</v>
      </c>
      <c r="G16" s="61"/>
      <c r="H16" s="62"/>
      <c r="I16" s="78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</row>
    <row r="17" ht="12.75" customHeight="1">
      <c r="A17" s="63" t="s">
        <v>36</v>
      </c>
      <c r="B17" s="64" t="s">
        <v>37</v>
      </c>
      <c r="C17" s="64" t="s">
        <v>38</v>
      </c>
      <c r="D17" s="79"/>
      <c r="E17" s="59"/>
      <c r="F17" s="65"/>
      <c r="G17" s="66" t="s">
        <v>39</v>
      </c>
      <c r="H17" s="67" t="s">
        <v>40</v>
      </c>
      <c r="I17" s="38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</row>
    <row r="18" ht="12.75" customHeight="1">
      <c r="A18" s="80"/>
      <c r="B18" s="69" t="s">
        <v>46</v>
      </c>
      <c r="C18" s="69"/>
      <c r="D18" s="37"/>
      <c r="E18" s="59"/>
      <c r="F18" s="81"/>
      <c r="G18" s="70" t="s">
        <v>49</v>
      </c>
      <c r="H18" s="82" t="s">
        <v>50</v>
      </c>
      <c r="I18" s="83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</row>
    <row r="19" ht="12.75" customHeight="1">
      <c r="A19" s="80"/>
      <c r="B19" s="69" t="s">
        <v>46</v>
      </c>
      <c r="C19" s="69"/>
      <c r="D19" s="37"/>
      <c r="E19" s="59"/>
      <c r="F19" s="81"/>
      <c r="G19" s="70" t="s">
        <v>51</v>
      </c>
      <c r="H19" s="82" t="s">
        <v>50</v>
      </c>
      <c r="I19" s="83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</row>
    <row r="20" ht="12.75" customHeight="1">
      <c r="A20" s="80"/>
      <c r="B20" s="69" t="s">
        <v>46</v>
      </c>
      <c r="C20" s="69"/>
      <c r="D20" s="37"/>
      <c r="E20" s="59"/>
      <c r="F20" s="81"/>
      <c r="G20" s="70" t="s">
        <v>52</v>
      </c>
      <c r="H20" s="82" t="s">
        <v>53</v>
      </c>
      <c r="I20" s="83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</row>
    <row r="21" ht="12.75" customHeight="1">
      <c r="A21" s="80"/>
      <c r="B21" s="69" t="s">
        <v>46</v>
      </c>
      <c r="C21" s="69"/>
      <c r="D21" s="37"/>
      <c r="E21" s="59"/>
      <c r="F21" s="81"/>
      <c r="G21" s="70" t="s">
        <v>54</v>
      </c>
      <c r="H21" s="82" t="s">
        <v>55</v>
      </c>
      <c r="I21" s="83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</row>
    <row r="22" ht="12.75" customHeight="1">
      <c r="A22" s="80"/>
      <c r="B22" s="69" t="s">
        <v>46</v>
      </c>
      <c r="C22" s="69"/>
      <c r="D22" s="37"/>
      <c r="E22" s="59"/>
      <c r="F22" s="81"/>
      <c r="G22" s="70" t="s">
        <v>56</v>
      </c>
      <c r="H22" s="82" t="s">
        <v>57</v>
      </c>
      <c r="I22" s="83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</row>
    <row r="23" ht="12.75" customHeight="1">
      <c r="A23" s="80"/>
      <c r="B23" s="69" t="s">
        <v>46</v>
      </c>
      <c r="C23" s="69"/>
      <c r="D23" s="37"/>
      <c r="E23" s="59"/>
      <c r="F23" s="81"/>
      <c r="G23" s="70" t="s">
        <v>58</v>
      </c>
      <c r="H23" s="82" t="s">
        <v>59</v>
      </c>
      <c r="I23" s="83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</row>
    <row r="24" ht="12.75" customHeight="1">
      <c r="A24" s="80"/>
      <c r="B24" s="69" t="s">
        <v>46</v>
      </c>
      <c r="C24" s="69"/>
      <c r="D24" s="37"/>
      <c r="E24" s="59"/>
      <c r="F24" s="81"/>
      <c r="G24" s="70" t="s">
        <v>60</v>
      </c>
      <c r="H24" s="82" t="s">
        <v>61</v>
      </c>
      <c r="I24" s="83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</row>
    <row r="25" ht="12.75" customHeight="1">
      <c r="A25" s="80"/>
      <c r="B25" s="69" t="s">
        <v>46</v>
      </c>
      <c r="C25" s="69"/>
      <c r="D25" s="37"/>
      <c r="E25" s="59"/>
      <c r="F25" s="81"/>
      <c r="G25" s="70" t="s">
        <v>62</v>
      </c>
      <c r="H25" s="82" t="s">
        <v>63</v>
      </c>
      <c r="I25" s="83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</row>
    <row r="26" ht="12.75" customHeight="1">
      <c r="A26" s="80"/>
      <c r="B26" s="69" t="s">
        <v>46</v>
      </c>
      <c r="C26" s="69"/>
      <c r="D26" s="37"/>
      <c r="E26" s="59"/>
      <c r="F26" s="81"/>
      <c r="G26" s="70" t="s">
        <v>64</v>
      </c>
      <c r="H26" s="82" t="s">
        <v>65</v>
      </c>
      <c r="I26" s="83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</row>
    <row r="27" ht="12.75" customHeight="1">
      <c r="A27" s="80"/>
      <c r="B27" s="69" t="s">
        <v>46</v>
      </c>
      <c r="C27" s="69"/>
      <c r="D27" s="37"/>
      <c r="E27" s="59"/>
      <c r="F27" s="81"/>
      <c r="G27" s="70" t="s">
        <v>66</v>
      </c>
      <c r="H27" s="82" t="s">
        <v>67</v>
      </c>
      <c r="I27" s="83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</row>
    <row r="28" ht="12.75" customHeight="1">
      <c r="A28" s="80"/>
      <c r="B28" s="69" t="s">
        <v>46</v>
      </c>
      <c r="C28" s="69"/>
      <c r="D28" s="37"/>
      <c r="E28" s="59"/>
      <c r="F28" s="81"/>
      <c r="G28" s="70" t="s">
        <v>68</v>
      </c>
      <c r="H28" s="82" t="s">
        <v>69</v>
      </c>
      <c r="I28" s="83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</row>
    <row r="29" ht="12.75" customHeight="1">
      <c r="A29" s="80"/>
      <c r="B29" s="69" t="s">
        <v>46</v>
      </c>
      <c r="C29" s="69"/>
      <c r="D29" s="37"/>
      <c r="E29" s="59"/>
      <c r="F29" s="81"/>
      <c r="G29" s="70" t="s">
        <v>70</v>
      </c>
      <c r="H29" s="71" t="s">
        <v>46</v>
      </c>
      <c r="I29" s="83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</row>
    <row r="30" ht="12.75" customHeight="1">
      <c r="A30" s="80"/>
      <c r="B30" s="69" t="s">
        <v>46</v>
      </c>
      <c r="C30" s="69"/>
      <c r="D30" s="37"/>
      <c r="E30" s="59"/>
      <c r="F30" s="81"/>
      <c r="G30" s="70" t="s">
        <v>71</v>
      </c>
      <c r="H30" s="82" t="s">
        <v>57</v>
      </c>
      <c r="I30" s="83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</row>
    <row r="31" ht="12.75" customHeight="1">
      <c r="A31" s="80"/>
      <c r="B31" s="69" t="s">
        <v>46</v>
      </c>
      <c r="C31" s="69"/>
      <c r="D31" s="37"/>
      <c r="E31" s="59"/>
      <c r="F31" s="81"/>
      <c r="G31" s="70" t="s">
        <v>72</v>
      </c>
      <c r="H31" s="82" t="s">
        <v>73</v>
      </c>
      <c r="I31" s="83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</row>
    <row r="32" ht="12.75" customHeight="1">
      <c r="A32" s="80"/>
      <c r="B32" s="69" t="s">
        <v>46</v>
      </c>
      <c r="C32" s="69"/>
      <c r="D32" s="37"/>
      <c r="E32" s="59"/>
      <c r="F32" s="81"/>
      <c r="G32" s="70" t="s">
        <v>74</v>
      </c>
      <c r="H32" s="82" t="s">
        <v>61</v>
      </c>
      <c r="I32" s="83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</row>
    <row r="33" ht="12.75" customHeight="1">
      <c r="A33" s="80"/>
      <c r="B33" s="69" t="s">
        <v>46</v>
      </c>
      <c r="C33" s="69"/>
      <c r="D33" s="37"/>
      <c r="E33" s="59"/>
      <c r="F33" s="81"/>
      <c r="G33" s="70" t="s">
        <v>75</v>
      </c>
      <c r="H33" s="82" t="s">
        <v>63</v>
      </c>
      <c r="I33" s="83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</row>
    <row r="34" ht="12.75" customHeight="1">
      <c r="A34" s="80"/>
      <c r="B34" s="69" t="s">
        <v>46</v>
      </c>
      <c r="C34" s="69"/>
      <c r="D34" s="37"/>
      <c r="E34" s="59"/>
      <c r="F34" s="81"/>
      <c r="G34" s="70" t="s">
        <v>76</v>
      </c>
      <c r="H34" s="82" t="s">
        <v>77</v>
      </c>
      <c r="I34" s="83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</row>
    <row r="35" ht="12.75" customHeight="1">
      <c r="A35" s="80"/>
      <c r="B35" s="69" t="s">
        <v>46</v>
      </c>
      <c r="C35" s="69"/>
      <c r="D35" s="37"/>
      <c r="E35" s="59"/>
      <c r="F35" s="81"/>
      <c r="G35" s="70" t="s">
        <v>78</v>
      </c>
      <c r="H35" s="82" t="s">
        <v>79</v>
      </c>
      <c r="I35" s="83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</row>
    <row r="36" ht="12.75" customHeight="1">
      <c r="A36" s="80"/>
      <c r="B36" s="69" t="s">
        <v>46</v>
      </c>
      <c r="C36" s="69"/>
      <c r="D36" s="37"/>
      <c r="E36" s="59"/>
      <c r="F36" s="81"/>
      <c r="G36" s="70" t="s">
        <v>80</v>
      </c>
      <c r="H36" s="82" t="s">
        <v>81</v>
      </c>
      <c r="I36" s="83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</row>
    <row r="37" ht="12.75" customHeight="1">
      <c r="A37" s="80"/>
      <c r="B37" s="69" t="s">
        <v>46</v>
      </c>
      <c r="C37" s="69"/>
      <c r="D37" s="37"/>
      <c r="E37" s="59"/>
      <c r="F37" s="81"/>
      <c r="G37" s="70" t="s">
        <v>82</v>
      </c>
      <c r="H37" s="82" t="s">
        <v>83</v>
      </c>
      <c r="I37" s="83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</row>
    <row r="38" ht="12.75" customHeight="1">
      <c r="A38" s="80"/>
      <c r="B38" s="69" t="s">
        <v>46</v>
      </c>
      <c r="C38" s="69"/>
      <c r="D38" s="37"/>
      <c r="E38" s="59"/>
      <c r="F38" s="81"/>
      <c r="G38" s="70" t="s">
        <v>84</v>
      </c>
      <c r="H38" s="82" t="s">
        <v>57</v>
      </c>
      <c r="I38" s="83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</row>
    <row r="39" ht="12.75" customHeight="1">
      <c r="A39" s="80"/>
      <c r="B39" s="69" t="s">
        <v>46</v>
      </c>
      <c r="C39" s="69"/>
      <c r="D39" s="37"/>
      <c r="E39" s="59"/>
      <c r="F39" s="81"/>
      <c r="G39" s="70" t="s">
        <v>85</v>
      </c>
      <c r="H39" s="82" t="s">
        <v>86</v>
      </c>
      <c r="I39" s="83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</row>
    <row r="40" ht="12.75" customHeight="1">
      <c r="A40" s="80"/>
      <c r="B40" s="69" t="s">
        <v>46</v>
      </c>
      <c r="C40" s="69"/>
      <c r="D40" s="37"/>
      <c r="E40" s="59"/>
      <c r="F40" s="81"/>
      <c r="G40" s="70" t="s">
        <v>87</v>
      </c>
      <c r="H40" s="82" t="s">
        <v>88</v>
      </c>
      <c r="I40" s="83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</row>
    <row r="41" ht="12.75" customHeight="1">
      <c r="A41" s="80"/>
      <c r="B41" s="69" t="s">
        <v>46</v>
      </c>
      <c r="C41" s="69"/>
      <c r="D41" s="37"/>
      <c r="E41" s="59"/>
      <c r="F41" s="81"/>
      <c r="G41" s="70" t="s">
        <v>89</v>
      </c>
      <c r="H41" s="82" t="s">
        <v>63</v>
      </c>
      <c r="I41" s="83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</row>
    <row r="42" ht="12.75" customHeight="1">
      <c r="A42" s="80"/>
      <c r="B42" s="69" t="s">
        <v>46</v>
      </c>
      <c r="C42" s="69"/>
      <c r="D42" s="37"/>
      <c r="E42" s="59"/>
      <c r="F42" s="81"/>
      <c r="G42" s="70" t="s">
        <v>90</v>
      </c>
      <c r="H42" s="71" t="s">
        <v>46</v>
      </c>
      <c r="I42" s="83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</row>
    <row r="43" ht="12.75" customHeight="1">
      <c r="A43" s="80"/>
      <c r="B43" s="69" t="s">
        <v>46</v>
      </c>
      <c r="C43" s="69"/>
      <c r="D43" s="37"/>
      <c r="E43" s="59"/>
      <c r="F43" s="81"/>
      <c r="G43" s="70" t="s">
        <v>91</v>
      </c>
      <c r="H43" s="71" t="s">
        <v>46</v>
      </c>
      <c r="I43" s="83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</row>
    <row r="44" ht="12.75" customHeight="1">
      <c r="A44" s="80"/>
      <c r="B44" s="69" t="s">
        <v>46</v>
      </c>
      <c r="C44" s="69"/>
      <c r="D44" s="37"/>
      <c r="E44" s="59"/>
      <c r="F44" s="81"/>
      <c r="G44" s="70" t="s">
        <v>92</v>
      </c>
      <c r="H44" s="82" t="s">
        <v>93</v>
      </c>
      <c r="I44" s="83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</row>
    <row r="45" ht="12.75" customHeight="1">
      <c r="A45" s="80"/>
      <c r="B45" s="69" t="s">
        <v>46</v>
      </c>
      <c r="C45" s="69"/>
      <c r="D45" s="37"/>
      <c r="E45" s="59"/>
      <c r="F45" s="81"/>
      <c r="G45" s="70" t="s">
        <v>94</v>
      </c>
      <c r="H45" s="71" t="s">
        <v>46</v>
      </c>
      <c r="I45" s="83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</row>
    <row r="46" ht="12.75" customHeight="1">
      <c r="A46" s="80"/>
      <c r="B46" s="69" t="s">
        <v>46</v>
      </c>
      <c r="C46" s="69"/>
      <c r="D46" s="37"/>
      <c r="E46" s="59"/>
      <c r="F46" s="81"/>
      <c r="G46" s="70" t="s">
        <v>95</v>
      </c>
      <c r="H46" s="82" t="s">
        <v>57</v>
      </c>
      <c r="I46" s="83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</row>
    <row r="47" ht="12.75" customHeight="1">
      <c r="A47" s="80"/>
      <c r="B47" s="69" t="s">
        <v>46</v>
      </c>
      <c r="C47" s="69"/>
      <c r="D47" s="37"/>
      <c r="E47" s="59"/>
      <c r="F47" s="81"/>
      <c r="G47" s="70" t="s">
        <v>96</v>
      </c>
      <c r="H47" s="82" t="s">
        <v>97</v>
      </c>
      <c r="I47" s="83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</row>
    <row r="48" ht="12.75" customHeight="1">
      <c r="A48" s="80"/>
      <c r="B48" s="69" t="s">
        <v>46</v>
      </c>
      <c r="C48" s="69"/>
      <c r="D48" s="37"/>
      <c r="E48" s="59"/>
      <c r="F48" s="81"/>
      <c r="G48" s="70" t="s">
        <v>98</v>
      </c>
      <c r="H48" s="82" t="s">
        <v>88</v>
      </c>
      <c r="I48" s="83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</row>
    <row r="49" ht="12.75" customHeight="1">
      <c r="A49" s="80"/>
      <c r="B49" s="69" t="s">
        <v>46</v>
      </c>
      <c r="C49" s="69"/>
      <c r="D49" s="37"/>
      <c r="E49" s="59"/>
      <c r="F49" s="81"/>
      <c r="G49" s="70" t="s">
        <v>99</v>
      </c>
      <c r="H49" s="82" t="s">
        <v>63</v>
      </c>
      <c r="I49" s="83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</row>
    <row r="50" ht="12.75" customHeight="1">
      <c r="A50" s="80"/>
      <c r="B50" s="69" t="s">
        <v>46</v>
      </c>
      <c r="C50" s="69"/>
      <c r="D50" s="37"/>
      <c r="E50" s="59"/>
      <c r="F50" s="81"/>
      <c r="G50" s="70" t="s">
        <v>100</v>
      </c>
      <c r="H50" s="82" t="s">
        <v>65</v>
      </c>
      <c r="I50" s="83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</row>
    <row r="51" ht="12.75" customHeight="1">
      <c r="A51" s="80"/>
      <c r="B51" s="69" t="s">
        <v>46</v>
      </c>
      <c r="C51" s="69"/>
      <c r="D51" s="37"/>
      <c r="E51" s="59"/>
      <c r="F51" s="81"/>
      <c r="G51" s="70" t="s">
        <v>101</v>
      </c>
      <c r="H51" s="82" t="s">
        <v>67</v>
      </c>
      <c r="I51" s="83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</row>
    <row r="52" ht="12.75" customHeight="1">
      <c r="A52" s="80"/>
      <c r="B52" s="69" t="s">
        <v>46</v>
      </c>
      <c r="C52" s="69"/>
      <c r="D52" s="37"/>
      <c r="E52" s="59"/>
      <c r="F52" s="81"/>
      <c r="G52" s="70" t="s">
        <v>102</v>
      </c>
      <c r="H52" s="71" t="s">
        <v>46</v>
      </c>
      <c r="I52" s="83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</row>
    <row r="53" ht="12.75" customHeight="1">
      <c r="A53" s="80"/>
      <c r="B53" s="69" t="s">
        <v>46</v>
      </c>
      <c r="C53" s="69"/>
      <c r="D53" s="37"/>
      <c r="E53" s="59"/>
      <c r="F53" s="81"/>
      <c r="G53" s="70" t="s">
        <v>103</v>
      </c>
      <c r="H53" s="71" t="s">
        <v>46</v>
      </c>
      <c r="I53" s="83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</row>
    <row r="54" ht="12.75" customHeight="1">
      <c r="A54" s="80"/>
      <c r="B54" s="69" t="s">
        <v>46</v>
      </c>
      <c r="C54" s="69"/>
      <c r="D54" s="37"/>
      <c r="E54" s="59"/>
      <c r="F54" s="81"/>
      <c r="G54" s="70" t="s">
        <v>104</v>
      </c>
      <c r="H54" s="82" t="s">
        <v>57</v>
      </c>
      <c r="I54" s="83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</row>
    <row r="55" ht="12.75" customHeight="1">
      <c r="A55" s="80"/>
      <c r="B55" s="69" t="s">
        <v>46</v>
      </c>
      <c r="C55" s="69"/>
      <c r="D55" s="37"/>
      <c r="E55" s="59"/>
      <c r="F55" s="81"/>
      <c r="G55" s="70" t="s">
        <v>105</v>
      </c>
      <c r="H55" s="82" t="s">
        <v>106</v>
      </c>
      <c r="I55" s="83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</row>
    <row r="56" ht="12.75" customHeight="1">
      <c r="A56" s="80"/>
      <c r="B56" s="69" t="s">
        <v>46</v>
      </c>
      <c r="C56" s="69"/>
      <c r="D56" s="37"/>
      <c r="E56" s="59"/>
      <c r="F56" s="81"/>
      <c r="G56" s="70" t="s">
        <v>107</v>
      </c>
      <c r="H56" s="82" t="s">
        <v>88</v>
      </c>
      <c r="I56" s="83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</row>
    <row r="57" ht="12.75" customHeight="1">
      <c r="A57" s="80"/>
      <c r="B57" s="69" t="s">
        <v>46</v>
      </c>
      <c r="C57" s="69"/>
      <c r="D57" s="37"/>
      <c r="E57" s="59"/>
      <c r="F57" s="81"/>
      <c r="G57" s="70" t="s">
        <v>108</v>
      </c>
      <c r="H57" s="82" t="s">
        <v>63</v>
      </c>
      <c r="I57" s="83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</row>
    <row r="58" ht="12.75" customHeight="1">
      <c r="A58" s="80"/>
      <c r="B58" s="69" t="s">
        <v>46</v>
      </c>
      <c r="C58" s="69"/>
      <c r="D58" s="37"/>
      <c r="E58" s="59"/>
      <c r="F58" s="81"/>
      <c r="G58" s="70" t="s">
        <v>109</v>
      </c>
      <c r="H58" s="82" t="s">
        <v>110</v>
      </c>
      <c r="I58" s="83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</row>
    <row r="59" ht="12.75" customHeight="1">
      <c r="A59" s="80"/>
      <c r="B59" s="69" t="s">
        <v>46</v>
      </c>
      <c r="C59" s="69"/>
      <c r="D59" s="37"/>
      <c r="E59" s="59"/>
      <c r="F59" s="81"/>
      <c r="G59" s="70" t="s">
        <v>111</v>
      </c>
      <c r="H59" s="71" t="s">
        <v>46</v>
      </c>
      <c r="I59" s="83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</row>
    <row r="60" ht="12.75" customHeight="1">
      <c r="A60" s="80"/>
      <c r="B60" s="69" t="s">
        <v>46</v>
      </c>
      <c r="C60" s="69"/>
      <c r="D60" s="37"/>
      <c r="E60" s="59"/>
      <c r="F60" s="81"/>
      <c r="G60" s="70" t="s">
        <v>112</v>
      </c>
      <c r="H60" s="82" t="s">
        <v>113</v>
      </c>
      <c r="I60" s="83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</row>
    <row r="61" ht="12.75" customHeight="1">
      <c r="A61" s="80"/>
      <c r="B61" s="69" t="s">
        <v>46</v>
      </c>
      <c r="C61" s="69"/>
      <c r="D61" s="37"/>
      <c r="E61" s="59"/>
      <c r="F61" s="81"/>
      <c r="G61" s="70" t="s">
        <v>114</v>
      </c>
      <c r="H61" s="82" t="s">
        <v>115</v>
      </c>
      <c r="I61" s="83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</row>
    <row r="62" ht="12.75" customHeight="1">
      <c r="A62" s="80"/>
      <c r="B62" s="69" t="s">
        <v>46</v>
      </c>
      <c r="C62" s="69"/>
      <c r="D62" s="37"/>
      <c r="E62" s="59"/>
      <c r="F62" s="81"/>
      <c r="G62" s="70" t="s">
        <v>116</v>
      </c>
      <c r="H62" s="82" t="s">
        <v>57</v>
      </c>
      <c r="I62" s="83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</row>
    <row r="63" ht="12.75" customHeight="1">
      <c r="A63" s="80"/>
      <c r="B63" s="69" t="s">
        <v>46</v>
      </c>
      <c r="C63" s="69"/>
      <c r="D63" s="37"/>
      <c r="E63" s="59"/>
      <c r="F63" s="81"/>
      <c r="G63" s="70" t="s">
        <v>117</v>
      </c>
      <c r="H63" s="82" t="s">
        <v>118</v>
      </c>
      <c r="I63" s="83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</row>
    <row r="64" ht="12.75" customHeight="1">
      <c r="A64" s="80"/>
      <c r="B64" s="69" t="s">
        <v>46</v>
      </c>
      <c r="C64" s="69"/>
      <c r="D64" s="37"/>
      <c r="E64" s="59"/>
      <c r="F64" s="81"/>
      <c r="G64" s="70" t="s">
        <v>119</v>
      </c>
      <c r="H64" s="82" t="s">
        <v>120</v>
      </c>
      <c r="I64" s="83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</row>
    <row r="65" ht="12.75" customHeight="1">
      <c r="A65" s="80"/>
      <c r="B65" s="69" t="s">
        <v>46</v>
      </c>
      <c r="C65" s="69"/>
      <c r="D65" s="37"/>
      <c r="E65" s="59"/>
      <c r="F65" s="81"/>
      <c r="G65" s="70" t="s">
        <v>121</v>
      </c>
      <c r="H65" s="71" t="s">
        <v>46</v>
      </c>
      <c r="I65" s="83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</row>
    <row r="66" ht="12.75" customHeight="1">
      <c r="A66" s="80"/>
      <c r="B66" s="69" t="s">
        <v>46</v>
      </c>
      <c r="C66" s="69"/>
      <c r="D66" s="37"/>
      <c r="E66" s="59"/>
      <c r="F66" s="81"/>
      <c r="G66" s="70" t="s">
        <v>122</v>
      </c>
      <c r="H66" s="82" t="s">
        <v>123</v>
      </c>
      <c r="I66" s="83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</row>
    <row r="67" ht="12.75" customHeight="1">
      <c r="A67" s="80"/>
      <c r="B67" s="69" t="s">
        <v>46</v>
      </c>
      <c r="C67" s="69"/>
      <c r="D67" s="37"/>
      <c r="E67" s="59"/>
      <c r="F67" s="81"/>
      <c r="G67" s="70" t="s">
        <v>124</v>
      </c>
      <c r="H67" s="82" t="s">
        <v>125</v>
      </c>
      <c r="I67" s="83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</row>
    <row r="68" ht="12.75" customHeight="1">
      <c r="A68" s="80"/>
      <c r="B68" s="69" t="s">
        <v>46</v>
      </c>
      <c r="C68" s="69"/>
      <c r="D68" s="37"/>
      <c r="E68" s="59"/>
      <c r="F68" s="81"/>
      <c r="G68" s="70" t="s">
        <v>126</v>
      </c>
      <c r="H68" s="82" t="s">
        <v>127</v>
      </c>
      <c r="I68" s="83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</row>
    <row r="69" ht="12.75" customHeight="1">
      <c r="A69" s="80"/>
      <c r="B69" s="69" t="s">
        <v>46</v>
      </c>
      <c r="C69" s="69"/>
      <c r="D69" s="37"/>
      <c r="E69" s="59"/>
      <c r="F69" s="81"/>
      <c r="G69" s="70" t="s">
        <v>128</v>
      </c>
      <c r="H69" s="82" t="s">
        <v>67</v>
      </c>
      <c r="I69" s="83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</row>
    <row r="70" ht="12.75" customHeight="1">
      <c r="A70" s="80"/>
      <c r="B70" s="69" t="s">
        <v>46</v>
      </c>
      <c r="C70" s="69"/>
      <c r="D70" s="37"/>
      <c r="E70" s="59"/>
      <c r="F70" s="81"/>
      <c r="G70" s="70" t="s">
        <v>129</v>
      </c>
      <c r="H70" s="82" t="s">
        <v>130</v>
      </c>
      <c r="I70" s="83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</row>
    <row r="71" ht="12.75" customHeight="1">
      <c r="A71" s="80"/>
      <c r="B71" s="69" t="s">
        <v>46</v>
      </c>
      <c r="C71" s="69"/>
      <c r="D71" s="37"/>
      <c r="E71" s="59"/>
      <c r="F71" s="81"/>
      <c r="G71" s="70" t="s">
        <v>131</v>
      </c>
      <c r="H71" s="82" t="s">
        <v>132</v>
      </c>
      <c r="I71" s="83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</row>
    <row r="72" ht="12.75" customHeight="1">
      <c r="A72" s="80"/>
      <c r="B72" s="69" t="s">
        <v>46</v>
      </c>
      <c r="C72" s="69"/>
      <c r="D72" s="37"/>
      <c r="E72" s="59"/>
      <c r="F72" s="81"/>
      <c r="G72" s="70" t="s">
        <v>133</v>
      </c>
      <c r="H72" s="82" t="s">
        <v>134</v>
      </c>
      <c r="I72" s="83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</row>
    <row r="73" ht="12.75" customHeight="1">
      <c r="A73" s="80"/>
      <c r="B73" s="69" t="s">
        <v>46</v>
      </c>
      <c r="C73" s="69"/>
      <c r="D73" s="37"/>
      <c r="E73" s="59"/>
      <c r="F73" s="81"/>
      <c r="G73" s="70" t="s">
        <v>135</v>
      </c>
      <c r="H73" s="82" t="s">
        <v>136</v>
      </c>
      <c r="I73" s="83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</row>
    <row r="74" ht="12.75" customHeight="1">
      <c r="A74" s="80"/>
      <c r="B74" s="69" t="s">
        <v>46</v>
      </c>
      <c r="C74" s="69"/>
      <c r="D74" s="37"/>
      <c r="E74" s="59"/>
      <c r="F74" s="81"/>
      <c r="G74" s="70" t="s">
        <v>137</v>
      </c>
      <c r="H74" s="82" t="s">
        <v>134</v>
      </c>
      <c r="I74" s="83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</row>
    <row r="75" ht="12.75" customHeight="1">
      <c r="A75" s="80"/>
      <c r="B75" s="69" t="s">
        <v>46</v>
      </c>
      <c r="C75" s="69"/>
      <c r="D75" s="37"/>
      <c r="E75" s="59"/>
      <c r="F75" s="81"/>
      <c r="G75" s="70" t="s">
        <v>138</v>
      </c>
      <c r="H75" s="82" t="s">
        <v>139</v>
      </c>
      <c r="I75" s="83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</row>
    <row r="76" ht="12.75" customHeight="1">
      <c r="A76" s="80"/>
      <c r="B76" s="69" t="s">
        <v>46</v>
      </c>
      <c r="C76" s="69"/>
      <c r="D76" s="37"/>
      <c r="E76" s="59"/>
      <c r="F76" s="81"/>
      <c r="G76" s="70" t="s">
        <v>140</v>
      </c>
      <c r="H76" s="82" t="s">
        <v>134</v>
      </c>
      <c r="I76" s="83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</row>
    <row r="77" ht="12.75" customHeight="1">
      <c r="A77" s="80"/>
      <c r="B77" s="69" t="s">
        <v>46</v>
      </c>
      <c r="C77" s="69"/>
      <c r="D77" s="37"/>
      <c r="E77" s="59"/>
      <c r="F77" s="81"/>
      <c r="G77" s="70" t="s">
        <v>141</v>
      </c>
      <c r="H77" s="82" t="s">
        <v>142</v>
      </c>
      <c r="I77" s="83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</row>
    <row r="78" ht="12.75" customHeight="1">
      <c r="A78" s="80"/>
      <c r="B78" s="69" t="s">
        <v>46</v>
      </c>
      <c r="C78" s="69"/>
      <c r="D78" s="37"/>
      <c r="E78" s="59"/>
      <c r="F78" s="81"/>
      <c r="G78" s="70" t="s">
        <v>143</v>
      </c>
      <c r="H78" s="82" t="s">
        <v>144</v>
      </c>
      <c r="I78" s="83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</row>
    <row r="79" ht="12.75" customHeight="1">
      <c r="A79" s="80"/>
      <c r="B79" s="69" t="s">
        <v>46</v>
      </c>
      <c r="C79" s="69"/>
      <c r="D79" s="37"/>
      <c r="E79" s="59"/>
      <c r="F79" s="81"/>
      <c r="G79" s="70" t="s">
        <v>145</v>
      </c>
      <c r="H79" s="82" t="s">
        <v>42</v>
      </c>
      <c r="I79" s="83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</row>
    <row r="80" ht="12.75" customHeight="1">
      <c r="A80" s="80"/>
      <c r="B80" s="69" t="s">
        <v>46</v>
      </c>
      <c r="C80" s="69"/>
      <c r="D80" s="37"/>
      <c r="E80" s="59"/>
      <c r="F80" s="81"/>
      <c r="G80" s="70" t="s">
        <v>146</v>
      </c>
      <c r="H80" s="82" t="s">
        <v>147</v>
      </c>
      <c r="I80" s="83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</row>
    <row r="81" ht="12.75" customHeight="1">
      <c r="A81" s="80"/>
      <c r="B81" s="69" t="s">
        <v>46</v>
      </c>
      <c r="C81" s="69"/>
      <c r="D81" s="37"/>
      <c r="E81" s="59"/>
      <c r="F81" s="81"/>
      <c r="G81" s="70" t="s">
        <v>148</v>
      </c>
      <c r="H81" s="71" t="s">
        <v>46</v>
      </c>
      <c r="I81" s="83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</row>
    <row r="82" ht="12.75" customHeight="1">
      <c r="A82" s="80"/>
      <c r="B82" s="69" t="s">
        <v>46</v>
      </c>
      <c r="C82" s="69"/>
      <c r="D82" s="37"/>
      <c r="E82" s="59"/>
      <c r="F82" s="81"/>
      <c r="G82" s="70" t="s">
        <v>149</v>
      </c>
      <c r="H82" s="82" t="s">
        <v>150</v>
      </c>
      <c r="I82" s="83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</row>
    <row r="83" ht="12.75" customHeight="1">
      <c r="A83" s="80"/>
      <c r="B83" s="69" t="s">
        <v>46</v>
      </c>
      <c r="C83" s="69"/>
      <c r="D83" s="37"/>
      <c r="E83" s="59"/>
      <c r="F83" s="81"/>
      <c r="G83" s="70" t="s">
        <v>151</v>
      </c>
      <c r="H83" s="82" t="s">
        <v>152</v>
      </c>
      <c r="I83" s="83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</row>
    <row r="84" ht="12.75" customHeight="1">
      <c r="A84" s="80"/>
      <c r="B84" s="69" t="s">
        <v>46</v>
      </c>
      <c r="C84" s="69"/>
      <c r="D84" s="37"/>
      <c r="E84" s="59"/>
      <c r="F84" s="81"/>
      <c r="G84" s="70" t="s">
        <v>153</v>
      </c>
      <c r="H84" s="82" t="s">
        <v>132</v>
      </c>
      <c r="I84" s="83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</row>
    <row r="85" ht="12.75" customHeight="1">
      <c r="A85" s="80"/>
      <c r="B85" s="69" t="s">
        <v>46</v>
      </c>
      <c r="C85" s="69"/>
      <c r="D85" s="37"/>
      <c r="E85" s="59"/>
      <c r="F85" s="81"/>
      <c r="G85" s="70" t="s">
        <v>154</v>
      </c>
      <c r="H85" s="82" t="s">
        <v>155</v>
      </c>
      <c r="I85" s="83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</row>
    <row r="86" ht="12.75" customHeight="1">
      <c r="A86" s="80"/>
      <c r="B86" s="69" t="s">
        <v>46</v>
      </c>
      <c r="C86" s="69"/>
      <c r="D86" s="37"/>
      <c r="E86" s="59"/>
      <c r="F86" s="81"/>
      <c r="G86" s="70" t="s">
        <v>156</v>
      </c>
      <c r="H86" s="82" t="s">
        <v>144</v>
      </c>
      <c r="I86" s="83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</row>
    <row r="87" ht="12.75" customHeight="1">
      <c r="A87" s="80"/>
      <c r="B87" s="69" t="s">
        <v>46</v>
      </c>
      <c r="C87" s="69"/>
      <c r="D87" s="37"/>
      <c r="E87" s="59"/>
      <c r="F87" s="81"/>
      <c r="G87" s="70" t="s">
        <v>157</v>
      </c>
      <c r="H87" s="82" t="s">
        <v>158</v>
      </c>
      <c r="I87" s="83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</row>
    <row r="88" ht="12.75" customHeight="1">
      <c r="A88" s="80"/>
      <c r="B88" s="69" t="s">
        <v>46</v>
      </c>
      <c r="C88" s="69"/>
      <c r="D88" s="37"/>
      <c r="E88" s="59"/>
      <c r="F88" s="81"/>
      <c r="G88" s="70" t="s">
        <v>159</v>
      </c>
      <c r="H88" s="82" t="s">
        <v>160</v>
      </c>
      <c r="I88" s="83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</row>
    <row r="89" ht="12.75" customHeight="1">
      <c r="A89" s="80"/>
      <c r="B89" s="69" t="s">
        <v>46</v>
      </c>
      <c r="C89" s="69"/>
      <c r="D89" s="37"/>
      <c r="E89" s="59"/>
      <c r="F89" s="81"/>
      <c r="G89" s="70" t="s">
        <v>161</v>
      </c>
      <c r="H89" s="82" t="s">
        <v>162</v>
      </c>
      <c r="I89" s="83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</row>
    <row r="90" ht="12.75" customHeight="1">
      <c r="A90" s="80"/>
      <c r="B90" s="69" t="s">
        <v>46</v>
      </c>
      <c r="C90" s="69"/>
      <c r="D90" s="37"/>
      <c r="E90" s="59"/>
      <c r="F90" s="81"/>
      <c r="G90" s="70" t="s">
        <v>163</v>
      </c>
      <c r="H90" s="82" t="s">
        <v>164</v>
      </c>
      <c r="I90" s="83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</row>
    <row r="91" ht="12.75" customHeight="1">
      <c r="A91" s="80"/>
      <c r="B91" s="69" t="s">
        <v>46</v>
      </c>
      <c r="C91" s="69"/>
      <c r="D91" s="37"/>
      <c r="E91" s="59"/>
      <c r="F91" s="81"/>
      <c r="G91" s="70" t="s">
        <v>165</v>
      </c>
      <c r="H91" s="82" t="s">
        <v>166</v>
      </c>
      <c r="I91" s="83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</row>
    <row r="92" ht="12.75" customHeight="1">
      <c r="A92" s="80"/>
      <c r="B92" s="69" t="s">
        <v>46</v>
      </c>
      <c r="C92" s="69"/>
      <c r="D92" s="37"/>
      <c r="E92" s="59"/>
      <c r="F92" s="81"/>
      <c r="G92" s="70" t="s">
        <v>167</v>
      </c>
      <c r="H92" s="82" t="s">
        <v>168</v>
      </c>
      <c r="I92" s="83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</row>
    <row r="93" ht="12.75" customHeight="1">
      <c r="A93" s="80"/>
      <c r="B93" s="69" t="s">
        <v>46</v>
      </c>
      <c r="C93" s="69"/>
      <c r="D93" s="37"/>
      <c r="E93" s="59"/>
      <c r="F93" s="81"/>
      <c r="G93" s="70" t="s">
        <v>169</v>
      </c>
      <c r="H93" s="82" t="s">
        <v>142</v>
      </c>
      <c r="I93" s="83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</row>
    <row r="94" ht="12.75" customHeight="1">
      <c r="A94" s="80"/>
      <c r="B94" s="69" t="s">
        <v>46</v>
      </c>
      <c r="C94" s="69"/>
      <c r="D94" s="37"/>
      <c r="E94" s="59"/>
      <c r="F94" s="81"/>
      <c r="G94" s="70" t="s">
        <v>170</v>
      </c>
      <c r="H94" s="82" t="s">
        <v>86</v>
      </c>
      <c r="I94" s="83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</row>
    <row r="95" ht="12.75" customHeight="1">
      <c r="A95" s="80"/>
      <c r="B95" s="69" t="s">
        <v>46</v>
      </c>
      <c r="C95" s="69"/>
      <c r="D95" s="37"/>
      <c r="E95" s="59"/>
      <c r="F95" s="81"/>
      <c r="G95" s="70" t="s">
        <v>171</v>
      </c>
      <c r="H95" s="82" t="s">
        <v>172</v>
      </c>
      <c r="I95" s="83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</row>
    <row r="96" ht="12.75" customHeight="1">
      <c r="A96" s="80"/>
      <c r="B96" s="69" t="s">
        <v>46</v>
      </c>
      <c r="C96" s="69"/>
      <c r="D96" s="37"/>
      <c r="E96" s="59"/>
      <c r="F96" s="81"/>
      <c r="G96" s="70" t="s">
        <v>173</v>
      </c>
      <c r="H96" s="82" t="s">
        <v>144</v>
      </c>
      <c r="I96" s="83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</row>
    <row r="97" ht="12.75" customHeight="1">
      <c r="A97" s="80"/>
      <c r="B97" s="69" t="s">
        <v>46</v>
      </c>
      <c r="C97" s="69"/>
      <c r="D97" s="37"/>
      <c r="E97" s="59"/>
      <c r="F97" s="81"/>
      <c r="G97" s="70" t="s">
        <v>174</v>
      </c>
      <c r="H97" s="82" t="s">
        <v>158</v>
      </c>
      <c r="I97" s="83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</row>
    <row r="98" ht="12.75" customHeight="1">
      <c r="A98" s="80"/>
      <c r="B98" s="69" t="s">
        <v>46</v>
      </c>
      <c r="C98" s="69"/>
      <c r="D98" s="37"/>
      <c r="E98" s="59"/>
      <c r="F98" s="81"/>
      <c r="G98" s="70" t="s">
        <v>175</v>
      </c>
      <c r="H98" s="82" t="s">
        <v>160</v>
      </c>
      <c r="I98" s="83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</row>
    <row r="99" ht="12.75" customHeight="1">
      <c r="A99" s="80"/>
      <c r="B99" s="69" t="s">
        <v>46</v>
      </c>
      <c r="C99" s="69"/>
      <c r="D99" s="37"/>
      <c r="E99" s="59"/>
      <c r="F99" s="81"/>
      <c r="G99" s="70" t="s">
        <v>176</v>
      </c>
      <c r="H99" s="82" t="s">
        <v>177</v>
      </c>
      <c r="I99" s="83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</row>
    <row r="100" ht="12.75" customHeight="1">
      <c r="A100" s="80"/>
      <c r="B100" s="69" t="s">
        <v>46</v>
      </c>
      <c r="C100" s="69"/>
      <c r="D100" s="37"/>
      <c r="E100" s="59"/>
      <c r="F100" s="81"/>
      <c r="G100" s="70" t="s">
        <v>178</v>
      </c>
      <c r="H100" s="82" t="s">
        <v>164</v>
      </c>
      <c r="I100" s="83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</row>
    <row r="101" ht="12.75" customHeight="1">
      <c r="A101" s="80"/>
      <c r="B101" s="69" t="s">
        <v>46</v>
      </c>
      <c r="C101" s="69"/>
      <c r="D101" s="37"/>
      <c r="E101" s="59"/>
      <c r="F101" s="81"/>
      <c r="G101" s="70" t="s">
        <v>179</v>
      </c>
      <c r="H101" s="82" t="s">
        <v>166</v>
      </c>
      <c r="I101" s="83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</row>
    <row r="102" ht="12.75" customHeight="1">
      <c r="A102" s="80"/>
      <c r="B102" s="69" t="s">
        <v>46</v>
      </c>
      <c r="C102" s="69"/>
      <c r="D102" s="37"/>
      <c r="E102" s="59"/>
      <c r="F102" s="81"/>
      <c r="G102" s="70" t="s">
        <v>180</v>
      </c>
      <c r="H102" s="82" t="s">
        <v>181</v>
      </c>
      <c r="I102" s="83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</row>
    <row r="103" ht="12.75" customHeight="1">
      <c r="A103" s="80"/>
      <c r="B103" s="69" t="s">
        <v>46</v>
      </c>
      <c r="C103" s="69"/>
      <c r="D103" s="37"/>
      <c r="E103" s="59"/>
      <c r="F103" s="81"/>
      <c r="G103" s="70" t="s">
        <v>182</v>
      </c>
      <c r="H103" s="82" t="s">
        <v>142</v>
      </c>
      <c r="I103" s="83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</row>
    <row r="104" ht="12.75" customHeight="1">
      <c r="A104" s="80"/>
      <c r="B104" s="69" t="s">
        <v>46</v>
      </c>
      <c r="C104" s="69"/>
      <c r="D104" s="37"/>
      <c r="E104" s="59"/>
      <c r="F104" s="81"/>
      <c r="G104" s="70" t="s">
        <v>183</v>
      </c>
      <c r="H104" s="82" t="s">
        <v>184</v>
      </c>
      <c r="I104" s="83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</row>
    <row r="105" ht="12.75" customHeight="1">
      <c r="A105" s="80"/>
      <c r="B105" s="69" t="s">
        <v>46</v>
      </c>
      <c r="C105" s="69"/>
      <c r="D105" s="37"/>
      <c r="E105" s="59"/>
      <c r="F105" s="81"/>
      <c r="G105" s="70" t="s">
        <v>185</v>
      </c>
      <c r="H105" s="82" t="s">
        <v>186</v>
      </c>
      <c r="I105" s="83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</row>
    <row r="106" ht="12.75" customHeight="1">
      <c r="A106" s="80"/>
      <c r="B106" s="69" t="s">
        <v>46</v>
      </c>
      <c r="C106" s="69"/>
      <c r="D106" s="37"/>
      <c r="E106" s="59"/>
      <c r="F106" s="81"/>
      <c r="G106" s="70" t="s">
        <v>187</v>
      </c>
      <c r="H106" s="71" t="s">
        <v>46</v>
      </c>
      <c r="I106" s="83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</row>
    <row r="107" ht="12.75" customHeight="1">
      <c r="A107" s="80"/>
      <c r="B107" s="69" t="s">
        <v>46</v>
      </c>
      <c r="C107" s="69"/>
      <c r="D107" s="37"/>
      <c r="E107" s="59"/>
      <c r="F107" s="81"/>
      <c r="G107" s="70" t="s">
        <v>188</v>
      </c>
      <c r="H107" s="82" t="s">
        <v>142</v>
      </c>
      <c r="I107" s="83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</row>
    <row r="108" ht="12.75" customHeight="1">
      <c r="A108" s="80"/>
      <c r="B108" s="69" t="s">
        <v>46</v>
      </c>
      <c r="C108" s="69"/>
      <c r="D108" s="37"/>
      <c r="E108" s="59"/>
      <c r="F108" s="81"/>
      <c r="G108" s="70" t="s">
        <v>189</v>
      </c>
      <c r="H108" s="71" t="s">
        <v>46</v>
      </c>
      <c r="I108" s="83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</row>
    <row r="109" ht="12.75" customHeight="1">
      <c r="A109" s="80"/>
      <c r="B109" s="69" t="s">
        <v>46</v>
      </c>
      <c r="C109" s="69"/>
      <c r="D109" s="37"/>
      <c r="E109" s="59"/>
      <c r="F109" s="81"/>
      <c r="G109" s="70" t="s">
        <v>190</v>
      </c>
      <c r="H109" s="82" t="s">
        <v>191</v>
      </c>
      <c r="I109" s="83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</row>
    <row r="110" ht="12.75" customHeight="1">
      <c r="A110" s="80"/>
      <c r="B110" s="69" t="s">
        <v>46</v>
      </c>
      <c r="C110" s="69"/>
      <c r="D110" s="37"/>
      <c r="E110" s="59"/>
      <c r="F110" s="81"/>
      <c r="G110" s="70" t="s">
        <v>192</v>
      </c>
      <c r="H110" s="82" t="s">
        <v>193</v>
      </c>
      <c r="I110" s="83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</row>
    <row r="111" ht="12.75" customHeight="1">
      <c r="A111" s="80"/>
      <c r="B111" s="69" t="s">
        <v>46</v>
      </c>
      <c r="C111" s="69"/>
      <c r="D111" s="37"/>
      <c r="E111" s="59"/>
      <c r="F111" s="81"/>
      <c r="G111" s="70" t="s">
        <v>194</v>
      </c>
      <c r="H111" s="82" t="s">
        <v>195</v>
      </c>
      <c r="I111" s="83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</row>
    <row r="112" ht="12.75" customHeight="1">
      <c r="A112" s="80"/>
      <c r="B112" s="69" t="s">
        <v>46</v>
      </c>
      <c r="C112" s="69"/>
      <c r="D112" s="37"/>
      <c r="E112" s="59"/>
      <c r="F112" s="81"/>
      <c r="G112" s="70" t="s">
        <v>196</v>
      </c>
      <c r="H112" s="82" t="s">
        <v>197</v>
      </c>
      <c r="I112" s="83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</row>
    <row r="113" ht="12.75" customHeight="1">
      <c r="A113" s="80"/>
      <c r="B113" s="69" t="s">
        <v>46</v>
      </c>
      <c r="C113" s="69"/>
      <c r="D113" s="37"/>
      <c r="E113" s="59"/>
      <c r="F113" s="81"/>
      <c r="G113" s="70" t="s">
        <v>198</v>
      </c>
      <c r="H113" s="82" t="s">
        <v>142</v>
      </c>
      <c r="I113" s="83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</row>
    <row r="114" ht="12.75" customHeight="1">
      <c r="A114" s="80"/>
      <c r="B114" s="69" t="s">
        <v>46</v>
      </c>
      <c r="C114" s="69"/>
      <c r="D114" s="37"/>
      <c r="E114" s="59"/>
      <c r="F114" s="81"/>
      <c r="G114" s="70" t="s">
        <v>199</v>
      </c>
      <c r="H114" s="82" t="s">
        <v>197</v>
      </c>
      <c r="I114" s="83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</row>
    <row r="115" ht="12.75" customHeight="1">
      <c r="A115" s="80"/>
      <c r="B115" s="69" t="s">
        <v>46</v>
      </c>
      <c r="C115" s="69"/>
      <c r="D115" s="37"/>
      <c r="E115" s="59"/>
      <c r="F115" s="81"/>
      <c r="G115" s="70" t="s">
        <v>200</v>
      </c>
      <c r="H115" s="82" t="s">
        <v>139</v>
      </c>
      <c r="I115" s="83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</row>
    <row r="116" ht="12.75" customHeight="1">
      <c r="A116" s="80"/>
      <c r="B116" s="69" t="s">
        <v>46</v>
      </c>
      <c r="C116" s="69"/>
      <c r="D116" s="37"/>
      <c r="E116" s="59"/>
      <c r="F116" s="81"/>
      <c r="G116" s="70" t="s">
        <v>201</v>
      </c>
      <c r="H116" s="82" t="s">
        <v>197</v>
      </c>
      <c r="I116" s="83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</row>
    <row r="117" ht="12.75" customHeight="1">
      <c r="A117" s="80"/>
      <c r="B117" s="69" t="s">
        <v>46</v>
      </c>
      <c r="C117" s="69"/>
      <c r="D117" s="37"/>
      <c r="E117" s="59"/>
      <c r="F117" s="81"/>
      <c r="G117" s="70" t="s">
        <v>202</v>
      </c>
      <c r="H117" s="82" t="s">
        <v>136</v>
      </c>
      <c r="I117" s="83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</row>
    <row r="118" ht="12.75" customHeight="1">
      <c r="A118" s="80"/>
      <c r="B118" s="69" t="s">
        <v>46</v>
      </c>
      <c r="C118" s="69"/>
      <c r="D118" s="37"/>
      <c r="E118" s="59"/>
      <c r="F118" s="81"/>
      <c r="G118" s="70" t="s">
        <v>203</v>
      </c>
      <c r="H118" s="82" t="s">
        <v>204</v>
      </c>
      <c r="I118" s="83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</row>
    <row r="119" ht="12.75" customHeight="1">
      <c r="A119" s="80"/>
      <c r="B119" s="69" t="s">
        <v>46</v>
      </c>
      <c r="C119" s="69"/>
      <c r="D119" s="37"/>
      <c r="E119" s="59"/>
      <c r="F119" s="81"/>
      <c r="G119" s="70" t="s">
        <v>205</v>
      </c>
      <c r="H119" s="82" t="s">
        <v>206</v>
      </c>
      <c r="I119" s="83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</row>
    <row r="120" ht="12.75" customHeight="1">
      <c r="A120" s="80"/>
      <c r="B120" s="69" t="s">
        <v>46</v>
      </c>
      <c r="C120" s="69"/>
      <c r="D120" s="37"/>
      <c r="E120" s="59"/>
      <c r="F120" s="81"/>
      <c r="G120" s="70" t="s">
        <v>207</v>
      </c>
      <c r="H120" s="82" t="s">
        <v>130</v>
      </c>
      <c r="I120" s="83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</row>
    <row r="121" ht="12.75" customHeight="1">
      <c r="A121" s="80"/>
      <c r="B121" s="69" t="s">
        <v>46</v>
      </c>
      <c r="C121" s="69"/>
      <c r="D121" s="37"/>
      <c r="E121" s="59"/>
      <c r="F121" s="81"/>
      <c r="G121" s="70" t="s">
        <v>208</v>
      </c>
      <c r="H121" s="82" t="s">
        <v>132</v>
      </c>
      <c r="I121" s="83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</row>
    <row r="122" ht="12.75" customHeight="1">
      <c r="A122" s="80"/>
      <c r="B122" s="69" t="s">
        <v>46</v>
      </c>
      <c r="C122" s="69"/>
      <c r="D122" s="37"/>
      <c r="E122" s="59"/>
      <c r="F122" s="81"/>
      <c r="G122" s="70" t="s">
        <v>209</v>
      </c>
      <c r="H122" s="82" t="s">
        <v>134</v>
      </c>
      <c r="I122" s="83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</row>
    <row r="123" ht="12.75" customHeight="1">
      <c r="A123" s="80"/>
      <c r="B123" s="69" t="s">
        <v>46</v>
      </c>
      <c r="C123" s="69"/>
      <c r="D123" s="37"/>
      <c r="E123" s="59"/>
      <c r="F123" s="81"/>
      <c r="G123" s="70" t="s">
        <v>210</v>
      </c>
      <c r="H123" s="82" t="s">
        <v>136</v>
      </c>
      <c r="I123" s="83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</row>
    <row r="124" ht="12.75" customHeight="1">
      <c r="A124" s="80"/>
      <c r="B124" s="69" t="s">
        <v>46</v>
      </c>
      <c r="C124" s="69"/>
      <c r="D124" s="37"/>
      <c r="E124" s="59"/>
      <c r="F124" s="81"/>
      <c r="G124" s="70" t="s">
        <v>211</v>
      </c>
      <c r="H124" s="82" t="s">
        <v>134</v>
      </c>
      <c r="I124" s="83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</row>
    <row r="125" ht="12.75" customHeight="1">
      <c r="A125" s="80"/>
      <c r="B125" s="69" t="s">
        <v>46</v>
      </c>
      <c r="C125" s="69"/>
      <c r="D125" s="37"/>
      <c r="E125" s="59"/>
      <c r="F125" s="81"/>
      <c r="G125" s="70" t="s">
        <v>212</v>
      </c>
      <c r="H125" s="82" t="s">
        <v>139</v>
      </c>
      <c r="I125" s="83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</row>
    <row r="126" ht="12.75" customHeight="1">
      <c r="A126" s="80"/>
      <c r="B126" s="69" t="s">
        <v>46</v>
      </c>
      <c r="C126" s="69"/>
      <c r="D126" s="37"/>
      <c r="E126" s="59"/>
      <c r="F126" s="81"/>
      <c r="G126" s="70" t="s">
        <v>213</v>
      </c>
      <c r="H126" s="82" t="s">
        <v>134</v>
      </c>
      <c r="I126" s="83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</row>
    <row r="127" ht="12.75" customHeight="1">
      <c r="A127" s="80"/>
      <c r="B127" s="69" t="s">
        <v>46</v>
      </c>
      <c r="C127" s="69"/>
      <c r="D127" s="37"/>
      <c r="E127" s="59"/>
      <c r="F127" s="81"/>
      <c r="G127" s="70" t="s">
        <v>214</v>
      </c>
      <c r="H127" s="82" t="s">
        <v>142</v>
      </c>
      <c r="I127" s="83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</row>
    <row r="128" ht="12.75" customHeight="1">
      <c r="A128" s="80"/>
      <c r="B128" s="69" t="s">
        <v>46</v>
      </c>
      <c r="C128" s="69"/>
      <c r="D128" s="37"/>
      <c r="E128" s="59"/>
      <c r="F128" s="81"/>
      <c r="G128" s="70" t="s">
        <v>215</v>
      </c>
      <c r="H128" s="82" t="s">
        <v>216</v>
      </c>
      <c r="I128" s="83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</row>
    <row r="129" ht="12.75" customHeight="1">
      <c r="A129" s="80"/>
      <c r="B129" s="69" t="s">
        <v>46</v>
      </c>
      <c r="C129" s="69"/>
      <c r="D129" s="37"/>
      <c r="E129" s="59"/>
      <c r="F129" s="81"/>
      <c r="G129" s="70" t="s">
        <v>217</v>
      </c>
      <c r="H129" s="82" t="s">
        <v>158</v>
      </c>
      <c r="I129" s="83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</row>
    <row r="130" ht="12.75" customHeight="1">
      <c r="A130" s="80"/>
      <c r="B130" s="69" t="s">
        <v>46</v>
      </c>
      <c r="C130" s="69"/>
      <c r="D130" s="37"/>
      <c r="E130" s="59"/>
      <c r="F130" s="81"/>
      <c r="G130" s="70" t="s">
        <v>218</v>
      </c>
      <c r="H130" s="82" t="s">
        <v>160</v>
      </c>
      <c r="I130" s="83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</row>
    <row r="131" ht="12.75" customHeight="1">
      <c r="A131" s="80"/>
      <c r="B131" s="69" t="s">
        <v>46</v>
      </c>
      <c r="C131" s="69"/>
      <c r="D131" s="37"/>
      <c r="E131" s="59"/>
      <c r="F131" s="81"/>
      <c r="G131" s="70" t="s">
        <v>219</v>
      </c>
      <c r="H131" s="82" t="s">
        <v>162</v>
      </c>
      <c r="I131" s="83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</row>
    <row r="132" ht="12.75" customHeight="1">
      <c r="A132" s="80"/>
      <c r="B132" s="69" t="s">
        <v>46</v>
      </c>
      <c r="C132" s="69"/>
      <c r="D132" s="37"/>
      <c r="E132" s="59"/>
      <c r="F132" s="81"/>
      <c r="G132" s="70" t="s">
        <v>220</v>
      </c>
      <c r="H132" s="82" t="s">
        <v>164</v>
      </c>
      <c r="I132" s="83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</row>
    <row r="133" ht="12.75" customHeight="1">
      <c r="A133" s="80"/>
      <c r="B133" s="69" t="s">
        <v>46</v>
      </c>
      <c r="C133" s="69"/>
      <c r="D133" s="37"/>
      <c r="E133" s="59"/>
      <c r="F133" s="81"/>
      <c r="G133" s="70" t="s">
        <v>221</v>
      </c>
      <c r="H133" s="71" t="s">
        <v>46</v>
      </c>
      <c r="I133" s="83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</row>
    <row r="134" ht="12.75" customHeight="1">
      <c r="A134" s="80"/>
      <c r="B134" s="69" t="s">
        <v>46</v>
      </c>
      <c r="C134" s="69"/>
      <c r="D134" s="37"/>
      <c r="E134" s="59"/>
      <c r="F134" s="81"/>
      <c r="G134" s="70" t="s">
        <v>222</v>
      </c>
      <c r="H134" s="82" t="s">
        <v>223</v>
      </c>
      <c r="I134" s="83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</row>
    <row r="135" ht="12.75" customHeight="1">
      <c r="A135" s="80"/>
      <c r="B135" s="69" t="s">
        <v>46</v>
      </c>
      <c r="C135" s="69"/>
      <c r="D135" s="37"/>
      <c r="E135" s="59"/>
      <c r="F135" s="81"/>
      <c r="G135" s="70" t="s">
        <v>224</v>
      </c>
      <c r="H135" s="82" t="s">
        <v>225</v>
      </c>
      <c r="I135" s="83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</row>
    <row r="136" ht="12.75" customHeight="1">
      <c r="A136" s="80"/>
      <c r="B136" s="69" t="s">
        <v>46</v>
      </c>
      <c r="C136" s="69"/>
      <c r="D136" s="37"/>
      <c r="E136" s="59"/>
      <c r="F136" s="81"/>
      <c r="G136" s="70" t="s">
        <v>226</v>
      </c>
      <c r="H136" s="82" t="s">
        <v>216</v>
      </c>
      <c r="I136" s="83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</row>
    <row r="137" ht="12.75" customHeight="1">
      <c r="A137" s="80"/>
      <c r="B137" s="69" t="s">
        <v>46</v>
      </c>
      <c r="C137" s="69"/>
      <c r="D137" s="37"/>
      <c r="E137" s="59"/>
      <c r="F137" s="81"/>
      <c r="G137" s="70" t="s">
        <v>227</v>
      </c>
      <c r="H137" s="82" t="s">
        <v>158</v>
      </c>
      <c r="I137" s="83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</row>
    <row r="138" ht="12.75" customHeight="1">
      <c r="A138" s="80"/>
      <c r="B138" s="69" t="s">
        <v>46</v>
      </c>
      <c r="C138" s="69"/>
      <c r="D138" s="37"/>
      <c r="E138" s="59"/>
      <c r="F138" s="81"/>
      <c r="G138" s="70" t="s">
        <v>228</v>
      </c>
      <c r="H138" s="82" t="s">
        <v>160</v>
      </c>
      <c r="I138" s="83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</row>
    <row r="139" ht="12.75" customHeight="1">
      <c r="A139" s="80"/>
      <c r="B139" s="69" t="s">
        <v>46</v>
      </c>
      <c r="C139" s="69"/>
      <c r="D139" s="37"/>
      <c r="E139" s="59"/>
      <c r="F139" s="81"/>
      <c r="G139" s="70" t="s">
        <v>229</v>
      </c>
      <c r="H139" s="82" t="s">
        <v>177</v>
      </c>
      <c r="I139" s="83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</row>
    <row r="140" ht="12.75" customHeight="1">
      <c r="A140" s="80"/>
      <c r="B140" s="69" t="s">
        <v>46</v>
      </c>
      <c r="C140" s="69"/>
      <c r="D140" s="37"/>
      <c r="E140" s="59"/>
      <c r="F140" s="81"/>
      <c r="G140" s="70" t="s">
        <v>230</v>
      </c>
      <c r="H140" s="82" t="s">
        <v>164</v>
      </c>
      <c r="I140" s="83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</row>
    <row r="141" ht="12.75" customHeight="1">
      <c r="A141" s="80"/>
      <c r="B141" s="69" t="s">
        <v>46</v>
      </c>
      <c r="C141" s="69"/>
      <c r="D141" s="37"/>
      <c r="E141" s="59"/>
      <c r="F141" s="81"/>
      <c r="G141" s="70" t="s">
        <v>231</v>
      </c>
      <c r="H141" s="82" t="s">
        <v>232</v>
      </c>
      <c r="I141" s="83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</row>
    <row r="142" ht="12.75" customHeight="1">
      <c r="A142" s="80"/>
      <c r="B142" s="69" t="s">
        <v>46</v>
      </c>
      <c r="C142" s="69"/>
      <c r="D142" s="37"/>
      <c r="E142" s="59"/>
      <c r="F142" s="81"/>
      <c r="G142" s="70" t="s">
        <v>233</v>
      </c>
      <c r="H142" s="82" t="s">
        <v>144</v>
      </c>
      <c r="I142" s="83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</row>
    <row r="143" ht="12.75" customHeight="1">
      <c r="A143" s="80"/>
      <c r="B143" s="69" t="s">
        <v>46</v>
      </c>
      <c r="C143" s="69"/>
      <c r="D143" s="37"/>
      <c r="E143" s="59"/>
      <c r="F143" s="81"/>
      <c r="G143" s="70" t="s">
        <v>234</v>
      </c>
      <c r="H143" s="82" t="s">
        <v>42</v>
      </c>
      <c r="I143" s="83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</row>
    <row r="144" ht="12.75" customHeight="1">
      <c r="A144" s="80"/>
      <c r="B144" s="69" t="s">
        <v>46</v>
      </c>
      <c r="C144" s="69"/>
      <c r="D144" s="37"/>
      <c r="E144" s="59"/>
      <c r="F144" s="81"/>
      <c r="G144" s="70" t="s">
        <v>235</v>
      </c>
      <c r="H144" s="82" t="s">
        <v>136</v>
      </c>
      <c r="I144" s="83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</row>
    <row r="145" ht="12.75" customHeight="1">
      <c r="A145" s="80"/>
      <c r="B145" s="69" t="s">
        <v>46</v>
      </c>
      <c r="C145" s="69"/>
      <c r="D145" s="37"/>
      <c r="E145" s="59"/>
      <c r="F145" s="81"/>
      <c r="G145" s="70" t="s">
        <v>236</v>
      </c>
      <c r="H145" s="82" t="s">
        <v>237</v>
      </c>
      <c r="I145" s="83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</row>
    <row r="146" ht="12.75" customHeight="1">
      <c r="A146" s="80"/>
      <c r="B146" s="69" t="s">
        <v>46</v>
      </c>
      <c r="C146" s="69"/>
      <c r="D146" s="37"/>
      <c r="E146" s="59"/>
      <c r="F146" s="81"/>
      <c r="G146" s="70" t="s">
        <v>238</v>
      </c>
      <c r="H146" s="82" t="s">
        <v>239</v>
      </c>
      <c r="I146" s="83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</row>
    <row r="147" ht="12.75" customHeight="1">
      <c r="A147" s="80"/>
      <c r="B147" s="69" t="s">
        <v>46</v>
      </c>
      <c r="C147" s="69"/>
      <c r="D147" s="37"/>
      <c r="E147" s="59"/>
      <c r="F147" s="81"/>
      <c r="G147" s="70" t="s">
        <v>240</v>
      </c>
      <c r="H147" s="82" t="s">
        <v>191</v>
      </c>
      <c r="I147" s="83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</row>
    <row r="148" ht="12.75" customHeight="1">
      <c r="A148" s="80"/>
      <c r="B148" s="69" t="s">
        <v>46</v>
      </c>
      <c r="C148" s="69"/>
      <c r="D148" s="37"/>
      <c r="E148" s="59"/>
      <c r="F148" s="81"/>
      <c r="G148" s="70" t="s">
        <v>241</v>
      </c>
      <c r="H148" s="71" t="s">
        <v>46</v>
      </c>
      <c r="I148" s="83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</row>
    <row r="149" ht="12.75" customHeight="1">
      <c r="A149" s="80"/>
      <c r="B149" s="69" t="s">
        <v>46</v>
      </c>
      <c r="C149" s="69"/>
      <c r="D149" s="37"/>
      <c r="E149" s="59"/>
      <c r="F149" s="81"/>
      <c r="G149" s="70" t="s">
        <v>242</v>
      </c>
      <c r="H149" s="82" t="s">
        <v>243</v>
      </c>
      <c r="I149" s="83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</row>
    <row r="150" ht="12.75" customHeight="1">
      <c r="A150" s="80"/>
      <c r="B150" s="69" t="s">
        <v>46</v>
      </c>
      <c r="C150" s="69"/>
      <c r="D150" s="37"/>
      <c r="E150" s="59"/>
      <c r="F150" s="81"/>
      <c r="G150" s="70" t="s">
        <v>244</v>
      </c>
      <c r="H150" s="82" t="s">
        <v>245</v>
      </c>
      <c r="I150" s="83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</row>
    <row r="151" ht="12.75" customHeight="1">
      <c r="A151" s="80"/>
      <c r="B151" s="69" t="s">
        <v>46</v>
      </c>
      <c r="C151" s="69"/>
      <c r="D151" s="37"/>
      <c r="E151" s="59"/>
      <c r="F151" s="81"/>
      <c r="G151" s="70" t="s">
        <v>246</v>
      </c>
      <c r="H151" s="82" t="s">
        <v>247</v>
      </c>
      <c r="I151" s="83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</row>
    <row r="152" ht="12.75" customHeight="1">
      <c r="A152" s="80"/>
      <c r="B152" s="69" t="s">
        <v>46</v>
      </c>
      <c r="C152" s="69"/>
      <c r="D152" s="37"/>
      <c r="E152" s="59"/>
      <c r="F152" s="81"/>
      <c r="G152" s="70" t="s">
        <v>248</v>
      </c>
      <c r="H152" s="82" t="s">
        <v>249</v>
      </c>
      <c r="I152" s="83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</row>
    <row r="153" ht="12.75" customHeight="1">
      <c r="A153" s="80"/>
      <c r="B153" s="69" t="s">
        <v>46</v>
      </c>
      <c r="C153" s="69"/>
      <c r="D153" s="37"/>
      <c r="E153" s="59"/>
      <c r="F153" s="81"/>
      <c r="G153" s="70" t="s">
        <v>250</v>
      </c>
      <c r="H153" s="82" t="s">
        <v>113</v>
      </c>
      <c r="I153" s="83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</row>
    <row r="154" ht="12.75" customHeight="1">
      <c r="A154" s="80"/>
      <c r="B154" s="69" t="s">
        <v>46</v>
      </c>
      <c r="C154" s="69"/>
      <c r="D154" s="37"/>
      <c r="E154" s="59"/>
      <c r="F154" s="81"/>
      <c r="G154" s="70" t="s">
        <v>251</v>
      </c>
      <c r="H154" s="82" t="s">
        <v>166</v>
      </c>
      <c r="I154" s="83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</row>
    <row r="155" ht="12.75" customHeight="1">
      <c r="A155" s="80"/>
      <c r="B155" s="69" t="s">
        <v>46</v>
      </c>
      <c r="C155" s="69"/>
      <c r="D155" s="37"/>
      <c r="E155" s="59"/>
      <c r="F155" s="81"/>
      <c r="G155" s="70" t="s">
        <v>252</v>
      </c>
      <c r="H155" s="71" t="s">
        <v>46</v>
      </c>
      <c r="I155" s="83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</row>
    <row r="156" ht="12.75" customHeight="1">
      <c r="A156" s="80"/>
      <c r="B156" s="69" t="s">
        <v>46</v>
      </c>
      <c r="C156" s="69"/>
      <c r="D156" s="37"/>
      <c r="E156" s="59"/>
      <c r="F156" s="81"/>
      <c r="G156" s="70" t="s">
        <v>253</v>
      </c>
      <c r="H156" s="82" t="s">
        <v>245</v>
      </c>
      <c r="I156" s="83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</row>
    <row r="157" ht="12.75" customHeight="1">
      <c r="A157" s="80"/>
      <c r="B157" s="69" t="s">
        <v>46</v>
      </c>
      <c r="C157" s="69"/>
      <c r="D157" s="37"/>
      <c r="E157" s="59"/>
      <c r="F157" s="81"/>
      <c r="G157" s="70" t="s">
        <v>254</v>
      </c>
      <c r="H157" s="82" t="s">
        <v>255</v>
      </c>
      <c r="I157" s="83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</row>
    <row r="158" ht="12.75" customHeight="1">
      <c r="A158" s="80"/>
      <c r="B158" s="69" t="s">
        <v>46</v>
      </c>
      <c r="C158" s="69"/>
      <c r="D158" s="37"/>
      <c r="E158" s="59"/>
      <c r="F158" s="81"/>
      <c r="G158" s="70" t="s">
        <v>256</v>
      </c>
      <c r="H158" s="82" t="s">
        <v>113</v>
      </c>
      <c r="I158" s="83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</row>
    <row r="159" ht="12.75" customHeight="1">
      <c r="A159" s="80"/>
      <c r="B159" s="69" t="s">
        <v>46</v>
      </c>
      <c r="C159" s="69"/>
      <c r="D159" s="37"/>
      <c r="E159" s="59"/>
      <c r="F159" s="81"/>
      <c r="G159" s="70" t="s">
        <v>257</v>
      </c>
      <c r="H159" s="82" t="s">
        <v>158</v>
      </c>
      <c r="I159" s="83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</row>
    <row r="160" ht="12.75" customHeight="1">
      <c r="A160" s="80"/>
      <c r="B160" s="69" t="s">
        <v>46</v>
      </c>
      <c r="C160" s="69"/>
      <c r="D160" s="37"/>
      <c r="E160" s="59"/>
      <c r="F160" s="81"/>
      <c r="G160" s="70" t="s">
        <v>258</v>
      </c>
      <c r="H160" s="82" t="s">
        <v>86</v>
      </c>
      <c r="I160" s="83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</row>
    <row r="161" ht="12.75" customHeight="1">
      <c r="A161" s="80"/>
      <c r="B161" s="69" t="s">
        <v>46</v>
      </c>
      <c r="C161" s="69"/>
      <c r="D161" s="37"/>
      <c r="E161" s="59"/>
      <c r="F161" s="81"/>
      <c r="G161" s="70" t="s">
        <v>259</v>
      </c>
      <c r="H161" s="82" t="s">
        <v>186</v>
      </c>
      <c r="I161" s="83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</row>
    <row r="162" ht="12.75" customHeight="1">
      <c r="A162" s="80"/>
      <c r="B162" s="69" t="s">
        <v>46</v>
      </c>
      <c r="C162" s="69"/>
      <c r="D162" s="37"/>
      <c r="E162" s="59"/>
      <c r="F162" s="81"/>
      <c r="G162" s="70" t="s">
        <v>260</v>
      </c>
      <c r="H162" s="82" t="s">
        <v>184</v>
      </c>
      <c r="I162" s="83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</row>
    <row r="163" ht="12.75" customHeight="1">
      <c r="A163" s="80"/>
      <c r="B163" s="69" t="s">
        <v>46</v>
      </c>
      <c r="C163" s="69"/>
      <c r="D163" s="37"/>
      <c r="E163" s="59"/>
      <c r="F163" s="81"/>
      <c r="G163" s="70" t="s">
        <v>261</v>
      </c>
      <c r="H163" s="82" t="s">
        <v>262</v>
      </c>
      <c r="I163" s="83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</row>
    <row r="164" ht="12.75" customHeight="1">
      <c r="A164" s="80"/>
      <c r="B164" s="69" t="s">
        <v>46</v>
      </c>
      <c r="C164" s="69"/>
      <c r="D164" s="37"/>
      <c r="E164" s="59"/>
      <c r="F164" s="81"/>
      <c r="G164" s="70" t="s">
        <v>263</v>
      </c>
      <c r="H164" s="82" t="s">
        <v>83</v>
      </c>
      <c r="I164" s="83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</row>
    <row r="165" ht="12.75" customHeight="1">
      <c r="A165" s="80"/>
      <c r="B165" s="69" t="s">
        <v>46</v>
      </c>
      <c r="C165" s="69"/>
      <c r="D165" s="37"/>
      <c r="E165" s="59"/>
      <c r="F165" s="81"/>
      <c r="G165" s="70" t="s">
        <v>264</v>
      </c>
      <c r="H165" s="82" t="s">
        <v>191</v>
      </c>
      <c r="I165" s="83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</row>
    <row r="166" ht="12.75" customHeight="1">
      <c r="A166" s="80"/>
      <c r="B166" s="69" t="s">
        <v>46</v>
      </c>
      <c r="C166" s="69"/>
      <c r="D166" s="37"/>
      <c r="E166" s="59"/>
      <c r="F166" s="81"/>
      <c r="G166" s="70" t="s">
        <v>265</v>
      </c>
      <c r="H166" s="82" t="s">
        <v>266</v>
      </c>
      <c r="I166" s="83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</row>
    <row r="167" ht="12.75" customHeight="1">
      <c r="A167" s="80"/>
      <c r="B167" s="69" t="s">
        <v>46</v>
      </c>
      <c r="C167" s="69"/>
      <c r="D167" s="37"/>
      <c r="E167" s="59"/>
      <c r="F167" s="81"/>
      <c r="G167" s="70" t="s">
        <v>267</v>
      </c>
      <c r="H167" s="82" t="s">
        <v>268</v>
      </c>
      <c r="I167" s="83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</row>
    <row r="168" ht="12.75" customHeight="1">
      <c r="A168" s="80"/>
      <c r="B168" s="69" t="s">
        <v>46</v>
      </c>
      <c r="C168" s="69"/>
      <c r="D168" s="37"/>
      <c r="E168" s="59"/>
      <c r="F168" s="81"/>
      <c r="G168" s="70" t="s">
        <v>269</v>
      </c>
      <c r="H168" s="82" t="s">
        <v>83</v>
      </c>
      <c r="I168" s="83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</row>
    <row r="169" ht="12.75" customHeight="1">
      <c r="A169" s="80"/>
      <c r="B169" s="69" t="s">
        <v>46</v>
      </c>
      <c r="C169" s="69"/>
      <c r="D169" s="37"/>
      <c r="E169" s="59"/>
      <c r="F169" s="81"/>
      <c r="G169" s="70" t="s">
        <v>270</v>
      </c>
      <c r="H169" s="82" t="s">
        <v>271</v>
      </c>
      <c r="I169" s="83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</row>
    <row r="170" ht="12.75" customHeight="1">
      <c r="A170" s="80"/>
      <c r="B170" s="69" t="s">
        <v>46</v>
      </c>
      <c r="C170" s="69"/>
      <c r="D170" s="37"/>
      <c r="E170" s="59"/>
      <c r="F170" s="81"/>
      <c r="G170" s="70" t="s">
        <v>272</v>
      </c>
      <c r="H170" s="82" t="s">
        <v>268</v>
      </c>
      <c r="I170" s="83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</row>
    <row r="171" ht="12.75" customHeight="1">
      <c r="A171" s="80"/>
      <c r="B171" s="69" t="s">
        <v>46</v>
      </c>
      <c r="C171" s="69"/>
      <c r="D171" s="37"/>
      <c r="E171" s="59"/>
      <c r="F171" s="81"/>
      <c r="G171" s="70" t="s">
        <v>273</v>
      </c>
      <c r="H171" s="82" t="s">
        <v>268</v>
      </c>
      <c r="I171" s="83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</row>
    <row r="172" ht="12.75" customHeight="1">
      <c r="A172" s="80"/>
      <c r="B172" s="69" t="s">
        <v>46</v>
      </c>
      <c r="C172" s="69"/>
      <c r="D172" s="37"/>
      <c r="E172" s="59"/>
      <c r="F172" s="81"/>
      <c r="G172" s="70" t="s">
        <v>274</v>
      </c>
      <c r="H172" s="82" t="s">
        <v>195</v>
      </c>
      <c r="I172" s="83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</row>
    <row r="173" ht="12.75" customHeight="1">
      <c r="A173" s="80"/>
      <c r="B173" s="69" t="s">
        <v>46</v>
      </c>
      <c r="C173" s="69"/>
      <c r="D173" s="37"/>
      <c r="E173" s="59"/>
      <c r="F173" s="81"/>
      <c r="G173" s="70" t="s">
        <v>275</v>
      </c>
      <c r="H173" s="71" t="s">
        <v>46</v>
      </c>
      <c r="I173" s="83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</row>
    <row r="174" ht="12.75" customHeight="1">
      <c r="A174" s="80"/>
      <c r="B174" s="69" t="s">
        <v>46</v>
      </c>
      <c r="C174" s="69"/>
      <c r="D174" s="37"/>
      <c r="E174" s="59"/>
      <c r="F174" s="81"/>
      <c r="G174" s="70" t="s">
        <v>276</v>
      </c>
      <c r="H174" s="82" t="s">
        <v>184</v>
      </c>
      <c r="I174" s="83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</row>
    <row r="175" ht="12.75" customHeight="1">
      <c r="A175" s="80"/>
      <c r="B175" s="69" t="s">
        <v>46</v>
      </c>
      <c r="C175" s="69"/>
      <c r="D175" s="37"/>
      <c r="E175" s="59"/>
      <c r="F175" s="81"/>
      <c r="G175" s="70" t="s">
        <v>277</v>
      </c>
      <c r="H175" s="82" t="s">
        <v>262</v>
      </c>
      <c r="I175" s="83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</row>
    <row r="176" ht="12.75" customHeight="1">
      <c r="A176" s="80"/>
      <c r="B176" s="69" t="s">
        <v>46</v>
      </c>
      <c r="C176" s="69"/>
      <c r="D176" s="37"/>
      <c r="E176" s="59"/>
      <c r="F176" s="81"/>
      <c r="G176" s="70" t="s">
        <v>278</v>
      </c>
      <c r="H176" s="82" t="s">
        <v>243</v>
      </c>
      <c r="I176" s="83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</row>
    <row r="177" ht="12.75" customHeight="1">
      <c r="A177" s="80"/>
      <c r="B177" s="69" t="s">
        <v>46</v>
      </c>
      <c r="C177" s="69"/>
      <c r="D177" s="37"/>
      <c r="E177" s="59"/>
      <c r="F177" s="81"/>
      <c r="G177" s="70" t="s">
        <v>279</v>
      </c>
      <c r="H177" s="82" t="s">
        <v>158</v>
      </c>
      <c r="I177" s="83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</row>
    <row r="178" ht="12.75" customHeight="1">
      <c r="A178" s="80"/>
      <c r="B178" s="69" t="s">
        <v>46</v>
      </c>
      <c r="C178" s="69"/>
      <c r="D178" s="37"/>
      <c r="E178" s="59"/>
      <c r="F178" s="81"/>
      <c r="G178" s="70" t="s">
        <v>280</v>
      </c>
      <c r="H178" s="82" t="s">
        <v>88</v>
      </c>
      <c r="I178" s="83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</row>
    <row r="179" ht="12.75" customHeight="1">
      <c r="A179" s="80"/>
      <c r="B179" s="69" t="s">
        <v>46</v>
      </c>
      <c r="C179" s="69"/>
      <c r="D179" s="37"/>
      <c r="E179" s="59"/>
      <c r="F179" s="81"/>
      <c r="G179" s="70" t="s">
        <v>281</v>
      </c>
      <c r="H179" s="71" t="s">
        <v>46</v>
      </c>
      <c r="I179" s="83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</row>
    <row r="180" ht="12.75" customHeight="1">
      <c r="A180" s="80"/>
      <c r="B180" s="69" t="s">
        <v>46</v>
      </c>
      <c r="C180" s="69"/>
      <c r="D180" s="37"/>
      <c r="E180" s="59"/>
      <c r="F180" s="81"/>
      <c r="G180" s="70" t="s">
        <v>282</v>
      </c>
      <c r="H180" s="82" t="s">
        <v>67</v>
      </c>
      <c r="I180" s="83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</row>
    <row r="181" ht="12.75" customHeight="1">
      <c r="A181" s="80"/>
      <c r="B181" s="69" t="s">
        <v>46</v>
      </c>
      <c r="C181" s="69"/>
      <c r="D181" s="37"/>
      <c r="E181" s="59"/>
      <c r="F181" s="81"/>
      <c r="G181" s="70" t="s">
        <v>283</v>
      </c>
      <c r="H181" s="82" t="s">
        <v>284</v>
      </c>
      <c r="I181" s="83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</row>
    <row r="182" ht="12.75" customHeight="1">
      <c r="A182" s="80"/>
      <c r="B182" s="69" t="s">
        <v>46</v>
      </c>
      <c r="C182" s="69"/>
      <c r="D182" s="37"/>
      <c r="E182" s="59"/>
      <c r="F182" s="81"/>
      <c r="G182" s="70" t="s">
        <v>285</v>
      </c>
      <c r="H182" s="82" t="s">
        <v>286</v>
      </c>
      <c r="I182" s="83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</row>
    <row r="183" ht="12.75" customHeight="1">
      <c r="A183" s="80"/>
      <c r="B183" s="69" t="s">
        <v>46</v>
      </c>
      <c r="C183" s="69"/>
      <c r="D183" s="37"/>
      <c r="E183" s="59"/>
      <c r="F183" s="81"/>
      <c r="G183" s="70" t="s">
        <v>287</v>
      </c>
      <c r="H183" s="82" t="s">
        <v>142</v>
      </c>
      <c r="I183" s="83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</row>
    <row r="184" ht="12.75" customHeight="1">
      <c r="A184" s="80"/>
      <c r="B184" s="69" t="s">
        <v>46</v>
      </c>
      <c r="C184" s="69"/>
      <c r="D184" s="37"/>
      <c r="E184" s="59"/>
      <c r="F184" s="81"/>
      <c r="G184" s="70" t="s">
        <v>288</v>
      </c>
      <c r="H184" s="71" t="s">
        <v>46</v>
      </c>
      <c r="I184" s="83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</row>
    <row r="185" ht="12.75" customHeight="1">
      <c r="A185" s="80"/>
      <c r="B185" s="69" t="s">
        <v>46</v>
      </c>
      <c r="C185" s="69"/>
      <c r="D185" s="37"/>
      <c r="E185" s="59"/>
      <c r="F185" s="81"/>
      <c r="G185" s="70" t="s">
        <v>289</v>
      </c>
      <c r="H185" s="82" t="s">
        <v>63</v>
      </c>
      <c r="I185" s="83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</row>
    <row r="186" ht="12.75" customHeight="1">
      <c r="A186" s="80"/>
      <c r="B186" s="69" t="s">
        <v>46</v>
      </c>
      <c r="C186" s="69"/>
      <c r="D186" s="37"/>
      <c r="E186" s="59"/>
      <c r="F186" s="81"/>
      <c r="G186" s="70" t="s">
        <v>290</v>
      </c>
      <c r="H186" s="82" t="s">
        <v>291</v>
      </c>
      <c r="I186" s="83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</row>
    <row r="187" ht="12.75" customHeight="1">
      <c r="A187" s="80"/>
      <c r="B187" s="69" t="s">
        <v>46</v>
      </c>
      <c r="C187" s="69"/>
      <c r="D187" s="37"/>
      <c r="E187" s="59"/>
      <c r="F187" s="81"/>
      <c r="G187" s="70" t="s">
        <v>292</v>
      </c>
      <c r="H187" s="82" t="s">
        <v>150</v>
      </c>
      <c r="I187" s="83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</row>
    <row r="188" ht="12.75" customHeight="1">
      <c r="A188" s="80"/>
      <c r="B188" s="69" t="s">
        <v>46</v>
      </c>
      <c r="C188" s="69"/>
      <c r="D188" s="37"/>
      <c r="E188" s="59"/>
      <c r="F188" s="81"/>
      <c r="G188" s="70" t="s">
        <v>293</v>
      </c>
      <c r="H188" s="82" t="s">
        <v>294</v>
      </c>
      <c r="I188" s="83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</row>
    <row r="189" ht="12.75" customHeight="1">
      <c r="A189" s="80"/>
      <c r="B189" s="69" t="s">
        <v>46</v>
      </c>
      <c r="C189" s="69"/>
      <c r="D189" s="37"/>
      <c r="E189" s="59"/>
      <c r="F189" s="81"/>
      <c r="G189" s="70" t="s">
        <v>295</v>
      </c>
      <c r="H189" s="82" t="s">
        <v>296</v>
      </c>
      <c r="I189" s="83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</row>
    <row r="190" ht="12.75" customHeight="1">
      <c r="A190" s="80"/>
      <c r="B190" s="69" t="s">
        <v>46</v>
      </c>
      <c r="C190" s="69"/>
      <c r="D190" s="37"/>
      <c r="E190" s="59"/>
      <c r="F190" s="81"/>
      <c r="G190" s="70" t="s">
        <v>297</v>
      </c>
      <c r="H190" s="82" t="s">
        <v>298</v>
      </c>
      <c r="I190" s="83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</row>
    <row r="191" ht="12.75" customHeight="1">
      <c r="A191" s="80"/>
      <c r="B191" s="69" t="s">
        <v>46</v>
      </c>
      <c r="C191" s="69"/>
      <c r="D191" s="37"/>
      <c r="E191" s="59"/>
      <c r="F191" s="81"/>
      <c r="G191" s="70" t="s">
        <v>299</v>
      </c>
      <c r="H191" s="82" t="s">
        <v>232</v>
      </c>
      <c r="I191" s="83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</row>
    <row r="192" ht="12.75" customHeight="1">
      <c r="A192" s="80"/>
      <c r="B192" s="69" t="s">
        <v>46</v>
      </c>
      <c r="C192" s="69"/>
      <c r="D192" s="37"/>
      <c r="E192" s="59"/>
      <c r="F192" s="81"/>
      <c r="G192" s="70" t="s">
        <v>300</v>
      </c>
      <c r="H192" s="82" t="s">
        <v>301</v>
      </c>
      <c r="I192" s="83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</row>
    <row r="193" ht="12.75" customHeight="1">
      <c r="A193" s="80"/>
      <c r="B193" s="69" t="s">
        <v>46</v>
      </c>
      <c r="C193" s="69"/>
      <c r="D193" s="37"/>
      <c r="E193" s="59"/>
      <c r="F193" s="81"/>
      <c r="G193" s="70" t="s">
        <v>302</v>
      </c>
      <c r="H193" s="82" t="s">
        <v>303</v>
      </c>
      <c r="I193" s="83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</row>
    <row r="194" ht="12.75" customHeight="1">
      <c r="A194" s="80"/>
      <c r="B194" s="69" t="s">
        <v>46</v>
      </c>
      <c r="C194" s="69"/>
      <c r="D194" s="37"/>
      <c r="E194" s="59"/>
      <c r="F194" s="81"/>
      <c r="G194" s="70" t="s">
        <v>304</v>
      </c>
      <c r="H194" s="82" t="s">
        <v>305</v>
      </c>
      <c r="I194" s="83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</row>
    <row r="195" ht="12.75" customHeight="1">
      <c r="A195" s="80"/>
      <c r="B195" s="69" t="s">
        <v>46</v>
      </c>
      <c r="C195" s="69"/>
      <c r="D195" s="37"/>
      <c r="E195" s="59"/>
      <c r="F195" s="81"/>
      <c r="G195" s="70" t="s">
        <v>306</v>
      </c>
      <c r="H195" s="82" t="s">
        <v>307</v>
      </c>
      <c r="I195" s="83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</row>
    <row r="196" ht="12.75" customHeight="1">
      <c r="A196" s="80"/>
      <c r="B196" s="69" t="s">
        <v>46</v>
      </c>
      <c r="C196" s="69"/>
      <c r="D196" s="37"/>
      <c r="E196" s="59"/>
      <c r="F196" s="81"/>
      <c r="G196" s="70" t="s">
        <v>308</v>
      </c>
      <c r="H196" s="82" t="s">
        <v>195</v>
      </c>
      <c r="I196" s="83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</row>
    <row r="197" ht="12.75" customHeight="1">
      <c r="A197" s="80"/>
      <c r="B197" s="69" t="s">
        <v>46</v>
      </c>
      <c r="C197" s="69"/>
      <c r="D197" s="37"/>
      <c r="E197" s="59"/>
      <c r="F197" s="81"/>
      <c r="G197" s="70" t="s">
        <v>309</v>
      </c>
      <c r="H197" s="82" t="s">
        <v>243</v>
      </c>
      <c r="I197" s="83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</row>
    <row r="198" ht="12.75" customHeight="1">
      <c r="A198" s="80"/>
      <c r="B198" s="69" t="s">
        <v>46</v>
      </c>
      <c r="C198" s="69"/>
      <c r="D198" s="37"/>
      <c r="E198" s="59"/>
      <c r="F198" s="81"/>
      <c r="G198" s="70" t="s">
        <v>310</v>
      </c>
      <c r="H198" s="82" t="s">
        <v>67</v>
      </c>
      <c r="I198" s="83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</row>
    <row r="199" ht="12.75" customHeight="1">
      <c r="A199" s="80"/>
      <c r="B199" s="69" t="s">
        <v>46</v>
      </c>
      <c r="C199" s="69"/>
      <c r="D199" s="37"/>
      <c r="E199" s="59"/>
      <c r="F199" s="81"/>
      <c r="G199" s="70" t="s">
        <v>311</v>
      </c>
      <c r="H199" s="82" t="s">
        <v>312</v>
      </c>
      <c r="I199" s="83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</row>
    <row r="200" ht="12.75" customHeight="1">
      <c r="A200" s="80"/>
      <c r="B200" s="69" t="s">
        <v>46</v>
      </c>
      <c r="C200" s="69"/>
      <c r="D200" s="37"/>
      <c r="E200" s="59"/>
      <c r="F200" s="81"/>
      <c r="G200" s="70" t="s">
        <v>313</v>
      </c>
      <c r="H200" s="82" t="s">
        <v>216</v>
      </c>
      <c r="I200" s="83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</row>
    <row r="201" ht="12.75" customHeight="1">
      <c r="A201" s="80"/>
      <c r="B201" s="69" t="s">
        <v>46</v>
      </c>
      <c r="C201" s="69"/>
      <c r="D201" s="37"/>
      <c r="E201" s="59"/>
      <c r="F201" s="81"/>
      <c r="G201" s="70" t="s">
        <v>314</v>
      </c>
      <c r="H201" s="82" t="s">
        <v>113</v>
      </c>
      <c r="I201" s="83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</row>
    <row r="202" ht="12.75" customHeight="1">
      <c r="A202" s="80"/>
      <c r="B202" s="69" t="s">
        <v>46</v>
      </c>
      <c r="C202" s="69"/>
      <c r="D202" s="37"/>
      <c r="E202" s="59"/>
      <c r="F202" s="81"/>
      <c r="G202" s="70" t="s">
        <v>315</v>
      </c>
      <c r="H202" s="71" t="s">
        <v>46</v>
      </c>
      <c r="I202" s="83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</row>
    <row r="203" ht="12.75" customHeight="1">
      <c r="A203" s="80"/>
      <c r="B203" s="69" t="s">
        <v>46</v>
      </c>
      <c r="C203" s="69"/>
      <c r="D203" s="37"/>
      <c r="E203" s="59"/>
      <c r="F203" s="81"/>
      <c r="G203" s="70" t="s">
        <v>316</v>
      </c>
      <c r="H203" s="82" t="s">
        <v>243</v>
      </c>
      <c r="I203" s="83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</row>
    <row r="204" ht="12.75" customHeight="1">
      <c r="A204" s="80"/>
      <c r="B204" s="69" t="s">
        <v>46</v>
      </c>
      <c r="C204" s="69"/>
      <c r="D204" s="37"/>
      <c r="E204" s="59"/>
      <c r="F204" s="81"/>
      <c r="G204" s="70" t="s">
        <v>317</v>
      </c>
      <c r="H204" s="71" t="s">
        <v>46</v>
      </c>
      <c r="I204" s="83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</row>
    <row r="205" ht="12.75" customHeight="1">
      <c r="A205" s="80"/>
      <c r="B205" s="69" t="s">
        <v>46</v>
      </c>
      <c r="C205" s="69"/>
      <c r="D205" s="37"/>
      <c r="E205" s="59"/>
      <c r="F205" s="81"/>
      <c r="G205" s="70" t="s">
        <v>318</v>
      </c>
      <c r="H205" s="82" t="s">
        <v>303</v>
      </c>
      <c r="I205" s="83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</row>
    <row r="206" ht="12.75" customHeight="1">
      <c r="A206" s="80"/>
      <c r="B206" s="69" t="s">
        <v>46</v>
      </c>
      <c r="C206" s="69"/>
      <c r="D206" s="37"/>
      <c r="E206" s="59"/>
      <c r="F206" s="81"/>
      <c r="G206" s="70" t="s">
        <v>319</v>
      </c>
      <c r="H206" s="71" t="s">
        <v>46</v>
      </c>
      <c r="I206" s="83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</row>
    <row r="207" ht="12.75" customHeight="1">
      <c r="A207" s="80"/>
      <c r="B207" s="69" t="s">
        <v>46</v>
      </c>
      <c r="C207" s="69"/>
      <c r="D207" s="37"/>
      <c r="E207" s="59"/>
      <c r="F207" s="81"/>
      <c r="G207" s="70" t="s">
        <v>320</v>
      </c>
      <c r="H207" s="82" t="s">
        <v>321</v>
      </c>
      <c r="I207" s="83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</row>
    <row r="208" ht="12.75" customHeight="1">
      <c r="A208" s="80"/>
      <c r="B208" s="69" t="s">
        <v>46</v>
      </c>
      <c r="C208" s="69"/>
      <c r="D208" s="37"/>
      <c r="E208" s="59"/>
      <c r="F208" s="81"/>
      <c r="G208" s="70" t="s">
        <v>322</v>
      </c>
      <c r="H208" s="82" t="s">
        <v>232</v>
      </c>
      <c r="I208" s="83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</row>
    <row r="209" ht="12.75" customHeight="1">
      <c r="A209" s="80"/>
      <c r="B209" s="69" t="s">
        <v>46</v>
      </c>
      <c r="C209" s="69"/>
      <c r="D209" s="37"/>
      <c r="E209" s="59"/>
      <c r="F209" s="81"/>
      <c r="G209" s="70" t="s">
        <v>323</v>
      </c>
      <c r="H209" s="82" t="s">
        <v>113</v>
      </c>
      <c r="I209" s="83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</row>
    <row r="210" ht="12.75" customHeight="1">
      <c r="A210" s="80"/>
      <c r="B210" s="69" t="s">
        <v>46</v>
      </c>
      <c r="C210" s="69"/>
      <c r="D210" s="37"/>
      <c r="E210" s="59"/>
      <c r="F210" s="81"/>
      <c r="G210" s="70" t="s">
        <v>324</v>
      </c>
      <c r="H210" s="82" t="s">
        <v>325</v>
      </c>
      <c r="I210" s="83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</row>
    <row r="211" ht="12.75" customHeight="1">
      <c r="A211" s="80"/>
      <c r="B211" s="69" t="s">
        <v>46</v>
      </c>
      <c r="C211" s="69"/>
      <c r="D211" s="37"/>
      <c r="E211" s="59"/>
      <c r="F211" s="81"/>
      <c r="G211" s="70" t="s">
        <v>326</v>
      </c>
      <c r="H211" s="82" t="s">
        <v>286</v>
      </c>
      <c r="I211" s="83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</row>
    <row r="212" ht="12.75" customHeight="1">
      <c r="A212" s="80"/>
      <c r="B212" s="69" t="s">
        <v>46</v>
      </c>
      <c r="C212" s="69"/>
      <c r="D212" s="37"/>
      <c r="E212" s="59"/>
      <c r="F212" s="81"/>
      <c r="G212" s="70" t="s">
        <v>327</v>
      </c>
      <c r="H212" s="82" t="s">
        <v>328</v>
      </c>
      <c r="I212" s="83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</row>
    <row r="213" ht="12.75" customHeight="1">
      <c r="A213" s="80"/>
      <c r="B213" s="69" t="s">
        <v>46</v>
      </c>
      <c r="C213" s="69"/>
      <c r="D213" s="37"/>
      <c r="E213" s="59"/>
      <c r="F213" s="81"/>
      <c r="G213" s="70" t="s">
        <v>329</v>
      </c>
      <c r="H213" s="82" t="s">
        <v>247</v>
      </c>
      <c r="I213" s="83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</row>
    <row r="214" ht="12.75" customHeight="1">
      <c r="A214" s="80"/>
      <c r="B214" s="69" t="s">
        <v>46</v>
      </c>
      <c r="C214" s="69"/>
      <c r="D214" s="37"/>
      <c r="E214" s="59"/>
      <c r="F214" s="81"/>
      <c r="G214" s="70" t="s">
        <v>330</v>
      </c>
      <c r="H214" s="82" t="s">
        <v>195</v>
      </c>
      <c r="I214" s="83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</row>
    <row r="215" ht="12.75" customHeight="1">
      <c r="A215" s="80"/>
      <c r="B215" s="69" t="s">
        <v>46</v>
      </c>
      <c r="C215" s="69"/>
      <c r="D215" s="37"/>
      <c r="E215" s="59"/>
      <c r="F215" s="81"/>
      <c r="G215" s="70" t="s">
        <v>331</v>
      </c>
      <c r="H215" s="82" t="s">
        <v>63</v>
      </c>
      <c r="I215" s="83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</row>
    <row r="216" ht="12.75" customHeight="1">
      <c r="A216" s="80"/>
      <c r="B216" s="69" t="s">
        <v>46</v>
      </c>
      <c r="C216" s="69"/>
      <c r="D216" s="37"/>
      <c r="E216" s="59"/>
      <c r="F216" s="81"/>
      <c r="G216" s="70" t="s">
        <v>332</v>
      </c>
      <c r="H216" s="82" t="s">
        <v>67</v>
      </c>
      <c r="I216" s="83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</row>
    <row r="217" ht="12.75" customHeight="1">
      <c r="A217" s="80"/>
      <c r="B217" s="69" t="s">
        <v>46</v>
      </c>
      <c r="C217" s="69"/>
      <c r="D217" s="37"/>
      <c r="E217" s="59"/>
      <c r="F217" s="81"/>
      <c r="G217" s="70" t="s">
        <v>333</v>
      </c>
      <c r="H217" s="82" t="s">
        <v>284</v>
      </c>
      <c r="I217" s="83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</row>
    <row r="218" ht="12.75" customHeight="1">
      <c r="A218" s="80"/>
      <c r="B218" s="69" t="s">
        <v>46</v>
      </c>
      <c r="C218" s="69"/>
      <c r="D218" s="37"/>
      <c r="E218" s="59"/>
      <c r="F218" s="81"/>
      <c r="G218" s="70" t="s">
        <v>334</v>
      </c>
      <c r="H218" s="82" t="s">
        <v>286</v>
      </c>
      <c r="I218" s="83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</row>
    <row r="219" ht="12.75" customHeight="1">
      <c r="A219" s="80"/>
      <c r="B219" s="69" t="s">
        <v>46</v>
      </c>
      <c r="C219" s="69"/>
      <c r="D219" s="37"/>
      <c r="E219" s="59"/>
      <c r="F219" s="81"/>
      <c r="G219" s="70" t="s">
        <v>335</v>
      </c>
      <c r="H219" s="82" t="s">
        <v>177</v>
      </c>
      <c r="I219" s="83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</row>
    <row r="220" ht="12.75" customHeight="1">
      <c r="A220" s="80"/>
      <c r="B220" s="69" t="s">
        <v>46</v>
      </c>
      <c r="C220" s="69"/>
      <c r="D220" s="37"/>
      <c r="E220" s="59"/>
      <c r="F220" s="81"/>
      <c r="G220" s="70" t="s">
        <v>336</v>
      </c>
      <c r="H220" s="71" t="s">
        <v>46</v>
      </c>
      <c r="I220" s="83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</row>
    <row r="221" ht="12.75" customHeight="1">
      <c r="A221" s="80"/>
      <c r="B221" s="69" t="s">
        <v>46</v>
      </c>
      <c r="C221" s="69"/>
      <c r="D221" s="37"/>
      <c r="E221" s="59"/>
      <c r="F221" s="81"/>
      <c r="G221" s="70" t="s">
        <v>337</v>
      </c>
      <c r="H221" s="82" t="s">
        <v>338</v>
      </c>
      <c r="I221" s="83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</row>
    <row r="222" ht="12.75" customHeight="1">
      <c r="A222" s="80"/>
      <c r="B222" s="69" t="s">
        <v>46</v>
      </c>
      <c r="C222" s="69"/>
      <c r="D222" s="37"/>
      <c r="E222" s="59"/>
      <c r="F222" s="81"/>
      <c r="G222" s="70" t="s">
        <v>339</v>
      </c>
      <c r="H222" s="82" t="s">
        <v>184</v>
      </c>
      <c r="I222" s="83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</row>
    <row r="223" ht="12.75" customHeight="1">
      <c r="A223" s="80"/>
      <c r="B223" s="69" t="s">
        <v>46</v>
      </c>
      <c r="C223" s="69"/>
      <c r="D223" s="37"/>
      <c r="E223" s="59"/>
      <c r="F223" s="81"/>
      <c r="G223" s="70" t="s">
        <v>340</v>
      </c>
      <c r="H223" s="82" t="s">
        <v>186</v>
      </c>
      <c r="I223" s="83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</row>
    <row r="224" ht="12.75" customHeight="1">
      <c r="A224" s="80"/>
      <c r="B224" s="69" t="s">
        <v>46</v>
      </c>
      <c r="C224" s="69"/>
      <c r="D224" s="37"/>
      <c r="E224" s="59"/>
      <c r="F224" s="81"/>
      <c r="G224" s="70" t="s">
        <v>341</v>
      </c>
      <c r="H224" s="82" t="s">
        <v>342</v>
      </c>
      <c r="I224" s="83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</row>
    <row r="225" ht="12.75" customHeight="1">
      <c r="A225" s="80"/>
      <c r="B225" s="69" t="s">
        <v>46</v>
      </c>
      <c r="C225" s="69"/>
      <c r="D225" s="37"/>
      <c r="E225" s="59"/>
      <c r="F225" s="81"/>
      <c r="G225" s="70" t="s">
        <v>343</v>
      </c>
      <c r="H225" s="82" t="s">
        <v>150</v>
      </c>
      <c r="I225" s="83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</row>
    <row r="226" ht="12.75" customHeight="1">
      <c r="A226" s="80"/>
      <c r="B226" s="69" t="s">
        <v>46</v>
      </c>
      <c r="C226" s="69"/>
      <c r="D226" s="37"/>
      <c r="E226" s="59"/>
      <c r="F226" s="81"/>
      <c r="G226" s="70" t="s">
        <v>344</v>
      </c>
      <c r="H226" s="82" t="s">
        <v>345</v>
      </c>
      <c r="I226" s="83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</row>
    <row r="227" ht="12.75" customHeight="1">
      <c r="A227" s="80"/>
      <c r="B227" s="69" t="s">
        <v>46</v>
      </c>
      <c r="C227" s="69"/>
      <c r="D227" s="37"/>
      <c r="E227" s="59"/>
      <c r="F227" s="81"/>
      <c r="G227" s="70" t="s">
        <v>346</v>
      </c>
      <c r="H227" s="82" t="s">
        <v>42</v>
      </c>
      <c r="I227" s="83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</row>
    <row r="228" ht="12.75" customHeight="1">
      <c r="A228" s="80"/>
      <c r="B228" s="69" t="s">
        <v>46</v>
      </c>
      <c r="C228" s="69"/>
      <c r="D228" s="37"/>
      <c r="E228" s="59"/>
      <c r="F228" s="81"/>
      <c r="G228" s="70" t="s">
        <v>347</v>
      </c>
      <c r="H228" s="82" t="s">
        <v>348</v>
      </c>
      <c r="I228" s="83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</row>
    <row r="229" ht="12.75" customHeight="1">
      <c r="A229" s="80"/>
      <c r="B229" s="69" t="s">
        <v>46</v>
      </c>
      <c r="C229" s="69"/>
      <c r="D229" s="37"/>
      <c r="E229" s="59"/>
      <c r="F229" s="81"/>
      <c r="G229" s="70" t="s">
        <v>349</v>
      </c>
      <c r="H229" s="82" t="s">
        <v>350</v>
      </c>
      <c r="I229" s="83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</row>
    <row r="230" ht="12.75" customHeight="1">
      <c r="A230" s="80"/>
      <c r="B230" s="69" t="s">
        <v>46</v>
      </c>
      <c r="C230" s="69"/>
      <c r="D230" s="37"/>
      <c r="E230" s="59"/>
      <c r="F230" s="81"/>
      <c r="G230" s="70" t="s">
        <v>351</v>
      </c>
      <c r="H230" s="82" t="s">
        <v>245</v>
      </c>
      <c r="I230" s="83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</row>
    <row r="231" ht="12.75" customHeight="1">
      <c r="A231" s="80"/>
      <c r="B231" s="69" t="s">
        <v>46</v>
      </c>
      <c r="C231" s="69"/>
      <c r="D231" s="37"/>
      <c r="E231" s="59"/>
      <c r="F231" s="81"/>
      <c r="G231" s="70" t="s">
        <v>352</v>
      </c>
      <c r="H231" s="82" t="s">
        <v>353</v>
      </c>
      <c r="I231" s="83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</row>
    <row r="232" ht="12.75" customHeight="1">
      <c r="A232" s="80"/>
      <c r="B232" s="69" t="s">
        <v>46</v>
      </c>
      <c r="C232" s="69"/>
      <c r="D232" s="37"/>
      <c r="E232" s="59"/>
      <c r="F232" s="81"/>
      <c r="G232" s="70" t="s">
        <v>354</v>
      </c>
      <c r="H232" s="82" t="s">
        <v>345</v>
      </c>
      <c r="I232" s="83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</row>
    <row r="233" ht="12.75" customHeight="1">
      <c r="A233" s="80"/>
      <c r="B233" s="69" t="s">
        <v>46</v>
      </c>
      <c r="C233" s="69"/>
      <c r="D233" s="37"/>
      <c r="E233" s="59"/>
      <c r="F233" s="81"/>
      <c r="G233" s="70" t="s">
        <v>355</v>
      </c>
      <c r="H233" s="82" t="s">
        <v>42</v>
      </c>
      <c r="I233" s="83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</row>
    <row r="234" ht="12.75" customHeight="1">
      <c r="A234" s="80"/>
      <c r="B234" s="69" t="s">
        <v>46</v>
      </c>
      <c r="C234" s="69"/>
      <c r="D234" s="37"/>
      <c r="E234" s="59"/>
      <c r="F234" s="81"/>
      <c r="G234" s="70" t="s">
        <v>356</v>
      </c>
      <c r="H234" s="82" t="s">
        <v>298</v>
      </c>
      <c r="I234" s="83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</row>
    <row r="235" ht="12.75" customHeight="1">
      <c r="A235" s="80"/>
      <c r="B235" s="69" t="s">
        <v>46</v>
      </c>
      <c r="C235" s="69"/>
      <c r="D235" s="37"/>
      <c r="E235" s="59"/>
      <c r="F235" s="81"/>
      <c r="G235" s="70" t="s">
        <v>357</v>
      </c>
      <c r="H235" s="82" t="s">
        <v>247</v>
      </c>
      <c r="I235" s="83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</row>
    <row r="236" ht="12.75" customHeight="1">
      <c r="A236" s="80"/>
      <c r="B236" s="69" t="s">
        <v>46</v>
      </c>
      <c r="C236" s="69"/>
      <c r="D236" s="37"/>
      <c r="E236" s="59"/>
      <c r="F236" s="81"/>
      <c r="G236" s="70" t="s">
        <v>358</v>
      </c>
      <c r="H236" s="82" t="s">
        <v>359</v>
      </c>
      <c r="I236" s="83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</row>
    <row r="237" ht="12.75" customHeight="1">
      <c r="A237" s="80"/>
      <c r="B237" s="69" t="s">
        <v>46</v>
      </c>
      <c r="C237" s="69"/>
      <c r="D237" s="37"/>
      <c r="E237" s="59"/>
      <c r="F237" s="81"/>
      <c r="G237" s="70" t="s">
        <v>360</v>
      </c>
      <c r="H237" s="82" t="s">
        <v>88</v>
      </c>
      <c r="I237" s="83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</row>
    <row r="238" ht="12.75" customHeight="1">
      <c r="A238" s="80"/>
      <c r="B238" s="69" t="s">
        <v>46</v>
      </c>
      <c r="C238" s="69"/>
      <c r="D238" s="37"/>
      <c r="E238" s="59"/>
      <c r="F238" s="81"/>
      <c r="G238" s="70" t="s">
        <v>361</v>
      </c>
      <c r="H238" s="82" t="s">
        <v>147</v>
      </c>
      <c r="I238" s="83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</row>
    <row r="239" ht="12.75" customHeight="1">
      <c r="A239" s="80"/>
      <c r="B239" s="69" t="s">
        <v>46</v>
      </c>
      <c r="C239" s="69"/>
      <c r="D239" s="37"/>
      <c r="E239" s="59"/>
      <c r="F239" s="81"/>
      <c r="G239" s="70" t="s">
        <v>362</v>
      </c>
      <c r="H239" s="82" t="s">
        <v>363</v>
      </c>
      <c r="I239" s="83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</row>
    <row r="240" ht="12.75" customHeight="1">
      <c r="A240" s="80"/>
      <c r="B240" s="69" t="s">
        <v>46</v>
      </c>
      <c r="C240" s="69"/>
      <c r="D240" s="37"/>
      <c r="E240" s="59"/>
      <c r="F240" s="81"/>
      <c r="G240" s="70" t="s">
        <v>364</v>
      </c>
      <c r="H240" s="82" t="s">
        <v>181</v>
      </c>
      <c r="I240" s="83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</row>
    <row r="241" ht="12.75" customHeight="1">
      <c r="A241" s="80"/>
      <c r="B241" s="69" t="s">
        <v>46</v>
      </c>
      <c r="C241" s="69"/>
      <c r="D241" s="37"/>
      <c r="E241" s="59"/>
      <c r="F241" s="81"/>
      <c r="G241" s="70" t="s">
        <v>365</v>
      </c>
      <c r="H241" s="82" t="s">
        <v>158</v>
      </c>
      <c r="I241" s="83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</row>
    <row r="242" ht="12.75" customHeight="1">
      <c r="A242" s="80"/>
      <c r="B242" s="69" t="s">
        <v>46</v>
      </c>
      <c r="C242" s="69"/>
      <c r="D242" s="37"/>
      <c r="E242" s="59"/>
      <c r="F242" s="81"/>
      <c r="G242" s="70" t="s">
        <v>366</v>
      </c>
      <c r="H242" s="82" t="s">
        <v>249</v>
      </c>
      <c r="I242" s="83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</row>
    <row r="243" ht="12.75" customHeight="1">
      <c r="A243" s="80"/>
      <c r="B243" s="69" t="s">
        <v>46</v>
      </c>
      <c r="C243" s="69"/>
      <c r="D243" s="37"/>
      <c r="E243" s="59"/>
      <c r="F243" s="81"/>
      <c r="G243" s="70" t="s">
        <v>367</v>
      </c>
      <c r="H243" s="82" t="s">
        <v>63</v>
      </c>
      <c r="I243" s="83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</row>
    <row r="244" ht="12.75" customHeight="1">
      <c r="A244" s="80"/>
      <c r="B244" s="69" t="s">
        <v>46</v>
      </c>
      <c r="C244" s="69"/>
      <c r="D244" s="37"/>
      <c r="E244" s="59"/>
      <c r="F244" s="81"/>
      <c r="G244" s="70" t="s">
        <v>368</v>
      </c>
      <c r="H244" s="71" t="s">
        <v>46</v>
      </c>
      <c r="I244" s="83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</row>
    <row r="245" ht="12.75" customHeight="1">
      <c r="A245" s="80"/>
      <c r="B245" s="69" t="s">
        <v>46</v>
      </c>
      <c r="C245" s="69"/>
      <c r="D245" s="37"/>
      <c r="E245" s="59"/>
      <c r="F245" s="81"/>
      <c r="G245" s="70" t="s">
        <v>369</v>
      </c>
      <c r="H245" s="71" t="s">
        <v>46</v>
      </c>
      <c r="I245" s="83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</row>
    <row r="246" ht="12.75" customHeight="1">
      <c r="A246" s="80"/>
      <c r="B246" s="69" t="s">
        <v>46</v>
      </c>
      <c r="C246" s="69"/>
      <c r="D246" s="37"/>
      <c r="E246" s="59"/>
      <c r="F246" s="81"/>
      <c r="G246" s="70" t="s">
        <v>370</v>
      </c>
      <c r="H246" s="82" t="s">
        <v>63</v>
      </c>
      <c r="I246" s="83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</row>
    <row r="247" ht="12.75" customHeight="1">
      <c r="A247" s="80"/>
      <c r="B247" s="69" t="s">
        <v>46</v>
      </c>
      <c r="C247" s="69"/>
      <c r="D247" s="37"/>
      <c r="E247" s="59"/>
      <c r="F247" s="81"/>
      <c r="G247" s="70" t="s">
        <v>371</v>
      </c>
      <c r="H247" s="82" t="s">
        <v>243</v>
      </c>
      <c r="I247" s="83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</row>
    <row r="248" ht="12.75" customHeight="1">
      <c r="A248" s="80"/>
      <c r="B248" s="69" t="s">
        <v>46</v>
      </c>
      <c r="C248" s="69"/>
      <c r="D248" s="37"/>
      <c r="E248" s="59"/>
      <c r="F248" s="81"/>
      <c r="G248" s="70" t="s">
        <v>372</v>
      </c>
      <c r="H248" s="82" t="s">
        <v>262</v>
      </c>
      <c r="I248" s="83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</row>
    <row r="249" ht="12.75" customHeight="1">
      <c r="A249" s="80"/>
      <c r="B249" s="69" t="s">
        <v>46</v>
      </c>
      <c r="C249" s="69"/>
      <c r="D249" s="37"/>
      <c r="E249" s="59"/>
      <c r="F249" s="81"/>
      <c r="G249" s="70" t="s">
        <v>373</v>
      </c>
      <c r="H249" s="82" t="s">
        <v>61</v>
      </c>
      <c r="I249" s="83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</row>
    <row r="250" ht="12.75" customHeight="1">
      <c r="A250" s="80"/>
      <c r="B250" s="69" t="s">
        <v>46</v>
      </c>
      <c r="C250" s="69"/>
      <c r="D250" s="37"/>
      <c r="E250" s="59"/>
      <c r="F250" s="81"/>
      <c r="G250" s="70" t="s">
        <v>374</v>
      </c>
      <c r="H250" s="82" t="s">
        <v>298</v>
      </c>
      <c r="I250" s="83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</row>
    <row r="251" ht="12.75" customHeight="1">
      <c r="A251" s="80"/>
      <c r="B251" s="69" t="s">
        <v>46</v>
      </c>
      <c r="C251" s="69"/>
      <c r="D251" s="37"/>
      <c r="E251" s="59"/>
      <c r="F251" s="81"/>
      <c r="G251" s="70" t="s">
        <v>375</v>
      </c>
      <c r="H251" s="82" t="s">
        <v>61</v>
      </c>
      <c r="I251" s="83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</row>
    <row r="252" ht="12.75" customHeight="1">
      <c r="A252" s="80"/>
      <c r="B252" s="69" t="s">
        <v>46</v>
      </c>
      <c r="C252" s="69"/>
      <c r="D252" s="37"/>
      <c r="E252" s="59"/>
      <c r="F252" s="81"/>
      <c r="G252" s="70" t="s">
        <v>376</v>
      </c>
      <c r="H252" s="82" t="s">
        <v>377</v>
      </c>
      <c r="I252" s="83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</row>
    <row r="253" ht="12.75" customHeight="1">
      <c r="A253" s="80"/>
      <c r="B253" s="69" t="s">
        <v>46</v>
      </c>
      <c r="C253" s="69"/>
      <c r="D253" s="37"/>
      <c r="E253" s="59"/>
      <c r="F253" s="81"/>
      <c r="G253" s="70" t="s">
        <v>378</v>
      </c>
      <c r="H253" s="82" t="s">
        <v>61</v>
      </c>
      <c r="I253" s="83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</row>
    <row r="254" ht="12.75" customHeight="1">
      <c r="A254" s="80"/>
      <c r="B254" s="69" t="s">
        <v>46</v>
      </c>
      <c r="C254" s="69"/>
      <c r="D254" s="37"/>
      <c r="E254" s="59"/>
      <c r="F254" s="81"/>
      <c r="G254" s="70" t="s">
        <v>379</v>
      </c>
      <c r="H254" s="82" t="s">
        <v>305</v>
      </c>
      <c r="I254" s="83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</row>
    <row r="255" ht="12.75" customHeight="1">
      <c r="A255" s="80"/>
      <c r="B255" s="69" t="s">
        <v>46</v>
      </c>
      <c r="C255" s="69"/>
      <c r="D255" s="37"/>
      <c r="E255" s="59"/>
      <c r="F255" s="81"/>
      <c r="G255" s="70" t="s">
        <v>380</v>
      </c>
      <c r="H255" s="82" t="s">
        <v>381</v>
      </c>
      <c r="I255" s="83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</row>
    <row r="256" ht="12.75" customHeight="1">
      <c r="A256" s="80"/>
      <c r="B256" s="69" t="s">
        <v>46</v>
      </c>
      <c r="C256" s="69"/>
      <c r="D256" s="37"/>
      <c r="E256" s="59"/>
      <c r="F256" s="81"/>
      <c r="G256" s="70" t="s">
        <v>382</v>
      </c>
      <c r="H256" s="82" t="s">
        <v>83</v>
      </c>
      <c r="I256" s="83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</row>
    <row r="257" ht="12.75" customHeight="1">
      <c r="A257" s="80"/>
      <c r="B257" s="69" t="s">
        <v>46</v>
      </c>
      <c r="C257" s="69"/>
      <c r="D257" s="37"/>
      <c r="E257" s="59"/>
      <c r="F257" s="81"/>
      <c r="G257" s="70" t="s">
        <v>383</v>
      </c>
      <c r="H257" s="82" t="s">
        <v>160</v>
      </c>
      <c r="I257" s="83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</row>
    <row r="258" ht="12.75" customHeight="1">
      <c r="A258" s="80"/>
      <c r="B258" s="69" t="s">
        <v>46</v>
      </c>
      <c r="C258" s="69"/>
      <c r="D258" s="37"/>
      <c r="E258" s="59"/>
      <c r="F258" s="81"/>
      <c r="G258" s="70" t="s">
        <v>384</v>
      </c>
      <c r="H258" s="82" t="s">
        <v>268</v>
      </c>
      <c r="I258" s="83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</row>
    <row r="259" ht="12.75" customHeight="1">
      <c r="A259" s="80"/>
      <c r="B259" s="69" t="s">
        <v>46</v>
      </c>
      <c r="C259" s="69"/>
      <c r="D259" s="37"/>
      <c r="E259" s="59"/>
      <c r="F259" s="81"/>
      <c r="G259" s="70" t="s">
        <v>385</v>
      </c>
      <c r="H259" s="82" t="s">
        <v>386</v>
      </c>
      <c r="I259" s="83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</row>
    <row r="260" ht="12.75" customHeight="1">
      <c r="A260" s="80"/>
      <c r="B260" s="69" t="s">
        <v>46</v>
      </c>
      <c r="C260" s="69"/>
      <c r="D260" s="37"/>
      <c r="E260" s="59"/>
      <c r="F260" s="81"/>
      <c r="G260" s="70" t="s">
        <v>387</v>
      </c>
      <c r="H260" s="82" t="s">
        <v>83</v>
      </c>
      <c r="I260" s="83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</row>
    <row r="261" ht="12.75" customHeight="1">
      <c r="A261" s="80"/>
      <c r="B261" s="69" t="s">
        <v>46</v>
      </c>
      <c r="C261" s="69"/>
      <c r="D261" s="37"/>
      <c r="E261" s="59"/>
      <c r="F261" s="81"/>
      <c r="G261" s="70" t="s">
        <v>388</v>
      </c>
      <c r="H261" s="82" t="s">
        <v>123</v>
      </c>
      <c r="I261" s="83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</row>
    <row r="262" ht="12.75" customHeight="1">
      <c r="A262" s="80"/>
      <c r="B262" s="69" t="s">
        <v>46</v>
      </c>
      <c r="C262" s="69"/>
      <c r="D262" s="37"/>
      <c r="E262" s="59"/>
      <c r="F262" s="81"/>
      <c r="G262" s="70" t="s">
        <v>389</v>
      </c>
      <c r="H262" s="82" t="s">
        <v>268</v>
      </c>
      <c r="I262" s="83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</row>
    <row r="263" ht="12.75" customHeight="1">
      <c r="A263" s="80"/>
      <c r="B263" s="69" t="s">
        <v>46</v>
      </c>
      <c r="C263" s="69"/>
      <c r="D263" s="37"/>
      <c r="E263" s="59"/>
      <c r="F263" s="81"/>
      <c r="G263" s="70" t="s">
        <v>390</v>
      </c>
      <c r="H263" s="82" t="s">
        <v>268</v>
      </c>
      <c r="I263" s="83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</row>
    <row r="264" ht="12.75" customHeight="1">
      <c r="A264" s="80"/>
      <c r="B264" s="69" t="s">
        <v>46</v>
      </c>
      <c r="C264" s="69"/>
      <c r="D264" s="37"/>
      <c r="E264" s="59"/>
      <c r="F264" s="81"/>
      <c r="G264" s="70" t="s">
        <v>391</v>
      </c>
      <c r="H264" s="82" t="s">
        <v>79</v>
      </c>
      <c r="I264" s="83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</row>
    <row r="265" ht="12.75" customHeight="1">
      <c r="A265" s="80"/>
      <c r="B265" s="69" t="s">
        <v>46</v>
      </c>
      <c r="C265" s="69"/>
      <c r="D265" s="37"/>
      <c r="E265" s="59"/>
      <c r="F265" s="81"/>
      <c r="G265" s="70" t="s">
        <v>392</v>
      </c>
      <c r="H265" s="82" t="s">
        <v>243</v>
      </c>
      <c r="I265" s="83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</row>
    <row r="266" ht="12.75" customHeight="1">
      <c r="A266" s="80"/>
      <c r="B266" s="69" t="s">
        <v>46</v>
      </c>
      <c r="C266" s="69"/>
      <c r="D266" s="37"/>
      <c r="E266" s="59"/>
      <c r="F266" s="81"/>
      <c r="G266" s="70" t="s">
        <v>393</v>
      </c>
      <c r="H266" s="82" t="s">
        <v>305</v>
      </c>
      <c r="I266" s="83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</row>
    <row r="267" ht="12.75" customHeight="1">
      <c r="A267" s="80"/>
      <c r="B267" s="69" t="s">
        <v>46</v>
      </c>
      <c r="C267" s="69"/>
      <c r="D267" s="37"/>
      <c r="E267" s="59"/>
      <c r="F267" s="81"/>
      <c r="G267" s="70" t="s">
        <v>394</v>
      </c>
      <c r="H267" s="82" t="s">
        <v>321</v>
      </c>
      <c r="I267" s="83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</row>
    <row r="268" ht="12.75" customHeight="1">
      <c r="A268" s="80"/>
      <c r="B268" s="69" t="s">
        <v>46</v>
      </c>
      <c r="C268" s="69"/>
      <c r="D268" s="37"/>
      <c r="E268" s="59"/>
      <c r="F268" s="81"/>
      <c r="G268" s="70" t="s">
        <v>395</v>
      </c>
      <c r="H268" s="82" t="s">
        <v>303</v>
      </c>
      <c r="I268" s="83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</row>
    <row r="269" ht="12.75" customHeight="1">
      <c r="A269" s="80"/>
      <c r="B269" s="69" t="s">
        <v>46</v>
      </c>
      <c r="C269" s="69"/>
      <c r="D269" s="37"/>
      <c r="E269" s="59"/>
      <c r="F269" s="81"/>
      <c r="G269" s="70" t="s">
        <v>396</v>
      </c>
      <c r="H269" s="71" t="s">
        <v>46</v>
      </c>
      <c r="I269" s="83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</row>
    <row r="270" ht="12.75" customHeight="1">
      <c r="A270" s="80"/>
      <c r="B270" s="69" t="s">
        <v>46</v>
      </c>
      <c r="C270" s="69"/>
      <c r="D270" s="37"/>
      <c r="E270" s="59"/>
      <c r="F270" s="81"/>
      <c r="G270" s="70" t="s">
        <v>397</v>
      </c>
      <c r="H270" s="82" t="s">
        <v>239</v>
      </c>
      <c r="I270" s="83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</row>
    <row r="271" ht="12.75" customHeight="1">
      <c r="A271" s="80"/>
      <c r="B271" s="69" t="s">
        <v>46</v>
      </c>
      <c r="C271" s="69"/>
      <c r="D271" s="37"/>
      <c r="E271" s="59"/>
      <c r="F271" s="81"/>
      <c r="G271" s="70" t="s">
        <v>398</v>
      </c>
      <c r="H271" s="82" t="s">
        <v>160</v>
      </c>
      <c r="I271" s="83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</row>
    <row r="272" ht="12.75" customHeight="1">
      <c r="A272" s="80"/>
      <c r="B272" s="69" t="s">
        <v>46</v>
      </c>
      <c r="C272" s="69"/>
      <c r="D272" s="37"/>
      <c r="E272" s="59"/>
      <c r="F272" s="81"/>
      <c r="G272" s="70" t="s">
        <v>399</v>
      </c>
      <c r="H272" s="71" t="s">
        <v>46</v>
      </c>
      <c r="I272" s="83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</row>
    <row r="273" ht="12.75" customHeight="1">
      <c r="A273" s="80"/>
      <c r="B273" s="69" t="s">
        <v>46</v>
      </c>
      <c r="C273" s="69"/>
      <c r="D273" s="37"/>
      <c r="E273" s="59"/>
      <c r="F273" s="81"/>
      <c r="G273" s="70" t="s">
        <v>400</v>
      </c>
      <c r="H273" s="82" t="s">
        <v>243</v>
      </c>
      <c r="I273" s="83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</row>
    <row r="274" ht="12.75" customHeight="1">
      <c r="A274" s="80"/>
      <c r="B274" s="69" t="s">
        <v>46</v>
      </c>
      <c r="C274" s="69"/>
      <c r="D274" s="37"/>
      <c r="E274" s="59"/>
      <c r="F274" s="81"/>
      <c r="G274" s="70" t="s">
        <v>401</v>
      </c>
      <c r="H274" s="82" t="s">
        <v>243</v>
      </c>
      <c r="I274" s="83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</row>
    <row r="275" ht="12.75" customHeight="1">
      <c r="A275" s="80"/>
      <c r="B275" s="69" t="s">
        <v>46</v>
      </c>
      <c r="C275" s="69"/>
      <c r="D275" s="37"/>
      <c r="E275" s="59"/>
      <c r="F275" s="81"/>
      <c r="G275" s="70" t="s">
        <v>402</v>
      </c>
      <c r="H275" s="82" t="s">
        <v>243</v>
      </c>
      <c r="I275" s="83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</row>
    <row r="276" ht="12.75" customHeight="1">
      <c r="A276" s="80"/>
      <c r="B276" s="69" t="s">
        <v>46</v>
      </c>
      <c r="C276" s="69"/>
      <c r="D276" s="37"/>
      <c r="E276" s="59"/>
      <c r="F276" s="81"/>
      <c r="G276" s="70" t="s">
        <v>403</v>
      </c>
      <c r="H276" s="82" t="s">
        <v>404</v>
      </c>
      <c r="I276" s="83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</row>
    <row r="277" ht="12.75" customHeight="1">
      <c r="A277" s="80"/>
      <c r="B277" s="69" t="s">
        <v>46</v>
      </c>
      <c r="C277" s="69"/>
      <c r="D277" s="37"/>
      <c r="E277" s="59"/>
      <c r="F277" s="81"/>
      <c r="G277" s="70" t="s">
        <v>405</v>
      </c>
      <c r="H277" s="82" t="s">
        <v>243</v>
      </c>
      <c r="I277" s="83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</row>
    <row r="278" ht="12.75" customHeight="1">
      <c r="A278" s="80"/>
      <c r="B278" s="69" t="s">
        <v>46</v>
      </c>
      <c r="C278" s="69"/>
      <c r="D278" s="37"/>
      <c r="E278" s="59"/>
      <c r="F278" s="81"/>
      <c r="G278" s="70" t="s">
        <v>406</v>
      </c>
      <c r="H278" s="82" t="s">
        <v>301</v>
      </c>
      <c r="I278" s="83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</row>
    <row r="279" ht="12.75" customHeight="1">
      <c r="A279" s="80"/>
      <c r="B279" s="69" t="s">
        <v>46</v>
      </c>
      <c r="C279" s="69"/>
      <c r="D279" s="37"/>
      <c r="E279" s="59"/>
      <c r="F279" s="81"/>
      <c r="G279" s="70" t="s">
        <v>407</v>
      </c>
      <c r="H279" s="71" t="s">
        <v>46</v>
      </c>
      <c r="I279" s="83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</row>
    <row r="280" ht="12.75" customHeight="1">
      <c r="A280" s="80"/>
      <c r="B280" s="69" t="s">
        <v>46</v>
      </c>
      <c r="C280" s="69"/>
      <c r="D280" s="37"/>
      <c r="E280" s="59"/>
      <c r="F280" s="81"/>
      <c r="G280" s="70" t="s">
        <v>408</v>
      </c>
      <c r="H280" s="82" t="s">
        <v>305</v>
      </c>
      <c r="I280" s="83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</row>
    <row r="281" ht="12.75" customHeight="1">
      <c r="A281" s="80"/>
      <c r="B281" s="69" t="s">
        <v>46</v>
      </c>
      <c r="C281" s="69"/>
      <c r="D281" s="37"/>
      <c r="E281" s="59"/>
      <c r="F281" s="81"/>
      <c r="G281" s="70" t="s">
        <v>409</v>
      </c>
      <c r="H281" s="82" t="s">
        <v>113</v>
      </c>
      <c r="I281" s="83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</row>
    <row r="282" ht="12.75" customHeight="1">
      <c r="A282" s="80"/>
      <c r="B282" s="69" t="s">
        <v>46</v>
      </c>
      <c r="C282" s="69"/>
      <c r="D282" s="37"/>
      <c r="E282" s="59"/>
      <c r="F282" s="81"/>
      <c r="G282" s="70" t="s">
        <v>410</v>
      </c>
      <c r="H282" s="82" t="s">
        <v>83</v>
      </c>
      <c r="I282" s="83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</row>
    <row r="283" ht="12.75" customHeight="1">
      <c r="A283" s="80"/>
      <c r="B283" s="69" t="s">
        <v>46</v>
      </c>
      <c r="C283" s="69"/>
      <c r="D283" s="37"/>
      <c r="E283" s="59"/>
      <c r="F283" s="81"/>
      <c r="G283" s="70" t="s">
        <v>411</v>
      </c>
      <c r="H283" s="82" t="s">
        <v>353</v>
      </c>
      <c r="I283" s="83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</row>
    <row r="284" ht="12.75" customHeight="1">
      <c r="A284" s="80"/>
      <c r="B284" s="69" t="s">
        <v>46</v>
      </c>
      <c r="C284" s="69"/>
      <c r="D284" s="37"/>
      <c r="E284" s="59"/>
      <c r="F284" s="81"/>
      <c r="G284" s="70" t="s">
        <v>412</v>
      </c>
      <c r="H284" s="82" t="s">
        <v>413</v>
      </c>
      <c r="I284" s="83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</row>
    <row r="285" ht="12.75" customHeight="1">
      <c r="A285" s="80"/>
      <c r="B285" s="69" t="s">
        <v>46</v>
      </c>
      <c r="C285" s="69"/>
      <c r="D285" s="37"/>
      <c r="E285" s="59"/>
      <c r="F285" s="81"/>
      <c r="G285" s="70" t="s">
        <v>414</v>
      </c>
      <c r="H285" s="82" t="s">
        <v>268</v>
      </c>
      <c r="I285" s="83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</row>
    <row r="286" ht="12.75" customHeight="1">
      <c r="A286" s="80"/>
      <c r="B286" s="69" t="s">
        <v>46</v>
      </c>
      <c r="C286" s="69"/>
      <c r="D286" s="37"/>
      <c r="E286" s="59"/>
      <c r="F286" s="81"/>
      <c r="G286" s="70" t="s">
        <v>415</v>
      </c>
      <c r="H286" s="82" t="s">
        <v>255</v>
      </c>
      <c r="I286" s="83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</row>
    <row r="287" ht="12.75" customHeight="1">
      <c r="A287" s="80"/>
      <c r="B287" s="69" t="s">
        <v>46</v>
      </c>
      <c r="C287" s="69"/>
      <c r="D287" s="37"/>
      <c r="E287" s="59"/>
      <c r="F287" s="81"/>
      <c r="G287" s="70" t="s">
        <v>416</v>
      </c>
      <c r="H287" s="82" t="s">
        <v>243</v>
      </c>
      <c r="I287" s="83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</row>
    <row r="288" ht="12.75" customHeight="1">
      <c r="A288" s="80"/>
      <c r="B288" s="69" t="s">
        <v>46</v>
      </c>
      <c r="C288" s="69"/>
      <c r="D288" s="37"/>
      <c r="E288" s="59"/>
      <c r="F288" s="81"/>
      <c r="G288" s="70" t="s">
        <v>417</v>
      </c>
      <c r="H288" s="82" t="s">
        <v>305</v>
      </c>
      <c r="I288" s="83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</row>
    <row r="289" ht="12.75" customHeight="1">
      <c r="A289" s="80"/>
      <c r="B289" s="69" t="s">
        <v>46</v>
      </c>
      <c r="C289" s="69"/>
      <c r="D289" s="37"/>
      <c r="E289" s="59"/>
      <c r="F289" s="81"/>
      <c r="G289" s="70" t="s">
        <v>418</v>
      </c>
      <c r="H289" s="82" t="s">
        <v>243</v>
      </c>
      <c r="I289" s="83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</row>
    <row r="290" ht="12.75" customHeight="1">
      <c r="A290" s="80"/>
      <c r="B290" s="69" t="s">
        <v>46</v>
      </c>
      <c r="C290" s="69"/>
      <c r="D290" s="37"/>
      <c r="E290" s="59"/>
      <c r="F290" s="81"/>
      <c r="G290" s="70" t="s">
        <v>419</v>
      </c>
      <c r="H290" s="82" t="s">
        <v>262</v>
      </c>
      <c r="I290" s="83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</row>
    <row r="291" ht="12.75" customHeight="1">
      <c r="A291" s="80"/>
      <c r="B291" s="69" t="s">
        <v>46</v>
      </c>
      <c r="C291" s="69"/>
      <c r="D291" s="37"/>
      <c r="E291" s="59"/>
      <c r="F291" s="81"/>
      <c r="G291" s="70" t="s">
        <v>420</v>
      </c>
      <c r="H291" s="82" t="s">
        <v>113</v>
      </c>
      <c r="I291" s="83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</row>
    <row r="292" ht="12.75" customHeight="1">
      <c r="A292" s="80"/>
      <c r="B292" s="69" t="s">
        <v>46</v>
      </c>
      <c r="C292" s="69"/>
      <c r="D292" s="37"/>
      <c r="E292" s="59"/>
      <c r="F292" s="81"/>
      <c r="G292" s="70" t="s">
        <v>421</v>
      </c>
      <c r="H292" s="82" t="s">
        <v>67</v>
      </c>
      <c r="I292" s="83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</row>
    <row r="293" ht="12.75" customHeight="1">
      <c r="A293" s="80"/>
      <c r="B293" s="69" t="s">
        <v>46</v>
      </c>
      <c r="C293" s="69"/>
      <c r="D293" s="37"/>
      <c r="E293" s="59"/>
      <c r="F293" s="81"/>
      <c r="G293" s="70" t="s">
        <v>422</v>
      </c>
      <c r="H293" s="71" t="s">
        <v>46</v>
      </c>
      <c r="I293" s="83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</row>
    <row r="294" ht="12.75" customHeight="1">
      <c r="A294" s="80"/>
      <c r="B294" s="69" t="s">
        <v>46</v>
      </c>
      <c r="C294" s="69"/>
      <c r="D294" s="37"/>
      <c r="E294" s="59"/>
      <c r="F294" s="81"/>
      <c r="G294" s="70" t="s">
        <v>423</v>
      </c>
      <c r="H294" s="71" t="s">
        <v>46</v>
      </c>
      <c r="I294" s="83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</row>
    <row r="295" ht="12.75" customHeight="1">
      <c r="A295" s="80"/>
      <c r="B295" s="69" t="s">
        <v>46</v>
      </c>
      <c r="C295" s="69"/>
      <c r="D295" s="37"/>
      <c r="E295" s="59"/>
      <c r="F295" s="81"/>
      <c r="G295" s="70" t="s">
        <v>424</v>
      </c>
      <c r="H295" s="82" t="s">
        <v>79</v>
      </c>
      <c r="I295" s="83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</row>
    <row r="296" ht="12.75" customHeight="1">
      <c r="A296" s="80"/>
      <c r="B296" s="69" t="s">
        <v>46</v>
      </c>
      <c r="C296" s="69"/>
      <c r="D296" s="37"/>
      <c r="E296" s="59"/>
      <c r="F296" s="81"/>
      <c r="G296" s="70" t="s">
        <v>425</v>
      </c>
      <c r="H296" s="82" t="s">
        <v>345</v>
      </c>
      <c r="I296" s="83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</row>
    <row r="297" ht="12.75" customHeight="1">
      <c r="A297" s="80"/>
      <c r="B297" s="69" t="s">
        <v>46</v>
      </c>
      <c r="C297" s="69"/>
      <c r="D297" s="37"/>
      <c r="E297" s="59"/>
      <c r="F297" s="81"/>
      <c r="G297" s="70" t="s">
        <v>426</v>
      </c>
      <c r="H297" s="82" t="s">
        <v>42</v>
      </c>
      <c r="I297" s="83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</row>
    <row r="298" ht="12.75" customHeight="1">
      <c r="A298" s="80"/>
      <c r="B298" s="69" t="s">
        <v>46</v>
      </c>
      <c r="C298" s="69"/>
      <c r="D298" s="37"/>
      <c r="E298" s="59"/>
      <c r="F298" s="81"/>
      <c r="G298" s="70" t="s">
        <v>427</v>
      </c>
      <c r="H298" s="82" t="s">
        <v>298</v>
      </c>
      <c r="I298" s="83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</row>
    <row r="299" ht="12.75" customHeight="1">
      <c r="A299" s="80"/>
      <c r="B299" s="69" t="s">
        <v>46</v>
      </c>
      <c r="C299" s="69"/>
      <c r="D299" s="37"/>
      <c r="E299" s="59"/>
      <c r="F299" s="81"/>
      <c r="G299" s="70" t="s">
        <v>428</v>
      </c>
      <c r="H299" s="82" t="s">
        <v>172</v>
      </c>
      <c r="I299" s="83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</row>
    <row r="300" ht="12.75" customHeight="1">
      <c r="A300" s="80"/>
      <c r="B300" s="69" t="s">
        <v>46</v>
      </c>
      <c r="C300" s="69"/>
      <c r="D300" s="37"/>
      <c r="E300" s="59"/>
      <c r="F300" s="81"/>
      <c r="G300" s="70" t="s">
        <v>429</v>
      </c>
      <c r="H300" s="82" t="s">
        <v>363</v>
      </c>
      <c r="I300" s="83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</row>
    <row r="301" ht="12.75" customHeight="1">
      <c r="A301" s="80"/>
      <c r="B301" s="69" t="s">
        <v>46</v>
      </c>
      <c r="C301" s="69"/>
      <c r="D301" s="37"/>
      <c r="E301" s="59"/>
      <c r="F301" s="81"/>
      <c r="G301" s="70" t="s">
        <v>430</v>
      </c>
      <c r="H301" s="82" t="s">
        <v>42</v>
      </c>
      <c r="I301" s="83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</row>
    <row r="302" ht="12.75" customHeight="1">
      <c r="A302" s="80"/>
      <c r="B302" s="69" t="s">
        <v>46</v>
      </c>
      <c r="C302" s="69"/>
      <c r="D302" s="37"/>
      <c r="E302" s="59"/>
      <c r="F302" s="81"/>
      <c r="G302" s="70" t="s">
        <v>431</v>
      </c>
      <c r="H302" s="82" t="s">
        <v>216</v>
      </c>
      <c r="I302" s="83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</row>
    <row r="303" ht="12.75" customHeight="1">
      <c r="A303" s="80"/>
      <c r="B303" s="69" t="s">
        <v>46</v>
      </c>
      <c r="C303" s="69"/>
      <c r="D303" s="37"/>
      <c r="E303" s="59"/>
      <c r="F303" s="81"/>
      <c r="G303" s="70" t="s">
        <v>432</v>
      </c>
      <c r="H303" s="82" t="s">
        <v>42</v>
      </c>
      <c r="I303" s="83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</row>
    <row r="304" ht="12.75" customHeight="1">
      <c r="A304" s="80"/>
      <c r="B304" s="69" t="s">
        <v>46</v>
      </c>
      <c r="C304" s="69"/>
      <c r="D304" s="37"/>
      <c r="E304" s="59"/>
      <c r="F304" s="81"/>
      <c r="G304" s="70" t="s">
        <v>433</v>
      </c>
      <c r="H304" s="82" t="s">
        <v>348</v>
      </c>
      <c r="I304" s="83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</row>
    <row r="305" ht="12.75" customHeight="1">
      <c r="A305" s="80"/>
      <c r="B305" s="69" t="s">
        <v>46</v>
      </c>
      <c r="C305" s="69"/>
      <c r="D305" s="37"/>
      <c r="E305" s="59"/>
      <c r="F305" s="81"/>
      <c r="G305" s="70" t="s">
        <v>434</v>
      </c>
      <c r="H305" s="82" t="s">
        <v>435</v>
      </c>
      <c r="I305" s="83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</row>
    <row r="306" ht="12.75" customHeight="1">
      <c r="A306" s="80"/>
      <c r="B306" s="69" t="s">
        <v>46</v>
      </c>
      <c r="C306" s="69"/>
      <c r="D306" s="37"/>
      <c r="E306" s="59"/>
      <c r="F306" s="81"/>
      <c r="G306" s="70" t="s">
        <v>436</v>
      </c>
      <c r="H306" s="82" t="s">
        <v>245</v>
      </c>
      <c r="I306" s="83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</row>
    <row r="307" ht="12.75" customHeight="1">
      <c r="A307" s="80"/>
      <c r="B307" s="69" t="s">
        <v>46</v>
      </c>
      <c r="C307" s="69"/>
      <c r="D307" s="37"/>
      <c r="E307" s="59"/>
      <c r="F307" s="81"/>
      <c r="G307" s="70" t="s">
        <v>437</v>
      </c>
      <c r="H307" s="71" t="s">
        <v>46</v>
      </c>
      <c r="I307" s="83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</row>
    <row r="308" ht="12.75" customHeight="1">
      <c r="A308" s="80"/>
      <c r="B308" s="69" t="s">
        <v>46</v>
      </c>
      <c r="C308" s="69"/>
      <c r="D308" s="37"/>
      <c r="E308" s="59"/>
      <c r="F308" s="81"/>
      <c r="G308" s="70" t="s">
        <v>438</v>
      </c>
      <c r="H308" s="82" t="s">
        <v>195</v>
      </c>
      <c r="I308" s="83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</row>
    <row r="309" ht="12.75" customHeight="1">
      <c r="A309" s="80"/>
      <c r="B309" s="69" t="s">
        <v>46</v>
      </c>
      <c r="C309" s="69"/>
      <c r="D309" s="37"/>
      <c r="E309" s="59"/>
      <c r="F309" s="81"/>
      <c r="G309" s="70" t="s">
        <v>439</v>
      </c>
      <c r="H309" s="82" t="s">
        <v>63</v>
      </c>
      <c r="I309" s="83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</row>
    <row r="310" ht="12.75" customHeight="1">
      <c r="A310" s="80"/>
      <c r="B310" s="69" t="s">
        <v>46</v>
      </c>
      <c r="C310" s="69"/>
      <c r="D310" s="37"/>
      <c r="E310" s="59"/>
      <c r="F310" s="81"/>
      <c r="G310" s="70" t="s">
        <v>440</v>
      </c>
      <c r="H310" s="82" t="s">
        <v>67</v>
      </c>
      <c r="I310" s="83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</row>
    <row r="311" ht="12.75" customHeight="1">
      <c r="A311" s="80"/>
      <c r="B311" s="69" t="s">
        <v>46</v>
      </c>
      <c r="C311" s="69"/>
      <c r="D311" s="37"/>
      <c r="E311" s="59"/>
      <c r="F311" s="81"/>
      <c r="G311" s="70" t="s">
        <v>441</v>
      </c>
      <c r="H311" s="71" t="s">
        <v>46</v>
      </c>
      <c r="I311" s="83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</row>
    <row r="312" ht="12.75" customHeight="1">
      <c r="A312" s="80"/>
      <c r="B312" s="69" t="s">
        <v>46</v>
      </c>
      <c r="C312" s="69"/>
      <c r="D312" s="37"/>
      <c r="E312" s="59"/>
      <c r="F312" s="81"/>
      <c r="G312" s="70" t="s">
        <v>442</v>
      </c>
      <c r="H312" s="71" t="s">
        <v>46</v>
      </c>
      <c r="I312" s="83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</row>
    <row r="313" ht="12.75" customHeight="1">
      <c r="A313" s="80"/>
      <c r="B313" s="69" t="s">
        <v>46</v>
      </c>
      <c r="C313" s="69"/>
      <c r="D313" s="37"/>
      <c r="E313" s="59"/>
      <c r="F313" s="81"/>
      <c r="G313" s="70" t="s">
        <v>443</v>
      </c>
      <c r="H313" s="82" t="s">
        <v>353</v>
      </c>
      <c r="I313" s="83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</row>
    <row r="314" ht="12.75" customHeight="1">
      <c r="A314" s="80"/>
      <c r="B314" s="69" t="s">
        <v>46</v>
      </c>
      <c r="C314" s="69"/>
      <c r="D314" s="37"/>
      <c r="E314" s="59"/>
      <c r="F314" s="81"/>
      <c r="G314" s="70" t="s">
        <v>444</v>
      </c>
      <c r="H314" s="82" t="s">
        <v>345</v>
      </c>
      <c r="I314" s="83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</row>
    <row r="315" ht="12.75" customHeight="1">
      <c r="A315" s="80"/>
      <c r="B315" s="69" t="s">
        <v>46</v>
      </c>
      <c r="C315" s="69"/>
      <c r="D315" s="37"/>
      <c r="E315" s="59"/>
      <c r="F315" s="81"/>
      <c r="G315" s="70" t="s">
        <v>445</v>
      </c>
      <c r="H315" s="82" t="s">
        <v>42</v>
      </c>
      <c r="I315" s="83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</row>
    <row r="316" ht="12.75" customHeight="1">
      <c r="A316" s="80"/>
      <c r="B316" s="69" t="s">
        <v>46</v>
      </c>
      <c r="C316" s="69"/>
      <c r="D316" s="37"/>
      <c r="E316" s="59"/>
      <c r="F316" s="81"/>
      <c r="G316" s="70" t="s">
        <v>446</v>
      </c>
      <c r="H316" s="82" t="s">
        <v>298</v>
      </c>
      <c r="I316" s="83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</row>
    <row r="317" ht="12.75" customHeight="1">
      <c r="A317" s="80"/>
      <c r="B317" s="69" t="s">
        <v>46</v>
      </c>
      <c r="C317" s="69"/>
      <c r="D317" s="37"/>
      <c r="E317" s="59"/>
      <c r="F317" s="81"/>
      <c r="G317" s="70" t="s">
        <v>447</v>
      </c>
      <c r="H317" s="82" t="s">
        <v>172</v>
      </c>
      <c r="I317" s="83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</row>
    <row r="318" ht="12.75" customHeight="1">
      <c r="A318" s="80"/>
      <c r="B318" s="69" t="s">
        <v>46</v>
      </c>
      <c r="C318" s="69"/>
      <c r="D318" s="37"/>
      <c r="E318" s="59"/>
      <c r="F318" s="81"/>
      <c r="G318" s="70" t="s">
        <v>448</v>
      </c>
      <c r="H318" s="82" t="s">
        <v>363</v>
      </c>
      <c r="I318" s="83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</row>
    <row r="319" ht="12.75" customHeight="1">
      <c r="A319" s="80"/>
      <c r="B319" s="69" t="s">
        <v>46</v>
      </c>
      <c r="C319" s="69"/>
      <c r="D319" s="37"/>
      <c r="E319" s="59"/>
      <c r="F319" s="81"/>
      <c r="G319" s="70" t="s">
        <v>449</v>
      </c>
      <c r="H319" s="82" t="s">
        <v>77</v>
      </c>
      <c r="I319" s="83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</row>
    <row r="320" ht="12.75" customHeight="1">
      <c r="A320" s="80"/>
      <c r="B320" s="69" t="s">
        <v>46</v>
      </c>
      <c r="C320" s="69"/>
      <c r="D320" s="37"/>
      <c r="E320" s="59"/>
      <c r="F320" s="81"/>
      <c r="G320" s="70" t="s">
        <v>450</v>
      </c>
      <c r="H320" s="82" t="s">
        <v>197</v>
      </c>
      <c r="I320" s="83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</row>
    <row r="321" ht="12.75" customHeight="1">
      <c r="A321" s="80"/>
      <c r="B321" s="69" t="s">
        <v>46</v>
      </c>
      <c r="C321" s="69"/>
      <c r="D321" s="37"/>
      <c r="E321" s="59"/>
      <c r="F321" s="81"/>
      <c r="G321" s="70" t="s">
        <v>451</v>
      </c>
      <c r="H321" s="82" t="s">
        <v>142</v>
      </c>
      <c r="I321" s="83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</row>
    <row r="322" ht="12.75" customHeight="1">
      <c r="A322" s="80"/>
      <c r="B322" s="69" t="s">
        <v>46</v>
      </c>
      <c r="C322" s="69"/>
      <c r="D322" s="37"/>
      <c r="E322" s="59"/>
      <c r="F322" s="81"/>
      <c r="G322" s="70" t="s">
        <v>452</v>
      </c>
      <c r="H322" s="82" t="s">
        <v>197</v>
      </c>
      <c r="I322" s="83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</row>
    <row r="323" ht="12.75" customHeight="1">
      <c r="A323" s="80"/>
      <c r="B323" s="69" t="s">
        <v>46</v>
      </c>
      <c r="C323" s="69"/>
      <c r="D323" s="37"/>
      <c r="E323" s="59"/>
      <c r="F323" s="81"/>
      <c r="G323" s="70" t="s">
        <v>453</v>
      </c>
      <c r="H323" s="82" t="s">
        <v>139</v>
      </c>
      <c r="I323" s="83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</row>
    <row r="324" ht="12.75" customHeight="1">
      <c r="A324" s="80"/>
      <c r="B324" s="69" t="s">
        <v>46</v>
      </c>
      <c r="C324" s="69"/>
      <c r="D324" s="37"/>
      <c r="E324" s="59"/>
      <c r="F324" s="81"/>
      <c r="G324" s="70" t="s">
        <v>454</v>
      </c>
      <c r="H324" s="82" t="s">
        <v>197</v>
      </c>
      <c r="I324" s="83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</row>
    <row r="325" ht="12.75" customHeight="1">
      <c r="A325" s="80"/>
      <c r="B325" s="69" t="s">
        <v>46</v>
      </c>
      <c r="C325" s="69"/>
      <c r="D325" s="37"/>
      <c r="E325" s="59"/>
      <c r="F325" s="81"/>
      <c r="G325" s="70" t="s">
        <v>455</v>
      </c>
      <c r="H325" s="82" t="s">
        <v>136</v>
      </c>
      <c r="I325" s="83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</row>
    <row r="326" ht="12.75" customHeight="1">
      <c r="A326" s="80"/>
      <c r="B326" s="69" t="s">
        <v>46</v>
      </c>
      <c r="C326" s="69"/>
      <c r="D326" s="37"/>
      <c r="E326" s="59"/>
      <c r="F326" s="81"/>
      <c r="G326" s="70" t="s">
        <v>456</v>
      </c>
      <c r="H326" s="82" t="s">
        <v>204</v>
      </c>
      <c r="I326" s="83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</row>
    <row r="327" ht="12.75" customHeight="1">
      <c r="A327" s="80"/>
      <c r="B327" s="69" t="s">
        <v>46</v>
      </c>
      <c r="C327" s="69"/>
      <c r="D327" s="37"/>
      <c r="E327" s="59"/>
      <c r="F327" s="81"/>
      <c r="G327" s="70" t="s">
        <v>457</v>
      </c>
      <c r="H327" s="82" t="s">
        <v>206</v>
      </c>
      <c r="I327" s="83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</row>
    <row r="328" ht="12.75" customHeight="1">
      <c r="A328" s="80"/>
      <c r="B328" s="69" t="s">
        <v>46</v>
      </c>
      <c r="C328" s="69"/>
      <c r="D328" s="37"/>
      <c r="E328" s="59"/>
      <c r="F328" s="81"/>
      <c r="G328" s="70" t="s">
        <v>458</v>
      </c>
      <c r="H328" s="82" t="s">
        <v>130</v>
      </c>
      <c r="I328" s="83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</row>
    <row r="329" ht="12.75" customHeight="1">
      <c r="A329" s="80"/>
      <c r="B329" s="69" t="s">
        <v>46</v>
      </c>
      <c r="C329" s="69"/>
      <c r="D329" s="37"/>
      <c r="E329" s="59"/>
      <c r="F329" s="81"/>
      <c r="G329" s="70" t="s">
        <v>459</v>
      </c>
      <c r="H329" s="82" t="s">
        <v>177</v>
      </c>
      <c r="I329" s="83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</row>
    <row r="330" ht="12.75" customHeight="1">
      <c r="A330" s="80"/>
      <c r="B330" s="69" t="s">
        <v>46</v>
      </c>
      <c r="C330" s="69"/>
      <c r="D330" s="37"/>
      <c r="E330" s="59"/>
      <c r="F330" s="81"/>
      <c r="G330" s="70" t="s">
        <v>460</v>
      </c>
      <c r="H330" s="82" t="s">
        <v>134</v>
      </c>
      <c r="I330" s="83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</row>
    <row r="331" ht="12.75" customHeight="1">
      <c r="A331" s="80"/>
      <c r="B331" s="69" t="s">
        <v>46</v>
      </c>
      <c r="C331" s="69"/>
      <c r="D331" s="37"/>
      <c r="E331" s="59"/>
      <c r="F331" s="81"/>
      <c r="G331" s="70" t="s">
        <v>461</v>
      </c>
      <c r="H331" s="82" t="s">
        <v>127</v>
      </c>
      <c r="I331" s="83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</row>
    <row r="332" ht="12.75" customHeight="1">
      <c r="A332" s="80"/>
      <c r="B332" s="69" t="s">
        <v>46</v>
      </c>
      <c r="C332" s="69"/>
      <c r="D332" s="37"/>
      <c r="E332" s="59"/>
      <c r="F332" s="81"/>
      <c r="G332" s="70" t="s">
        <v>462</v>
      </c>
      <c r="H332" s="82" t="s">
        <v>195</v>
      </c>
      <c r="I332" s="83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</row>
    <row r="333" ht="12.75" customHeight="1">
      <c r="A333" s="80"/>
      <c r="B333" s="69" t="s">
        <v>46</v>
      </c>
      <c r="C333" s="69"/>
      <c r="D333" s="37"/>
      <c r="E333" s="59"/>
      <c r="F333" s="81"/>
      <c r="G333" s="70" t="s">
        <v>463</v>
      </c>
      <c r="H333" s="82" t="s">
        <v>353</v>
      </c>
      <c r="I333" s="83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</row>
    <row r="334" ht="12.75" customHeight="1">
      <c r="A334" s="80"/>
      <c r="B334" s="69" t="s">
        <v>46</v>
      </c>
      <c r="C334" s="69"/>
      <c r="D334" s="37"/>
      <c r="E334" s="59"/>
      <c r="F334" s="81"/>
      <c r="G334" s="70" t="s">
        <v>464</v>
      </c>
      <c r="H334" s="82" t="s">
        <v>195</v>
      </c>
      <c r="I334" s="83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</row>
    <row r="335" ht="12.75" customHeight="1">
      <c r="A335" s="80"/>
      <c r="B335" s="69" t="s">
        <v>46</v>
      </c>
      <c r="C335" s="69"/>
      <c r="D335" s="37"/>
      <c r="E335" s="59"/>
      <c r="F335" s="81"/>
      <c r="G335" s="70" t="s">
        <v>465</v>
      </c>
      <c r="H335" s="82" t="s">
        <v>61</v>
      </c>
      <c r="I335" s="83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</row>
    <row r="336" ht="12.75" customHeight="1">
      <c r="A336" s="80"/>
      <c r="B336" s="69" t="s">
        <v>46</v>
      </c>
      <c r="C336" s="69"/>
      <c r="D336" s="37"/>
      <c r="E336" s="59"/>
      <c r="F336" s="81"/>
      <c r="G336" s="70" t="s">
        <v>466</v>
      </c>
      <c r="H336" s="82" t="s">
        <v>67</v>
      </c>
      <c r="I336" s="83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</row>
    <row r="337" ht="12.75" customHeight="1">
      <c r="A337" s="80"/>
      <c r="B337" s="69" t="s">
        <v>46</v>
      </c>
      <c r="C337" s="69"/>
      <c r="D337" s="37"/>
      <c r="E337" s="59"/>
      <c r="F337" s="81"/>
      <c r="G337" s="70" t="s">
        <v>467</v>
      </c>
      <c r="H337" s="82" t="s">
        <v>312</v>
      </c>
      <c r="I337" s="83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</row>
    <row r="338" ht="12.75" customHeight="1">
      <c r="A338" s="80"/>
      <c r="B338" s="69" t="s">
        <v>46</v>
      </c>
      <c r="C338" s="69"/>
      <c r="D338" s="37"/>
      <c r="E338" s="59"/>
      <c r="F338" s="81"/>
      <c r="G338" s="70" t="s">
        <v>468</v>
      </c>
      <c r="H338" s="82" t="s">
        <v>42</v>
      </c>
      <c r="I338" s="83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</row>
    <row r="339" ht="12.75" customHeight="1">
      <c r="A339" s="80"/>
      <c r="B339" s="69" t="s">
        <v>46</v>
      </c>
      <c r="C339" s="69"/>
      <c r="D339" s="37"/>
      <c r="E339" s="59"/>
      <c r="F339" s="81"/>
      <c r="G339" s="70" t="s">
        <v>469</v>
      </c>
      <c r="H339" s="82" t="s">
        <v>435</v>
      </c>
      <c r="I339" s="83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</row>
    <row r="340" ht="12.75" customHeight="1">
      <c r="A340" s="80"/>
      <c r="B340" s="69" t="s">
        <v>46</v>
      </c>
      <c r="C340" s="69"/>
      <c r="D340" s="37"/>
      <c r="E340" s="59"/>
      <c r="F340" s="81"/>
      <c r="G340" s="70" t="s">
        <v>470</v>
      </c>
      <c r="H340" s="82" t="s">
        <v>197</v>
      </c>
      <c r="I340" s="83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</row>
    <row r="341" ht="12.75" customHeight="1">
      <c r="A341" s="80"/>
      <c r="B341" s="69" t="s">
        <v>46</v>
      </c>
      <c r="C341" s="69"/>
      <c r="D341" s="37"/>
      <c r="E341" s="59"/>
      <c r="F341" s="81"/>
      <c r="G341" s="70" t="s">
        <v>471</v>
      </c>
      <c r="H341" s="82" t="s">
        <v>127</v>
      </c>
      <c r="I341" s="83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</row>
    <row r="342" ht="12.75" customHeight="1">
      <c r="A342" s="80"/>
      <c r="B342" s="69" t="s">
        <v>46</v>
      </c>
      <c r="C342" s="69"/>
      <c r="D342" s="37"/>
      <c r="E342" s="59"/>
      <c r="F342" s="81"/>
      <c r="G342" s="70" t="s">
        <v>472</v>
      </c>
      <c r="H342" s="82" t="s">
        <v>204</v>
      </c>
      <c r="I342" s="83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</row>
    <row r="343" ht="12.75" customHeight="1">
      <c r="A343" s="80"/>
      <c r="B343" s="69" t="s">
        <v>46</v>
      </c>
      <c r="C343" s="69"/>
      <c r="D343" s="37"/>
      <c r="E343" s="59"/>
      <c r="F343" s="81"/>
      <c r="G343" s="70" t="s">
        <v>473</v>
      </c>
      <c r="H343" s="82" t="s">
        <v>232</v>
      </c>
      <c r="I343" s="83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</row>
    <row r="344" ht="12.75" customHeight="1">
      <c r="A344" s="80"/>
      <c r="B344" s="69" t="s">
        <v>46</v>
      </c>
      <c r="C344" s="69"/>
      <c r="D344" s="37"/>
      <c r="E344" s="59"/>
      <c r="F344" s="81"/>
      <c r="G344" s="70" t="s">
        <v>474</v>
      </c>
      <c r="H344" s="82" t="s">
        <v>130</v>
      </c>
      <c r="I344" s="83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</row>
    <row r="345" ht="12.75" customHeight="1">
      <c r="A345" s="80"/>
      <c r="B345" s="69" t="s">
        <v>46</v>
      </c>
      <c r="C345" s="69"/>
      <c r="D345" s="37"/>
      <c r="E345" s="59"/>
      <c r="F345" s="81"/>
      <c r="G345" s="70" t="s">
        <v>475</v>
      </c>
      <c r="H345" s="82" t="s">
        <v>132</v>
      </c>
      <c r="I345" s="83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</row>
    <row r="346" ht="12.75" customHeight="1">
      <c r="A346" s="80"/>
      <c r="B346" s="69" t="s">
        <v>46</v>
      </c>
      <c r="C346" s="69"/>
      <c r="D346" s="37"/>
      <c r="E346" s="59"/>
      <c r="F346" s="81"/>
      <c r="G346" s="70" t="s">
        <v>476</v>
      </c>
      <c r="H346" s="82" t="s">
        <v>134</v>
      </c>
      <c r="I346" s="83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</row>
    <row r="347" ht="12.75" customHeight="1">
      <c r="A347" s="80"/>
      <c r="B347" s="69" t="s">
        <v>46</v>
      </c>
      <c r="C347" s="69"/>
      <c r="D347" s="37"/>
      <c r="E347" s="59"/>
      <c r="F347" s="81"/>
      <c r="G347" s="70" t="s">
        <v>477</v>
      </c>
      <c r="H347" s="82" t="s">
        <v>136</v>
      </c>
      <c r="I347" s="83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</row>
    <row r="348" ht="12.75" customHeight="1">
      <c r="A348" s="80"/>
      <c r="B348" s="69" t="s">
        <v>46</v>
      </c>
      <c r="C348" s="69"/>
      <c r="D348" s="37"/>
      <c r="E348" s="59"/>
      <c r="F348" s="81"/>
      <c r="G348" s="70" t="s">
        <v>478</v>
      </c>
      <c r="H348" s="82" t="s">
        <v>134</v>
      </c>
      <c r="I348" s="83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</row>
    <row r="349" ht="12.75" customHeight="1">
      <c r="A349" s="80"/>
      <c r="B349" s="69" t="s">
        <v>46</v>
      </c>
      <c r="C349" s="69"/>
      <c r="D349" s="37"/>
      <c r="E349" s="59"/>
      <c r="F349" s="81"/>
      <c r="G349" s="70" t="s">
        <v>479</v>
      </c>
      <c r="H349" s="82" t="s">
        <v>139</v>
      </c>
      <c r="I349" s="83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</row>
    <row r="350" ht="12.75" customHeight="1">
      <c r="A350" s="80"/>
      <c r="B350" s="69" t="s">
        <v>46</v>
      </c>
      <c r="C350" s="69"/>
      <c r="D350" s="37"/>
      <c r="E350" s="59"/>
      <c r="F350" s="81"/>
      <c r="G350" s="70" t="s">
        <v>480</v>
      </c>
      <c r="H350" s="82" t="s">
        <v>134</v>
      </c>
      <c r="I350" s="83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</row>
    <row r="351" ht="12.75" customHeight="1">
      <c r="A351" s="80"/>
      <c r="B351" s="69" t="s">
        <v>46</v>
      </c>
      <c r="C351" s="69"/>
      <c r="D351" s="37"/>
      <c r="E351" s="59"/>
      <c r="F351" s="81"/>
      <c r="G351" s="70" t="s">
        <v>481</v>
      </c>
      <c r="H351" s="82" t="s">
        <v>142</v>
      </c>
      <c r="I351" s="83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</row>
    <row r="352" ht="12.75" customHeight="1">
      <c r="A352" s="80"/>
      <c r="B352" s="69" t="s">
        <v>46</v>
      </c>
      <c r="C352" s="69"/>
      <c r="D352" s="37"/>
      <c r="E352" s="59"/>
      <c r="F352" s="81"/>
      <c r="G352" s="70" t="s">
        <v>482</v>
      </c>
      <c r="H352" s="82" t="s">
        <v>67</v>
      </c>
      <c r="I352" s="83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</row>
    <row r="353" ht="12.75" customHeight="1">
      <c r="A353" s="80"/>
      <c r="B353" s="69" t="s">
        <v>46</v>
      </c>
      <c r="C353" s="69"/>
      <c r="D353" s="37"/>
      <c r="E353" s="59"/>
      <c r="F353" s="81"/>
      <c r="G353" s="70" t="s">
        <v>483</v>
      </c>
      <c r="H353" s="82" t="s">
        <v>284</v>
      </c>
      <c r="I353" s="83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</row>
    <row r="354" ht="12.75" customHeight="1">
      <c r="A354" s="80"/>
      <c r="B354" s="69" t="s">
        <v>46</v>
      </c>
      <c r="C354" s="69"/>
      <c r="D354" s="37"/>
      <c r="E354" s="59"/>
      <c r="F354" s="81"/>
      <c r="G354" s="70" t="s">
        <v>484</v>
      </c>
      <c r="H354" s="82" t="s">
        <v>359</v>
      </c>
      <c r="I354" s="83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</row>
    <row r="355" ht="12.75" customHeight="1">
      <c r="A355" s="80"/>
      <c r="B355" s="69" t="s">
        <v>46</v>
      </c>
      <c r="C355" s="69"/>
      <c r="D355" s="37"/>
      <c r="E355" s="59"/>
      <c r="F355" s="81"/>
      <c r="G355" s="70" t="s">
        <v>485</v>
      </c>
      <c r="H355" s="82" t="s">
        <v>486</v>
      </c>
      <c r="I355" s="83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</row>
    <row r="356" ht="12.75" customHeight="1">
      <c r="A356" s="80"/>
      <c r="B356" s="69" t="s">
        <v>46</v>
      </c>
      <c r="C356" s="69"/>
      <c r="D356" s="37"/>
      <c r="E356" s="59"/>
      <c r="F356" s="81"/>
      <c r="G356" s="70" t="s">
        <v>487</v>
      </c>
      <c r="H356" s="82" t="s">
        <v>216</v>
      </c>
      <c r="I356" s="83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</row>
    <row r="357" ht="12.75" customHeight="1">
      <c r="A357" s="80"/>
      <c r="B357" s="69" t="s">
        <v>46</v>
      </c>
      <c r="C357" s="69"/>
      <c r="D357" s="37"/>
      <c r="E357" s="59"/>
      <c r="F357" s="81"/>
      <c r="G357" s="70" t="s">
        <v>488</v>
      </c>
      <c r="H357" s="82" t="s">
        <v>113</v>
      </c>
      <c r="I357" s="83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</row>
    <row r="358" ht="12.75" customHeight="1">
      <c r="A358" s="80"/>
      <c r="B358" s="69" t="s">
        <v>46</v>
      </c>
      <c r="C358" s="69"/>
      <c r="D358" s="37"/>
      <c r="E358" s="59"/>
      <c r="F358" s="81"/>
      <c r="G358" s="70" t="s">
        <v>489</v>
      </c>
      <c r="H358" s="82" t="s">
        <v>247</v>
      </c>
      <c r="I358" s="83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</row>
    <row r="359" ht="12.75" customHeight="1">
      <c r="A359" s="80"/>
      <c r="B359" s="69" t="s">
        <v>46</v>
      </c>
      <c r="C359" s="69"/>
      <c r="D359" s="37"/>
      <c r="E359" s="59"/>
      <c r="F359" s="81"/>
      <c r="G359" s="70" t="s">
        <v>490</v>
      </c>
      <c r="H359" s="82" t="s">
        <v>130</v>
      </c>
      <c r="I359" s="83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</row>
    <row r="360" ht="12.75" customHeight="1">
      <c r="A360" s="80"/>
      <c r="B360" s="69" t="s">
        <v>46</v>
      </c>
      <c r="C360" s="69"/>
      <c r="D360" s="37"/>
      <c r="E360" s="59"/>
      <c r="F360" s="81"/>
      <c r="G360" s="70" t="s">
        <v>491</v>
      </c>
      <c r="H360" s="82" t="s">
        <v>164</v>
      </c>
      <c r="I360" s="83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</row>
    <row r="361" ht="12.75" customHeight="1">
      <c r="A361" s="80"/>
      <c r="B361" s="69" t="s">
        <v>46</v>
      </c>
      <c r="C361" s="69"/>
      <c r="D361" s="37"/>
      <c r="E361" s="59"/>
      <c r="F361" s="81"/>
      <c r="G361" s="70" t="s">
        <v>492</v>
      </c>
      <c r="H361" s="82" t="s">
        <v>232</v>
      </c>
      <c r="I361" s="83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</row>
    <row r="362" ht="12.75" customHeight="1">
      <c r="A362" s="80"/>
      <c r="B362" s="69" t="s">
        <v>46</v>
      </c>
      <c r="C362" s="69"/>
      <c r="D362" s="37"/>
      <c r="E362" s="59"/>
      <c r="F362" s="81"/>
      <c r="G362" s="70" t="s">
        <v>493</v>
      </c>
      <c r="H362" s="82" t="s">
        <v>144</v>
      </c>
      <c r="I362" s="83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</row>
    <row r="363" ht="12.75" customHeight="1">
      <c r="A363" s="80"/>
      <c r="B363" s="69" t="s">
        <v>46</v>
      </c>
      <c r="C363" s="69"/>
      <c r="D363" s="37"/>
      <c r="E363" s="59"/>
      <c r="F363" s="81"/>
      <c r="G363" s="70" t="s">
        <v>494</v>
      </c>
      <c r="H363" s="82" t="s">
        <v>42</v>
      </c>
      <c r="I363" s="83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</row>
    <row r="364" ht="12.75" customHeight="1">
      <c r="A364" s="80"/>
      <c r="B364" s="69" t="s">
        <v>46</v>
      </c>
      <c r="C364" s="69"/>
      <c r="D364" s="37"/>
      <c r="E364" s="59"/>
      <c r="F364" s="81"/>
      <c r="G364" s="70" t="s">
        <v>495</v>
      </c>
      <c r="H364" s="82" t="s">
        <v>147</v>
      </c>
      <c r="I364" s="83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</row>
    <row r="365" ht="12.75" customHeight="1">
      <c r="A365" s="80"/>
      <c r="B365" s="69" t="s">
        <v>46</v>
      </c>
      <c r="C365" s="69"/>
      <c r="D365" s="37"/>
      <c r="E365" s="59"/>
      <c r="F365" s="81"/>
      <c r="G365" s="70" t="s">
        <v>496</v>
      </c>
      <c r="H365" s="71" t="s">
        <v>46</v>
      </c>
      <c r="I365" s="83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</row>
    <row r="366" ht="12.75" customHeight="1">
      <c r="A366" s="80"/>
      <c r="B366" s="69" t="s">
        <v>46</v>
      </c>
      <c r="C366" s="69"/>
      <c r="D366" s="37"/>
      <c r="E366" s="59"/>
      <c r="F366" s="81"/>
      <c r="G366" s="70" t="s">
        <v>497</v>
      </c>
      <c r="H366" s="82" t="s">
        <v>359</v>
      </c>
      <c r="I366" s="83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</row>
    <row r="367" ht="12.75" customHeight="1">
      <c r="A367" s="80"/>
      <c r="B367" s="69" t="s">
        <v>46</v>
      </c>
      <c r="C367" s="69"/>
      <c r="D367" s="37"/>
      <c r="E367" s="59"/>
      <c r="F367" s="81"/>
      <c r="G367" s="70" t="s">
        <v>498</v>
      </c>
      <c r="H367" s="82" t="s">
        <v>247</v>
      </c>
      <c r="I367" s="83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</row>
    <row r="368" ht="12.75" customHeight="1">
      <c r="A368" s="80"/>
      <c r="B368" s="69" t="s">
        <v>46</v>
      </c>
      <c r="C368" s="69"/>
      <c r="D368" s="37"/>
      <c r="E368" s="59"/>
      <c r="F368" s="81"/>
      <c r="G368" s="70" t="s">
        <v>499</v>
      </c>
      <c r="H368" s="82" t="s">
        <v>132</v>
      </c>
      <c r="I368" s="83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</row>
    <row r="369" ht="12.75" customHeight="1">
      <c r="A369" s="80"/>
      <c r="B369" s="69" t="s">
        <v>46</v>
      </c>
      <c r="C369" s="69"/>
      <c r="D369" s="37"/>
      <c r="E369" s="59"/>
      <c r="F369" s="81"/>
      <c r="G369" s="70" t="s">
        <v>500</v>
      </c>
      <c r="H369" s="82" t="s">
        <v>501</v>
      </c>
      <c r="I369" s="83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</row>
    <row r="370" ht="12.75" customHeight="1">
      <c r="A370" s="80"/>
      <c r="B370" s="69" t="s">
        <v>46</v>
      </c>
      <c r="C370" s="69"/>
      <c r="D370" s="37"/>
      <c r="E370" s="59"/>
      <c r="F370" s="81"/>
      <c r="G370" s="70" t="s">
        <v>502</v>
      </c>
      <c r="H370" s="82" t="s">
        <v>223</v>
      </c>
      <c r="I370" s="83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</row>
    <row r="371" ht="12.75" customHeight="1">
      <c r="A371" s="80"/>
      <c r="B371" s="69" t="s">
        <v>46</v>
      </c>
      <c r="C371" s="69"/>
      <c r="D371" s="37"/>
      <c r="E371" s="59"/>
      <c r="F371" s="81"/>
      <c r="G371" s="70" t="s">
        <v>503</v>
      </c>
      <c r="H371" s="82" t="s">
        <v>132</v>
      </c>
      <c r="I371" s="83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</row>
    <row r="372" ht="12.75" customHeight="1">
      <c r="A372" s="80"/>
      <c r="B372" s="69" t="s">
        <v>46</v>
      </c>
      <c r="C372" s="69"/>
      <c r="D372" s="37"/>
      <c r="E372" s="59"/>
      <c r="F372" s="81"/>
      <c r="G372" s="70" t="s">
        <v>504</v>
      </c>
      <c r="H372" s="82" t="s">
        <v>150</v>
      </c>
      <c r="I372" s="83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</row>
    <row r="373" ht="12.75" customHeight="1">
      <c r="A373" s="80"/>
      <c r="B373" s="69" t="s">
        <v>46</v>
      </c>
      <c r="C373" s="69"/>
      <c r="D373" s="37"/>
      <c r="E373" s="59"/>
      <c r="F373" s="81"/>
      <c r="G373" s="70" t="s">
        <v>505</v>
      </c>
      <c r="H373" s="82" t="s">
        <v>247</v>
      </c>
      <c r="I373" s="83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</row>
    <row r="374" ht="12.75" customHeight="1">
      <c r="A374" s="80"/>
      <c r="B374" s="69" t="s">
        <v>46</v>
      </c>
      <c r="C374" s="69"/>
      <c r="D374" s="37"/>
      <c r="E374" s="59"/>
      <c r="F374" s="81"/>
      <c r="G374" s="70" t="s">
        <v>506</v>
      </c>
      <c r="H374" s="82" t="s">
        <v>132</v>
      </c>
      <c r="I374" s="83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</row>
    <row r="375" ht="12.75" customHeight="1">
      <c r="A375" s="80"/>
      <c r="B375" s="69" t="s">
        <v>46</v>
      </c>
      <c r="C375" s="69"/>
      <c r="D375" s="37"/>
      <c r="E375" s="59"/>
      <c r="F375" s="81"/>
      <c r="G375" s="70" t="s">
        <v>507</v>
      </c>
      <c r="H375" s="82" t="s">
        <v>284</v>
      </c>
      <c r="I375" s="83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</row>
    <row r="376" ht="12.75" customHeight="1">
      <c r="A376" s="80"/>
      <c r="B376" s="69" t="s">
        <v>46</v>
      </c>
      <c r="C376" s="69"/>
      <c r="D376" s="37"/>
      <c r="E376" s="59"/>
      <c r="F376" s="81"/>
      <c r="G376" s="70" t="s">
        <v>508</v>
      </c>
      <c r="H376" s="82" t="s">
        <v>168</v>
      </c>
      <c r="I376" s="83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</row>
    <row r="377" ht="12.75" customHeight="1">
      <c r="A377" s="80"/>
      <c r="B377" s="69" t="s">
        <v>46</v>
      </c>
      <c r="C377" s="69"/>
      <c r="D377" s="37"/>
      <c r="E377" s="59"/>
      <c r="F377" s="81"/>
      <c r="G377" s="70" t="s">
        <v>509</v>
      </c>
      <c r="H377" s="82" t="s">
        <v>510</v>
      </c>
      <c r="I377" s="83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</row>
    <row r="378" ht="12.75" customHeight="1">
      <c r="A378" s="80"/>
      <c r="B378" s="69" t="s">
        <v>46</v>
      </c>
      <c r="C378" s="69"/>
      <c r="D378" s="37"/>
      <c r="E378" s="59"/>
      <c r="F378" s="81"/>
      <c r="G378" s="70" t="s">
        <v>511</v>
      </c>
      <c r="H378" s="82" t="s">
        <v>86</v>
      </c>
      <c r="I378" s="83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</row>
    <row r="379" ht="12.75" customHeight="1">
      <c r="A379" s="80"/>
      <c r="B379" s="69" t="s">
        <v>46</v>
      </c>
      <c r="C379" s="69"/>
      <c r="D379" s="37"/>
      <c r="E379" s="59"/>
      <c r="F379" s="81"/>
      <c r="G379" s="70" t="s">
        <v>512</v>
      </c>
      <c r="H379" s="82" t="s">
        <v>486</v>
      </c>
      <c r="I379" s="83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</row>
    <row r="380" ht="12.75" customHeight="1">
      <c r="A380" s="80"/>
      <c r="B380" s="69" t="s">
        <v>46</v>
      </c>
      <c r="C380" s="69"/>
      <c r="D380" s="37"/>
      <c r="E380" s="59"/>
      <c r="F380" s="81"/>
      <c r="G380" s="70" t="s">
        <v>513</v>
      </c>
      <c r="H380" s="82" t="s">
        <v>184</v>
      </c>
      <c r="I380" s="83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</row>
    <row r="381" ht="12.75" customHeight="1">
      <c r="A381" s="80"/>
      <c r="B381" s="69" t="s">
        <v>46</v>
      </c>
      <c r="C381" s="69"/>
      <c r="D381" s="37"/>
      <c r="E381" s="59"/>
      <c r="F381" s="81"/>
      <c r="G381" s="70" t="s">
        <v>514</v>
      </c>
      <c r="H381" s="82" t="s">
        <v>255</v>
      </c>
      <c r="I381" s="83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</row>
    <row r="382" ht="12.75" customHeight="1">
      <c r="A382" s="80"/>
      <c r="B382" s="69" t="s">
        <v>46</v>
      </c>
      <c r="C382" s="69"/>
      <c r="D382" s="37"/>
      <c r="E382" s="59"/>
      <c r="F382" s="81"/>
      <c r="G382" s="70" t="s">
        <v>515</v>
      </c>
      <c r="H382" s="82" t="s">
        <v>359</v>
      </c>
      <c r="I382" s="83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</row>
    <row r="383" ht="12.75" customHeight="1">
      <c r="A383" s="80"/>
      <c r="B383" s="69" t="s">
        <v>46</v>
      </c>
      <c r="C383" s="69"/>
      <c r="D383" s="37"/>
      <c r="E383" s="59"/>
      <c r="F383" s="81"/>
      <c r="G383" s="70" t="s">
        <v>516</v>
      </c>
      <c r="H383" s="82" t="s">
        <v>191</v>
      </c>
      <c r="I383" s="83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</row>
    <row r="384" ht="12.75" customHeight="1">
      <c r="A384" s="80"/>
      <c r="B384" s="69" t="s">
        <v>46</v>
      </c>
      <c r="C384" s="69"/>
      <c r="D384" s="37"/>
      <c r="E384" s="59"/>
      <c r="F384" s="81"/>
      <c r="G384" s="70" t="s">
        <v>517</v>
      </c>
      <c r="H384" s="82" t="s">
        <v>232</v>
      </c>
      <c r="I384" s="83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</row>
    <row r="385" ht="12.75" customHeight="1">
      <c r="A385" s="80"/>
      <c r="B385" s="69" t="s">
        <v>46</v>
      </c>
      <c r="C385" s="69"/>
      <c r="D385" s="37"/>
      <c r="E385" s="59"/>
      <c r="F385" s="81"/>
      <c r="G385" s="70" t="s">
        <v>518</v>
      </c>
      <c r="H385" s="82" t="s">
        <v>519</v>
      </c>
      <c r="I385" s="83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</row>
    <row r="386" ht="12.75" customHeight="1">
      <c r="A386" s="80"/>
      <c r="B386" s="69" t="s">
        <v>46</v>
      </c>
      <c r="C386" s="69"/>
      <c r="D386" s="37"/>
      <c r="E386" s="59"/>
      <c r="F386" s="81"/>
      <c r="G386" s="70" t="s">
        <v>520</v>
      </c>
      <c r="H386" s="82" t="s">
        <v>325</v>
      </c>
      <c r="I386" s="83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</row>
    <row r="387" ht="12.75" customHeight="1">
      <c r="A387" s="80"/>
      <c r="B387" s="69" t="s">
        <v>46</v>
      </c>
      <c r="C387" s="69"/>
      <c r="D387" s="37"/>
      <c r="E387" s="59"/>
      <c r="F387" s="81"/>
      <c r="G387" s="70" t="s">
        <v>521</v>
      </c>
      <c r="H387" s="82" t="s">
        <v>522</v>
      </c>
      <c r="I387" s="83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</row>
    <row r="388" ht="12.75" customHeight="1">
      <c r="A388" s="80"/>
      <c r="B388" s="69" t="s">
        <v>46</v>
      </c>
      <c r="C388" s="69"/>
      <c r="D388" s="37"/>
      <c r="E388" s="59"/>
      <c r="F388" s="81"/>
      <c r="G388" s="70" t="s">
        <v>523</v>
      </c>
      <c r="H388" s="82" t="s">
        <v>216</v>
      </c>
      <c r="I388" s="83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</row>
    <row r="389" ht="12.75" customHeight="1">
      <c r="A389" s="80"/>
      <c r="B389" s="69" t="s">
        <v>46</v>
      </c>
      <c r="C389" s="69"/>
      <c r="D389" s="37"/>
      <c r="E389" s="59"/>
      <c r="F389" s="81"/>
      <c r="G389" s="70" t="s">
        <v>524</v>
      </c>
      <c r="H389" s="82" t="s">
        <v>42</v>
      </c>
      <c r="I389" s="83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</row>
    <row r="390" ht="12.75" customHeight="1">
      <c r="A390" s="80"/>
      <c r="B390" s="69" t="s">
        <v>46</v>
      </c>
      <c r="C390" s="69"/>
      <c r="D390" s="37"/>
      <c r="E390" s="59"/>
      <c r="F390" s="81"/>
      <c r="G390" s="70" t="s">
        <v>525</v>
      </c>
      <c r="H390" s="82" t="s">
        <v>298</v>
      </c>
      <c r="I390" s="83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</row>
    <row r="391" ht="12.75" customHeight="1">
      <c r="A391" s="80"/>
      <c r="B391" s="69" t="s">
        <v>46</v>
      </c>
      <c r="C391" s="69"/>
      <c r="D391" s="37"/>
      <c r="E391" s="59"/>
      <c r="F391" s="81"/>
      <c r="G391" s="70" t="s">
        <v>526</v>
      </c>
      <c r="H391" s="82" t="s">
        <v>247</v>
      </c>
      <c r="I391" s="83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</row>
    <row r="392" ht="12.75" customHeight="1">
      <c r="A392" s="80"/>
      <c r="B392" s="69" t="s">
        <v>46</v>
      </c>
      <c r="C392" s="69"/>
      <c r="D392" s="37"/>
      <c r="E392" s="59"/>
      <c r="F392" s="81"/>
      <c r="G392" s="70" t="s">
        <v>527</v>
      </c>
      <c r="H392" s="82" t="s">
        <v>150</v>
      </c>
      <c r="I392" s="83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</row>
    <row r="393" ht="12.75" customHeight="1">
      <c r="A393" s="80"/>
      <c r="B393" s="69" t="s">
        <v>46</v>
      </c>
      <c r="C393" s="69"/>
      <c r="D393" s="37"/>
      <c r="E393" s="59"/>
      <c r="F393" s="81"/>
      <c r="G393" s="70" t="s">
        <v>528</v>
      </c>
      <c r="H393" s="82" t="s">
        <v>243</v>
      </c>
      <c r="I393" s="83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</row>
    <row r="394" ht="12.75" customHeight="1">
      <c r="A394" s="80"/>
      <c r="B394" s="69" t="s">
        <v>46</v>
      </c>
      <c r="C394" s="69"/>
      <c r="D394" s="37"/>
      <c r="E394" s="59"/>
      <c r="F394" s="81"/>
      <c r="G394" s="70" t="s">
        <v>529</v>
      </c>
      <c r="H394" s="82" t="s">
        <v>243</v>
      </c>
      <c r="I394" s="83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</row>
    <row r="395" ht="12.75" customHeight="1">
      <c r="A395" s="80"/>
      <c r="B395" s="69" t="s">
        <v>46</v>
      </c>
      <c r="C395" s="69"/>
      <c r="D395" s="37"/>
      <c r="E395" s="59"/>
      <c r="F395" s="81"/>
      <c r="G395" s="70" t="s">
        <v>530</v>
      </c>
      <c r="H395" s="82" t="s">
        <v>531</v>
      </c>
      <c r="I395" s="83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</row>
    <row r="396" ht="12.75" customHeight="1">
      <c r="A396" s="80"/>
      <c r="B396" s="69" t="s">
        <v>46</v>
      </c>
      <c r="C396" s="69"/>
      <c r="D396" s="37"/>
      <c r="E396" s="59"/>
      <c r="F396" s="81"/>
      <c r="G396" s="70" t="s">
        <v>532</v>
      </c>
      <c r="H396" s="82" t="s">
        <v>359</v>
      </c>
      <c r="I396" s="83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</row>
    <row r="397" ht="12.75" customHeight="1">
      <c r="A397" s="80"/>
      <c r="B397" s="69" t="s">
        <v>46</v>
      </c>
      <c r="C397" s="69"/>
      <c r="D397" s="37"/>
      <c r="E397" s="59"/>
      <c r="F397" s="81"/>
      <c r="G397" s="70" t="s">
        <v>533</v>
      </c>
      <c r="H397" s="82" t="s">
        <v>247</v>
      </c>
      <c r="I397" s="83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</row>
    <row r="398" ht="12.75" customHeight="1">
      <c r="A398" s="80"/>
      <c r="B398" s="69" t="s">
        <v>46</v>
      </c>
      <c r="C398" s="69"/>
      <c r="D398" s="37"/>
      <c r="E398" s="59"/>
      <c r="F398" s="81"/>
      <c r="G398" s="70" t="s">
        <v>534</v>
      </c>
      <c r="H398" s="82" t="s">
        <v>286</v>
      </c>
      <c r="I398" s="83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</row>
    <row r="399" ht="12.75" customHeight="1">
      <c r="A399" s="80"/>
      <c r="B399" s="69" t="s">
        <v>46</v>
      </c>
      <c r="C399" s="69"/>
      <c r="D399" s="37"/>
      <c r="E399" s="59"/>
      <c r="F399" s="81"/>
      <c r="G399" s="70" t="s">
        <v>535</v>
      </c>
      <c r="H399" s="82" t="s">
        <v>338</v>
      </c>
      <c r="I399" s="83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</row>
    <row r="400" ht="12.75" customHeight="1">
      <c r="A400" s="80"/>
      <c r="B400" s="69" t="s">
        <v>46</v>
      </c>
      <c r="C400" s="69"/>
      <c r="D400" s="37"/>
      <c r="E400" s="59"/>
      <c r="F400" s="81"/>
      <c r="G400" s="70" t="s">
        <v>536</v>
      </c>
      <c r="H400" s="82" t="s">
        <v>181</v>
      </c>
      <c r="I400" s="83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</row>
    <row r="401" ht="12.75" customHeight="1">
      <c r="A401" s="80"/>
      <c r="B401" s="69" t="s">
        <v>46</v>
      </c>
      <c r="C401" s="69"/>
      <c r="D401" s="37"/>
      <c r="E401" s="59"/>
      <c r="F401" s="81"/>
      <c r="G401" s="70" t="s">
        <v>537</v>
      </c>
      <c r="H401" s="82" t="s">
        <v>113</v>
      </c>
      <c r="I401" s="83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</row>
    <row r="402" ht="12.75" customHeight="1">
      <c r="A402" s="80"/>
      <c r="B402" s="69" t="s">
        <v>46</v>
      </c>
      <c r="C402" s="69"/>
      <c r="D402" s="37"/>
      <c r="E402" s="59"/>
      <c r="F402" s="81"/>
      <c r="G402" s="70" t="s">
        <v>538</v>
      </c>
      <c r="H402" s="82" t="s">
        <v>67</v>
      </c>
      <c r="I402" s="83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</row>
    <row r="403" ht="12.75" customHeight="1">
      <c r="A403" s="80"/>
      <c r="B403" s="69" t="s">
        <v>46</v>
      </c>
      <c r="C403" s="69"/>
      <c r="D403" s="37"/>
      <c r="E403" s="59"/>
      <c r="F403" s="81"/>
      <c r="G403" s="70" t="s">
        <v>539</v>
      </c>
      <c r="H403" s="82" t="s">
        <v>284</v>
      </c>
      <c r="I403" s="83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</row>
    <row r="404" ht="12.75" customHeight="1">
      <c r="A404" s="80"/>
      <c r="B404" s="69" t="s">
        <v>46</v>
      </c>
      <c r="C404" s="69"/>
      <c r="D404" s="37"/>
      <c r="E404" s="59"/>
      <c r="F404" s="81"/>
      <c r="G404" s="70" t="s">
        <v>540</v>
      </c>
      <c r="H404" s="82" t="s">
        <v>232</v>
      </c>
      <c r="I404" s="83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</row>
    <row r="405" ht="12.75" customHeight="1">
      <c r="A405" s="80"/>
      <c r="B405" s="69" t="s">
        <v>46</v>
      </c>
      <c r="C405" s="69"/>
      <c r="D405" s="37"/>
      <c r="E405" s="59"/>
      <c r="F405" s="81"/>
      <c r="G405" s="70" t="s">
        <v>541</v>
      </c>
      <c r="H405" s="82" t="s">
        <v>542</v>
      </c>
      <c r="I405" s="83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</row>
    <row r="406" ht="12.75" customHeight="1">
      <c r="A406" s="80"/>
      <c r="B406" s="69" t="s">
        <v>46</v>
      </c>
      <c r="C406" s="69"/>
      <c r="D406" s="37"/>
      <c r="E406" s="59"/>
      <c r="F406" s="81"/>
      <c r="G406" s="70" t="s">
        <v>543</v>
      </c>
      <c r="H406" s="82" t="s">
        <v>184</v>
      </c>
      <c r="I406" s="83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</row>
    <row r="407" ht="12.75" customHeight="1">
      <c r="A407" s="80"/>
      <c r="B407" s="69" t="s">
        <v>46</v>
      </c>
      <c r="C407" s="69"/>
      <c r="D407" s="37"/>
      <c r="E407" s="59"/>
      <c r="F407" s="81"/>
      <c r="G407" s="70" t="s">
        <v>544</v>
      </c>
      <c r="H407" s="82" t="s">
        <v>186</v>
      </c>
      <c r="I407" s="83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</row>
    <row r="408" ht="12.75" customHeight="1">
      <c r="A408" s="80"/>
      <c r="B408" s="69" t="s">
        <v>46</v>
      </c>
      <c r="C408" s="69"/>
      <c r="D408" s="37"/>
      <c r="E408" s="59"/>
      <c r="F408" s="81"/>
      <c r="G408" s="70" t="s">
        <v>545</v>
      </c>
      <c r="H408" s="82" t="s">
        <v>342</v>
      </c>
      <c r="I408" s="83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</row>
    <row r="409" ht="12.75" customHeight="1">
      <c r="A409" s="80"/>
      <c r="B409" s="69" t="s">
        <v>46</v>
      </c>
      <c r="C409" s="69"/>
      <c r="D409" s="37"/>
      <c r="E409" s="59"/>
      <c r="F409" s="81"/>
      <c r="G409" s="70" t="s">
        <v>546</v>
      </c>
      <c r="H409" s="82" t="s">
        <v>150</v>
      </c>
      <c r="I409" s="83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</row>
    <row r="410" ht="12.75" customHeight="1">
      <c r="A410" s="80"/>
      <c r="B410" s="69" t="s">
        <v>46</v>
      </c>
      <c r="C410" s="69"/>
      <c r="D410" s="37"/>
      <c r="E410" s="59"/>
      <c r="F410" s="81"/>
      <c r="G410" s="70" t="s">
        <v>547</v>
      </c>
      <c r="H410" s="82" t="s">
        <v>168</v>
      </c>
      <c r="I410" s="83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</row>
    <row r="411" ht="12.75" customHeight="1">
      <c r="A411" s="80"/>
      <c r="B411" s="69" t="s">
        <v>46</v>
      </c>
      <c r="C411" s="69"/>
      <c r="D411" s="37"/>
      <c r="E411" s="59"/>
      <c r="F411" s="81"/>
      <c r="G411" s="70" t="s">
        <v>548</v>
      </c>
      <c r="H411" s="82" t="s">
        <v>510</v>
      </c>
      <c r="I411" s="83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</row>
    <row r="412" ht="12.75" customHeight="1">
      <c r="A412" s="80"/>
      <c r="B412" s="69" t="s">
        <v>46</v>
      </c>
      <c r="C412" s="69"/>
      <c r="D412" s="37"/>
      <c r="E412" s="59"/>
      <c r="F412" s="81"/>
      <c r="G412" s="70" t="s">
        <v>549</v>
      </c>
      <c r="H412" s="82" t="s">
        <v>86</v>
      </c>
      <c r="I412" s="83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</row>
    <row r="413" ht="12.75" customHeight="1">
      <c r="A413" s="80"/>
      <c r="B413" s="69" t="s">
        <v>46</v>
      </c>
      <c r="C413" s="69"/>
      <c r="D413" s="37"/>
      <c r="E413" s="59"/>
      <c r="F413" s="81"/>
      <c r="G413" s="70" t="s">
        <v>550</v>
      </c>
      <c r="H413" s="82" t="s">
        <v>551</v>
      </c>
      <c r="I413" s="83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</row>
    <row r="414" ht="12.75" customHeight="1">
      <c r="A414" s="80"/>
      <c r="B414" s="69" t="s">
        <v>46</v>
      </c>
      <c r="C414" s="69"/>
      <c r="D414" s="37"/>
      <c r="E414" s="59"/>
      <c r="F414" s="81"/>
      <c r="G414" s="70" t="s">
        <v>552</v>
      </c>
      <c r="H414" s="82" t="s">
        <v>195</v>
      </c>
      <c r="I414" s="83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</row>
    <row r="415" ht="12.75" customHeight="1">
      <c r="A415" s="80"/>
      <c r="B415" s="69" t="s">
        <v>46</v>
      </c>
      <c r="C415" s="69"/>
      <c r="D415" s="37"/>
      <c r="E415" s="59"/>
      <c r="F415" s="81"/>
      <c r="G415" s="70" t="s">
        <v>553</v>
      </c>
      <c r="H415" s="82" t="s">
        <v>271</v>
      </c>
      <c r="I415" s="83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</row>
    <row r="416" ht="12.75" customHeight="1">
      <c r="A416" s="80"/>
      <c r="B416" s="69" t="s">
        <v>46</v>
      </c>
      <c r="C416" s="69"/>
      <c r="D416" s="37"/>
      <c r="E416" s="59"/>
      <c r="F416" s="81"/>
      <c r="G416" s="70" t="s">
        <v>554</v>
      </c>
      <c r="H416" s="82" t="s">
        <v>67</v>
      </c>
      <c r="I416" s="83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</row>
    <row r="417" ht="12.75" customHeight="1">
      <c r="A417" s="80"/>
      <c r="B417" s="69" t="s">
        <v>46</v>
      </c>
      <c r="C417" s="69"/>
      <c r="D417" s="37"/>
      <c r="E417" s="59"/>
      <c r="F417" s="81"/>
      <c r="G417" s="70" t="s">
        <v>555</v>
      </c>
      <c r="H417" s="82" t="s">
        <v>284</v>
      </c>
      <c r="I417" s="83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</row>
    <row r="418" ht="12.75" customHeight="1">
      <c r="A418" s="80"/>
      <c r="B418" s="69" t="s">
        <v>46</v>
      </c>
      <c r="C418" s="69"/>
      <c r="D418" s="37"/>
      <c r="E418" s="59"/>
      <c r="F418" s="81"/>
      <c r="G418" s="70" t="s">
        <v>556</v>
      </c>
      <c r="H418" s="82" t="s">
        <v>232</v>
      </c>
      <c r="I418" s="83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</row>
    <row r="419" ht="12.75" customHeight="1">
      <c r="A419" s="80"/>
      <c r="B419" s="69" t="s">
        <v>46</v>
      </c>
      <c r="C419" s="69"/>
      <c r="D419" s="37"/>
      <c r="E419" s="59"/>
      <c r="F419" s="81"/>
      <c r="G419" s="70" t="s">
        <v>557</v>
      </c>
      <c r="H419" s="82" t="s">
        <v>558</v>
      </c>
      <c r="I419" s="83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</row>
    <row r="420" ht="12.75" customHeight="1">
      <c r="A420" s="80"/>
      <c r="B420" s="69" t="s">
        <v>46</v>
      </c>
      <c r="C420" s="69"/>
      <c r="D420" s="37"/>
      <c r="E420" s="59"/>
      <c r="F420" s="81"/>
      <c r="G420" s="70" t="s">
        <v>559</v>
      </c>
      <c r="H420" s="82" t="s">
        <v>184</v>
      </c>
      <c r="I420" s="83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</row>
    <row r="421" ht="12.75" customHeight="1">
      <c r="A421" s="80"/>
      <c r="B421" s="69" t="s">
        <v>46</v>
      </c>
      <c r="C421" s="69"/>
      <c r="D421" s="37"/>
      <c r="E421" s="59"/>
      <c r="F421" s="81"/>
      <c r="G421" s="70" t="s">
        <v>560</v>
      </c>
      <c r="H421" s="82" t="s">
        <v>186</v>
      </c>
      <c r="I421" s="83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</row>
    <row r="422" ht="12.75" customHeight="1">
      <c r="A422" s="80"/>
      <c r="B422" s="69" t="s">
        <v>46</v>
      </c>
      <c r="C422" s="69"/>
      <c r="D422" s="37"/>
      <c r="E422" s="59"/>
      <c r="F422" s="81"/>
      <c r="G422" s="70" t="s">
        <v>561</v>
      </c>
      <c r="H422" s="82" t="s">
        <v>206</v>
      </c>
      <c r="I422" s="83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</row>
    <row r="423" ht="12.75" customHeight="1">
      <c r="A423" s="80"/>
      <c r="B423" s="69" t="s">
        <v>46</v>
      </c>
      <c r="C423" s="69"/>
      <c r="D423" s="37"/>
      <c r="E423" s="59"/>
      <c r="F423" s="81"/>
      <c r="G423" s="70" t="s">
        <v>562</v>
      </c>
      <c r="H423" s="82" t="s">
        <v>195</v>
      </c>
      <c r="I423" s="83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</row>
    <row r="424" ht="12.75" customHeight="1">
      <c r="A424" s="80"/>
      <c r="B424" s="69" t="s">
        <v>46</v>
      </c>
      <c r="C424" s="69"/>
      <c r="D424" s="37"/>
      <c r="E424" s="59"/>
      <c r="F424" s="81"/>
      <c r="G424" s="70" t="s">
        <v>563</v>
      </c>
      <c r="H424" s="82" t="s">
        <v>542</v>
      </c>
      <c r="I424" s="83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</row>
    <row r="425" ht="12.75" customHeight="1">
      <c r="A425" s="80"/>
      <c r="B425" s="69" t="s">
        <v>46</v>
      </c>
      <c r="C425" s="69"/>
      <c r="D425" s="37"/>
      <c r="E425" s="59"/>
      <c r="F425" s="81"/>
      <c r="G425" s="70" t="s">
        <v>564</v>
      </c>
      <c r="H425" s="82" t="s">
        <v>247</v>
      </c>
      <c r="I425" s="83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</row>
    <row r="426" ht="12.75" customHeight="1">
      <c r="A426" s="80"/>
      <c r="B426" s="69" t="s">
        <v>46</v>
      </c>
      <c r="C426" s="69"/>
      <c r="D426" s="37"/>
      <c r="E426" s="59"/>
      <c r="F426" s="81"/>
      <c r="G426" s="70" t="s">
        <v>565</v>
      </c>
      <c r="H426" s="82" t="s">
        <v>132</v>
      </c>
      <c r="I426" s="83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</row>
    <row r="427" ht="12.75" customHeight="1">
      <c r="A427" s="80"/>
      <c r="B427" s="69" t="s">
        <v>46</v>
      </c>
      <c r="C427" s="69"/>
      <c r="D427" s="37"/>
      <c r="E427" s="59"/>
      <c r="F427" s="81"/>
      <c r="G427" s="70" t="s">
        <v>566</v>
      </c>
      <c r="H427" s="82" t="s">
        <v>567</v>
      </c>
      <c r="I427" s="83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</row>
    <row r="428" ht="12.75" customHeight="1">
      <c r="A428" s="80"/>
      <c r="B428" s="69" t="s">
        <v>46</v>
      </c>
      <c r="C428" s="69"/>
      <c r="D428" s="37"/>
      <c r="E428" s="59"/>
      <c r="F428" s="81"/>
      <c r="G428" s="70" t="s">
        <v>568</v>
      </c>
      <c r="H428" s="82" t="s">
        <v>195</v>
      </c>
      <c r="I428" s="83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</row>
    <row r="429" ht="12.75" customHeight="1">
      <c r="A429" s="80"/>
      <c r="B429" s="69" t="s">
        <v>46</v>
      </c>
      <c r="C429" s="69"/>
      <c r="D429" s="37"/>
      <c r="E429" s="59"/>
      <c r="F429" s="81"/>
      <c r="G429" s="70" t="s">
        <v>569</v>
      </c>
      <c r="H429" s="82" t="s">
        <v>193</v>
      </c>
      <c r="I429" s="83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</row>
    <row r="430" ht="12.75" customHeight="1">
      <c r="A430" s="80"/>
      <c r="B430" s="69" t="s">
        <v>46</v>
      </c>
      <c r="C430" s="69"/>
      <c r="D430" s="37"/>
      <c r="E430" s="59"/>
      <c r="F430" s="81"/>
      <c r="G430" s="70" t="s">
        <v>570</v>
      </c>
      <c r="H430" s="82" t="s">
        <v>67</v>
      </c>
      <c r="I430" s="83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</row>
    <row r="431" ht="12.75" customHeight="1">
      <c r="A431" s="80"/>
      <c r="B431" s="69" t="s">
        <v>46</v>
      </c>
      <c r="C431" s="69"/>
      <c r="D431" s="37"/>
      <c r="E431" s="59"/>
      <c r="F431" s="81"/>
      <c r="G431" s="70" t="s">
        <v>571</v>
      </c>
      <c r="H431" s="82" t="s">
        <v>284</v>
      </c>
      <c r="I431" s="83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</row>
    <row r="432" ht="12.75" customHeight="1">
      <c r="A432" s="80"/>
      <c r="B432" s="69" t="s">
        <v>46</v>
      </c>
      <c r="C432" s="69"/>
      <c r="D432" s="37"/>
      <c r="E432" s="59"/>
      <c r="F432" s="81"/>
      <c r="G432" s="70" t="s">
        <v>572</v>
      </c>
      <c r="H432" s="82" t="s">
        <v>232</v>
      </c>
      <c r="I432" s="83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</row>
    <row r="433" ht="12.75" customHeight="1">
      <c r="A433" s="80"/>
      <c r="B433" s="69" t="s">
        <v>46</v>
      </c>
      <c r="C433" s="69"/>
      <c r="D433" s="37"/>
      <c r="E433" s="59"/>
      <c r="F433" s="81"/>
      <c r="G433" s="70" t="s">
        <v>573</v>
      </c>
      <c r="H433" s="82" t="s">
        <v>155</v>
      </c>
      <c r="I433" s="83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</row>
    <row r="434" ht="12.75" customHeight="1">
      <c r="A434" s="80"/>
      <c r="B434" s="69" t="s">
        <v>46</v>
      </c>
      <c r="C434" s="69"/>
      <c r="D434" s="37"/>
      <c r="E434" s="59"/>
      <c r="F434" s="81"/>
      <c r="G434" s="70" t="s">
        <v>574</v>
      </c>
      <c r="H434" s="82" t="s">
        <v>67</v>
      </c>
      <c r="I434" s="83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</row>
    <row r="435" ht="12.75" customHeight="1">
      <c r="A435" s="80"/>
      <c r="B435" s="69" t="s">
        <v>46</v>
      </c>
      <c r="C435" s="69"/>
      <c r="D435" s="37"/>
      <c r="E435" s="59"/>
      <c r="F435" s="81"/>
      <c r="G435" s="70" t="s">
        <v>575</v>
      </c>
      <c r="H435" s="82" t="s">
        <v>284</v>
      </c>
      <c r="I435" s="83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</row>
    <row r="436" ht="12.75" customHeight="1">
      <c r="A436" s="80"/>
      <c r="B436" s="69" t="s">
        <v>46</v>
      </c>
      <c r="C436" s="69"/>
      <c r="D436" s="37"/>
      <c r="E436" s="59"/>
      <c r="F436" s="81"/>
      <c r="G436" s="70" t="s">
        <v>576</v>
      </c>
      <c r="H436" s="82" t="s">
        <v>232</v>
      </c>
      <c r="I436" s="83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</row>
    <row r="437" ht="12.75" customHeight="1">
      <c r="A437" s="80"/>
      <c r="B437" s="69" t="s">
        <v>46</v>
      </c>
      <c r="C437" s="69"/>
      <c r="D437" s="37"/>
      <c r="E437" s="59"/>
      <c r="F437" s="81"/>
      <c r="G437" s="70" t="s">
        <v>577</v>
      </c>
      <c r="H437" s="82" t="s">
        <v>147</v>
      </c>
      <c r="I437" s="83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</row>
    <row r="438" ht="12.75" customHeight="1">
      <c r="A438" s="80"/>
      <c r="B438" s="69" t="s">
        <v>46</v>
      </c>
      <c r="C438" s="69"/>
      <c r="D438" s="37"/>
      <c r="E438" s="59"/>
      <c r="F438" s="81"/>
      <c r="G438" s="70" t="s">
        <v>578</v>
      </c>
      <c r="H438" s="82" t="s">
        <v>197</v>
      </c>
      <c r="I438" s="83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</row>
    <row r="439" ht="12.75" customHeight="1">
      <c r="A439" s="80"/>
      <c r="B439" s="69" t="s">
        <v>46</v>
      </c>
      <c r="C439" s="69"/>
      <c r="D439" s="37"/>
      <c r="E439" s="59"/>
      <c r="F439" s="81"/>
      <c r="G439" s="70" t="s">
        <v>579</v>
      </c>
      <c r="H439" s="82" t="s">
        <v>142</v>
      </c>
      <c r="I439" s="83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</row>
    <row r="440" ht="12.75" customHeight="1">
      <c r="A440" s="80"/>
      <c r="B440" s="69" t="s">
        <v>46</v>
      </c>
      <c r="C440" s="69"/>
      <c r="D440" s="37"/>
      <c r="E440" s="59"/>
      <c r="F440" s="81"/>
      <c r="G440" s="70" t="s">
        <v>580</v>
      </c>
      <c r="H440" s="82" t="s">
        <v>197</v>
      </c>
      <c r="I440" s="83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</row>
    <row r="441" ht="12.75" customHeight="1">
      <c r="A441" s="80"/>
      <c r="B441" s="69" t="s">
        <v>46</v>
      </c>
      <c r="C441" s="69"/>
      <c r="D441" s="37"/>
      <c r="E441" s="59"/>
      <c r="F441" s="81"/>
      <c r="G441" s="70" t="s">
        <v>581</v>
      </c>
      <c r="H441" s="82" t="s">
        <v>139</v>
      </c>
      <c r="I441" s="83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</row>
    <row r="442" ht="12.75" customHeight="1">
      <c r="A442" s="80"/>
      <c r="B442" s="69" t="s">
        <v>46</v>
      </c>
      <c r="C442" s="69"/>
      <c r="D442" s="37"/>
      <c r="E442" s="59"/>
      <c r="F442" s="81"/>
      <c r="G442" s="70" t="s">
        <v>582</v>
      </c>
      <c r="H442" s="82" t="s">
        <v>197</v>
      </c>
      <c r="I442" s="83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</row>
    <row r="443" ht="12.75" customHeight="1">
      <c r="A443" s="80"/>
      <c r="B443" s="69" t="s">
        <v>46</v>
      </c>
      <c r="C443" s="69"/>
      <c r="D443" s="37"/>
      <c r="E443" s="59"/>
      <c r="F443" s="81"/>
      <c r="G443" s="70" t="s">
        <v>583</v>
      </c>
      <c r="H443" s="82" t="s">
        <v>136</v>
      </c>
      <c r="I443" s="83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</row>
    <row r="444" ht="12.75" customHeight="1">
      <c r="A444" s="80"/>
      <c r="B444" s="69" t="s">
        <v>46</v>
      </c>
      <c r="C444" s="69"/>
      <c r="D444" s="37"/>
      <c r="E444" s="59"/>
      <c r="F444" s="81"/>
      <c r="G444" s="70" t="s">
        <v>584</v>
      </c>
      <c r="H444" s="82" t="s">
        <v>204</v>
      </c>
      <c r="I444" s="83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</row>
    <row r="445" ht="12.75" customHeight="1">
      <c r="A445" s="80"/>
      <c r="B445" s="69" t="s">
        <v>46</v>
      </c>
      <c r="C445" s="69"/>
      <c r="D445" s="37"/>
      <c r="E445" s="59"/>
      <c r="F445" s="81"/>
      <c r="G445" s="70" t="s">
        <v>585</v>
      </c>
      <c r="H445" s="82" t="s">
        <v>206</v>
      </c>
      <c r="I445" s="83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</row>
    <row r="446" ht="12.75" customHeight="1">
      <c r="A446" s="80"/>
      <c r="B446" s="69" t="s">
        <v>46</v>
      </c>
      <c r="C446" s="69"/>
      <c r="D446" s="37"/>
      <c r="E446" s="59"/>
      <c r="F446" s="81"/>
      <c r="G446" s="70" t="s">
        <v>586</v>
      </c>
      <c r="H446" s="71" t="s">
        <v>46</v>
      </c>
      <c r="I446" s="83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</row>
    <row r="447" ht="12.75" customHeight="1">
      <c r="A447" s="80"/>
      <c r="B447" s="69" t="s">
        <v>46</v>
      </c>
      <c r="C447" s="69"/>
      <c r="D447" s="37"/>
      <c r="E447" s="59"/>
      <c r="F447" s="81"/>
      <c r="G447" s="70" t="s">
        <v>587</v>
      </c>
      <c r="H447" s="82" t="s">
        <v>63</v>
      </c>
      <c r="I447" s="83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</row>
    <row r="448" ht="12.75" customHeight="1">
      <c r="A448" s="80"/>
      <c r="B448" s="69" t="s">
        <v>46</v>
      </c>
      <c r="C448" s="69"/>
      <c r="D448" s="37"/>
      <c r="E448" s="59"/>
      <c r="F448" s="81"/>
      <c r="G448" s="70" t="s">
        <v>588</v>
      </c>
      <c r="H448" s="82" t="s">
        <v>589</v>
      </c>
      <c r="I448" s="83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</row>
    <row r="449" ht="12.75" customHeight="1">
      <c r="A449" s="80"/>
      <c r="B449" s="69" t="s">
        <v>46</v>
      </c>
      <c r="C449" s="69"/>
      <c r="D449" s="37"/>
      <c r="E449" s="59"/>
      <c r="F449" s="81"/>
      <c r="G449" s="70" t="s">
        <v>590</v>
      </c>
      <c r="H449" s="82" t="s">
        <v>591</v>
      </c>
      <c r="I449" s="83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</row>
    <row r="450" ht="12.75" customHeight="1">
      <c r="A450" s="80"/>
      <c r="B450" s="69" t="s">
        <v>46</v>
      </c>
      <c r="C450" s="69"/>
      <c r="D450" s="37"/>
      <c r="E450" s="59"/>
      <c r="F450" s="81"/>
      <c r="G450" s="70" t="s">
        <v>592</v>
      </c>
      <c r="H450" s="82" t="s">
        <v>63</v>
      </c>
      <c r="I450" s="83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</row>
    <row r="451" ht="12.75" customHeight="1">
      <c r="A451" s="75"/>
      <c r="B451" s="75"/>
      <c r="C451" s="75"/>
      <c r="D451" s="37"/>
      <c r="E451" s="59"/>
      <c r="F451" s="81"/>
      <c r="G451" s="70"/>
      <c r="H451" s="84"/>
      <c r="I451" s="78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</row>
    <row r="452" ht="12.75" customHeight="1">
      <c r="A452" s="74"/>
      <c r="B452" s="75"/>
      <c r="C452" s="75"/>
      <c r="D452" s="37"/>
      <c r="E452" s="59"/>
      <c r="F452" s="81"/>
      <c r="G452" s="70"/>
      <c r="H452" s="84"/>
      <c r="I452" s="78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</row>
    <row r="453" ht="12.75" customHeight="1">
      <c r="A453" s="74"/>
      <c r="B453" s="75"/>
      <c r="C453" s="75"/>
      <c r="D453" s="58"/>
      <c r="E453" s="59"/>
      <c r="F453" s="60" t="s">
        <v>593</v>
      </c>
      <c r="G453" s="61"/>
      <c r="H453" s="62"/>
      <c r="I453" s="7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</row>
    <row r="454" ht="12.75" customHeight="1">
      <c r="A454" s="63" t="s">
        <v>36</v>
      </c>
      <c r="B454" s="64" t="s">
        <v>37</v>
      </c>
      <c r="C454" s="64" t="s">
        <v>38</v>
      </c>
      <c r="D454" s="79"/>
      <c r="E454" s="59"/>
      <c r="F454" s="65"/>
      <c r="G454" s="66" t="s">
        <v>39</v>
      </c>
      <c r="H454" s="67" t="s">
        <v>40</v>
      </c>
      <c r="I454" s="38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</row>
    <row r="455" ht="12.75" customHeight="1">
      <c r="A455" s="80"/>
      <c r="B455" s="69" t="s">
        <v>46</v>
      </c>
      <c r="C455" s="69"/>
      <c r="D455" s="79"/>
      <c r="E455" s="59"/>
      <c r="F455" s="81"/>
      <c r="G455" s="70" t="s">
        <v>594</v>
      </c>
      <c r="H455" s="71" t="s">
        <v>46</v>
      </c>
      <c r="I455" s="7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</row>
    <row r="456" ht="12.75" customHeight="1">
      <c r="A456" s="74"/>
      <c r="B456" s="75"/>
      <c r="C456" s="75"/>
      <c r="D456" s="58"/>
      <c r="E456" s="59"/>
      <c r="F456" s="65"/>
      <c r="G456" s="76"/>
      <c r="H456" s="71"/>
      <c r="I456" s="7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</row>
    <row r="457" ht="12.75" customHeight="1">
      <c r="A457" s="74"/>
      <c r="B457" s="75"/>
      <c r="C457" s="75"/>
      <c r="D457" s="58"/>
      <c r="E457" s="59"/>
      <c r="F457" s="85"/>
      <c r="G457" s="76"/>
      <c r="H457" s="71"/>
      <c r="I457" s="7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</row>
    <row r="458" ht="12.75" customHeight="1">
      <c r="A458" s="74"/>
      <c r="B458" s="75"/>
      <c r="C458" s="75"/>
      <c r="D458" s="58"/>
      <c r="E458" s="59"/>
      <c r="F458" s="60" t="s">
        <v>595</v>
      </c>
      <c r="G458" s="61"/>
      <c r="H458" s="62"/>
      <c r="I458" s="7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</row>
    <row r="459" ht="12.75" customHeight="1">
      <c r="A459" s="63" t="s">
        <v>36</v>
      </c>
      <c r="B459" s="64" t="s">
        <v>37</v>
      </c>
      <c r="C459" s="64" t="s">
        <v>38</v>
      </c>
      <c r="D459" s="79"/>
      <c r="E459" s="59"/>
      <c r="F459" s="65"/>
      <c r="G459" s="66" t="s">
        <v>39</v>
      </c>
      <c r="H459" s="67" t="s">
        <v>40</v>
      </c>
      <c r="I459" s="38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</row>
    <row r="460" ht="12.75" customHeight="1">
      <c r="A460" s="68" t="s">
        <v>596</v>
      </c>
      <c r="B460" s="69" t="s">
        <v>46</v>
      </c>
      <c r="C460" s="69" t="s">
        <v>597</v>
      </c>
      <c r="D460" s="79"/>
      <c r="E460" s="59"/>
      <c r="F460" s="81"/>
      <c r="G460" s="70" t="s">
        <v>598</v>
      </c>
      <c r="H460" s="82" t="s">
        <v>232</v>
      </c>
      <c r="I460" s="7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</row>
    <row r="461" ht="12.75" customHeight="1">
      <c r="A461" s="68" t="s">
        <v>599</v>
      </c>
      <c r="B461" s="69" t="s">
        <v>46</v>
      </c>
      <c r="C461" s="69" t="s">
        <v>597</v>
      </c>
      <c r="D461" s="79"/>
      <c r="E461" s="59"/>
      <c r="F461" s="81"/>
      <c r="G461" s="70" t="s">
        <v>600</v>
      </c>
      <c r="H461" s="82" t="s">
        <v>243</v>
      </c>
      <c r="I461" s="7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</row>
    <row r="462" ht="12.75" customHeight="1">
      <c r="A462" s="74"/>
      <c r="B462" s="75"/>
      <c r="C462" s="75"/>
      <c r="D462" s="58"/>
      <c r="E462" s="59"/>
      <c r="F462" s="65"/>
      <c r="G462" s="76"/>
      <c r="H462" s="71"/>
      <c r="I462" s="7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</row>
    <row r="463" ht="12.75" customHeight="1">
      <c r="A463" s="74"/>
      <c r="B463" s="75"/>
      <c r="C463" s="75"/>
      <c r="D463" s="58"/>
      <c r="E463" s="59"/>
      <c r="F463" s="85"/>
      <c r="G463" s="76"/>
      <c r="H463" s="71"/>
      <c r="I463" s="7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</row>
    <row r="464" ht="12.75" customHeight="1">
      <c r="A464" s="74"/>
      <c r="B464" s="75"/>
      <c r="C464" s="75"/>
      <c r="D464" s="58"/>
      <c r="E464" s="59"/>
      <c r="F464" s="60" t="s">
        <v>601</v>
      </c>
      <c r="G464" s="61"/>
      <c r="H464" s="62"/>
      <c r="I464" s="7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</row>
    <row r="465" ht="12.75" customHeight="1">
      <c r="A465" s="63" t="s">
        <v>36</v>
      </c>
      <c r="B465" s="64" t="s">
        <v>37</v>
      </c>
      <c r="C465" s="64" t="s">
        <v>38</v>
      </c>
      <c r="D465" s="79"/>
      <c r="E465" s="59"/>
      <c r="F465" s="65"/>
      <c r="G465" s="66" t="s">
        <v>39</v>
      </c>
      <c r="H465" s="67" t="s">
        <v>40</v>
      </c>
      <c r="I465" s="38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</row>
    <row r="466" ht="12.75" customHeight="1">
      <c r="A466" s="68" t="s">
        <v>602</v>
      </c>
      <c r="B466" s="69" t="s">
        <v>61</v>
      </c>
      <c r="C466" s="69"/>
      <c r="D466" s="79"/>
      <c r="E466" s="59"/>
      <c r="F466" s="81"/>
      <c r="G466" s="70" t="s">
        <v>603</v>
      </c>
      <c r="H466" s="71" t="s">
        <v>61</v>
      </c>
      <c r="I466" s="7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</row>
    <row r="467" ht="12.75" customHeight="1">
      <c r="A467" s="74"/>
      <c r="B467" s="75"/>
      <c r="C467" s="75"/>
      <c r="D467" s="58"/>
      <c r="E467" s="59"/>
      <c r="F467" s="65"/>
      <c r="G467" s="76"/>
      <c r="H467" s="71"/>
      <c r="I467" s="7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</row>
    <row r="468" ht="12.75" customHeight="1">
      <c r="A468" s="74"/>
      <c r="B468" s="75"/>
      <c r="C468" s="75"/>
      <c r="D468" s="58"/>
      <c r="E468" s="59"/>
      <c r="F468" s="85"/>
      <c r="G468" s="76"/>
      <c r="H468" s="71"/>
      <c r="I468" s="7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</row>
    <row r="469" ht="12.75" customHeight="1">
      <c r="A469" s="86"/>
      <c r="B469" s="75"/>
      <c r="C469" s="86"/>
      <c r="D469" s="87"/>
      <c r="E469" s="57"/>
      <c r="F469" s="65" t="s">
        <v>604</v>
      </c>
      <c r="G469" s="88"/>
      <c r="H469" s="8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</row>
    <row r="470" ht="12.75" customHeight="1">
      <c r="A470" s="63" t="s">
        <v>36</v>
      </c>
      <c r="B470" s="64" t="s">
        <v>37</v>
      </c>
      <c r="C470" s="64" t="s">
        <v>38</v>
      </c>
      <c r="D470" s="87"/>
      <c r="E470" s="57"/>
      <c r="F470" s="65"/>
      <c r="G470" s="66" t="s">
        <v>39</v>
      </c>
      <c r="H470" s="67" t="s">
        <v>40</v>
      </c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</row>
    <row r="471" ht="12.75" customHeight="1">
      <c r="A471" s="68" t="s">
        <v>605</v>
      </c>
      <c r="B471" s="69" t="s">
        <v>46</v>
      </c>
      <c r="C471" s="69" t="s">
        <v>606</v>
      </c>
      <c r="D471" s="87"/>
      <c r="E471" s="57"/>
      <c r="F471" s="65"/>
      <c r="G471" s="90" t="s">
        <v>607</v>
      </c>
      <c r="H471" s="91" t="s">
        <v>61</v>
      </c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  <c r="AP471" s="92"/>
      <c r="AQ471" s="92"/>
      <c r="AR471" s="92"/>
      <c r="AS471" s="92"/>
      <c r="AT471" s="92"/>
      <c r="AU471" s="92"/>
      <c r="AV471" s="92"/>
      <c r="AW471" s="92"/>
      <c r="AX471" s="92"/>
      <c r="AY471" s="92"/>
      <c r="AZ471" s="92"/>
      <c r="BA471" s="92"/>
      <c r="BB471" s="92"/>
      <c r="BC471" s="92"/>
      <c r="BD471" s="92"/>
      <c r="BE471" s="92"/>
      <c r="BF471" s="92"/>
      <c r="BG471" s="92"/>
      <c r="BH471" s="92"/>
      <c r="BI471" s="92"/>
      <c r="BJ471" s="92"/>
      <c r="BK471" s="92"/>
      <c r="BL471" s="92"/>
      <c r="BM471" s="92"/>
      <c r="BN471" s="92"/>
      <c r="BO471" s="92"/>
      <c r="BP471" s="92"/>
      <c r="BQ471" s="92"/>
      <c r="BR471" s="92"/>
      <c r="BS471" s="92"/>
      <c r="BT471" s="92"/>
      <c r="BU471" s="92"/>
    </row>
    <row r="472" ht="12.75" customHeight="1">
      <c r="A472" s="93"/>
      <c r="B472" s="94"/>
      <c r="C472" s="94"/>
      <c r="D472" s="87"/>
      <c r="E472" s="57"/>
      <c r="F472" s="65"/>
      <c r="G472" s="76"/>
      <c r="H472" s="95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  <c r="BL472" s="92"/>
      <c r="BM472" s="92"/>
      <c r="BN472" s="92"/>
      <c r="BO472" s="92"/>
      <c r="BP472" s="92"/>
      <c r="BQ472" s="92"/>
      <c r="BR472" s="92"/>
      <c r="BS472" s="92"/>
      <c r="BT472" s="92"/>
      <c r="BU472" s="92"/>
    </row>
    <row r="473" ht="12.75" customHeight="1">
      <c r="A473" s="94"/>
      <c r="B473" s="94"/>
      <c r="C473" s="94"/>
      <c r="D473" s="87"/>
      <c r="E473" s="57"/>
      <c r="F473" s="85"/>
      <c r="G473" s="76"/>
      <c r="H473" s="95"/>
      <c r="I473" s="96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  <c r="AP473" s="92"/>
      <c r="AQ473" s="92"/>
      <c r="AR473" s="92"/>
      <c r="AS473" s="92"/>
      <c r="AT473" s="92"/>
      <c r="AU473" s="92"/>
      <c r="AV473" s="92"/>
      <c r="AW473" s="92"/>
      <c r="AX473" s="92"/>
      <c r="AY473" s="92"/>
      <c r="AZ473" s="92"/>
      <c r="BA473" s="92"/>
      <c r="BB473" s="92"/>
      <c r="BC473" s="92"/>
      <c r="BD473" s="92"/>
      <c r="BE473" s="92"/>
      <c r="BF473" s="92"/>
      <c r="BG473" s="92"/>
      <c r="BH473" s="92"/>
      <c r="BI473" s="92"/>
      <c r="BJ473" s="92"/>
      <c r="BK473" s="92"/>
      <c r="BL473" s="92"/>
      <c r="BM473" s="92"/>
      <c r="BN473" s="92"/>
      <c r="BO473" s="92"/>
      <c r="BP473" s="92"/>
      <c r="BQ473" s="92"/>
      <c r="BR473" s="92"/>
      <c r="BS473" s="92"/>
      <c r="BT473" s="92"/>
      <c r="BU473" s="92"/>
    </row>
    <row r="474" ht="12.75" customHeight="1">
      <c r="A474" s="74"/>
      <c r="B474" s="75"/>
      <c r="C474" s="75"/>
      <c r="D474" s="74"/>
      <c r="E474" s="59"/>
      <c r="F474" s="60" t="s">
        <v>608</v>
      </c>
      <c r="G474" s="61"/>
      <c r="H474" s="62"/>
      <c r="I474" s="7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</row>
    <row r="475" ht="12.75" customHeight="1">
      <c r="A475" s="63" t="s">
        <v>36</v>
      </c>
      <c r="B475" s="64" t="s">
        <v>37</v>
      </c>
      <c r="C475" s="64" t="s">
        <v>38</v>
      </c>
      <c r="D475" s="37"/>
      <c r="E475" s="59"/>
      <c r="F475" s="65"/>
      <c r="G475" s="66" t="s">
        <v>39</v>
      </c>
      <c r="H475" s="67" t="s">
        <v>40</v>
      </c>
      <c r="I475" s="7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</row>
    <row r="476" ht="12.75" customHeight="1">
      <c r="A476" s="97"/>
      <c r="B476" s="98" t="s">
        <v>46</v>
      </c>
      <c r="C476" s="98" t="s">
        <v>597</v>
      </c>
      <c r="D476" s="99"/>
      <c r="E476" s="100"/>
      <c r="F476" s="101"/>
      <c r="G476" s="102" t="s">
        <v>609</v>
      </c>
      <c r="H476" s="103" t="s">
        <v>86</v>
      </c>
      <c r="I476" s="104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99"/>
      <c r="AP476" s="99"/>
      <c r="AQ476" s="99"/>
      <c r="AR476" s="99"/>
      <c r="AS476" s="99"/>
      <c r="AT476" s="99"/>
      <c r="AU476" s="99"/>
      <c r="AV476" s="99"/>
      <c r="AW476" s="99"/>
      <c r="AX476" s="99"/>
      <c r="AY476" s="99"/>
      <c r="AZ476" s="99"/>
      <c r="BA476" s="99"/>
      <c r="BB476" s="99"/>
      <c r="BC476" s="99"/>
      <c r="BD476" s="99"/>
      <c r="BE476" s="99"/>
      <c r="BF476" s="99"/>
      <c r="BG476" s="99"/>
      <c r="BH476" s="99"/>
      <c r="BI476" s="99"/>
      <c r="BJ476" s="99"/>
      <c r="BK476" s="99"/>
      <c r="BL476" s="99"/>
      <c r="BM476" s="99"/>
      <c r="BN476" s="99"/>
      <c r="BO476" s="99"/>
      <c r="BP476" s="99"/>
      <c r="BQ476" s="99"/>
      <c r="BR476" s="99"/>
      <c r="BS476" s="99"/>
      <c r="BT476" s="99"/>
      <c r="BU476" s="99"/>
    </row>
    <row r="477" ht="12.75" customHeight="1">
      <c r="A477" s="97"/>
      <c r="B477" s="98" t="s">
        <v>268</v>
      </c>
      <c r="C477" s="98" t="s">
        <v>597</v>
      </c>
      <c r="D477" s="99"/>
      <c r="E477" s="100"/>
      <c r="F477" s="101"/>
      <c r="G477" s="102" t="s">
        <v>610</v>
      </c>
      <c r="H477" s="103" t="s">
        <v>611</v>
      </c>
      <c r="I477" s="104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99"/>
      <c r="AP477" s="99"/>
      <c r="AQ477" s="99"/>
      <c r="AR477" s="99"/>
      <c r="AS477" s="9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  <c r="BD477" s="99"/>
      <c r="BE477" s="99"/>
      <c r="BF477" s="99"/>
      <c r="BG477" s="99"/>
      <c r="BH477" s="99"/>
      <c r="BI477" s="99"/>
      <c r="BJ477" s="99"/>
      <c r="BK477" s="99"/>
      <c r="BL477" s="99"/>
      <c r="BM477" s="99"/>
      <c r="BN477" s="99"/>
      <c r="BO477" s="99"/>
      <c r="BP477" s="99"/>
      <c r="BQ477" s="99"/>
      <c r="BR477" s="99"/>
      <c r="BS477" s="99"/>
      <c r="BT477" s="99"/>
      <c r="BU477" s="99"/>
    </row>
    <row r="478" ht="12.75" customHeight="1">
      <c r="A478" s="97"/>
      <c r="B478" s="98" t="s">
        <v>268</v>
      </c>
      <c r="C478" s="98" t="s">
        <v>597</v>
      </c>
      <c r="D478" s="99"/>
      <c r="E478" s="100"/>
      <c r="F478" s="101"/>
      <c r="G478" s="102" t="s">
        <v>612</v>
      </c>
      <c r="H478" s="103" t="s">
        <v>155</v>
      </c>
      <c r="I478" s="104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99"/>
      <c r="AP478" s="99"/>
      <c r="AQ478" s="99"/>
      <c r="AR478" s="99"/>
      <c r="AS478" s="9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  <c r="BD478" s="99"/>
      <c r="BE478" s="99"/>
      <c r="BF478" s="99"/>
      <c r="BG478" s="99"/>
      <c r="BH478" s="99"/>
      <c r="BI478" s="99"/>
      <c r="BJ478" s="99"/>
      <c r="BK478" s="99"/>
      <c r="BL478" s="99"/>
      <c r="BM478" s="99"/>
      <c r="BN478" s="99"/>
      <c r="BO478" s="99"/>
      <c r="BP478" s="99"/>
      <c r="BQ478" s="99"/>
      <c r="BR478" s="99"/>
      <c r="BS478" s="99"/>
      <c r="BT478" s="99"/>
      <c r="BU478" s="99"/>
    </row>
    <row r="479" ht="12.75" customHeight="1">
      <c r="A479" s="97"/>
      <c r="B479" s="98" t="s">
        <v>46</v>
      </c>
      <c r="C479" s="98" t="s">
        <v>597</v>
      </c>
      <c r="D479" s="99"/>
      <c r="E479" s="100"/>
      <c r="F479" s="101"/>
      <c r="G479" s="102" t="s">
        <v>613</v>
      </c>
      <c r="H479" s="103" t="s">
        <v>86</v>
      </c>
      <c r="I479" s="104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99"/>
      <c r="AP479" s="99"/>
      <c r="AQ479" s="99"/>
      <c r="AR479" s="99"/>
      <c r="AS479" s="99"/>
      <c r="AT479" s="99"/>
      <c r="AU479" s="99"/>
      <c r="AV479" s="99"/>
      <c r="AW479" s="99"/>
      <c r="AX479" s="99"/>
      <c r="AY479" s="99"/>
      <c r="AZ479" s="99"/>
      <c r="BA479" s="99"/>
      <c r="BB479" s="99"/>
      <c r="BC479" s="99"/>
      <c r="BD479" s="99"/>
      <c r="BE479" s="99"/>
      <c r="BF479" s="99"/>
      <c r="BG479" s="99"/>
      <c r="BH479" s="99"/>
      <c r="BI479" s="99"/>
      <c r="BJ479" s="99"/>
      <c r="BK479" s="99"/>
      <c r="BL479" s="99"/>
      <c r="BM479" s="99"/>
      <c r="BN479" s="99"/>
      <c r="BO479" s="99"/>
      <c r="BP479" s="99"/>
      <c r="BQ479" s="99"/>
      <c r="BR479" s="99"/>
      <c r="BS479" s="99"/>
      <c r="BT479" s="99"/>
      <c r="BU479" s="99"/>
    </row>
    <row r="480" ht="12.75" customHeight="1">
      <c r="A480" s="97"/>
      <c r="B480" s="98" t="s">
        <v>268</v>
      </c>
      <c r="C480" s="98" t="s">
        <v>597</v>
      </c>
      <c r="D480" s="99"/>
      <c r="E480" s="100"/>
      <c r="F480" s="101"/>
      <c r="G480" s="102" t="s">
        <v>614</v>
      </c>
      <c r="H480" s="103" t="s">
        <v>611</v>
      </c>
      <c r="I480" s="104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99"/>
      <c r="AP480" s="99"/>
      <c r="AQ480" s="99"/>
      <c r="AR480" s="99"/>
      <c r="AS480" s="99"/>
      <c r="AT480" s="99"/>
      <c r="AU480" s="99"/>
      <c r="AV480" s="99"/>
      <c r="AW480" s="99"/>
      <c r="AX480" s="99"/>
      <c r="AY480" s="99"/>
      <c r="AZ480" s="99"/>
      <c r="BA480" s="99"/>
      <c r="BB480" s="99"/>
      <c r="BC480" s="99"/>
      <c r="BD480" s="99"/>
      <c r="BE480" s="99"/>
      <c r="BF480" s="99"/>
      <c r="BG480" s="99"/>
      <c r="BH480" s="99"/>
      <c r="BI480" s="99"/>
      <c r="BJ480" s="99"/>
      <c r="BK480" s="99"/>
      <c r="BL480" s="99"/>
      <c r="BM480" s="99"/>
      <c r="BN480" s="99"/>
      <c r="BO480" s="99"/>
      <c r="BP480" s="99"/>
      <c r="BQ480" s="99"/>
      <c r="BR480" s="99"/>
      <c r="BS480" s="99"/>
      <c r="BT480" s="99"/>
      <c r="BU480" s="99"/>
    </row>
    <row r="481" ht="12.75" customHeight="1">
      <c r="A481" s="97"/>
      <c r="B481" s="98" t="s">
        <v>268</v>
      </c>
      <c r="C481" s="98" t="s">
        <v>597</v>
      </c>
      <c r="D481" s="99"/>
      <c r="E481" s="100"/>
      <c r="F481" s="101"/>
      <c r="G481" s="102" t="s">
        <v>615</v>
      </c>
      <c r="H481" s="103" t="s">
        <v>616</v>
      </c>
      <c r="I481" s="104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99"/>
      <c r="AP481" s="99"/>
      <c r="AQ481" s="99"/>
      <c r="AR481" s="99"/>
      <c r="AS481" s="99"/>
      <c r="AT481" s="99"/>
      <c r="AU481" s="99"/>
      <c r="AV481" s="99"/>
      <c r="AW481" s="99"/>
      <c r="AX481" s="99"/>
      <c r="AY481" s="99"/>
      <c r="AZ481" s="99"/>
      <c r="BA481" s="99"/>
      <c r="BB481" s="99"/>
      <c r="BC481" s="99"/>
      <c r="BD481" s="99"/>
      <c r="BE481" s="99"/>
      <c r="BF481" s="99"/>
      <c r="BG481" s="99"/>
      <c r="BH481" s="99"/>
      <c r="BI481" s="99"/>
      <c r="BJ481" s="99"/>
      <c r="BK481" s="99"/>
      <c r="BL481" s="99"/>
      <c r="BM481" s="99"/>
      <c r="BN481" s="99"/>
      <c r="BO481" s="99"/>
      <c r="BP481" s="99"/>
      <c r="BQ481" s="99"/>
      <c r="BR481" s="99"/>
      <c r="BS481" s="99"/>
      <c r="BT481" s="99"/>
      <c r="BU481" s="99"/>
    </row>
    <row r="482" ht="12.75" customHeight="1">
      <c r="A482" s="97"/>
      <c r="B482" s="98" t="s">
        <v>46</v>
      </c>
      <c r="C482" s="98" t="s">
        <v>597</v>
      </c>
      <c r="D482" s="99"/>
      <c r="E482" s="100"/>
      <c r="F482" s="101"/>
      <c r="G482" s="102" t="s">
        <v>617</v>
      </c>
      <c r="H482" s="103" t="s">
        <v>86</v>
      </c>
      <c r="I482" s="104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99"/>
      <c r="AP482" s="99"/>
      <c r="AQ482" s="99"/>
      <c r="AR482" s="99"/>
      <c r="AS482" s="99"/>
      <c r="AT482" s="99"/>
      <c r="AU482" s="99"/>
      <c r="AV482" s="99"/>
      <c r="AW482" s="99"/>
      <c r="AX482" s="99"/>
      <c r="AY482" s="99"/>
      <c r="AZ482" s="99"/>
      <c r="BA482" s="99"/>
      <c r="BB482" s="99"/>
      <c r="BC482" s="99"/>
      <c r="BD482" s="99"/>
      <c r="BE482" s="99"/>
      <c r="BF482" s="99"/>
      <c r="BG482" s="99"/>
      <c r="BH482" s="99"/>
      <c r="BI482" s="99"/>
      <c r="BJ482" s="99"/>
      <c r="BK482" s="99"/>
      <c r="BL482" s="99"/>
      <c r="BM482" s="99"/>
      <c r="BN482" s="99"/>
      <c r="BO482" s="99"/>
      <c r="BP482" s="99"/>
      <c r="BQ482" s="99"/>
      <c r="BR482" s="99"/>
      <c r="BS482" s="99"/>
      <c r="BT482" s="99"/>
      <c r="BU482" s="99"/>
    </row>
    <row r="483" ht="12.75" customHeight="1">
      <c r="A483" s="97"/>
      <c r="B483" s="98" t="s">
        <v>268</v>
      </c>
      <c r="C483" s="98" t="s">
        <v>597</v>
      </c>
      <c r="D483" s="99"/>
      <c r="E483" s="100"/>
      <c r="F483" s="101"/>
      <c r="G483" s="102" t="s">
        <v>618</v>
      </c>
      <c r="H483" s="103" t="s">
        <v>619</v>
      </c>
      <c r="I483" s="104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99"/>
      <c r="AP483" s="99"/>
      <c r="AQ483" s="99"/>
      <c r="AR483" s="99"/>
      <c r="AS483" s="99"/>
      <c r="AT483" s="99"/>
      <c r="AU483" s="99"/>
      <c r="AV483" s="99"/>
      <c r="AW483" s="99"/>
      <c r="AX483" s="99"/>
      <c r="AY483" s="99"/>
      <c r="AZ483" s="99"/>
      <c r="BA483" s="99"/>
      <c r="BB483" s="99"/>
      <c r="BC483" s="99"/>
      <c r="BD483" s="99"/>
      <c r="BE483" s="99"/>
      <c r="BF483" s="99"/>
      <c r="BG483" s="99"/>
      <c r="BH483" s="99"/>
      <c r="BI483" s="99"/>
      <c r="BJ483" s="99"/>
      <c r="BK483" s="99"/>
      <c r="BL483" s="99"/>
      <c r="BM483" s="99"/>
      <c r="BN483" s="99"/>
      <c r="BO483" s="99"/>
      <c r="BP483" s="99"/>
      <c r="BQ483" s="99"/>
      <c r="BR483" s="99"/>
      <c r="BS483" s="99"/>
      <c r="BT483" s="99"/>
      <c r="BU483" s="99"/>
    </row>
    <row r="484" ht="12.75" customHeight="1">
      <c r="A484" s="97"/>
      <c r="B484" s="98" t="s">
        <v>268</v>
      </c>
      <c r="C484" s="98" t="s">
        <v>597</v>
      </c>
      <c r="D484" s="99"/>
      <c r="E484" s="100"/>
      <c r="F484" s="101"/>
      <c r="G484" s="102" t="s">
        <v>620</v>
      </c>
      <c r="H484" s="103" t="s">
        <v>621</v>
      </c>
      <c r="I484" s="104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99"/>
      <c r="AP484" s="99"/>
      <c r="AQ484" s="99"/>
      <c r="AR484" s="99"/>
      <c r="AS484" s="99"/>
      <c r="AT484" s="99"/>
      <c r="AU484" s="99"/>
      <c r="AV484" s="99"/>
      <c r="AW484" s="99"/>
      <c r="AX484" s="99"/>
      <c r="AY484" s="99"/>
      <c r="AZ484" s="99"/>
      <c r="BA484" s="99"/>
      <c r="BB484" s="99"/>
      <c r="BC484" s="99"/>
      <c r="BD484" s="99"/>
      <c r="BE484" s="99"/>
      <c r="BF484" s="99"/>
      <c r="BG484" s="99"/>
      <c r="BH484" s="99"/>
      <c r="BI484" s="99"/>
      <c r="BJ484" s="99"/>
      <c r="BK484" s="99"/>
      <c r="BL484" s="99"/>
      <c r="BM484" s="99"/>
      <c r="BN484" s="99"/>
      <c r="BO484" s="99"/>
      <c r="BP484" s="99"/>
      <c r="BQ484" s="99"/>
      <c r="BR484" s="99"/>
      <c r="BS484" s="99"/>
      <c r="BT484" s="99"/>
      <c r="BU484" s="99"/>
    </row>
    <row r="485" ht="12.75" customHeight="1">
      <c r="A485" s="97"/>
      <c r="B485" s="98" t="s">
        <v>46</v>
      </c>
      <c r="C485" s="98" t="s">
        <v>597</v>
      </c>
      <c r="D485" s="99"/>
      <c r="E485" s="100"/>
      <c r="F485" s="101"/>
      <c r="G485" s="102" t="s">
        <v>622</v>
      </c>
      <c r="H485" s="103" t="s">
        <v>86</v>
      </c>
      <c r="I485" s="104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99"/>
      <c r="AP485" s="99"/>
      <c r="AQ485" s="99"/>
      <c r="AR485" s="99"/>
      <c r="AS485" s="99"/>
      <c r="AT485" s="99"/>
      <c r="AU485" s="99"/>
      <c r="AV485" s="99"/>
      <c r="AW485" s="99"/>
      <c r="AX485" s="99"/>
      <c r="AY485" s="99"/>
      <c r="AZ485" s="99"/>
      <c r="BA485" s="99"/>
      <c r="BB485" s="99"/>
      <c r="BC485" s="99"/>
      <c r="BD485" s="99"/>
      <c r="BE485" s="99"/>
      <c r="BF485" s="99"/>
      <c r="BG485" s="99"/>
      <c r="BH485" s="99"/>
      <c r="BI485" s="99"/>
      <c r="BJ485" s="99"/>
      <c r="BK485" s="99"/>
      <c r="BL485" s="99"/>
      <c r="BM485" s="99"/>
      <c r="BN485" s="99"/>
      <c r="BO485" s="99"/>
      <c r="BP485" s="99"/>
      <c r="BQ485" s="99"/>
      <c r="BR485" s="99"/>
      <c r="BS485" s="99"/>
      <c r="BT485" s="99"/>
      <c r="BU485" s="99"/>
    </row>
    <row r="486" ht="12.75" customHeight="1">
      <c r="A486" s="97"/>
      <c r="B486" s="98" t="s">
        <v>268</v>
      </c>
      <c r="C486" s="98" t="s">
        <v>597</v>
      </c>
      <c r="D486" s="99"/>
      <c r="E486" s="100"/>
      <c r="F486" s="101"/>
      <c r="G486" s="102" t="s">
        <v>623</v>
      </c>
      <c r="H486" s="103" t="s">
        <v>624</v>
      </c>
      <c r="I486" s="104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99"/>
      <c r="AP486" s="99"/>
      <c r="AQ486" s="99"/>
      <c r="AR486" s="99"/>
      <c r="AS486" s="99"/>
      <c r="AT486" s="99"/>
      <c r="AU486" s="99"/>
      <c r="AV486" s="99"/>
      <c r="AW486" s="99"/>
      <c r="AX486" s="99"/>
      <c r="AY486" s="99"/>
      <c r="AZ486" s="99"/>
      <c r="BA486" s="99"/>
      <c r="BB486" s="99"/>
      <c r="BC486" s="99"/>
      <c r="BD486" s="99"/>
      <c r="BE486" s="99"/>
      <c r="BF486" s="99"/>
      <c r="BG486" s="99"/>
      <c r="BH486" s="99"/>
      <c r="BI486" s="99"/>
      <c r="BJ486" s="99"/>
      <c r="BK486" s="99"/>
      <c r="BL486" s="99"/>
      <c r="BM486" s="99"/>
      <c r="BN486" s="99"/>
      <c r="BO486" s="99"/>
      <c r="BP486" s="99"/>
      <c r="BQ486" s="99"/>
      <c r="BR486" s="99"/>
      <c r="BS486" s="99"/>
      <c r="BT486" s="99"/>
      <c r="BU486" s="99"/>
    </row>
    <row r="487" ht="12.75" customHeight="1">
      <c r="A487" s="97"/>
      <c r="B487" s="98" t="s">
        <v>268</v>
      </c>
      <c r="C487" s="98" t="s">
        <v>597</v>
      </c>
      <c r="D487" s="99"/>
      <c r="E487" s="100"/>
      <c r="F487" s="101"/>
      <c r="G487" s="102" t="s">
        <v>625</v>
      </c>
      <c r="H487" s="103" t="s">
        <v>626</v>
      </c>
      <c r="I487" s="104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99"/>
      <c r="AP487" s="99"/>
      <c r="AQ487" s="99"/>
      <c r="AR487" s="99"/>
      <c r="AS487" s="99"/>
      <c r="AT487" s="99"/>
      <c r="AU487" s="99"/>
      <c r="AV487" s="99"/>
      <c r="AW487" s="99"/>
      <c r="AX487" s="99"/>
      <c r="AY487" s="99"/>
      <c r="AZ487" s="99"/>
      <c r="BA487" s="99"/>
      <c r="BB487" s="99"/>
      <c r="BC487" s="99"/>
      <c r="BD487" s="99"/>
      <c r="BE487" s="99"/>
      <c r="BF487" s="99"/>
      <c r="BG487" s="99"/>
      <c r="BH487" s="99"/>
      <c r="BI487" s="99"/>
      <c r="BJ487" s="99"/>
      <c r="BK487" s="99"/>
      <c r="BL487" s="99"/>
      <c r="BM487" s="99"/>
      <c r="BN487" s="99"/>
      <c r="BO487" s="99"/>
      <c r="BP487" s="99"/>
      <c r="BQ487" s="99"/>
      <c r="BR487" s="99"/>
      <c r="BS487" s="99"/>
      <c r="BT487" s="99"/>
      <c r="BU487" s="99"/>
    </row>
    <row r="488" ht="12.75" customHeight="1">
      <c r="A488" s="97"/>
      <c r="B488" s="98" t="s">
        <v>46</v>
      </c>
      <c r="C488" s="98" t="s">
        <v>597</v>
      </c>
      <c r="D488" s="99"/>
      <c r="E488" s="100"/>
      <c r="F488" s="101"/>
      <c r="G488" s="102" t="s">
        <v>627</v>
      </c>
      <c r="H488" s="103" t="s">
        <v>86</v>
      </c>
      <c r="I488" s="104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99"/>
      <c r="AP488" s="99"/>
      <c r="AQ488" s="99"/>
      <c r="AR488" s="99"/>
      <c r="AS488" s="99"/>
      <c r="AT488" s="99"/>
      <c r="AU488" s="99"/>
      <c r="AV488" s="99"/>
      <c r="AW488" s="99"/>
      <c r="AX488" s="99"/>
      <c r="AY488" s="99"/>
      <c r="AZ488" s="99"/>
      <c r="BA488" s="99"/>
      <c r="BB488" s="99"/>
      <c r="BC488" s="99"/>
      <c r="BD488" s="99"/>
      <c r="BE488" s="99"/>
      <c r="BF488" s="99"/>
      <c r="BG488" s="99"/>
      <c r="BH488" s="99"/>
      <c r="BI488" s="99"/>
      <c r="BJ488" s="99"/>
      <c r="BK488" s="99"/>
      <c r="BL488" s="99"/>
      <c r="BM488" s="99"/>
      <c r="BN488" s="99"/>
      <c r="BO488" s="99"/>
      <c r="BP488" s="99"/>
      <c r="BQ488" s="99"/>
      <c r="BR488" s="99"/>
      <c r="BS488" s="99"/>
      <c r="BT488" s="99"/>
      <c r="BU488" s="99"/>
    </row>
    <row r="489" ht="12.75" customHeight="1">
      <c r="A489" s="97"/>
      <c r="B489" s="98" t="s">
        <v>268</v>
      </c>
      <c r="C489" s="98" t="s">
        <v>597</v>
      </c>
      <c r="D489" s="99"/>
      <c r="E489" s="100"/>
      <c r="F489" s="101"/>
      <c r="G489" s="102" t="s">
        <v>628</v>
      </c>
      <c r="H489" s="103" t="s">
        <v>624</v>
      </c>
      <c r="I489" s="104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99"/>
      <c r="AP489" s="99"/>
      <c r="AQ489" s="99"/>
      <c r="AR489" s="99"/>
      <c r="AS489" s="99"/>
      <c r="AT489" s="99"/>
      <c r="AU489" s="99"/>
      <c r="AV489" s="99"/>
      <c r="AW489" s="99"/>
      <c r="AX489" s="99"/>
      <c r="AY489" s="99"/>
      <c r="AZ489" s="99"/>
      <c r="BA489" s="99"/>
      <c r="BB489" s="99"/>
      <c r="BC489" s="99"/>
      <c r="BD489" s="99"/>
      <c r="BE489" s="99"/>
      <c r="BF489" s="99"/>
      <c r="BG489" s="99"/>
      <c r="BH489" s="99"/>
      <c r="BI489" s="99"/>
      <c r="BJ489" s="99"/>
      <c r="BK489" s="99"/>
      <c r="BL489" s="99"/>
      <c r="BM489" s="99"/>
      <c r="BN489" s="99"/>
      <c r="BO489" s="99"/>
      <c r="BP489" s="99"/>
      <c r="BQ489" s="99"/>
      <c r="BR489" s="99"/>
      <c r="BS489" s="99"/>
      <c r="BT489" s="99"/>
      <c r="BU489" s="99"/>
    </row>
    <row r="490" ht="12.75" customHeight="1">
      <c r="A490" s="97"/>
      <c r="B490" s="98" t="s">
        <v>268</v>
      </c>
      <c r="C490" s="98" t="s">
        <v>597</v>
      </c>
      <c r="D490" s="99"/>
      <c r="E490" s="100"/>
      <c r="F490" s="101"/>
      <c r="G490" s="102" t="s">
        <v>629</v>
      </c>
      <c r="H490" s="103" t="s">
        <v>630</v>
      </c>
      <c r="I490" s="104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99"/>
      <c r="AP490" s="99"/>
      <c r="AQ490" s="99"/>
      <c r="AR490" s="99"/>
      <c r="AS490" s="99"/>
      <c r="AT490" s="99"/>
      <c r="AU490" s="99"/>
      <c r="AV490" s="99"/>
      <c r="AW490" s="99"/>
      <c r="AX490" s="99"/>
      <c r="AY490" s="99"/>
      <c r="AZ490" s="99"/>
      <c r="BA490" s="99"/>
      <c r="BB490" s="99"/>
      <c r="BC490" s="99"/>
      <c r="BD490" s="99"/>
      <c r="BE490" s="99"/>
      <c r="BF490" s="99"/>
      <c r="BG490" s="99"/>
      <c r="BH490" s="99"/>
      <c r="BI490" s="99"/>
      <c r="BJ490" s="99"/>
      <c r="BK490" s="99"/>
      <c r="BL490" s="99"/>
      <c r="BM490" s="99"/>
      <c r="BN490" s="99"/>
      <c r="BO490" s="99"/>
      <c r="BP490" s="99"/>
      <c r="BQ490" s="99"/>
      <c r="BR490" s="99"/>
      <c r="BS490" s="99"/>
      <c r="BT490" s="99"/>
      <c r="BU490" s="99"/>
    </row>
    <row r="491" ht="12.75" customHeight="1">
      <c r="A491" s="97"/>
      <c r="B491" s="98" t="s">
        <v>46</v>
      </c>
      <c r="C491" s="98" t="s">
        <v>597</v>
      </c>
      <c r="D491" s="99"/>
      <c r="E491" s="100"/>
      <c r="F491" s="101"/>
      <c r="G491" s="102" t="s">
        <v>631</v>
      </c>
      <c r="H491" s="103" t="s">
        <v>86</v>
      </c>
      <c r="I491" s="104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99"/>
      <c r="AP491" s="99"/>
      <c r="AQ491" s="99"/>
      <c r="AR491" s="99"/>
      <c r="AS491" s="99"/>
      <c r="AT491" s="99"/>
      <c r="AU491" s="99"/>
      <c r="AV491" s="99"/>
      <c r="AW491" s="99"/>
      <c r="AX491" s="99"/>
      <c r="AY491" s="99"/>
      <c r="AZ491" s="99"/>
      <c r="BA491" s="99"/>
      <c r="BB491" s="99"/>
      <c r="BC491" s="99"/>
      <c r="BD491" s="99"/>
      <c r="BE491" s="99"/>
      <c r="BF491" s="99"/>
      <c r="BG491" s="99"/>
      <c r="BH491" s="99"/>
      <c r="BI491" s="99"/>
      <c r="BJ491" s="99"/>
      <c r="BK491" s="99"/>
      <c r="BL491" s="99"/>
      <c r="BM491" s="99"/>
      <c r="BN491" s="99"/>
      <c r="BO491" s="99"/>
      <c r="BP491" s="99"/>
      <c r="BQ491" s="99"/>
      <c r="BR491" s="99"/>
      <c r="BS491" s="99"/>
      <c r="BT491" s="99"/>
      <c r="BU491" s="99"/>
    </row>
    <row r="492" ht="12.75" customHeight="1">
      <c r="A492" s="97"/>
      <c r="B492" s="98" t="s">
        <v>268</v>
      </c>
      <c r="C492" s="98" t="s">
        <v>597</v>
      </c>
      <c r="D492" s="99"/>
      <c r="E492" s="100"/>
      <c r="F492" s="101"/>
      <c r="G492" s="102" t="s">
        <v>632</v>
      </c>
      <c r="H492" s="103" t="s">
        <v>624</v>
      </c>
      <c r="I492" s="104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99"/>
      <c r="AP492" s="99"/>
      <c r="AQ492" s="99"/>
      <c r="AR492" s="99"/>
      <c r="AS492" s="99"/>
      <c r="AT492" s="99"/>
      <c r="AU492" s="99"/>
      <c r="AV492" s="99"/>
      <c r="AW492" s="99"/>
      <c r="AX492" s="99"/>
      <c r="AY492" s="99"/>
      <c r="AZ492" s="99"/>
      <c r="BA492" s="99"/>
      <c r="BB492" s="99"/>
      <c r="BC492" s="99"/>
      <c r="BD492" s="99"/>
      <c r="BE492" s="99"/>
      <c r="BF492" s="99"/>
      <c r="BG492" s="99"/>
      <c r="BH492" s="99"/>
      <c r="BI492" s="99"/>
      <c r="BJ492" s="99"/>
      <c r="BK492" s="99"/>
      <c r="BL492" s="99"/>
      <c r="BM492" s="99"/>
      <c r="BN492" s="99"/>
      <c r="BO492" s="99"/>
      <c r="BP492" s="99"/>
      <c r="BQ492" s="99"/>
      <c r="BR492" s="99"/>
      <c r="BS492" s="99"/>
      <c r="BT492" s="99"/>
      <c r="BU492" s="99"/>
    </row>
    <row r="493" ht="12.75" customHeight="1">
      <c r="A493" s="97"/>
      <c r="B493" s="98" t="s">
        <v>268</v>
      </c>
      <c r="C493" s="98" t="s">
        <v>597</v>
      </c>
      <c r="D493" s="99"/>
      <c r="E493" s="100"/>
      <c r="F493" s="101"/>
      <c r="G493" s="102" t="s">
        <v>633</v>
      </c>
      <c r="H493" s="103" t="s">
        <v>634</v>
      </c>
      <c r="I493" s="104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99"/>
      <c r="AP493" s="99"/>
      <c r="AQ493" s="99"/>
      <c r="AR493" s="99"/>
      <c r="AS493" s="99"/>
      <c r="AT493" s="99"/>
      <c r="AU493" s="99"/>
      <c r="AV493" s="99"/>
      <c r="AW493" s="99"/>
      <c r="AX493" s="99"/>
      <c r="AY493" s="99"/>
      <c r="AZ493" s="99"/>
      <c r="BA493" s="99"/>
      <c r="BB493" s="99"/>
      <c r="BC493" s="99"/>
      <c r="BD493" s="99"/>
      <c r="BE493" s="99"/>
      <c r="BF493" s="99"/>
      <c r="BG493" s="99"/>
      <c r="BH493" s="99"/>
      <c r="BI493" s="99"/>
      <c r="BJ493" s="99"/>
      <c r="BK493" s="99"/>
      <c r="BL493" s="99"/>
      <c r="BM493" s="99"/>
      <c r="BN493" s="99"/>
      <c r="BO493" s="99"/>
      <c r="BP493" s="99"/>
      <c r="BQ493" s="99"/>
      <c r="BR493" s="99"/>
      <c r="BS493" s="99"/>
      <c r="BT493" s="99"/>
      <c r="BU493" s="99"/>
    </row>
    <row r="494" ht="12.75" customHeight="1">
      <c r="A494" s="97"/>
      <c r="B494" s="98" t="s">
        <v>46</v>
      </c>
      <c r="C494" s="98" t="s">
        <v>597</v>
      </c>
      <c r="D494" s="99"/>
      <c r="E494" s="100"/>
      <c r="F494" s="101"/>
      <c r="G494" s="102" t="s">
        <v>635</v>
      </c>
      <c r="H494" s="103" t="s">
        <v>86</v>
      </c>
      <c r="I494" s="104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99"/>
      <c r="AP494" s="99"/>
      <c r="AQ494" s="99"/>
      <c r="AR494" s="99"/>
      <c r="AS494" s="99"/>
      <c r="AT494" s="99"/>
      <c r="AU494" s="99"/>
      <c r="AV494" s="99"/>
      <c r="AW494" s="99"/>
      <c r="AX494" s="99"/>
      <c r="AY494" s="99"/>
      <c r="AZ494" s="99"/>
      <c r="BA494" s="99"/>
      <c r="BB494" s="99"/>
      <c r="BC494" s="99"/>
      <c r="BD494" s="99"/>
      <c r="BE494" s="99"/>
      <c r="BF494" s="99"/>
      <c r="BG494" s="99"/>
      <c r="BH494" s="99"/>
      <c r="BI494" s="99"/>
      <c r="BJ494" s="99"/>
      <c r="BK494" s="99"/>
      <c r="BL494" s="99"/>
      <c r="BM494" s="99"/>
      <c r="BN494" s="99"/>
      <c r="BO494" s="99"/>
      <c r="BP494" s="99"/>
      <c r="BQ494" s="99"/>
      <c r="BR494" s="99"/>
      <c r="BS494" s="99"/>
      <c r="BT494" s="99"/>
      <c r="BU494" s="99"/>
    </row>
    <row r="495" ht="12.75" customHeight="1">
      <c r="A495" s="97"/>
      <c r="B495" s="98" t="s">
        <v>268</v>
      </c>
      <c r="C495" s="98" t="s">
        <v>597</v>
      </c>
      <c r="D495" s="99"/>
      <c r="E495" s="100"/>
      <c r="F495" s="101"/>
      <c r="G495" s="102" t="s">
        <v>636</v>
      </c>
      <c r="H495" s="103" t="s">
        <v>624</v>
      </c>
      <c r="I495" s="104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 s="99"/>
      <c r="AX495" s="99"/>
      <c r="AY495" s="99"/>
      <c r="AZ495" s="99"/>
      <c r="BA495" s="99"/>
      <c r="BB495" s="99"/>
      <c r="BC495" s="99"/>
      <c r="BD495" s="99"/>
      <c r="BE495" s="99"/>
      <c r="BF495" s="99"/>
      <c r="BG495" s="99"/>
      <c r="BH495" s="99"/>
      <c r="BI495" s="99"/>
      <c r="BJ495" s="99"/>
      <c r="BK495" s="99"/>
      <c r="BL495" s="99"/>
      <c r="BM495" s="99"/>
      <c r="BN495" s="99"/>
      <c r="BO495" s="99"/>
      <c r="BP495" s="99"/>
      <c r="BQ495" s="99"/>
      <c r="BR495" s="99"/>
      <c r="BS495" s="99"/>
      <c r="BT495" s="99"/>
      <c r="BU495" s="99"/>
    </row>
    <row r="496" ht="12.75" customHeight="1">
      <c r="A496" s="97"/>
      <c r="B496" s="98" t="s">
        <v>268</v>
      </c>
      <c r="C496" s="98" t="s">
        <v>597</v>
      </c>
      <c r="D496" s="99"/>
      <c r="E496" s="100"/>
      <c r="F496" s="101"/>
      <c r="G496" s="102" t="s">
        <v>637</v>
      </c>
      <c r="H496" s="103" t="s">
        <v>193</v>
      </c>
      <c r="I496" s="104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 s="99"/>
      <c r="AX496" s="99"/>
      <c r="AY496" s="99"/>
      <c r="AZ496" s="99"/>
      <c r="BA496" s="99"/>
      <c r="BB496" s="99"/>
      <c r="BC496" s="99"/>
      <c r="BD496" s="99"/>
      <c r="BE496" s="99"/>
      <c r="BF496" s="99"/>
      <c r="BG496" s="99"/>
      <c r="BH496" s="99"/>
      <c r="BI496" s="99"/>
      <c r="BJ496" s="99"/>
      <c r="BK496" s="99"/>
      <c r="BL496" s="99"/>
      <c r="BM496" s="99"/>
      <c r="BN496" s="99"/>
      <c r="BO496" s="99"/>
      <c r="BP496" s="99"/>
      <c r="BQ496" s="99"/>
      <c r="BR496" s="99"/>
      <c r="BS496" s="99"/>
      <c r="BT496" s="99"/>
      <c r="BU496" s="99"/>
    </row>
    <row r="497" ht="12.75" customHeight="1">
      <c r="A497" s="97"/>
      <c r="B497" s="98" t="s">
        <v>46</v>
      </c>
      <c r="C497" s="98" t="s">
        <v>597</v>
      </c>
      <c r="D497" s="99"/>
      <c r="E497" s="100"/>
      <c r="F497" s="101"/>
      <c r="G497" s="102" t="s">
        <v>638</v>
      </c>
      <c r="H497" s="103" t="s">
        <v>204</v>
      </c>
      <c r="I497" s="104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 s="99"/>
      <c r="AX497" s="99"/>
      <c r="AY497" s="99"/>
      <c r="AZ497" s="99"/>
      <c r="BA497" s="99"/>
      <c r="BB497" s="99"/>
      <c r="BC497" s="99"/>
      <c r="BD497" s="99"/>
      <c r="BE497" s="99"/>
      <c r="BF497" s="99"/>
      <c r="BG497" s="99"/>
      <c r="BH497" s="99"/>
      <c r="BI497" s="99"/>
      <c r="BJ497" s="99"/>
      <c r="BK497" s="99"/>
      <c r="BL497" s="99"/>
      <c r="BM497" s="99"/>
      <c r="BN497" s="99"/>
      <c r="BO497" s="99"/>
      <c r="BP497" s="99"/>
      <c r="BQ497" s="99"/>
      <c r="BR497" s="99"/>
      <c r="BS497" s="99"/>
      <c r="BT497" s="99"/>
      <c r="BU497" s="99"/>
    </row>
    <row r="498" ht="12.75" customHeight="1">
      <c r="A498" s="97"/>
      <c r="B498" s="98" t="s">
        <v>268</v>
      </c>
      <c r="C498" s="98" t="s">
        <v>597</v>
      </c>
      <c r="D498" s="99"/>
      <c r="E498" s="100"/>
      <c r="F498" s="101"/>
      <c r="G498" s="102" t="s">
        <v>639</v>
      </c>
      <c r="H498" s="103" t="s">
        <v>591</v>
      </c>
      <c r="I498" s="104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 s="99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  <c r="BK498" s="99"/>
      <c r="BL498" s="99"/>
      <c r="BM498" s="99"/>
      <c r="BN498" s="99"/>
      <c r="BO498" s="99"/>
      <c r="BP498" s="99"/>
      <c r="BQ498" s="99"/>
      <c r="BR498" s="99"/>
      <c r="BS498" s="99"/>
      <c r="BT498" s="99"/>
      <c r="BU498" s="99"/>
    </row>
    <row r="499" ht="12.75" customHeight="1">
      <c r="A499" s="97"/>
      <c r="B499" s="98" t="s">
        <v>268</v>
      </c>
      <c r="C499" s="98" t="s">
        <v>597</v>
      </c>
      <c r="D499" s="99"/>
      <c r="E499" s="100"/>
      <c r="F499" s="101"/>
      <c r="G499" s="102" t="s">
        <v>640</v>
      </c>
      <c r="H499" s="103" t="s">
        <v>61</v>
      </c>
      <c r="I499" s="104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99"/>
      <c r="AP499" s="99"/>
      <c r="AQ499" s="99"/>
      <c r="AR499" s="99"/>
      <c r="AS499" s="99"/>
      <c r="AT499" s="99"/>
      <c r="AU499" s="99"/>
      <c r="AV499" s="99"/>
      <c r="AW499" s="99"/>
      <c r="AX499" s="99"/>
      <c r="AY499" s="99"/>
      <c r="AZ499" s="99"/>
      <c r="BA499" s="99"/>
      <c r="BB499" s="99"/>
      <c r="BC499" s="99"/>
      <c r="BD499" s="99"/>
      <c r="BE499" s="99"/>
      <c r="BF499" s="99"/>
      <c r="BG499" s="99"/>
      <c r="BH499" s="99"/>
      <c r="BI499" s="99"/>
      <c r="BJ499" s="99"/>
      <c r="BK499" s="99"/>
      <c r="BL499" s="99"/>
      <c r="BM499" s="99"/>
      <c r="BN499" s="99"/>
      <c r="BO499" s="99"/>
      <c r="BP499" s="99"/>
      <c r="BQ499" s="99"/>
      <c r="BR499" s="99"/>
      <c r="BS499" s="99"/>
      <c r="BT499" s="99"/>
      <c r="BU499" s="99"/>
    </row>
    <row r="500" ht="12.75" customHeight="1">
      <c r="A500" s="97"/>
      <c r="B500" s="98" t="s">
        <v>46</v>
      </c>
      <c r="C500" s="98" t="s">
        <v>597</v>
      </c>
      <c r="D500" s="99"/>
      <c r="E500" s="100"/>
      <c r="F500" s="101"/>
      <c r="G500" s="102" t="s">
        <v>641</v>
      </c>
      <c r="H500" s="103" t="s">
        <v>204</v>
      </c>
      <c r="I500" s="104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99"/>
      <c r="AP500" s="99"/>
      <c r="AQ500" s="99"/>
      <c r="AR500" s="99"/>
      <c r="AS500" s="99"/>
      <c r="AT500" s="99"/>
      <c r="AU500" s="99"/>
      <c r="AV500" s="99"/>
      <c r="AW500" s="99"/>
      <c r="AX500" s="99"/>
      <c r="AY500" s="99"/>
      <c r="AZ500" s="99"/>
      <c r="BA500" s="99"/>
      <c r="BB500" s="99"/>
      <c r="BC500" s="99"/>
      <c r="BD500" s="99"/>
      <c r="BE500" s="99"/>
      <c r="BF500" s="99"/>
      <c r="BG500" s="99"/>
      <c r="BH500" s="99"/>
      <c r="BI500" s="99"/>
      <c r="BJ500" s="99"/>
      <c r="BK500" s="99"/>
      <c r="BL500" s="99"/>
      <c r="BM500" s="99"/>
      <c r="BN500" s="99"/>
      <c r="BO500" s="99"/>
      <c r="BP500" s="99"/>
      <c r="BQ500" s="99"/>
      <c r="BR500" s="99"/>
      <c r="BS500" s="99"/>
      <c r="BT500" s="99"/>
      <c r="BU500" s="99"/>
    </row>
    <row r="501" ht="12.75" customHeight="1">
      <c r="A501" s="97"/>
      <c r="B501" s="98" t="s">
        <v>268</v>
      </c>
      <c r="C501" s="98" t="s">
        <v>597</v>
      </c>
      <c r="D501" s="99"/>
      <c r="E501" s="100"/>
      <c r="F501" s="101"/>
      <c r="G501" s="102" t="s">
        <v>642</v>
      </c>
      <c r="H501" s="103" t="s">
        <v>591</v>
      </c>
      <c r="I501" s="104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99"/>
      <c r="AP501" s="99"/>
      <c r="AQ501" s="99"/>
      <c r="AR501" s="99"/>
      <c r="AS501" s="99"/>
      <c r="AT501" s="99"/>
      <c r="AU501" s="99"/>
      <c r="AV501" s="99"/>
      <c r="AW501" s="99"/>
      <c r="AX501" s="99"/>
      <c r="AY501" s="99"/>
      <c r="AZ501" s="99"/>
      <c r="BA501" s="99"/>
      <c r="BB501" s="99"/>
      <c r="BC501" s="99"/>
      <c r="BD501" s="99"/>
      <c r="BE501" s="99"/>
      <c r="BF501" s="99"/>
      <c r="BG501" s="99"/>
      <c r="BH501" s="99"/>
      <c r="BI501" s="99"/>
      <c r="BJ501" s="99"/>
      <c r="BK501" s="99"/>
      <c r="BL501" s="99"/>
      <c r="BM501" s="99"/>
      <c r="BN501" s="99"/>
      <c r="BO501" s="99"/>
      <c r="BP501" s="99"/>
      <c r="BQ501" s="99"/>
      <c r="BR501" s="99"/>
      <c r="BS501" s="99"/>
      <c r="BT501" s="99"/>
      <c r="BU501" s="99"/>
    </row>
    <row r="502" ht="12.75" customHeight="1">
      <c r="A502" s="97"/>
      <c r="B502" s="98" t="s">
        <v>268</v>
      </c>
      <c r="C502" s="98" t="s">
        <v>597</v>
      </c>
      <c r="D502" s="99"/>
      <c r="E502" s="100"/>
      <c r="F502" s="101"/>
      <c r="G502" s="102" t="s">
        <v>643</v>
      </c>
      <c r="H502" s="103" t="s">
        <v>186</v>
      </c>
      <c r="I502" s="104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99"/>
      <c r="AP502" s="99"/>
      <c r="AQ502" s="99"/>
      <c r="AR502" s="99"/>
      <c r="AS502" s="99"/>
      <c r="AT502" s="99"/>
      <c r="AU502" s="99"/>
      <c r="AV502" s="99"/>
      <c r="AW502" s="99"/>
      <c r="AX502" s="99"/>
      <c r="AY502" s="99"/>
      <c r="AZ502" s="99"/>
      <c r="BA502" s="99"/>
      <c r="BB502" s="99"/>
      <c r="BC502" s="99"/>
      <c r="BD502" s="99"/>
      <c r="BE502" s="99"/>
      <c r="BF502" s="99"/>
      <c r="BG502" s="99"/>
      <c r="BH502" s="99"/>
      <c r="BI502" s="99"/>
      <c r="BJ502" s="99"/>
      <c r="BK502" s="99"/>
      <c r="BL502" s="99"/>
      <c r="BM502" s="99"/>
      <c r="BN502" s="99"/>
      <c r="BO502" s="99"/>
      <c r="BP502" s="99"/>
      <c r="BQ502" s="99"/>
      <c r="BR502" s="99"/>
      <c r="BS502" s="99"/>
      <c r="BT502" s="99"/>
      <c r="BU502" s="99"/>
    </row>
    <row r="503" ht="12.75" customHeight="1">
      <c r="A503" s="97"/>
      <c r="B503" s="98" t="s">
        <v>46</v>
      </c>
      <c r="C503" s="98" t="s">
        <v>597</v>
      </c>
      <c r="D503" s="99"/>
      <c r="E503" s="100"/>
      <c r="F503" s="101"/>
      <c r="G503" s="102" t="s">
        <v>644</v>
      </c>
      <c r="H503" s="103" t="s">
        <v>204</v>
      </c>
      <c r="I503" s="104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99"/>
      <c r="AP503" s="99"/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  <c r="BG503" s="99"/>
      <c r="BH503" s="99"/>
      <c r="BI503" s="99"/>
      <c r="BJ503" s="99"/>
      <c r="BK503" s="99"/>
      <c r="BL503" s="99"/>
      <c r="BM503" s="99"/>
      <c r="BN503" s="99"/>
      <c r="BO503" s="99"/>
      <c r="BP503" s="99"/>
      <c r="BQ503" s="99"/>
      <c r="BR503" s="99"/>
      <c r="BS503" s="99"/>
      <c r="BT503" s="99"/>
      <c r="BU503" s="99"/>
    </row>
    <row r="504" ht="12.75" customHeight="1">
      <c r="A504" s="97"/>
      <c r="B504" s="98" t="s">
        <v>268</v>
      </c>
      <c r="C504" s="98" t="s">
        <v>597</v>
      </c>
      <c r="D504" s="99"/>
      <c r="E504" s="100"/>
      <c r="F504" s="101"/>
      <c r="G504" s="102" t="s">
        <v>645</v>
      </c>
      <c r="H504" s="103" t="s">
        <v>591</v>
      </c>
      <c r="I504" s="104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99"/>
      <c r="AP504" s="99"/>
      <c r="AQ504" s="99"/>
      <c r="AR504" s="99"/>
      <c r="AS504" s="99"/>
      <c r="AT504" s="99"/>
      <c r="AU504" s="99"/>
      <c r="AV504" s="99"/>
      <c r="AW504" s="99"/>
      <c r="AX504" s="99"/>
      <c r="AY504" s="99"/>
      <c r="AZ504" s="99"/>
      <c r="BA504" s="99"/>
      <c r="BB504" s="99"/>
      <c r="BC504" s="99"/>
      <c r="BD504" s="99"/>
      <c r="BE504" s="99"/>
      <c r="BF504" s="99"/>
      <c r="BG504" s="99"/>
      <c r="BH504" s="99"/>
      <c r="BI504" s="99"/>
      <c r="BJ504" s="99"/>
      <c r="BK504" s="99"/>
      <c r="BL504" s="99"/>
      <c r="BM504" s="99"/>
      <c r="BN504" s="99"/>
      <c r="BO504" s="99"/>
      <c r="BP504" s="99"/>
      <c r="BQ504" s="99"/>
      <c r="BR504" s="99"/>
      <c r="BS504" s="99"/>
      <c r="BT504" s="99"/>
      <c r="BU504" s="99"/>
    </row>
    <row r="505" ht="12.75" customHeight="1">
      <c r="A505" s="97"/>
      <c r="B505" s="98" t="s">
        <v>268</v>
      </c>
      <c r="C505" s="98" t="s">
        <v>597</v>
      </c>
      <c r="D505" s="99"/>
      <c r="E505" s="100"/>
      <c r="F505" s="101"/>
      <c r="G505" s="102" t="s">
        <v>646</v>
      </c>
      <c r="H505" s="103" t="s">
        <v>232</v>
      </c>
      <c r="I505" s="104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99"/>
      <c r="AP505" s="99"/>
      <c r="AQ505" s="99"/>
      <c r="AR505" s="99"/>
      <c r="AS505" s="99"/>
      <c r="AT505" s="99"/>
      <c r="AU505" s="99"/>
      <c r="AV505" s="99"/>
      <c r="AW505" s="99"/>
      <c r="AX505" s="99"/>
      <c r="AY505" s="99"/>
      <c r="AZ505" s="99"/>
      <c r="BA505" s="99"/>
      <c r="BB505" s="99"/>
      <c r="BC505" s="99"/>
      <c r="BD505" s="99"/>
      <c r="BE505" s="99"/>
      <c r="BF505" s="99"/>
      <c r="BG505" s="99"/>
      <c r="BH505" s="99"/>
      <c r="BI505" s="99"/>
      <c r="BJ505" s="99"/>
      <c r="BK505" s="99"/>
      <c r="BL505" s="99"/>
      <c r="BM505" s="99"/>
      <c r="BN505" s="99"/>
      <c r="BO505" s="99"/>
      <c r="BP505" s="99"/>
      <c r="BQ505" s="99"/>
      <c r="BR505" s="99"/>
      <c r="BS505" s="99"/>
      <c r="BT505" s="99"/>
      <c r="BU505" s="99"/>
    </row>
    <row r="506" ht="12.75" customHeight="1">
      <c r="A506" s="97"/>
      <c r="B506" s="98" t="s">
        <v>46</v>
      </c>
      <c r="C506" s="98" t="s">
        <v>597</v>
      </c>
      <c r="D506" s="99"/>
      <c r="E506" s="100"/>
      <c r="F506" s="101"/>
      <c r="G506" s="102" t="s">
        <v>647</v>
      </c>
      <c r="H506" s="103" t="s">
        <v>204</v>
      </c>
      <c r="I506" s="104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99"/>
      <c r="AP506" s="99"/>
      <c r="AQ506" s="99"/>
      <c r="AR506" s="99"/>
      <c r="AS506" s="99"/>
      <c r="AT506" s="99"/>
      <c r="AU506" s="99"/>
      <c r="AV506" s="99"/>
      <c r="AW506" s="99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  <c r="BK506" s="99"/>
      <c r="BL506" s="99"/>
      <c r="BM506" s="99"/>
      <c r="BN506" s="99"/>
      <c r="BO506" s="99"/>
      <c r="BP506" s="99"/>
      <c r="BQ506" s="99"/>
      <c r="BR506" s="99"/>
      <c r="BS506" s="99"/>
      <c r="BT506" s="99"/>
      <c r="BU506" s="99"/>
    </row>
    <row r="507" ht="12.75" customHeight="1">
      <c r="A507" s="97"/>
      <c r="B507" s="98" t="s">
        <v>268</v>
      </c>
      <c r="C507" s="98" t="s">
        <v>597</v>
      </c>
      <c r="D507" s="99"/>
      <c r="E507" s="100"/>
      <c r="F507" s="101"/>
      <c r="G507" s="102" t="s">
        <v>648</v>
      </c>
      <c r="H507" s="103" t="s">
        <v>591</v>
      </c>
      <c r="I507" s="104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99"/>
      <c r="AP507" s="99"/>
      <c r="AQ507" s="99"/>
      <c r="AR507" s="99"/>
      <c r="AS507" s="99"/>
      <c r="AT507" s="99"/>
      <c r="AU507" s="99"/>
      <c r="AV507" s="99"/>
      <c r="AW507" s="99"/>
      <c r="AX507" s="99"/>
      <c r="AY507" s="99"/>
      <c r="AZ507" s="99"/>
      <c r="BA507" s="99"/>
      <c r="BB507" s="99"/>
      <c r="BC507" s="99"/>
      <c r="BD507" s="99"/>
      <c r="BE507" s="99"/>
      <c r="BF507" s="99"/>
      <c r="BG507" s="99"/>
      <c r="BH507" s="99"/>
      <c r="BI507" s="99"/>
      <c r="BJ507" s="99"/>
      <c r="BK507" s="99"/>
      <c r="BL507" s="99"/>
      <c r="BM507" s="99"/>
      <c r="BN507" s="99"/>
      <c r="BO507" s="99"/>
      <c r="BP507" s="99"/>
      <c r="BQ507" s="99"/>
      <c r="BR507" s="99"/>
      <c r="BS507" s="99"/>
      <c r="BT507" s="99"/>
      <c r="BU507" s="99"/>
    </row>
    <row r="508" ht="12.75" customHeight="1">
      <c r="A508" s="97"/>
      <c r="B508" s="98" t="s">
        <v>268</v>
      </c>
      <c r="C508" s="98" t="s">
        <v>597</v>
      </c>
      <c r="D508" s="99"/>
      <c r="E508" s="100"/>
      <c r="F508" s="101"/>
      <c r="G508" s="102" t="s">
        <v>649</v>
      </c>
      <c r="H508" s="103" t="s">
        <v>132</v>
      </c>
      <c r="I508" s="104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99"/>
      <c r="AP508" s="99"/>
      <c r="AQ508" s="99"/>
      <c r="AR508" s="99"/>
      <c r="AS508" s="99"/>
      <c r="AT508" s="99"/>
      <c r="AU508" s="99"/>
      <c r="AV508" s="99"/>
      <c r="AW508" s="99"/>
      <c r="AX508" s="99"/>
      <c r="AY508" s="99"/>
      <c r="AZ508" s="99"/>
      <c r="BA508" s="99"/>
      <c r="BB508" s="99"/>
      <c r="BC508" s="99"/>
      <c r="BD508" s="99"/>
      <c r="BE508" s="99"/>
      <c r="BF508" s="99"/>
      <c r="BG508" s="99"/>
      <c r="BH508" s="99"/>
      <c r="BI508" s="99"/>
      <c r="BJ508" s="99"/>
      <c r="BK508" s="99"/>
      <c r="BL508" s="99"/>
      <c r="BM508" s="99"/>
      <c r="BN508" s="99"/>
      <c r="BO508" s="99"/>
      <c r="BP508" s="99"/>
      <c r="BQ508" s="99"/>
      <c r="BR508" s="99"/>
      <c r="BS508" s="99"/>
      <c r="BT508" s="99"/>
      <c r="BU508" s="99"/>
    </row>
    <row r="509" ht="12.75" customHeight="1">
      <c r="A509" s="97"/>
      <c r="B509" s="98" t="s">
        <v>46</v>
      </c>
      <c r="C509" s="98" t="s">
        <v>597</v>
      </c>
      <c r="D509" s="99"/>
      <c r="E509" s="100"/>
      <c r="F509" s="101"/>
      <c r="G509" s="102" t="s">
        <v>650</v>
      </c>
      <c r="H509" s="103" t="s">
        <v>204</v>
      </c>
      <c r="I509" s="104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99"/>
      <c r="AP509" s="99"/>
      <c r="AQ509" s="99"/>
      <c r="AR509" s="99"/>
      <c r="AS509" s="99"/>
      <c r="AT509" s="99"/>
      <c r="AU509" s="99"/>
      <c r="AV509" s="99"/>
      <c r="AW509" s="99"/>
      <c r="AX509" s="99"/>
      <c r="AY509" s="99"/>
      <c r="AZ509" s="99"/>
      <c r="BA509" s="99"/>
      <c r="BB509" s="99"/>
      <c r="BC509" s="99"/>
      <c r="BD509" s="99"/>
      <c r="BE509" s="99"/>
      <c r="BF509" s="99"/>
      <c r="BG509" s="99"/>
      <c r="BH509" s="99"/>
      <c r="BI509" s="99"/>
      <c r="BJ509" s="99"/>
      <c r="BK509" s="99"/>
      <c r="BL509" s="99"/>
      <c r="BM509" s="99"/>
      <c r="BN509" s="99"/>
      <c r="BO509" s="99"/>
      <c r="BP509" s="99"/>
      <c r="BQ509" s="99"/>
      <c r="BR509" s="99"/>
      <c r="BS509" s="99"/>
      <c r="BT509" s="99"/>
      <c r="BU509" s="99"/>
    </row>
    <row r="510" ht="12.75" customHeight="1">
      <c r="A510" s="97"/>
      <c r="B510" s="98" t="s">
        <v>268</v>
      </c>
      <c r="C510" s="98" t="s">
        <v>597</v>
      </c>
      <c r="D510" s="99"/>
      <c r="E510" s="100"/>
      <c r="F510" s="101"/>
      <c r="G510" s="102" t="s">
        <v>651</v>
      </c>
      <c r="H510" s="103" t="s">
        <v>591</v>
      </c>
      <c r="I510" s="104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99"/>
      <c r="AP510" s="99"/>
      <c r="AQ510" s="99"/>
      <c r="AR510" s="99"/>
      <c r="AS510" s="99"/>
      <c r="AT510" s="99"/>
      <c r="AU510" s="99"/>
      <c r="AV510" s="99"/>
      <c r="AW510" s="99"/>
      <c r="AX510" s="99"/>
      <c r="AY510" s="99"/>
      <c r="AZ510" s="99"/>
      <c r="BA510" s="99"/>
      <c r="BB510" s="99"/>
      <c r="BC510" s="99"/>
      <c r="BD510" s="99"/>
      <c r="BE510" s="99"/>
      <c r="BF510" s="99"/>
      <c r="BG510" s="99"/>
      <c r="BH510" s="99"/>
      <c r="BI510" s="99"/>
      <c r="BJ510" s="99"/>
      <c r="BK510" s="99"/>
      <c r="BL510" s="99"/>
      <c r="BM510" s="99"/>
      <c r="BN510" s="99"/>
      <c r="BO510" s="99"/>
      <c r="BP510" s="99"/>
      <c r="BQ510" s="99"/>
      <c r="BR510" s="99"/>
      <c r="BS510" s="99"/>
      <c r="BT510" s="99"/>
      <c r="BU510" s="99"/>
    </row>
    <row r="511" ht="12.75" customHeight="1">
      <c r="A511" s="97"/>
      <c r="B511" s="98" t="s">
        <v>268</v>
      </c>
      <c r="C511" s="98" t="s">
        <v>597</v>
      </c>
      <c r="D511" s="99"/>
      <c r="E511" s="100"/>
      <c r="F511" s="101"/>
      <c r="G511" s="102" t="s">
        <v>652</v>
      </c>
      <c r="H511" s="103" t="s">
        <v>286</v>
      </c>
      <c r="I511" s="104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99"/>
      <c r="AP511" s="99"/>
      <c r="AQ511" s="99"/>
      <c r="AR511" s="99"/>
      <c r="AS511" s="99"/>
      <c r="AT511" s="99"/>
      <c r="AU511" s="99"/>
      <c r="AV511" s="99"/>
      <c r="AW511" s="99"/>
      <c r="AX511" s="99"/>
      <c r="AY511" s="99"/>
      <c r="AZ511" s="99"/>
      <c r="BA511" s="99"/>
      <c r="BB511" s="99"/>
      <c r="BC511" s="99"/>
      <c r="BD511" s="99"/>
      <c r="BE511" s="99"/>
      <c r="BF511" s="99"/>
      <c r="BG511" s="99"/>
      <c r="BH511" s="99"/>
      <c r="BI511" s="99"/>
      <c r="BJ511" s="99"/>
      <c r="BK511" s="99"/>
      <c r="BL511" s="99"/>
      <c r="BM511" s="99"/>
      <c r="BN511" s="99"/>
      <c r="BO511" s="99"/>
      <c r="BP511" s="99"/>
      <c r="BQ511" s="99"/>
      <c r="BR511" s="99"/>
      <c r="BS511" s="99"/>
      <c r="BT511" s="99"/>
      <c r="BU511" s="99"/>
    </row>
    <row r="512" ht="12.75" customHeight="1">
      <c r="A512" s="97"/>
      <c r="B512" s="98" t="s">
        <v>46</v>
      </c>
      <c r="C512" s="98" t="s">
        <v>597</v>
      </c>
      <c r="D512" s="99"/>
      <c r="E512" s="100"/>
      <c r="F512" s="101"/>
      <c r="G512" s="102" t="s">
        <v>653</v>
      </c>
      <c r="H512" s="103" t="s">
        <v>204</v>
      </c>
      <c r="I512" s="104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99"/>
      <c r="AP512" s="99"/>
      <c r="AQ512" s="99"/>
      <c r="AR512" s="99"/>
      <c r="AS512" s="99"/>
      <c r="AT512" s="99"/>
      <c r="AU512" s="99"/>
      <c r="AV512" s="99"/>
      <c r="AW512" s="99"/>
      <c r="AX512" s="99"/>
      <c r="AY512" s="99"/>
      <c r="AZ512" s="99"/>
      <c r="BA512" s="99"/>
      <c r="BB512" s="99"/>
      <c r="BC512" s="99"/>
      <c r="BD512" s="99"/>
      <c r="BE512" s="99"/>
      <c r="BF512" s="99"/>
      <c r="BG512" s="99"/>
      <c r="BH512" s="99"/>
      <c r="BI512" s="99"/>
      <c r="BJ512" s="99"/>
      <c r="BK512" s="99"/>
      <c r="BL512" s="99"/>
      <c r="BM512" s="99"/>
      <c r="BN512" s="99"/>
      <c r="BO512" s="99"/>
      <c r="BP512" s="99"/>
      <c r="BQ512" s="99"/>
      <c r="BR512" s="99"/>
      <c r="BS512" s="99"/>
      <c r="BT512" s="99"/>
      <c r="BU512" s="99"/>
    </row>
    <row r="513" ht="12.75" customHeight="1">
      <c r="A513" s="97"/>
      <c r="B513" s="98" t="s">
        <v>268</v>
      </c>
      <c r="C513" s="98" t="s">
        <v>597</v>
      </c>
      <c r="D513" s="99"/>
      <c r="E513" s="100"/>
      <c r="F513" s="101"/>
      <c r="G513" s="102" t="s">
        <v>654</v>
      </c>
      <c r="H513" s="103" t="s">
        <v>591</v>
      </c>
      <c r="I513" s="104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99"/>
      <c r="AP513" s="99"/>
      <c r="AQ513" s="99"/>
      <c r="AR513" s="99"/>
      <c r="AS513" s="99"/>
      <c r="AT513" s="99"/>
      <c r="AU513" s="99"/>
      <c r="AV513" s="99"/>
      <c r="AW513" s="99"/>
      <c r="AX513" s="99"/>
      <c r="AY513" s="99"/>
      <c r="AZ513" s="99"/>
      <c r="BA513" s="99"/>
      <c r="BB513" s="99"/>
      <c r="BC513" s="99"/>
      <c r="BD513" s="99"/>
      <c r="BE513" s="99"/>
      <c r="BF513" s="99"/>
      <c r="BG513" s="99"/>
      <c r="BH513" s="99"/>
      <c r="BI513" s="99"/>
      <c r="BJ513" s="99"/>
      <c r="BK513" s="99"/>
      <c r="BL513" s="99"/>
      <c r="BM513" s="99"/>
      <c r="BN513" s="99"/>
      <c r="BO513" s="99"/>
      <c r="BP513" s="99"/>
      <c r="BQ513" s="99"/>
      <c r="BR513" s="99"/>
      <c r="BS513" s="99"/>
      <c r="BT513" s="99"/>
      <c r="BU513" s="99"/>
    </row>
    <row r="514" ht="12.75" customHeight="1">
      <c r="A514" s="97"/>
      <c r="B514" s="98" t="s">
        <v>268</v>
      </c>
      <c r="C514" s="98" t="s">
        <v>597</v>
      </c>
      <c r="D514" s="99"/>
      <c r="E514" s="100"/>
      <c r="F514" s="101"/>
      <c r="G514" s="102" t="s">
        <v>655</v>
      </c>
      <c r="H514" s="103" t="s">
        <v>147</v>
      </c>
      <c r="I514" s="104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99"/>
      <c r="AP514" s="99"/>
      <c r="AQ514" s="99"/>
      <c r="AR514" s="99"/>
      <c r="AS514" s="99"/>
      <c r="AT514" s="99"/>
      <c r="AU514" s="99"/>
      <c r="AV514" s="99"/>
      <c r="AW514" s="99"/>
      <c r="AX514" s="99"/>
      <c r="AY514" s="99"/>
      <c r="AZ514" s="99"/>
      <c r="BA514" s="99"/>
      <c r="BB514" s="99"/>
      <c r="BC514" s="99"/>
      <c r="BD514" s="99"/>
      <c r="BE514" s="99"/>
      <c r="BF514" s="99"/>
      <c r="BG514" s="99"/>
      <c r="BH514" s="99"/>
      <c r="BI514" s="99"/>
      <c r="BJ514" s="99"/>
      <c r="BK514" s="99"/>
      <c r="BL514" s="99"/>
      <c r="BM514" s="99"/>
      <c r="BN514" s="99"/>
      <c r="BO514" s="99"/>
      <c r="BP514" s="99"/>
      <c r="BQ514" s="99"/>
      <c r="BR514" s="99"/>
      <c r="BS514" s="99"/>
      <c r="BT514" s="99"/>
      <c r="BU514" s="99"/>
    </row>
    <row r="515" ht="12.75" customHeight="1">
      <c r="A515" s="97"/>
      <c r="B515" s="98" t="s">
        <v>46</v>
      </c>
      <c r="C515" s="98" t="s">
        <v>597</v>
      </c>
      <c r="D515" s="99"/>
      <c r="E515" s="100"/>
      <c r="F515" s="101"/>
      <c r="G515" s="102" t="s">
        <v>656</v>
      </c>
      <c r="H515" s="103" t="s">
        <v>204</v>
      </c>
      <c r="I515" s="104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99"/>
      <c r="AP515" s="99"/>
      <c r="AQ515" s="99"/>
      <c r="AR515" s="99"/>
      <c r="AS515" s="99"/>
      <c r="AT515" s="99"/>
      <c r="AU515" s="99"/>
      <c r="AV515" s="99"/>
      <c r="AW515" s="99"/>
      <c r="AX515" s="99"/>
      <c r="AY515" s="99"/>
      <c r="AZ515" s="99"/>
      <c r="BA515" s="99"/>
      <c r="BB515" s="99"/>
      <c r="BC515" s="99"/>
      <c r="BD515" s="99"/>
      <c r="BE515" s="99"/>
      <c r="BF515" s="99"/>
      <c r="BG515" s="99"/>
      <c r="BH515" s="99"/>
      <c r="BI515" s="99"/>
      <c r="BJ515" s="99"/>
      <c r="BK515" s="99"/>
      <c r="BL515" s="99"/>
      <c r="BM515" s="99"/>
      <c r="BN515" s="99"/>
      <c r="BO515" s="99"/>
      <c r="BP515" s="99"/>
      <c r="BQ515" s="99"/>
      <c r="BR515" s="99"/>
      <c r="BS515" s="99"/>
      <c r="BT515" s="99"/>
      <c r="BU515" s="99"/>
    </row>
    <row r="516" ht="12.75" customHeight="1">
      <c r="A516" s="97"/>
      <c r="B516" s="98" t="s">
        <v>268</v>
      </c>
      <c r="C516" s="98" t="s">
        <v>597</v>
      </c>
      <c r="D516" s="99"/>
      <c r="E516" s="100"/>
      <c r="F516" s="101"/>
      <c r="G516" s="102" t="s">
        <v>657</v>
      </c>
      <c r="H516" s="103" t="s">
        <v>591</v>
      </c>
      <c r="I516" s="104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99"/>
      <c r="AP516" s="99"/>
      <c r="AQ516" s="99"/>
      <c r="AR516" s="99"/>
      <c r="AS516" s="99"/>
      <c r="AT516" s="99"/>
      <c r="AU516" s="99"/>
      <c r="AV516" s="99"/>
      <c r="AW516" s="99"/>
      <c r="AX516" s="99"/>
      <c r="AY516" s="99"/>
      <c r="AZ516" s="99"/>
      <c r="BA516" s="99"/>
      <c r="BB516" s="99"/>
      <c r="BC516" s="99"/>
      <c r="BD516" s="99"/>
      <c r="BE516" s="99"/>
      <c r="BF516" s="99"/>
      <c r="BG516" s="99"/>
      <c r="BH516" s="99"/>
      <c r="BI516" s="99"/>
      <c r="BJ516" s="99"/>
      <c r="BK516" s="99"/>
      <c r="BL516" s="99"/>
      <c r="BM516" s="99"/>
      <c r="BN516" s="99"/>
      <c r="BO516" s="99"/>
      <c r="BP516" s="99"/>
      <c r="BQ516" s="99"/>
      <c r="BR516" s="99"/>
      <c r="BS516" s="99"/>
      <c r="BT516" s="99"/>
      <c r="BU516" s="99"/>
    </row>
    <row r="517" ht="12.75" customHeight="1">
      <c r="A517" s="97"/>
      <c r="B517" s="98" t="s">
        <v>268</v>
      </c>
      <c r="C517" s="98" t="s">
        <v>597</v>
      </c>
      <c r="D517" s="99"/>
      <c r="E517" s="100"/>
      <c r="F517" s="101"/>
      <c r="G517" s="102" t="s">
        <v>658</v>
      </c>
      <c r="H517" s="103" t="s">
        <v>206</v>
      </c>
      <c r="I517" s="104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99"/>
      <c r="AP517" s="99"/>
      <c r="AQ517" s="99"/>
      <c r="AR517" s="99"/>
      <c r="AS517" s="99"/>
      <c r="AT517" s="99"/>
      <c r="AU517" s="99"/>
      <c r="AV517" s="99"/>
      <c r="AW517" s="99"/>
      <c r="AX517" s="99"/>
      <c r="AY517" s="99"/>
      <c r="AZ517" s="99"/>
      <c r="BA517" s="99"/>
      <c r="BB517" s="99"/>
      <c r="BC517" s="99"/>
      <c r="BD517" s="99"/>
      <c r="BE517" s="99"/>
      <c r="BF517" s="99"/>
      <c r="BG517" s="99"/>
      <c r="BH517" s="99"/>
      <c r="BI517" s="99"/>
      <c r="BJ517" s="99"/>
      <c r="BK517" s="99"/>
      <c r="BL517" s="99"/>
      <c r="BM517" s="99"/>
      <c r="BN517" s="99"/>
      <c r="BO517" s="99"/>
      <c r="BP517" s="99"/>
      <c r="BQ517" s="99"/>
      <c r="BR517" s="99"/>
      <c r="BS517" s="99"/>
      <c r="BT517" s="99"/>
      <c r="BU517" s="99"/>
    </row>
    <row r="518" ht="12.75" customHeight="1">
      <c r="A518" s="97"/>
      <c r="B518" s="98" t="s">
        <v>46</v>
      </c>
      <c r="C518" s="98" t="s">
        <v>597</v>
      </c>
      <c r="D518" s="99"/>
      <c r="E518" s="100"/>
      <c r="F518" s="101"/>
      <c r="G518" s="102" t="s">
        <v>659</v>
      </c>
      <c r="H518" s="103" t="s">
        <v>86</v>
      </c>
      <c r="I518" s="104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99"/>
      <c r="AP518" s="99"/>
      <c r="AQ518" s="99"/>
      <c r="AR518" s="99"/>
      <c r="AS518" s="99"/>
      <c r="AT518" s="99"/>
      <c r="AU518" s="99"/>
      <c r="AV518" s="99"/>
      <c r="AW518" s="99"/>
      <c r="AX518" s="99"/>
      <c r="AY518" s="99"/>
      <c r="AZ518" s="99"/>
      <c r="BA518" s="99"/>
      <c r="BB518" s="99"/>
      <c r="BC518" s="99"/>
      <c r="BD518" s="99"/>
      <c r="BE518" s="99"/>
      <c r="BF518" s="99"/>
      <c r="BG518" s="99"/>
      <c r="BH518" s="99"/>
      <c r="BI518" s="99"/>
      <c r="BJ518" s="99"/>
      <c r="BK518" s="99"/>
      <c r="BL518" s="99"/>
      <c r="BM518" s="99"/>
      <c r="BN518" s="99"/>
      <c r="BO518" s="99"/>
      <c r="BP518" s="99"/>
      <c r="BQ518" s="99"/>
      <c r="BR518" s="99"/>
      <c r="BS518" s="99"/>
      <c r="BT518" s="99"/>
      <c r="BU518" s="99"/>
    </row>
    <row r="519" ht="12.75" customHeight="1">
      <c r="A519" s="97"/>
      <c r="B519" s="98" t="s">
        <v>268</v>
      </c>
      <c r="C519" s="98" t="s">
        <v>597</v>
      </c>
      <c r="D519" s="99"/>
      <c r="E519" s="100"/>
      <c r="F519" s="101"/>
      <c r="G519" s="102" t="s">
        <v>660</v>
      </c>
      <c r="H519" s="103" t="s">
        <v>624</v>
      </c>
      <c r="I519" s="104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99"/>
      <c r="AP519" s="99"/>
      <c r="AQ519" s="99"/>
      <c r="AR519" s="99"/>
      <c r="AS519" s="99"/>
      <c r="AT519" s="99"/>
      <c r="AU519" s="99"/>
      <c r="AV519" s="99"/>
      <c r="AW519" s="99"/>
      <c r="AX519" s="99"/>
      <c r="AY519" s="99"/>
      <c r="AZ519" s="99"/>
      <c r="BA519" s="99"/>
      <c r="BB519" s="99"/>
      <c r="BC519" s="99"/>
      <c r="BD519" s="99"/>
      <c r="BE519" s="99"/>
      <c r="BF519" s="99"/>
      <c r="BG519" s="99"/>
      <c r="BH519" s="99"/>
      <c r="BI519" s="99"/>
      <c r="BJ519" s="99"/>
      <c r="BK519" s="99"/>
      <c r="BL519" s="99"/>
      <c r="BM519" s="99"/>
      <c r="BN519" s="99"/>
      <c r="BO519" s="99"/>
      <c r="BP519" s="99"/>
      <c r="BQ519" s="99"/>
      <c r="BR519" s="99"/>
      <c r="BS519" s="99"/>
      <c r="BT519" s="99"/>
      <c r="BU519" s="99"/>
    </row>
    <row r="520" ht="12.75" customHeight="1">
      <c r="A520" s="97"/>
      <c r="B520" s="98" t="s">
        <v>268</v>
      </c>
      <c r="C520" s="98" t="s">
        <v>597</v>
      </c>
      <c r="D520" s="99"/>
      <c r="E520" s="100"/>
      <c r="F520" s="101"/>
      <c r="G520" s="102" t="s">
        <v>661</v>
      </c>
      <c r="H520" s="103" t="s">
        <v>662</v>
      </c>
      <c r="I520" s="104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99"/>
      <c r="AP520" s="99"/>
      <c r="AQ520" s="99"/>
      <c r="AR520" s="99"/>
      <c r="AS520" s="99"/>
      <c r="AT520" s="99"/>
      <c r="AU520" s="99"/>
      <c r="AV520" s="99"/>
      <c r="AW520" s="99"/>
      <c r="AX520" s="99"/>
      <c r="AY520" s="99"/>
      <c r="AZ520" s="99"/>
      <c r="BA520" s="99"/>
      <c r="BB520" s="99"/>
      <c r="BC520" s="99"/>
      <c r="BD520" s="99"/>
      <c r="BE520" s="99"/>
      <c r="BF520" s="99"/>
      <c r="BG520" s="99"/>
      <c r="BH520" s="99"/>
      <c r="BI520" s="99"/>
      <c r="BJ520" s="99"/>
      <c r="BK520" s="99"/>
      <c r="BL520" s="99"/>
      <c r="BM520" s="99"/>
      <c r="BN520" s="99"/>
      <c r="BO520" s="99"/>
      <c r="BP520" s="99"/>
      <c r="BQ520" s="99"/>
      <c r="BR520" s="99"/>
      <c r="BS520" s="99"/>
      <c r="BT520" s="99"/>
      <c r="BU520" s="99"/>
    </row>
    <row r="521" ht="12.75" customHeight="1">
      <c r="A521" s="97"/>
      <c r="B521" s="98" t="s">
        <v>46</v>
      </c>
      <c r="C521" s="98" t="s">
        <v>597</v>
      </c>
      <c r="D521" s="99"/>
      <c r="E521" s="100"/>
      <c r="F521" s="101"/>
      <c r="G521" s="102" t="s">
        <v>663</v>
      </c>
      <c r="H521" s="103" t="s">
        <v>204</v>
      </c>
      <c r="I521" s="104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99"/>
      <c r="AP521" s="99"/>
      <c r="AQ521" s="99"/>
      <c r="AR521" s="99"/>
      <c r="AS521" s="99"/>
      <c r="AT521" s="99"/>
      <c r="AU521" s="99"/>
      <c r="AV521" s="99"/>
      <c r="AW521" s="99"/>
      <c r="AX521" s="99"/>
      <c r="AY521" s="99"/>
      <c r="AZ521" s="99"/>
      <c r="BA521" s="99"/>
      <c r="BB521" s="99"/>
      <c r="BC521" s="99"/>
      <c r="BD521" s="99"/>
      <c r="BE521" s="99"/>
      <c r="BF521" s="99"/>
      <c r="BG521" s="99"/>
      <c r="BH521" s="99"/>
      <c r="BI521" s="99"/>
      <c r="BJ521" s="99"/>
      <c r="BK521" s="99"/>
      <c r="BL521" s="99"/>
      <c r="BM521" s="99"/>
      <c r="BN521" s="99"/>
      <c r="BO521" s="99"/>
      <c r="BP521" s="99"/>
      <c r="BQ521" s="99"/>
      <c r="BR521" s="99"/>
      <c r="BS521" s="99"/>
      <c r="BT521" s="99"/>
      <c r="BU521" s="99"/>
    </row>
    <row r="522" ht="12.75" customHeight="1">
      <c r="A522" s="97"/>
      <c r="B522" s="98" t="s">
        <v>268</v>
      </c>
      <c r="C522" s="98" t="s">
        <v>597</v>
      </c>
      <c r="D522" s="99"/>
      <c r="E522" s="100"/>
      <c r="F522" s="101"/>
      <c r="G522" s="102" t="s">
        <v>664</v>
      </c>
      <c r="H522" s="103" t="s">
        <v>591</v>
      </c>
      <c r="I522" s="104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99"/>
      <c r="AP522" s="99"/>
      <c r="AQ522" s="99"/>
      <c r="AR522" s="99"/>
      <c r="AS522" s="99"/>
      <c r="AT522" s="99"/>
      <c r="AU522" s="99"/>
      <c r="AV522" s="99"/>
      <c r="AW522" s="99"/>
      <c r="AX522" s="99"/>
      <c r="AY522" s="99"/>
      <c r="AZ522" s="99"/>
      <c r="BA522" s="99"/>
      <c r="BB522" s="99"/>
      <c r="BC522" s="99"/>
      <c r="BD522" s="99"/>
      <c r="BE522" s="99"/>
      <c r="BF522" s="99"/>
      <c r="BG522" s="99"/>
      <c r="BH522" s="99"/>
      <c r="BI522" s="99"/>
      <c r="BJ522" s="99"/>
      <c r="BK522" s="99"/>
      <c r="BL522" s="99"/>
      <c r="BM522" s="99"/>
      <c r="BN522" s="99"/>
      <c r="BO522" s="99"/>
      <c r="BP522" s="99"/>
      <c r="BQ522" s="99"/>
      <c r="BR522" s="99"/>
      <c r="BS522" s="99"/>
      <c r="BT522" s="99"/>
      <c r="BU522" s="99"/>
    </row>
    <row r="523" ht="12.75" customHeight="1">
      <c r="A523" s="97"/>
      <c r="B523" s="98" t="s">
        <v>268</v>
      </c>
      <c r="C523" s="98" t="s">
        <v>597</v>
      </c>
      <c r="D523" s="99"/>
      <c r="E523" s="100"/>
      <c r="F523" s="101"/>
      <c r="G523" s="102" t="s">
        <v>665</v>
      </c>
      <c r="H523" s="103" t="s">
        <v>88</v>
      </c>
      <c r="I523" s="104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99"/>
      <c r="AP523" s="99"/>
      <c r="AQ523" s="99"/>
      <c r="AR523" s="99"/>
      <c r="AS523" s="99"/>
      <c r="AT523" s="99"/>
      <c r="AU523" s="99"/>
      <c r="AV523" s="99"/>
      <c r="AW523" s="99"/>
      <c r="AX523" s="99"/>
      <c r="AY523" s="99"/>
      <c r="AZ523" s="99"/>
      <c r="BA523" s="99"/>
      <c r="BB523" s="99"/>
      <c r="BC523" s="99"/>
      <c r="BD523" s="99"/>
      <c r="BE523" s="99"/>
      <c r="BF523" s="99"/>
      <c r="BG523" s="99"/>
      <c r="BH523" s="99"/>
      <c r="BI523" s="99"/>
      <c r="BJ523" s="99"/>
      <c r="BK523" s="99"/>
      <c r="BL523" s="99"/>
      <c r="BM523" s="99"/>
      <c r="BN523" s="99"/>
      <c r="BO523" s="99"/>
      <c r="BP523" s="99"/>
      <c r="BQ523" s="99"/>
      <c r="BR523" s="99"/>
      <c r="BS523" s="99"/>
      <c r="BT523" s="99"/>
      <c r="BU523" s="99"/>
    </row>
    <row r="524" ht="12.75" customHeight="1">
      <c r="A524" s="97"/>
      <c r="B524" s="98" t="s">
        <v>63</v>
      </c>
      <c r="C524" s="98" t="s">
        <v>597</v>
      </c>
      <c r="D524" s="99"/>
      <c r="E524" s="100"/>
      <c r="F524" s="101"/>
      <c r="G524" s="102" t="s">
        <v>666</v>
      </c>
      <c r="H524" s="103" t="s">
        <v>46</v>
      </c>
      <c r="I524" s="104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99"/>
      <c r="AP524" s="99"/>
      <c r="AQ524" s="99"/>
      <c r="AR524" s="99"/>
      <c r="AS524" s="99"/>
      <c r="AT524" s="99"/>
      <c r="AU524" s="99"/>
      <c r="AV524" s="99"/>
      <c r="AW524" s="99"/>
      <c r="AX524" s="99"/>
      <c r="AY524" s="99"/>
      <c r="AZ524" s="99"/>
      <c r="BA524" s="99"/>
      <c r="BB524" s="99"/>
      <c r="BC524" s="99"/>
      <c r="BD524" s="99"/>
      <c r="BE524" s="99"/>
      <c r="BF524" s="99"/>
      <c r="BG524" s="99"/>
      <c r="BH524" s="99"/>
      <c r="BI524" s="99"/>
      <c r="BJ524" s="99"/>
      <c r="BK524" s="99"/>
      <c r="BL524" s="99"/>
      <c r="BM524" s="99"/>
      <c r="BN524" s="99"/>
      <c r="BO524" s="99"/>
      <c r="BP524" s="99"/>
      <c r="BQ524" s="99"/>
      <c r="BR524" s="99"/>
      <c r="BS524" s="99"/>
      <c r="BT524" s="99"/>
      <c r="BU524" s="99"/>
    </row>
    <row r="525" ht="12.75" customHeight="1">
      <c r="A525" s="97"/>
      <c r="B525" s="98" t="s">
        <v>63</v>
      </c>
      <c r="C525" s="98" t="s">
        <v>597</v>
      </c>
      <c r="D525" s="99"/>
      <c r="E525" s="100"/>
      <c r="F525" s="101"/>
      <c r="G525" s="102" t="s">
        <v>667</v>
      </c>
      <c r="H525" s="103" t="s">
        <v>46</v>
      </c>
      <c r="I525" s="104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99"/>
      <c r="AP525" s="99"/>
      <c r="AQ525" s="99"/>
      <c r="AR525" s="99"/>
      <c r="AS525" s="99"/>
      <c r="AT525" s="99"/>
      <c r="AU525" s="99"/>
      <c r="AV525" s="99"/>
      <c r="AW525" s="99"/>
      <c r="AX525" s="99"/>
      <c r="AY525" s="99"/>
      <c r="AZ525" s="99"/>
      <c r="BA525" s="99"/>
      <c r="BB525" s="99"/>
      <c r="BC525" s="99"/>
      <c r="BD525" s="99"/>
      <c r="BE525" s="99"/>
      <c r="BF525" s="99"/>
      <c r="BG525" s="99"/>
      <c r="BH525" s="99"/>
      <c r="BI525" s="99"/>
      <c r="BJ525" s="99"/>
      <c r="BK525" s="99"/>
      <c r="BL525" s="99"/>
      <c r="BM525" s="99"/>
      <c r="BN525" s="99"/>
      <c r="BO525" s="99"/>
      <c r="BP525" s="99"/>
      <c r="BQ525" s="99"/>
      <c r="BR525" s="99"/>
      <c r="BS525" s="99"/>
      <c r="BT525" s="99"/>
      <c r="BU525" s="99"/>
    </row>
    <row r="526" ht="12.75" customHeight="1">
      <c r="A526" s="97"/>
      <c r="B526" s="98" t="s">
        <v>668</v>
      </c>
      <c r="C526" s="98" t="s">
        <v>597</v>
      </c>
      <c r="D526" s="99"/>
      <c r="E526" s="100"/>
      <c r="F526" s="101"/>
      <c r="G526" s="102" t="s">
        <v>669</v>
      </c>
      <c r="H526" s="103" t="s">
        <v>551</v>
      </c>
      <c r="I526" s="104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99"/>
      <c r="AP526" s="99"/>
      <c r="AQ526" s="99"/>
      <c r="AR526" s="99"/>
      <c r="AS526" s="99"/>
      <c r="AT526" s="99"/>
      <c r="AU526" s="99"/>
      <c r="AV526" s="99"/>
      <c r="AW526" s="99"/>
      <c r="AX526" s="99"/>
      <c r="AY526" s="99"/>
      <c r="AZ526" s="99"/>
      <c r="BA526" s="99"/>
      <c r="BB526" s="99"/>
      <c r="BC526" s="99"/>
      <c r="BD526" s="99"/>
      <c r="BE526" s="99"/>
      <c r="BF526" s="99"/>
      <c r="BG526" s="99"/>
      <c r="BH526" s="99"/>
      <c r="BI526" s="99"/>
      <c r="BJ526" s="99"/>
      <c r="BK526" s="99"/>
      <c r="BL526" s="99"/>
      <c r="BM526" s="99"/>
      <c r="BN526" s="99"/>
      <c r="BO526" s="99"/>
      <c r="BP526" s="99"/>
      <c r="BQ526" s="99"/>
      <c r="BR526" s="99"/>
      <c r="BS526" s="99"/>
      <c r="BT526" s="99"/>
      <c r="BU526" s="99"/>
    </row>
    <row r="527" ht="12.75" customHeight="1">
      <c r="A527" s="97"/>
      <c r="B527" s="98" t="s">
        <v>303</v>
      </c>
      <c r="C527" s="98" t="s">
        <v>597</v>
      </c>
      <c r="D527" s="99"/>
      <c r="E527" s="100"/>
      <c r="F527" s="101"/>
      <c r="G527" s="102" t="s">
        <v>670</v>
      </c>
      <c r="H527" s="103" t="s">
        <v>551</v>
      </c>
      <c r="I527" s="104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99"/>
      <c r="AP527" s="99"/>
      <c r="AQ527" s="99"/>
      <c r="AR527" s="99"/>
      <c r="AS527" s="99"/>
      <c r="AT527" s="99"/>
      <c r="AU527" s="99"/>
      <c r="AV527" s="99"/>
      <c r="AW527" s="99"/>
      <c r="AX527" s="99"/>
      <c r="AY527" s="99"/>
      <c r="AZ527" s="99"/>
      <c r="BA527" s="99"/>
      <c r="BB527" s="99"/>
      <c r="BC527" s="99"/>
      <c r="BD527" s="99"/>
      <c r="BE527" s="99"/>
      <c r="BF527" s="99"/>
      <c r="BG527" s="99"/>
      <c r="BH527" s="99"/>
      <c r="BI527" s="99"/>
      <c r="BJ527" s="99"/>
      <c r="BK527" s="99"/>
      <c r="BL527" s="99"/>
      <c r="BM527" s="99"/>
      <c r="BN527" s="99"/>
      <c r="BO527" s="99"/>
      <c r="BP527" s="99"/>
      <c r="BQ527" s="99"/>
      <c r="BR527" s="99"/>
      <c r="BS527" s="99"/>
      <c r="BT527" s="99"/>
      <c r="BU527" s="99"/>
    </row>
    <row r="528" ht="12.75" customHeight="1">
      <c r="A528" s="97"/>
      <c r="B528" s="98" t="s">
        <v>186</v>
      </c>
      <c r="C528" s="98" t="s">
        <v>597</v>
      </c>
      <c r="D528" s="99"/>
      <c r="E528" s="100"/>
      <c r="F528" s="101"/>
      <c r="G528" s="102" t="s">
        <v>671</v>
      </c>
      <c r="H528" s="103" t="s">
        <v>243</v>
      </c>
      <c r="I528" s="104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99"/>
      <c r="AP528" s="99"/>
      <c r="AQ528" s="99"/>
      <c r="AR528" s="99"/>
      <c r="AS528" s="99"/>
      <c r="AT528" s="99"/>
      <c r="AU528" s="99"/>
      <c r="AV528" s="99"/>
      <c r="AW528" s="99"/>
      <c r="AX528" s="99"/>
      <c r="AY528" s="99"/>
      <c r="AZ528" s="99"/>
      <c r="BA528" s="99"/>
      <c r="BB528" s="99"/>
      <c r="BC528" s="99"/>
      <c r="BD528" s="99"/>
      <c r="BE528" s="99"/>
      <c r="BF528" s="99"/>
      <c r="BG528" s="99"/>
      <c r="BH528" s="99"/>
      <c r="BI528" s="99"/>
      <c r="BJ528" s="99"/>
      <c r="BK528" s="99"/>
      <c r="BL528" s="99"/>
      <c r="BM528" s="99"/>
      <c r="BN528" s="99"/>
      <c r="BO528" s="99"/>
      <c r="BP528" s="99"/>
      <c r="BQ528" s="99"/>
      <c r="BR528" s="99"/>
      <c r="BS528" s="99"/>
      <c r="BT528" s="99"/>
      <c r="BU528" s="99"/>
    </row>
    <row r="529" ht="12.75" customHeight="1">
      <c r="A529" s="97"/>
      <c r="B529" s="98" t="s">
        <v>46</v>
      </c>
      <c r="C529" s="98" t="s">
        <v>597</v>
      </c>
      <c r="D529" s="99"/>
      <c r="E529" s="100"/>
      <c r="F529" s="101"/>
      <c r="G529" s="102" t="s">
        <v>672</v>
      </c>
      <c r="H529" s="103" t="s">
        <v>63</v>
      </c>
      <c r="I529" s="104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99"/>
      <c r="AP529" s="99"/>
      <c r="AQ529" s="99"/>
      <c r="AR529" s="99"/>
      <c r="AS529" s="99"/>
      <c r="AT529" s="99"/>
      <c r="AU529" s="99"/>
      <c r="AV529" s="99"/>
      <c r="AW529" s="99"/>
      <c r="AX529" s="99"/>
      <c r="AY529" s="99"/>
      <c r="AZ529" s="99"/>
      <c r="BA529" s="99"/>
      <c r="BB529" s="99"/>
      <c r="BC529" s="99"/>
      <c r="BD529" s="99"/>
      <c r="BE529" s="99"/>
      <c r="BF529" s="99"/>
      <c r="BG529" s="99"/>
      <c r="BH529" s="99"/>
      <c r="BI529" s="99"/>
      <c r="BJ529" s="99"/>
      <c r="BK529" s="99"/>
      <c r="BL529" s="99"/>
      <c r="BM529" s="99"/>
      <c r="BN529" s="99"/>
      <c r="BO529" s="99"/>
      <c r="BP529" s="99"/>
      <c r="BQ529" s="99"/>
      <c r="BR529" s="99"/>
      <c r="BS529" s="99"/>
      <c r="BT529" s="99"/>
      <c r="BU529" s="99"/>
    </row>
    <row r="530" ht="12.75" customHeight="1">
      <c r="A530" s="97"/>
      <c r="B530" s="98" t="s">
        <v>88</v>
      </c>
      <c r="C530" s="98" t="s">
        <v>597</v>
      </c>
      <c r="D530" s="99"/>
      <c r="E530" s="100"/>
      <c r="F530" s="101"/>
      <c r="G530" s="102" t="s">
        <v>673</v>
      </c>
      <c r="H530" s="103" t="s">
        <v>674</v>
      </c>
      <c r="I530" s="104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99"/>
      <c r="AP530" s="99"/>
      <c r="AQ530" s="99"/>
      <c r="AR530" s="99"/>
      <c r="AS530" s="99"/>
      <c r="AT530" s="99"/>
      <c r="AU530" s="99"/>
      <c r="AV530" s="99"/>
      <c r="AW530" s="99"/>
      <c r="AX530" s="99"/>
      <c r="AY530" s="99"/>
      <c r="AZ530" s="99"/>
      <c r="BA530" s="99"/>
      <c r="BB530" s="99"/>
      <c r="BC530" s="99"/>
      <c r="BD530" s="99"/>
      <c r="BE530" s="99"/>
      <c r="BF530" s="99"/>
      <c r="BG530" s="99"/>
      <c r="BH530" s="99"/>
      <c r="BI530" s="99"/>
      <c r="BJ530" s="99"/>
      <c r="BK530" s="99"/>
      <c r="BL530" s="99"/>
      <c r="BM530" s="99"/>
      <c r="BN530" s="99"/>
      <c r="BO530" s="99"/>
      <c r="BP530" s="99"/>
      <c r="BQ530" s="99"/>
      <c r="BR530" s="99"/>
      <c r="BS530" s="99"/>
      <c r="BT530" s="99"/>
      <c r="BU530" s="99"/>
    </row>
    <row r="531" ht="12.75" customHeight="1">
      <c r="A531" s="97"/>
      <c r="B531" s="98" t="s">
        <v>46</v>
      </c>
      <c r="C531" s="98" t="s">
        <v>597</v>
      </c>
      <c r="D531" s="99"/>
      <c r="E531" s="100"/>
      <c r="F531" s="101"/>
      <c r="G531" s="102" t="s">
        <v>675</v>
      </c>
      <c r="H531" s="103" t="s">
        <v>63</v>
      </c>
      <c r="I531" s="104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99"/>
      <c r="AP531" s="99"/>
      <c r="AQ531" s="99"/>
      <c r="AR531" s="99"/>
      <c r="AS531" s="99"/>
      <c r="AT531" s="99"/>
      <c r="AU531" s="99"/>
      <c r="AV531" s="99"/>
      <c r="AW531" s="99"/>
      <c r="AX531" s="99"/>
      <c r="AY531" s="99"/>
      <c r="AZ531" s="99"/>
      <c r="BA531" s="99"/>
      <c r="BB531" s="99"/>
      <c r="BC531" s="99"/>
      <c r="BD531" s="99"/>
      <c r="BE531" s="99"/>
      <c r="BF531" s="99"/>
      <c r="BG531" s="99"/>
      <c r="BH531" s="99"/>
      <c r="BI531" s="99"/>
      <c r="BJ531" s="99"/>
      <c r="BK531" s="99"/>
      <c r="BL531" s="99"/>
      <c r="BM531" s="99"/>
      <c r="BN531" s="99"/>
      <c r="BO531" s="99"/>
      <c r="BP531" s="99"/>
      <c r="BQ531" s="99"/>
      <c r="BR531" s="99"/>
      <c r="BS531" s="99"/>
      <c r="BT531" s="99"/>
      <c r="BU531" s="99"/>
    </row>
    <row r="532" ht="12.75" customHeight="1">
      <c r="A532" s="97"/>
      <c r="B532" s="98" t="s">
        <v>160</v>
      </c>
      <c r="C532" s="98" t="s">
        <v>597</v>
      </c>
      <c r="D532" s="99"/>
      <c r="E532" s="100"/>
      <c r="F532" s="101"/>
      <c r="G532" s="102" t="s">
        <v>676</v>
      </c>
      <c r="H532" s="103" t="s">
        <v>677</v>
      </c>
      <c r="I532" s="104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99"/>
      <c r="AP532" s="99"/>
      <c r="AQ532" s="99"/>
      <c r="AR532" s="99"/>
      <c r="AS532" s="99"/>
      <c r="AT532" s="99"/>
      <c r="AU532" s="99"/>
      <c r="AV532" s="99"/>
      <c r="AW532" s="99"/>
      <c r="AX532" s="99"/>
      <c r="AY532" s="99"/>
      <c r="AZ532" s="99"/>
      <c r="BA532" s="99"/>
      <c r="BB532" s="99"/>
      <c r="BC532" s="99"/>
      <c r="BD532" s="99"/>
      <c r="BE532" s="99"/>
      <c r="BF532" s="99"/>
      <c r="BG532" s="99"/>
      <c r="BH532" s="99"/>
      <c r="BI532" s="99"/>
      <c r="BJ532" s="99"/>
      <c r="BK532" s="99"/>
      <c r="BL532" s="99"/>
      <c r="BM532" s="99"/>
      <c r="BN532" s="99"/>
      <c r="BO532" s="99"/>
      <c r="BP532" s="99"/>
      <c r="BQ532" s="99"/>
      <c r="BR532" s="99"/>
      <c r="BS532" s="99"/>
      <c r="BT532" s="99"/>
      <c r="BU532" s="99"/>
    </row>
    <row r="533" ht="12.75" customHeight="1">
      <c r="A533" s="97"/>
      <c r="B533" s="98" t="s">
        <v>46</v>
      </c>
      <c r="C533" s="98" t="s">
        <v>597</v>
      </c>
      <c r="D533" s="99"/>
      <c r="E533" s="100"/>
      <c r="F533" s="101"/>
      <c r="G533" s="102" t="s">
        <v>678</v>
      </c>
      <c r="H533" s="103" t="s">
        <v>243</v>
      </c>
      <c r="I533" s="104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99"/>
      <c r="AP533" s="99"/>
      <c r="AQ533" s="99"/>
      <c r="AR533" s="99"/>
      <c r="AS533" s="99"/>
      <c r="AT533" s="99"/>
      <c r="AU533" s="99"/>
      <c r="AV533" s="99"/>
      <c r="AW533" s="99"/>
      <c r="AX533" s="99"/>
      <c r="AY533" s="99"/>
      <c r="AZ533" s="99"/>
      <c r="BA533" s="99"/>
      <c r="BB533" s="99"/>
      <c r="BC533" s="99"/>
      <c r="BD533" s="99"/>
      <c r="BE533" s="99"/>
      <c r="BF533" s="99"/>
      <c r="BG533" s="99"/>
      <c r="BH533" s="99"/>
      <c r="BI533" s="99"/>
      <c r="BJ533" s="99"/>
      <c r="BK533" s="99"/>
      <c r="BL533" s="99"/>
      <c r="BM533" s="99"/>
      <c r="BN533" s="99"/>
      <c r="BO533" s="99"/>
      <c r="BP533" s="99"/>
      <c r="BQ533" s="99"/>
      <c r="BR533" s="99"/>
      <c r="BS533" s="99"/>
      <c r="BT533" s="99"/>
      <c r="BU533" s="99"/>
    </row>
    <row r="534" ht="12.75" customHeight="1">
      <c r="A534" s="97"/>
      <c r="B534" s="98" t="s">
        <v>501</v>
      </c>
      <c r="C534" s="98" t="s">
        <v>597</v>
      </c>
      <c r="D534" s="99"/>
      <c r="E534" s="100"/>
      <c r="F534" s="101"/>
      <c r="G534" s="102" t="s">
        <v>679</v>
      </c>
      <c r="H534" s="103" t="s">
        <v>216</v>
      </c>
      <c r="I534" s="104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99"/>
      <c r="AP534" s="99"/>
      <c r="AQ534" s="99"/>
      <c r="AR534" s="99"/>
      <c r="AS534" s="99"/>
      <c r="AT534" s="99"/>
      <c r="AU534" s="99"/>
      <c r="AV534" s="99"/>
      <c r="AW534" s="99"/>
      <c r="AX534" s="99"/>
      <c r="AY534" s="99"/>
      <c r="AZ534" s="99"/>
      <c r="BA534" s="99"/>
      <c r="BB534" s="99"/>
      <c r="BC534" s="99"/>
      <c r="BD534" s="99"/>
      <c r="BE534" s="99"/>
      <c r="BF534" s="99"/>
      <c r="BG534" s="99"/>
      <c r="BH534" s="99"/>
      <c r="BI534" s="99"/>
      <c r="BJ534" s="99"/>
      <c r="BK534" s="99"/>
      <c r="BL534" s="99"/>
      <c r="BM534" s="99"/>
      <c r="BN534" s="99"/>
      <c r="BO534" s="99"/>
      <c r="BP534" s="99"/>
      <c r="BQ534" s="99"/>
      <c r="BR534" s="99"/>
      <c r="BS534" s="99"/>
      <c r="BT534" s="99"/>
      <c r="BU534" s="99"/>
    </row>
    <row r="535" ht="12.75" customHeight="1">
      <c r="A535" s="97"/>
      <c r="B535" s="98" t="s">
        <v>46</v>
      </c>
      <c r="C535" s="98" t="s">
        <v>597</v>
      </c>
      <c r="D535" s="99"/>
      <c r="E535" s="100"/>
      <c r="F535" s="101"/>
      <c r="G535" s="102" t="s">
        <v>680</v>
      </c>
      <c r="H535" s="103" t="s">
        <v>63</v>
      </c>
      <c r="I535" s="104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99"/>
      <c r="AP535" s="99"/>
      <c r="AQ535" s="99"/>
      <c r="AR535" s="99"/>
      <c r="AS535" s="99"/>
      <c r="AT535" s="99"/>
      <c r="AU535" s="99"/>
      <c r="AV535" s="99"/>
      <c r="AW535" s="99"/>
      <c r="AX535" s="99"/>
      <c r="AY535" s="99"/>
      <c r="AZ535" s="99"/>
      <c r="BA535" s="99"/>
      <c r="BB535" s="99"/>
      <c r="BC535" s="99"/>
      <c r="BD535" s="99"/>
      <c r="BE535" s="99"/>
      <c r="BF535" s="99"/>
      <c r="BG535" s="99"/>
      <c r="BH535" s="99"/>
      <c r="BI535" s="99"/>
      <c r="BJ535" s="99"/>
      <c r="BK535" s="99"/>
      <c r="BL535" s="99"/>
      <c r="BM535" s="99"/>
      <c r="BN535" s="99"/>
      <c r="BO535" s="99"/>
      <c r="BP535" s="99"/>
      <c r="BQ535" s="99"/>
      <c r="BR535" s="99"/>
      <c r="BS535" s="99"/>
      <c r="BT535" s="99"/>
      <c r="BU535" s="99"/>
    </row>
    <row r="536" ht="12.75" customHeight="1">
      <c r="A536" s="97"/>
      <c r="B536" s="98" t="s">
        <v>88</v>
      </c>
      <c r="C536" s="98" t="s">
        <v>597</v>
      </c>
      <c r="D536" s="99"/>
      <c r="E536" s="100"/>
      <c r="F536" s="101"/>
      <c r="G536" s="102" t="s">
        <v>681</v>
      </c>
      <c r="H536" s="103" t="s">
        <v>674</v>
      </c>
      <c r="I536" s="104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99"/>
      <c r="AP536" s="99"/>
      <c r="AQ536" s="99"/>
      <c r="AR536" s="99"/>
      <c r="AS536" s="99"/>
      <c r="AT536" s="99"/>
      <c r="AU536" s="99"/>
      <c r="AV536" s="99"/>
      <c r="AW536" s="99"/>
      <c r="AX536" s="99"/>
      <c r="AY536" s="99"/>
      <c r="AZ536" s="99"/>
      <c r="BA536" s="99"/>
      <c r="BB536" s="99"/>
      <c r="BC536" s="99"/>
      <c r="BD536" s="99"/>
      <c r="BE536" s="99"/>
      <c r="BF536" s="99"/>
      <c r="BG536" s="99"/>
      <c r="BH536" s="99"/>
      <c r="BI536" s="99"/>
      <c r="BJ536" s="99"/>
      <c r="BK536" s="99"/>
      <c r="BL536" s="99"/>
      <c r="BM536" s="99"/>
      <c r="BN536" s="99"/>
      <c r="BO536" s="99"/>
      <c r="BP536" s="99"/>
      <c r="BQ536" s="99"/>
      <c r="BR536" s="99"/>
      <c r="BS536" s="99"/>
      <c r="BT536" s="99"/>
      <c r="BU536" s="99"/>
    </row>
    <row r="537" ht="12.75" customHeight="1">
      <c r="A537" s="97"/>
      <c r="B537" s="98" t="s">
        <v>46</v>
      </c>
      <c r="C537" s="98" t="s">
        <v>597</v>
      </c>
      <c r="D537" s="99"/>
      <c r="E537" s="100"/>
      <c r="F537" s="101"/>
      <c r="G537" s="102" t="s">
        <v>682</v>
      </c>
      <c r="H537" s="103" t="s">
        <v>63</v>
      </c>
      <c r="I537" s="104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99"/>
      <c r="AP537" s="99"/>
      <c r="AQ537" s="99"/>
      <c r="AR537" s="99"/>
      <c r="AS537" s="99"/>
      <c r="AT537" s="99"/>
      <c r="AU537" s="99"/>
      <c r="AV537" s="99"/>
      <c r="AW537" s="99"/>
      <c r="AX537" s="99"/>
      <c r="AY537" s="99"/>
      <c r="AZ537" s="99"/>
      <c r="BA537" s="99"/>
      <c r="BB537" s="99"/>
      <c r="BC537" s="99"/>
      <c r="BD537" s="99"/>
      <c r="BE537" s="99"/>
      <c r="BF537" s="99"/>
      <c r="BG537" s="99"/>
      <c r="BH537" s="99"/>
      <c r="BI537" s="99"/>
      <c r="BJ537" s="99"/>
      <c r="BK537" s="99"/>
      <c r="BL537" s="99"/>
      <c r="BM537" s="99"/>
      <c r="BN537" s="99"/>
      <c r="BO537" s="99"/>
      <c r="BP537" s="99"/>
      <c r="BQ537" s="99"/>
      <c r="BR537" s="99"/>
      <c r="BS537" s="99"/>
      <c r="BT537" s="99"/>
      <c r="BU537" s="99"/>
    </row>
    <row r="538" ht="12.75" customHeight="1">
      <c r="A538" s="97"/>
      <c r="B538" s="98" t="s">
        <v>160</v>
      </c>
      <c r="C538" s="98" t="s">
        <v>597</v>
      </c>
      <c r="D538" s="99"/>
      <c r="E538" s="100"/>
      <c r="F538" s="101"/>
      <c r="G538" s="102" t="s">
        <v>683</v>
      </c>
      <c r="H538" s="103" t="s">
        <v>677</v>
      </c>
      <c r="I538" s="104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99"/>
      <c r="AP538" s="99"/>
      <c r="AQ538" s="99"/>
      <c r="AR538" s="99"/>
      <c r="AS538" s="99"/>
      <c r="AT538" s="99"/>
      <c r="AU538" s="99"/>
      <c r="AV538" s="99"/>
      <c r="AW538" s="99"/>
      <c r="AX538" s="99"/>
      <c r="AY538" s="99"/>
      <c r="AZ538" s="99"/>
      <c r="BA538" s="99"/>
      <c r="BB538" s="99"/>
      <c r="BC538" s="99"/>
      <c r="BD538" s="99"/>
      <c r="BE538" s="99"/>
      <c r="BF538" s="99"/>
      <c r="BG538" s="99"/>
      <c r="BH538" s="99"/>
      <c r="BI538" s="99"/>
      <c r="BJ538" s="99"/>
      <c r="BK538" s="99"/>
      <c r="BL538" s="99"/>
      <c r="BM538" s="99"/>
      <c r="BN538" s="99"/>
      <c r="BO538" s="99"/>
      <c r="BP538" s="99"/>
      <c r="BQ538" s="99"/>
      <c r="BR538" s="99"/>
      <c r="BS538" s="99"/>
      <c r="BT538" s="99"/>
      <c r="BU538" s="99"/>
    </row>
    <row r="539" ht="12.75" customHeight="1">
      <c r="A539" s="97"/>
      <c r="B539" s="98" t="s">
        <v>46</v>
      </c>
      <c r="C539" s="98" t="s">
        <v>597</v>
      </c>
      <c r="D539" s="99"/>
      <c r="E539" s="100"/>
      <c r="F539" s="101"/>
      <c r="G539" s="102" t="s">
        <v>684</v>
      </c>
      <c r="H539" s="103" t="s">
        <v>243</v>
      </c>
      <c r="I539" s="104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99"/>
      <c r="AP539" s="99"/>
      <c r="AQ539" s="99"/>
      <c r="AR539" s="99"/>
      <c r="AS539" s="99"/>
      <c r="AT539" s="99"/>
      <c r="AU539" s="99"/>
      <c r="AV539" s="99"/>
      <c r="AW539" s="99"/>
      <c r="AX539" s="99"/>
      <c r="AY539" s="99"/>
      <c r="AZ539" s="99"/>
      <c r="BA539" s="99"/>
      <c r="BB539" s="99"/>
      <c r="BC539" s="99"/>
      <c r="BD539" s="99"/>
      <c r="BE539" s="99"/>
      <c r="BF539" s="99"/>
      <c r="BG539" s="99"/>
      <c r="BH539" s="99"/>
      <c r="BI539" s="99"/>
      <c r="BJ539" s="99"/>
      <c r="BK539" s="99"/>
      <c r="BL539" s="99"/>
      <c r="BM539" s="99"/>
      <c r="BN539" s="99"/>
      <c r="BO539" s="99"/>
      <c r="BP539" s="99"/>
      <c r="BQ539" s="99"/>
      <c r="BR539" s="99"/>
      <c r="BS539" s="99"/>
      <c r="BT539" s="99"/>
      <c r="BU539" s="99"/>
    </row>
    <row r="540" ht="12.75" customHeight="1">
      <c r="A540" s="97"/>
      <c r="B540" s="98" t="s">
        <v>501</v>
      </c>
      <c r="C540" s="98" t="s">
        <v>597</v>
      </c>
      <c r="D540" s="99"/>
      <c r="E540" s="100"/>
      <c r="F540" s="101"/>
      <c r="G540" s="102" t="s">
        <v>685</v>
      </c>
      <c r="H540" s="103" t="s">
        <v>216</v>
      </c>
      <c r="I540" s="104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99"/>
      <c r="AP540" s="99"/>
      <c r="AQ540" s="99"/>
      <c r="AR540" s="99"/>
      <c r="AS540" s="99"/>
      <c r="AT540" s="99"/>
      <c r="AU540" s="99"/>
      <c r="AV540" s="99"/>
      <c r="AW540" s="99"/>
      <c r="AX540" s="99"/>
      <c r="AY540" s="99"/>
      <c r="AZ540" s="99"/>
      <c r="BA540" s="99"/>
      <c r="BB540" s="99"/>
      <c r="BC540" s="99"/>
      <c r="BD540" s="99"/>
      <c r="BE540" s="99"/>
      <c r="BF540" s="99"/>
      <c r="BG540" s="99"/>
      <c r="BH540" s="99"/>
      <c r="BI540" s="99"/>
      <c r="BJ540" s="99"/>
      <c r="BK540" s="99"/>
      <c r="BL540" s="99"/>
      <c r="BM540" s="99"/>
      <c r="BN540" s="99"/>
      <c r="BO540" s="99"/>
      <c r="BP540" s="99"/>
      <c r="BQ540" s="99"/>
      <c r="BR540" s="99"/>
      <c r="BS540" s="99"/>
      <c r="BT540" s="99"/>
      <c r="BU540" s="99"/>
    </row>
    <row r="541" ht="12.75" customHeight="1">
      <c r="A541" s="97"/>
      <c r="B541" s="98" t="s">
        <v>591</v>
      </c>
      <c r="C541" s="98" t="s">
        <v>597</v>
      </c>
      <c r="D541" s="99"/>
      <c r="E541" s="100"/>
      <c r="F541" s="101"/>
      <c r="G541" s="102" t="s">
        <v>686</v>
      </c>
      <c r="H541" s="103" t="s">
        <v>298</v>
      </c>
      <c r="I541" s="104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99"/>
      <c r="AP541" s="99"/>
      <c r="AQ541" s="99"/>
      <c r="AR541" s="99"/>
      <c r="AS541" s="99"/>
      <c r="AT541" s="99"/>
      <c r="AU541" s="99"/>
      <c r="AV541" s="99"/>
      <c r="AW541" s="99"/>
      <c r="AX541" s="99"/>
      <c r="AY541" s="99"/>
      <c r="AZ541" s="99"/>
      <c r="BA541" s="99"/>
      <c r="BB541" s="99"/>
      <c r="BC541" s="99"/>
      <c r="BD541" s="99"/>
      <c r="BE541" s="99"/>
      <c r="BF541" s="99"/>
      <c r="BG541" s="99"/>
      <c r="BH541" s="99"/>
      <c r="BI541" s="99"/>
      <c r="BJ541" s="99"/>
      <c r="BK541" s="99"/>
      <c r="BL541" s="99"/>
      <c r="BM541" s="99"/>
      <c r="BN541" s="99"/>
      <c r="BO541" s="99"/>
      <c r="BP541" s="99"/>
      <c r="BQ541" s="99"/>
      <c r="BR541" s="99"/>
      <c r="BS541" s="99"/>
      <c r="BT541" s="99"/>
      <c r="BU541" s="99"/>
    </row>
    <row r="542" ht="12.75" customHeight="1">
      <c r="A542" s="97"/>
      <c r="B542" s="98" t="s">
        <v>591</v>
      </c>
      <c r="C542" s="98" t="s">
        <v>597</v>
      </c>
      <c r="D542" s="99"/>
      <c r="E542" s="100"/>
      <c r="F542" s="101"/>
      <c r="G542" s="102" t="s">
        <v>687</v>
      </c>
      <c r="H542" s="103" t="s">
        <v>298</v>
      </c>
      <c r="I542" s="104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99"/>
      <c r="AP542" s="99"/>
      <c r="AQ542" s="99"/>
      <c r="AR542" s="99"/>
      <c r="AS542" s="99"/>
      <c r="AT542" s="99"/>
      <c r="AU542" s="99"/>
      <c r="AV542" s="99"/>
      <c r="AW542" s="99"/>
      <c r="AX542" s="99"/>
      <c r="AY542" s="99"/>
      <c r="AZ542" s="99"/>
      <c r="BA542" s="99"/>
      <c r="BB542" s="99"/>
      <c r="BC542" s="99"/>
      <c r="BD542" s="99"/>
      <c r="BE542" s="99"/>
      <c r="BF542" s="99"/>
      <c r="BG542" s="99"/>
      <c r="BH542" s="99"/>
      <c r="BI542" s="99"/>
      <c r="BJ542" s="99"/>
      <c r="BK542" s="99"/>
      <c r="BL542" s="99"/>
      <c r="BM542" s="99"/>
      <c r="BN542" s="99"/>
      <c r="BO542" s="99"/>
      <c r="BP542" s="99"/>
      <c r="BQ542" s="99"/>
      <c r="BR542" s="99"/>
      <c r="BS542" s="99"/>
      <c r="BT542" s="99"/>
      <c r="BU542" s="99"/>
    </row>
    <row r="543" ht="12.75" customHeight="1">
      <c r="A543" s="97"/>
      <c r="B543" s="98" t="s">
        <v>132</v>
      </c>
      <c r="C543" s="98" t="s">
        <v>597</v>
      </c>
      <c r="D543" s="99"/>
      <c r="E543" s="100"/>
      <c r="F543" s="101"/>
      <c r="G543" s="102" t="s">
        <v>688</v>
      </c>
      <c r="H543" s="103" t="s">
        <v>689</v>
      </c>
      <c r="I543" s="104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99"/>
      <c r="AP543" s="99"/>
      <c r="AQ543" s="99"/>
      <c r="AR543" s="99"/>
      <c r="AS543" s="99"/>
      <c r="AT543" s="99"/>
      <c r="AU543" s="99"/>
      <c r="AV543" s="99"/>
      <c r="AW543" s="99"/>
      <c r="AX543" s="99"/>
      <c r="AY543" s="99"/>
      <c r="AZ543" s="99"/>
      <c r="BA543" s="99"/>
      <c r="BB543" s="99"/>
      <c r="BC543" s="99"/>
      <c r="BD543" s="99"/>
      <c r="BE543" s="99"/>
      <c r="BF543" s="99"/>
      <c r="BG543" s="99"/>
      <c r="BH543" s="99"/>
      <c r="BI543" s="99"/>
      <c r="BJ543" s="99"/>
      <c r="BK543" s="99"/>
      <c r="BL543" s="99"/>
      <c r="BM543" s="99"/>
      <c r="BN543" s="99"/>
      <c r="BO543" s="99"/>
      <c r="BP543" s="99"/>
      <c r="BQ543" s="99"/>
      <c r="BR543" s="99"/>
      <c r="BS543" s="99"/>
      <c r="BT543" s="99"/>
      <c r="BU543" s="99"/>
    </row>
    <row r="544" ht="12.75" customHeight="1">
      <c r="A544" s="97"/>
      <c r="B544" s="98" t="s">
        <v>328</v>
      </c>
      <c r="C544" s="98" t="s">
        <v>597</v>
      </c>
      <c r="D544" s="99"/>
      <c r="E544" s="100"/>
      <c r="F544" s="101"/>
      <c r="G544" s="102" t="s">
        <v>690</v>
      </c>
      <c r="H544" s="103" t="s">
        <v>312</v>
      </c>
      <c r="I544" s="104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99"/>
      <c r="AP544" s="99"/>
      <c r="AQ544" s="99"/>
      <c r="AR544" s="99"/>
      <c r="AS544" s="99"/>
      <c r="AT544" s="99"/>
      <c r="AU544" s="99"/>
      <c r="AV544" s="99"/>
      <c r="AW544" s="99"/>
      <c r="AX544" s="99"/>
      <c r="AY544" s="99"/>
      <c r="AZ544" s="99"/>
      <c r="BA544" s="99"/>
      <c r="BB544" s="99"/>
      <c r="BC544" s="99"/>
      <c r="BD544" s="99"/>
      <c r="BE544" s="99"/>
      <c r="BF544" s="99"/>
      <c r="BG544" s="99"/>
      <c r="BH544" s="99"/>
      <c r="BI544" s="99"/>
      <c r="BJ544" s="99"/>
      <c r="BK544" s="99"/>
      <c r="BL544" s="99"/>
      <c r="BM544" s="99"/>
      <c r="BN544" s="99"/>
      <c r="BO544" s="99"/>
      <c r="BP544" s="99"/>
      <c r="BQ544" s="99"/>
      <c r="BR544" s="99"/>
      <c r="BS544" s="99"/>
      <c r="BT544" s="99"/>
      <c r="BU544" s="99"/>
    </row>
    <row r="545" ht="12.75" customHeight="1">
      <c r="A545" s="97"/>
      <c r="B545" s="98" t="s">
        <v>132</v>
      </c>
      <c r="C545" s="98" t="s">
        <v>597</v>
      </c>
      <c r="D545" s="99"/>
      <c r="E545" s="100"/>
      <c r="F545" s="101"/>
      <c r="G545" s="102" t="s">
        <v>691</v>
      </c>
      <c r="H545" s="103" t="s">
        <v>689</v>
      </c>
      <c r="I545" s="104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99"/>
      <c r="AP545" s="99"/>
      <c r="AQ545" s="99"/>
      <c r="AR545" s="99"/>
      <c r="AS545" s="99"/>
      <c r="AT545" s="99"/>
      <c r="AU545" s="99"/>
      <c r="AV545" s="99"/>
      <c r="AW545" s="99"/>
      <c r="AX545" s="99"/>
      <c r="AY545" s="99"/>
      <c r="AZ545" s="99"/>
      <c r="BA545" s="99"/>
      <c r="BB545" s="99"/>
      <c r="BC545" s="99"/>
      <c r="BD545" s="99"/>
      <c r="BE545" s="99"/>
      <c r="BF545" s="99"/>
      <c r="BG545" s="99"/>
      <c r="BH545" s="99"/>
      <c r="BI545" s="99"/>
      <c r="BJ545" s="99"/>
      <c r="BK545" s="99"/>
      <c r="BL545" s="99"/>
      <c r="BM545" s="99"/>
      <c r="BN545" s="99"/>
      <c r="BO545" s="99"/>
      <c r="BP545" s="99"/>
      <c r="BQ545" s="99"/>
      <c r="BR545" s="99"/>
      <c r="BS545" s="99"/>
      <c r="BT545" s="99"/>
      <c r="BU545" s="99"/>
    </row>
    <row r="546" ht="12.75" customHeight="1">
      <c r="A546" s="97"/>
      <c r="B546" s="98" t="s">
        <v>328</v>
      </c>
      <c r="C546" s="98" t="s">
        <v>597</v>
      </c>
      <c r="D546" s="99"/>
      <c r="E546" s="100"/>
      <c r="F546" s="101"/>
      <c r="G546" s="102" t="s">
        <v>692</v>
      </c>
      <c r="H546" s="103" t="s">
        <v>312</v>
      </c>
      <c r="I546" s="104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99"/>
      <c r="AP546" s="99"/>
      <c r="AQ546" s="99"/>
      <c r="AR546" s="99"/>
      <c r="AS546" s="99"/>
      <c r="AT546" s="99"/>
      <c r="AU546" s="99"/>
      <c r="AV546" s="99"/>
      <c r="AW546" s="99"/>
      <c r="AX546" s="99"/>
      <c r="AY546" s="99"/>
      <c r="AZ546" s="99"/>
      <c r="BA546" s="99"/>
      <c r="BB546" s="99"/>
      <c r="BC546" s="99"/>
      <c r="BD546" s="99"/>
      <c r="BE546" s="99"/>
      <c r="BF546" s="99"/>
      <c r="BG546" s="99"/>
      <c r="BH546" s="99"/>
      <c r="BI546" s="99"/>
      <c r="BJ546" s="99"/>
      <c r="BK546" s="99"/>
      <c r="BL546" s="99"/>
      <c r="BM546" s="99"/>
      <c r="BN546" s="99"/>
      <c r="BO546" s="99"/>
      <c r="BP546" s="99"/>
      <c r="BQ546" s="99"/>
      <c r="BR546" s="99"/>
      <c r="BS546" s="99"/>
      <c r="BT546" s="99"/>
      <c r="BU546" s="99"/>
    </row>
    <row r="547" ht="12.75" customHeight="1">
      <c r="A547" s="97"/>
      <c r="B547" s="98" t="s">
        <v>693</v>
      </c>
      <c r="C547" s="98" t="s">
        <v>597</v>
      </c>
      <c r="D547" s="99"/>
      <c r="E547" s="100"/>
      <c r="F547" s="101"/>
      <c r="G547" s="102" t="s">
        <v>694</v>
      </c>
      <c r="H547" s="103" t="s">
        <v>695</v>
      </c>
      <c r="I547" s="104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99"/>
      <c r="AP547" s="99"/>
      <c r="AQ547" s="99"/>
      <c r="AR547" s="99"/>
      <c r="AS547" s="99"/>
      <c r="AT547" s="99"/>
      <c r="AU547" s="99"/>
      <c r="AV547" s="99"/>
      <c r="AW547" s="99"/>
      <c r="AX547" s="99"/>
      <c r="AY547" s="99"/>
      <c r="AZ547" s="99"/>
      <c r="BA547" s="99"/>
      <c r="BB547" s="99"/>
      <c r="BC547" s="99"/>
      <c r="BD547" s="99"/>
      <c r="BE547" s="99"/>
      <c r="BF547" s="99"/>
      <c r="BG547" s="99"/>
      <c r="BH547" s="99"/>
      <c r="BI547" s="99"/>
      <c r="BJ547" s="99"/>
      <c r="BK547" s="99"/>
      <c r="BL547" s="99"/>
      <c r="BM547" s="99"/>
      <c r="BN547" s="99"/>
      <c r="BO547" s="99"/>
      <c r="BP547" s="99"/>
      <c r="BQ547" s="99"/>
      <c r="BR547" s="99"/>
      <c r="BS547" s="99"/>
      <c r="BT547" s="99"/>
      <c r="BU547" s="99"/>
    </row>
    <row r="548" ht="12.75" customHeight="1">
      <c r="A548" s="97"/>
      <c r="B548" s="98" t="s">
        <v>693</v>
      </c>
      <c r="C548" s="98" t="s">
        <v>597</v>
      </c>
      <c r="D548" s="99"/>
      <c r="E548" s="100"/>
      <c r="F548" s="101"/>
      <c r="G548" s="102" t="s">
        <v>696</v>
      </c>
      <c r="H548" s="103" t="s">
        <v>695</v>
      </c>
      <c r="I548" s="104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99"/>
      <c r="AP548" s="99"/>
      <c r="AQ548" s="99"/>
      <c r="AR548" s="99"/>
      <c r="AS548" s="99"/>
      <c r="AT548" s="99"/>
      <c r="AU548" s="99"/>
      <c r="AV548" s="99"/>
      <c r="AW548" s="99"/>
      <c r="AX548" s="99"/>
      <c r="AY548" s="99"/>
      <c r="AZ548" s="99"/>
      <c r="BA548" s="99"/>
      <c r="BB548" s="99"/>
      <c r="BC548" s="99"/>
      <c r="BD548" s="99"/>
      <c r="BE548" s="99"/>
      <c r="BF548" s="99"/>
      <c r="BG548" s="99"/>
      <c r="BH548" s="99"/>
      <c r="BI548" s="99"/>
      <c r="BJ548" s="99"/>
      <c r="BK548" s="99"/>
      <c r="BL548" s="99"/>
      <c r="BM548" s="99"/>
      <c r="BN548" s="99"/>
      <c r="BO548" s="99"/>
      <c r="BP548" s="99"/>
      <c r="BQ548" s="99"/>
      <c r="BR548" s="99"/>
      <c r="BS548" s="99"/>
      <c r="BT548" s="99"/>
      <c r="BU548" s="99"/>
    </row>
    <row r="549" ht="12.75" customHeight="1">
      <c r="A549" s="97"/>
      <c r="B549" s="98" t="s">
        <v>286</v>
      </c>
      <c r="C549" s="98" t="s">
        <v>597</v>
      </c>
      <c r="D549" s="99"/>
      <c r="E549" s="100"/>
      <c r="F549" s="101"/>
      <c r="G549" s="102" t="s">
        <v>697</v>
      </c>
      <c r="H549" s="103" t="s">
        <v>172</v>
      </c>
      <c r="I549" s="104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99"/>
      <c r="AP549" s="99"/>
      <c r="AQ549" s="99"/>
      <c r="AR549" s="99"/>
      <c r="AS549" s="99"/>
      <c r="AT549" s="99"/>
      <c r="AU549" s="99"/>
      <c r="AV549" s="99"/>
      <c r="AW549" s="99"/>
      <c r="AX549" s="99"/>
      <c r="AY549" s="99"/>
      <c r="AZ549" s="99"/>
      <c r="BA549" s="99"/>
      <c r="BB549" s="99"/>
      <c r="BC549" s="99"/>
      <c r="BD549" s="99"/>
      <c r="BE549" s="99"/>
      <c r="BF549" s="99"/>
      <c r="BG549" s="99"/>
      <c r="BH549" s="99"/>
      <c r="BI549" s="99"/>
      <c r="BJ549" s="99"/>
      <c r="BK549" s="99"/>
      <c r="BL549" s="99"/>
      <c r="BM549" s="99"/>
      <c r="BN549" s="99"/>
      <c r="BO549" s="99"/>
      <c r="BP549" s="99"/>
      <c r="BQ549" s="99"/>
      <c r="BR549" s="99"/>
      <c r="BS549" s="99"/>
      <c r="BT549" s="99"/>
      <c r="BU549" s="99"/>
    </row>
    <row r="550" ht="12.75" customHeight="1">
      <c r="A550" s="97"/>
      <c r="B550" s="98" t="s">
        <v>164</v>
      </c>
      <c r="C550" s="98" t="s">
        <v>597</v>
      </c>
      <c r="D550" s="99"/>
      <c r="E550" s="100"/>
      <c r="F550" s="101"/>
      <c r="G550" s="102" t="s">
        <v>698</v>
      </c>
      <c r="H550" s="103" t="s">
        <v>160</v>
      </c>
      <c r="I550" s="104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99"/>
      <c r="AP550" s="99"/>
      <c r="AQ550" s="99"/>
      <c r="AR550" s="99"/>
      <c r="AS550" s="99"/>
      <c r="AT550" s="99"/>
      <c r="AU550" s="99"/>
      <c r="AV550" s="99"/>
      <c r="AW550" s="99"/>
      <c r="AX550" s="99"/>
      <c r="AY550" s="99"/>
      <c r="AZ550" s="99"/>
      <c r="BA550" s="99"/>
      <c r="BB550" s="99"/>
      <c r="BC550" s="99"/>
      <c r="BD550" s="99"/>
      <c r="BE550" s="99"/>
      <c r="BF550" s="99"/>
      <c r="BG550" s="99"/>
      <c r="BH550" s="99"/>
      <c r="BI550" s="99"/>
      <c r="BJ550" s="99"/>
      <c r="BK550" s="99"/>
      <c r="BL550" s="99"/>
      <c r="BM550" s="99"/>
      <c r="BN550" s="99"/>
      <c r="BO550" s="99"/>
      <c r="BP550" s="99"/>
      <c r="BQ550" s="99"/>
      <c r="BR550" s="99"/>
      <c r="BS550" s="99"/>
      <c r="BT550" s="99"/>
      <c r="BU550" s="99"/>
    </row>
    <row r="551" ht="12.75" customHeight="1">
      <c r="A551" s="97"/>
      <c r="B551" s="98" t="s">
        <v>286</v>
      </c>
      <c r="C551" s="98" t="s">
        <v>597</v>
      </c>
      <c r="D551" s="99"/>
      <c r="E551" s="100"/>
      <c r="F551" s="101"/>
      <c r="G551" s="102" t="s">
        <v>699</v>
      </c>
      <c r="H551" s="103" t="s">
        <v>172</v>
      </c>
      <c r="I551" s="104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99"/>
      <c r="AP551" s="99"/>
      <c r="AQ551" s="99"/>
      <c r="AR551" s="99"/>
      <c r="AS551" s="99"/>
      <c r="AT551" s="99"/>
      <c r="AU551" s="99"/>
      <c r="AV551" s="99"/>
      <c r="AW551" s="99"/>
      <c r="AX551" s="99"/>
      <c r="AY551" s="99"/>
      <c r="AZ551" s="99"/>
      <c r="BA551" s="99"/>
      <c r="BB551" s="99"/>
      <c r="BC551" s="99"/>
      <c r="BD551" s="99"/>
      <c r="BE551" s="99"/>
      <c r="BF551" s="99"/>
      <c r="BG551" s="99"/>
      <c r="BH551" s="99"/>
      <c r="BI551" s="99"/>
      <c r="BJ551" s="99"/>
      <c r="BK551" s="99"/>
      <c r="BL551" s="99"/>
      <c r="BM551" s="99"/>
      <c r="BN551" s="99"/>
      <c r="BO551" s="99"/>
      <c r="BP551" s="99"/>
      <c r="BQ551" s="99"/>
      <c r="BR551" s="99"/>
      <c r="BS551" s="99"/>
      <c r="BT551" s="99"/>
      <c r="BU551" s="99"/>
    </row>
    <row r="552" ht="12.75" customHeight="1">
      <c r="A552" s="97"/>
      <c r="B552" s="98" t="s">
        <v>164</v>
      </c>
      <c r="C552" s="98" t="s">
        <v>597</v>
      </c>
      <c r="D552" s="99"/>
      <c r="E552" s="100"/>
      <c r="F552" s="101"/>
      <c r="G552" s="102" t="s">
        <v>700</v>
      </c>
      <c r="H552" s="103" t="s">
        <v>160</v>
      </c>
      <c r="I552" s="104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99"/>
      <c r="AP552" s="99"/>
      <c r="AQ552" s="99"/>
      <c r="AR552" s="99"/>
      <c r="AS552" s="99"/>
      <c r="AT552" s="99"/>
      <c r="AU552" s="99"/>
      <c r="AV552" s="99"/>
      <c r="AW552" s="99"/>
      <c r="AX552" s="99"/>
      <c r="AY552" s="99"/>
      <c r="AZ552" s="99"/>
      <c r="BA552" s="99"/>
      <c r="BB552" s="99"/>
      <c r="BC552" s="99"/>
      <c r="BD552" s="99"/>
      <c r="BE552" s="99"/>
      <c r="BF552" s="99"/>
      <c r="BG552" s="99"/>
      <c r="BH552" s="99"/>
      <c r="BI552" s="99"/>
      <c r="BJ552" s="99"/>
      <c r="BK552" s="99"/>
      <c r="BL552" s="99"/>
      <c r="BM552" s="99"/>
      <c r="BN552" s="99"/>
      <c r="BO552" s="99"/>
      <c r="BP552" s="99"/>
      <c r="BQ552" s="99"/>
      <c r="BR552" s="99"/>
      <c r="BS552" s="99"/>
      <c r="BT552" s="99"/>
      <c r="BU552" s="99"/>
    </row>
    <row r="553" ht="12.75" customHeight="1">
      <c r="A553" s="97"/>
      <c r="B553" s="98" t="s">
        <v>186</v>
      </c>
      <c r="C553" s="98" t="s">
        <v>597</v>
      </c>
      <c r="D553" s="99"/>
      <c r="E553" s="100"/>
      <c r="F553" s="101"/>
      <c r="G553" s="102" t="s">
        <v>701</v>
      </c>
      <c r="H553" s="103" t="s">
        <v>195</v>
      </c>
      <c r="I553" s="104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99"/>
      <c r="AP553" s="99"/>
      <c r="AQ553" s="99"/>
      <c r="AR553" s="99"/>
      <c r="AS553" s="99"/>
      <c r="AT553" s="99"/>
      <c r="AU553" s="99"/>
      <c r="AV553" s="99"/>
      <c r="AW553" s="99"/>
      <c r="AX553" s="99"/>
      <c r="AY553" s="99"/>
      <c r="AZ553" s="99"/>
      <c r="BA553" s="99"/>
      <c r="BB553" s="99"/>
      <c r="BC553" s="99"/>
      <c r="BD553" s="99"/>
      <c r="BE553" s="99"/>
      <c r="BF553" s="99"/>
      <c r="BG553" s="99"/>
      <c r="BH553" s="99"/>
      <c r="BI553" s="99"/>
      <c r="BJ553" s="99"/>
      <c r="BK553" s="99"/>
      <c r="BL553" s="99"/>
      <c r="BM553" s="99"/>
      <c r="BN553" s="99"/>
      <c r="BO553" s="99"/>
      <c r="BP553" s="99"/>
      <c r="BQ553" s="99"/>
      <c r="BR553" s="99"/>
      <c r="BS553" s="99"/>
      <c r="BT553" s="99"/>
      <c r="BU553" s="99"/>
    </row>
    <row r="554" ht="12.75" customHeight="1">
      <c r="A554" s="97"/>
      <c r="B554" s="98" t="s">
        <v>338</v>
      </c>
      <c r="C554" s="98" t="s">
        <v>597</v>
      </c>
      <c r="D554" s="99"/>
      <c r="E554" s="100"/>
      <c r="F554" s="101"/>
      <c r="G554" s="102" t="s">
        <v>702</v>
      </c>
      <c r="H554" s="103" t="s">
        <v>195</v>
      </c>
      <c r="I554" s="104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99"/>
      <c r="AP554" s="99"/>
      <c r="AQ554" s="99"/>
      <c r="AR554" s="99"/>
      <c r="AS554" s="99"/>
      <c r="AT554" s="99"/>
      <c r="AU554" s="99"/>
      <c r="AV554" s="99"/>
      <c r="AW554" s="99"/>
      <c r="AX554" s="99"/>
      <c r="AY554" s="99"/>
      <c r="AZ554" s="99"/>
      <c r="BA554" s="99"/>
      <c r="BB554" s="99"/>
      <c r="BC554" s="99"/>
      <c r="BD554" s="99"/>
      <c r="BE554" s="99"/>
      <c r="BF554" s="99"/>
      <c r="BG554" s="99"/>
      <c r="BH554" s="99"/>
      <c r="BI554" s="99"/>
      <c r="BJ554" s="99"/>
      <c r="BK554" s="99"/>
      <c r="BL554" s="99"/>
      <c r="BM554" s="99"/>
      <c r="BN554" s="99"/>
      <c r="BO554" s="99"/>
      <c r="BP554" s="99"/>
      <c r="BQ554" s="99"/>
      <c r="BR554" s="99"/>
      <c r="BS554" s="99"/>
      <c r="BT554" s="99"/>
      <c r="BU554" s="99"/>
    </row>
    <row r="555" ht="12.75" customHeight="1">
      <c r="A555" s="97"/>
      <c r="B555" s="98" t="s">
        <v>186</v>
      </c>
      <c r="C555" s="98" t="s">
        <v>597</v>
      </c>
      <c r="D555" s="99"/>
      <c r="E555" s="100"/>
      <c r="F555" s="101"/>
      <c r="G555" s="102" t="s">
        <v>703</v>
      </c>
      <c r="H555" s="103" t="s">
        <v>195</v>
      </c>
      <c r="I555" s="104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99"/>
      <c r="AP555" s="99"/>
      <c r="AQ555" s="99"/>
      <c r="AR555" s="99"/>
      <c r="AS555" s="99"/>
      <c r="AT555" s="99"/>
      <c r="AU555" s="99"/>
      <c r="AV555" s="99"/>
      <c r="AW555" s="99"/>
      <c r="AX555" s="99"/>
      <c r="AY555" s="99"/>
      <c r="AZ555" s="99"/>
      <c r="BA555" s="99"/>
      <c r="BB555" s="99"/>
      <c r="BC555" s="99"/>
      <c r="BD555" s="99"/>
      <c r="BE555" s="99"/>
      <c r="BF555" s="99"/>
      <c r="BG555" s="99"/>
      <c r="BH555" s="99"/>
      <c r="BI555" s="99"/>
      <c r="BJ555" s="99"/>
      <c r="BK555" s="99"/>
      <c r="BL555" s="99"/>
      <c r="BM555" s="99"/>
      <c r="BN555" s="99"/>
      <c r="BO555" s="99"/>
      <c r="BP555" s="99"/>
      <c r="BQ555" s="99"/>
      <c r="BR555" s="99"/>
      <c r="BS555" s="99"/>
      <c r="BT555" s="99"/>
      <c r="BU555" s="99"/>
    </row>
    <row r="556" ht="12.75" customHeight="1">
      <c r="A556" s="97"/>
      <c r="B556" s="98" t="s">
        <v>338</v>
      </c>
      <c r="C556" s="98" t="s">
        <v>597</v>
      </c>
      <c r="D556" s="99"/>
      <c r="E556" s="100"/>
      <c r="F556" s="101"/>
      <c r="G556" s="102" t="s">
        <v>704</v>
      </c>
      <c r="H556" s="103" t="s">
        <v>195</v>
      </c>
      <c r="I556" s="104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99"/>
      <c r="AP556" s="99"/>
      <c r="AQ556" s="99"/>
      <c r="AR556" s="99"/>
      <c r="AS556" s="99"/>
      <c r="AT556" s="99"/>
      <c r="AU556" s="99"/>
      <c r="AV556" s="99"/>
      <c r="AW556" s="99"/>
      <c r="AX556" s="99"/>
      <c r="AY556" s="99"/>
      <c r="AZ556" s="99"/>
      <c r="BA556" s="99"/>
      <c r="BB556" s="99"/>
      <c r="BC556" s="99"/>
      <c r="BD556" s="99"/>
      <c r="BE556" s="99"/>
      <c r="BF556" s="99"/>
      <c r="BG556" s="99"/>
      <c r="BH556" s="99"/>
      <c r="BI556" s="99"/>
      <c r="BJ556" s="99"/>
      <c r="BK556" s="99"/>
      <c r="BL556" s="99"/>
      <c r="BM556" s="99"/>
      <c r="BN556" s="99"/>
      <c r="BO556" s="99"/>
      <c r="BP556" s="99"/>
      <c r="BQ556" s="99"/>
      <c r="BR556" s="99"/>
      <c r="BS556" s="99"/>
      <c r="BT556" s="99"/>
      <c r="BU556" s="99"/>
    </row>
    <row r="557" ht="12.75" customHeight="1">
      <c r="A557" s="74"/>
      <c r="B557" s="75"/>
      <c r="C557" s="75"/>
      <c r="D557" s="74"/>
      <c r="E557" s="59"/>
      <c r="F557" s="81"/>
      <c r="G557" s="70"/>
      <c r="H557" s="84"/>
      <c r="I557" s="83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</row>
    <row r="558" ht="12.75" customHeight="1">
      <c r="A558" s="74"/>
      <c r="B558" s="75"/>
      <c r="C558" s="75"/>
      <c r="D558" s="74"/>
      <c r="E558" s="59"/>
      <c r="F558" s="81"/>
      <c r="G558" s="70"/>
      <c r="H558" s="84"/>
      <c r="I558" s="83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</row>
    <row r="559" ht="12.75" customHeight="1">
      <c r="A559" s="74"/>
      <c r="B559" s="75"/>
      <c r="C559" s="75"/>
      <c r="D559" s="74"/>
      <c r="E559" s="59"/>
      <c r="F559" s="81"/>
      <c r="G559" s="70"/>
      <c r="H559" s="84"/>
      <c r="I559" s="56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</row>
    <row r="560" ht="12.75" customHeight="1">
      <c r="A560" s="74"/>
      <c r="B560" s="75"/>
      <c r="C560" s="75"/>
      <c r="D560" s="74"/>
      <c r="E560" s="59"/>
      <c r="F560" s="81"/>
      <c r="G560" s="70"/>
      <c r="H560" s="84"/>
      <c r="I560" s="56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</row>
    <row r="561" ht="12.75" customHeight="1">
      <c r="A561" s="58"/>
      <c r="B561" s="74"/>
      <c r="C561" s="105"/>
      <c r="D561" s="37"/>
      <c r="E561" s="59"/>
      <c r="F561" s="41"/>
      <c r="G561" s="106"/>
      <c r="H561" s="107"/>
      <c r="I561" s="38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</row>
    <row r="562" ht="12.75" customHeight="1">
      <c r="A562" s="37"/>
      <c r="B562" s="74"/>
      <c r="C562" s="105"/>
      <c r="D562" s="37"/>
      <c r="E562" s="59"/>
      <c r="F562" s="108"/>
      <c r="G562" s="109"/>
      <c r="H562" s="110"/>
      <c r="I562" s="38"/>
      <c r="J562" s="111" t="s">
        <v>705</v>
      </c>
      <c r="K562" s="112"/>
      <c r="L562" s="113"/>
      <c r="M562" s="37"/>
      <c r="N562" s="111" t="s">
        <v>705</v>
      </c>
      <c r="O562" s="112"/>
      <c r="P562" s="113"/>
      <c r="Q562" s="37"/>
      <c r="R562" s="111" t="s">
        <v>705</v>
      </c>
      <c r="S562" s="112"/>
      <c r="T562" s="113"/>
      <c r="U562" s="37"/>
      <c r="V562" s="111" t="s">
        <v>705</v>
      </c>
      <c r="W562" s="112"/>
      <c r="X562" s="113"/>
      <c r="Y562" s="37"/>
      <c r="Z562" s="111" t="s">
        <v>705</v>
      </c>
      <c r="AA562" s="112"/>
      <c r="AB562" s="113"/>
      <c r="AC562" s="37"/>
      <c r="AD562" s="111" t="s">
        <v>705</v>
      </c>
      <c r="AE562" s="112"/>
      <c r="AF562" s="113"/>
      <c r="AG562" s="37"/>
      <c r="AH562" s="111" t="s">
        <v>705</v>
      </c>
      <c r="AI562" s="112"/>
      <c r="AJ562" s="113"/>
      <c r="AK562" s="37"/>
      <c r="AL562" s="111" t="s">
        <v>705</v>
      </c>
      <c r="AM562" s="112"/>
      <c r="AN562" s="113"/>
      <c r="AO562" s="37"/>
      <c r="AP562" s="111" t="s">
        <v>705</v>
      </c>
      <c r="AQ562" s="112"/>
      <c r="AR562" s="113"/>
      <c r="AS562" s="37"/>
      <c r="AT562" s="111" t="s">
        <v>705</v>
      </c>
      <c r="AU562" s="112"/>
      <c r="AV562" s="113"/>
      <c r="AW562" s="37"/>
      <c r="AX562" s="111" t="s">
        <v>705</v>
      </c>
      <c r="AY562" s="112"/>
      <c r="AZ562" s="113"/>
      <c r="BA562" s="37"/>
      <c r="BB562" s="111" t="s">
        <v>705</v>
      </c>
      <c r="BC562" s="112"/>
      <c r="BD562" s="113"/>
      <c r="BE562" s="37"/>
      <c r="BF562" s="111" t="s">
        <v>705</v>
      </c>
      <c r="BG562" s="112"/>
      <c r="BH562" s="113"/>
      <c r="BI562" s="37"/>
      <c r="BJ562" s="111" t="s">
        <v>705</v>
      </c>
      <c r="BK562" s="112"/>
      <c r="BL562" s="113"/>
      <c r="BM562" s="37"/>
      <c r="BN562" s="111" t="s">
        <v>705</v>
      </c>
      <c r="BO562" s="112"/>
      <c r="BP562" s="113"/>
      <c r="BQ562" s="37"/>
      <c r="BR562" s="111" t="s">
        <v>705</v>
      </c>
      <c r="BS562" s="112"/>
      <c r="BT562" s="113"/>
      <c r="BU562" s="37"/>
    </row>
    <row r="563" ht="12.75" customHeight="1">
      <c r="A563" s="34"/>
      <c r="B563" s="75"/>
      <c r="C563" s="75"/>
      <c r="D563" s="37"/>
      <c r="E563" s="59"/>
      <c r="F563" s="108"/>
      <c r="G563" s="114"/>
      <c r="H563" s="115"/>
      <c r="I563" s="38"/>
      <c r="J563" s="116" t="s">
        <v>706</v>
      </c>
      <c r="K563" s="112"/>
      <c r="L563" s="113"/>
      <c r="M563" s="37"/>
      <c r="N563" s="116" t="s">
        <v>707</v>
      </c>
      <c r="O563" s="112"/>
      <c r="P563" s="113"/>
      <c r="Q563" s="37"/>
      <c r="R563" s="116" t="s">
        <v>708</v>
      </c>
      <c r="S563" s="112"/>
      <c r="T563" s="113"/>
      <c r="U563" s="37"/>
      <c r="V563" s="116" t="s">
        <v>709</v>
      </c>
      <c r="W563" s="112"/>
      <c r="X563" s="113"/>
      <c r="Y563" s="37"/>
      <c r="Z563" s="116" t="s">
        <v>710</v>
      </c>
      <c r="AA563" s="112"/>
      <c r="AB563" s="113"/>
      <c r="AC563" s="37"/>
      <c r="AD563" s="116" t="s">
        <v>711</v>
      </c>
      <c r="AE563" s="112"/>
      <c r="AF563" s="113"/>
      <c r="AG563" s="37"/>
      <c r="AH563" s="116" t="s">
        <v>712</v>
      </c>
      <c r="AI563" s="112"/>
      <c r="AJ563" s="113"/>
      <c r="AK563" s="37"/>
      <c r="AL563" s="116" t="s">
        <v>713</v>
      </c>
      <c r="AM563" s="112"/>
      <c r="AN563" s="113"/>
      <c r="AO563" s="37"/>
      <c r="AP563" s="116" t="s">
        <v>714</v>
      </c>
      <c r="AQ563" s="112"/>
      <c r="AR563" s="113"/>
      <c r="AS563" s="37"/>
      <c r="AT563" s="116" t="s">
        <v>715</v>
      </c>
      <c r="AU563" s="112"/>
      <c r="AV563" s="113"/>
      <c r="AW563" s="37"/>
      <c r="AX563" s="116" t="s">
        <v>716</v>
      </c>
      <c r="AY563" s="112"/>
      <c r="AZ563" s="113"/>
      <c r="BA563" s="37"/>
      <c r="BB563" s="116" t="s">
        <v>717</v>
      </c>
      <c r="BC563" s="112"/>
      <c r="BD563" s="113"/>
      <c r="BE563" s="37"/>
      <c r="BF563" s="116" t="s">
        <v>718</v>
      </c>
      <c r="BG563" s="112"/>
      <c r="BH563" s="113"/>
      <c r="BI563" s="37"/>
      <c r="BJ563" s="116" t="s">
        <v>719</v>
      </c>
      <c r="BK563" s="112"/>
      <c r="BL563" s="113"/>
      <c r="BM563" s="37"/>
      <c r="BN563" s="116" t="s">
        <v>720</v>
      </c>
      <c r="BO563" s="112"/>
      <c r="BP563" s="113"/>
      <c r="BQ563" s="37"/>
      <c r="BR563" s="116" t="s">
        <v>721</v>
      </c>
      <c r="BS563" s="112"/>
      <c r="BT563" s="113"/>
      <c r="BU563" s="37"/>
    </row>
    <row r="564" ht="12.75" customHeight="1">
      <c r="A564" s="34"/>
      <c r="B564" s="75"/>
      <c r="C564" s="75"/>
      <c r="D564" s="37"/>
      <c r="E564" s="59"/>
      <c r="F564" s="108"/>
      <c r="G564" s="117"/>
      <c r="H564" s="118"/>
      <c r="I564" s="38"/>
      <c r="J564" s="119" t="s">
        <v>722</v>
      </c>
      <c r="K564" s="112"/>
      <c r="L564" s="113"/>
      <c r="M564" s="37"/>
      <c r="N564" s="119" t="s">
        <v>723</v>
      </c>
      <c r="O564" s="112"/>
      <c r="P564" s="113"/>
      <c r="Q564" s="37"/>
      <c r="R564" s="119" t="s">
        <v>722</v>
      </c>
      <c r="S564" s="112"/>
      <c r="T564" s="113"/>
      <c r="U564" s="37"/>
      <c r="V564" s="119" t="s">
        <v>724</v>
      </c>
      <c r="W564" s="112"/>
      <c r="X564" s="113"/>
      <c r="Y564" s="37"/>
      <c r="Z564" s="119" t="s">
        <v>723</v>
      </c>
      <c r="AA564" s="112"/>
      <c r="AB564" s="113"/>
      <c r="AC564" s="37"/>
      <c r="AD564" s="119" t="s">
        <v>725</v>
      </c>
      <c r="AE564" s="112"/>
      <c r="AF564" s="113"/>
      <c r="AG564" s="37"/>
      <c r="AH564" s="119" t="s">
        <v>726</v>
      </c>
      <c r="AI564" s="112"/>
      <c r="AJ564" s="113"/>
      <c r="AK564" s="37"/>
      <c r="AL564" s="119" t="s">
        <v>726</v>
      </c>
      <c r="AM564" s="112"/>
      <c r="AN564" s="113"/>
      <c r="AO564" s="37"/>
      <c r="AP564" s="119" t="s">
        <v>727</v>
      </c>
      <c r="AQ564" s="112"/>
      <c r="AR564" s="113"/>
      <c r="AS564" s="37"/>
      <c r="AT564" s="119" t="s">
        <v>728</v>
      </c>
      <c r="AU564" s="112"/>
      <c r="AV564" s="113"/>
      <c r="AW564" s="37"/>
      <c r="AX564" s="119" t="s">
        <v>729</v>
      </c>
      <c r="AY564" s="112"/>
      <c r="AZ564" s="113"/>
      <c r="BA564" s="37"/>
      <c r="BB564" s="119" t="s">
        <v>723</v>
      </c>
      <c r="BC564" s="112"/>
      <c r="BD564" s="113"/>
      <c r="BE564" s="37"/>
      <c r="BF564" s="119" t="s">
        <v>727</v>
      </c>
      <c r="BG564" s="112"/>
      <c r="BH564" s="113"/>
      <c r="BI564" s="37"/>
      <c r="BJ564" s="119" t="s">
        <v>725</v>
      </c>
      <c r="BK564" s="112"/>
      <c r="BL564" s="113"/>
      <c r="BM564" s="37"/>
      <c r="BN564" s="119" t="s">
        <v>727</v>
      </c>
      <c r="BO564" s="112"/>
      <c r="BP564" s="113"/>
      <c r="BQ564" s="37"/>
      <c r="BR564" s="119" t="s">
        <v>723</v>
      </c>
      <c r="BS564" s="112"/>
      <c r="BT564" s="113"/>
      <c r="BU564" s="37"/>
    </row>
    <row r="565" ht="12.75" customHeight="1">
      <c r="A565" s="34"/>
      <c r="B565" s="75"/>
      <c r="C565" s="75"/>
      <c r="D565" s="37"/>
      <c r="E565" s="59"/>
      <c r="F565" s="108"/>
      <c r="G565" s="117"/>
      <c r="H565" s="118"/>
      <c r="I565" s="38"/>
      <c r="J565" s="120" t="s">
        <v>730</v>
      </c>
      <c r="K565" s="112"/>
      <c r="L565" s="113"/>
      <c r="M565" s="37"/>
      <c r="N565" s="120" t="s">
        <v>731</v>
      </c>
      <c r="O565" s="112"/>
      <c r="P565" s="113"/>
      <c r="Q565" s="37"/>
      <c r="R565" s="120" t="s">
        <v>731</v>
      </c>
      <c r="S565" s="112"/>
      <c r="T565" s="113"/>
      <c r="U565" s="37"/>
      <c r="V565" s="120" t="s">
        <v>731</v>
      </c>
      <c r="W565" s="112"/>
      <c r="X565" s="113"/>
      <c r="Y565" s="37"/>
      <c r="Z565" s="120" t="s">
        <v>731</v>
      </c>
      <c r="AA565" s="112"/>
      <c r="AB565" s="113"/>
      <c r="AC565" s="37"/>
      <c r="AD565" s="120" t="s">
        <v>731</v>
      </c>
      <c r="AE565" s="112"/>
      <c r="AF565" s="113"/>
      <c r="AG565" s="37"/>
      <c r="AH565" s="120" t="s">
        <v>732</v>
      </c>
      <c r="AI565" s="112"/>
      <c r="AJ565" s="113"/>
      <c r="AK565" s="37"/>
      <c r="AL565" s="120" t="s">
        <v>732</v>
      </c>
      <c r="AM565" s="112"/>
      <c r="AN565" s="113"/>
      <c r="AO565" s="37"/>
      <c r="AP565" s="120" t="s">
        <v>732</v>
      </c>
      <c r="AQ565" s="112"/>
      <c r="AR565" s="113"/>
      <c r="AS565" s="37"/>
      <c r="AT565" s="120" t="s">
        <v>731</v>
      </c>
      <c r="AU565" s="112"/>
      <c r="AV565" s="113"/>
      <c r="AW565" s="37"/>
      <c r="AX565" s="120" t="s">
        <v>731</v>
      </c>
      <c r="AY565" s="112"/>
      <c r="AZ565" s="113"/>
      <c r="BA565" s="37"/>
      <c r="BB565" s="120" t="s">
        <v>731</v>
      </c>
      <c r="BC565" s="112"/>
      <c r="BD565" s="113"/>
      <c r="BE565" s="37"/>
      <c r="BF565" s="120" t="s">
        <v>732</v>
      </c>
      <c r="BG565" s="112"/>
      <c r="BH565" s="113"/>
      <c r="BI565" s="37"/>
      <c r="BJ565" s="120" t="s">
        <v>733</v>
      </c>
      <c r="BK565" s="112"/>
      <c r="BL565" s="113"/>
      <c r="BM565" s="37"/>
      <c r="BN565" s="120" t="s">
        <v>732</v>
      </c>
      <c r="BO565" s="112"/>
      <c r="BP565" s="113"/>
      <c r="BQ565" s="37"/>
      <c r="BR565" s="120" t="s">
        <v>731</v>
      </c>
      <c r="BS565" s="112"/>
      <c r="BT565" s="113"/>
      <c r="BU565" s="37"/>
    </row>
    <row r="566" ht="12.75" customHeight="1">
      <c r="A566" s="37"/>
      <c r="B566" s="75"/>
      <c r="C566" s="75"/>
      <c r="D566" s="37"/>
      <c r="E566" s="59"/>
      <c r="F566" s="121"/>
      <c r="G566" s="122"/>
      <c r="H566" s="123"/>
      <c r="I566" s="38"/>
      <c r="J566" s="124" t="s">
        <v>734</v>
      </c>
      <c r="K566" s="125"/>
      <c r="L566" s="126"/>
      <c r="M566" s="37"/>
      <c r="N566" s="124" t="s">
        <v>735</v>
      </c>
      <c r="O566" s="125"/>
      <c r="P566" s="126"/>
      <c r="Q566" s="37"/>
      <c r="R566" s="124" t="s">
        <v>735</v>
      </c>
      <c r="S566" s="125"/>
      <c r="T566" s="126"/>
      <c r="U566" s="37"/>
      <c r="V566" s="124" t="s">
        <v>735</v>
      </c>
      <c r="W566" s="125"/>
      <c r="X566" s="126"/>
      <c r="Y566" s="37"/>
      <c r="Z566" s="124" t="s">
        <v>735</v>
      </c>
      <c r="AA566" s="125"/>
      <c r="AB566" s="126"/>
      <c r="AC566" s="37"/>
      <c r="AD566" s="124" t="s">
        <v>736</v>
      </c>
      <c r="AE566" s="125"/>
      <c r="AF566" s="126"/>
      <c r="AG566" s="37"/>
      <c r="AH566" s="124" t="s">
        <v>737</v>
      </c>
      <c r="AI566" s="125"/>
      <c r="AJ566" s="126"/>
      <c r="AK566" s="37"/>
      <c r="AL566" s="124" t="s">
        <v>737</v>
      </c>
      <c r="AM566" s="125"/>
      <c r="AN566" s="126"/>
      <c r="AO566" s="37"/>
      <c r="AP566" s="124" t="s">
        <v>738</v>
      </c>
      <c r="AQ566" s="125"/>
      <c r="AR566" s="126"/>
      <c r="AS566" s="37"/>
      <c r="AT566" s="124" t="s">
        <v>735</v>
      </c>
      <c r="AU566" s="125"/>
      <c r="AV566" s="126"/>
      <c r="AW566" s="37"/>
      <c r="AX566" s="124" t="s">
        <v>736</v>
      </c>
      <c r="AY566" s="125"/>
      <c r="AZ566" s="126"/>
      <c r="BA566" s="37"/>
      <c r="BB566" s="124" t="s">
        <v>736</v>
      </c>
      <c r="BC566" s="125"/>
      <c r="BD566" s="126"/>
      <c r="BE566" s="37"/>
      <c r="BF566" s="124" t="s">
        <v>737</v>
      </c>
      <c r="BG566" s="125"/>
      <c r="BH566" s="126"/>
      <c r="BI566" s="37"/>
      <c r="BJ566" s="124" t="s">
        <v>739</v>
      </c>
      <c r="BK566" s="125"/>
      <c r="BL566" s="126"/>
      <c r="BM566" s="37"/>
      <c r="BN566" s="124" t="s">
        <v>737</v>
      </c>
      <c r="BO566" s="125"/>
      <c r="BP566" s="126"/>
      <c r="BQ566" s="37"/>
      <c r="BR566" s="124" t="s">
        <v>735</v>
      </c>
      <c r="BS566" s="125"/>
      <c r="BT566" s="126"/>
      <c r="BU566" s="37"/>
    </row>
    <row r="567" ht="12.75" customHeight="1">
      <c r="A567" s="34"/>
      <c r="B567" s="58"/>
      <c r="C567" s="75"/>
      <c r="D567" s="37"/>
      <c r="E567" s="57"/>
      <c r="F567" s="60" t="s">
        <v>740</v>
      </c>
      <c r="G567" s="36"/>
      <c r="H567" s="127"/>
      <c r="I567" s="72"/>
      <c r="J567" s="60" t="s">
        <v>740</v>
      </c>
      <c r="K567" s="88"/>
      <c r="L567" s="128"/>
      <c r="M567" s="37"/>
      <c r="N567" s="60" t="s">
        <v>740</v>
      </c>
      <c r="O567" s="88"/>
      <c r="P567" s="128"/>
      <c r="Q567" s="37"/>
      <c r="R567" s="60" t="s">
        <v>740</v>
      </c>
      <c r="S567" s="88"/>
      <c r="T567" s="128"/>
      <c r="U567" s="37"/>
      <c r="V567" s="60" t="s">
        <v>740</v>
      </c>
      <c r="W567" s="88"/>
      <c r="X567" s="128"/>
      <c r="Y567" s="37"/>
      <c r="Z567" s="60" t="s">
        <v>740</v>
      </c>
      <c r="AA567" s="88"/>
      <c r="AB567" s="128"/>
      <c r="AC567" s="37"/>
      <c r="AD567" s="60" t="s">
        <v>740</v>
      </c>
      <c r="AE567" s="88"/>
      <c r="AF567" s="128"/>
      <c r="AG567" s="37"/>
      <c r="AH567" s="60" t="s">
        <v>740</v>
      </c>
      <c r="AI567" s="88"/>
      <c r="AJ567" s="128"/>
      <c r="AK567" s="37"/>
      <c r="AL567" s="60" t="s">
        <v>740</v>
      </c>
      <c r="AM567" s="88"/>
      <c r="AN567" s="128"/>
      <c r="AO567" s="37"/>
      <c r="AP567" s="60" t="s">
        <v>740</v>
      </c>
      <c r="AQ567" s="88"/>
      <c r="AR567" s="128"/>
      <c r="AS567" s="37"/>
      <c r="AT567" s="60" t="s">
        <v>740</v>
      </c>
      <c r="AU567" s="88"/>
      <c r="AV567" s="128"/>
      <c r="AW567" s="37"/>
      <c r="AX567" s="60" t="s">
        <v>740</v>
      </c>
      <c r="AY567" s="88"/>
      <c r="AZ567" s="128"/>
      <c r="BA567" s="37"/>
      <c r="BB567" s="60" t="s">
        <v>740</v>
      </c>
      <c r="BC567" s="88"/>
      <c r="BD567" s="128"/>
      <c r="BE567" s="37"/>
      <c r="BF567" s="60" t="s">
        <v>740</v>
      </c>
      <c r="BG567" s="88"/>
      <c r="BH567" s="128"/>
      <c r="BI567" s="37"/>
      <c r="BJ567" s="60" t="s">
        <v>740</v>
      </c>
      <c r="BK567" s="88"/>
      <c r="BL567" s="128"/>
      <c r="BM567" s="37"/>
      <c r="BN567" s="60" t="s">
        <v>740</v>
      </c>
      <c r="BO567" s="88"/>
      <c r="BP567" s="128"/>
      <c r="BQ567" s="37"/>
      <c r="BR567" s="60" t="s">
        <v>740</v>
      </c>
      <c r="BS567" s="88"/>
      <c r="BT567" s="128"/>
      <c r="BU567" s="37"/>
    </row>
    <row r="568" ht="12.75" customHeight="1">
      <c r="A568" s="63" t="s">
        <v>36</v>
      </c>
      <c r="B568" s="64" t="s">
        <v>37</v>
      </c>
      <c r="C568" s="64" t="s">
        <v>38</v>
      </c>
      <c r="D568" s="129"/>
      <c r="E568" s="57"/>
      <c r="F568" s="65"/>
      <c r="G568" s="66" t="s">
        <v>39</v>
      </c>
      <c r="H568" s="67" t="s">
        <v>40</v>
      </c>
      <c r="I568" s="72"/>
      <c r="J568" s="65"/>
      <c r="K568" s="66" t="s">
        <v>39</v>
      </c>
      <c r="L568" s="130" t="s">
        <v>40</v>
      </c>
      <c r="M568" s="37"/>
      <c r="N568" s="65"/>
      <c r="O568" s="66" t="s">
        <v>39</v>
      </c>
      <c r="P568" s="130" t="s">
        <v>40</v>
      </c>
      <c r="Q568" s="37"/>
      <c r="R568" s="65"/>
      <c r="S568" s="66" t="s">
        <v>39</v>
      </c>
      <c r="T568" s="130" t="s">
        <v>40</v>
      </c>
      <c r="U568" s="37"/>
      <c r="V568" s="65"/>
      <c r="W568" s="66" t="s">
        <v>39</v>
      </c>
      <c r="X568" s="130" t="s">
        <v>40</v>
      </c>
      <c r="Y568" s="37"/>
      <c r="Z568" s="65"/>
      <c r="AA568" s="66" t="s">
        <v>39</v>
      </c>
      <c r="AB568" s="130" t="s">
        <v>40</v>
      </c>
      <c r="AC568" s="37"/>
      <c r="AD568" s="65"/>
      <c r="AE568" s="66" t="s">
        <v>39</v>
      </c>
      <c r="AF568" s="130" t="s">
        <v>40</v>
      </c>
      <c r="AG568" s="37"/>
      <c r="AH568" s="65"/>
      <c r="AI568" s="66" t="s">
        <v>39</v>
      </c>
      <c r="AJ568" s="130" t="s">
        <v>40</v>
      </c>
      <c r="AK568" s="37"/>
      <c r="AL568" s="65"/>
      <c r="AM568" s="66" t="s">
        <v>39</v>
      </c>
      <c r="AN568" s="130" t="s">
        <v>40</v>
      </c>
      <c r="AO568" s="37"/>
      <c r="AP568" s="65"/>
      <c r="AQ568" s="66" t="s">
        <v>39</v>
      </c>
      <c r="AR568" s="130" t="s">
        <v>40</v>
      </c>
      <c r="AS568" s="37"/>
      <c r="AT568" s="65"/>
      <c r="AU568" s="66" t="s">
        <v>39</v>
      </c>
      <c r="AV568" s="130" t="s">
        <v>40</v>
      </c>
      <c r="AW568" s="37"/>
      <c r="AX568" s="65"/>
      <c r="AY568" s="66" t="s">
        <v>39</v>
      </c>
      <c r="AZ568" s="130" t="s">
        <v>40</v>
      </c>
      <c r="BA568" s="37"/>
      <c r="BB568" s="65"/>
      <c r="BC568" s="66" t="s">
        <v>39</v>
      </c>
      <c r="BD568" s="130" t="s">
        <v>40</v>
      </c>
      <c r="BE568" s="37"/>
      <c r="BF568" s="65"/>
      <c r="BG568" s="66" t="s">
        <v>39</v>
      </c>
      <c r="BH568" s="130" t="s">
        <v>40</v>
      </c>
      <c r="BI568" s="37"/>
      <c r="BJ568" s="65"/>
      <c r="BK568" s="66" t="s">
        <v>39</v>
      </c>
      <c r="BL568" s="130" t="s">
        <v>40</v>
      </c>
      <c r="BM568" s="37"/>
      <c r="BN568" s="65"/>
      <c r="BO568" s="66" t="s">
        <v>39</v>
      </c>
      <c r="BP568" s="130" t="s">
        <v>40</v>
      </c>
      <c r="BQ568" s="37"/>
      <c r="BR568" s="65"/>
      <c r="BS568" s="66" t="s">
        <v>39</v>
      </c>
      <c r="BT568" s="130" t="s">
        <v>40</v>
      </c>
      <c r="BU568" s="37"/>
    </row>
    <row r="569" ht="12.75" customHeight="1">
      <c r="A569" s="131" t="s">
        <v>741</v>
      </c>
      <c r="B569" s="132" t="s">
        <v>172</v>
      </c>
      <c r="C569" s="133"/>
      <c r="D569" s="134"/>
      <c r="E569" s="57"/>
      <c r="F569" s="135"/>
      <c r="G569" s="70" t="s">
        <v>742</v>
      </c>
      <c r="H569" s="136"/>
      <c r="I569" s="72"/>
      <c r="J569" s="65"/>
      <c r="K569" s="137" t="s">
        <v>742</v>
      </c>
      <c r="L569" s="138" t="s">
        <v>551</v>
      </c>
      <c r="M569" s="37"/>
      <c r="N569" s="65"/>
      <c r="O569" s="137" t="s">
        <v>742</v>
      </c>
      <c r="P569" s="138" t="s">
        <v>551</v>
      </c>
      <c r="Q569" s="37"/>
      <c r="R569" s="65"/>
      <c r="S569" s="137" t="s">
        <v>742</v>
      </c>
      <c r="T569" s="138" t="s">
        <v>551</v>
      </c>
      <c r="U569" s="37"/>
      <c r="V569" s="65"/>
      <c r="W569" s="137" t="s">
        <v>742</v>
      </c>
      <c r="X569" s="139" t="s">
        <v>172</v>
      </c>
      <c r="Y569" s="37"/>
      <c r="Z569" s="65"/>
      <c r="AA569" s="137" t="s">
        <v>742</v>
      </c>
      <c r="AB569" s="139" t="s">
        <v>172</v>
      </c>
      <c r="AC569" s="37"/>
      <c r="AD569" s="65"/>
      <c r="AE569" s="137" t="s">
        <v>742</v>
      </c>
      <c r="AF569" s="138" t="s">
        <v>551</v>
      </c>
      <c r="AG569" s="37"/>
      <c r="AH569" s="65"/>
      <c r="AI569" s="137" t="s">
        <v>742</v>
      </c>
      <c r="AJ569" s="138" t="s">
        <v>551</v>
      </c>
      <c r="AK569" s="37"/>
      <c r="AL569" s="65"/>
      <c r="AM569" s="137" t="s">
        <v>742</v>
      </c>
      <c r="AN569" s="138" t="s">
        <v>551</v>
      </c>
      <c r="AO569" s="37"/>
      <c r="AP569" s="65"/>
      <c r="AQ569" s="137" t="s">
        <v>742</v>
      </c>
      <c r="AR569" s="138" t="s">
        <v>551</v>
      </c>
      <c r="AS569" s="37"/>
      <c r="AT569" s="65"/>
      <c r="AU569" s="137" t="s">
        <v>742</v>
      </c>
      <c r="AV569" s="138" t="s">
        <v>551</v>
      </c>
      <c r="AW569" s="37"/>
      <c r="AX569" s="65"/>
      <c r="AY569" s="137" t="s">
        <v>742</v>
      </c>
      <c r="AZ569" s="139" t="s">
        <v>172</v>
      </c>
      <c r="BA569" s="37"/>
      <c r="BB569" s="65"/>
      <c r="BC569" s="137" t="s">
        <v>742</v>
      </c>
      <c r="BD569" s="139" t="s">
        <v>172</v>
      </c>
      <c r="BE569" s="37"/>
      <c r="BF569" s="65"/>
      <c r="BG569" s="137" t="s">
        <v>742</v>
      </c>
      <c r="BH569" s="138" t="s">
        <v>551</v>
      </c>
      <c r="BI569" s="37"/>
      <c r="BJ569" s="65"/>
      <c r="BK569" s="137" t="s">
        <v>742</v>
      </c>
      <c r="BL569" s="138" t="s">
        <v>551</v>
      </c>
      <c r="BM569" s="37"/>
      <c r="BN569" s="65"/>
      <c r="BO569" s="137" t="s">
        <v>742</v>
      </c>
      <c r="BP569" s="138" t="s">
        <v>551</v>
      </c>
      <c r="BQ569" s="37"/>
      <c r="BR569" s="65"/>
      <c r="BS569" s="137" t="s">
        <v>742</v>
      </c>
      <c r="BT569" s="138" t="s">
        <v>551</v>
      </c>
      <c r="BU569" s="37"/>
    </row>
    <row r="570" ht="12.75" customHeight="1">
      <c r="A570" s="131" t="s">
        <v>743</v>
      </c>
      <c r="B570" s="132" t="s">
        <v>172</v>
      </c>
      <c r="C570" s="133"/>
      <c r="D570" s="134"/>
      <c r="E570" s="57"/>
      <c r="F570" s="135"/>
      <c r="G570" s="70" t="s">
        <v>744</v>
      </c>
      <c r="H570" s="136"/>
      <c r="I570" s="72"/>
      <c r="J570" s="65"/>
      <c r="K570" s="137" t="s">
        <v>744</v>
      </c>
      <c r="L570" s="138" t="s">
        <v>551</v>
      </c>
      <c r="M570" s="37"/>
      <c r="N570" s="65"/>
      <c r="O570" s="137" t="s">
        <v>744</v>
      </c>
      <c r="P570" s="138" t="s">
        <v>551</v>
      </c>
      <c r="Q570" s="37"/>
      <c r="R570" s="65"/>
      <c r="S570" s="137" t="s">
        <v>744</v>
      </c>
      <c r="T570" s="138" t="s">
        <v>551</v>
      </c>
      <c r="U570" s="37"/>
      <c r="V570" s="65"/>
      <c r="W570" s="137" t="s">
        <v>744</v>
      </c>
      <c r="X570" s="139" t="s">
        <v>172</v>
      </c>
      <c r="Y570" s="37"/>
      <c r="Z570" s="65"/>
      <c r="AA570" s="137" t="s">
        <v>744</v>
      </c>
      <c r="AB570" s="139" t="s">
        <v>172</v>
      </c>
      <c r="AC570" s="37"/>
      <c r="AD570" s="65"/>
      <c r="AE570" s="137" t="s">
        <v>744</v>
      </c>
      <c r="AF570" s="138" t="s">
        <v>551</v>
      </c>
      <c r="AG570" s="37"/>
      <c r="AH570" s="65"/>
      <c r="AI570" s="137" t="s">
        <v>744</v>
      </c>
      <c r="AJ570" s="138" t="s">
        <v>551</v>
      </c>
      <c r="AK570" s="37"/>
      <c r="AL570" s="65"/>
      <c r="AM570" s="137" t="s">
        <v>744</v>
      </c>
      <c r="AN570" s="138" t="s">
        <v>551</v>
      </c>
      <c r="AO570" s="37"/>
      <c r="AP570" s="65"/>
      <c r="AQ570" s="137" t="s">
        <v>744</v>
      </c>
      <c r="AR570" s="138" t="s">
        <v>551</v>
      </c>
      <c r="AS570" s="37"/>
      <c r="AT570" s="65"/>
      <c r="AU570" s="137" t="s">
        <v>744</v>
      </c>
      <c r="AV570" s="138" t="s">
        <v>551</v>
      </c>
      <c r="AW570" s="37"/>
      <c r="AX570" s="65"/>
      <c r="AY570" s="137" t="s">
        <v>744</v>
      </c>
      <c r="AZ570" s="139" t="s">
        <v>172</v>
      </c>
      <c r="BA570" s="37"/>
      <c r="BB570" s="65"/>
      <c r="BC570" s="137" t="s">
        <v>744</v>
      </c>
      <c r="BD570" s="139" t="s">
        <v>172</v>
      </c>
      <c r="BE570" s="37"/>
      <c r="BF570" s="65"/>
      <c r="BG570" s="137" t="s">
        <v>744</v>
      </c>
      <c r="BH570" s="138" t="s">
        <v>551</v>
      </c>
      <c r="BI570" s="37"/>
      <c r="BJ570" s="65"/>
      <c r="BK570" s="137" t="s">
        <v>744</v>
      </c>
      <c r="BL570" s="138" t="s">
        <v>551</v>
      </c>
      <c r="BM570" s="37"/>
      <c r="BN570" s="65"/>
      <c r="BO570" s="137" t="s">
        <v>744</v>
      </c>
      <c r="BP570" s="138" t="s">
        <v>551</v>
      </c>
      <c r="BQ570" s="37"/>
      <c r="BR570" s="65"/>
      <c r="BS570" s="137" t="s">
        <v>744</v>
      </c>
      <c r="BT570" s="138" t="s">
        <v>551</v>
      </c>
      <c r="BU570" s="37"/>
    </row>
    <row r="571" ht="12.75" customHeight="1">
      <c r="A571" s="131" t="s">
        <v>745</v>
      </c>
      <c r="B571" s="132" t="s">
        <v>243</v>
      </c>
      <c r="C571" s="133"/>
      <c r="D571" s="134"/>
      <c r="E571" s="57"/>
      <c r="F571" s="135"/>
      <c r="G571" s="70" t="s">
        <v>746</v>
      </c>
      <c r="H571" s="136"/>
      <c r="I571" s="72"/>
      <c r="J571" s="65"/>
      <c r="K571" s="137" t="s">
        <v>746</v>
      </c>
      <c r="L571" s="139" t="s">
        <v>243</v>
      </c>
      <c r="M571" s="37"/>
      <c r="N571" s="65"/>
      <c r="O571" s="137" t="s">
        <v>746</v>
      </c>
      <c r="P571" s="139" t="s">
        <v>243</v>
      </c>
      <c r="Q571" s="37"/>
      <c r="R571" s="65"/>
      <c r="S571" s="137" t="s">
        <v>746</v>
      </c>
      <c r="T571" s="139" t="s">
        <v>243</v>
      </c>
      <c r="U571" s="37"/>
      <c r="V571" s="65"/>
      <c r="W571" s="137" t="s">
        <v>746</v>
      </c>
      <c r="X571" s="139" t="s">
        <v>243</v>
      </c>
      <c r="Y571" s="37"/>
      <c r="Z571" s="65"/>
      <c r="AA571" s="137" t="s">
        <v>746</v>
      </c>
      <c r="AB571" s="139" t="s">
        <v>243</v>
      </c>
      <c r="AC571" s="37"/>
      <c r="AD571" s="65"/>
      <c r="AE571" s="137" t="s">
        <v>746</v>
      </c>
      <c r="AF571" s="139" t="s">
        <v>243</v>
      </c>
      <c r="AG571" s="37"/>
      <c r="AH571" s="65"/>
      <c r="AI571" s="137" t="s">
        <v>746</v>
      </c>
      <c r="AJ571" s="139" t="s">
        <v>243</v>
      </c>
      <c r="AK571" s="37"/>
      <c r="AL571" s="65"/>
      <c r="AM571" s="137" t="s">
        <v>746</v>
      </c>
      <c r="AN571" s="139" t="s">
        <v>243</v>
      </c>
      <c r="AO571" s="37"/>
      <c r="AP571" s="65"/>
      <c r="AQ571" s="137" t="s">
        <v>746</v>
      </c>
      <c r="AR571" s="139" t="s">
        <v>243</v>
      </c>
      <c r="AS571" s="37"/>
      <c r="AT571" s="65"/>
      <c r="AU571" s="137" t="s">
        <v>746</v>
      </c>
      <c r="AV571" s="139" t="s">
        <v>243</v>
      </c>
      <c r="AW571" s="37"/>
      <c r="AX571" s="65"/>
      <c r="AY571" s="137" t="s">
        <v>746</v>
      </c>
      <c r="AZ571" s="139" t="s">
        <v>243</v>
      </c>
      <c r="BA571" s="37"/>
      <c r="BB571" s="65"/>
      <c r="BC571" s="137" t="s">
        <v>746</v>
      </c>
      <c r="BD571" s="139" t="s">
        <v>243</v>
      </c>
      <c r="BE571" s="37"/>
      <c r="BF571" s="65"/>
      <c r="BG571" s="137" t="s">
        <v>746</v>
      </c>
      <c r="BH571" s="139" t="s">
        <v>243</v>
      </c>
      <c r="BI571" s="37"/>
      <c r="BJ571" s="65"/>
      <c r="BK571" s="137" t="s">
        <v>746</v>
      </c>
      <c r="BL571" s="139" t="s">
        <v>243</v>
      </c>
      <c r="BM571" s="37"/>
      <c r="BN571" s="65"/>
      <c r="BO571" s="137" t="s">
        <v>746</v>
      </c>
      <c r="BP571" s="139" t="s">
        <v>243</v>
      </c>
      <c r="BQ571" s="37"/>
      <c r="BR571" s="65"/>
      <c r="BS571" s="137" t="s">
        <v>746</v>
      </c>
      <c r="BT571" s="139" t="s">
        <v>243</v>
      </c>
      <c r="BU571" s="37"/>
    </row>
    <row r="572" ht="12.75" customHeight="1">
      <c r="A572" s="80"/>
      <c r="B572" s="132" t="s">
        <v>172</v>
      </c>
      <c r="C572" s="140"/>
      <c r="D572" s="134"/>
      <c r="E572" s="57"/>
      <c r="F572" s="135"/>
      <c r="G572" s="70" t="s">
        <v>747</v>
      </c>
      <c r="H572" s="136"/>
      <c r="I572" s="72"/>
      <c r="J572" s="65"/>
      <c r="K572" s="137" t="s">
        <v>747</v>
      </c>
      <c r="L572" s="138" t="s">
        <v>8</v>
      </c>
      <c r="M572" s="37"/>
      <c r="N572" s="65"/>
      <c r="O572" s="137" t="s">
        <v>747</v>
      </c>
      <c r="P572" s="138" t="s">
        <v>8</v>
      </c>
      <c r="Q572" s="37"/>
      <c r="R572" s="65"/>
      <c r="S572" s="137" t="s">
        <v>747</v>
      </c>
      <c r="T572" s="138" t="s">
        <v>8</v>
      </c>
      <c r="U572" s="37"/>
      <c r="V572" s="65"/>
      <c r="W572" s="137" t="s">
        <v>747</v>
      </c>
      <c r="X572" s="138" t="s">
        <v>8</v>
      </c>
      <c r="Y572" s="37"/>
      <c r="Z572" s="65"/>
      <c r="AA572" s="137" t="s">
        <v>747</v>
      </c>
      <c r="AB572" s="138" t="s">
        <v>8</v>
      </c>
      <c r="AC572" s="37"/>
      <c r="AD572" s="65"/>
      <c r="AE572" s="137" t="s">
        <v>747</v>
      </c>
      <c r="AF572" s="138" t="s">
        <v>8</v>
      </c>
      <c r="AG572" s="37"/>
      <c r="AH572" s="65"/>
      <c r="AI572" s="137" t="s">
        <v>747</v>
      </c>
      <c r="AJ572" s="138" t="s">
        <v>8</v>
      </c>
      <c r="AK572" s="37"/>
      <c r="AL572" s="65"/>
      <c r="AM572" s="137" t="s">
        <v>747</v>
      </c>
      <c r="AN572" s="138" t="s">
        <v>8</v>
      </c>
      <c r="AO572" s="37"/>
      <c r="AP572" s="65"/>
      <c r="AQ572" s="137" t="s">
        <v>747</v>
      </c>
      <c r="AR572" s="138" t="s">
        <v>8</v>
      </c>
      <c r="AS572" s="37"/>
      <c r="AT572" s="65"/>
      <c r="AU572" s="137" t="s">
        <v>747</v>
      </c>
      <c r="AV572" s="138" t="s">
        <v>8</v>
      </c>
      <c r="AW572" s="37"/>
      <c r="AX572" s="65"/>
      <c r="AY572" s="137" t="s">
        <v>747</v>
      </c>
      <c r="AZ572" s="138" t="s">
        <v>8</v>
      </c>
      <c r="BA572" s="37"/>
      <c r="BB572" s="65"/>
      <c r="BC572" s="137" t="s">
        <v>747</v>
      </c>
      <c r="BD572" s="138" t="s">
        <v>8</v>
      </c>
      <c r="BE572" s="37"/>
      <c r="BF572" s="65"/>
      <c r="BG572" s="137" t="s">
        <v>747</v>
      </c>
      <c r="BH572" s="138" t="s">
        <v>8</v>
      </c>
      <c r="BI572" s="37"/>
      <c r="BJ572" s="65"/>
      <c r="BK572" s="137" t="s">
        <v>747</v>
      </c>
      <c r="BL572" s="138" t="s">
        <v>8</v>
      </c>
      <c r="BM572" s="37"/>
      <c r="BN572" s="65"/>
      <c r="BO572" s="137" t="s">
        <v>747</v>
      </c>
      <c r="BP572" s="138" t="s">
        <v>8</v>
      </c>
      <c r="BQ572" s="37"/>
      <c r="BR572" s="65"/>
      <c r="BS572" s="137" t="s">
        <v>747</v>
      </c>
      <c r="BT572" s="138" t="s">
        <v>8</v>
      </c>
      <c r="BU572" s="37"/>
    </row>
    <row r="573" ht="12.75" customHeight="1">
      <c r="A573" s="80"/>
      <c r="B573" s="132" t="s">
        <v>172</v>
      </c>
      <c r="C573" s="140"/>
      <c r="D573" s="134"/>
      <c r="E573" s="57"/>
      <c r="F573" s="135"/>
      <c r="G573" s="70" t="s">
        <v>748</v>
      </c>
      <c r="H573" s="136"/>
      <c r="I573" s="72"/>
      <c r="J573" s="65"/>
      <c r="K573" s="137" t="s">
        <v>748</v>
      </c>
      <c r="L573" s="138" t="s">
        <v>8</v>
      </c>
      <c r="M573" s="37"/>
      <c r="N573" s="65"/>
      <c r="O573" s="137" t="s">
        <v>748</v>
      </c>
      <c r="P573" s="138" t="s">
        <v>8</v>
      </c>
      <c r="Q573" s="37"/>
      <c r="R573" s="65"/>
      <c r="S573" s="137" t="s">
        <v>748</v>
      </c>
      <c r="T573" s="138" t="s">
        <v>8</v>
      </c>
      <c r="U573" s="37"/>
      <c r="V573" s="65"/>
      <c r="W573" s="137" t="s">
        <v>748</v>
      </c>
      <c r="X573" s="138" t="s">
        <v>8</v>
      </c>
      <c r="Y573" s="37"/>
      <c r="Z573" s="65"/>
      <c r="AA573" s="137" t="s">
        <v>748</v>
      </c>
      <c r="AB573" s="138" t="s">
        <v>8</v>
      </c>
      <c r="AC573" s="37"/>
      <c r="AD573" s="65"/>
      <c r="AE573" s="137" t="s">
        <v>748</v>
      </c>
      <c r="AF573" s="138" t="s">
        <v>8</v>
      </c>
      <c r="AG573" s="37"/>
      <c r="AH573" s="65"/>
      <c r="AI573" s="137" t="s">
        <v>748</v>
      </c>
      <c r="AJ573" s="138" t="s">
        <v>8</v>
      </c>
      <c r="AK573" s="37"/>
      <c r="AL573" s="65"/>
      <c r="AM573" s="137" t="s">
        <v>748</v>
      </c>
      <c r="AN573" s="138" t="s">
        <v>8</v>
      </c>
      <c r="AO573" s="37"/>
      <c r="AP573" s="65"/>
      <c r="AQ573" s="137" t="s">
        <v>748</v>
      </c>
      <c r="AR573" s="138" t="s">
        <v>8</v>
      </c>
      <c r="AS573" s="37"/>
      <c r="AT573" s="65"/>
      <c r="AU573" s="137" t="s">
        <v>748</v>
      </c>
      <c r="AV573" s="138" t="s">
        <v>8</v>
      </c>
      <c r="AW573" s="37"/>
      <c r="AX573" s="65"/>
      <c r="AY573" s="137" t="s">
        <v>748</v>
      </c>
      <c r="AZ573" s="138" t="s">
        <v>8</v>
      </c>
      <c r="BA573" s="37"/>
      <c r="BB573" s="65"/>
      <c r="BC573" s="137" t="s">
        <v>748</v>
      </c>
      <c r="BD573" s="138" t="s">
        <v>8</v>
      </c>
      <c r="BE573" s="37"/>
      <c r="BF573" s="65"/>
      <c r="BG573" s="137" t="s">
        <v>748</v>
      </c>
      <c r="BH573" s="138" t="s">
        <v>8</v>
      </c>
      <c r="BI573" s="37"/>
      <c r="BJ573" s="65"/>
      <c r="BK573" s="137" t="s">
        <v>748</v>
      </c>
      <c r="BL573" s="138" t="s">
        <v>8</v>
      </c>
      <c r="BM573" s="37"/>
      <c r="BN573" s="65"/>
      <c r="BO573" s="137" t="s">
        <v>748</v>
      </c>
      <c r="BP573" s="138" t="s">
        <v>8</v>
      </c>
      <c r="BQ573" s="37"/>
      <c r="BR573" s="65"/>
      <c r="BS573" s="137" t="s">
        <v>748</v>
      </c>
      <c r="BT573" s="138" t="s">
        <v>8</v>
      </c>
      <c r="BU573" s="37"/>
    </row>
    <row r="574" ht="12.75" customHeight="1">
      <c r="A574" s="80"/>
      <c r="B574" s="132" t="s">
        <v>46</v>
      </c>
      <c r="C574" s="140"/>
      <c r="D574" s="134"/>
      <c r="E574" s="57"/>
      <c r="F574" s="135"/>
      <c r="G574" s="70" t="s">
        <v>749</v>
      </c>
      <c r="H574" s="136"/>
      <c r="I574" s="72"/>
      <c r="J574" s="65"/>
      <c r="K574" s="137" t="s">
        <v>749</v>
      </c>
      <c r="L574" s="139" t="s">
        <v>46</v>
      </c>
      <c r="M574" s="37"/>
      <c r="N574" s="65"/>
      <c r="O574" s="137" t="s">
        <v>749</v>
      </c>
      <c r="P574" s="139" t="s">
        <v>46</v>
      </c>
      <c r="Q574" s="37"/>
      <c r="R574" s="65"/>
      <c r="S574" s="137" t="s">
        <v>749</v>
      </c>
      <c r="T574" s="139" t="s">
        <v>46</v>
      </c>
      <c r="U574" s="37"/>
      <c r="V574" s="65"/>
      <c r="W574" s="137" t="s">
        <v>749</v>
      </c>
      <c r="X574" s="138" t="s">
        <v>63</v>
      </c>
      <c r="Y574" s="37"/>
      <c r="Z574" s="65"/>
      <c r="AA574" s="137" t="s">
        <v>749</v>
      </c>
      <c r="AB574" s="138" t="s">
        <v>63</v>
      </c>
      <c r="AC574" s="37"/>
      <c r="AD574" s="65"/>
      <c r="AE574" s="137" t="s">
        <v>749</v>
      </c>
      <c r="AF574" s="139" t="s">
        <v>46</v>
      </c>
      <c r="AG574" s="37"/>
      <c r="AH574" s="65"/>
      <c r="AI574" s="137" t="s">
        <v>749</v>
      </c>
      <c r="AJ574" s="139" t="s">
        <v>46</v>
      </c>
      <c r="AK574" s="37"/>
      <c r="AL574" s="65"/>
      <c r="AM574" s="137" t="s">
        <v>749</v>
      </c>
      <c r="AN574" s="139" t="s">
        <v>46</v>
      </c>
      <c r="AO574" s="37"/>
      <c r="AP574" s="65"/>
      <c r="AQ574" s="137" t="s">
        <v>749</v>
      </c>
      <c r="AR574" s="139" t="s">
        <v>46</v>
      </c>
      <c r="AS574" s="37"/>
      <c r="AT574" s="65"/>
      <c r="AU574" s="137" t="s">
        <v>749</v>
      </c>
      <c r="AV574" s="139" t="s">
        <v>46</v>
      </c>
      <c r="AW574" s="37"/>
      <c r="AX574" s="65"/>
      <c r="AY574" s="137" t="s">
        <v>749</v>
      </c>
      <c r="AZ574" s="138" t="s">
        <v>63</v>
      </c>
      <c r="BA574" s="37"/>
      <c r="BB574" s="65"/>
      <c r="BC574" s="137" t="s">
        <v>749</v>
      </c>
      <c r="BD574" s="138" t="s">
        <v>63</v>
      </c>
      <c r="BE574" s="37"/>
      <c r="BF574" s="65"/>
      <c r="BG574" s="137" t="s">
        <v>749</v>
      </c>
      <c r="BH574" s="139" t="s">
        <v>46</v>
      </c>
      <c r="BI574" s="37"/>
      <c r="BJ574" s="65"/>
      <c r="BK574" s="137" t="s">
        <v>749</v>
      </c>
      <c r="BL574" s="139" t="s">
        <v>46</v>
      </c>
      <c r="BM574" s="37"/>
      <c r="BN574" s="65"/>
      <c r="BO574" s="137" t="s">
        <v>749</v>
      </c>
      <c r="BP574" s="139" t="s">
        <v>46</v>
      </c>
      <c r="BQ574" s="37"/>
      <c r="BR574" s="65"/>
      <c r="BS574" s="137" t="s">
        <v>749</v>
      </c>
      <c r="BT574" s="139" t="s">
        <v>46</v>
      </c>
      <c r="BU574" s="37"/>
    </row>
    <row r="575" ht="12.75" customHeight="1">
      <c r="A575" s="93"/>
      <c r="B575" s="94"/>
      <c r="C575" s="94"/>
      <c r="D575" s="141"/>
      <c r="E575" s="59"/>
      <c r="F575" s="142"/>
      <c r="G575" s="70"/>
      <c r="H575" s="95"/>
      <c r="I575" s="72"/>
      <c r="J575" s="143"/>
      <c r="K575" s="137"/>
      <c r="L575" s="139"/>
      <c r="M575" s="37"/>
      <c r="N575" s="143"/>
      <c r="O575" s="137"/>
      <c r="P575" s="139"/>
      <c r="Q575" s="37"/>
      <c r="R575" s="143"/>
      <c r="S575" s="137"/>
      <c r="T575" s="139"/>
      <c r="U575" s="37"/>
      <c r="V575" s="143"/>
      <c r="W575" s="137"/>
      <c r="X575" s="139"/>
      <c r="Y575" s="37"/>
      <c r="Z575" s="143"/>
      <c r="AA575" s="137"/>
      <c r="AB575" s="139"/>
      <c r="AC575" s="37"/>
      <c r="AD575" s="143"/>
      <c r="AE575" s="137"/>
      <c r="AF575" s="139"/>
      <c r="AG575" s="37"/>
      <c r="AH575" s="143"/>
      <c r="AI575" s="137"/>
      <c r="AJ575" s="139"/>
      <c r="AK575" s="37"/>
      <c r="AL575" s="143"/>
      <c r="AM575" s="137"/>
      <c r="AN575" s="139"/>
      <c r="AO575" s="37"/>
      <c r="AP575" s="143"/>
      <c r="AQ575" s="137"/>
      <c r="AR575" s="139"/>
      <c r="AS575" s="37"/>
      <c r="AT575" s="143"/>
      <c r="AU575" s="137"/>
      <c r="AV575" s="139"/>
      <c r="AW575" s="37"/>
      <c r="AX575" s="143"/>
      <c r="AY575" s="137"/>
      <c r="AZ575" s="139"/>
      <c r="BA575" s="37"/>
      <c r="BB575" s="143"/>
      <c r="BC575" s="137"/>
      <c r="BD575" s="139"/>
      <c r="BE575" s="37"/>
      <c r="BF575" s="143"/>
      <c r="BG575" s="137"/>
      <c r="BH575" s="139"/>
      <c r="BI575" s="37"/>
      <c r="BJ575" s="143"/>
      <c r="BK575" s="137"/>
      <c r="BL575" s="139"/>
      <c r="BM575" s="37"/>
      <c r="BN575" s="143"/>
      <c r="BO575" s="137"/>
      <c r="BP575" s="139"/>
      <c r="BQ575" s="37"/>
      <c r="BR575" s="143"/>
      <c r="BS575" s="137"/>
      <c r="BT575" s="139"/>
      <c r="BU575" s="37"/>
    </row>
    <row r="576" ht="12.75" customHeight="1">
      <c r="A576" s="93"/>
      <c r="B576" s="94"/>
      <c r="C576" s="94"/>
      <c r="D576" s="129"/>
      <c r="E576" s="59"/>
      <c r="F576" s="144"/>
      <c r="G576" s="70"/>
      <c r="H576" s="95"/>
      <c r="I576" s="72"/>
      <c r="J576" s="145"/>
      <c r="K576" s="137"/>
      <c r="L576" s="139"/>
      <c r="M576" s="37"/>
      <c r="N576" s="145"/>
      <c r="O576" s="137"/>
      <c r="P576" s="139"/>
      <c r="Q576" s="37"/>
      <c r="R576" s="145"/>
      <c r="S576" s="137"/>
      <c r="T576" s="139"/>
      <c r="U576" s="37"/>
      <c r="V576" s="145"/>
      <c r="W576" s="137"/>
      <c r="X576" s="139"/>
      <c r="Y576" s="37"/>
      <c r="Z576" s="145"/>
      <c r="AA576" s="137"/>
      <c r="AB576" s="139"/>
      <c r="AC576" s="37"/>
      <c r="AD576" s="145"/>
      <c r="AE576" s="137"/>
      <c r="AF576" s="139"/>
      <c r="AG576" s="37"/>
      <c r="AH576" s="145"/>
      <c r="AI576" s="137"/>
      <c r="AJ576" s="139"/>
      <c r="AK576" s="37"/>
      <c r="AL576" s="145"/>
      <c r="AM576" s="137"/>
      <c r="AN576" s="139"/>
      <c r="AO576" s="37"/>
      <c r="AP576" s="145"/>
      <c r="AQ576" s="137"/>
      <c r="AR576" s="139"/>
      <c r="AS576" s="37"/>
      <c r="AT576" s="145"/>
      <c r="AU576" s="137"/>
      <c r="AV576" s="139"/>
      <c r="AW576" s="37"/>
      <c r="AX576" s="145"/>
      <c r="AY576" s="137"/>
      <c r="AZ576" s="139"/>
      <c r="BA576" s="37"/>
      <c r="BB576" s="145"/>
      <c r="BC576" s="137"/>
      <c r="BD576" s="139"/>
      <c r="BE576" s="37"/>
      <c r="BF576" s="145"/>
      <c r="BG576" s="137"/>
      <c r="BH576" s="139"/>
      <c r="BI576" s="37"/>
      <c r="BJ576" s="145"/>
      <c r="BK576" s="137"/>
      <c r="BL576" s="139"/>
      <c r="BM576" s="37"/>
      <c r="BN576" s="145"/>
      <c r="BO576" s="137"/>
      <c r="BP576" s="139"/>
      <c r="BQ576" s="37"/>
      <c r="BR576" s="145"/>
      <c r="BS576" s="137"/>
      <c r="BT576" s="139"/>
      <c r="BU576" s="37"/>
    </row>
    <row r="577" ht="12.75" customHeight="1">
      <c r="A577" s="93"/>
      <c r="B577" s="58"/>
      <c r="C577" s="75"/>
      <c r="D577" s="129"/>
      <c r="E577" s="57"/>
      <c r="F577" s="60" t="s">
        <v>750</v>
      </c>
      <c r="G577" s="36"/>
      <c r="H577" s="127"/>
      <c r="I577" s="72"/>
      <c r="J577" s="60" t="s">
        <v>750</v>
      </c>
      <c r="K577" s="36"/>
      <c r="L577" s="128"/>
      <c r="M577" s="37"/>
      <c r="N577" s="60" t="s">
        <v>750</v>
      </c>
      <c r="O577" s="36"/>
      <c r="P577" s="128"/>
      <c r="Q577" s="37"/>
      <c r="R577" s="60" t="s">
        <v>750</v>
      </c>
      <c r="S577" s="36"/>
      <c r="T577" s="128"/>
      <c r="U577" s="37"/>
      <c r="V577" s="60" t="s">
        <v>750</v>
      </c>
      <c r="W577" s="36"/>
      <c r="X577" s="128"/>
      <c r="Y577" s="37"/>
      <c r="Z577" s="60" t="s">
        <v>750</v>
      </c>
      <c r="AA577" s="36"/>
      <c r="AB577" s="128"/>
      <c r="AC577" s="37"/>
      <c r="AD577" s="60" t="s">
        <v>750</v>
      </c>
      <c r="AE577" s="36"/>
      <c r="AF577" s="128"/>
      <c r="AG577" s="37"/>
      <c r="AH577" s="60" t="s">
        <v>750</v>
      </c>
      <c r="AI577" s="36"/>
      <c r="AJ577" s="128"/>
      <c r="AK577" s="37"/>
      <c r="AL577" s="60" t="s">
        <v>750</v>
      </c>
      <c r="AM577" s="36"/>
      <c r="AN577" s="128"/>
      <c r="AO577" s="37"/>
      <c r="AP577" s="60" t="s">
        <v>750</v>
      </c>
      <c r="AQ577" s="36"/>
      <c r="AR577" s="128"/>
      <c r="AS577" s="37"/>
      <c r="AT577" s="60" t="s">
        <v>750</v>
      </c>
      <c r="AU577" s="36"/>
      <c r="AV577" s="128"/>
      <c r="AW577" s="37"/>
      <c r="AX577" s="60" t="s">
        <v>750</v>
      </c>
      <c r="AY577" s="36"/>
      <c r="AZ577" s="128"/>
      <c r="BA577" s="37"/>
      <c r="BB577" s="60" t="s">
        <v>750</v>
      </c>
      <c r="BC577" s="36"/>
      <c r="BD577" s="128"/>
      <c r="BE577" s="37"/>
      <c r="BF577" s="60" t="s">
        <v>750</v>
      </c>
      <c r="BG577" s="36"/>
      <c r="BH577" s="128"/>
      <c r="BI577" s="37"/>
      <c r="BJ577" s="60" t="s">
        <v>750</v>
      </c>
      <c r="BK577" s="36"/>
      <c r="BL577" s="128"/>
      <c r="BM577" s="37"/>
      <c r="BN577" s="60" t="s">
        <v>750</v>
      </c>
      <c r="BO577" s="36"/>
      <c r="BP577" s="128"/>
      <c r="BQ577" s="37"/>
      <c r="BR577" s="60" t="s">
        <v>750</v>
      </c>
      <c r="BS577" s="36"/>
      <c r="BT577" s="128"/>
      <c r="BU577" s="37"/>
    </row>
    <row r="578" ht="12.75" customHeight="1">
      <c r="A578" s="63" t="s">
        <v>36</v>
      </c>
      <c r="B578" s="64" t="s">
        <v>37</v>
      </c>
      <c r="C578" s="64" t="s">
        <v>38</v>
      </c>
      <c r="D578" s="129"/>
      <c r="E578" s="57"/>
      <c r="F578" s="65"/>
      <c r="G578" s="66" t="s">
        <v>39</v>
      </c>
      <c r="H578" s="67" t="s">
        <v>40</v>
      </c>
      <c r="I578" s="72"/>
      <c r="J578" s="65"/>
      <c r="K578" s="66" t="s">
        <v>39</v>
      </c>
      <c r="L578" s="130" t="s">
        <v>40</v>
      </c>
      <c r="M578" s="37"/>
      <c r="N578" s="65"/>
      <c r="O578" s="66" t="s">
        <v>39</v>
      </c>
      <c r="P578" s="130" t="s">
        <v>40</v>
      </c>
      <c r="Q578" s="37"/>
      <c r="R578" s="65"/>
      <c r="S578" s="66" t="s">
        <v>39</v>
      </c>
      <c r="T578" s="130" t="s">
        <v>40</v>
      </c>
      <c r="U578" s="37"/>
      <c r="V578" s="65"/>
      <c r="W578" s="66" t="s">
        <v>39</v>
      </c>
      <c r="X578" s="130" t="s">
        <v>40</v>
      </c>
      <c r="Y578" s="37"/>
      <c r="Z578" s="65"/>
      <c r="AA578" s="66" t="s">
        <v>39</v>
      </c>
      <c r="AB578" s="130" t="s">
        <v>40</v>
      </c>
      <c r="AC578" s="37"/>
      <c r="AD578" s="65"/>
      <c r="AE578" s="66" t="s">
        <v>39</v>
      </c>
      <c r="AF578" s="130" t="s">
        <v>40</v>
      </c>
      <c r="AG578" s="37"/>
      <c r="AH578" s="65"/>
      <c r="AI578" s="66" t="s">
        <v>39</v>
      </c>
      <c r="AJ578" s="130" t="s">
        <v>40</v>
      </c>
      <c r="AK578" s="37"/>
      <c r="AL578" s="65"/>
      <c r="AM578" s="66" t="s">
        <v>39</v>
      </c>
      <c r="AN578" s="130" t="s">
        <v>40</v>
      </c>
      <c r="AO578" s="37"/>
      <c r="AP578" s="65"/>
      <c r="AQ578" s="66" t="s">
        <v>39</v>
      </c>
      <c r="AR578" s="130" t="s">
        <v>40</v>
      </c>
      <c r="AS578" s="37"/>
      <c r="AT578" s="65"/>
      <c r="AU578" s="66" t="s">
        <v>39</v>
      </c>
      <c r="AV578" s="130" t="s">
        <v>40</v>
      </c>
      <c r="AW578" s="37"/>
      <c r="AX578" s="65"/>
      <c r="AY578" s="66" t="s">
        <v>39</v>
      </c>
      <c r="AZ578" s="130" t="s">
        <v>40</v>
      </c>
      <c r="BA578" s="37"/>
      <c r="BB578" s="65"/>
      <c r="BC578" s="66" t="s">
        <v>39</v>
      </c>
      <c r="BD578" s="130" t="s">
        <v>40</v>
      </c>
      <c r="BE578" s="37"/>
      <c r="BF578" s="65"/>
      <c r="BG578" s="66" t="s">
        <v>39</v>
      </c>
      <c r="BH578" s="130" t="s">
        <v>40</v>
      </c>
      <c r="BI578" s="37"/>
      <c r="BJ578" s="65"/>
      <c r="BK578" s="66" t="s">
        <v>39</v>
      </c>
      <c r="BL578" s="130" t="s">
        <v>40</v>
      </c>
      <c r="BM578" s="37"/>
      <c r="BN578" s="65"/>
      <c r="BO578" s="66" t="s">
        <v>39</v>
      </c>
      <c r="BP578" s="130" t="s">
        <v>40</v>
      </c>
      <c r="BQ578" s="37"/>
      <c r="BR578" s="65"/>
      <c r="BS578" s="66" t="s">
        <v>39</v>
      </c>
      <c r="BT578" s="130" t="s">
        <v>40</v>
      </c>
      <c r="BU578" s="37"/>
    </row>
    <row r="579" ht="12.75" customHeight="1">
      <c r="A579" s="131" t="s">
        <v>751</v>
      </c>
      <c r="B579" s="132" t="s">
        <v>752</v>
      </c>
      <c r="C579" s="133"/>
      <c r="D579" s="134"/>
      <c r="E579" s="57"/>
      <c r="F579" s="135"/>
      <c r="G579" s="70" t="s">
        <v>753</v>
      </c>
      <c r="H579" s="136"/>
      <c r="I579" s="72"/>
      <c r="J579" s="65"/>
      <c r="K579" s="137" t="s">
        <v>753</v>
      </c>
      <c r="L579" s="138" t="s">
        <v>754</v>
      </c>
      <c r="M579" s="37"/>
      <c r="N579" s="65"/>
      <c r="O579" s="137" t="s">
        <v>753</v>
      </c>
      <c r="P579" s="138" t="s">
        <v>693</v>
      </c>
      <c r="Q579" s="37"/>
      <c r="R579" s="65"/>
      <c r="S579" s="137" t="s">
        <v>753</v>
      </c>
      <c r="T579" s="138" t="s">
        <v>754</v>
      </c>
      <c r="U579" s="37"/>
      <c r="V579" s="65"/>
      <c r="W579" s="137" t="s">
        <v>753</v>
      </c>
      <c r="X579" s="138" t="s">
        <v>755</v>
      </c>
      <c r="Y579" s="37"/>
      <c r="Z579" s="65"/>
      <c r="AA579" s="137" t="s">
        <v>753</v>
      </c>
      <c r="AB579" s="138" t="s">
        <v>693</v>
      </c>
      <c r="AC579" s="37"/>
      <c r="AD579" s="65"/>
      <c r="AE579" s="137" t="s">
        <v>753</v>
      </c>
      <c r="AF579" s="138" t="s">
        <v>77</v>
      </c>
      <c r="AG579" s="37"/>
      <c r="AH579" s="65"/>
      <c r="AI579" s="137" t="s">
        <v>753</v>
      </c>
      <c r="AJ579" s="138" t="s">
        <v>338</v>
      </c>
      <c r="AK579" s="37"/>
      <c r="AL579" s="65"/>
      <c r="AM579" s="137" t="s">
        <v>753</v>
      </c>
      <c r="AN579" s="138" t="s">
        <v>338</v>
      </c>
      <c r="AO579" s="37"/>
      <c r="AP579" s="65"/>
      <c r="AQ579" s="137" t="s">
        <v>753</v>
      </c>
      <c r="AR579" s="138" t="s">
        <v>245</v>
      </c>
      <c r="AS579" s="37"/>
      <c r="AT579" s="65"/>
      <c r="AU579" s="137" t="s">
        <v>753</v>
      </c>
      <c r="AV579" s="138" t="s">
        <v>754</v>
      </c>
      <c r="AW579" s="37"/>
      <c r="AX579" s="65"/>
      <c r="AY579" s="137" t="s">
        <v>753</v>
      </c>
      <c r="AZ579" s="138" t="s">
        <v>755</v>
      </c>
      <c r="BA579" s="37"/>
      <c r="BB579" s="65"/>
      <c r="BC579" s="137" t="s">
        <v>753</v>
      </c>
      <c r="BD579" s="138" t="s">
        <v>693</v>
      </c>
      <c r="BE579" s="37"/>
      <c r="BF579" s="65"/>
      <c r="BG579" s="137" t="s">
        <v>753</v>
      </c>
      <c r="BH579" s="138" t="s">
        <v>245</v>
      </c>
      <c r="BI579" s="37"/>
      <c r="BJ579" s="65"/>
      <c r="BK579" s="137" t="s">
        <v>753</v>
      </c>
      <c r="BL579" s="138" t="s">
        <v>77</v>
      </c>
      <c r="BM579" s="37"/>
      <c r="BN579" s="65"/>
      <c r="BO579" s="137" t="s">
        <v>753</v>
      </c>
      <c r="BP579" s="138" t="s">
        <v>245</v>
      </c>
      <c r="BQ579" s="37"/>
      <c r="BR579" s="65"/>
      <c r="BS579" s="137" t="s">
        <v>753</v>
      </c>
      <c r="BT579" s="138" t="s">
        <v>693</v>
      </c>
      <c r="BU579" s="37"/>
    </row>
    <row r="580" ht="12.75" customHeight="1">
      <c r="A580" s="131" t="s">
        <v>756</v>
      </c>
      <c r="B580" s="132" t="s">
        <v>46</v>
      </c>
      <c r="C580" s="133"/>
      <c r="D580" s="134"/>
      <c r="E580" s="57"/>
      <c r="F580" s="135"/>
      <c r="G580" s="70" t="s">
        <v>757</v>
      </c>
      <c r="H580" s="136"/>
      <c r="I580" s="72"/>
      <c r="J580" s="65"/>
      <c r="K580" s="137" t="s">
        <v>757</v>
      </c>
      <c r="L580" s="138" t="s">
        <v>216</v>
      </c>
      <c r="M580" s="37"/>
      <c r="N580" s="65"/>
      <c r="O580" s="137" t="s">
        <v>757</v>
      </c>
      <c r="P580" s="138" t="s">
        <v>184</v>
      </c>
      <c r="Q580" s="37"/>
      <c r="R580" s="65"/>
      <c r="S580" s="137" t="s">
        <v>757</v>
      </c>
      <c r="T580" s="138" t="s">
        <v>216</v>
      </c>
      <c r="U580" s="37"/>
      <c r="V580" s="65"/>
      <c r="W580" s="137" t="s">
        <v>757</v>
      </c>
      <c r="X580" s="138" t="s">
        <v>758</v>
      </c>
      <c r="Y580" s="37"/>
      <c r="Z580" s="65"/>
      <c r="AA580" s="137" t="s">
        <v>757</v>
      </c>
      <c r="AB580" s="138" t="s">
        <v>184</v>
      </c>
      <c r="AC580" s="37"/>
      <c r="AD580" s="65"/>
      <c r="AE580" s="137" t="s">
        <v>757</v>
      </c>
      <c r="AF580" s="138" t="s">
        <v>759</v>
      </c>
      <c r="AG580" s="37"/>
      <c r="AH580" s="65"/>
      <c r="AI580" s="137" t="s">
        <v>757</v>
      </c>
      <c r="AJ580" s="138" t="s">
        <v>197</v>
      </c>
      <c r="AK580" s="37"/>
      <c r="AL580" s="65"/>
      <c r="AM580" s="137" t="s">
        <v>757</v>
      </c>
      <c r="AN580" s="138" t="s">
        <v>197</v>
      </c>
      <c r="AO580" s="37"/>
      <c r="AP580" s="65"/>
      <c r="AQ580" s="137" t="s">
        <v>757</v>
      </c>
      <c r="AR580" s="138" t="s">
        <v>752</v>
      </c>
      <c r="AS580" s="37"/>
      <c r="AT580" s="65"/>
      <c r="AU580" s="137" t="s">
        <v>757</v>
      </c>
      <c r="AV580" s="138" t="s">
        <v>216</v>
      </c>
      <c r="AW580" s="37"/>
      <c r="AX580" s="65"/>
      <c r="AY580" s="137" t="s">
        <v>757</v>
      </c>
      <c r="AZ580" s="138" t="s">
        <v>758</v>
      </c>
      <c r="BA580" s="37"/>
      <c r="BB580" s="65"/>
      <c r="BC580" s="137" t="s">
        <v>757</v>
      </c>
      <c r="BD580" s="138" t="s">
        <v>184</v>
      </c>
      <c r="BE580" s="37"/>
      <c r="BF580" s="65"/>
      <c r="BG580" s="137" t="s">
        <v>757</v>
      </c>
      <c r="BH580" s="138" t="s">
        <v>752</v>
      </c>
      <c r="BI580" s="37"/>
      <c r="BJ580" s="65"/>
      <c r="BK580" s="137" t="s">
        <v>757</v>
      </c>
      <c r="BL580" s="138" t="s">
        <v>759</v>
      </c>
      <c r="BM580" s="37"/>
      <c r="BN580" s="65"/>
      <c r="BO580" s="137" t="s">
        <v>757</v>
      </c>
      <c r="BP580" s="138" t="s">
        <v>752</v>
      </c>
      <c r="BQ580" s="37"/>
      <c r="BR580" s="65"/>
      <c r="BS580" s="137" t="s">
        <v>757</v>
      </c>
      <c r="BT580" s="138" t="s">
        <v>184</v>
      </c>
      <c r="BU580" s="37"/>
    </row>
    <row r="581" ht="12.75" customHeight="1">
      <c r="A581" s="146"/>
      <c r="B581" s="132" t="s">
        <v>46</v>
      </c>
      <c r="C581" s="133"/>
      <c r="D581" s="134"/>
      <c r="E581" s="57"/>
      <c r="F581" s="135"/>
      <c r="G581" s="70" t="s">
        <v>760</v>
      </c>
      <c r="H581" s="136"/>
      <c r="I581" s="72"/>
      <c r="J581" s="65"/>
      <c r="K581" s="137" t="s">
        <v>760</v>
      </c>
      <c r="L581" s="139" t="s">
        <v>46</v>
      </c>
      <c r="M581" s="37"/>
      <c r="N581" s="65"/>
      <c r="O581" s="137" t="s">
        <v>760</v>
      </c>
      <c r="P581" s="139" t="s">
        <v>46</v>
      </c>
      <c r="Q581" s="37"/>
      <c r="R581" s="65"/>
      <c r="S581" s="137" t="s">
        <v>760</v>
      </c>
      <c r="T581" s="139" t="s">
        <v>46</v>
      </c>
      <c r="U581" s="37"/>
      <c r="V581" s="65"/>
      <c r="W581" s="137" t="s">
        <v>760</v>
      </c>
      <c r="X581" s="139" t="s">
        <v>46</v>
      </c>
      <c r="Y581" s="37"/>
      <c r="Z581" s="65"/>
      <c r="AA581" s="137" t="s">
        <v>760</v>
      </c>
      <c r="AB581" s="139" t="s">
        <v>46</v>
      </c>
      <c r="AC581" s="37"/>
      <c r="AD581" s="65"/>
      <c r="AE581" s="137" t="s">
        <v>760</v>
      </c>
      <c r="AF581" s="139" t="s">
        <v>46</v>
      </c>
      <c r="AG581" s="37"/>
      <c r="AH581" s="65"/>
      <c r="AI581" s="137" t="s">
        <v>760</v>
      </c>
      <c r="AJ581" s="139" t="s">
        <v>46</v>
      </c>
      <c r="AK581" s="37"/>
      <c r="AL581" s="65"/>
      <c r="AM581" s="137" t="s">
        <v>760</v>
      </c>
      <c r="AN581" s="139" t="s">
        <v>46</v>
      </c>
      <c r="AO581" s="37"/>
      <c r="AP581" s="65"/>
      <c r="AQ581" s="137" t="s">
        <v>760</v>
      </c>
      <c r="AR581" s="139" t="s">
        <v>46</v>
      </c>
      <c r="AS581" s="37"/>
      <c r="AT581" s="65"/>
      <c r="AU581" s="137" t="s">
        <v>760</v>
      </c>
      <c r="AV581" s="139" t="s">
        <v>46</v>
      </c>
      <c r="AW581" s="37"/>
      <c r="AX581" s="65"/>
      <c r="AY581" s="137" t="s">
        <v>760</v>
      </c>
      <c r="AZ581" s="139" t="s">
        <v>46</v>
      </c>
      <c r="BA581" s="37"/>
      <c r="BB581" s="65"/>
      <c r="BC581" s="137" t="s">
        <v>760</v>
      </c>
      <c r="BD581" s="139" t="s">
        <v>46</v>
      </c>
      <c r="BE581" s="37"/>
      <c r="BF581" s="65"/>
      <c r="BG581" s="137" t="s">
        <v>760</v>
      </c>
      <c r="BH581" s="139" t="s">
        <v>46</v>
      </c>
      <c r="BI581" s="37"/>
      <c r="BJ581" s="65"/>
      <c r="BK581" s="137" t="s">
        <v>760</v>
      </c>
      <c r="BL581" s="139" t="s">
        <v>46</v>
      </c>
      <c r="BM581" s="37"/>
      <c r="BN581" s="65"/>
      <c r="BO581" s="137" t="s">
        <v>760</v>
      </c>
      <c r="BP581" s="139" t="s">
        <v>46</v>
      </c>
      <c r="BQ581" s="37"/>
      <c r="BR581" s="65"/>
      <c r="BS581" s="137" t="s">
        <v>760</v>
      </c>
      <c r="BT581" s="139" t="s">
        <v>46</v>
      </c>
      <c r="BU581" s="37"/>
    </row>
    <row r="582" ht="12.75" customHeight="1">
      <c r="A582" s="146"/>
      <c r="B582" s="132" t="s">
        <v>83</v>
      </c>
      <c r="C582" s="133"/>
      <c r="D582" s="134"/>
      <c r="E582" s="57"/>
      <c r="F582" s="135"/>
      <c r="G582" s="70" t="s">
        <v>761</v>
      </c>
      <c r="H582" s="136"/>
      <c r="I582" s="72"/>
      <c r="J582" s="65"/>
      <c r="K582" s="137" t="s">
        <v>761</v>
      </c>
      <c r="L582" s="138" t="s">
        <v>237</v>
      </c>
      <c r="M582" s="37"/>
      <c r="N582" s="65"/>
      <c r="O582" s="137" t="s">
        <v>761</v>
      </c>
      <c r="P582" s="138" t="s">
        <v>762</v>
      </c>
      <c r="Q582" s="37"/>
      <c r="R582" s="65"/>
      <c r="S582" s="137" t="s">
        <v>761</v>
      </c>
      <c r="T582" s="138" t="s">
        <v>237</v>
      </c>
      <c r="U582" s="37"/>
      <c r="V582" s="65"/>
      <c r="W582" s="137" t="s">
        <v>761</v>
      </c>
      <c r="X582" s="139" t="s">
        <v>83</v>
      </c>
      <c r="Y582" s="37"/>
      <c r="Z582" s="65"/>
      <c r="AA582" s="137" t="s">
        <v>761</v>
      </c>
      <c r="AB582" s="138" t="s">
        <v>762</v>
      </c>
      <c r="AC582" s="37"/>
      <c r="AD582" s="65"/>
      <c r="AE582" s="137" t="s">
        <v>761</v>
      </c>
      <c r="AF582" s="138" t="s">
        <v>763</v>
      </c>
      <c r="AG582" s="37"/>
      <c r="AH582" s="65"/>
      <c r="AI582" s="137" t="s">
        <v>761</v>
      </c>
      <c r="AJ582" s="138" t="s">
        <v>764</v>
      </c>
      <c r="AK582" s="37"/>
      <c r="AL582" s="65"/>
      <c r="AM582" s="137" t="s">
        <v>761</v>
      </c>
      <c r="AN582" s="138" t="s">
        <v>764</v>
      </c>
      <c r="AO582" s="37"/>
      <c r="AP582" s="65"/>
      <c r="AQ582" s="137" t="s">
        <v>761</v>
      </c>
      <c r="AR582" s="138" t="s">
        <v>765</v>
      </c>
      <c r="AS582" s="37"/>
      <c r="AT582" s="65"/>
      <c r="AU582" s="137" t="s">
        <v>761</v>
      </c>
      <c r="AV582" s="138" t="s">
        <v>237</v>
      </c>
      <c r="AW582" s="37"/>
      <c r="AX582" s="65"/>
      <c r="AY582" s="137" t="s">
        <v>761</v>
      </c>
      <c r="AZ582" s="139" t="s">
        <v>83</v>
      </c>
      <c r="BA582" s="37"/>
      <c r="BB582" s="65"/>
      <c r="BC582" s="137" t="s">
        <v>761</v>
      </c>
      <c r="BD582" s="138" t="s">
        <v>762</v>
      </c>
      <c r="BE582" s="37"/>
      <c r="BF582" s="65"/>
      <c r="BG582" s="137" t="s">
        <v>761</v>
      </c>
      <c r="BH582" s="138" t="s">
        <v>765</v>
      </c>
      <c r="BI582" s="37"/>
      <c r="BJ582" s="65"/>
      <c r="BK582" s="137" t="s">
        <v>761</v>
      </c>
      <c r="BL582" s="138" t="s">
        <v>763</v>
      </c>
      <c r="BM582" s="37"/>
      <c r="BN582" s="65"/>
      <c r="BO582" s="137" t="s">
        <v>761</v>
      </c>
      <c r="BP582" s="138" t="s">
        <v>765</v>
      </c>
      <c r="BQ582" s="37"/>
      <c r="BR582" s="65"/>
      <c r="BS582" s="137" t="s">
        <v>761</v>
      </c>
      <c r="BT582" s="138" t="s">
        <v>762</v>
      </c>
      <c r="BU582" s="37"/>
    </row>
    <row r="583" ht="12.75" customHeight="1">
      <c r="A583" s="93"/>
      <c r="B583" s="94"/>
      <c r="C583" s="94"/>
      <c r="D583" s="141"/>
      <c r="E583" s="59"/>
      <c r="F583" s="142"/>
      <c r="G583" s="70"/>
      <c r="H583" s="95"/>
      <c r="I583" s="72"/>
      <c r="J583" s="143"/>
      <c r="K583" s="137"/>
      <c r="L583" s="139"/>
      <c r="M583" s="37"/>
      <c r="N583" s="143"/>
      <c r="O583" s="137"/>
      <c r="P583" s="139"/>
      <c r="Q583" s="37"/>
      <c r="R583" s="143"/>
      <c r="S583" s="137"/>
      <c r="T583" s="139"/>
      <c r="U583" s="37"/>
      <c r="V583" s="143"/>
      <c r="W583" s="137"/>
      <c r="X583" s="139"/>
      <c r="Y583" s="37"/>
      <c r="Z583" s="143"/>
      <c r="AA583" s="137"/>
      <c r="AB583" s="139"/>
      <c r="AC583" s="37"/>
      <c r="AD583" s="143"/>
      <c r="AE583" s="137"/>
      <c r="AF583" s="139"/>
      <c r="AG583" s="37"/>
      <c r="AH583" s="143"/>
      <c r="AI583" s="137"/>
      <c r="AJ583" s="139"/>
      <c r="AK583" s="37"/>
      <c r="AL583" s="143"/>
      <c r="AM583" s="137"/>
      <c r="AN583" s="139"/>
      <c r="AO583" s="37"/>
      <c r="AP583" s="143"/>
      <c r="AQ583" s="137"/>
      <c r="AR583" s="139"/>
      <c r="AS583" s="37"/>
      <c r="AT583" s="143"/>
      <c r="AU583" s="137"/>
      <c r="AV583" s="139"/>
      <c r="AW583" s="37"/>
      <c r="AX583" s="143"/>
      <c r="AY583" s="137"/>
      <c r="AZ583" s="139"/>
      <c r="BA583" s="37"/>
      <c r="BB583" s="143"/>
      <c r="BC583" s="137"/>
      <c r="BD583" s="139"/>
      <c r="BE583" s="37"/>
      <c r="BF583" s="143"/>
      <c r="BG583" s="137"/>
      <c r="BH583" s="139"/>
      <c r="BI583" s="37"/>
      <c r="BJ583" s="143"/>
      <c r="BK583" s="137"/>
      <c r="BL583" s="139"/>
      <c r="BM583" s="37"/>
      <c r="BN583" s="143"/>
      <c r="BO583" s="137"/>
      <c r="BP583" s="139"/>
      <c r="BQ583" s="37"/>
      <c r="BR583" s="143"/>
      <c r="BS583" s="137"/>
      <c r="BT583" s="139"/>
      <c r="BU583" s="37"/>
    </row>
    <row r="584" ht="12.75" customHeight="1">
      <c r="A584" s="93"/>
      <c r="B584" s="94"/>
      <c r="C584" s="94"/>
      <c r="D584" s="129"/>
      <c r="E584" s="59"/>
      <c r="F584" s="144"/>
      <c r="G584" s="70"/>
      <c r="H584" s="95"/>
      <c r="I584" s="72"/>
      <c r="J584" s="145"/>
      <c r="K584" s="137"/>
      <c r="L584" s="139"/>
      <c r="M584" s="37"/>
      <c r="N584" s="145"/>
      <c r="O584" s="137"/>
      <c r="P584" s="139"/>
      <c r="Q584" s="37"/>
      <c r="R584" s="145"/>
      <c r="S584" s="137"/>
      <c r="T584" s="139"/>
      <c r="U584" s="37"/>
      <c r="V584" s="145"/>
      <c r="W584" s="137"/>
      <c r="X584" s="139"/>
      <c r="Y584" s="37"/>
      <c r="Z584" s="145"/>
      <c r="AA584" s="137"/>
      <c r="AB584" s="139"/>
      <c r="AC584" s="37"/>
      <c r="AD584" s="145"/>
      <c r="AE584" s="137"/>
      <c r="AF584" s="139"/>
      <c r="AG584" s="37"/>
      <c r="AH584" s="145"/>
      <c r="AI584" s="137"/>
      <c r="AJ584" s="139"/>
      <c r="AK584" s="37"/>
      <c r="AL584" s="145"/>
      <c r="AM584" s="137"/>
      <c r="AN584" s="139"/>
      <c r="AO584" s="37"/>
      <c r="AP584" s="145"/>
      <c r="AQ584" s="137"/>
      <c r="AR584" s="139"/>
      <c r="AS584" s="37"/>
      <c r="AT584" s="145"/>
      <c r="AU584" s="137"/>
      <c r="AV584" s="139"/>
      <c r="AW584" s="37"/>
      <c r="AX584" s="145"/>
      <c r="AY584" s="137"/>
      <c r="AZ584" s="139"/>
      <c r="BA584" s="37"/>
      <c r="BB584" s="145"/>
      <c r="BC584" s="137"/>
      <c r="BD584" s="139"/>
      <c r="BE584" s="37"/>
      <c r="BF584" s="145"/>
      <c r="BG584" s="137"/>
      <c r="BH584" s="139"/>
      <c r="BI584" s="37"/>
      <c r="BJ584" s="145"/>
      <c r="BK584" s="137"/>
      <c r="BL584" s="139"/>
      <c r="BM584" s="37"/>
      <c r="BN584" s="145"/>
      <c r="BO584" s="137"/>
      <c r="BP584" s="139"/>
      <c r="BQ584" s="37"/>
      <c r="BR584" s="145"/>
      <c r="BS584" s="137"/>
      <c r="BT584" s="139"/>
      <c r="BU584" s="37"/>
    </row>
    <row r="585" ht="12.75" customHeight="1">
      <c r="A585" s="93"/>
      <c r="B585" s="58"/>
      <c r="C585" s="75"/>
      <c r="D585" s="129"/>
      <c r="E585" s="57"/>
      <c r="F585" s="60" t="s">
        <v>766</v>
      </c>
      <c r="G585" s="36"/>
      <c r="H585" s="127"/>
      <c r="I585" s="72"/>
      <c r="J585" s="60" t="s">
        <v>766</v>
      </c>
      <c r="K585" s="36"/>
      <c r="L585" s="128"/>
      <c r="M585" s="37"/>
      <c r="N585" s="60" t="s">
        <v>766</v>
      </c>
      <c r="O585" s="36"/>
      <c r="P585" s="128"/>
      <c r="Q585" s="37"/>
      <c r="R585" s="60" t="s">
        <v>766</v>
      </c>
      <c r="S585" s="36"/>
      <c r="T585" s="128"/>
      <c r="U585" s="37"/>
      <c r="V585" s="60" t="s">
        <v>766</v>
      </c>
      <c r="W585" s="36"/>
      <c r="X585" s="128"/>
      <c r="Y585" s="37"/>
      <c r="Z585" s="60" t="s">
        <v>766</v>
      </c>
      <c r="AA585" s="36"/>
      <c r="AB585" s="128"/>
      <c r="AC585" s="37"/>
      <c r="AD585" s="60" t="s">
        <v>766</v>
      </c>
      <c r="AE585" s="36"/>
      <c r="AF585" s="128"/>
      <c r="AG585" s="37"/>
      <c r="AH585" s="60" t="s">
        <v>766</v>
      </c>
      <c r="AI585" s="36"/>
      <c r="AJ585" s="128"/>
      <c r="AK585" s="37"/>
      <c r="AL585" s="60" t="s">
        <v>766</v>
      </c>
      <c r="AM585" s="36"/>
      <c r="AN585" s="128"/>
      <c r="AO585" s="37"/>
      <c r="AP585" s="60" t="s">
        <v>766</v>
      </c>
      <c r="AQ585" s="36"/>
      <c r="AR585" s="128"/>
      <c r="AS585" s="37"/>
      <c r="AT585" s="60" t="s">
        <v>766</v>
      </c>
      <c r="AU585" s="36"/>
      <c r="AV585" s="128"/>
      <c r="AW585" s="37"/>
      <c r="AX585" s="60" t="s">
        <v>766</v>
      </c>
      <c r="AY585" s="36"/>
      <c r="AZ585" s="128"/>
      <c r="BA585" s="37"/>
      <c r="BB585" s="60" t="s">
        <v>766</v>
      </c>
      <c r="BC585" s="36"/>
      <c r="BD585" s="128"/>
      <c r="BE585" s="37"/>
      <c r="BF585" s="60" t="s">
        <v>766</v>
      </c>
      <c r="BG585" s="36"/>
      <c r="BH585" s="128"/>
      <c r="BI585" s="37"/>
      <c r="BJ585" s="60" t="s">
        <v>766</v>
      </c>
      <c r="BK585" s="36"/>
      <c r="BL585" s="128"/>
      <c r="BM585" s="37"/>
      <c r="BN585" s="60" t="s">
        <v>766</v>
      </c>
      <c r="BO585" s="36"/>
      <c r="BP585" s="128"/>
      <c r="BQ585" s="37"/>
      <c r="BR585" s="60" t="s">
        <v>766</v>
      </c>
      <c r="BS585" s="36"/>
      <c r="BT585" s="128"/>
      <c r="BU585" s="37"/>
    </row>
    <row r="586" ht="12.75" customHeight="1">
      <c r="A586" s="63" t="s">
        <v>36</v>
      </c>
      <c r="B586" s="64" t="s">
        <v>37</v>
      </c>
      <c r="C586" s="64" t="s">
        <v>38</v>
      </c>
      <c r="D586" s="129"/>
      <c r="E586" s="57"/>
      <c r="F586" s="65"/>
      <c r="G586" s="66" t="s">
        <v>39</v>
      </c>
      <c r="H586" s="67" t="s">
        <v>40</v>
      </c>
      <c r="I586" s="72"/>
      <c r="J586" s="65"/>
      <c r="K586" s="66" t="s">
        <v>39</v>
      </c>
      <c r="L586" s="130" t="s">
        <v>40</v>
      </c>
      <c r="M586" s="92"/>
      <c r="N586" s="65"/>
      <c r="O586" s="66" t="s">
        <v>39</v>
      </c>
      <c r="P586" s="130" t="s">
        <v>40</v>
      </c>
      <c r="Q586" s="92"/>
      <c r="R586" s="65"/>
      <c r="S586" s="66" t="s">
        <v>39</v>
      </c>
      <c r="T586" s="130" t="s">
        <v>40</v>
      </c>
      <c r="U586" s="37"/>
      <c r="V586" s="65"/>
      <c r="W586" s="66" t="s">
        <v>39</v>
      </c>
      <c r="X586" s="130" t="s">
        <v>40</v>
      </c>
      <c r="Y586" s="92"/>
      <c r="Z586" s="65"/>
      <c r="AA586" s="66" t="s">
        <v>39</v>
      </c>
      <c r="AB586" s="130" t="s">
        <v>40</v>
      </c>
      <c r="AC586" s="92"/>
      <c r="AD586" s="65"/>
      <c r="AE586" s="66" t="s">
        <v>39</v>
      </c>
      <c r="AF586" s="130" t="s">
        <v>40</v>
      </c>
      <c r="AG586" s="92"/>
      <c r="AH586" s="65"/>
      <c r="AI586" s="66" t="s">
        <v>39</v>
      </c>
      <c r="AJ586" s="130" t="s">
        <v>40</v>
      </c>
      <c r="AK586" s="92"/>
      <c r="AL586" s="65"/>
      <c r="AM586" s="66" t="s">
        <v>39</v>
      </c>
      <c r="AN586" s="130" t="s">
        <v>40</v>
      </c>
      <c r="AO586" s="92"/>
      <c r="AP586" s="65"/>
      <c r="AQ586" s="66" t="s">
        <v>39</v>
      </c>
      <c r="AR586" s="130" t="s">
        <v>40</v>
      </c>
      <c r="AS586" s="92"/>
      <c r="AT586" s="65"/>
      <c r="AU586" s="66" t="s">
        <v>39</v>
      </c>
      <c r="AV586" s="130" t="s">
        <v>40</v>
      </c>
      <c r="AW586" s="92"/>
      <c r="AX586" s="65"/>
      <c r="AY586" s="66" t="s">
        <v>39</v>
      </c>
      <c r="AZ586" s="130" t="s">
        <v>40</v>
      </c>
      <c r="BA586" s="92"/>
      <c r="BB586" s="65"/>
      <c r="BC586" s="66" t="s">
        <v>39</v>
      </c>
      <c r="BD586" s="130" t="s">
        <v>40</v>
      </c>
      <c r="BE586" s="92"/>
      <c r="BF586" s="65"/>
      <c r="BG586" s="66" t="s">
        <v>39</v>
      </c>
      <c r="BH586" s="130" t="s">
        <v>40</v>
      </c>
      <c r="BI586" s="92"/>
      <c r="BJ586" s="65"/>
      <c r="BK586" s="66" t="s">
        <v>39</v>
      </c>
      <c r="BL586" s="130" t="s">
        <v>40</v>
      </c>
      <c r="BM586" s="92"/>
      <c r="BN586" s="65"/>
      <c r="BO586" s="66" t="s">
        <v>39</v>
      </c>
      <c r="BP586" s="130" t="s">
        <v>40</v>
      </c>
      <c r="BQ586" s="92"/>
      <c r="BR586" s="65"/>
      <c r="BS586" s="66" t="s">
        <v>39</v>
      </c>
      <c r="BT586" s="130" t="s">
        <v>40</v>
      </c>
      <c r="BU586" s="92"/>
    </row>
    <row r="587" ht="12.75" customHeight="1">
      <c r="A587" s="131" t="s">
        <v>767</v>
      </c>
      <c r="B587" s="132" t="s">
        <v>42</v>
      </c>
      <c r="C587" s="133"/>
      <c r="D587" s="134"/>
      <c r="E587" s="57"/>
      <c r="F587" s="135"/>
      <c r="G587" s="70" t="s">
        <v>768</v>
      </c>
      <c r="H587" s="136"/>
      <c r="I587" s="72"/>
      <c r="J587" s="65"/>
      <c r="K587" s="137" t="s">
        <v>768</v>
      </c>
      <c r="L587" s="138" t="s">
        <v>328</v>
      </c>
      <c r="M587" s="37"/>
      <c r="N587" s="65"/>
      <c r="O587" s="137" t="s">
        <v>768</v>
      </c>
      <c r="P587" s="138" t="s">
        <v>262</v>
      </c>
      <c r="Q587" s="37"/>
      <c r="R587" s="65"/>
      <c r="S587" s="137" t="s">
        <v>768</v>
      </c>
      <c r="T587" s="138" t="s">
        <v>172</v>
      </c>
      <c r="U587" s="37"/>
      <c r="V587" s="65"/>
      <c r="W587" s="137" t="s">
        <v>768</v>
      </c>
      <c r="X587" s="138" t="s">
        <v>172</v>
      </c>
      <c r="Y587" s="37"/>
      <c r="Z587" s="65"/>
      <c r="AA587" s="137" t="s">
        <v>768</v>
      </c>
      <c r="AB587" s="138" t="s">
        <v>262</v>
      </c>
      <c r="AC587" s="37"/>
      <c r="AD587" s="65"/>
      <c r="AE587" s="137" t="s">
        <v>768</v>
      </c>
      <c r="AF587" s="138" t="s">
        <v>172</v>
      </c>
      <c r="AG587" s="37"/>
      <c r="AH587" s="65"/>
      <c r="AI587" s="137" t="s">
        <v>768</v>
      </c>
      <c r="AJ587" s="138" t="s">
        <v>551</v>
      </c>
      <c r="AK587" s="37"/>
      <c r="AL587" s="65"/>
      <c r="AM587" s="137" t="s">
        <v>768</v>
      </c>
      <c r="AN587" s="138" t="s">
        <v>232</v>
      </c>
      <c r="AO587" s="37"/>
      <c r="AP587" s="65"/>
      <c r="AQ587" s="137" t="s">
        <v>768</v>
      </c>
      <c r="AR587" s="138" t="s">
        <v>245</v>
      </c>
      <c r="AS587" s="37"/>
      <c r="AT587" s="65"/>
      <c r="AU587" s="137" t="s">
        <v>768</v>
      </c>
      <c r="AV587" s="138" t="s">
        <v>172</v>
      </c>
      <c r="AW587" s="37"/>
      <c r="AX587" s="65"/>
      <c r="AY587" s="137" t="s">
        <v>768</v>
      </c>
      <c r="AZ587" s="138" t="s">
        <v>172</v>
      </c>
      <c r="BA587" s="37"/>
      <c r="BB587" s="65"/>
      <c r="BC587" s="137" t="s">
        <v>768</v>
      </c>
      <c r="BD587" s="138" t="s">
        <v>262</v>
      </c>
      <c r="BE587" s="37"/>
      <c r="BF587" s="65"/>
      <c r="BG587" s="137" t="s">
        <v>768</v>
      </c>
      <c r="BH587" s="138" t="s">
        <v>132</v>
      </c>
      <c r="BI587" s="37"/>
      <c r="BJ587" s="65"/>
      <c r="BK587" s="137" t="s">
        <v>768</v>
      </c>
      <c r="BL587" s="138" t="s">
        <v>172</v>
      </c>
      <c r="BM587" s="37"/>
      <c r="BN587" s="65"/>
      <c r="BO587" s="137" t="s">
        <v>768</v>
      </c>
      <c r="BP587" s="138" t="s">
        <v>245</v>
      </c>
      <c r="BQ587" s="37"/>
      <c r="BR587" s="65"/>
      <c r="BS587" s="137" t="s">
        <v>768</v>
      </c>
      <c r="BT587" s="138" t="s">
        <v>262</v>
      </c>
      <c r="BU587" s="37"/>
    </row>
    <row r="588" ht="12.75" customHeight="1">
      <c r="A588" s="131" t="s">
        <v>769</v>
      </c>
      <c r="B588" s="132" t="s">
        <v>770</v>
      </c>
      <c r="C588" s="133"/>
      <c r="D588" s="134"/>
      <c r="E588" s="57"/>
      <c r="F588" s="135"/>
      <c r="G588" s="70" t="s">
        <v>771</v>
      </c>
      <c r="H588" s="136"/>
      <c r="I588" s="72"/>
      <c r="J588" s="65"/>
      <c r="K588" s="137" t="s">
        <v>771</v>
      </c>
      <c r="L588" s="138" t="s">
        <v>772</v>
      </c>
      <c r="M588" s="37"/>
      <c r="N588" s="65"/>
      <c r="O588" s="137" t="s">
        <v>771</v>
      </c>
      <c r="P588" s="138" t="s">
        <v>773</v>
      </c>
      <c r="Q588" s="37"/>
      <c r="R588" s="65"/>
      <c r="S588" s="137" t="s">
        <v>771</v>
      </c>
      <c r="T588" s="138" t="s">
        <v>774</v>
      </c>
      <c r="U588" s="37"/>
      <c r="V588" s="65"/>
      <c r="W588" s="137" t="s">
        <v>771</v>
      </c>
      <c r="X588" s="138" t="s">
        <v>775</v>
      </c>
      <c r="Y588" s="37"/>
      <c r="Z588" s="65"/>
      <c r="AA588" s="137" t="s">
        <v>771</v>
      </c>
      <c r="AB588" s="138" t="s">
        <v>773</v>
      </c>
      <c r="AC588" s="37"/>
      <c r="AD588" s="65"/>
      <c r="AE588" s="137" t="s">
        <v>771</v>
      </c>
      <c r="AF588" s="138" t="s">
        <v>775</v>
      </c>
      <c r="AG588" s="37"/>
      <c r="AH588" s="65"/>
      <c r="AI588" s="137" t="s">
        <v>771</v>
      </c>
      <c r="AJ588" s="138" t="s">
        <v>776</v>
      </c>
      <c r="AK588" s="37"/>
      <c r="AL588" s="65"/>
      <c r="AM588" s="137" t="s">
        <v>771</v>
      </c>
      <c r="AN588" s="138" t="s">
        <v>255</v>
      </c>
      <c r="AO588" s="37"/>
      <c r="AP588" s="65"/>
      <c r="AQ588" s="137" t="s">
        <v>771</v>
      </c>
      <c r="AR588" s="138" t="s">
        <v>160</v>
      </c>
      <c r="AS588" s="37"/>
      <c r="AT588" s="65"/>
      <c r="AU588" s="137" t="s">
        <v>771</v>
      </c>
      <c r="AV588" s="138" t="s">
        <v>774</v>
      </c>
      <c r="AW588" s="37"/>
      <c r="AX588" s="65"/>
      <c r="AY588" s="137" t="s">
        <v>771</v>
      </c>
      <c r="AZ588" s="138" t="s">
        <v>775</v>
      </c>
      <c r="BA588" s="37"/>
      <c r="BB588" s="65"/>
      <c r="BC588" s="137" t="s">
        <v>771</v>
      </c>
      <c r="BD588" s="138" t="s">
        <v>773</v>
      </c>
      <c r="BE588" s="37"/>
      <c r="BF588" s="65"/>
      <c r="BG588" s="137" t="s">
        <v>771</v>
      </c>
      <c r="BH588" s="138" t="s">
        <v>86</v>
      </c>
      <c r="BI588" s="37"/>
      <c r="BJ588" s="65"/>
      <c r="BK588" s="137" t="s">
        <v>771</v>
      </c>
      <c r="BL588" s="138" t="s">
        <v>775</v>
      </c>
      <c r="BM588" s="37"/>
      <c r="BN588" s="65"/>
      <c r="BO588" s="137" t="s">
        <v>771</v>
      </c>
      <c r="BP588" s="138" t="s">
        <v>160</v>
      </c>
      <c r="BQ588" s="37"/>
      <c r="BR588" s="65"/>
      <c r="BS588" s="137" t="s">
        <v>771</v>
      </c>
      <c r="BT588" s="138" t="s">
        <v>773</v>
      </c>
      <c r="BU588" s="37"/>
    </row>
    <row r="589" ht="12.75" customHeight="1">
      <c r="A589" s="93"/>
      <c r="B589" s="94"/>
      <c r="C589" s="94"/>
      <c r="D589" s="141"/>
      <c r="E589" s="59"/>
      <c r="F589" s="142"/>
      <c r="G589" s="70"/>
      <c r="H589" s="95"/>
      <c r="I589" s="72"/>
      <c r="J589" s="143"/>
      <c r="K589" s="137"/>
      <c r="L589" s="139"/>
      <c r="M589" s="37"/>
      <c r="N589" s="143"/>
      <c r="O589" s="137"/>
      <c r="P589" s="139"/>
      <c r="Q589" s="37"/>
      <c r="R589" s="143"/>
      <c r="S589" s="137"/>
      <c r="T589" s="139"/>
      <c r="U589" s="37"/>
      <c r="V589" s="143"/>
      <c r="W589" s="137"/>
      <c r="X589" s="139"/>
      <c r="Y589" s="37"/>
      <c r="Z589" s="143"/>
      <c r="AA589" s="137"/>
      <c r="AB589" s="139"/>
      <c r="AC589" s="37"/>
      <c r="AD589" s="143"/>
      <c r="AE589" s="137"/>
      <c r="AF589" s="139"/>
      <c r="AG589" s="37"/>
      <c r="AH589" s="143"/>
      <c r="AI589" s="137"/>
      <c r="AJ589" s="139"/>
      <c r="AK589" s="37"/>
      <c r="AL589" s="143"/>
      <c r="AM589" s="137"/>
      <c r="AN589" s="139"/>
      <c r="AO589" s="37"/>
      <c r="AP589" s="143"/>
      <c r="AQ589" s="137"/>
      <c r="AR589" s="139"/>
      <c r="AS589" s="37"/>
      <c r="AT589" s="143"/>
      <c r="AU589" s="137"/>
      <c r="AV589" s="139"/>
      <c r="AW589" s="37"/>
      <c r="AX589" s="143"/>
      <c r="AY589" s="137"/>
      <c r="AZ589" s="139"/>
      <c r="BA589" s="37"/>
      <c r="BB589" s="143"/>
      <c r="BC589" s="137"/>
      <c r="BD589" s="139"/>
      <c r="BE589" s="37"/>
      <c r="BF589" s="143"/>
      <c r="BG589" s="137"/>
      <c r="BH589" s="139"/>
      <c r="BI589" s="37"/>
      <c r="BJ589" s="143"/>
      <c r="BK589" s="137"/>
      <c r="BL589" s="139"/>
      <c r="BM589" s="37"/>
      <c r="BN589" s="143"/>
      <c r="BO589" s="137"/>
      <c r="BP589" s="139"/>
      <c r="BQ589" s="37"/>
      <c r="BR589" s="143"/>
      <c r="BS589" s="137"/>
      <c r="BT589" s="139"/>
      <c r="BU589" s="37"/>
    </row>
    <row r="590" ht="12.75" customHeight="1">
      <c r="A590" s="93"/>
      <c r="B590" s="94"/>
      <c r="C590" s="94"/>
      <c r="D590" s="129"/>
      <c r="E590" s="59"/>
      <c r="F590" s="144"/>
      <c r="G590" s="70"/>
      <c r="H590" s="95"/>
      <c r="I590" s="72"/>
      <c r="J590" s="145"/>
      <c r="K590" s="137"/>
      <c r="L590" s="139"/>
      <c r="M590" s="37"/>
      <c r="N590" s="145"/>
      <c r="O590" s="137"/>
      <c r="P590" s="139"/>
      <c r="Q590" s="37"/>
      <c r="R590" s="145"/>
      <c r="S590" s="137"/>
      <c r="T590" s="139"/>
      <c r="U590" s="37"/>
      <c r="V590" s="145"/>
      <c r="W590" s="137"/>
      <c r="X590" s="139"/>
      <c r="Y590" s="37"/>
      <c r="Z590" s="145"/>
      <c r="AA590" s="137"/>
      <c r="AB590" s="139"/>
      <c r="AC590" s="37"/>
      <c r="AD590" s="145"/>
      <c r="AE590" s="137"/>
      <c r="AF590" s="139"/>
      <c r="AG590" s="37"/>
      <c r="AH590" s="145"/>
      <c r="AI590" s="137"/>
      <c r="AJ590" s="139"/>
      <c r="AK590" s="37"/>
      <c r="AL590" s="145"/>
      <c r="AM590" s="137"/>
      <c r="AN590" s="139"/>
      <c r="AO590" s="37"/>
      <c r="AP590" s="145"/>
      <c r="AQ590" s="137"/>
      <c r="AR590" s="139"/>
      <c r="AS590" s="37"/>
      <c r="AT590" s="145"/>
      <c r="AU590" s="137"/>
      <c r="AV590" s="139"/>
      <c r="AW590" s="37"/>
      <c r="AX590" s="145"/>
      <c r="AY590" s="137"/>
      <c r="AZ590" s="139"/>
      <c r="BA590" s="37"/>
      <c r="BB590" s="145"/>
      <c r="BC590" s="137"/>
      <c r="BD590" s="139"/>
      <c r="BE590" s="37"/>
      <c r="BF590" s="145"/>
      <c r="BG590" s="137"/>
      <c r="BH590" s="139"/>
      <c r="BI590" s="37"/>
      <c r="BJ590" s="145"/>
      <c r="BK590" s="137"/>
      <c r="BL590" s="139"/>
      <c r="BM590" s="37"/>
      <c r="BN590" s="145"/>
      <c r="BO590" s="137"/>
      <c r="BP590" s="139"/>
      <c r="BQ590" s="37"/>
      <c r="BR590" s="145"/>
      <c r="BS590" s="137"/>
      <c r="BT590" s="139"/>
      <c r="BU590" s="37"/>
    </row>
    <row r="591" ht="12.75" customHeight="1">
      <c r="A591" s="93"/>
      <c r="B591" s="58"/>
      <c r="C591" s="75"/>
      <c r="D591" s="129"/>
      <c r="E591" s="57"/>
      <c r="F591" s="60" t="s">
        <v>777</v>
      </c>
      <c r="G591" s="36"/>
      <c r="H591" s="127"/>
      <c r="I591" s="72"/>
      <c r="J591" s="60" t="s">
        <v>777</v>
      </c>
      <c r="K591" s="36"/>
      <c r="L591" s="128"/>
      <c r="M591" s="37"/>
      <c r="N591" s="60" t="s">
        <v>777</v>
      </c>
      <c r="O591" s="36"/>
      <c r="P591" s="128"/>
      <c r="Q591" s="37"/>
      <c r="R591" s="60" t="s">
        <v>777</v>
      </c>
      <c r="S591" s="36"/>
      <c r="T591" s="128"/>
      <c r="U591" s="37"/>
      <c r="V591" s="60" t="s">
        <v>777</v>
      </c>
      <c r="W591" s="36"/>
      <c r="X591" s="128"/>
      <c r="Y591" s="37"/>
      <c r="Z591" s="60" t="s">
        <v>777</v>
      </c>
      <c r="AA591" s="36"/>
      <c r="AB591" s="128"/>
      <c r="AC591" s="37"/>
      <c r="AD591" s="60" t="s">
        <v>777</v>
      </c>
      <c r="AE591" s="36"/>
      <c r="AF591" s="128"/>
      <c r="AG591" s="37"/>
      <c r="AH591" s="60" t="s">
        <v>777</v>
      </c>
      <c r="AI591" s="36"/>
      <c r="AJ591" s="128"/>
      <c r="AK591" s="37"/>
      <c r="AL591" s="60" t="s">
        <v>777</v>
      </c>
      <c r="AM591" s="36"/>
      <c r="AN591" s="128"/>
      <c r="AO591" s="37"/>
      <c r="AP591" s="60" t="s">
        <v>777</v>
      </c>
      <c r="AQ591" s="36"/>
      <c r="AR591" s="128"/>
      <c r="AS591" s="37"/>
      <c r="AT591" s="60" t="s">
        <v>777</v>
      </c>
      <c r="AU591" s="36"/>
      <c r="AV591" s="128"/>
      <c r="AW591" s="37"/>
      <c r="AX591" s="60" t="s">
        <v>777</v>
      </c>
      <c r="AY591" s="36"/>
      <c r="AZ591" s="128"/>
      <c r="BA591" s="37"/>
      <c r="BB591" s="60" t="s">
        <v>777</v>
      </c>
      <c r="BC591" s="36"/>
      <c r="BD591" s="128"/>
      <c r="BE591" s="37"/>
      <c r="BF591" s="60" t="s">
        <v>777</v>
      </c>
      <c r="BG591" s="36"/>
      <c r="BH591" s="128"/>
      <c r="BI591" s="37"/>
      <c r="BJ591" s="60" t="s">
        <v>777</v>
      </c>
      <c r="BK591" s="36"/>
      <c r="BL591" s="128"/>
      <c r="BM591" s="37"/>
      <c r="BN591" s="60" t="s">
        <v>777</v>
      </c>
      <c r="BO591" s="36"/>
      <c r="BP591" s="128"/>
      <c r="BQ591" s="37"/>
      <c r="BR591" s="60" t="s">
        <v>777</v>
      </c>
      <c r="BS591" s="36"/>
      <c r="BT591" s="128"/>
      <c r="BU591" s="37"/>
    </row>
    <row r="592" ht="12.75" customHeight="1">
      <c r="A592" s="63" t="s">
        <v>36</v>
      </c>
      <c r="B592" s="64" t="s">
        <v>37</v>
      </c>
      <c r="C592" s="64" t="s">
        <v>38</v>
      </c>
      <c r="D592" s="129"/>
      <c r="E592" s="57"/>
      <c r="F592" s="65"/>
      <c r="G592" s="66" t="s">
        <v>39</v>
      </c>
      <c r="H592" s="67" t="s">
        <v>40</v>
      </c>
      <c r="I592" s="72"/>
      <c r="J592" s="65"/>
      <c r="K592" s="66" t="s">
        <v>39</v>
      </c>
      <c r="L592" s="130" t="s">
        <v>40</v>
      </c>
      <c r="M592" s="92"/>
      <c r="N592" s="65"/>
      <c r="O592" s="66" t="s">
        <v>39</v>
      </c>
      <c r="P592" s="130" t="s">
        <v>40</v>
      </c>
      <c r="Q592" s="92"/>
      <c r="R592" s="65"/>
      <c r="S592" s="66" t="s">
        <v>39</v>
      </c>
      <c r="T592" s="130" t="s">
        <v>40</v>
      </c>
      <c r="U592" s="37"/>
      <c r="V592" s="65"/>
      <c r="W592" s="66" t="s">
        <v>39</v>
      </c>
      <c r="X592" s="130" t="s">
        <v>40</v>
      </c>
      <c r="Y592" s="92"/>
      <c r="Z592" s="65"/>
      <c r="AA592" s="66" t="s">
        <v>39</v>
      </c>
      <c r="AB592" s="130" t="s">
        <v>40</v>
      </c>
      <c r="AC592" s="92"/>
      <c r="AD592" s="65"/>
      <c r="AE592" s="66" t="s">
        <v>39</v>
      </c>
      <c r="AF592" s="130" t="s">
        <v>40</v>
      </c>
      <c r="AG592" s="92"/>
      <c r="AH592" s="65"/>
      <c r="AI592" s="66" t="s">
        <v>39</v>
      </c>
      <c r="AJ592" s="130" t="s">
        <v>40</v>
      </c>
      <c r="AK592" s="92"/>
      <c r="AL592" s="65"/>
      <c r="AM592" s="66" t="s">
        <v>39</v>
      </c>
      <c r="AN592" s="130" t="s">
        <v>40</v>
      </c>
      <c r="AO592" s="92"/>
      <c r="AP592" s="65"/>
      <c r="AQ592" s="66" t="s">
        <v>39</v>
      </c>
      <c r="AR592" s="130" t="s">
        <v>40</v>
      </c>
      <c r="AS592" s="92"/>
      <c r="AT592" s="65"/>
      <c r="AU592" s="66" t="s">
        <v>39</v>
      </c>
      <c r="AV592" s="130" t="s">
        <v>40</v>
      </c>
      <c r="AW592" s="92"/>
      <c r="AX592" s="65"/>
      <c r="AY592" s="66" t="s">
        <v>39</v>
      </c>
      <c r="AZ592" s="130" t="s">
        <v>40</v>
      </c>
      <c r="BA592" s="92"/>
      <c r="BB592" s="65"/>
      <c r="BC592" s="66" t="s">
        <v>39</v>
      </c>
      <c r="BD592" s="130" t="s">
        <v>40</v>
      </c>
      <c r="BE592" s="92"/>
      <c r="BF592" s="65"/>
      <c r="BG592" s="66" t="s">
        <v>39</v>
      </c>
      <c r="BH592" s="130" t="s">
        <v>40</v>
      </c>
      <c r="BI592" s="92"/>
      <c r="BJ592" s="65"/>
      <c r="BK592" s="66" t="s">
        <v>39</v>
      </c>
      <c r="BL592" s="130" t="s">
        <v>40</v>
      </c>
      <c r="BM592" s="92"/>
      <c r="BN592" s="65"/>
      <c r="BO592" s="66" t="s">
        <v>39</v>
      </c>
      <c r="BP592" s="130" t="s">
        <v>40</v>
      </c>
      <c r="BQ592" s="92"/>
      <c r="BR592" s="65"/>
      <c r="BS592" s="66" t="s">
        <v>39</v>
      </c>
      <c r="BT592" s="130" t="s">
        <v>40</v>
      </c>
      <c r="BU592" s="92"/>
    </row>
    <row r="593" ht="12.75" customHeight="1">
      <c r="A593" s="68" t="s">
        <v>778</v>
      </c>
      <c r="B593" s="132" t="s">
        <v>46</v>
      </c>
      <c r="C593" s="140"/>
      <c r="D593" s="134"/>
      <c r="E593" s="57"/>
      <c r="F593" s="135"/>
      <c r="G593" s="70" t="s">
        <v>779</v>
      </c>
      <c r="H593" s="136"/>
      <c r="I593" s="72"/>
      <c r="J593" s="65"/>
      <c r="K593" s="137" t="s">
        <v>779</v>
      </c>
      <c r="L593" s="139" t="s">
        <v>46</v>
      </c>
      <c r="M593" s="37"/>
      <c r="N593" s="65"/>
      <c r="O593" s="137" t="s">
        <v>779</v>
      </c>
      <c r="P593" s="139" t="s">
        <v>46</v>
      </c>
      <c r="Q593" s="37"/>
      <c r="R593" s="65"/>
      <c r="S593" s="137" t="s">
        <v>779</v>
      </c>
      <c r="T593" s="138" t="s">
        <v>147</v>
      </c>
      <c r="U593" s="37"/>
      <c r="V593" s="65"/>
      <c r="W593" s="137" t="s">
        <v>779</v>
      </c>
      <c r="X593" s="139" t="s">
        <v>46</v>
      </c>
      <c r="Y593" s="37"/>
      <c r="Z593" s="65"/>
      <c r="AA593" s="137" t="s">
        <v>779</v>
      </c>
      <c r="AB593" s="139" t="s">
        <v>46</v>
      </c>
      <c r="AC593" s="37"/>
      <c r="AD593" s="65"/>
      <c r="AE593" s="137" t="s">
        <v>779</v>
      </c>
      <c r="AF593" s="139" t="s">
        <v>46</v>
      </c>
      <c r="AG593" s="37"/>
      <c r="AH593" s="65"/>
      <c r="AI593" s="137" t="s">
        <v>779</v>
      </c>
      <c r="AJ593" s="139" t="s">
        <v>46</v>
      </c>
      <c r="AK593" s="37"/>
      <c r="AL593" s="65"/>
      <c r="AM593" s="137" t="s">
        <v>779</v>
      </c>
      <c r="AN593" s="139" t="s">
        <v>46</v>
      </c>
      <c r="AO593" s="37"/>
      <c r="AP593" s="65"/>
      <c r="AQ593" s="137" t="s">
        <v>779</v>
      </c>
      <c r="AR593" s="139" t="s">
        <v>46</v>
      </c>
      <c r="AS593" s="37"/>
      <c r="AT593" s="65"/>
      <c r="AU593" s="137" t="s">
        <v>779</v>
      </c>
      <c r="AV593" s="138" t="s">
        <v>147</v>
      </c>
      <c r="AW593" s="37"/>
      <c r="AX593" s="65"/>
      <c r="AY593" s="137" t="s">
        <v>779</v>
      </c>
      <c r="AZ593" s="139" t="s">
        <v>46</v>
      </c>
      <c r="BA593" s="37"/>
      <c r="BB593" s="65"/>
      <c r="BC593" s="137" t="s">
        <v>779</v>
      </c>
      <c r="BD593" s="139" t="s">
        <v>46</v>
      </c>
      <c r="BE593" s="37"/>
      <c r="BF593" s="65"/>
      <c r="BG593" s="137" t="s">
        <v>779</v>
      </c>
      <c r="BH593" s="139" t="s">
        <v>46</v>
      </c>
      <c r="BI593" s="37"/>
      <c r="BJ593" s="65"/>
      <c r="BK593" s="137" t="s">
        <v>779</v>
      </c>
      <c r="BL593" s="139" t="s">
        <v>46</v>
      </c>
      <c r="BM593" s="37"/>
      <c r="BN593" s="65"/>
      <c r="BO593" s="137" t="s">
        <v>779</v>
      </c>
      <c r="BP593" s="139" t="s">
        <v>46</v>
      </c>
      <c r="BQ593" s="37"/>
      <c r="BR593" s="65"/>
      <c r="BS593" s="137" t="s">
        <v>779</v>
      </c>
      <c r="BT593" s="139" t="s">
        <v>46</v>
      </c>
      <c r="BU593" s="37"/>
    </row>
    <row r="594" ht="12.75" customHeight="1">
      <c r="A594" s="68" t="s">
        <v>780</v>
      </c>
      <c r="B594" s="132" t="s">
        <v>46</v>
      </c>
      <c r="C594" s="140"/>
      <c r="D594" s="134"/>
      <c r="E594" s="57"/>
      <c r="F594" s="135"/>
      <c r="G594" s="70" t="s">
        <v>781</v>
      </c>
      <c r="H594" s="136"/>
      <c r="I594" s="72"/>
      <c r="J594" s="65"/>
      <c r="K594" s="137" t="s">
        <v>781</v>
      </c>
      <c r="L594" s="139" t="s">
        <v>46</v>
      </c>
      <c r="M594" s="37"/>
      <c r="N594" s="65"/>
      <c r="O594" s="137" t="s">
        <v>781</v>
      </c>
      <c r="P594" s="139" t="s">
        <v>46</v>
      </c>
      <c r="Q594" s="37"/>
      <c r="R594" s="65"/>
      <c r="S594" s="137" t="s">
        <v>781</v>
      </c>
      <c r="T594" s="139" t="s">
        <v>46</v>
      </c>
      <c r="U594" s="37"/>
      <c r="V594" s="65"/>
      <c r="W594" s="137" t="s">
        <v>781</v>
      </c>
      <c r="X594" s="139" t="s">
        <v>46</v>
      </c>
      <c r="Y594" s="37"/>
      <c r="Z594" s="65"/>
      <c r="AA594" s="137" t="s">
        <v>781</v>
      </c>
      <c r="AB594" s="139" t="s">
        <v>46</v>
      </c>
      <c r="AC594" s="37"/>
      <c r="AD594" s="65"/>
      <c r="AE594" s="137" t="s">
        <v>781</v>
      </c>
      <c r="AF594" s="139" t="s">
        <v>46</v>
      </c>
      <c r="AG594" s="37"/>
      <c r="AH594" s="65"/>
      <c r="AI594" s="137" t="s">
        <v>781</v>
      </c>
      <c r="AJ594" s="139" t="s">
        <v>46</v>
      </c>
      <c r="AK594" s="37"/>
      <c r="AL594" s="65"/>
      <c r="AM594" s="137" t="s">
        <v>781</v>
      </c>
      <c r="AN594" s="139" t="s">
        <v>46</v>
      </c>
      <c r="AO594" s="37"/>
      <c r="AP594" s="65"/>
      <c r="AQ594" s="137" t="s">
        <v>781</v>
      </c>
      <c r="AR594" s="139" t="s">
        <v>46</v>
      </c>
      <c r="AS594" s="37"/>
      <c r="AT594" s="65"/>
      <c r="AU594" s="137" t="s">
        <v>781</v>
      </c>
      <c r="AV594" s="139" t="s">
        <v>46</v>
      </c>
      <c r="AW594" s="37"/>
      <c r="AX594" s="65"/>
      <c r="AY594" s="137" t="s">
        <v>781</v>
      </c>
      <c r="AZ594" s="139" t="s">
        <v>46</v>
      </c>
      <c r="BA594" s="37"/>
      <c r="BB594" s="65"/>
      <c r="BC594" s="137" t="s">
        <v>781</v>
      </c>
      <c r="BD594" s="139" t="s">
        <v>46</v>
      </c>
      <c r="BE594" s="37"/>
      <c r="BF594" s="65"/>
      <c r="BG594" s="137" t="s">
        <v>781</v>
      </c>
      <c r="BH594" s="139" t="s">
        <v>46</v>
      </c>
      <c r="BI594" s="37"/>
      <c r="BJ594" s="65"/>
      <c r="BK594" s="137" t="s">
        <v>781</v>
      </c>
      <c r="BL594" s="139" t="s">
        <v>46</v>
      </c>
      <c r="BM594" s="37"/>
      <c r="BN594" s="65"/>
      <c r="BO594" s="137" t="s">
        <v>781</v>
      </c>
      <c r="BP594" s="139" t="s">
        <v>46</v>
      </c>
      <c r="BQ594" s="37"/>
      <c r="BR594" s="65"/>
      <c r="BS594" s="137" t="s">
        <v>781</v>
      </c>
      <c r="BT594" s="139" t="s">
        <v>46</v>
      </c>
      <c r="BU594" s="37"/>
    </row>
    <row r="595" ht="12.75" customHeight="1">
      <c r="A595" s="131" t="s">
        <v>782</v>
      </c>
      <c r="B595" s="132" t="s">
        <v>46</v>
      </c>
      <c r="C595" s="133"/>
      <c r="D595" s="134"/>
      <c r="E595" s="57"/>
      <c r="F595" s="135"/>
      <c r="G595" s="70" t="s">
        <v>783</v>
      </c>
      <c r="H595" s="136"/>
      <c r="I595" s="72"/>
      <c r="J595" s="65"/>
      <c r="K595" s="137" t="s">
        <v>783</v>
      </c>
      <c r="L595" s="139" t="s">
        <v>46</v>
      </c>
      <c r="M595" s="37"/>
      <c r="N595" s="65"/>
      <c r="O595" s="137" t="s">
        <v>783</v>
      </c>
      <c r="P595" s="139" t="s">
        <v>46</v>
      </c>
      <c r="Q595" s="37"/>
      <c r="R595" s="65"/>
      <c r="S595" s="137" t="s">
        <v>783</v>
      </c>
      <c r="T595" s="138" t="s">
        <v>132</v>
      </c>
      <c r="U595" s="37"/>
      <c r="V595" s="65"/>
      <c r="W595" s="137" t="s">
        <v>783</v>
      </c>
      <c r="X595" s="139" t="s">
        <v>46</v>
      </c>
      <c r="Y595" s="37"/>
      <c r="Z595" s="65"/>
      <c r="AA595" s="137" t="s">
        <v>783</v>
      </c>
      <c r="AB595" s="139" t="s">
        <v>46</v>
      </c>
      <c r="AC595" s="37"/>
      <c r="AD595" s="65"/>
      <c r="AE595" s="137" t="s">
        <v>783</v>
      </c>
      <c r="AF595" s="138" t="s">
        <v>61</v>
      </c>
      <c r="AG595" s="37"/>
      <c r="AH595" s="65"/>
      <c r="AI595" s="137" t="s">
        <v>783</v>
      </c>
      <c r="AJ595" s="138" t="s">
        <v>61</v>
      </c>
      <c r="AK595" s="37"/>
      <c r="AL595" s="65"/>
      <c r="AM595" s="137" t="s">
        <v>783</v>
      </c>
      <c r="AN595" s="138" t="s">
        <v>61</v>
      </c>
      <c r="AO595" s="37"/>
      <c r="AP595" s="65"/>
      <c r="AQ595" s="137" t="s">
        <v>783</v>
      </c>
      <c r="AR595" s="139" t="s">
        <v>46</v>
      </c>
      <c r="AS595" s="37"/>
      <c r="AT595" s="65"/>
      <c r="AU595" s="137" t="s">
        <v>783</v>
      </c>
      <c r="AV595" s="138" t="s">
        <v>132</v>
      </c>
      <c r="AW595" s="37"/>
      <c r="AX595" s="65"/>
      <c r="AY595" s="137" t="s">
        <v>783</v>
      </c>
      <c r="AZ595" s="138" t="s">
        <v>61</v>
      </c>
      <c r="BA595" s="37"/>
      <c r="BB595" s="65"/>
      <c r="BC595" s="137" t="s">
        <v>783</v>
      </c>
      <c r="BD595" s="138" t="s">
        <v>61</v>
      </c>
      <c r="BE595" s="37"/>
      <c r="BF595" s="65"/>
      <c r="BG595" s="137" t="s">
        <v>783</v>
      </c>
      <c r="BH595" s="138" t="s">
        <v>61</v>
      </c>
      <c r="BI595" s="37"/>
      <c r="BJ595" s="65"/>
      <c r="BK595" s="137" t="s">
        <v>783</v>
      </c>
      <c r="BL595" s="138" t="s">
        <v>61</v>
      </c>
      <c r="BM595" s="37"/>
      <c r="BN595" s="65"/>
      <c r="BO595" s="137" t="s">
        <v>783</v>
      </c>
      <c r="BP595" s="138" t="s">
        <v>61</v>
      </c>
      <c r="BQ595" s="37"/>
      <c r="BR595" s="65"/>
      <c r="BS595" s="137" t="s">
        <v>783</v>
      </c>
      <c r="BT595" s="139" t="s">
        <v>46</v>
      </c>
      <c r="BU595" s="37"/>
    </row>
    <row r="596" ht="12.75" customHeight="1">
      <c r="A596" s="131" t="s">
        <v>784</v>
      </c>
      <c r="B596" s="132" t="s">
        <v>46</v>
      </c>
      <c r="C596" s="133"/>
      <c r="D596" s="134"/>
      <c r="E596" s="59"/>
      <c r="F596" s="135"/>
      <c r="G596" s="70" t="s">
        <v>785</v>
      </c>
      <c r="H596" s="136"/>
      <c r="I596" s="72"/>
      <c r="J596" s="65"/>
      <c r="K596" s="137" t="s">
        <v>785</v>
      </c>
      <c r="L596" s="139" t="s">
        <v>46</v>
      </c>
      <c r="M596" s="37"/>
      <c r="N596" s="65"/>
      <c r="O596" s="137" t="s">
        <v>785</v>
      </c>
      <c r="P596" s="139" t="s">
        <v>46</v>
      </c>
      <c r="Q596" s="37"/>
      <c r="R596" s="65"/>
      <c r="S596" s="137" t="s">
        <v>785</v>
      </c>
      <c r="T596" s="139" t="s">
        <v>46</v>
      </c>
      <c r="U596" s="37"/>
      <c r="V596" s="65"/>
      <c r="W596" s="137" t="s">
        <v>785</v>
      </c>
      <c r="X596" s="139" t="s">
        <v>46</v>
      </c>
      <c r="Y596" s="37"/>
      <c r="Z596" s="65"/>
      <c r="AA596" s="137" t="s">
        <v>785</v>
      </c>
      <c r="AB596" s="139" t="s">
        <v>46</v>
      </c>
      <c r="AC596" s="37"/>
      <c r="AD596" s="65"/>
      <c r="AE596" s="137" t="s">
        <v>785</v>
      </c>
      <c r="AF596" s="139" t="s">
        <v>46</v>
      </c>
      <c r="AG596" s="37"/>
      <c r="AH596" s="65"/>
      <c r="AI596" s="137" t="s">
        <v>785</v>
      </c>
      <c r="AJ596" s="139" t="s">
        <v>46</v>
      </c>
      <c r="AK596" s="37"/>
      <c r="AL596" s="65"/>
      <c r="AM596" s="137" t="s">
        <v>785</v>
      </c>
      <c r="AN596" s="139" t="s">
        <v>46</v>
      </c>
      <c r="AO596" s="37"/>
      <c r="AP596" s="65"/>
      <c r="AQ596" s="137" t="s">
        <v>785</v>
      </c>
      <c r="AR596" s="139" t="s">
        <v>46</v>
      </c>
      <c r="AS596" s="37"/>
      <c r="AT596" s="65"/>
      <c r="AU596" s="137" t="s">
        <v>785</v>
      </c>
      <c r="AV596" s="139" t="s">
        <v>46</v>
      </c>
      <c r="AW596" s="37"/>
      <c r="AX596" s="65"/>
      <c r="AY596" s="137" t="s">
        <v>785</v>
      </c>
      <c r="AZ596" s="139" t="s">
        <v>46</v>
      </c>
      <c r="BA596" s="37"/>
      <c r="BB596" s="65"/>
      <c r="BC596" s="137" t="s">
        <v>785</v>
      </c>
      <c r="BD596" s="139" t="s">
        <v>46</v>
      </c>
      <c r="BE596" s="37"/>
      <c r="BF596" s="65"/>
      <c r="BG596" s="137" t="s">
        <v>785</v>
      </c>
      <c r="BH596" s="139" t="s">
        <v>46</v>
      </c>
      <c r="BI596" s="37"/>
      <c r="BJ596" s="65"/>
      <c r="BK596" s="137" t="s">
        <v>785</v>
      </c>
      <c r="BL596" s="138" t="s">
        <v>86</v>
      </c>
      <c r="BM596" s="37"/>
      <c r="BN596" s="65"/>
      <c r="BO596" s="137" t="s">
        <v>785</v>
      </c>
      <c r="BP596" s="139" t="s">
        <v>46</v>
      </c>
      <c r="BQ596" s="37"/>
      <c r="BR596" s="65"/>
      <c r="BS596" s="137" t="s">
        <v>785</v>
      </c>
      <c r="BT596" s="139" t="s">
        <v>46</v>
      </c>
      <c r="BU596" s="37"/>
    </row>
    <row r="597" ht="12.75" customHeight="1">
      <c r="A597" s="68" t="s">
        <v>786</v>
      </c>
      <c r="B597" s="132" t="s">
        <v>787</v>
      </c>
      <c r="C597" s="140"/>
      <c r="D597" s="134"/>
      <c r="E597" s="59"/>
      <c r="F597" s="135"/>
      <c r="G597" s="70" t="s">
        <v>788</v>
      </c>
      <c r="H597" s="136"/>
      <c r="I597" s="72"/>
      <c r="J597" s="65"/>
      <c r="K597" s="137" t="s">
        <v>788</v>
      </c>
      <c r="L597" s="139" t="s">
        <v>787</v>
      </c>
      <c r="M597" s="37"/>
      <c r="N597" s="65"/>
      <c r="O597" s="137" t="s">
        <v>788</v>
      </c>
      <c r="P597" s="139" t="s">
        <v>787</v>
      </c>
      <c r="Q597" s="37"/>
      <c r="R597" s="65"/>
      <c r="S597" s="137" t="s">
        <v>788</v>
      </c>
      <c r="T597" s="138" t="s">
        <v>127</v>
      </c>
      <c r="U597" s="37"/>
      <c r="V597" s="65"/>
      <c r="W597" s="137" t="s">
        <v>788</v>
      </c>
      <c r="X597" s="139" t="s">
        <v>787</v>
      </c>
      <c r="Y597" s="37"/>
      <c r="Z597" s="65"/>
      <c r="AA597" s="137" t="s">
        <v>788</v>
      </c>
      <c r="AB597" s="139" t="s">
        <v>787</v>
      </c>
      <c r="AC597" s="37"/>
      <c r="AD597" s="65"/>
      <c r="AE597" s="137" t="s">
        <v>788</v>
      </c>
      <c r="AF597" s="139" t="s">
        <v>787</v>
      </c>
      <c r="AG597" s="37"/>
      <c r="AH597" s="65"/>
      <c r="AI597" s="137" t="s">
        <v>788</v>
      </c>
      <c r="AJ597" s="139" t="s">
        <v>787</v>
      </c>
      <c r="AK597" s="37"/>
      <c r="AL597" s="65"/>
      <c r="AM597" s="137" t="s">
        <v>788</v>
      </c>
      <c r="AN597" s="139" t="s">
        <v>787</v>
      </c>
      <c r="AO597" s="37"/>
      <c r="AP597" s="65"/>
      <c r="AQ597" s="137" t="s">
        <v>788</v>
      </c>
      <c r="AR597" s="139" t="s">
        <v>787</v>
      </c>
      <c r="AS597" s="37"/>
      <c r="AT597" s="65"/>
      <c r="AU597" s="137" t="s">
        <v>788</v>
      </c>
      <c r="AV597" s="138" t="s">
        <v>127</v>
      </c>
      <c r="AW597" s="37"/>
      <c r="AX597" s="65"/>
      <c r="AY597" s="137" t="s">
        <v>788</v>
      </c>
      <c r="AZ597" s="139" t="s">
        <v>787</v>
      </c>
      <c r="BA597" s="37"/>
      <c r="BB597" s="65"/>
      <c r="BC597" s="137" t="s">
        <v>788</v>
      </c>
      <c r="BD597" s="139" t="s">
        <v>787</v>
      </c>
      <c r="BE597" s="37"/>
      <c r="BF597" s="65"/>
      <c r="BG597" s="137" t="s">
        <v>788</v>
      </c>
      <c r="BH597" s="139" t="s">
        <v>787</v>
      </c>
      <c r="BI597" s="37"/>
      <c r="BJ597" s="65"/>
      <c r="BK597" s="137" t="s">
        <v>788</v>
      </c>
      <c r="BL597" s="139" t="s">
        <v>787</v>
      </c>
      <c r="BM597" s="37"/>
      <c r="BN597" s="65"/>
      <c r="BO597" s="137" t="s">
        <v>788</v>
      </c>
      <c r="BP597" s="139" t="s">
        <v>787</v>
      </c>
      <c r="BQ597" s="37"/>
      <c r="BR597" s="65"/>
      <c r="BS597" s="137" t="s">
        <v>788</v>
      </c>
      <c r="BT597" s="139" t="s">
        <v>787</v>
      </c>
      <c r="BU597" s="37"/>
    </row>
    <row r="598" ht="12.75" customHeight="1">
      <c r="A598" s="68" t="s">
        <v>789</v>
      </c>
      <c r="B598" s="132" t="s">
        <v>268</v>
      </c>
      <c r="C598" s="140"/>
      <c r="D598" s="134"/>
      <c r="E598" s="57"/>
      <c r="F598" s="135"/>
      <c r="G598" s="70" t="s">
        <v>790</v>
      </c>
      <c r="H598" s="136"/>
      <c r="I598" s="72"/>
      <c r="J598" s="65"/>
      <c r="K598" s="137" t="s">
        <v>790</v>
      </c>
      <c r="L598" s="139" t="s">
        <v>268</v>
      </c>
      <c r="M598" s="37"/>
      <c r="N598" s="65"/>
      <c r="O598" s="137" t="s">
        <v>790</v>
      </c>
      <c r="P598" s="139" t="s">
        <v>268</v>
      </c>
      <c r="Q598" s="37"/>
      <c r="R598" s="65"/>
      <c r="S598" s="137" t="s">
        <v>790</v>
      </c>
      <c r="T598" s="139" t="s">
        <v>268</v>
      </c>
      <c r="U598" s="37"/>
      <c r="V598" s="65"/>
      <c r="W598" s="137" t="s">
        <v>790</v>
      </c>
      <c r="X598" s="139" t="s">
        <v>268</v>
      </c>
      <c r="Y598" s="37"/>
      <c r="Z598" s="65"/>
      <c r="AA598" s="137" t="s">
        <v>790</v>
      </c>
      <c r="AB598" s="139" t="s">
        <v>268</v>
      </c>
      <c r="AC598" s="37"/>
      <c r="AD598" s="65"/>
      <c r="AE598" s="137" t="s">
        <v>790</v>
      </c>
      <c r="AF598" s="139" t="s">
        <v>268</v>
      </c>
      <c r="AG598" s="37"/>
      <c r="AH598" s="65"/>
      <c r="AI598" s="137" t="s">
        <v>790</v>
      </c>
      <c r="AJ598" s="139" t="s">
        <v>268</v>
      </c>
      <c r="AK598" s="37"/>
      <c r="AL598" s="65"/>
      <c r="AM598" s="137" t="s">
        <v>790</v>
      </c>
      <c r="AN598" s="139" t="s">
        <v>268</v>
      </c>
      <c r="AO598" s="37"/>
      <c r="AP598" s="65"/>
      <c r="AQ598" s="137" t="s">
        <v>790</v>
      </c>
      <c r="AR598" s="139" t="s">
        <v>268</v>
      </c>
      <c r="AS598" s="37"/>
      <c r="AT598" s="65"/>
      <c r="AU598" s="137" t="s">
        <v>790</v>
      </c>
      <c r="AV598" s="139" t="s">
        <v>268</v>
      </c>
      <c r="AW598" s="37"/>
      <c r="AX598" s="65"/>
      <c r="AY598" s="137" t="s">
        <v>790</v>
      </c>
      <c r="AZ598" s="139" t="s">
        <v>268</v>
      </c>
      <c r="BA598" s="37"/>
      <c r="BB598" s="65"/>
      <c r="BC598" s="137" t="s">
        <v>790</v>
      </c>
      <c r="BD598" s="139" t="s">
        <v>268</v>
      </c>
      <c r="BE598" s="37"/>
      <c r="BF598" s="65"/>
      <c r="BG598" s="137" t="s">
        <v>790</v>
      </c>
      <c r="BH598" s="139" t="s">
        <v>268</v>
      </c>
      <c r="BI598" s="37"/>
      <c r="BJ598" s="65"/>
      <c r="BK598" s="137" t="s">
        <v>790</v>
      </c>
      <c r="BL598" s="139" t="s">
        <v>268</v>
      </c>
      <c r="BM598" s="37"/>
      <c r="BN598" s="65"/>
      <c r="BO598" s="137" t="s">
        <v>790</v>
      </c>
      <c r="BP598" s="139" t="s">
        <v>268</v>
      </c>
      <c r="BQ598" s="37"/>
      <c r="BR598" s="65"/>
      <c r="BS598" s="137" t="s">
        <v>790</v>
      </c>
      <c r="BT598" s="139" t="s">
        <v>268</v>
      </c>
      <c r="BU598" s="37"/>
    </row>
    <row r="599" ht="12.75" customHeight="1">
      <c r="A599" s="131" t="s">
        <v>791</v>
      </c>
      <c r="B599" s="132" t="s">
        <v>127</v>
      </c>
      <c r="C599" s="133"/>
      <c r="D599" s="134"/>
      <c r="E599" s="57"/>
      <c r="F599" s="135"/>
      <c r="G599" s="70" t="s">
        <v>792</v>
      </c>
      <c r="H599" s="136"/>
      <c r="I599" s="72"/>
      <c r="J599" s="65"/>
      <c r="K599" s="137" t="s">
        <v>792</v>
      </c>
      <c r="L599" s="139" t="s">
        <v>127</v>
      </c>
      <c r="M599" s="37"/>
      <c r="N599" s="65"/>
      <c r="O599" s="137" t="s">
        <v>792</v>
      </c>
      <c r="P599" s="139" t="s">
        <v>127</v>
      </c>
      <c r="Q599" s="37"/>
      <c r="R599" s="65"/>
      <c r="S599" s="137" t="s">
        <v>792</v>
      </c>
      <c r="T599" s="138" t="s">
        <v>88</v>
      </c>
      <c r="U599" s="37"/>
      <c r="V599" s="65"/>
      <c r="W599" s="137" t="s">
        <v>792</v>
      </c>
      <c r="X599" s="139" t="s">
        <v>127</v>
      </c>
      <c r="Y599" s="37"/>
      <c r="Z599" s="65"/>
      <c r="AA599" s="137" t="s">
        <v>792</v>
      </c>
      <c r="AB599" s="139" t="s">
        <v>127</v>
      </c>
      <c r="AC599" s="37"/>
      <c r="AD599" s="65"/>
      <c r="AE599" s="137" t="s">
        <v>792</v>
      </c>
      <c r="AF599" s="138" t="s">
        <v>142</v>
      </c>
      <c r="AG599" s="37"/>
      <c r="AH599" s="65"/>
      <c r="AI599" s="137" t="s">
        <v>792</v>
      </c>
      <c r="AJ599" s="138" t="s">
        <v>142</v>
      </c>
      <c r="AK599" s="37"/>
      <c r="AL599" s="65"/>
      <c r="AM599" s="137" t="s">
        <v>792</v>
      </c>
      <c r="AN599" s="138" t="s">
        <v>142</v>
      </c>
      <c r="AO599" s="37"/>
      <c r="AP599" s="65"/>
      <c r="AQ599" s="137" t="s">
        <v>792</v>
      </c>
      <c r="AR599" s="139" t="s">
        <v>127</v>
      </c>
      <c r="AS599" s="37"/>
      <c r="AT599" s="65"/>
      <c r="AU599" s="137" t="s">
        <v>792</v>
      </c>
      <c r="AV599" s="138" t="s">
        <v>88</v>
      </c>
      <c r="AW599" s="37"/>
      <c r="AX599" s="65"/>
      <c r="AY599" s="137" t="s">
        <v>792</v>
      </c>
      <c r="AZ599" s="138" t="s">
        <v>142</v>
      </c>
      <c r="BA599" s="37"/>
      <c r="BB599" s="65"/>
      <c r="BC599" s="137" t="s">
        <v>792</v>
      </c>
      <c r="BD599" s="138" t="s">
        <v>142</v>
      </c>
      <c r="BE599" s="37"/>
      <c r="BF599" s="65"/>
      <c r="BG599" s="137" t="s">
        <v>792</v>
      </c>
      <c r="BH599" s="138" t="s">
        <v>142</v>
      </c>
      <c r="BI599" s="37"/>
      <c r="BJ599" s="65"/>
      <c r="BK599" s="137" t="s">
        <v>792</v>
      </c>
      <c r="BL599" s="138" t="s">
        <v>142</v>
      </c>
      <c r="BM599" s="37"/>
      <c r="BN599" s="65"/>
      <c r="BO599" s="137" t="s">
        <v>792</v>
      </c>
      <c r="BP599" s="138" t="s">
        <v>142</v>
      </c>
      <c r="BQ599" s="37"/>
      <c r="BR599" s="65"/>
      <c r="BS599" s="137" t="s">
        <v>792</v>
      </c>
      <c r="BT599" s="139" t="s">
        <v>127</v>
      </c>
      <c r="BU599" s="37"/>
    </row>
    <row r="600" ht="12.75" customHeight="1">
      <c r="A600" s="131" t="s">
        <v>793</v>
      </c>
      <c r="B600" s="132" t="s">
        <v>268</v>
      </c>
      <c r="C600" s="133"/>
      <c r="D600" s="134"/>
      <c r="E600" s="57"/>
      <c r="F600" s="135"/>
      <c r="G600" s="70" t="s">
        <v>794</v>
      </c>
      <c r="H600" s="136"/>
      <c r="I600" s="72"/>
      <c r="J600" s="65"/>
      <c r="K600" s="137" t="s">
        <v>794</v>
      </c>
      <c r="L600" s="139" t="s">
        <v>268</v>
      </c>
      <c r="M600" s="37"/>
      <c r="N600" s="65"/>
      <c r="O600" s="137" t="s">
        <v>794</v>
      </c>
      <c r="P600" s="139" t="s">
        <v>268</v>
      </c>
      <c r="Q600" s="37"/>
      <c r="R600" s="65"/>
      <c r="S600" s="137" t="s">
        <v>794</v>
      </c>
      <c r="T600" s="139" t="s">
        <v>268</v>
      </c>
      <c r="U600" s="37"/>
      <c r="V600" s="65"/>
      <c r="W600" s="137" t="s">
        <v>794</v>
      </c>
      <c r="X600" s="139" t="s">
        <v>268</v>
      </c>
      <c r="Y600" s="37"/>
      <c r="Z600" s="65"/>
      <c r="AA600" s="137" t="s">
        <v>794</v>
      </c>
      <c r="AB600" s="139" t="s">
        <v>268</v>
      </c>
      <c r="AC600" s="37"/>
      <c r="AD600" s="65"/>
      <c r="AE600" s="137" t="s">
        <v>794</v>
      </c>
      <c r="AF600" s="139" t="s">
        <v>268</v>
      </c>
      <c r="AG600" s="37"/>
      <c r="AH600" s="65"/>
      <c r="AI600" s="137" t="s">
        <v>794</v>
      </c>
      <c r="AJ600" s="139" t="s">
        <v>268</v>
      </c>
      <c r="AK600" s="37"/>
      <c r="AL600" s="65"/>
      <c r="AM600" s="137" t="s">
        <v>794</v>
      </c>
      <c r="AN600" s="139" t="s">
        <v>268</v>
      </c>
      <c r="AO600" s="37"/>
      <c r="AP600" s="65"/>
      <c r="AQ600" s="137" t="s">
        <v>794</v>
      </c>
      <c r="AR600" s="139" t="s">
        <v>268</v>
      </c>
      <c r="AS600" s="37"/>
      <c r="AT600" s="65"/>
      <c r="AU600" s="137" t="s">
        <v>794</v>
      </c>
      <c r="AV600" s="139" t="s">
        <v>268</v>
      </c>
      <c r="AW600" s="37"/>
      <c r="AX600" s="65"/>
      <c r="AY600" s="137" t="s">
        <v>794</v>
      </c>
      <c r="AZ600" s="139" t="s">
        <v>268</v>
      </c>
      <c r="BA600" s="37"/>
      <c r="BB600" s="65"/>
      <c r="BC600" s="137" t="s">
        <v>794</v>
      </c>
      <c r="BD600" s="139" t="s">
        <v>268</v>
      </c>
      <c r="BE600" s="37"/>
      <c r="BF600" s="65"/>
      <c r="BG600" s="137" t="s">
        <v>794</v>
      </c>
      <c r="BH600" s="139" t="s">
        <v>268</v>
      </c>
      <c r="BI600" s="37"/>
      <c r="BJ600" s="65"/>
      <c r="BK600" s="137" t="s">
        <v>794</v>
      </c>
      <c r="BL600" s="138" t="s">
        <v>294</v>
      </c>
      <c r="BM600" s="37"/>
      <c r="BN600" s="65"/>
      <c r="BO600" s="137" t="s">
        <v>794</v>
      </c>
      <c r="BP600" s="139" t="s">
        <v>268</v>
      </c>
      <c r="BQ600" s="37"/>
      <c r="BR600" s="65"/>
      <c r="BS600" s="137" t="s">
        <v>794</v>
      </c>
      <c r="BT600" s="139" t="s">
        <v>268</v>
      </c>
      <c r="BU600" s="37"/>
    </row>
    <row r="601" ht="12.75" customHeight="1">
      <c r="A601" s="93"/>
      <c r="B601" s="94"/>
      <c r="C601" s="94"/>
      <c r="D601" s="141"/>
      <c r="E601" s="59"/>
      <c r="F601" s="142"/>
      <c r="G601" s="70"/>
      <c r="H601" s="95"/>
      <c r="I601" s="72"/>
      <c r="J601" s="143"/>
      <c r="K601" s="137"/>
      <c r="L601" s="139"/>
      <c r="M601" s="37"/>
      <c r="N601" s="143"/>
      <c r="O601" s="137"/>
      <c r="P601" s="139"/>
      <c r="Q601" s="37"/>
      <c r="R601" s="143"/>
      <c r="S601" s="137"/>
      <c r="T601" s="139"/>
      <c r="U601" s="37"/>
      <c r="V601" s="143"/>
      <c r="W601" s="137"/>
      <c r="X601" s="139"/>
      <c r="Y601" s="37"/>
      <c r="Z601" s="143"/>
      <c r="AA601" s="137"/>
      <c r="AB601" s="139"/>
      <c r="AC601" s="37"/>
      <c r="AD601" s="143"/>
      <c r="AE601" s="137"/>
      <c r="AF601" s="139"/>
      <c r="AG601" s="37"/>
      <c r="AH601" s="143"/>
      <c r="AI601" s="137"/>
      <c r="AJ601" s="139"/>
      <c r="AK601" s="37"/>
      <c r="AL601" s="143"/>
      <c r="AM601" s="137"/>
      <c r="AN601" s="139"/>
      <c r="AO601" s="37"/>
      <c r="AP601" s="143"/>
      <c r="AQ601" s="137"/>
      <c r="AR601" s="139"/>
      <c r="AS601" s="37"/>
      <c r="AT601" s="143"/>
      <c r="AU601" s="137"/>
      <c r="AV601" s="139"/>
      <c r="AW601" s="37"/>
      <c r="AX601" s="143"/>
      <c r="AY601" s="137"/>
      <c r="AZ601" s="139"/>
      <c r="BA601" s="37"/>
      <c r="BB601" s="143"/>
      <c r="BC601" s="137"/>
      <c r="BD601" s="139"/>
      <c r="BE601" s="37"/>
      <c r="BF601" s="143"/>
      <c r="BG601" s="137"/>
      <c r="BH601" s="139"/>
      <c r="BI601" s="37"/>
      <c r="BJ601" s="143"/>
      <c r="BK601" s="137"/>
      <c r="BL601" s="139"/>
      <c r="BM601" s="37"/>
      <c r="BN601" s="143"/>
      <c r="BO601" s="137"/>
      <c r="BP601" s="139"/>
      <c r="BQ601" s="37"/>
      <c r="BR601" s="143"/>
      <c r="BS601" s="137"/>
      <c r="BT601" s="139"/>
      <c r="BU601" s="37"/>
    </row>
    <row r="602" ht="12.75" customHeight="1">
      <c r="A602" s="93"/>
      <c r="B602" s="94"/>
      <c r="C602" s="94"/>
      <c r="D602" s="129"/>
      <c r="E602" s="59"/>
      <c r="F602" s="144"/>
      <c r="G602" s="70"/>
      <c r="H602" s="95"/>
      <c r="I602" s="72"/>
      <c r="J602" s="145"/>
      <c r="K602" s="137"/>
      <c r="L602" s="139"/>
      <c r="M602" s="37"/>
      <c r="N602" s="145"/>
      <c r="O602" s="137"/>
      <c r="P602" s="139"/>
      <c r="Q602" s="37"/>
      <c r="R602" s="145"/>
      <c r="S602" s="137"/>
      <c r="T602" s="139"/>
      <c r="U602" s="37"/>
      <c r="V602" s="145"/>
      <c r="W602" s="137"/>
      <c r="X602" s="139"/>
      <c r="Y602" s="37"/>
      <c r="Z602" s="145"/>
      <c r="AA602" s="137"/>
      <c r="AB602" s="139"/>
      <c r="AC602" s="37"/>
      <c r="AD602" s="145"/>
      <c r="AE602" s="137"/>
      <c r="AF602" s="139"/>
      <c r="AG602" s="37"/>
      <c r="AH602" s="145"/>
      <c r="AI602" s="137"/>
      <c r="AJ602" s="139"/>
      <c r="AK602" s="37"/>
      <c r="AL602" s="145"/>
      <c r="AM602" s="137"/>
      <c r="AN602" s="139"/>
      <c r="AO602" s="37"/>
      <c r="AP602" s="145"/>
      <c r="AQ602" s="137"/>
      <c r="AR602" s="139"/>
      <c r="AS602" s="37"/>
      <c r="AT602" s="145"/>
      <c r="AU602" s="137"/>
      <c r="AV602" s="139"/>
      <c r="AW602" s="37"/>
      <c r="AX602" s="145"/>
      <c r="AY602" s="137"/>
      <c r="AZ602" s="139"/>
      <c r="BA602" s="37"/>
      <c r="BB602" s="145"/>
      <c r="BC602" s="137"/>
      <c r="BD602" s="139"/>
      <c r="BE602" s="37"/>
      <c r="BF602" s="145"/>
      <c r="BG602" s="137"/>
      <c r="BH602" s="139"/>
      <c r="BI602" s="37"/>
      <c r="BJ602" s="145"/>
      <c r="BK602" s="137"/>
      <c r="BL602" s="139"/>
      <c r="BM602" s="37"/>
      <c r="BN602" s="145"/>
      <c r="BO602" s="137"/>
      <c r="BP602" s="139"/>
      <c r="BQ602" s="37"/>
      <c r="BR602" s="145"/>
      <c r="BS602" s="137"/>
      <c r="BT602" s="139"/>
      <c r="BU602" s="37"/>
    </row>
    <row r="603" ht="12.75" customHeight="1">
      <c r="A603" s="93"/>
      <c r="B603" s="58"/>
      <c r="C603" s="75"/>
      <c r="D603" s="129"/>
      <c r="E603" s="57"/>
      <c r="F603" s="60" t="s">
        <v>795</v>
      </c>
      <c r="G603" s="36"/>
      <c r="H603" s="127"/>
      <c r="I603" s="72"/>
      <c r="J603" s="60" t="s">
        <v>795</v>
      </c>
      <c r="K603" s="36"/>
      <c r="L603" s="128"/>
      <c r="M603" s="37"/>
      <c r="N603" s="60" t="s">
        <v>795</v>
      </c>
      <c r="O603" s="36"/>
      <c r="P603" s="128"/>
      <c r="Q603" s="37"/>
      <c r="R603" s="60" t="s">
        <v>795</v>
      </c>
      <c r="S603" s="36"/>
      <c r="T603" s="128"/>
      <c r="U603" s="37"/>
      <c r="V603" s="60" t="s">
        <v>795</v>
      </c>
      <c r="W603" s="36"/>
      <c r="X603" s="128"/>
      <c r="Y603" s="37"/>
      <c r="Z603" s="60" t="s">
        <v>795</v>
      </c>
      <c r="AA603" s="36"/>
      <c r="AB603" s="128"/>
      <c r="AC603" s="37"/>
      <c r="AD603" s="60" t="s">
        <v>795</v>
      </c>
      <c r="AE603" s="36"/>
      <c r="AF603" s="128"/>
      <c r="AG603" s="37"/>
      <c r="AH603" s="60" t="s">
        <v>795</v>
      </c>
      <c r="AI603" s="36"/>
      <c r="AJ603" s="128"/>
      <c r="AK603" s="37"/>
      <c r="AL603" s="60" t="s">
        <v>795</v>
      </c>
      <c r="AM603" s="36"/>
      <c r="AN603" s="128"/>
      <c r="AO603" s="37"/>
      <c r="AP603" s="60" t="s">
        <v>795</v>
      </c>
      <c r="AQ603" s="36"/>
      <c r="AR603" s="128"/>
      <c r="AS603" s="37"/>
      <c r="AT603" s="60" t="s">
        <v>795</v>
      </c>
      <c r="AU603" s="36"/>
      <c r="AV603" s="128"/>
      <c r="AW603" s="37"/>
      <c r="AX603" s="60" t="s">
        <v>795</v>
      </c>
      <c r="AY603" s="36"/>
      <c r="AZ603" s="128"/>
      <c r="BA603" s="37"/>
      <c r="BB603" s="60" t="s">
        <v>795</v>
      </c>
      <c r="BC603" s="36"/>
      <c r="BD603" s="128"/>
      <c r="BE603" s="37"/>
      <c r="BF603" s="60" t="s">
        <v>795</v>
      </c>
      <c r="BG603" s="36"/>
      <c r="BH603" s="128"/>
      <c r="BI603" s="37"/>
      <c r="BJ603" s="60" t="s">
        <v>795</v>
      </c>
      <c r="BK603" s="36"/>
      <c r="BL603" s="128"/>
      <c r="BM603" s="37"/>
      <c r="BN603" s="60" t="s">
        <v>795</v>
      </c>
      <c r="BO603" s="36"/>
      <c r="BP603" s="128"/>
      <c r="BQ603" s="37"/>
      <c r="BR603" s="60" t="s">
        <v>795</v>
      </c>
      <c r="BS603" s="36"/>
      <c r="BT603" s="128"/>
      <c r="BU603" s="37"/>
    </row>
    <row r="604" ht="12.75" customHeight="1">
      <c r="A604" s="63" t="s">
        <v>36</v>
      </c>
      <c r="B604" s="64" t="s">
        <v>37</v>
      </c>
      <c r="C604" s="64" t="s">
        <v>38</v>
      </c>
      <c r="D604" s="129"/>
      <c r="E604" s="57"/>
      <c r="F604" s="65"/>
      <c r="G604" s="66" t="s">
        <v>39</v>
      </c>
      <c r="H604" s="67" t="s">
        <v>40</v>
      </c>
      <c r="I604" s="72"/>
      <c r="J604" s="65"/>
      <c r="K604" s="66" t="s">
        <v>39</v>
      </c>
      <c r="L604" s="130" t="s">
        <v>40</v>
      </c>
      <c r="M604" s="37"/>
      <c r="N604" s="65"/>
      <c r="O604" s="66" t="s">
        <v>39</v>
      </c>
      <c r="P604" s="130" t="s">
        <v>40</v>
      </c>
      <c r="Q604" s="37"/>
      <c r="R604" s="65"/>
      <c r="S604" s="66" t="s">
        <v>39</v>
      </c>
      <c r="T604" s="130" t="s">
        <v>40</v>
      </c>
      <c r="U604" s="37"/>
      <c r="V604" s="65"/>
      <c r="W604" s="66" t="s">
        <v>39</v>
      </c>
      <c r="X604" s="130" t="s">
        <v>40</v>
      </c>
      <c r="Y604" s="37"/>
      <c r="Z604" s="65"/>
      <c r="AA604" s="66" t="s">
        <v>39</v>
      </c>
      <c r="AB604" s="130" t="s">
        <v>40</v>
      </c>
      <c r="AC604" s="37"/>
      <c r="AD604" s="65"/>
      <c r="AE604" s="66" t="s">
        <v>39</v>
      </c>
      <c r="AF604" s="130" t="s">
        <v>40</v>
      </c>
      <c r="AG604" s="37"/>
      <c r="AH604" s="65"/>
      <c r="AI604" s="66" t="s">
        <v>39</v>
      </c>
      <c r="AJ604" s="130" t="s">
        <v>40</v>
      </c>
      <c r="AK604" s="37"/>
      <c r="AL604" s="65"/>
      <c r="AM604" s="66" t="s">
        <v>39</v>
      </c>
      <c r="AN604" s="130" t="s">
        <v>40</v>
      </c>
      <c r="AO604" s="37"/>
      <c r="AP604" s="65"/>
      <c r="AQ604" s="66" t="s">
        <v>39</v>
      </c>
      <c r="AR604" s="130" t="s">
        <v>40</v>
      </c>
      <c r="AS604" s="37"/>
      <c r="AT604" s="65"/>
      <c r="AU604" s="66" t="s">
        <v>39</v>
      </c>
      <c r="AV604" s="130" t="s">
        <v>40</v>
      </c>
      <c r="AW604" s="37"/>
      <c r="AX604" s="65"/>
      <c r="AY604" s="66" t="s">
        <v>39</v>
      </c>
      <c r="AZ604" s="130" t="s">
        <v>40</v>
      </c>
      <c r="BA604" s="37"/>
      <c r="BB604" s="65"/>
      <c r="BC604" s="66" t="s">
        <v>39</v>
      </c>
      <c r="BD604" s="130" t="s">
        <v>40</v>
      </c>
      <c r="BE604" s="37"/>
      <c r="BF604" s="65"/>
      <c r="BG604" s="66" t="s">
        <v>39</v>
      </c>
      <c r="BH604" s="130" t="s">
        <v>40</v>
      </c>
      <c r="BI604" s="37"/>
      <c r="BJ604" s="65"/>
      <c r="BK604" s="66" t="s">
        <v>39</v>
      </c>
      <c r="BL604" s="130" t="s">
        <v>40</v>
      </c>
      <c r="BM604" s="37"/>
      <c r="BN604" s="65"/>
      <c r="BO604" s="66" t="s">
        <v>39</v>
      </c>
      <c r="BP604" s="130" t="s">
        <v>40</v>
      </c>
      <c r="BQ604" s="37"/>
      <c r="BR604" s="65"/>
      <c r="BS604" s="66" t="s">
        <v>39</v>
      </c>
      <c r="BT604" s="130" t="s">
        <v>40</v>
      </c>
      <c r="BU604" s="37"/>
    </row>
    <row r="605" ht="12.75" customHeight="1">
      <c r="A605" s="68" t="s">
        <v>796</v>
      </c>
      <c r="B605" s="132" t="s">
        <v>46</v>
      </c>
      <c r="C605" s="140"/>
      <c r="D605" s="134"/>
      <c r="E605" s="57"/>
      <c r="F605" s="135"/>
      <c r="G605" s="70" t="s">
        <v>797</v>
      </c>
      <c r="H605" s="136"/>
      <c r="I605" s="72"/>
      <c r="J605" s="65"/>
      <c r="K605" s="137" t="s">
        <v>797</v>
      </c>
      <c r="L605" s="139" t="s">
        <v>46</v>
      </c>
      <c r="M605" s="37"/>
      <c r="N605" s="65"/>
      <c r="O605" s="137" t="s">
        <v>797</v>
      </c>
      <c r="P605" s="138" t="s">
        <v>63</v>
      </c>
      <c r="Q605" s="37"/>
      <c r="R605" s="65"/>
      <c r="S605" s="137" t="s">
        <v>797</v>
      </c>
      <c r="T605" s="139" t="s">
        <v>46</v>
      </c>
      <c r="U605" s="37"/>
      <c r="V605" s="65"/>
      <c r="W605" s="137" t="s">
        <v>797</v>
      </c>
      <c r="X605" s="138" t="s">
        <v>63</v>
      </c>
      <c r="Y605" s="37"/>
      <c r="Z605" s="65"/>
      <c r="AA605" s="137" t="s">
        <v>797</v>
      </c>
      <c r="AB605" s="138" t="s">
        <v>63</v>
      </c>
      <c r="AC605" s="37"/>
      <c r="AD605" s="65"/>
      <c r="AE605" s="137" t="s">
        <v>797</v>
      </c>
      <c r="AF605" s="138" t="s">
        <v>63</v>
      </c>
      <c r="AG605" s="37"/>
      <c r="AH605" s="65"/>
      <c r="AI605" s="137" t="s">
        <v>797</v>
      </c>
      <c r="AJ605" s="138" t="s">
        <v>63</v>
      </c>
      <c r="AK605" s="37"/>
      <c r="AL605" s="65"/>
      <c r="AM605" s="137" t="s">
        <v>797</v>
      </c>
      <c r="AN605" s="138" t="s">
        <v>63</v>
      </c>
      <c r="AO605" s="37"/>
      <c r="AP605" s="65"/>
      <c r="AQ605" s="137" t="s">
        <v>797</v>
      </c>
      <c r="AR605" s="138" t="s">
        <v>63</v>
      </c>
      <c r="AS605" s="37"/>
      <c r="AT605" s="65"/>
      <c r="AU605" s="137" t="s">
        <v>797</v>
      </c>
      <c r="AV605" s="139" t="s">
        <v>46</v>
      </c>
      <c r="AW605" s="37"/>
      <c r="AX605" s="65"/>
      <c r="AY605" s="137" t="s">
        <v>797</v>
      </c>
      <c r="AZ605" s="138" t="s">
        <v>63</v>
      </c>
      <c r="BA605" s="37"/>
      <c r="BB605" s="65"/>
      <c r="BC605" s="137" t="s">
        <v>797</v>
      </c>
      <c r="BD605" s="138" t="s">
        <v>63</v>
      </c>
      <c r="BE605" s="37"/>
      <c r="BF605" s="65"/>
      <c r="BG605" s="137" t="s">
        <v>797</v>
      </c>
      <c r="BH605" s="138" t="s">
        <v>63</v>
      </c>
      <c r="BI605" s="37"/>
      <c r="BJ605" s="65"/>
      <c r="BK605" s="137" t="s">
        <v>797</v>
      </c>
      <c r="BL605" s="138" t="s">
        <v>63</v>
      </c>
      <c r="BM605" s="37"/>
      <c r="BN605" s="65"/>
      <c r="BO605" s="137" t="s">
        <v>797</v>
      </c>
      <c r="BP605" s="138" t="s">
        <v>63</v>
      </c>
      <c r="BQ605" s="37"/>
      <c r="BR605" s="65"/>
      <c r="BS605" s="137" t="s">
        <v>797</v>
      </c>
      <c r="BT605" s="138" t="s">
        <v>63</v>
      </c>
      <c r="BU605" s="37"/>
    </row>
    <row r="606" ht="12.75" customHeight="1">
      <c r="A606" s="68" t="s">
        <v>798</v>
      </c>
      <c r="B606" s="132" t="s">
        <v>88</v>
      </c>
      <c r="C606" s="140"/>
      <c r="D606" s="134"/>
      <c r="E606" s="57"/>
      <c r="F606" s="135"/>
      <c r="G606" s="70" t="s">
        <v>799</v>
      </c>
      <c r="H606" s="136"/>
      <c r="I606" s="72"/>
      <c r="J606" s="65"/>
      <c r="K606" s="137" t="s">
        <v>799</v>
      </c>
      <c r="L606" s="139" t="s">
        <v>88</v>
      </c>
      <c r="M606" s="37"/>
      <c r="N606" s="65"/>
      <c r="O606" s="137" t="s">
        <v>799</v>
      </c>
      <c r="P606" s="138" t="s">
        <v>255</v>
      </c>
      <c r="Q606" s="37"/>
      <c r="R606" s="65"/>
      <c r="S606" s="137" t="s">
        <v>799</v>
      </c>
      <c r="T606" s="139" t="s">
        <v>88</v>
      </c>
      <c r="U606" s="37"/>
      <c r="V606" s="65"/>
      <c r="W606" s="137" t="s">
        <v>799</v>
      </c>
      <c r="X606" s="138" t="s">
        <v>255</v>
      </c>
      <c r="Y606" s="37"/>
      <c r="Z606" s="65"/>
      <c r="AA606" s="137" t="s">
        <v>799</v>
      </c>
      <c r="AB606" s="138" t="s">
        <v>255</v>
      </c>
      <c r="AC606" s="37"/>
      <c r="AD606" s="65"/>
      <c r="AE606" s="137" t="s">
        <v>799</v>
      </c>
      <c r="AF606" s="138" t="s">
        <v>255</v>
      </c>
      <c r="AG606" s="37"/>
      <c r="AH606" s="65"/>
      <c r="AI606" s="137" t="s">
        <v>799</v>
      </c>
      <c r="AJ606" s="138" t="s">
        <v>166</v>
      </c>
      <c r="AK606" s="37"/>
      <c r="AL606" s="65"/>
      <c r="AM606" s="137" t="s">
        <v>799</v>
      </c>
      <c r="AN606" s="138" t="s">
        <v>166</v>
      </c>
      <c r="AO606" s="37"/>
      <c r="AP606" s="65"/>
      <c r="AQ606" s="137" t="s">
        <v>799</v>
      </c>
      <c r="AR606" s="138" t="s">
        <v>166</v>
      </c>
      <c r="AS606" s="37"/>
      <c r="AT606" s="65"/>
      <c r="AU606" s="137" t="s">
        <v>799</v>
      </c>
      <c r="AV606" s="139" t="s">
        <v>88</v>
      </c>
      <c r="AW606" s="37"/>
      <c r="AX606" s="65"/>
      <c r="AY606" s="137" t="s">
        <v>799</v>
      </c>
      <c r="AZ606" s="138" t="s">
        <v>255</v>
      </c>
      <c r="BA606" s="37"/>
      <c r="BB606" s="65"/>
      <c r="BC606" s="137" t="s">
        <v>799</v>
      </c>
      <c r="BD606" s="138" t="s">
        <v>255</v>
      </c>
      <c r="BE606" s="37"/>
      <c r="BF606" s="65"/>
      <c r="BG606" s="137" t="s">
        <v>799</v>
      </c>
      <c r="BH606" s="138" t="s">
        <v>166</v>
      </c>
      <c r="BI606" s="37"/>
      <c r="BJ606" s="65"/>
      <c r="BK606" s="137" t="s">
        <v>799</v>
      </c>
      <c r="BL606" s="138" t="s">
        <v>255</v>
      </c>
      <c r="BM606" s="37"/>
      <c r="BN606" s="65"/>
      <c r="BO606" s="137" t="s">
        <v>799</v>
      </c>
      <c r="BP606" s="138" t="s">
        <v>166</v>
      </c>
      <c r="BQ606" s="37"/>
      <c r="BR606" s="65"/>
      <c r="BS606" s="137" t="s">
        <v>799</v>
      </c>
      <c r="BT606" s="138" t="s">
        <v>255</v>
      </c>
      <c r="BU606" s="37"/>
    </row>
    <row r="607" ht="12.75" customHeight="1">
      <c r="A607" s="131" t="s">
        <v>800</v>
      </c>
      <c r="B607" s="132" t="s">
        <v>46</v>
      </c>
      <c r="C607" s="69"/>
      <c r="D607" s="134"/>
      <c r="E607" s="59"/>
      <c r="F607" s="65"/>
      <c r="G607" s="70" t="s">
        <v>801</v>
      </c>
      <c r="H607" s="136"/>
      <c r="I607" s="72"/>
      <c r="J607" s="65"/>
      <c r="K607" s="137" t="s">
        <v>801</v>
      </c>
      <c r="L607" s="139" t="s">
        <v>46</v>
      </c>
      <c r="M607" s="37"/>
      <c r="N607" s="65"/>
      <c r="O607" s="137" t="s">
        <v>801</v>
      </c>
      <c r="P607" s="139" t="s">
        <v>46</v>
      </c>
      <c r="Q607" s="37"/>
      <c r="R607" s="65"/>
      <c r="S607" s="137" t="s">
        <v>801</v>
      </c>
      <c r="T607" s="139" t="s">
        <v>46</v>
      </c>
      <c r="U607" s="37"/>
      <c r="V607" s="65"/>
      <c r="W607" s="137" t="s">
        <v>801</v>
      </c>
      <c r="X607" s="139" t="s">
        <v>46</v>
      </c>
      <c r="Y607" s="37"/>
      <c r="Z607" s="65"/>
      <c r="AA607" s="137" t="s">
        <v>801</v>
      </c>
      <c r="AB607" s="139" t="s">
        <v>46</v>
      </c>
      <c r="AC607" s="37"/>
      <c r="AD607" s="65"/>
      <c r="AE607" s="137" t="s">
        <v>801</v>
      </c>
      <c r="AF607" s="139" t="s">
        <v>46</v>
      </c>
      <c r="AG607" s="37"/>
      <c r="AH607" s="65"/>
      <c r="AI607" s="137" t="s">
        <v>801</v>
      </c>
      <c r="AJ607" s="139" t="s">
        <v>46</v>
      </c>
      <c r="AK607" s="37"/>
      <c r="AL607" s="65"/>
      <c r="AM607" s="137" t="s">
        <v>801</v>
      </c>
      <c r="AN607" s="139" t="s">
        <v>46</v>
      </c>
      <c r="AO607" s="37"/>
      <c r="AP607" s="65"/>
      <c r="AQ607" s="137" t="s">
        <v>801</v>
      </c>
      <c r="AR607" s="139" t="s">
        <v>46</v>
      </c>
      <c r="AS607" s="37"/>
      <c r="AT607" s="65"/>
      <c r="AU607" s="137" t="s">
        <v>801</v>
      </c>
      <c r="AV607" s="139" t="s">
        <v>46</v>
      </c>
      <c r="AW607" s="37"/>
      <c r="AX607" s="65"/>
      <c r="AY607" s="137" t="s">
        <v>801</v>
      </c>
      <c r="AZ607" s="139" t="s">
        <v>46</v>
      </c>
      <c r="BA607" s="37"/>
      <c r="BB607" s="65"/>
      <c r="BC607" s="137" t="s">
        <v>801</v>
      </c>
      <c r="BD607" s="139" t="s">
        <v>46</v>
      </c>
      <c r="BE607" s="37"/>
      <c r="BF607" s="65"/>
      <c r="BG607" s="137" t="s">
        <v>801</v>
      </c>
      <c r="BH607" s="139" t="s">
        <v>46</v>
      </c>
      <c r="BI607" s="37"/>
      <c r="BJ607" s="65"/>
      <c r="BK607" s="137" t="s">
        <v>801</v>
      </c>
      <c r="BL607" s="139" t="s">
        <v>46</v>
      </c>
      <c r="BM607" s="37"/>
      <c r="BN607" s="65"/>
      <c r="BO607" s="137" t="s">
        <v>801</v>
      </c>
      <c r="BP607" s="139" t="s">
        <v>46</v>
      </c>
      <c r="BQ607" s="37"/>
      <c r="BR607" s="65"/>
      <c r="BS607" s="137" t="s">
        <v>801</v>
      </c>
      <c r="BT607" s="139" t="s">
        <v>46</v>
      </c>
      <c r="BU607" s="37"/>
    </row>
    <row r="608" ht="12.75" customHeight="1">
      <c r="A608" s="80"/>
      <c r="B608" s="132" t="s">
        <v>46</v>
      </c>
      <c r="C608" s="133"/>
      <c r="D608" s="134"/>
      <c r="E608" s="57"/>
      <c r="F608" s="135"/>
      <c r="G608" s="70" t="s">
        <v>802</v>
      </c>
      <c r="H608" s="136"/>
      <c r="I608" s="72"/>
      <c r="J608" s="65"/>
      <c r="K608" s="137" t="s">
        <v>802</v>
      </c>
      <c r="L608" s="139" t="s">
        <v>46</v>
      </c>
      <c r="M608" s="37"/>
      <c r="N608" s="65"/>
      <c r="O608" s="137" t="s">
        <v>802</v>
      </c>
      <c r="P608" s="138" t="s">
        <v>243</v>
      </c>
      <c r="Q608" s="37"/>
      <c r="R608" s="65"/>
      <c r="S608" s="137" t="s">
        <v>802</v>
      </c>
      <c r="T608" s="139" t="s">
        <v>46</v>
      </c>
      <c r="U608" s="37"/>
      <c r="V608" s="65"/>
      <c r="W608" s="137" t="s">
        <v>802</v>
      </c>
      <c r="X608" s="138" t="s">
        <v>132</v>
      </c>
      <c r="Y608" s="37"/>
      <c r="Z608" s="65"/>
      <c r="AA608" s="137" t="s">
        <v>802</v>
      </c>
      <c r="AB608" s="138" t="s">
        <v>243</v>
      </c>
      <c r="AC608" s="37"/>
      <c r="AD608" s="65"/>
      <c r="AE608" s="137" t="s">
        <v>802</v>
      </c>
      <c r="AF608" s="138" t="s">
        <v>132</v>
      </c>
      <c r="AG608" s="37"/>
      <c r="AH608" s="65"/>
      <c r="AI608" s="137" t="s">
        <v>802</v>
      </c>
      <c r="AJ608" s="139" t="s">
        <v>46</v>
      </c>
      <c r="AK608" s="37"/>
      <c r="AL608" s="65"/>
      <c r="AM608" s="137" t="s">
        <v>802</v>
      </c>
      <c r="AN608" s="139" t="s">
        <v>46</v>
      </c>
      <c r="AO608" s="37"/>
      <c r="AP608" s="65"/>
      <c r="AQ608" s="137" t="s">
        <v>802</v>
      </c>
      <c r="AR608" s="138" t="s">
        <v>243</v>
      </c>
      <c r="AS608" s="37"/>
      <c r="AT608" s="65"/>
      <c r="AU608" s="137" t="s">
        <v>802</v>
      </c>
      <c r="AV608" s="139" t="s">
        <v>46</v>
      </c>
      <c r="AW608" s="37"/>
      <c r="AX608" s="65"/>
      <c r="AY608" s="137" t="s">
        <v>802</v>
      </c>
      <c r="AZ608" s="138" t="s">
        <v>132</v>
      </c>
      <c r="BA608" s="37"/>
      <c r="BB608" s="65"/>
      <c r="BC608" s="137" t="s">
        <v>802</v>
      </c>
      <c r="BD608" s="138" t="s">
        <v>243</v>
      </c>
      <c r="BE608" s="37"/>
      <c r="BF608" s="65"/>
      <c r="BG608" s="137" t="s">
        <v>802</v>
      </c>
      <c r="BH608" s="138" t="s">
        <v>243</v>
      </c>
      <c r="BI608" s="37"/>
      <c r="BJ608" s="65"/>
      <c r="BK608" s="137" t="s">
        <v>802</v>
      </c>
      <c r="BL608" s="138" t="s">
        <v>132</v>
      </c>
      <c r="BM608" s="37"/>
      <c r="BN608" s="65"/>
      <c r="BO608" s="137" t="s">
        <v>802</v>
      </c>
      <c r="BP608" s="138" t="s">
        <v>243</v>
      </c>
      <c r="BQ608" s="37"/>
      <c r="BR608" s="65"/>
      <c r="BS608" s="137" t="s">
        <v>802</v>
      </c>
      <c r="BT608" s="138" t="s">
        <v>243</v>
      </c>
      <c r="BU608" s="37"/>
    </row>
    <row r="609" ht="12.75" customHeight="1">
      <c r="A609" s="146"/>
      <c r="B609" s="132" t="s">
        <v>46</v>
      </c>
      <c r="C609" s="140"/>
      <c r="D609" s="134"/>
      <c r="E609" s="59"/>
      <c r="F609" s="65"/>
      <c r="G609" s="70" t="s">
        <v>803</v>
      </c>
      <c r="H609" s="136"/>
      <c r="I609" s="72"/>
      <c r="J609" s="65"/>
      <c r="K609" s="137" t="s">
        <v>803</v>
      </c>
      <c r="L609" s="139" t="s">
        <v>46</v>
      </c>
      <c r="M609" s="37"/>
      <c r="N609" s="65"/>
      <c r="O609" s="137" t="s">
        <v>803</v>
      </c>
      <c r="P609" s="138" t="s">
        <v>243</v>
      </c>
      <c r="Q609" s="37"/>
      <c r="R609" s="65"/>
      <c r="S609" s="137" t="s">
        <v>803</v>
      </c>
      <c r="T609" s="139" t="s">
        <v>46</v>
      </c>
      <c r="U609" s="37"/>
      <c r="V609" s="65"/>
      <c r="W609" s="137" t="s">
        <v>803</v>
      </c>
      <c r="X609" s="138" t="s">
        <v>61</v>
      </c>
      <c r="Y609" s="37"/>
      <c r="Z609" s="65"/>
      <c r="AA609" s="137" t="s">
        <v>803</v>
      </c>
      <c r="AB609" s="138" t="s">
        <v>243</v>
      </c>
      <c r="AC609" s="37"/>
      <c r="AD609" s="65"/>
      <c r="AE609" s="137" t="s">
        <v>803</v>
      </c>
      <c r="AF609" s="138" t="s">
        <v>63</v>
      </c>
      <c r="AG609" s="37"/>
      <c r="AH609" s="65"/>
      <c r="AI609" s="137" t="s">
        <v>803</v>
      </c>
      <c r="AJ609" s="139" t="s">
        <v>46</v>
      </c>
      <c r="AK609" s="37"/>
      <c r="AL609" s="65"/>
      <c r="AM609" s="137" t="s">
        <v>803</v>
      </c>
      <c r="AN609" s="139" t="s">
        <v>46</v>
      </c>
      <c r="AO609" s="37"/>
      <c r="AP609" s="65"/>
      <c r="AQ609" s="137" t="s">
        <v>803</v>
      </c>
      <c r="AR609" s="138" t="s">
        <v>243</v>
      </c>
      <c r="AS609" s="37"/>
      <c r="AT609" s="65"/>
      <c r="AU609" s="137" t="s">
        <v>803</v>
      </c>
      <c r="AV609" s="139" t="s">
        <v>46</v>
      </c>
      <c r="AW609" s="37"/>
      <c r="AX609" s="65"/>
      <c r="AY609" s="137" t="s">
        <v>803</v>
      </c>
      <c r="AZ609" s="138" t="s">
        <v>61</v>
      </c>
      <c r="BA609" s="37"/>
      <c r="BB609" s="65"/>
      <c r="BC609" s="137" t="s">
        <v>803</v>
      </c>
      <c r="BD609" s="138" t="s">
        <v>243</v>
      </c>
      <c r="BE609" s="37"/>
      <c r="BF609" s="65"/>
      <c r="BG609" s="137" t="s">
        <v>803</v>
      </c>
      <c r="BH609" s="138" t="s">
        <v>243</v>
      </c>
      <c r="BI609" s="37"/>
      <c r="BJ609" s="65"/>
      <c r="BK609" s="137" t="s">
        <v>803</v>
      </c>
      <c r="BL609" s="138" t="s">
        <v>63</v>
      </c>
      <c r="BM609" s="37"/>
      <c r="BN609" s="65"/>
      <c r="BO609" s="137" t="s">
        <v>803</v>
      </c>
      <c r="BP609" s="138" t="s">
        <v>243</v>
      </c>
      <c r="BQ609" s="37"/>
      <c r="BR609" s="65"/>
      <c r="BS609" s="137" t="s">
        <v>803</v>
      </c>
      <c r="BT609" s="138" t="s">
        <v>243</v>
      </c>
      <c r="BU609" s="37"/>
    </row>
    <row r="610" ht="12.75" customHeight="1">
      <c r="A610" s="80"/>
      <c r="B610" s="132" t="s">
        <v>551</v>
      </c>
      <c r="C610" s="140"/>
      <c r="D610" s="134"/>
      <c r="E610" s="57"/>
      <c r="F610" s="135"/>
      <c r="G610" s="70" t="s">
        <v>804</v>
      </c>
      <c r="H610" s="136"/>
      <c r="I610" s="72"/>
      <c r="J610" s="65"/>
      <c r="K610" s="137" t="s">
        <v>804</v>
      </c>
      <c r="L610" s="139" t="s">
        <v>551</v>
      </c>
      <c r="M610" s="37"/>
      <c r="N610" s="65"/>
      <c r="O610" s="137" t="s">
        <v>804</v>
      </c>
      <c r="P610" s="139" t="s">
        <v>551</v>
      </c>
      <c r="Q610" s="37"/>
      <c r="R610" s="65"/>
      <c r="S610" s="137" t="s">
        <v>804</v>
      </c>
      <c r="T610" s="139" t="s">
        <v>551</v>
      </c>
      <c r="U610" s="37"/>
      <c r="V610" s="65"/>
      <c r="W610" s="137" t="s">
        <v>804</v>
      </c>
      <c r="X610" s="139" t="s">
        <v>551</v>
      </c>
      <c r="Y610" s="37"/>
      <c r="Z610" s="65"/>
      <c r="AA610" s="137" t="s">
        <v>804</v>
      </c>
      <c r="AB610" s="139" t="s">
        <v>551</v>
      </c>
      <c r="AC610" s="37"/>
      <c r="AD610" s="65"/>
      <c r="AE610" s="137" t="s">
        <v>804</v>
      </c>
      <c r="AF610" s="139" t="s">
        <v>551</v>
      </c>
      <c r="AG610" s="37"/>
      <c r="AH610" s="65"/>
      <c r="AI610" s="137" t="s">
        <v>804</v>
      </c>
      <c r="AJ610" s="139" t="s">
        <v>551</v>
      </c>
      <c r="AK610" s="37"/>
      <c r="AL610" s="65"/>
      <c r="AM610" s="137" t="s">
        <v>804</v>
      </c>
      <c r="AN610" s="139" t="s">
        <v>551</v>
      </c>
      <c r="AO610" s="37"/>
      <c r="AP610" s="65"/>
      <c r="AQ610" s="137" t="s">
        <v>804</v>
      </c>
      <c r="AR610" s="139" t="s">
        <v>551</v>
      </c>
      <c r="AS610" s="37"/>
      <c r="AT610" s="65"/>
      <c r="AU610" s="137" t="s">
        <v>804</v>
      </c>
      <c r="AV610" s="139" t="s">
        <v>551</v>
      </c>
      <c r="AW610" s="37"/>
      <c r="AX610" s="65"/>
      <c r="AY610" s="137" t="s">
        <v>804</v>
      </c>
      <c r="AZ610" s="139" t="s">
        <v>551</v>
      </c>
      <c r="BA610" s="37"/>
      <c r="BB610" s="65"/>
      <c r="BC610" s="137" t="s">
        <v>804</v>
      </c>
      <c r="BD610" s="139" t="s">
        <v>551</v>
      </c>
      <c r="BE610" s="37"/>
      <c r="BF610" s="65"/>
      <c r="BG610" s="137" t="s">
        <v>804</v>
      </c>
      <c r="BH610" s="139" t="s">
        <v>551</v>
      </c>
      <c r="BI610" s="37"/>
      <c r="BJ610" s="65"/>
      <c r="BK610" s="137" t="s">
        <v>804</v>
      </c>
      <c r="BL610" s="139" t="s">
        <v>551</v>
      </c>
      <c r="BM610" s="37"/>
      <c r="BN610" s="65"/>
      <c r="BO610" s="137" t="s">
        <v>804</v>
      </c>
      <c r="BP610" s="139" t="s">
        <v>551</v>
      </c>
      <c r="BQ610" s="37"/>
      <c r="BR610" s="65"/>
      <c r="BS610" s="137" t="s">
        <v>804</v>
      </c>
      <c r="BT610" s="139" t="s">
        <v>551</v>
      </c>
      <c r="BU610" s="37"/>
    </row>
    <row r="611" ht="12.75" customHeight="1">
      <c r="A611" s="80"/>
      <c r="B611" s="132" t="s">
        <v>46</v>
      </c>
      <c r="C611" s="69"/>
      <c r="D611" s="134"/>
      <c r="E611" s="57"/>
      <c r="F611" s="135"/>
      <c r="G611" s="70" t="s">
        <v>805</v>
      </c>
      <c r="H611" s="136"/>
      <c r="I611" s="72"/>
      <c r="J611" s="65"/>
      <c r="K611" s="137" t="s">
        <v>805</v>
      </c>
      <c r="L611" s="139" t="s">
        <v>46</v>
      </c>
      <c r="M611" s="37"/>
      <c r="N611" s="65"/>
      <c r="O611" s="137" t="s">
        <v>805</v>
      </c>
      <c r="P611" s="139" t="s">
        <v>46</v>
      </c>
      <c r="Q611" s="37"/>
      <c r="R611" s="65"/>
      <c r="S611" s="137" t="s">
        <v>805</v>
      </c>
      <c r="T611" s="139" t="s">
        <v>46</v>
      </c>
      <c r="U611" s="37"/>
      <c r="V611" s="65"/>
      <c r="W611" s="137" t="s">
        <v>805</v>
      </c>
      <c r="X611" s="139" t="s">
        <v>46</v>
      </c>
      <c r="Y611" s="37"/>
      <c r="Z611" s="65"/>
      <c r="AA611" s="137" t="s">
        <v>805</v>
      </c>
      <c r="AB611" s="139" t="s">
        <v>46</v>
      </c>
      <c r="AC611" s="37"/>
      <c r="AD611" s="65"/>
      <c r="AE611" s="137" t="s">
        <v>805</v>
      </c>
      <c r="AF611" s="139" t="s">
        <v>46</v>
      </c>
      <c r="AG611" s="37"/>
      <c r="AH611" s="65"/>
      <c r="AI611" s="137" t="s">
        <v>805</v>
      </c>
      <c r="AJ611" s="139" t="s">
        <v>46</v>
      </c>
      <c r="AK611" s="37"/>
      <c r="AL611" s="65"/>
      <c r="AM611" s="137" t="s">
        <v>805</v>
      </c>
      <c r="AN611" s="139" t="s">
        <v>46</v>
      </c>
      <c r="AO611" s="37"/>
      <c r="AP611" s="65"/>
      <c r="AQ611" s="137" t="s">
        <v>805</v>
      </c>
      <c r="AR611" s="139" t="s">
        <v>46</v>
      </c>
      <c r="AS611" s="37"/>
      <c r="AT611" s="65"/>
      <c r="AU611" s="137" t="s">
        <v>805</v>
      </c>
      <c r="AV611" s="139" t="s">
        <v>46</v>
      </c>
      <c r="AW611" s="37"/>
      <c r="AX611" s="65"/>
      <c r="AY611" s="137" t="s">
        <v>805</v>
      </c>
      <c r="AZ611" s="139" t="s">
        <v>46</v>
      </c>
      <c r="BA611" s="37"/>
      <c r="BB611" s="65"/>
      <c r="BC611" s="137" t="s">
        <v>805</v>
      </c>
      <c r="BD611" s="139" t="s">
        <v>46</v>
      </c>
      <c r="BE611" s="37"/>
      <c r="BF611" s="65"/>
      <c r="BG611" s="137" t="s">
        <v>805</v>
      </c>
      <c r="BH611" s="139" t="s">
        <v>46</v>
      </c>
      <c r="BI611" s="37"/>
      <c r="BJ611" s="65"/>
      <c r="BK611" s="137" t="s">
        <v>805</v>
      </c>
      <c r="BL611" s="139" t="s">
        <v>46</v>
      </c>
      <c r="BM611" s="37"/>
      <c r="BN611" s="65"/>
      <c r="BO611" s="137" t="s">
        <v>805</v>
      </c>
      <c r="BP611" s="139" t="s">
        <v>46</v>
      </c>
      <c r="BQ611" s="37"/>
      <c r="BR611" s="65"/>
      <c r="BS611" s="137" t="s">
        <v>805</v>
      </c>
      <c r="BT611" s="139" t="s">
        <v>46</v>
      </c>
      <c r="BU611" s="37"/>
    </row>
    <row r="612" ht="12.75" customHeight="1">
      <c r="A612" s="80"/>
      <c r="B612" s="132" t="s">
        <v>46</v>
      </c>
      <c r="C612" s="140"/>
      <c r="D612" s="134"/>
      <c r="E612" s="57"/>
      <c r="F612" s="135"/>
      <c r="G612" s="70" t="s">
        <v>806</v>
      </c>
      <c r="H612" s="136"/>
      <c r="I612" s="72"/>
      <c r="J612" s="65"/>
      <c r="K612" s="137" t="s">
        <v>806</v>
      </c>
      <c r="L612" s="139" t="s">
        <v>46</v>
      </c>
      <c r="M612" s="37"/>
      <c r="N612" s="65"/>
      <c r="O612" s="137" t="s">
        <v>806</v>
      </c>
      <c r="P612" s="138" t="s">
        <v>186</v>
      </c>
      <c r="Q612" s="37"/>
      <c r="R612" s="65"/>
      <c r="S612" s="137" t="s">
        <v>806</v>
      </c>
      <c r="T612" s="139" t="s">
        <v>46</v>
      </c>
      <c r="U612" s="37"/>
      <c r="V612" s="65"/>
      <c r="W612" s="137" t="s">
        <v>806</v>
      </c>
      <c r="X612" s="139" t="s">
        <v>46</v>
      </c>
      <c r="Y612" s="37"/>
      <c r="Z612" s="65"/>
      <c r="AA612" s="137" t="s">
        <v>806</v>
      </c>
      <c r="AB612" s="138" t="s">
        <v>186</v>
      </c>
      <c r="AC612" s="37"/>
      <c r="AD612" s="65"/>
      <c r="AE612" s="137" t="s">
        <v>806</v>
      </c>
      <c r="AF612" s="139" t="s">
        <v>46</v>
      </c>
      <c r="AG612" s="37"/>
      <c r="AH612" s="65"/>
      <c r="AI612" s="137" t="s">
        <v>806</v>
      </c>
      <c r="AJ612" s="139" t="s">
        <v>46</v>
      </c>
      <c r="AK612" s="37"/>
      <c r="AL612" s="65"/>
      <c r="AM612" s="137" t="s">
        <v>806</v>
      </c>
      <c r="AN612" s="139" t="s">
        <v>46</v>
      </c>
      <c r="AO612" s="37"/>
      <c r="AP612" s="65"/>
      <c r="AQ612" s="137" t="s">
        <v>806</v>
      </c>
      <c r="AR612" s="138" t="s">
        <v>186</v>
      </c>
      <c r="AS612" s="37"/>
      <c r="AT612" s="65"/>
      <c r="AU612" s="137" t="s">
        <v>806</v>
      </c>
      <c r="AV612" s="139" t="s">
        <v>46</v>
      </c>
      <c r="AW612" s="37"/>
      <c r="AX612" s="65"/>
      <c r="AY612" s="137" t="s">
        <v>806</v>
      </c>
      <c r="AZ612" s="139" t="s">
        <v>46</v>
      </c>
      <c r="BA612" s="37"/>
      <c r="BB612" s="65"/>
      <c r="BC612" s="137" t="s">
        <v>806</v>
      </c>
      <c r="BD612" s="138" t="s">
        <v>186</v>
      </c>
      <c r="BE612" s="37"/>
      <c r="BF612" s="65"/>
      <c r="BG612" s="137" t="s">
        <v>806</v>
      </c>
      <c r="BH612" s="138" t="s">
        <v>186</v>
      </c>
      <c r="BI612" s="37"/>
      <c r="BJ612" s="65"/>
      <c r="BK612" s="137" t="s">
        <v>806</v>
      </c>
      <c r="BL612" s="139" t="s">
        <v>46</v>
      </c>
      <c r="BM612" s="37"/>
      <c r="BN612" s="65"/>
      <c r="BO612" s="137" t="s">
        <v>806</v>
      </c>
      <c r="BP612" s="138" t="s">
        <v>186</v>
      </c>
      <c r="BQ612" s="37"/>
      <c r="BR612" s="65"/>
      <c r="BS612" s="137" t="s">
        <v>806</v>
      </c>
      <c r="BT612" s="138" t="s">
        <v>186</v>
      </c>
      <c r="BU612" s="37"/>
    </row>
    <row r="613" ht="12.75" customHeight="1">
      <c r="A613" s="146"/>
      <c r="B613" s="132" t="s">
        <v>63</v>
      </c>
      <c r="C613" s="69"/>
      <c r="D613" s="134"/>
      <c r="E613" s="59"/>
      <c r="F613" s="65"/>
      <c r="G613" s="70" t="s">
        <v>807</v>
      </c>
      <c r="H613" s="95"/>
      <c r="I613" s="37"/>
      <c r="J613" s="65"/>
      <c r="K613" s="137" t="s">
        <v>807</v>
      </c>
      <c r="L613" s="139" t="s">
        <v>63</v>
      </c>
      <c r="M613" s="37"/>
      <c r="N613" s="65"/>
      <c r="O613" s="137" t="s">
        <v>807</v>
      </c>
      <c r="P613" s="138" t="s">
        <v>191</v>
      </c>
      <c r="Q613" s="37"/>
      <c r="R613" s="65"/>
      <c r="S613" s="137" t="s">
        <v>807</v>
      </c>
      <c r="T613" s="139" t="s">
        <v>63</v>
      </c>
      <c r="U613" s="37"/>
      <c r="V613" s="65"/>
      <c r="W613" s="137" t="s">
        <v>807</v>
      </c>
      <c r="X613" s="138" t="s">
        <v>191</v>
      </c>
      <c r="Y613" s="37"/>
      <c r="Z613" s="65"/>
      <c r="AA613" s="137" t="s">
        <v>807</v>
      </c>
      <c r="AB613" s="138" t="s">
        <v>191</v>
      </c>
      <c r="AC613" s="37"/>
      <c r="AD613" s="65"/>
      <c r="AE613" s="137" t="s">
        <v>807</v>
      </c>
      <c r="AF613" s="138" t="s">
        <v>191</v>
      </c>
      <c r="AG613" s="37"/>
      <c r="AH613" s="65"/>
      <c r="AI613" s="137" t="s">
        <v>807</v>
      </c>
      <c r="AJ613" s="138" t="s">
        <v>808</v>
      </c>
      <c r="AK613" s="37"/>
      <c r="AL613" s="65"/>
      <c r="AM613" s="137" t="s">
        <v>807</v>
      </c>
      <c r="AN613" s="138" t="s">
        <v>808</v>
      </c>
      <c r="AO613" s="37"/>
      <c r="AP613" s="65"/>
      <c r="AQ613" s="137" t="s">
        <v>807</v>
      </c>
      <c r="AR613" s="138" t="s">
        <v>808</v>
      </c>
      <c r="AS613" s="37"/>
      <c r="AT613" s="65"/>
      <c r="AU613" s="137" t="s">
        <v>807</v>
      </c>
      <c r="AV613" s="139" t="s">
        <v>63</v>
      </c>
      <c r="AW613" s="37"/>
      <c r="AX613" s="65"/>
      <c r="AY613" s="137" t="s">
        <v>807</v>
      </c>
      <c r="AZ613" s="138" t="s">
        <v>191</v>
      </c>
      <c r="BA613" s="37"/>
      <c r="BB613" s="65"/>
      <c r="BC613" s="137" t="s">
        <v>807</v>
      </c>
      <c r="BD613" s="138" t="s">
        <v>191</v>
      </c>
      <c r="BE613" s="37"/>
      <c r="BF613" s="65"/>
      <c r="BG613" s="137" t="s">
        <v>807</v>
      </c>
      <c r="BH613" s="138" t="s">
        <v>808</v>
      </c>
      <c r="BI613" s="37"/>
      <c r="BJ613" s="65"/>
      <c r="BK613" s="137" t="s">
        <v>807</v>
      </c>
      <c r="BL613" s="138" t="s">
        <v>191</v>
      </c>
      <c r="BM613" s="37"/>
      <c r="BN613" s="65"/>
      <c r="BO613" s="137" t="s">
        <v>807</v>
      </c>
      <c r="BP613" s="138" t="s">
        <v>808</v>
      </c>
      <c r="BQ613" s="37"/>
      <c r="BR613" s="65"/>
      <c r="BS613" s="137" t="s">
        <v>807</v>
      </c>
      <c r="BT613" s="138" t="s">
        <v>191</v>
      </c>
      <c r="BU613" s="37"/>
    </row>
    <row r="614" ht="12.75" customHeight="1">
      <c r="A614" s="80"/>
      <c r="B614" s="132" t="s">
        <v>63</v>
      </c>
      <c r="C614" s="140"/>
      <c r="D614" s="134"/>
      <c r="E614" s="57"/>
      <c r="F614" s="135"/>
      <c r="G614" s="70" t="s">
        <v>809</v>
      </c>
      <c r="H614" s="136"/>
      <c r="I614" s="72"/>
      <c r="J614" s="65"/>
      <c r="K614" s="137" t="s">
        <v>809</v>
      </c>
      <c r="L614" s="139" t="s">
        <v>63</v>
      </c>
      <c r="M614" s="37"/>
      <c r="N614" s="65"/>
      <c r="O614" s="137" t="s">
        <v>809</v>
      </c>
      <c r="P614" s="138" t="s">
        <v>191</v>
      </c>
      <c r="Q614" s="37"/>
      <c r="R614" s="65"/>
      <c r="S614" s="137" t="s">
        <v>809</v>
      </c>
      <c r="T614" s="139" t="s">
        <v>63</v>
      </c>
      <c r="U614" s="37"/>
      <c r="V614" s="65"/>
      <c r="W614" s="137" t="s">
        <v>809</v>
      </c>
      <c r="X614" s="138" t="s">
        <v>191</v>
      </c>
      <c r="Y614" s="37"/>
      <c r="Z614" s="65"/>
      <c r="AA614" s="137" t="s">
        <v>809</v>
      </c>
      <c r="AB614" s="138" t="s">
        <v>191</v>
      </c>
      <c r="AC614" s="37"/>
      <c r="AD614" s="65"/>
      <c r="AE614" s="137" t="s">
        <v>809</v>
      </c>
      <c r="AF614" s="138" t="s">
        <v>191</v>
      </c>
      <c r="AG614" s="37"/>
      <c r="AH614" s="65"/>
      <c r="AI614" s="137" t="s">
        <v>809</v>
      </c>
      <c r="AJ614" s="138" t="s">
        <v>808</v>
      </c>
      <c r="AK614" s="37"/>
      <c r="AL614" s="65"/>
      <c r="AM614" s="137" t="s">
        <v>809</v>
      </c>
      <c r="AN614" s="138" t="s">
        <v>808</v>
      </c>
      <c r="AO614" s="37"/>
      <c r="AP614" s="65"/>
      <c r="AQ614" s="137" t="s">
        <v>809</v>
      </c>
      <c r="AR614" s="138" t="s">
        <v>808</v>
      </c>
      <c r="AS614" s="37"/>
      <c r="AT614" s="65"/>
      <c r="AU614" s="137" t="s">
        <v>809</v>
      </c>
      <c r="AV614" s="139" t="s">
        <v>63</v>
      </c>
      <c r="AW614" s="37"/>
      <c r="AX614" s="65"/>
      <c r="AY614" s="137" t="s">
        <v>809</v>
      </c>
      <c r="AZ614" s="138" t="s">
        <v>191</v>
      </c>
      <c r="BA614" s="37"/>
      <c r="BB614" s="65"/>
      <c r="BC614" s="137" t="s">
        <v>809</v>
      </c>
      <c r="BD614" s="138" t="s">
        <v>191</v>
      </c>
      <c r="BE614" s="37"/>
      <c r="BF614" s="65"/>
      <c r="BG614" s="137" t="s">
        <v>809</v>
      </c>
      <c r="BH614" s="138" t="s">
        <v>808</v>
      </c>
      <c r="BI614" s="37"/>
      <c r="BJ614" s="65"/>
      <c r="BK614" s="137" t="s">
        <v>809</v>
      </c>
      <c r="BL614" s="138" t="s">
        <v>191</v>
      </c>
      <c r="BM614" s="37"/>
      <c r="BN614" s="65"/>
      <c r="BO614" s="137" t="s">
        <v>809</v>
      </c>
      <c r="BP614" s="138" t="s">
        <v>808</v>
      </c>
      <c r="BQ614" s="37"/>
      <c r="BR614" s="65"/>
      <c r="BS614" s="137" t="s">
        <v>809</v>
      </c>
      <c r="BT614" s="138" t="s">
        <v>191</v>
      </c>
      <c r="BU614" s="37"/>
    </row>
    <row r="615" ht="12.75" customHeight="1">
      <c r="A615" s="80"/>
      <c r="B615" s="132" t="s">
        <v>63</v>
      </c>
      <c r="C615" s="140"/>
      <c r="D615" s="134"/>
      <c r="E615" s="57"/>
      <c r="F615" s="135"/>
      <c r="G615" s="70" t="s">
        <v>810</v>
      </c>
      <c r="H615" s="136"/>
      <c r="I615" s="72"/>
      <c r="J615" s="65"/>
      <c r="K615" s="137" t="s">
        <v>810</v>
      </c>
      <c r="L615" s="139" t="s">
        <v>63</v>
      </c>
      <c r="M615" s="37"/>
      <c r="N615" s="65"/>
      <c r="O615" s="137" t="s">
        <v>810</v>
      </c>
      <c r="P615" s="138" t="s">
        <v>46</v>
      </c>
      <c r="Q615" s="37"/>
      <c r="R615" s="65"/>
      <c r="S615" s="137" t="s">
        <v>810</v>
      </c>
      <c r="T615" s="139" t="s">
        <v>63</v>
      </c>
      <c r="U615" s="37"/>
      <c r="V615" s="65"/>
      <c r="W615" s="137" t="s">
        <v>810</v>
      </c>
      <c r="X615" s="138" t="s">
        <v>46</v>
      </c>
      <c r="Y615" s="37"/>
      <c r="Z615" s="65"/>
      <c r="AA615" s="137" t="s">
        <v>810</v>
      </c>
      <c r="AB615" s="138" t="s">
        <v>46</v>
      </c>
      <c r="AC615" s="37"/>
      <c r="AD615" s="65"/>
      <c r="AE615" s="137" t="s">
        <v>810</v>
      </c>
      <c r="AF615" s="138" t="s">
        <v>46</v>
      </c>
      <c r="AG615" s="37"/>
      <c r="AH615" s="65"/>
      <c r="AI615" s="137" t="s">
        <v>810</v>
      </c>
      <c r="AJ615" s="138" t="s">
        <v>46</v>
      </c>
      <c r="AK615" s="37"/>
      <c r="AL615" s="65"/>
      <c r="AM615" s="137" t="s">
        <v>810</v>
      </c>
      <c r="AN615" s="138" t="s">
        <v>46</v>
      </c>
      <c r="AO615" s="37"/>
      <c r="AP615" s="65"/>
      <c r="AQ615" s="137" t="s">
        <v>810</v>
      </c>
      <c r="AR615" s="138" t="s">
        <v>46</v>
      </c>
      <c r="AS615" s="37"/>
      <c r="AT615" s="65"/>
      <c r="AU615" s="137" t="s">
        <v>810</v>
      </c>
      <c r="AV615" s="139" t="s">
        <v>63</v>
      </c>
      <c r="AW615" s="37"/>
      <c r="AX615" s="65"/>
      <c r="AY615" s="137" t="s">
        <v>810</v>
      </c>
      <c r="AZ615" s="138" t="s">
        <v>46</v>
      </c>
      <c r="BA615" s="37"/>
      <c r="BB615" s="65"/>
      <c r="BC615" s="137" t="s">
        <v>810</v>
      </c>
      <c r="BD615" s="138" t="s">
        <v>46</v>
      </c>
      <c r="BE615" s="37"/>
      <c r="BF615" s="65"/>
      <c r="BG615" s="137" t="s">
        <v>810</v>
      </c>
      <c r="BH615" s="138" t="s">
        <v>46</v>
      </c>
      <c r="BI615" s="37"/>
      <c r="BJ615" s="65"/>
      <c r="BK615" s="137" t="s">
        <v>810</v>
      </c>
      <c r="BL615" s="138" t="s">
        <v>46</v>
      </c>
      <c r="BM615" s="37"/>
      <c r="BN615" s="65"/>
      <c r="BO615" s="137" t="s">
        <v>810</v>
      </c>
      <c r="BP615" s="138" t="s">
        <v>46</v>
      </c>
      <c r="BQ615" s="37"/>
      <c r="BR615" s="65"/>
      <c r="BS615" s="137" t="s">
        <v>810</v>
      </c>
      <c r="BT615" s="138" t="s">
        <v>46</v>
      </c>
      <c r="BU615" s="37"/>
    </row>
    <row r="616" ht="12.75" customHeight="1">
      <c r="A616" s="80"/>
      <c r="B616" s="132" t="s">
        <v>63</v>
      </c>
      <c r="C616" s="140"/>
      <c r="D616" s="134"/>
      <c r="E616" s="57"/>
      <c r="F616" s="135"/>
      <c r="G616" s="70" t="s">
        <v>811</v>
      </c>
      <c r="H616" s="136"/>
      <c r="I616" s="72"/>
      <c r="J616" s="65"/>
      <c r="K616" s="137" t="s">
        <v>811</v>
      </c>
      <c r="L616" s="139" t="s">
        <v>63</v>
      </c>
      <c r="M616" s="37"/>
      <c r="N616" s="65"/>
      <c r="O616" s="137" t="s">
        <v>811</v>
      </c>
      <c r="P616" s="139" t="s">
        <v>63</v>
      </c>
      <c r="Q616" s="37"/>
      <c r="R616" s="65"/>
      <c r="S616" s="137" t="s">
        <v>811</v>
      </c>
      <c r="T616" s="139" t="s">
        <v>63</v>
      </c>
      <c r="U616" s="37"/>
      <c r="V616" s="65"/>
      <c r="W616" s="137" t="s">
        <v>811</v>
      </c>
      <c r="X616" s="138" t="s">
        <v>243</v>
      </c>
      <c r="Y616" s="37"/>
      <c r="Z616" s="65"/>
      <c r="AA616" s="137" t="s">
        <v>811</v>
      </c>
      <c r="AB616" s="139" t="s">
        <v>63</v>
      </c>
      <c r="AC616" s="37"/>
      <c r="AD616" s="65"/>
      <c r="AE616" s="137" t="s">
        <v>811</v>
      </c>
      <c r="AF616" s="138" t="s">
        <v>243</v>
      </c>
      <c r="AG616" s="37"/>
      <c r="AH616" s="65"/>
      <c r="AI616" s="137" t="s">
        <v>811</v>
      </c>
      <c r="AJ616" s="139" t="s">
        <v>63</v>
      </c>
      <c r="AK616" s="37"/>
      <c r="AL616" s="65"/>
      <c r="AM616" s="137" t="s">
        <v>811</v>
      </c>
      <c r="AN616" s="139" t="s">
        <v>63</v>
      </c>
      <c r="AO616" s="37"/>
      <c r="AP616" s="65"/>
      <c r="AQ616" s="137" t="s">
        <v>811</v>
      </c>
      <c r="AR616" s="139" t="s">
        <v>63</v>
      </c>
      <c r="AS616" s="37"/>
      <c r="AT616" s="65"/>
      <c r="AU616" s="137" t="s">
        <v>811</v>
      </c>
      <c r="AV616" s="139" t="s">
        <v>63</v>
      </c>
      <c r="AW616" s="37"/>
      <c r="AX616" s="65"/>
      <c r="AY616" s="137" t="s">
        <v>811</v>
      </c>
      <c r="AZ616" s="138" t="s">
        <v>243</v>
      </c>
      <c r="BA616" s="37"/>
      <c r="BB616" s="65"/>
      <c r="BC616" s="137" t="s">
        <v>811</v>
      </c>
      <c r="BD616" s="139" t="s">
        <v>63</v>
      </c>
      <c r="BE616" s="37"/>
      <c r="BF616" s="65"/>
      <c r="BG616" s="137" t="s">
        <v>811</v>
      </c>
      <c r="BH616" s="139" t="s">
        <v>63</v>
      </c>
      <c r="BI616" s="37"/>
      <c r="BJ616" s="65"/>
      <c r="BK616" s="137" t="s">
        <v>811</v>
      </c>
      <c r="BL616" s="138" t="s">
        <v>243</v>
      </c>
      <c r="BM616" s="37"/>
      <c r="BN616" s="65"/>
      <c r="BO616" s="137" t="s">
        <v>811</v>
      </c>
      <c r="BP616" s="139" t="s">
        <v>63</v>
      </c>
      <c r="BQ616" s="37"/>
      <c r="BR616" s="65"/>
      <c r="BS616" s="137" t="s">
        <v>811</v>
      </c>
      <c r="BT616" s="139" t="s">
        <v>63</v>
      </c>
      <c r="BU616" s="37"/>
    </row>
    <row r="617" ht="12.75" customHeight="1">
      <c r="A617" s="93"/>
      <c r="B617" s="94"/>
      <c r="C617" s="94"/>
      <c r="D617" s="134"/>
      <c r="E617" s="57"/>
      <c r="F617" s="135"/>
      <c r="G617" s="70"/>
      <c r="H617" s="136"/>
      <c r="I617" s="72"/>
      <c r="J617" s="65"/>
      <c r="K617" s="137"/>
      <c r="L617" s="132"/>
      <c r="M617" s="37"/>
      <c r="N617" s="65"/>
      <c r="O617" s="137"/>
      <c r="P617" s="132"/>
      <c r="Q617" s="37"/>
      <c r="R617" s="65"/>
      <c r="S617" s="137"/>
      <c r="T617" s="132"/>
      <c r="U617" s="37"/>
      <c r="V617" s="65"/>
      <c r="W617" s="137"/>
      <c r="X617" s="132"/>
      <c r="Y617" s="37"/>
      <c r="Z617" s="65"/>
      <c r="AA617" s="137"/>
      <c r="AB617" s="132"/>
      <c r="AC617" s="37"/>
      <c r="AD617" s="65"/>
      <c r="AE617" s="137"/>
      <c r="AF617" s="132"/>
      <c r="AG617" s="37"/>
      <c r="AH617" s="65"/>
      <c r="AI617" s="137"/>
      <c r="AJ617" s="132"/>
      <c r="AK617" s="37"/>
      <c r="AL617" s="65"/>
      <c r="AM617" s="137"/>
      <c r="AN617" s="132"/>
      <c r="AO617" s="37"/>
      <c r="AP617" s="65"/>
      <c r="AQ617" s="137"/>
      <c r="AR617" s="132"/>
      <c r="AS617" s="37"/>
      <c r="AT617" s="65"/>
      <c r="AU617" s="137"/>
      <c r="AV617" s="132"/>
      <c r="AW617" s="37"/>
      <c r="AX617" s="65"/>
      <c r="AY617" s="137"/>
      <c r="AZ617" s="132"/>
      <c r="BA617" s="37"/>
      <c r="BB617" s="65"/>
      <c r="BC617" s="137"/>
      <c r="BD617" s="132"/>
      <c r="BE617" s="37"/>
      <c r="BF617" s="65"/>
      <c r="BG617" s="137"/>
      <c r="BH617" s="132"/>
      <c r="BI617" s="37"/>
      <c r="BJ617" s="65"/>
      <c r="BK617" s="137"/>
      <c r="BL617" s="132"/>
      <c r="BM617" s="37"/>
      <c r="BN617" s="65"/>
      <c r="BO617" s="137"/>
      <c r="BP617" s="132"/>
      <c r="BQ617" s="37"/>
      <c r="BR617" s="65"/>
      <c r="BS617" s="137"/>
      <c r="BT617" s="132"/>
      <c r="BU617" s="37"/>
    </row>
    <row r="618" ht="12.75" customHeight="1">
      <c r="A618" s="93"/>
      <c r="B618" s="94"/>
      <c r="C618" s="94"/>
      <c r="D618" s="129"/>
      <c r="E618" s="59"/>
      <c r="F618" s="144"/>
      <c r="G618" s="70"/>
      <c r="H618" s="95"/>
      <c r="I618" s="72"/>
      <c r="J618" s="145"/>
      <c r="K618" s="137"/>
      <c r="L618" s="139"/>
      <c r="M618" s="37"/>
      <c r="N618" s="145"/>
      <c r="O618" s="137"/>
      <c r="P618" s="139"/>
      <c r="Q618" s="37"/>
      <c r="R618" s="145"/>
      <c r="S618" s="137"/>
      <c r="T618" s="139"/>
      <c r="U618" s="37"/>
      <c r="V618" s="145"/>
      <c r="W618" s="137"/>
      <c r="X618" s="139"/>
      <c r="Y618" s="37"/>
      <c r="Z618" s="145"/>
      <c r="AA618" s="137"/>
      <c r="AB618" s="139"/>
      <c r="AC618" s="37"/>
      <c r="AD618" s="145"/>
      <c r="AE618" s="137"/>
      <c r="AF618" s="139"/>
      <c r="AG618" s="37"/>
      <c r="AH618" s="145"/>
      <c r="AI618" s="137"/>
      <c r="AJ618" s="139"/>
      <c r="AK618" s="37"/>
      <c r="AL618" s="145"/>
      <c r="AM618" s="137"/>
      <c r="AN618" s="139"/>
      <c r="AO618" s="37"/>
      <c r="AP618" s="145"/>
      <c r="AQ618" s="137"/>
      <c r="AR618" s="139"/>
      <c r="AS618" s="37"/>
      <c r="AT618" s="145"/>
      <c r="AU618" s="137"/>
      <c r="AV618" s="139"/>
      <c r="AW618" s="37"/>
      <c r="AX618" s="145"/>
      <c r="AY618" s="137"/>
      <c r="AZ618" s="139"/>
      <c r="BA618" s="37"/>
      <c r="BB618" s="145"/>
      <c r="BC618" s="137"/>
      <c r="BD618" s="139"/>
      <c r="BE618" s="37"/>
      <c r="BF618" s="145"/>
      <c r="BG618" s="137"/>
      <c r="BH618" s="139"/>
      <c r="BI618" s="37"/>
      <c r="BJ618" s="145"/>
      <c r="BK618" s="137"/>
      <c r="BL618" s="139"/>
      <c r="BM618" s="37"/>
      <c r="BN618" s="145"/>
      <c r="BO618" s="137"/>
      <c r="BP618" s="139"/>
      <c r="BQ618" s="37"/>
      <c r="BR618" s="145"/>
      <c r="BS618" s="137"/>
      <c r="BT618" s="139"/>
      <c r="BU618" s="37"/>
    </row>
    <row r="619" ht="12.75" customHeight="1">
      <c r="A619" s="93"/>
      <c r="B619" s="58"/>
      <c r="C619" s="75"/>
      <c r="D619" s="129"/>
      <c r="E619" s="57"/>
      <c r="F619" s="60" t="s">
        <v>812</v>
      </c>
      <c r="G619" s="36"/>
      <c r="H619" s="127"/>
      <c r="I619" s="72"/>
      <c r="J619" s="60" t="s">
        <v>812</v>
      </c>
      <c r="K619" s="36"/>
      <c r="L619" s="128"/>
      <c r="M619" s="37"/>
      <c r="N619" s="60" t="s">
        <v>812</v>
      </c>
      <c r="O619" s="36"/>
      <c r="P619" s="128"/>
      <c r="Q619" s="37"/>
      <c r="R619" s="60" t="s">
        <v>812</v>
      </c>
      <c r="S619" s="36"/>
      <c r="T619" s="128"/>
      <c r="U619" s="37"/>
      <c r="V619" s="60" t="s">
        <v>812</v>
      </c>
      <c r="W619" s="36"/>
      <c r="X619" s="128"/>
      <c r="Y619" s="37"/>
      <c r="Z619" s="60" t="s">
        <v>812</v>
      </c>
      <c r="AA619" s="36"/>
      <c r="AB619" s="128"/>
      <c r="AC619" s="37"/>
      <c r="AD619" s="60" t="s">
        <v>812</v>
      </c>
      <c r="AE619" s="36"/>
      <c r="AF619" s="128"/>
      <c r="AG619" s="37"/>
      <c r="AH619" s="60" t="s">
        <v>812</v>
      </c>
      <c r="AI619" s="36"/>
      <c r="AJ619" s="128"/>
      <c r="AK619" s="37"/>
      <c r="AL619" s="60" t="s">
        <v>812</v>
      </c>
      <c r="AM619" s="36"/>
      <c r="AN619" s="128"/>
      <c r="AO619" s="37"/>
      <c r="AP619" s="60" t="s">
        <v>812</v>
      </c>
      <c r="AQ619" s="36"/>
      <c r="AR619" s="128"/>
      <c r="AS619" s="37"/>
      <c r="AT619" s="60" t="s">
        <v>812</v>
      </c>
      <c r="AU619" s="36"/>
      <c r="AV619" s="128"/>
      <c r="AW619" s="37"/>
      <c r="AX619" s="60" t="s">
        <v>812</v>
      </c>
      <c r="AY619" s="36"/>
      <c r="AZ619" s="128"/>
      <c r="BA619" s="37"/>
      <c r="BB619" s="60" t="s">
        <v>812</v>
      </c>
      <c r="BC619" s="36"/>
      <c r="BD619" s="128"/>
      <c r="BE619" s="37"/>
      <c r="BF619" s="60" t="s">
        <v>812</v>
      </c>
      <c r="BG619" s="36"/>
      <c r="BH619" s="128"/>
      <c r="BI619" s="37"/>
      <c r="BJ619" s="60" t="s">
        <v>812</v>
      </c>
      <c r="BK619" s="36"/>
      <c r="BL619" s="128"/>
      <c r="BM619" s="37"/>
      <c r="BN619" s="60" t="s">
        <v>812</v>
      </c>
      <c r="BO619" s="36"/>
      <c r="BP619" s="128"/>
      <c r="BQ619" s="37"/>
      <c r="BR619" s="60" t="s">
        <v>812</v>
      </c>
      <c r="BS619" s="36"/>
      <c r="BT619" s="128"/>
      <c r="BU619" s="37"/>
    </row>
    <row r="620" ht="12.75" customHeight="1">
      <c r="A620" s="63" t="s">
        <v>36</v>
      </c>
      <c r="B620" s="64" t="s">
        <v>37</v>
      </c>
      <c r="C620" s="64" t="s">
        <v>38</v>
      </c>
      <c r="D620" s="129"/>
      <c r="E620" s="57"/>
      <c r="F620" s="65"/>
      <c r="G620" s="66" t="s">
        <v>39</v>
      </c>
      <c r="H620" s="67" t="s">
        <v>40</v>
      </c>
      <c r="I620" s="72"/>
      <c r="J620" s="65"/>
      <c r="K620" s="66" t="s">
        <v>39</v>
      </c>
      <c r="L620" s="130" t="s">
        <v>40</v>
      </c>
      <c r="M620" s="92"/>
      <c r="N620" s="65"/>
      <c r="O620" s="66" t="s">
        <v>39</v>
      </c>
      <c r="P620" s="130" t="s">
        <v>40</v>
      </c>
      <c r="Q620" s="92"/>
      <c r="R620" s="65"/>
      <c r="S620" s="66" t="s">
        <v>39</v>
      </c>
      <c r="T620" s="130" t="s">
        <v>40</v>
      </c>
      <c r="U620" s="37"/>
      <c r="V620" s="65"/>
      <c r="W620" s="66" t="s">
        <v>39</v>
      </c>
      <c r="X620" s="130" t="s">
        <v>40</v>
      </c>
      <c r="Y620" s="92"/>
      <c r="Z620" s="65"/>
      <c r="AA620" s="66" t="s">
        <v>39</v>
      </c>
      <c r="AB620" s="130" t="s">
        <v>40</v>
      </c>
      <c r="AC620" s="92"/>
      <c r="AD620" s="65"/>
      <c r="AE620" s="66" t="s">
        <v>39</v>
      </c>
      <c r="AF620" s="130" t="s">
        <v>40</v>
      </c>
      <c r="AG620" s="92"/>
      <c r="AH620" s="65"/>
      <c r="AI620" s="66" t="s">
        <v>39</v>
      </c>
      <c r="AJ620" s="130" t="s">
        <v>40</v>
      </c>
      <c r="AK620" s="92"/>
      <c r="AL620" s="65"/>
      <c r="AM620" s="66" t="s">
        <v>39</v>
      </c>
      <c r="AN620" s="130" t="s">
        <v>40</v>
      </c>
      <c r="AO620" s="92"/>
      <c r="AP620" s="65"/>
      <c r="AQ620" s="66" t="s">
        <v>39</v>
      </c>
      <c r="AR620" s="130" t="s">
        <v>40</v>
      </c>
      <c r="AS620" s="92"/>
      <c r="AT620" s="65"/>
      <c r="AU620" s="66" t="s">
        <v>39</v>
      </c>
      <c r="AV620" s="130" t="s">
        <v>40</v>
      </c>
      <c r="AW620" s="92"/>
      <c r="AX620" s="65"/>
      <c r="AY620" s="66" t="s">
        <v>39</v>
      </c>
      <c r="AZ620" s="130" t="s">
        <v>40</v>
      </c>
      <c r="BA620" s="92"/>
      <c r="BB620" s="65"/>
      <c r="BC620" s="66" t="s">
        <v>39</v>
      </c>
      <c r="BD620" s="130" t="s">
        <v>40</v>
      </c>
      <c r="BE620" s="92"/>
      <c r="BF620" s="65"/>
      <c r="BG620" s="66" t="s">
        <v>39</v>
      </c>
      <c r="BH620" s="130" t="s">
        <v>40</v>
      </c>
      <c r="BI620" s="92"/>
      <c r="BJ620" s="65"/>
      <c r="BK620" s="66" t="s">
        <v>39</v>
      </c>
      <c r="BL620" s="130" t="s">
        <v>40</v>
      </c>
      <c r="BM620" s="92"/>
      <c r="BN620" s="65"/>
      <c r="BO620" s="66" t="s">
        <v>39</v>
      </c>
      <c r="BP620" s="130" t="s">
        <v>40</v>
      </c>
      <c r="BQ620" s="92"/>
      <c r="BR620" s="65"/>
      <c r="BS620" s="66" t="s">
        <v>39</v>
      </c>
      <c r="BT620" s="130" t="s">
        <v>40</v>
      </c>
      <c r="BU620" s="92"/>
    </row>
    <row r="621" ht="12.75" customHeight="1">
      <c r="A621" s="80" t="s">
        <v>813</v>
      </c>
      <c r="B621" s="132" t="s">
        <v>46</v>
      </c>
      <c r="C621" s="140"/>
      <c r="D621" s="134"/>
      <c r="E621" s="59"/>
      <c r="F621" s="135"/>
      <c r="G621" s="70" t="s">
        <v>814</v>
      </c>
      <c r="H621" s="136"/>
      <c r="I621" s="72"/>
      <c r="J621" s="65"/>
      <c r="K621" s="137" t="s">
        <v>814</v>
      </c>
      <c r="L621" s="139" t="s">
        <v>46</v>
      </c>
      <c r="M621" s="37"/>
      <c r="N621" s="65"/>
      <c r="O621" s="137" t="s">
        <v>814</v>
      </c>
      <c r="P621" s="139" t="s">
        <v>46</v>
      </c>
      <c r="Q621" s="37"/>
      <c r="R621" s="65"/>
      <c r="S621" s="137" t="s">
        <v>814</v>
      </c>
      <c r="T621" s="139" t="s">
        <v>46</v>
      </c>
      <c r="U621" s="37"/>
      <c r="V621" s="65"/>
      <c r="W621" s="137" t="s">
        <v>814</v>
      </c>
      <c r="X621" s="139" t="s">
        <v>46</v>
      </c>
      <c r="Y621" s="37"/>
      <c r="Z621" s="65"/>
      <c r="AA621" s="137" t="s">
        <v>814</v>
      </c>
      <c r="AB621" s="139" t="s">
        <v>46</v>
      </c>
      <c r="AC621" s="37"/>
      <c r="AD621" s="65"/>
      <c r="AE621" s="137" t="s">
        <v>814</v>
      </c>
      <c r="AF621" s="139" t="s">
        <v>46</v>
      </c>
      <c r="AG621" s="37"/>
      <c r="AH621" s="65"/>
      <c r="AI621" s="137" t="s">
        <v>814</v>
      </c>
      <c r="AJ621" s="139" t="s">
        <v>46</v>
      </c>
      <c r="AK621" s="37"/>
      <c r="AL621" s="65"/>
      <c r="AM621" s="137" t="s">
        <v>814</v>
      </c>
      <c r="AN621" s="139" t="s">
        <v>46</v>
      </c>
      <c r="AO621" s="37"/>
      <c r="AP621" s="65"/>
      <c r="AQ621" s="137" t="s">
        <v>814</v>
      </c>
      <c r="AR621" s="139" t="s">
        <v>46</v>
      </c>
      <c r="AS621" s="37"/>
      <c r="AT621" s="65"/>
      <c r="AU621" s="137" t="s">
        <v>814</v>
      </c>
      <c r="AV621" s="139" t="s">
        <v>46</v>
      </c>
      <c r="AW621" s="37"/>
      <c r="AX621" s="65"/>
      <c r="AY621" s="137" t="s">
        <v>814</v>
      </c>
      <c r="AZ621" s="139" t="s">
        <v>46</v>
      </c>
      <c r="BA621" s="37"/>
      <c r="BB621" s="65"/>
      <c r="BC621" s="137" t="s">
        <v>814</v>
      </c>
      <c r="BD621" s="139" t="s">
        <v>46</v>
      </c>
      <c r="BE621" s="37"/>
      <c r="BF621" s="65"/>
      <c r="BG621" s="137" t="s">
        <v>814</v>
      </c>
      <c r="BH621" s="139" t="s">
        <v>46</v>
      </c>
      <c r="BI621" s="37"/>
      <c r="BJ621" s="65"/>
      <c r="BK621" s="137" t="s">
        <v>814</v>
      </c>
      <c r="BL621" s="139" t="s">
        <v>46</v>
      </c>
      <c r="BM621" s="37"/>
      <c r="BN621" s="65"/>
      <c r="BO621" s="137" t="s">
        <v>814</v>
      </c>
      <c r="BP621" s="139" t="s">
        <v>46</v>
      </c>
      <c r="BQ621" s="37"/>
      <c r="BR621" s="65"/>
      <c r="BS621" s="137" t="s">
        <v>814</v>
      </c>
      <c r="BT621" s="139" t="s">
        <v>46</v>
      </c>
      <c r="BU621" s="37"/>
    </row>
    <row r="622" ht="12.75" customHeight="1">
      <c r="A622" s="80" t="s">
        <v>815</v>
      </c>
      <c r="B622" s="132" t="s">
        <v>46</v>
      </c>
      <c r="C622" s="140"/>
      <c r="D622" s="134"/>
      <c r="E622" s="59"/>
      <c r="F622" s="135"/>
      <c r="G622" s="70" t="s">
        <v>816</v>
      </c>
      <c r="H622" s="136"/>
      <c r="I622" s="72"/>
      <c r="J622" s="65"/>
      <c r="K622" s="137" t="s">
        <v>816</v>
      </c>
      <c r="L622" s="139" t="s">
        <v>46</v>
      </c>
      <c r="M622" s="37"/>
      <c r="N622" s="65"/>
      <c r="O622" s="137" t="s">
        <v>816</v>
      </c>
      <c r="P622" s="139" t="s">
        <v>46</v>
      </c>
      <c r="Q622" s="37"/>
      <c r="R622" s="65"/>
      <c r="S622" s="137" t="s">
        <v>816</v>
      </c>
      <c r="T622" s="139" t="s">
        <v>46</v>
      </c>
      <c r="U622" s="37"/>
      <c r="V622" s="65"/>
      <c r="W622" s="137" t="s">
        <v>816</v>
      </c>
      <c r="X622" s="139" t="s">
        <v>46</v>
      </c>
      <c r="Y622" s="37"/>
      <c r="Z622" s="65"/>
      <c r="AA622" s="137" t="s">
        <v>816</v>
      </c>
      <c r="AB622" s="139" t="s">
        <v>46</v>
      </c>
      <c r="AC622" s="37"/>
      <c r="AD622" s="65"/>
      <c r="AE622" s="137" t="s">
        <v>816</v>
      </c>
      <c r="AF622" s="139" t="s">
        <v>46</v>
      </c>
      <c r="AG622" s="37"/>
      <c r="AH622" s="65"/>
      <c r="AI622" s="137" t="s">
        <v>816</v>
      </c>
      <c r="AJ622" s="139" t="s">
        <v>46</v>
      </c>
      <c r="AK622" s="37"/>
      <c r="AL622" s="65"/>
      <c r="AM622" s="137" t="s">
        <v>816</v>
      </c>
      <c r="AN622" s="139" t="s">
        <v>46</v>
      </c>
      <c r="AO622" s="37"/>
      <c r="AP622" s="65"/>
      <c r="AQ622" s="137" t="s">
        <v>816</v>
      </c>
      <c r="AR622" s="139" t="s">
        <v>46</v>
      </c>
      <c r="AS622" s="37"/>
      <c r="AT622" s="65"/>
      <c r="AU622" s="137" t="s">
        <v>816</v>
      </c>
      <c r="AV622" s="139" t="s">
        <v>46</v>
      </c>
      <c r="AW622" s="37"/>
      <c r="AX622" s="65"/>
      <c r="AY622" s="137" t="s">
        <v>816</v>
      </c>
      <c r="AZ622" s="139" t="s">
        <v>46</v>
      </c>
      <c r="BA622" s="37"/>
      <c r="BB622" s="65"/>
      <c r="BC622" s="137" t="s">
        <v>816</v>
      </c>
      <c r="BD622" s="139" t="s">
        <v>46</v>
      </c>
      <c r="BE622" s="37"/>
      <c r="BF622" s="65"/>
      <c r="BG622" s="137" t="s">
        <v>816</v>
      </c>
      <c r="BH622" s="139" t="s">
        <v>46</v>
      </c>
      <c r="BI622" s="37"/>
      <c r="BJ622" s="65"/>
      <c r="BK622" s="137" t="s">
        <v>816</v>
      </c>
      <c r="BL622" s="138" t="s">
        <v>184</v>
      </c>
      <c r="BM622" s="37"/>
      <c r="BN622" s="65"/>
      <c r="BO622" s="137" t="s">
        <v>816</v>
      </c>
      <c r="BP622" s="139" t="s">
        <v>46</v>
      </c>
      <c r="BQ622" s="37"/>
      <c r="BR622" s="65"/>
      <c r="BS622" s="137" t="s">
        <v>816</v>
      </c>
      <c r="BT622" s="139" t="s">
        <v>46</v>
      </c>
      <c r="BU622" s="37"/>
    </row>
    <row r="623" ht="12.75" customHeight="1">
      <c r="A623" s="80" t="s">
        <v>817</v>
      </c>
      <c r="B623" s="132" t="s">
        <v>46</v>
      </c>
      <c r="C623" s="140"/>
      <c r="D623" s="134"/>
      <c r="E623" s="59"/>
      <c r="F623" s="135"/>
      <c r="G623" s="70" t="s">
        <v>818</v>
      </c>
      <c r="H623" s="136"/>
      <c r="I623" s="72"/>
      <c r="J623" s="65"/>
      <c r="K623" s="137" t="s">
        <v>818</v>
      </c>
      <c r="L623" s="139" t="s">
        <v>46</v>
      </c>
      <c r="M623" s="37"/>
      <c r="N623" s="65"/>
      <c r="O623" s="137" t="s">
        <v>818</v>
      </c>
      <c r="P623" s="139" t="s">
        <v>46</v>
      </c>
      <c r="Q623" s="37"/>
      <c r="R623" s="65"/>
      <c r="S623" s="137" t="s">
        <v>818</v>
      </c>
      <c r="T623" s="139" t="s">
        <v>46</v>
      </c>
      <c r="U623" s="37"/>
      <c r="V623" s="65"/>
      <c r="W623" s="137" t="s">
        <v>818</v>
      </c>
      <c r="X623" s="139" t="s">
        <v>46</v>
      </c>
      <c r="Y623" s="37"/>
      <c r="Z623" s="65"/>
      <c r="AA623" s="137" t="s">
        <v>818</v>
      </c>
      <c r="AB623" s="139" t="s">
        <v>46</v>
      </c>
      <c r="AC623" s="37"/>
      <c r="AD623" s="65"/>
      <c r="AE623" s="137" t="s">
        <v>818</v>
      </c>
      <c r="AF623" s="139" t="s">
        <v>46</v>
      </c>
      <c r="AG623" s="37"/>
      <c r="AH623" s="65"/>
      <c r="AI623" s="137" t="s">
        <v>818</v>
      </c>
      <c r="AJ623" s="139" t="s">
        <v>46</v>
      </c>
      <c r="AK623" s="37"/>
      <c r="AL623" s="65"/>
      <c r="AM623" s="137" t="s">
        <v>818</v>
      </c>
      <c r="AN623" s="139" t="s">
        <v>46</v>
      </c>
      <c r="AO623" s="37"/>
      <c r="AP623" s="65"/>
      <c r="AQ623" s="137" t="s">
        <v>818</v>
      </c>
      <c r="AR623" s="139" t="s">
        <v>46</v>
      </c>
      <c r="AS623" s="37"/>
      <c r="AT623" s="65"/>
      <c r="AU623" s="137" t="s">
        <v>818</v>
      </c>
      <c r="AV623" s="139" t="s">
        <v>46</v>
      </c>
      <c r="AW623" s="37"/>
      <c r="AX623" s="65"/>
      <c r="AY623" s="137" t="s">
        <v>818</v>
      </c>
      <c r="AZ623" s="139" t="s">
        <v>46</v>
      </c>
      <c r="BA623" s="37"/>
      <c r="BB623" s="65"/>
      <c r="BC623" s="137" t="s">
        <v>818</v>
      </c>
      <c r="BD623" s="139" t="s">
        <v>46</v>
      </c>
      <c r="BE623" s="37"/>
      <c r="BF623" s="65"/>
      <c r="BG623" s="137" t="s">
        <v>818</v>
      </c>
      <c r="BH623" s="139" t="s">
        <v>46</v>
      </c>
      <c r="BI623" s="37"/>
      <c r="BJ623" s="65"/>
      <c r="BK623" s="137" t="s">
        <v>818</v>
      </c>
      <c r="BL623" s="139" t="s">
        <v>46</v>
      </c>
      <c r="BM623" s="37"/>
      <c r="BN623" s="65"/>
      <c r="BO623" s="137" t="s">
        <v>818</v>
      </c>
      <c r="BP623" s="139" t="s">
        <v>46</v>
      </c>
      <c r="BQ623" s="37"/>
      <c r="BR623" s="65"/>
      <c r="BS623" s="137" t="s">
        <v>818</v>
      </c>
      <c r="BT623" s="139" t="s">
        <v>46</v>
      </c>
      <c r="BU623" s="37"/>
    </row>
    <row r="624" ht="12.75" customHeight="1">
      <c r="A624" s="80" t="s">
        <v>819</v>
      </c>
      <c r="B624" s="132" t="s">
        <v>46</v>
      </c>
      <c r="C624" s="140"/>
      <c r="D624" s="134"/>
      <c r="E624" s="59"/>
      <c r="F624" s="135"/>
      <c r="G624" s="70" t="s">
        <v>820</v>
      </c>
      <c r="H624" s="136"/>
      <c r="I624" s="72"/>
      <c r="J624" s="65"/>
      <c r="K624" s="137" t="s">
        <v>820</v>
      </c>
      <c r="L624" s="139" t="s">
        <v>46</v>
      </c>
      <c r="M624" s="37"/>
      <c r="N624" s="65"/>
      <c r="O624" s="137" t="s">
        <v>820</v>
      </c>
      <c r="P624" s="139" t="s">
        <v>46</v>
      </c>
      <c r="Q624" s="37"/>
      <c r="R624" s="65"/>
      <c r="S624" s="137" t="s">
        <v>820</v>
      </c>
      <c r="T624" s="139" t="s">
        <v>46</v>
      </c>
      <c r="U624" s="37"/>
      <c r="V624" s="65"/>
      <c r="W624" s="137" t="s">
        <v>820</v>
      </c>
      <c r="X624" s="139" t="s">
        <v>46</v>
      </c>
      <c r="Y624" s="37"/>
      <c r="Z624" s="65"/>
      <c r="AA624" s="137" t="s">
        <v>820</v>
      </c>
      <c r="AB624" s="139" t="s">
        <v>46</v>
      </c>
      <c r="AC624" s="37"/>
      <c r="AD624" s="65"/>
      <c r="AE624" s="137" t="s">
        <v>820</v>
      </c>
      <c r="AF624" s="139" t="s">
        <v>46</v>
      </c>
      <c r="AG624" s="37"/>
      <c r="AH624" s="65"/>
      <c r="AI624" s="137" t="s">
        <v>820</v>
      </c>
      <c r="AJ624" s="139" t="s">
        <v>46</v>
      </c>
      <c r="AK624" s="37"/>
      <c r="AL624" s="65"/>
      <c r="AM624" s="137" t="s">
        <v>820</v>
      </c>
      <c r="AN624" s="139" t="s">
        <v>46</v>
      </c>
      <c r="AO624" s="37"/>
      <c r="AP624" s="65"/>
      <c r="AQ624" s="137" t="s">
        <v>820</v>
      </c>
      <c r="AR624" s="139" t="s">
        <v>46</v>
      </c>
      <c r="AS624" s="37"/>
      <c r="AT624" s="65"/>
      <c r="AU624" s="137" t="s">
        <v>820</v>
      </c>
      <c r="AV624" s="139" t="s">
        <v>46</v>
      </c>
      <c r="AW624" s="37"/>
      <c r="AX624" s="65"/>
      <c r="AY624" s="137" t="s">
        <v>820</v>
      </c>
      <c r="AZ624" s="139" t="s">
        <v>46</v>
      </c>
      <c r="BA624" s="37"/>
      <c r="BB624" s="65"/>
      <c r="BC624" s="137" t="s">
        <v>820</v>
      </c>
      <c r="BD624" s="139" t="s">
        <v>46</v>
      </c>
      <c r="BE624" s="37"/>
      <c r="BF624" s="65"/>
      <c r="BG624" s="137" t="s">
        <v>820</v>
      </c>
      <c r="BH624" s="139" t="s">
        <v>46</v>
      </c>
      <c r="BI624" s="37"/>
      <c r="BJ624" s="65"/>
      <c r="BK624" s="137" t="s">
        <v>820</v>
      </c>
      <c r="BL624" s="139" t="s">
        <v>46</v>
      </c>
      <c r="BM624" s="37"/>
      <c r="BN624" s="65"/>
      <c r="BO624" s="137" t="s">
        <v>820</v>
      </c>
      <c r="BP624" s="139" t="s">
        <v>46</v>
      </c>
      <c r="BQ624" s="37"/>
      <c r="BR624" s="65"/>
      <c r="BS624" s="137" t="s">
        <v>820</v>
      </c>
      <c r="BT624" s="139" t="s">
        <v>46</v>
      </c>
      <c r="BU624" s="37"/>
    </row>
    <row r="625" ht="12.75" customHeight="1">
      <c r="A625" s="146" t="s">
        <v>821</v>
      </c>
      <c r="B625" s="132" t="s">
        <v>113</v>
      </c>
      <c r="C625" s="140"/>
      <c r="D625" s="134"/>
      <c r="E625" s="59"/>
      <c r="F625" s="135"/>
      <c r="G625" s="70" t="s">
        <v>822</v>
      </c>
      <c r="H625" s="136"/>
      <c r="I625" s="72"/>
      <c r="J625" s="65"/>
      <c r="K625" s="137" t="s">
        <v>822</v>
      </c>
      <c r="L625" s="139" t="s">
        <v>113</v>
      </c>
      <c r="M625" s="37"/>
      <c r="N625" s="65"/>
      <c r="O625" s="137" t="s">
        <v>822</v>
      </c>
      <c r="P625" s="138" t="s">
        <v>338</v>
      </c>
      <c r="Q625" s="37"/>
      <c r="R625" s="65"/>
      <c r="S625" s="137" t="s">
        <v>822</v>
      </c>
      <c r="T625" s="138" t="s">
        <v>338</v>
      </c>
      <c r="U625" s="37"/>
      <c r="V625" s="65"/>
      <c r="W625" s="137" t="s">
        <v>822</v>
      </c>
      <c r="X625" s="138" t="s">
        <v>338</v>
      </c>
      <c r="Y625" s="37"/>
      <c r="Z625" s="65"/>
      <c r="AA625" s="137" t="s">
        <v>822</v>
      </c>
      <c r="AB625" s="138" t="s">
        <v>338</v>
      </c>
      <c r="AC625" s="37"/>
      <c r="AD625" s="65"/>
      <c r="AE625" s="137" t="s">
        <v>822</v>
      </c>
      <c r="AF625" s="138" t="s">
        <v>338</v>
      </c>
      <c r="AG625" s="37"/>
      <c r="AH625" s="65"/>
      <c r="AI625" s="137" t="s">
        <v>822</v>
      </c>
      <c r="AJ625" s="138" t="s">
        <v>147</v>
      </c>
      <c r="AK625" s="37"/>
      <c r="AL625" s="65"/>
      <c r="AM625" s="137" t="s">
        <v>822</v>
      </c>
      <c r="AN625" s="138" t="s">
        <v>147</v>
      </c>
      <c r="AO625" s="37"/>
      <c r="AP625" s="65"/>
      <c r="AQ625" s="137" t="s">
        <v>822</v>
      </c>
      <c r="AR625" s="138" t="s">
        <v>147</v>
      </c>
      <c r="AS625" s="37"/>
      <c r="AT625" s="65"/>
      <c r="AU625" s="137" t="s">
        <v>822</v>
      </c>
      <c r="AV625" s="138" t="s">
        <v>338</v>
      </c>
      <c r="AW625" s="37"/>
      <c r="AX625" s="65"/>
      <c r="AY625" s="137" t="s">
        <v>822</v>
      </c>
      <c r="AZ625" s="138" t="s">
        <v>338</v>
      </c>
      <c r="BA625" s="37"/>
      <c r="BB625" s="65"/>
      <c r="BC625" s="137" t="s">
        <v>822</v>
      </c>
      <c r="BD625" s="138" t="s">
        <v>338</v>
      </c>
      <c r="BE625" s="37"/>
      <c r="BF625" s="65"/>
      <c r="BG625" s="137" t="s">
        <v>822</v>
      </c>
      <c r="BH625" s="138" t="s">
        <v>147</v>
      </c>
      <c r="BI625" s="37"/>
      <c r="BJ625" s="65"/>
      <c r="BK625" s="137" t="s">
        <v>822</v>
      </c>
      <c r="BL625" s="138" t="s">
        <v>181</v>
      </c>
      <c r="BM625" s="37"/>
      <c r="BN625" s="65"/>
      <c r="BO625" s="137" t="s">
        <v>822</v>
      </c>
      <c r="BP625" s="138" t="s">
        <v>147</v>
      </c>
      <c r="BQ625" s="37"/>
      <c r="BR625" s="65"/>
      <c r="BS625" s="137" t="s">
        <v>822</v>
      </c>
      <c r="BT625" s="138" t="s">
        <v>338</v>
      </c>
      <c r="BU625" s="37"/>
    </row>
    <row r="626" ht="12.0" customHeight="1">
      <c r="A626" s="146" t="s">
        <v>823</v>
      </c>
      <c r="B626" s="132" t="s">
        <v>46</v>
      </c>
      <c r="C626" s="140"/>
      <c r="D626" s="134"/>
      <c r="E626" s="59"/>
      <c r="F626" s="135"/>
      <c r="G626" s="70" t="s">
        <v>824</v>
      </c>
      <c r="H626" s="136"/>
      <c r="I626" s="72"/>
      <c r="J626" s="65"/>
      <c r="K626" s="137" t="s">
        <v>824</v>
      </c>
      <c r="L626" s="139" t="s">
        <v>46</v>
      </c>
      <c r="M626" s="37"/>
      <c r="N626" s="65"/>
      <c r="O626" s="137" t="s">
        <v>824</v>
      </c>
      <c r="P626" s="139" t="s">
        <v>46</v>
      </c>
      <c r="Q626" s="37"/>
      <c r="R626" s="65"/>
      <c r="S626" s="137" t="s">
        <v>824</v>
      </c>
      <c r="T626" s="139" t="s">
        <v>46</v>
      </c>
      <c r="U626" s="37"/>
      <c r="V626" s="65"/>
      <c r="W626" s="137" t="s">
        <v>824</v>
      </c>
      <c r="X626" s="139" t="s">
        <v>46</v>
      </c>
      <c r="Y626" s="37"/>
      <c r="Z626" s="65"/>
      <c r="AA626" s="137" t="s">
        <v>824</v>
      </c>
      <c r="AB626" s="139" t="s">
        <v>46</v>
      </c>
      <c r="AC626" s="37"/>
      <c r="AD626" s="65"/>
      <c r="AE626" s="137" t="s">
        <v>824</v>
      </c>
      <c r="AF626" s="139" t="s">
        <v>46</v>
      </c>
      <c r="AG626" s="37"/>
      <c r="AH626" s="65"/>
      <c r="AI626" s="137" t="s">
        <v>824</v>
      </c>
      <c r="AJ626" s="139" t="s">
        <v>46</v>
      </c>
      <c r="AK626" s="37"/>
      <c r="AL626" s="65"/>
      <c r="AM626" s="137" t="s">
        <v>824</v>
      </c>
      <c r="AN626" s="139" t="s">
        <v>46</v>
      </c>
      <c r="AO626" s="37"/>
      <c r="AP626" s="65"/>
      <c r="AQ626" s="137" t="s">
        <v>824</v>
      </c>
      <c r="AR626" s="139" t="s">
        <v>46</v>
      </c>
      <c r="AS626" s="37"/>
      <c r="AT626" s="65"/>
      <c r="AU626" s="137" t="s">
        <v>824</v>
      </c>
      <c r="AV626" s="139" t="s">
        <v>46</v>
      </c>
      <c r="AW626" s="37"/>
      <c r="AX626" s="65"/>
      <c r="AY626" s="137" t="s">
        <v>824</v>
      </c>
      <c r="AZ626" s="139" t="s">
        <v>46</v>
      </c>
      <c r="BA626" s="37"/>
      <c r="BB626" s="65"/>
      <c r="BC626" s="137" t="s">
        <v>824</v>
      </c>
      <c r="BD626" s="139" t="s">
        <v>46</v>
      </c>
      <c r="BE626" s="37"/>
      <c r="BF626" s="65"/>
      <c r="BG626" s="137" t="s">
        <v>824</v>
      </c>
      <c r="BH626" s="139" t="s">
        <v>46</v>
      </c>
      <c r="BI626" s="37"/>
      <c r="BJ626" s="65"/>
      <c r="BK626" s="137" t="s">
        <v>824</v>
      </c>
      <c r="BL626" s="139" t="s">
        <v>46</v>
      </c>
      <c r="BM626" s="37"/>
      <c r="BN626" s="65"/>
      <c r="BO626" s="137" t="s">
        <v>824</v>
      </c>
      <c r="BP626" s="139" t="s">
        <v>46</v>
      </c>
      <c r="BQ626" s="37"/>
      <c r="BR626" s="65"/>
      <c r="BS626" s="137" t="s">
        <v>824</v>
      </c>
      <c r="BT626" s="139" t="s">
        <v>46</v>
      </c>
      <c r="BU626" s="37"/>
    </row>
    <row r="627" ht="12.75" customHeight="1">
      <c r="A627" s="146" t="s">
        <v>825</v>
      </c>
      <c r="B627" s="132" t="s">
        <v>42</v>
      </c>
      <c r="C627" s="140"/>
      <c r="D627" s="134"/>
      <c r="E627" s="59"/>
      <c r="F627" s="135"/>
      <c r="G627" s="70" t="s">
        <v>826</v>
      </c>
      <c r="H627" s="136"/>
      <c r="I627" s="72"/>
      <c r="J627" s="65"/>
      <c r="K627" s="137" t="s">
        <v>826</v>
      </c>
      <c r="L627" s="139" t="s">
        <v>42</v>
      </c>
      <c r="M627" s="37"/>
      <c r="N627" s="65"/>
      <c r="O627" s="137" t="s">
        <v>826</v>
      </c>
      <c r="P627" s="138" t="s">
        <v>172</v>
      </c>
      <c r="Q627" s="37"/>
      <c r="R627" s="65"/>
      <c r="S627" s="137" t="s">
        <v>826</v>
      </c>
      <c r="T627" s="138" t="s">
        <v>172</v>
      </c>
      <c r="U627" s="37"/>
      <c r="V627" s="65"/>
      <c r="W627" s="137" t="s">
        <v>826</v>
      </c>
      <c r="X627" s="138" t="s">
        <v>172</v>
      </c>
      <c r="Y627" s="37"/>
      <c r="Z627" s="65"/>
      <c r="AA627" s="137" t="s">
        <v>826</v>
      </c>
      <c r="AB627" s="138" t="s">
        <v>172</v>
      </c>
      <c r="AC627" s="37"/>
      <c r="AD627" s="65"/>
      <c r="AE627" s="137" t="s">
        <v>826</v>
      </c>
      <c r="AF627" s="138" t="s">
        <v>206</v>
      </c>
      <c r="AG627" s="37"/>
      <c r="AH627" s="65"/>
      <c r="AI627" s="137" t="s">
        <v>826</v>
      </c>
      <c r="AJ627" s="138" t="s">
        <v>186</v>
      </c>
      <c r="AK627" s="37"/>
      <c r="AL627" s="65"/>
      <c r="AM627" s="137" t="s">
        <v>826</v>
      </c>
      <c r="AN627" s="138" t="s">
        <v>186</v>
      </c>
      <c r="AO627" s="37"/>
      <c r="AP627" s="65"/>
      <c r="AQ627" s="137" t="s">
        <v>826</v>
      </c>
      <c r="AR627" s="138" t="s">
        <v>132</v>
      </c>
      <c r="AS627" s="37"/>
      <c r="AT627" s="65"/>
      <c r="AU627" s="137" t="s">
        <v>826</v>
      </c>
      <c r="AV627" s="138" t="s">
        <v>172</v>
      </c>
      <c r="AW627" s="37"/>
      <c r="AX627" s="65"/>
      <c r="AY627" s="137" t="s">
        <v>826</v>
      </c>
      <c r="AZ627" s="138" t="s">
        <v>206</v>
      </c>
      <c r="BA627" s="37"/>
      <c r="BB627" s="65"/>
      <c r="BC627" s="137" t="s">
        <v>826</v>
      </c>
      <c r="BD627" s="138" t="s">
        <v>206</v>
      </c>
      <c r="BE627" s="37"/>
      <c r="BF627" s="65"/>
      <c r="BG627" s="137" t="s">
        <v>826</v>
      </c>
      <c r="BH627" s="138" t="s">
        <v>186</v>
      </c>
      <c r="BI627" s="37"/>
      <c r="BJ627" s="65"/>
      <c r="BK627" s="137" t="s">
        <v>826</v>
      </c>
      <c r="BL627" s="138" t="s">
        <v>147</v>
      </c>
      <c r="BM627" s="37"/>
      <c r="BN627" s="65"/>
      <c r="BO627" s="137" t="s">
        <v>826</v>
      </c>
      <c r="BP627" s="138" t="s">
        <v>186</v>
      </c>
      <c r="BQ627" s="37"/>
      <c r="BR627" s="65"/>
      <c r="BS627" s="137" t="s">
        <v>826</v>
      </c>
      <c r="BT627" s="138" t="s">
        <v>172</v>
      </c>
      <c r="BU627" s="37"/>
    </row>
    <row r="628" ht="12.75" customHeight="1">
      <c r="A628" s="146" t="s">
        <v>827</v>
      </c>
      <c r="B628" s="132" t="s">
        <v>46</v>
      </c>
      <c r="C628" s="140"/>
      <c r="D628" s="134"/>
      <c r="E628" s="59"/>
      <c r="F628" s="135"/>
      <c r="G628" s="70" t="s">
        <v>828</v>
      </c>
      <c r="H628" s="136"/>
      <c r="I628" s="72"/>
      <c r="J628" s="65"/>
      <c r="K628" s="137" t="s">
        <v>828</v>
      </c>
      <c r="L628" s="139" t="s">
        <v>46</v>
      </c>
      <c r="M628" s="37"/>
      <c r="N628" s="65"/>
      <c r="O628" s="137" t="s">
        <v>828</v>
      </c>
      <c r="P628" s="139" t="s">
        <v>46</v>
      </c>
      <c r="Q628" s="37"/>
      <c r="R628" s="65"/>
      <c r="S628" s="137" t="s">
        <v>828</v>
      </c>
      <c r="T628" s="139" t="s">
        <v>46</v>
      </c>
      <c r="U628" s="37"/>
      <c r="V628" s="65"/>
      <c r="W628" s="137" t="s">
        <v>828</v>
      </c>
      <c r="X628" s="139" t="s">
        <v>46</v>
      </c>
      <c r="Y628" s="37"/>
      <c r="Z628" s="65"/>
      <c r="AA628" s="137" t="s">
        <v>828</v>
      </c>
      <c r="AB628" s="139" t="s">
        <v>46</v>
      </c>
      <c r="AC628" s="37"/>
      <c r="AD628" s="65"/>
      <c r="AE628" s="137" t="s">
        <v>828</v>
      </c>
      <c r="AF628" s="139" t="s">
        <v>46</v>
      </c>
      <c r="AG628" s="37"/>
      <c r="AH628" s="65"/>
      <c r="AI628" s="137" t="s">
        <v>828</v>
      </c>
      <c r="AJ628" s="138" t="s">
        <v>184</v>
      </c>
      <c r="AK628" s="37"/>
      <c r="AL628" s="65"/>
      <c r="AM628" s="137" t="s">
        <v>828</v>
      </c>
      <c r="AN628" s="138" t="s">
        <v>184</v>
      </c>
      <c r="AO628" s="37"/>
      <c r="AP628" s="65"/>
      <c r="AQ628" s="137" t="s">
        <v>828</v>
      </c>
      <c r="AR628" s="139" t="s">
        <v>46</v>
      </c>
      <c r="AS628" s="37"/>
      <c r="AT628" s="65"/>
      <c r="AU628" s="137" t="s">
        <v>828</v>
      </c>
      <c r="AV628" s="139" t="s">
        <v>46</v>
      </c>
      <c r="AW628" s="37"/>
      <c r="AX628" s="65"/>
      <c r="AY628" s="137" t="s">
        <v>828</v>
      </c>
      <c r="AZ628" s="139" t="s">
        <v>46</v>
      </c>
      <c r="BA628" s="37"/>
      <c r="BB628" s="65"/>
      <c r="BC628" s="137" t="s">
        <v>828</v>
      </c>
      <c r="BD628" s="139" t="s">
        <v>46</v>
      </c>
      <c r="BE628" s="37"/>
      <c r="BF628" s="65"/>
      <c r="BG628" s="137" t="s">
        <v>828</v>
      </c>
      <c r="BH628" s="138" t="s">
        <v>184</v>
      </c>
      <c r="BI628" s="37"/>
      <c r="BJ628" s="65"/>
      <c r="BK628" s="137" t="s">
        <v>828</v>
      </c>
      <c r="BL628" s="138" t="s">
        <v>829</v>
      </c>
      <c r="BM628" s="37"/>
      <c r="BN628" s="65"/>
      <c r="BO628" s="137" t="s">
        <v>828</v>
      </c>
      <c r="BP628" s="138" t="s">
        <v>184</v>
      </c>
      <c r="BQ628" s="37"/>
      <c r="BR628" s="65"/>
      <c r="BS628" s="137" t="s">
        <v>828</v>
      </c>
      <c r="BT628" s="139" t="s">
        <v>46</v>
      </c>
      <c r="BU628" s="37"/>
    </row>
    <row r="629" ht="12.75" customHeight="1">
      <c r="A629" s="93"/>
      <c r="B629" s="94"/>
      <c r="C629" s="94"/>
      <c r="D629" s="141"/>
      <c r="E629" s="59"/>
      <c r="F629" s="142"/>
      <c r="G629" s="70"/>
      <c r="H629" s="95"/>
      <c r="I629" s="72"/>
      <c r="J629" s="143"/>
      <c r="K629" s="137"/>
      <c r="L629" s="139"/>
      <c r="M629" s="37"/>
      <c r="N629" s="143"/>
      <c r="O629" s="137"/>
      <c r="P629" s="139"/>
      <c r="Q629" s="37"/>
      <c r="R629" s="143"/>
      <c r="S629" s="137"/>
      <c r="T629" s="139"/>
      <c r="U629" s="37"/>
      <c r="V629" s="143"/>
      <c r="W629" s="137"/>
      <c r="X629" s="139"/>
      <c r="Y629" s="37"/>
      <c r="Z629" s="143"/>
      <c r="AA629" s="137"/>
      <c r="AB629" s="139"/>
      <c r="AC629" s="37"/>
      <c r="AD629" s="143"/>
      <c r="AE629" s="137"/>
      <c r="AF629" s="139"/>
      <c r="AG629" s="37"/>
      <c r="AH629" s="143"/>
      <c r="AI629" s="137"/>
      <c r="AJ629" s="139"/>
      <c r="AK629" s="37"/>
      <c r="AL629" s="143"/>
      <c r="AM629" s="137"/>
      <c r="AN629" s="139"/>
      <c r="AO629" s="37"/>
      <c r="AP629" s="143"/>
      <c r="AQ629" s="137"/>
      <c r="AR629" s="139"/>
      <c r="AS629" s="37"/>
      <c r="AT629" s="143"/>
      <c r="AU629" s="137"/>
      <c r="AV629" s="139"/>
      <c r="AW629" s="37"/>
      <c r="AX629" s="143"/>
      <c r="AY629" s="137"/>
      <c r="AZ629" s="139"/>
      <c r="BA629" s="37"/>
      <c r="BB629" s="143"/>
      <c r="BC629" s="137"/>
      <c r="BD629" s="139"/>
      <c r="BE629" s="37"/>
      <c r="BF629" s="143"/>
      <c r="BG629" s="137"/>
      <c r="BH629" s="139"/>
      <c r="BI629" s="37"/>
      <c r="BJ629" s="143"/>
      <c r="BK629" s="137"/>
      <c r="BL629" s="139"/>
      <c r="BM629" s="37"/>
      <c r="BN629" s="143"/>
      <c r="BO629" s="137"/>
      <c r="BP629" s="139"/>
      <c r="BQ629" s="37"/>
      <c r="BR629" s="143"/>
      <c r="BS629" s="137"/>
      <c r="BT629" s="139"/>
      <c r="BU629" s="37"/>
    </row>
    <row r="630" ht="12.75" customHeight="1">
      <c r="A630" s="93"/>
      <c r="B630" s="94"/>
      <c r="C630" s="94"/>
      <c r="D630" s="129"/>
      <c r="E630" s="59"/>
      <c r="F630" s="144"/>
      <c r="G630" s="70"/>
      <c r="H630" s="95"/>
      <c r="I630" s="72"/>
      <c r="J630" s="145"/>
      <c r="K630" s="137"/>
      <c r="L630" s="139"/>
      <c r="M630" s="37"/>
      <c r="N630" s="145"/>
      <c r="O630" s="137"/>
      <c r="P630" s="139"/>
      <c r="Q630" s="37"/>
      <c r="R630" s="145"/>
      <c r="S630" s="137"/>
      <c r="T630" s="139"/>
      <c r="U630" s="37"/>
      <c r="V630" s="145"/>
      <c r="W630" s="137"/>
      <c r="X630" s="139"/>
      <c r="Y630" s="37"/>
      <c r="Z630" s="145"/>
      <c r="AA630" s="137"/>
      <c r="AB630" s="139"/>
      <c r="AC630" s="37"/>
      <c r="AD630" s="145"/>
      <c r="AE630" s="137"/>
      <c r="AF630" s="139"/>
      <c r="AG630" s="37"/>
      <c r="AH630" s="145"/>
      <c r="AI630" s="137"/>
      <c r="AJ630" s="139"/>
      <c r="AK630" s="37"/>
      <c r="AL630" s="145"/>
      <c r="AM630" s="137"/>
      <c r="AN630" s="139"/>
      <c r="AO630" s="37"/>
      <c r="AP630" s="145"/>
      <c r="AQ630" s="137"/>
      <c r="AR630" s="139"/>
      <c r="AS630" s="37"/>
      <c r="AT630" s="145"/>
      <c r="AU630" s="137"/>
      <c r="AV630" s="139"/>
      <c r="AW630" s="37"/>
      <c r="AX630" s="145"/>
      <c r="AY630" s="137"/>
      <c r="AZ630" s="139"/>
      <c r="BA630" s="37"/>
      <c r="BB630" s="145"/>
      <c r="BC630" s="137"/>
      <c r="BD630" s="139"/>
      <c r="BE630" s="37"/>
      <c r="BF630" s="145"/>
      <c r="BG630" s="137"/>
      <c r="BH630" s="139"/>
      <c r="BI630" s="37"/>
      <c r="BJ630" s="145"/>
      <c r="BK630" s="137"/>
      <c r="BL630" s="139"/>
      <c r="BM630" s="37"/>
      <c r="BN630" s="145"/>
      <c r="BO630" s="137"/>
      <c r="BP630" s="139"/>
      <c r="BQ630" s="37"/>
      <c r="BR630" s="145"/>
      <c r="BS630" s="137"/>
      <c r="BT630" s="139"/>
      <c r="BU630" s="37"/>
    </row>
    <row r="631" ht="12.75" customHeight="1">
      <c r="A631" s="93"/>
      <c r="B631" s="58"/>
      <c r="C631" s="75"/>
      <c r="D631" s="129"/>
      <c r="E631" s="57"/>
      <c r="F631" s="60" t="s">
        <v>830</v>
      </c>
      <c r="G631" s="36"/>
      <c r="H631" s="127"/>
      <c r="I631" s="72"/>
      <c r="J631" s="60" t="s">
        <v>830</v>
      </c>
      <c r="K631" s="36"/>
      <c r="L631" s="128"/>
      <c r="M631" s="37"/>
      <c r="N631" s="60" t="s">
        <v>830</v>
      </c>
      <c r="O631" s="36"/>
      <c r="P631" s="128"/>
      <c r="Q631" s="37"/>
      <c r="R631" s="60" t="s">
        <v>830</v>
      </c>
      <c r="S631" s="36"/>
      <c r="T631" s="128"/>
      <c r="U631" s="37"/>
      <c r="V631" s="60" t="s">
        <v>830</v>
      </c>
      <c r="W631" s="36"/>
      <c r="X631" s="128"/>
      <c r="Y631" s="37"/>
      <c r="Z631" s="60" t="s">
        <v>830</v>
      </c>
      <c r="AA631" s="36"/>
      <c r="AB631" s="128"/>
      <c r="AC631" s="37"/>
      <c r="AD631" s="60" t="s">
        <v>830</v>
      </c>
      <c r="AE631" s="36"/>
      <c r="AF631" s="128"/>
      <c r="AG631" s="37"/>
      <c r="AH631" s="60" t="s">
        <v>830</v>
      </c>
      <c r="AI631" s="36"/>
      <c r="AJ631" s="128"/>
      <c r="AK631" s="37"/>
      <c r="AL631" s="60" t="s">
        <v>830</v>
      </c>
      <c r="AM631" s="36"/>
      <c r="AN631" s="128"/>
      <c r="AO631" s="37"/>
      <c r="AP631" s="60" t="s">
        <v>830</v>
      </c>
      <c r="AQ631" s="36"/>
      <c r="AR631" s="128"/>
      <c r="AS631" s="37"/>
      <c r="AT631" s="60" t="s">
        <v>830</v>
      </c>
      <c r="AU631" s="36"/>
      <c r="AV631" s="128"/>
      <c r="AW631" s="37"/>
      <c r="AX631" s="60" t="s">
        <v>830</v>
      </c>
      <c r="AY631" s="36"/>
      <c r="AZ631" s="128"/>
      <c r="BA631" s="37"/>
      <c r="BB631" s="60" t="s">
        <v>830</v>
      </c>
      <c r="BC631" s="36"/>
      <c r="BD631" s="128"/>
      <c r="BE631" s="37"/>
      <c r="BF631" s="60" t="s">
        <v>830</v>
      </c>
      <c r="BG631" s="36"/>
      <c r="BH631" s="128"/>
      <c r="BI631" s="37"/>
      <c r="BJ631" s="60" t="s">
        <v>830</v>
      </c>
      <c r="BK631" s="36"/>
      <c r="BL631" s="128"/>
      <c r="BM631" s="37"/>
      <c r="BN631" s="60" t="s">
        <v>830</v>
      </c>
      <c r="BO631" s="36"/>
      <c r="BP631" s="128"/>
      <c r="BQ631" s="37"/>
      <c r="BR631" s="60" t="s">
        <v>830</v>
      </c>
      <c r="BS631" s="36"/>
      <c r="BT631" s="128"/>
      <c r="BU631" s="37"/>
    </row>
    <row r="632" ht="12.75" customHeight="1">
      <c r="A632" s="63" t="s">
        <v>36</v>
      </c>
      <c r="B632" s="64" t="s">
        <v>37</v>
      </c>
      <c r="C632" s="64" t="s">
        <v>38</v>
      </c>
      <c r="D632" s="129"/>
      <c r="E632" s="57"/>
      <c r="F632" s="65"/>
      <c r="G632" s="66" t="s">
        <v>39</v>
      </c>
      <c r="H632" s="67" t="s">
        <v>40</v>
      </c>
      <c r="I632" s="72"/>
      <c r="J632" s="65"/>
      <c r="K632" s="66" t="s">
        <v>39</v>
      </c>
      <c r="L632" s="130" t="s">
        <v>40</v>
      </c>
      <c r="M632" s="92"/>
      <c r="N632" s="65"/>
      <c r="O632" s="66" t="s">
        <v>39</v>
      </c>
      <c r="P632" s="130" t="s">
        <v>40</v>
      </c>
      <c r="Q632" s="92"/>
      <c r="R632" s="65"/>
      <c r="S632" s="66" t="s">
        <v>39</v>
      </c>
      <c r="T632" s="130" t="s">
        <v>40</v>
      </c>
      <c r="U632" s="37"/>
      <c r="V632" s="65"/>
      <c r="W632" s="66" t="s">
        <v>39</v>
      </c>
      <c r="X632" s="130" t="s">
        <v>40</v>
      </c>
      <c r="Y632" s="92"/>
      <c r="Z632" s="65"/>
      <c r="AA632" s="66" t="s">
        <v>39</v>
      </c>
      <c r="AB632" s="130" t="s">
        <v>40</v>
      </c>
      <c r="AC632" s="92"/>
      <c r="AD632" s="65"/>
      <c r="AE632" s="66" t="s">
        <v>39</v>
      </c>
      <c r="AF632" s="130" t="s">
        <v>40</v>
      </c>
      <c r="AG632" s="92"/>
      <c r="AH632" s="65"/>
      <c r="AI632" s="66" t="s">
        <v>39</v>
      </c>
      <c r="AJ632" s="130" t="s">
        <v>40</v>
      </c>
      <c r="AK632" s="92"/>
      <c r="AL632" s="65"/>
      <c r="AM632" s="66" t="s">
        <v>39</v>
      </c>
      <c r="AN632" s="130" t="s">
        <v>40</v>
      </c>
      <c r="AO632" s="92"/>
      <c r="AP632" s="65"/>
      <c r="AQ632" s="66" t="s">
        <v>39</v>
      </c>
      <c r="AR632" s="130" t="s">
        <v>40</v>
      </c>
      <c r="AS632" s="92"/>
      <c r="AT632" s="65"/>
      <c r="AU632" s="66" t="s">
        <v>39</v>
      </c>
      <c r="AV632" s="130" t="s">
        <v>40</v>
      </c>
      <c r="AW632" s="92"/>
      <c r="AX632" s="65"/>
      <c r="AY632" s="66" t="s">
        <v>39</v>
      </c>
      <c r="AZ632" s="130" t="s">
        <v>40</v>
      </c>
      <c r="BA632" s="92"/>
      <c r="BB632" s="65"/>
      <c r="BC632" s="66" t="s">
        <v>39</v>
      </c>
      <c r="BD632" s="130" t="s">
        <v>40</v>
      </c>
      <c r="BE632" s="92"/>
      <c r="BF632" s="65"/>
      <c r="BG632" s="66" t="s">
        <v>39</v>
      </c>
      <c r="BH632" s="130" t="s">
        <v>40</v>
      </c>
      <c r="BI632" s="92"/>
      <c r="BJ632" s="65"/>
      <c r="BK632" s="66" t="s">
        <v>39</v>
      </c>
      <c r="BL632" s="130" t="s">
        <v>40</v>
      </c>
      <c r="BM632" s="92"/>
      <c r="BN632" s="65"/>
      <c r="BO632" s="66" t="s">
        <v>39</v>
      </c>
      <c r="BP632" s="130" t="s">
        <v>40</v>
      </c>
      <c r="BQ632" s="92"/>
      <c r="BR632" s="65"/>
      <c r="BS632" s="66" t="s">
        <v>39</v>
      </c>
      <c r="BT632" s="130" t="s">
        <v>40</v>
      </c>
      <c r="BU632" s="92"/>
    </row>
    <row r="633" ht="12.75" customHeight="1">
      <c r="A633" s="146" t="s">
        <v>831</v>
      </c>
      <c r="B633" s="132" t="s">
        <v>113</v>
      </c>
      <c r="C633" s="140"/>
      <c r="D633" s="134"/>
      <c r="E633" s="59"/>
      <c r="F633" s="135"/>
      <c r="G633" s="70" t="s">
        <v>832</v>
      </c>
      <c r="H633" s="136"/>
      <c r="I633" s="72"/>
      <c r="J633" s="65"/>
      <c r="K633" s="137" t="s">
        <v>832</v>
      </c>
      <c r="L633" s="139" t="s">
        <v>113</v>
      </c>
      <c r="M633" s="37"/>
      <c r="N633" s="65"/>
      <c r="O633" s="137" t="s">
        <v>832</v>
      </c>
      <c r="P633" s="138" t="s">
        <v>338</v>
      </c>
      <c r="Q633" s="37"/>
      <c r="R633" s="65"/>
      <c r="S633" s="137" t="s">
        <v>832</v>
      </c>
      <c r="T633" s="138" t="s">
        <v>338</v>
      </c>
      <c r="U633" s="37"/>
      <c r="V633" s="65"/>
      <c r="W633" s="137" t="s">
        <v>832</v>
      </c>
      <c r="X633" s="138" t="s">
        <v>338</v>
      </c>
      <c r="Y633" s="37"/>
      <c r="Z633" s="65"/>
      <c r="AA633" s="137" t="s">
        <v>832</v>
      </c>
      <c r="AB633" s="138" t="s">
        <v>338</v>
      </c>
      <c r="AC633" s="37"/>
      <c r="AD633" s="65"/>
      <c r="AE633" s="137" t="s">
        <v>832</v>
      </c>
      <c r="AF633" s="138" t="s">
        <v>338</v>
      </c>
      <c r="AG633" s="37"/>
      <c r="AH633" s="65"/>
      <c r="AI633" s="137" t="s">
        <v>832</v>
      </c>
      <c r="AJ633" s="138" t="s">
        <v>147</v>
      </c>
      <c r="AK633" s="37"/>
      <c r="AL633" s="65"/>
      <c r="AM633" s="137" t="s">
        <v>832</v>
      </c>
      <c r="AN633" s="138" t="s">
        <v>147</v>
      </c>
      <c r="AO633" s="37"/>
      <c r="AP633" s="65"/>
      <c r="AQ633" s="137" t="s">
        <v>832</v>
      </c>
      <c r="AR633" s="138" t="s">
        <v>147</v>
      </c>
      <c r="AS633" s="37"/>
      <c r="AT633" s="65"/>
      <c r="AU633" s="137" t="s">
        <v>832</v>
      </c>
      <c r="AV633" s="138" t="s">
        <v>338</v>
      </c>
      <c r="AW633" s="37"/>
      <c r="AX633" s="65"/>
      <c r="AY633" s="137" t="s">
        <v>832</v>
      </c>
      <c r="AZ633" s="138" t="s">
        <v>338</v>
      </c>
      <c r="BA633" s="37"/>
      <c r="BB633" s="65"/>
      <c r="BC633" s="137" t="s">
        <v>832</v>
      </c>
      <c r="BD633" s="138" t="s">
        <v>338</v>
      </c>
      <c r="BE633" s="37"/>
      <c r="BF633" s="65"/>
      <c r="BG633" s="137" t="s">
        <v>832</v>
      </c>
      <c r="BH633" s="138" t="s">
        <v>147</v>
      </c>
      <c r="BI633" s="37"/>
      <c r="BJ633" s="65"/>
      <c r="BK633" s="137" t="s">
        <v>832</v>
      </c>
      <c r="BL633" s="138" t="s">
        <v>181</v>
      </c>
      <c r="BM633" s="37"/>
      <c r="BN633" s="65"/>
      <c r="BO633" s="137" t="s">
        <v>832</v>
      </c>
      <c r="BP633" s="138" t="s">
        <v>147</v>
      </c>
      <c r="BQ633" s="37"/>
      <c r="BR633" s="65"/>
      <c r="BS633" s="137" t="s">
        <v>832</v>
      </c>
      <c r="BT633" s="138" t="s">
        <v>338</v>
      </c>
      <c r="BU633" s="37"/>
    </row>
    <row r="634" ht="12.75" customHeight="1">
      <c r="A634" s="146" t="s">
        <v>833</v>
      </c>
      <c r="B634" s="132" t="s">
        <v>46</v>
      </c>
      <c r="C634" s="140"/>
      <c r="D634" s="134"/>
      <c r="E634" s="59"/>
      <c r="F634" s="135"/>
      <c r="G634" s="70" t="s">
        <v>834</v>
      </c>
      <c r="H634" s="136"/>
      <c r="I634" s="72"/>
      <c r="J634" s="65"/>
      <c r="K634" s="137" t="s">
        <v>834</v>
      </c>
      <c r="L634" s="139" t="s">
        <v>46</v>
      </c>
      <c r="M634" s="37"/>
      <c r="N634" s="65"/>
      <c r="O634" s="137" t="s">
        <v>834</v>
      </c>
      <c r="P634" s="139" t="s">
        <v>46</v>
      </c>
      <c r="Q634" s="37"/>
      <c r="R634" s="65"/>
      <c r="S634" s="137" t="s">
        <v>834</v>
      </c>
      <c r="T634" s="139" t="s">
        <v>46</v>
      </c>
      <c r="U634" s="37"/>
      <c r="V634" s="65"/>
      <c r="W634" s="137" t="s">
        <v>834</v>
      </c>
      <c r="X634" s="139" t="s">
        <v>46</v>
      </c>
      <c r="Y634" s="37"/>
      <c r="Z634" s="65"/>
      <c r="AA634" s="137" t="s">
        <v>834</v>
      </c>
      <c r="AB634" s="139" t="s">
        <v>46</v>
      </c>
      <c r="AC634" s="37"/>
      <c r="AD634" s="65"/>
      <c r="AE634" s="137" t="s">
        <v>834</v>
      </c>
      <c r="AF634" s="139" t="s">
        <v>46</v>
      </c>
      <c r="AG634" s="37"/>
      <c r="AH634" s="65"/>
      <c r="AI634" s="137" t="s">
        <v>834</v>
      </c>
      <c r="AJ634" s="139" t="s">
        <v>46</v>
      </c>
      <c r="AK634" s="37"/>
      <c r="AL634" s="65"/>
      <c r="AM634" s="137" t="s">
        <v>834</v>
      </c>
      <c r="AN634" s="139" t="s">
        <v>46</v>
      </c>
      <c r="AO634" s="37"/>
      <c r="AP634" s="65"/>
      <c r="AQ634" s="137" t="s">
        <v>834</v>
      </c>
      <c r="AR634" s="139" t="s">
        <v>46</v>
      </c>
      <c r="AS634" s="37"/>
      <c r="AT634" s="65"/>
      <c r="AU634" s="137" t="s">
        <v>834</v>
      </c>
      <c r="AV634" s="139" t="s">
        <v>46</v>
      </c>
      <c r="AW634" s="37"/>
      <c r="AX634" s="65"/>
      <c r="AY634" s="137" t="s">
        <v>834</v>
      </c>
      <c r="AZ634" s="139" t="s">
        <v>46</v>
      </c>
      <c r="BA634" s="37"/>
      <c r="BB634" s="65"/>
      <c r="BC634" s="137" t="s">
        <v>834</v>
      </c>
      <c r="BD634" s="139" t="s">
        <v>46</v>
      </c>
      <c r="BE634" s="37"/>
      <c r="BF634" s="65"/>
      <c r="BG634" s="137" t="s">
        <v>834</v>
      </c>
      <c r="BH634" s="139" t="s">
        <v>46</v>
      </c>
      <c r="BI634" s="37"/>
      <c r="BJ634" s="65"/>
      <c r="BK634" s="137" t="s">
        <v>834</v>
      </c>
      <c r="BL634" s="139" t="s">
        <v>46</v>
      </c>
      <c r="BM634" s="37"/>
      <c r="BN634" s="65"/>
      <c r="BO634" s="137" t="s">
        <v>834</v>
      </c>
      <c r="BP634" s="139" t="s">
        <v>46</v>
      </c>
      <c r="BQ634" s="37"/>
      <c r="BR634" s="65"/>
      <c r="BS634" s="137" t="s">
        <v>834</v>
      </c>
      <c r="BT634" s="139" t="s">
        <v>46</v>
      </c>
      <c r="BU634" s="37"/>
    </row>
    <row r="635" ht="12.75" customHeight="1">
      <c r="A635" s="146" t="s">
        <v>835</v>
      </c>
      <c r="B635" s="132" t="s">
        <v>42</v>
      </c>
      <c r="C635" s="140"/>
      <c r="D635" s="134"/>
      <c r="E635" s="59"/>
      <c r="F635" s="135"/>
      <c r="G635" s="70" t="s">
        <v>836</v>
      </c>
      <c r="H635" s="136"/>
      <c r="I635" s="72"/>
      <c r="J635" s="65"/>
      <c r="K635" s="137" t="s">
        <v>836</v>
      </c>
      <c r="L635" s="139" t="s">
        <v>42</v>
      </c>
      <c r="M635" s="37"/>
      <c r="N635" s="65"/>
      <c r="O635" s="137" t="s">
        <v>836</v>
      </c>
      <c r="P635" s="138" t="s">
        <v>172</v>
      </c>
      <c r="Q635" s="37"/>
      <c r="R635" s="65"/>
      <c r="S635" s="137" t="s">
        <v>836</v>
      </c>
      <c r="T635" s="138" t="s">
        <v>172</v>
      </c>
      <c r="U635" s="37"/>
      <c r="V635" s="65"/>
      <c r="W635" s="137" t="s">
        <v>836</v>
      </c>
      <c r="X635" s="138" t="s">
        <v>172</v>
      </c>
      <c r="Y635" s="37"/>
      <c r="Z635" s="65"/>
      <c r="AA635" s="137" t="s">
        <v>836</v>
      </c>
      <c r="AB635" s="138" t="s">
        <v>172</v>
      </c>
      <c r="AC635" s="37"/>
      <c r="AD635" s="65"/>
      <c r="AE635" s="137" t="s">
        <v>836</v>
      </c>
      <c r="AF635" s="138" t="s">
        <v>206</v>
      </c>
      <c r="AG635" s="37"/>
      <c r="AH635" s="65"/>
      <c r="AI635" s="137" t="s">
        <v>836</v>
      </c>
      <c r="AJ635" s="138" t="s">
        <v>186</v>
      </c>
      <c r="AK635" s="37"/>
      <c r="AL635" s="65"/>
      <c r="AM635" s="137" t="s">
        <v>836</v>
      </c>
      <c r="AN635" s="138" t="s">
        <v>186</v>
      </c>
      <c r="AO635" s="37"/>
      <c r="AP635" s="65"/>
      <c r="AQ635" s="137" t="s">
        <v>836</v>
      </c>
      <c r="AR635" s="138" t="s">
        <v>132</v>
      </c>
      <c r="AS635" s="37"/>
      <c r="AT635" s="65"/>
      <c r="AU635" s="137" t="s">
        <v>836</v>
      </c>
      <c r="AV635" s="138" t="s">
        <v>172</v>
      </c>
      <c r="AW635" s="37"/>
      <c r="AX635" s="65"/>
      <c r="AY635" s="137" t="s">
        <v>836</v>
      </c>
      <c r="AZ635" s="138" t="s">
        <v>206</v>
      </c>
      <c r="BA635" s="37"/>
      <c r="BB635" s="65"/>
      <c r="BC635" s="137" t="s">
        <v>836</v>
      </c>
      <c r="BD635" s="138" t="s">
        <v>206</v>
      </c>
      <c r="BE635" s="37"/>
      <c r="BF635" s="65"/>
      <c r="BG635" s="137" t="s">
        <v>836</v>
      </c>
      <c r="BH635" s="138" t="s">
        <v>186</v>
      </c>
      <c r="BI635" s="37"/>
      <c r="BJ635" s="65"/>
      <c r="BK635" s="137" t="s">
        <v>836</v>
      </c>
      <c r="BL635" s="138" t="s">
        <v>147</v>
      </c>
      <c r="BM635" s="37"/>
      <c r="BN635" s="65"/>
      <c r="BO635" s="137" t="s">
        <v>836</v>
      </c>
      <c r="BP635" s="138" t="s">
        <v>186</v>
      </c>
      <c r="BQ635" s="37"/>
      <c r="BR635" s="65"/>
      <c r="BS635" s="137" t="s">
        <v>836</v>
      </c>
      <c r="BT635" s="138" t="s">
        <v>172</v>
      </c>
      <c r="BU635" s="37"/>
    </row>
    <row r="636" ht="12.75" customHeight="1">
      <c r="A636" s="146" t="s">
        <v>837</v>
      </c>
      <c r="B636" s="132" t="s">
        <v>46</v>
      </c>
      <c r="C636" s="140"/>
      <c r="D636" s="134"/>
      <c r="E636" s="59"/>
      <c r="F636" s="135"/>
      <c r="G636" s="70" t="s">
        <v>838</v>
      </c>
      <c r="H636" s="136"/>
      <c r="I636" s="72"/>
      <c r="J636" s="65"/>
      <c r="K636" s="137" t="s">
        <v>838</v>
      </c>
      <c r="L636" s="139" t="s">
        <v>46</v>
      </c>
      <c r="M636" s="37"/>
      <c r="N636" s="65"/>
      <c r="O636" s="137" t="s">
        <v>838</v>
      </c>
      <c r="P636" s="139" t="s">
        <v>46</v>
      </c>
      <c r="Q636" s="37"/>
      <c r="R636" s="65"/>
      <c r="S636" s="137" t="s">
        <v>838</v>
      </c>
      <c r="T636" s="139" t="s">
        <v>46</v>
      </c>
      <c r="U636" s="37"/>
      <c r="V636" s="65"/>
      <c r="W636" s="137" t="s">
        <v>838</v>
      </c>
      <c r="X636" s="139" t="s">
        <v>46</v>
      </c>
      <c r="Y636" s="37"/>
      <c r="Z636" s="65"/>
      <c r="AA636" s="137" t="s">
        <v>838</v>
      </c>
      <c r="AB636" s="139" t="s">
        <v>46</v>
      </c>
      <c r="AC636" s="37"/>
      <c r="AD636" s="65"/>
      <c r="AE636" s="137" t="s">
        <v>838</v>
      </c>
      <c r="AF636" s="139" t="s">
        <v>46</v>
      </c>
      <c r="AG636" s="37"/>
      <c r="AH636" s="65"/>
      <c r="AI636" s="137" t="s">
        <v>838</v>
      </c>
      <c r="AJ636" s="138" t="s">
        <v>184</v>
      </c>
      <c r="AK636" s="37"/>
      <c r="AL636" s="65"/>
      <c r="AM636" s="137" t="s">
        <v>838</v>
      </c>
      <c r="AN636" s="138" t="s">
        <v>184</v>
      </c>
      <c r="AO636" s="37"/>
      <c r="AP636" s="65"/>
      <c r="AQ636" s="137" t="s">
        <v>838</v>
      </c>
      <c r="AR636" s="139" t="s">
        <v>46</v>
      </c>
      <c r="AS636" s="37"/>
      <c r="AT636" s="65"/>
      <c r="AU636" s="137" t="s">
        <v>838</v>
      </c>
      <c r="AV636" s="139" t="s">
        <v>46</v>
      </c>
      <c r="AW636" s="37"/>
      <c r="AX636" s="65"/>
      <c r="AY636" s="137" t="s">
        <v>838</v>
      </c>
      <c r="AZ636" s="139" t="s">
        <v>46</v>
      </c>
      <c r="BA636" s="37"/>
      <c r="BB636" s="65"/>
      <c r="BC636" s="137" t="s">
        <v>838</v>
      </c>
      <c r="BD636" s="139" t="s">
        <v>46</v>
      </c>
      <c r="BE636" s="37"/>
      <c r="BF636" s="65"/>
      <c r="BG636" s="137" t="s">
        <v>838</v>
      </c>
      <c r="BH636" s="138" t="s">
        <v>184</v>
      </c>
      <c r="BI636" s="37"/>
      <c r="BJ636" s="65"/>
      <c r="BK636" s="137" t="s">
        <v>838</v>
      </c>
      <c r="BL636" s="138" t="s">
        <v>829</v>
      </c>
      <c r="BM636" s="37"/>
      <c r="BN636" s="65"/>
      <c r="BO636" s="137" t="s">
        <v>838</v>
      </c>
      <c r="BP636" s="138" t="s">
        <v>184</v>
      </c>
      <c r="BQ636" s="37"/>
      <c r="BR636" s="65"/>
      <c r="BS636" s="137" t="s">
        <v>838</v>
      </c>
      <c r="BT636" s="139" t="s">
        <v>46</v>
      </c>
      <c r="BU636" s="37"/>
    </row>
    <row r="637" ht="12.75" customHeight="1">
      <c r="A637" s="93"/>
      <c r="B637" s="147"/>
      <c r="C637" s="147"/>
      <c r="D637" s="148"/>
      <c r="E637" s="59"/>
      <c r="F637" s="142"/>
      <c r="G637" s="70"/>
      <c r="H637" s="136"/>
      <c r="I637" s="72"/>
      <c r="J637" s="143"/>
      <c r="K637" s="137"/>
      <c r="L637" s="132"/>
      <c r="M637" s="37"/>
      <c r="N637" s="143"/>
      <c r="O637" s="137"/>
      <c r="P637" s="132"/>
      <c r="Q637" s="37"/>
      <c r="R637" s="143"/>
      <c r="S637" s="137"/>
      <c r="T637" s="132"/>
      <c r="U637" s="37"/>
      <c r="V637" s="143"/>
      <c r="W637" s="137"/>
      <c r="X637" s="132"/>
      <c r="Y637" s="37"/>
      <c r="Z637" s="143"/>
      <c r="AA637" s="137"/>
      <c r="AB637" s="132"/>
      <c r="AC637" s="37"/>
      <c r="AD637" s="143"/>
      <c r="AE637" s="137"/>
      <c r="AF637" s="132"/>
      <c r="AG637" s="37"/>
      <c r="AH637" s="143"/>
      <c r="AI637" s="137"/>
      <c r="AJ637" s="132"/>
      <c r="AK637" s="37"/>
      <c r="AL637" s="143"/>
      <c r="AM637" s="137"/>
      <c r="AN637" s="132"/>
      <c r="AO637" s="37"/>
      <c r="AP637" s="143"/>
      <c r="AQ637" s="137"/>
      <c r="AR637" s="132"/>
      <c r="AS637" s="37"/>
      <c r="AT637" s="143"/>
      <c r="AU637" s="137"/>
      <c r="AV637" s="132"/>
      <c r="AW637" s="37"/>
      <c r="AX637" s="143"/>
      <c r="AY637" s="137"/>
      <c r="AZ637" s="132"/>
      <c r="BA637" s="37"/>
      <c r="BB637" s="143"/>
      <c r="BC637" s="137"/>
      <c r="BD637" s="132"/>
      <c r="BE637" s="37"/>
      <c r="BF637" s="143"/>
      <c r="BG637" s="137"/>
      <c r="BH637" s="132"/>
      <c r="BI637" s="37"/>
      <c r="BJ637" s="143"/>
      <c r="BK637" s="137"/>
      <c r="BL637" s="132"/>
      <c r="BM637" s="37"/>
      <c r="BN637" s="143"/>
      <c r="BO637" s="137"/>
      <c r="BP637" s="132"/>
      <c r="BQ637" s="37"/>
      <c r="BR637" s="143"/>
      <c r="BS637" s="137"/>
      <c r="BT637" s="132"/>
      <c r="BU637" s="37"/>
    </row>
    <row r="638" ht="12.75" customHeight="1">
      <c r="A638" s="93"/>
      <c r="B638" s="147"/>
      <c r="C638" s="147"/>
      <c r="D638" s="148"/>
      <c r="E638" s="59"/>
      <c r="F638" s="144"/>
      <c r="G638" s="70"/>
      <c r="H638" s="136"/>
      <c r="I638" s="72"/>
      <c r="J638" s="145"/>
      <c r="K638" s="137"/>
      <c r="L638" s="132"/>
      <c r="M638" s="37"/>
      <c r="N638" s="145"/>
      <c r="O638" s="137"/>
      <c r="P638" s="132"/>
      <c r="Q638" s="37"/>
      <c r="R638" s="145"/>
      <c r="S638" s="137"/>
      <c r="T638" s="132"/>
      <c r="U638" s="37"/>
      <c r="V638" s="145"/>
      <c r="W638" s="137"/>
      <c r="X638" s="132"/>
      <c r="Y638" s="37"/>
      <c r="Z638" s="145"/>
      <c r="AA638" s="137"/>
      <c r="AB638" s="132"/>
      <c r="AC638" s="37"/>
      <c r="AD638" s="145"/>
      <c r="AE638" s="137"/>
      <c r="AF638" s="132"/>
      <c r="AG638" s="37"/>
      <c r="AH638" s="145"/>
      <c r="AI638" s="137"/>
      <c r="AJ638" s="132"/>
      <c r="AK638" s="37"/>
      <c r="AL638" s="145"/>
      <c r="AM638" s="137"/>
      <c r="AN638" s="132"/>
      <c r="AO638" s="37"/>
      <c r="AP638" s="145"/>
      <c r="AQ638" s="137"/>
      <c r="AR638" s="132"/>
      <c r="AS638" s="37"/>
      <c r="AT638" s="145"/>
      <c r="AU638" s="137"/>
      <c r="AV638" s="132"/>
      <c r="AW638" s="37"/>
      <c r="AX638" s="145"/>
      <c r="AY638" s="137"/>
      <c r="AZ638" s="132"/>
      <c r="BA638" s="37"/>
      <c r="BB638" s="145"/>
      <c r="BC638" s="137"/>
      <c r="BD638" s="132"/>
      <c r="BE638" s="37"/>
      <c r="BF638" s="145"/>
      <c r="BG638" s="137"/>
      <c r="BH638" s="132"/>
      <c r="BI638" s="37"/>
      <c r="BJ638" s="145"/>
      <c r="BK638" s="137"/>
      <c r="BL638" s="132"/>
      <c r="BM638" s="37"/>
      <c r="BN638" s="145"/>
      <c r="BO638" s="137"/>
      <c r="BP638" s="132"/>
      <c r="BQ638" s="37"/>
      <c r="BR638" s="145"/>
      <c r="BS638" s="137"/>
      <c r="BT638" s="132"/>
      <c r="BU638" s="37"/>
    </row>
    <row r="639" ht="12.75" customHeight="1">
      <c r="A639" s="93"/>
      <c r="B639" s="58"/>
      <c r="C639" s="75"/>
      <c r="D639" s="129"/>
      <c r="E639" s="57"/>
      <c r="F639" s="65" t="s">
        <v>839</v>
      </c>
      <c r="G639" s="88"/>
      <c r="H639" s="149"/>
      <c r="I639" s="72"/>
      <c r="J639" s="65" t="s">
        <v>839</v>
      </c>
      <c r="K639" s="88"/>
      <c r="L639" s="150"/>
      <c r="M639" s="37"/>
      <c r="N639" s="65" t="s">
        <v>839</v>
      </c>
      <c r="O639" s="88"/>
      <c r="P639" s="150"/>
      <c r="Q639" s="37"/>
      <c r="R639" s="65" t="s">
        <v>839</v>
      </c>
      <c r="S639" s="88"/>
      <c r="T639" s="150"/>
      <c r="U639" s="37"/>
      <c r="V639" s="65" t="s">
        <v>839</v>
      </c>
      <c r="W639" s="88"/>
      <c r="X639" s="150"/>
      <c r="Y639" s="37"/>
      <c r="Z639" s="65" t="s">
        <v>839</v>
      </c>
      <c r="AA639" s="88"/>
      <c r="AB639" s="150"/>
      <c r="AC639" s="37"/>
      <c r="AD639" s="65" t="s">
        <v>839</v>
      </c>
      <c r="AE639" s="88"/>
      <c r="AF639" s="150"/>
      <c r="AG639" s="37"/>
      <c r="AH639" s="65" t="s">
        <v>839</v>
      </c>
      <c r="AI639" s="88"/>
      <c r="AJ639" s="150"/>
      <c r="AK639" s="37"/>
      <c r="AL639" s="65" t="s">
        <v>839</v>
      </c>
      <c r="AM639" s="88"/>
      <c r="AN639" s="150"/>
      <c r="AO639" s="37"/>
      <c r="AP639" s="65" t="s">
        <v>839</v>
      </c>
      <c r="AQ639" s="88"/>
      <c r="AR639" s="150"/>
      <c r="AS639" s="37"/>
      <c r="AT639" s="65" t="s">
        <v>839</v>
      </c>
      <c r="AU639" s="88"/>
      <c r="AV639" s="150"/>
      <c r="AW639" s="37"/>
      <c r="AX639" s="65" t="s">
        <v>839</v>
      </c>
      <c r="AY639" s="88"/>
      <c r="AZ639" s="150"/>
      <c r="BA639" s="37"/>
      <c r="BB639" s="65" t="s">
        <v>839</v>
      </c>
      <c r="BC639" s="88"/>
      <c r="BD639" s="150"/>
      <c r="BE639" s="37"/>
      <c r="BF639" s="65" t="s">
        <v>839</v>
      </c>
      <c r="BG639" s="88"/>
      <c r="BH639" s="150"/>
      <c r="BI639" s="37"/>
      <c r="BJ639" s="65" t="s">
        <v>839</v>
      </c>
      <c r="BK639" s="88"/>
      <c r="BL639" s="150"/>
      <c r="BM639" s="37"/>
      <c r="BN639" s="65" t="s">
        <v>839</v>
      </c>
      <c r="BO639" s="88"/>
      <c r="BP639" s="150"/>
      <c r="BQ639" s="37"/>
      <c r="BR639" s="65" t="s">
        <v>839</v>
      </c>
      <c r="BS639" s="88"/>
      <c r="BT639" s="150"/>
      <c r="BU639" s="37"/>
    </row>
    <row r="640" ht="12.75" customHeight="1">
      <c r="A640" s="63" t="s">
        <v>36</v>
      </c>
      <c r="B640" s="64" t="s">
        <v>37</v>
      </c>
      <c r="C640" s="64" t="s">
        <v>38</v>
      </c>
      <c r="D640" s="129"/>
      <c r="E640" s="57"/>
      <c r="F640" s="65"/>
      <c r="G640" s="66" t="s">
        <v>39</v>
      </c>
      <c r="H640" s="67" t="s">
        <v>40</v>
      </c>
      <c r="I640" s="72"/>
      <c r="J640" s="65"/>
      <c r="K640" s="66" t="s">
        <v>39</v>
      </c>
      <c r="L640" s="130" t="s">
        <v>40</v>
      </c>
      <c r="M640" s="92"/>
      <c r="N640" s="65"/>
      <c r="O640" s="66" t="s">
        <v>39</v>
      </c>
      <c r="P640" s="130" t="s">
        <v>40</v>
      </c>
      <c r="Q640" s="92"/>
      <c r="R640" s="65"/>
      <c r="S640" s="66" t="s">
        <v>39</v>
      </c>
      <c r="T640" s="130" t="s">
        <v>40</v>
      </c>
      <c r="U640" s="37"/>
      <c r="V640" s="65"/>
      <c r="W640" s="66" t="s">
        <v>39</v>
      </c>
      <c r="X640" s="130" t="s">
        <v>40</v>
      </c>
      <c r="Y640" s="92"/>
      <c r="Z640" s="65"/>
      <c r="AA640" s="66" t="s">
        <v>39</v>
      </c>
      <c r="AB640" s="130" t="s">
        <v>40</v>
      </c>
      <c r="AC640" s="92"/>
      <c r="AD640" s="65"/>
      <c r="AE640" s="66" t="s">
        <v>39</v>
      </c>
      <c r="AF640" s="130" t="s">
        <v>40</v>
      </c>
      <c r="AG640" s="92"/>
      <c r="AH640" s="65"/>
      <c r="AI640" s="66" t="s">
        <v>39</v>
      </c>
      <c r="AJ640" s="130" t="s">
        <v>40</v>
      </c>
      <c r="AK640" s="92"/>
      <c r="AL640" s="65"/>
      <c r="AM640" s="66" t="s">
        <v>39</v>
      </c>
      <c r="AN640" s="130" t="s">
        <v>40</v>
      </c>
      <c r="AO640" s="92"/>
      <c r="AP640" s="65"/>
      <c r="AQ640" s="66" t="s">
        <v>39</v>
      </c>
      <c r="AR640" s="130" t="s">
        <v>40</v>
      </c>
      <c r="AS640" s="92"/>
      <c r="AT640" s="65"/>
      <c r="AU640" s="66" t="s">
        <v>39</v>
      </c>
      <c r="AV640" s="130" t="s">
        <v>40</v>
      </c>
      <c r="AW640" s="92"/>
      <c r="AX640" s="65"/>
      <c r="AY640" s="66" t="s">
        <v>39</v>
      </c>
      <c r="AZ640" s="130" t="s">
        <v>40</v>
      </c>
      <c r="BA640" s="92"/>
      <c r="BB640" s="65"/>
      <c r="BC640" s="66" t="s">
        <v>39</v>
      </c>
      <c r="BD640" s="130" t="s">
        <v>40</v>
      </c>
      <c r="BE640" s="92"/>
      <c r="BF640" s="65"/>
      <c r="BG640" s="66" t="s">
        <v>39</v>
      </c>
      <c r="BH640" s="130" t="s">
        <v>40</v>
      </c>
      <c r="BI640" s="92"/>
      <c r="BJ640" s="65"/>
      <c r="BK640" s="66" t="s">
        <v>39</v>
      </c>
      <c r="BL640" s="130" t="s">
        <v>40</v>
      </c>
      <c r="BM640" s="92"/>
      <c r="BN640" s="65"/>
      <c r="BO640" s="66" t="s">
        <v>39</v>
      </c>
      <c r="BP640" s="130" t="s">
        <v>40</v>
      </c>
      <c r="BQ640" s="92"/>
      <c r="BR640" s="65"/>
      <c r="BS640" s="66" t="s">
        <v>39</v>
      </c>
      <c r="BT640" s="130" t="s">
        <v>40</v>
      </c>
      <c r="BU640" s="92"/>
    </row>
    <row r="641" ht="12.75" customHeight="1">
      <c r="A641" s="80" t="s">
        <v>840</v>
      </c>
      <c r="B641" s="132" t="s">
        <v>232</v>
      </c>
      <c r="C641" s="140"/>
      <c r="D641" s="134"/>
      <c r="E641" s="57"/>
      <c r="F641" s="65"/>
      <c r="G641" s="90" t="s">
        <v>841</v>
      </c>
      <c r="H641" s="136"/>
      <c r="I641" s="72"/>
      <c r="J641" s="65"/>
      <c r="K641" s="90" t="s">
        <v>841</v>
      </c>
      <c r="L641" s="138" t="s">
        <v>132</v>
      </c>
      <c r="M641" s="37"/>
      <c r="N641" s="65"/>
      <c r="O641" s="90" t="s">
        <v>841</v>
      </c>
      <c r="P641" s="138" t="s">
        <v>132</v>
      </c>
      <c r="Q641" s="37"/>
      <c r="R641" s="65"/>
      <c r="S641" s="90" t="s">
        <v>841</v>
      </c>
      <c r="T641" s="138" t="s">
        <v>132</v>
      </c>
      <c r="U641" s="37"/>
      <c r="V641" s="65"/>
      <c r="W641" s="90" t="s">
        <v>841</v>
      </c>
      <c r="X641" s="138" t="s">
        <v>132</v>
      </c>
      <c r="Y641" s="37"/>
      <c r="Z641" s="65"/>
      <c r="AA641" s="90" t="s">
        <v>841</v>
      </c>
      <c r="AB641" s="138" t="s">
        <v>132</v>
      </c>
      <c r="AC641" s="37"/>
      <c r="AD641" s="65"/>
      <c r="AE641" s="90" t="s">
        <v>841</v>
      </c>
      <c r="AF641" s="138" t="s">
        <v>132</v>
      </c>
      <c r="AG641" s="37"/>
      <c r="AH641" s="65"/>
      <c r="AI641" s="90" t="s">
        <v>841</v>
      </c>
      <c r="AJ641" s="138" t="s">
        <v>132</v>
      </c>
      <c r="AK641" s="37"/>
      <c r="AL641" s="65"/>
      <c r="AM641" s="90" t="s">
        <v>841</v>
      </c>
      <c r="AN641" s="138" t="s">
        <v>132</v>
      </c>
      <c r="AO641" s="37"/>
      <c r="AP641" s="65"/>
      <c r="AQ641" s="90" t="s">
        <v>841</v>
      </c>
      <c r="AR641" s="138" t="s">
        <v>132</v>
      </c>
      <c r="AS641" s="37"/>
      <c r="AT641" s="65"/>
      <c r="AU641" s="90" t="s">
        <v>841</v>
      </c>
      <c r="AV641" s="138" t="s">
        <v>132</v>
      </c>
      <c r="AW641" s="37"/>
      <c r="AX641" s="65"/>
      <c r="AY641" s="90" t="s">
        <v>841</v>
      </c>
      <c r="AZ641" s="138" t="s">
        <v>132</v>
      </c>
      <c r="BA641" s="37"/>
      <c r="BB641" s="65"/>
      <c r="BC641" s="90" t="s">
        <v>841</v>
      </c>
      <c r="BD641" s="138" t="s">
        <v>132</v>
      </c>
      <c r="BE641" s="37"/>
      <c r="BF641" s="65"/>
      <c r="BG641" s="90" t="s">
        <v>841</v>
      </c>
      <c r="BH641" s="138" t="s">
        <v>132</v>
      </c>
      <c r="BI641" s="37"/>
      <c r="BJ641" s="65"/>
      <c r="BK641" s="90" t="s">
        <v>841</v>
      </c>
      <c r="BL641" s="138" t="s">
        <v>132</v>
      </c>
      <c r="BM641" s="37"/>
      <c r="BN641" s="65"/>
      <c r="BO641" s="90" t="s">
        <v>841</v>
      </c>
      <c r="BP641" s="138" t="s">
        <v>132</v>
      </c>
      <c r="BQ641" s="37"/>
      <c r="BR641" s="65"/>
      <c r="BS641" s="90" t="s">
        <v>841</v>
      </c>
      <c r="BT641" s="138" t="s">
        <v>132</v>
      </c>
      <c r="BU641" s="37"/>
    </row>
    <row r="642" ht="12.75" customHeight="1">
      <c r="A642" s="80" t="s">
        <v>842</v>
      </c>
      <c r="B642" s="132" t="s">
        <v>243</v>
      </c>
      <c r="C642" s="140"/>
      <c r="D642" s="134"/>
      <c r="E642" s="57"/>
      <c r="F642" s="65"/>
      <c r="G642" s="90" t="s">
        <v>843</v>
      </c>
      <c r="H642" s="136"/>
      <c r="I642" s="72"/>
      <c r="J642" s="65"/>
      <c r="K642" s="90" t="s">
        <v>843</v>
      </c>
      <c r="L642" s="139" t="s">
        <v>243</v>
      </c>
      <c r="M642" s="37"/>
      <c r="N642" s="65"/>
      <c r="O642" s="90" t="s">
        <v>843</v>
      </c>
      <c r="P642" s="139" t="s">
        <v>243</v>
      </c>
      <c r="Q642" s="37"/>
      <c r="R642" s="65"/>
      <c r="S642" s="90" t="s">
        <v>843</v>
      </c>
      <c r="T642" s="139" t="s">
        <v>243</v>
      </c>
      <c r="U642" s="37"/>
      <c r="V642" s="65"/>
      <c r="W642" s="90" t="s">
        <v>843</v>
      </c>
      <c r="X642" s="139" t="s">
        <v>243</v>
      </c>
      <c r="Y642" s="37"/>
      <c r="Z642" s="65"/>
      <c r="AA642" s="90" t="s">
        <v>843</v>
      </c>
      <c r="AB642" s="139" t="s">
        <v>243</v>
      </c>
      <c r="AC642" s="37"/>
      <c r="AD642" s="65"/>
      <c r="AE642" s="90" t="s">
        <v>843</v>
      </c>
      <c r="AF642" s="139" t="s">
        <v>243</v>
      </c>
      <c r="AG642" s="37"/>
      <c r="AH642" s="65"/>
      <c r="AI642" s="90" t="s">
        <v>843</v>
      </c>
      <c r="AJ642" s="139" t="s">
        <v>243</v>
      </c>
      <c r="AK642" s="37"/>
      <c r="AL642" s="65"/>
      <c r="AM642" s="90" t="s">
        <v>843</v>
      </c>
      <c r="AN642" s="139" t="s">
        <v>243</v>
      </c>
      <c r="AO642" s="37"/>
      <c r="AP642" s="65"/>
      <c r="AQ642" s="90" t="s">
        <v>843</v>
      </c>
      <c r="AR642" s="139" t="s">
        <v>243</v>
      </c>
      <c r="AS642" s="37"/>
      <c r="AT642" s="65"/>
      <c r="AU642" s="90" t="s">
        <v>843</v>
      </c>
      <c r="AV642" s="139" t="s">
        <v>243</v>
      </c>
      <c r="AW642" s="37"/>
      <c r="AX642" s="65"/>
      <c r="AY642" s="90" t="s">
        <v>843</v>
      </c>
      <c r="AZ642" s="139" t="s">
        <v>243</v>
      </c>
      <c r="BA642" s="37"/>
      <c r="BB642" s="65"/>
      <c r="BC642" s="90" t="s">
        <v>843</v>
      </c>
      <c r="BD642" s="139" t="s">
        <v>243</v>
      </c>
      <c r="BE642" s="37"/>
      <c r="BF642" s="65"/>
      <c r="BG642" s="90" t="s">
        <v>843</v>
      </c>
      <c r="BH642" s="139" t="s">
        <v>243</v>
      </c>
      <c r="BI642" s="37"/>
      <c r="BJ642" s="65"/>
      <c r="BK642" s="90" t="s">
        <v>843</v>
      </c>
      <c r="BL642" s="139" t="s">
        <v>243</v>
      </c>
      <c r="BM642" s="37"/>
      <c r="BN642" s="65"/>
      <c r="BO642" s="90" t="s">
        <v>843</v>
      </c>
      <c r="BP642" s="139" t="s">
        <v>243</v>
      </c>
      <c r="BQ642" s="37"/>
      <c r="BR642" s="65"/>
      <c r="BS642" s="90" t="s">
        <v>843</v>
      </c>
      <c r="BT642" s="139" t="s">
        <v>243</v>
      </c>
      <c r="BU642" s="37"/>
    </row>
    <row r="643" ht="12.75" customHeight="1">
      <c r="A643" s="80" t="s">
        <v>844</v>
      </c>
      <c r="B643" s="132" t="s">
        <v>186</v>
      </c>
      <c r="C643" s="140"/>
      <c r="D643" s="134"/>
      <c r="E643" s="57"/>
      <c r="F643" s="65"/>
      <c r="G643" s="90" t="s">
        <v>845</v>
      </c>
      <c r="H643" s="136"/>
      <c r="I643" s="72"/>
      <c r="J643" s="65"/>
      <c r="K643" s="90" t="s">
        <v>845</v>
      </c>
      <c r="L643" s="138" t="s">
        <v>61</v>
      </c>
      <c r="M643" s="37"/>
      <c r="N643" s="65"/>
      <c r="O643" s="90" t="s">
        <v>845</v>
      </c>
      <c r="P643" s="138" t="s">
        <v>61</v>
      </c>
      <c r="Q643" s="37"/>
      <c r="R643" s="65"/>
      <c r="S643" s="90" t="s">
        <v>845</v>
      </c>
      <c r="T643" s="138" t="s">
        <v>61</v>
      </c>
      <c r="U643" s="37"/>
      <c r="V643" s="65"/>
      <c r="W643" s="90" t="s">
        <v>845</v>
      </c>
      <c r="X643" s="138" t="s">
        <v>61</v>
      </c>
      <c r="Y643" s="37"/>
      <c r="Z643" s="65"/>
      <c r="AA643" s="90" t="s">
        <v>845</v>
      </c>
      <c r="AB643" s="138" t="s">
        <v>61</v>
      </c>
      <c r="AC643" s="37"/>
      <c r="AD643" s="65"/>
      <c r="AE643" s="90" t="s">
        <v>845</v>
      </c>
      <c r="AF643" s="138" t="s">
        <v>61</v>
      </c>
      <c r="AG643" s="37"/>
      <c r="AH643" s="65"/>
      <c r="AI643" s="90" t="s">
        <v>845</v>
      </c>
      <c r="AJ643" s="138" t="s">
        <v>61</v>
      </c>
      <c r="AK643" s="37"/>
      <c r="AL643" s="65"/>
      <c r="AM643" s="90" t="s">
        <v>845</v>
      </c>
      <c r="AN643" s="138" t="s">
        <v>61</v>
      </c>
      <c r="AO643" s="37"/>
      <c r="AP643" s="65"/>
      <c r="AQ643" s="90" t="s">
        <v>845</v>
      </c>
      <c r="AR643" s="138" t="s">
        <v>61</v>
      </c>
      <c r="AS643" s="37"/>
      <c r="AT643" s="65"/>
      <c r="AU643" s="90" t="s">
        <v>845</v>
      </c>
      <c r="AV643" s="138" t="s">
        <v>61</v>
      </c>
      <c r="AW643" s="37"/>
      <c r="AX643" s="65"/>
      <c r="AY643" s="90" t="s">
        <v>845</v>
      </c>
      <c r="AZ643" s="138" t="s">
        <v>61</v>
      </c>
      <c r="BA643" s="37"/>
      <c r="BB643" s="65"/>
      <c r="BC643" s="90" t="s">
        <v>845</v>
      </c>
      <c r="BD643" s="138" t="s">
        <v>61</v>
      </c>
      <c r="BE643" s="37"/>
      <c r="BF643" s="65"/>
      <c r="BG643" s="90" t="s">
        <v>845</v>
      </c>
      <c r="BH643" s="138" t="s">
        <v>61</v>
      </c>
      <c r="BI643" s="37"/>
      <c r="BJ643" s="65"/>
      <c r="BK643" s="90" t="s">
        <v>845</v>
      </c>
      <c r="BL643" s="138" t="s">
        <v>61</v>
      </c>
      <c r="BM643" s="37"/>
      <c r="BN643" s="65"/>
      <c r="BO643" s="90" t="s">
        <v>845</v>
      </c>
      <c r="BP643" s="138" t="s">
        <v>61</v>
      </c>
      <c r="BQ643" s="37"/>
      <c r="BR643" s="65"/>
      <c r="BS643" s="90" t="s">
        <v>845</v>
      </c>
      <c r="BT643" s="138" t="s">
        <v>61</v>
      </c>
      <c r="BU643" s="37"/>
    </row>
    <row r="644" ht="12.75" customHeight="1">
      <c r="A644" s="80" t="s">
        <v>846</v>
      </c>
      <c r="B644" s="132" t="s">
        <v>63</v>
      </c>
      <c r="C644" s="140"/>
      <c r="D644" s="134"/>
      <c r="E644" s="57"/>
      <c r="F644" s="65"/>
      <c r="G644" s="90" t="s">
        <v>847</v>
      </c>
      <c r="H644" s="136"/>
      <c r="I644" s="72"/>
      <c r="J644" s="65"/>
      <c r="K644" s="90" t="s">
        <v>847</v>
      </c>
      <c r="L644" s="138" t="s">
        <v>46</v>
      </c>
      <c r="M644" s="37"/>
      <c r="N644" s="65"/>
      <c r="O644" s="90" t="s">
        <v>847</v>
      </c>
      <c r="P644" s="138" t="s">
        <v>46</v>
      </c>
      <c r="Q644" s="37"/>
      <c r="R644" s="65"/>
      <c r="S644" s="90" t="s">
        <v>847</v>
      </c>
      <c r="T644" s="138" t="s">
        <v>46</v>
      </c>
      <c r="U644" s="37"/>
      <c r="V644" s="65"/>
      <c r="W644" s="90" t="s">
        <v>847</v>
      </c>
      <c r="X644" s="138" t="s">
        <v>46</v>
      </c>
      <c r="Y644" s="37"/>
      <c r="Z644" s="65"/>
      <c r="AA644" s="90" t="s">
        <v>847</v>
      </c>
      <c r="AB644" s="138" t="s">
        <v>46</v>
      </c>
      <c r="AC644" s="37"/>
      <c r="AD644" s="65"/>
      <c r="AE644" s="90" t="s">
        <v>847</v>
      </c>
      <c r="AF644" s="138" t="s">
        <v>46</v>
      </c>
      <c r="AG644" s="37"/>
      <c r="AH644" s="65"/>
      <c r="AI644" s="90" t="s">
        <v>847</v>
      </c>
      <c r="AJ644" s="138" t="s">
        <v>46</v>
      </c>
      <c r="AK644" s="37"/>
      <c r="AL644" s="65"/>
      <c r="AM644" s="90" t="s">
        <v>847</v>
      </c>
      <c r="AN644" s="138" t="s">
        <v>46</v>
      </c>
      <c r="AO644" s="37"/>
      <c r="AP644" s="65"/>
      <c r="AQ644" s="90" t="s">
        <v>847</v>
      </c>
      <c r="AR644" s="138" t="s">
        <v>46</v>
      </c>
      <c r="AS644" s="37"/>
      <c r="AT644" s="65"/>
      <c r="AU644" s="90" t="s">
        <v>847</v>
      </c>
      <c r="AV644" s="138" t="s">
        <v>46</v>
      </c>
      <c r="AW644" s="37"/>
      <c r="AX644" s="65"/>
      <c r="AY644" s="90" t="s">
        <v>847</v>
      </c>
      <c r="AZ644" s="138" t="s">
        <v>46</v>
      </c>
      <c r="BA644" s="37"/>
      <c r="BB644" s="65"/>
      <c r="BC644" s="90" t="s">
        <v>847</v>
      </c>
      <c r="BD644" s="138" t="s">
        <v>46</v>
      </c>
      <c r="BE644" s="37"/>
      <c r="BF644" s="65"/>
      <c r="BG644" s="90" t="s">
        <v>847</v>
      </c>
      <c r="BH644" s="138" t="s">
        <v>46</v>
      </c>
      <c r="BI644" s="37"/>
      <c r="BJ644" s="65"/>
      <c r="BK644" s="90" t="s">
        <v>847</v>
      </c>
      <c r="BL644" s="138" t="s">
        <v>46</v>
      </c>
      <c r="BM644" s="37"/>
      <c r="BN644" s="65"/>
      <c r="BO644" s="90" t="s">
        <v>847</v>
      </c>
      <c r="BP644" s="138" t="s">
        <v>46</v>
      </c>
      <c r="BQ644" s="37"/>
      <c r="BR644" s="65"/>
      <c r="BS644" s="90" t="s">
        <v>847</v>
      </c>
      <c r="BT644" s="138" t="s">
        <v>46</v>
      </c>
      <c r="BU644" s="37"/>
    </row>
    <row r="645" ht="12.75" customHeight="1">
      <c r="A645" s="80" t="s">
        <v>848</v>
      </c>
      <c r="B645" s="132" t="s">
        <v>849</v>
      </c>
      <c r="C645" s="140"/>
      <c r="D645" s="134"/>
      <c r="E645" s="57"/>
      <c r="F645" s="65"/>
      <c r="G645" s="90" t="s">
        <v>850</v>
      </c>
      <c r="H645" s="136"/>
      <c r="I645" s="72"/>
      <c r="J645" s="65"/>
      <c r="K645" s="90" t="s">
        <v>850</v>
      </c>
      <c r="L645" s="138" t="s">
        <v>268</v>
      </c>
      <c r="M645" s="37"/>
      <c r="N645" s="65"/>
      <c r="O645" s="90" t="s">
        <v>850</v>
      </c>
      <c r="P645" s="138" t="s">
        <v>268</v>
      </c>
      <c r="Q645" s="37"/>
      <c r="R645" s="65"/>
      <c r="S645" s="90" t="s">
        <v>850</v>
      </c>
      <c r="T645" s="138" t="s">
        <v>268</v>
      </c>
      <c r="U645" s="37"/>
      <c r="V645" s="65"/>
      <c r="W645" s="90" t="s">
        <v>850</v>
      </c>
      <c r="X645" s="138" t="s">
        <v>268</v>
      </c>
      <c r="Y645" s="37"/>
      <c r="Z645" s="65"/>
      <c r="AA645" s="90" t="s">
        <v>850</v>
      </c>
      <c r="AB645" s="138" t="s">
        <v>268</v>
      </c>
      <c r="AC645" s="37"/>
      <c r="AD645" s="65"/>
      <c r="AE645" s="90" t="s">
        <v>850</v>
      </c>
      <c r="AF645" s="138" t="s">
        <v>268</v>
      </c>
      <c r="AG645" s="37"/>
      <c r="AH645" s="65"/>
      <c r="AI645" s="90" t="s">
        <v>850</v>
      </c>
      <c r="AJ645" s="138" t="s">
        <v>268</v>
      </c>
      <c r="AK645" s="37"/>
      <c r="AL645" s="65"/>
      <c r="AM645" s="90" t="s">
        <v>850</v>
      </c>
      <c r="AN645" s="138" t="s">
        <v>268</v>
      </c>
      <c r="AO645" s="37"/>
      <c r="AP645" s="65"/>
      <c r="AQ645" s="90" t="s">
        <v>850</v>
      </c>
      <c r="AR645" s="138" t="s">
        <v>268</v>
      </c>
      <c r="AS645" s="37"/>
      <c r="AT645" s="65"/>
      <c r="AU645" s="90" t="s">
        <v>850</v>
      </c>
      <c r="AV645" s="138" t="s">
        <v>268</v>
      </c>
      <c r="AW645" s="37"/>
      <c r="AX645" s="65"/>
      <c r="AY645" s="90" t="s">
        <v>850</v>
      </c>
      <c r="AZ645" s="138" t="s">
        <v>268</v>
      </c>
      <c r="BA645" s="37"/>
      <c r="BB645" s="65"/>
      <c r="BC645" s="90" t="s">
        <v>850</v>
      </c>
      <c r="BD645" s="138" t="s">
        <v>268</v>
      </c>
      <c r="BE645" s="37"/>
      <c r="BF645" s="65"/>
      <c r="BG645" s="90" t="s">
        <v>850</v>
      </c>
      <c r="BH645" s="138" t="s">
        <v>268</v>
      </c>
      <c r="BI645" s="37"/>
      <c r="BJ645" s="65"/>
      <c r="BK645" s="90" t="s">
        <v>850</v>
      </c>
      <c r="BL645" s="138" t="s">
        <v>268</v>
      </c>
      <c r="BM645" s="37"/>
      <c r="BN645" s="65"/>
      <c r="BO645" s="90" t="s">
        <v>850</v>
      </c>
      <c r="BP645" s="138" t="s">
        <v>268</v>
      </c>
      <c r="BQ645" s="37"/>
      <c r="BR645" s="65"/>
      <c r="BS645" s="90" t="s">
        <v>850</v>
      </c>
      <c r="BT645" s="138" t="s">
        <v>268</v>
      </c>
      <c r="BU645" s="37"/>
    </row>
    <row r="646" ht="12.75" customHeight="1">
      <c r="A646" s="80" t="s">
        <v>851</v>
      </c>
      <c r="B646" s="132" t="s">
        <v>63</v>
      </c>
      <c r="C646" s="140"/>
      <c r="D646" s="134"/>
      <c r="E646" s="57"/>
      <c r="F646" s="65"/>
      <c r="G646" s="90" t="s">
        <v>852</v>
      </c>
      <c r="H646" s="136"/>
      <c r="I646" s="72"/>
      <c r="J646" s="65"/>
      <c r="K646" s="90" t="s">
        <v>852</v>
      </c>
      <c r="L646" s="139" t="s">
        <v>63</v>
      </c>
      <c r="M646" s="37"/>
      <c r="N646" s="65"/>
      <c r="O646" s="90" t="s">
        <v>852</v>
      </c>
      <c r="P646" s="139" t="s">
        <v>63</v>
      </c>
      <c r="Q646" s="37"/>
      <c r="R646" s="65"/>
      <c r="S646" s="90" t="s">
        <v>852</v>
      </c>
      <c r="T646" s="139" t="s">
        <v>63</v>
      </c>
      <c r="U646" s="37"/>
      <c r="V646" s="65"/>
      <c r="W646" s="90" t="s">
        <v>852</v>
      </c>
      <c r="X646" s="139" t="s">
        <v>63</v>
      </c>
      <c r="Y646" s="37"/>
      <c r="Z646" s="65"/>
      <c r="AA646" s="90" t="s">
        <v>852</v>
      </c>
      <c r="AB646" s="139" t="s">
        <v>63</v>
      </c>
      <c r="AC646" s="37"/>
      <c r="AD646" s="65"/>
      <c r="AE646" s="90" t="s">
        <v>852</v>
      </c>
      <c r="AF646" s="139" t="s">
        <v>63</v>
      </c>
      <c r="AG646" s="37"/>
      <c r="AH646" s="65"/>
      <c r="AI646" s="90" t="s">
        <v>852</v>
      </c>
      <c r="AJ646" s="139" t="s">
        <v>63</v>
      </c>
      <c r="AK646" s="37"/>
      <c r="AL646" s="65"/>
      <c r="AM646" s="90" t="s">
        <v>852</v>
      </c>
      <c r="AN646" s="139" t="s">
        <v>63</v>
      </c>
      <c r="AO646" s="37"/>
      <c r="AP646" s="65"/>
      <c r="AQ646" s="90" t="s">
        <v>852</v>
      </c>
      <c r="AR646" s="139" t="s">
        <v>63</v>
      </c>
      <c r="AS646" s="37"/>
      <c r="AT646" s="65"/>
      <c r="AU646" s="90" t="s">
        <v>852</v>
      </c>
      <c r="AV646" s="139" t="s">
        <v>63</v>
      </c>
      <c r="AW646" s="37"/>
      <c r="AX646" s="65"/>
      <c r="AY646" s="90" t="s">
        <v>852</v>
      </c>
      <c r="AZ646" s="139" t="s">
        <v>63</v>
      </c>
      <c r="BA646" s="37"/>
      <c r="BB646" s="65"/>
      <c r="BC646" s="90" t="s">
        <v>852</v>
      </c>
      <c r="BD646" s="139" t="s">
        <v>63</v>
      </c>
      <c r="BE646" s="37"/>
      <c r="BF646" s="65"/>
      <c r="BG646" s="90" t="s">
        <v>852</v>
      </c>
      <c r="BH646" s="139" t="s">
        <v>63</v>
      </c>
      <c r="BI646" s="37"/>
      <c r="BJ646" s="65"/>
      <c r="BK646" s="90" t="s">
        <v>852</v>
      </c>
      <c r="BL646" s="139" t="s">
        <v>63</v>
      </c>
      <c r="BM646" s="37"/>
      <c r="BN646" s="65"/>
      <c r="BO646" s="90" t="s">
        <v>852</v>
      </c>
      <c r="BP646" s="139" t="s">
        <v>63</v>
      </c>
      <c r="BQ646" s="37"/>
      <c r="BR646" s="65"/>
      <c r="BS646" s="90" t="s">
        <v>852</v>
      </c>
      <c r="BT646" s="139" t="s">
        <v>63</v>
      </c>
      <c r="BU646" s="37"/>
    </row>
    <row r="647" ht="12.75" customHeight="1">
      <c r="A647" s="151" t="s">
        <v>853</v>
      </c>
      <c r="B647" s="132" t="s">
        <v>61</v>
      </c>
      <c r="C647" s="140"/>
      <c r="D647" s="134"/>
      <c r="E647" s="57"/>
      <c r="F647" s="135"/>
      <c r="G647" s="76" t="s">
        <v>854</v>
      </c>
      <c r="H647" s="136"/>
      <c r="I647" s="72"/>
      <c r="J647" s="65"/>
      <c r="K647" s="109" t="s">
        <v>854</v>
      </c>
      <c r="L647" s="139" t="s">
        <v>61</v>
      </c>
      <c r="M647" s="37"/>
      <c r="N647" s="65"/>
      <c r="O647" s="109" t="s">
        <v>854</v>
      </c>
      <c r="P647" s="139" t="s">
        <v>61</v>
      </c>
      <c r="Q647" s="37"/>
      <c r="R647" s="65"/>
      <c r="S647" s="109" t="s">
        <v>854</v>
      </c>
      <c r="T647" s="139" t="s">
        <v>61</v>
      </c>
      <c r="U647" s="37"/>
      <c r="V647" s="65"/>
      <c r="W647" s="109" t="s">
        <v>854</v>
      </c>
      <c r="X647" s="139" t="s">
        <v>61</v>
      </c>
      <c r="Y647" s="37"/>
      <c r="Z647" s="65"/>
      <c r="AA647" s="109" t="s">
        <v>854</v>
      </c>
      <c r="AB647" s="139" t="s">
        <v>61</v>
      </c>
      <c r="AC647" s="37"/>
      <c r="AD647" s="65"/>
      <c r="AE647" s="109" t="s">
        <v>854</v>
      </c>
      <c r="AF647" s="139" t="s">
        <v>61</v>
      </c>
      <c r="AG647" s="37"/>
      <c r="AH647" s="65"/>
      <c r="AI647" s="109" t="s">
        <v>854</v>
      </c>
      <c r="AJ647" s="139" t="s">
        <v>61</v>
      </c>
      <c r="AK647" s="37"/>
      <c r="AL647" s="65"/>
      <c r="AM647" s="109" t="s">
        <v>854</v>
      </c>
      <c r="AN647" s="139" t="s">
        <v>61</v>
      </c>
      <c r="AO647" s="37"/>
      <c r="AP647" s="65"/>
      <c r="AQ647" s="109" t="s">
        <v>854</v>
      </c>
      <c r="AR647" s="139" t="s">
        <v>61</v>
      </c>
      <c r="AS647" s="37"/>
      <c r="AT647" s="65"/>
      <c r="AU647" s="109" t="s">
        <v>854</v>
      </c>
      <c r="AV647" s="139" t="s">
        <v>61</v>
      </c>
      <c r="AW647" s="37"/>
      <c r="AX647" s="65"/>
      <c r="AY647" s="109" t="s">
        <v>854</v>
      </c>
      <c r="AZ647" s="139" t="s">
        <v>61</v>
      </c>
      <c r="BA647" s="37"/>
      <c r="BB647" s="65"/>
      <c r="BC647" s="109" t="s">
        <v>854</v>
      </c>
      <c r="BD647" s="139" t="s">
        <v>61</v>
      </c>
      <c r="BE647" s="37"/>
      <c r="BF647" s="65"/>
      <c r="BG647" s="109" t="s">
        <v>854</v>
      </c>
      <c r="BH647" s="139" t="s">
        <v>61</v>
      </c>
      <c r="BI647" s="37"/>
      <c r="BJ647" s="65"/>
      <c r="BK647" s="109" t="s">
        <v>854</v>
      </c>
      <c r="BL647" s="139" t="s">
        <v>61</v>
      </c>
      <c r="BM647" s="37"/>
      <c r="BN647" s="65"/>
      <c r="BO647" s="109" t="s">
        <v>854</v>
      </c>
      <c r="BP647" s="139" t="s">
        <v>61</v>
      </c>
      <c r="BQ647" s="37"/>
      <c r="BR647" s="65"/>
      <c r="BS647" s="109" t="s">
        <v>854</v>
      </c>
      <c r="BT647" s="139" t="s">
        <v>61</v>
      </c>
      <c r="BU647" s="37"/>
    </row>
    <row r="648" ht="12.75" customHeight="1">
      <c r="A648" s="151" t="s">
        <v>855</v>
      </c>
      <c r="B648" s="132" t="s">
        <v>63</v>
      </c>
      <c r="C648" s="140"/>
      <c r="D648" s="134"/>
      <c r="E648" s="57"/>
      <c r="F648" s="135"/>
      <c r="G648" s="76" t="s">
        <v>856</v>
      </c>
      <c r="H648" s="136"/>
      <c r="I648" s="72"/>
      <c r="J648" s="65"/>
      <c r="K648" s="109" t="s">
        <v>856</v>
      </c>
      <c r="L648" s="139" t="s">
        <v>63</v>
      </c>
      <c r="M648" s="37"/>
      <c r="N648" s="65"/>
      <c r="O648" s="109" t="s">
        <v>856</v>
      </c>
      <c r="P648" s="139" t="s">
        <v>63</v>
      </c>
      <c r="Q648" s="37"/>
      <c r="R648" s="65"/>
      <c r="S648" s="109" t="s">
        <v>856</v>
      </c>
      <c r="T648" s="139" t="s">
        <v>63</v>
      </c>
      <c r="U648" s="37"/>
      <c r="V648" s="65"/>
      <c r="W648" s="109" t="s">
        <v>856</v>
      </c>
      <c r="X648" s="139" t="s">
        <v>63</v>
      </c>
      <c r="Y648" s="37"/>
      <c r="Z648" s="65"/>
      <c r="AA648" s="109" t="s">
        <v>856</v>
      </c>
      <c r="AB648" s="139" t="s">
        <v>63</v>
      </c>
      <c r="AC648" s="37"/>
      <c r="AD648" s="65"/>
      <c r="AE648" s="109" t="s">
        <v>856</v>
      </c>
      <c r="AF648" s="139" t="s">
        <v>63</v>
      </c>
      <c r="AG648" s="37"/>
      <c r="AH648" s="65"/>
      <c r="AI648" s="109" t="s">
        <v>856</v>
      </c>
      <c r="AJ648" s="139" t="s">
        <v>63</v>
      </c>
      <c r="AK648" s="37"/>
      <c r="AL648" s="65"/>
      <c r="AM648" s="109" t="s">
        <v>856</v>
      </c>
      <c r="AN648" s="139" t="s">
        <v>63</v>
      </c>
      <c r="AO648" s="37"/>
      <c r="AP648" s="65"/>
      <c r="AQ648" s="109" t="s">
        <v>856</v>
      </c>
      <c r="AR648" s="139" t="s">
        <v>63</v>
      </c>
      <c r="AS648" s="37"/>
      <c r="AT648" s="65"/>
      <c r="AU648" s="109" t="s">
        <v>856</v>
      </c>
      <c r="AV648" s="139" t="s">
        <v>63</v>
      </c>
      <c r="AW648" s="37"/>
      <c r="AX648" s="65"/>
      <c r="AY648" s="109" t="s">
        <v>856</v>
      </c>
      <c r="AZ648" s="139" t="s">
        <v>63</v>
      </c>
      <c r="BA648" s="37"/>
      <c r="BB648" s="65"/>
      <c r="BC648" s="109" t="s">
        <v>856</v>
      </c>
      <c r="BD648" s="139" t="s">
        <v>63</v>
      </c>
      <c r="BE648" s="37"/>
      <c r="BF648" s="65"/>
      <c r="BG648" s="109" t="s">
        <v>856</v>
      </c>
      <c r="BH648" s="139" t="s">
        <v>63</v>
      </c>
      <c r="BI648" s="37"/>
      <c r="BJ648" s="65"/>
      <c r="BK648" s="109" t="s">
        <v>856</v>
      </c>
      <c r="BL648" s="139" t="s">
        <v>63</v>
      </c>
      <c r="BM648" s="37"/>
      <c r="BN648" s="65"/>
      <c r="BO648" s="109" t="s">
        <v>856</v>
      </c>
      <c r="BP648" s="139" t="s">
        <v>63</v>
      </c>
      <c r="BQ648" s="37"/>
      <c r="BR648" s="65"/>
      <c r="BS648" s="109" t="s">
        <v>856</v>
      </c>
      <c r="BT648" s="139" t="s">
        <v>63</v>
      </c>
      <c r="BU648" s="37"/>
    </row>
    <row r="649" ht="12.75" customHeight="1">
      <c r="A649" s="151" t="s">
        <v>857</v>
      </c>
      <c r="B649" s="132" t="s">
        <v>591</v>
      </c>
      <c r="C649" s="140"/>
      <c r="D649" s="134"/>
      <c r="E649" s="57"/>
      <c r="F649" s="65"/>
      <c r="G649" s="90" t="s">
        <v>858</v>
      </c>
      <c r="H649" s="136"/>
      <c r="I649" s="72"/>
      <c r="J649" s="65"/>
      <c r="K649" s="90" t="s">
        <v>858</v>
      </c>
      <c r="L649" s="138" t="s">
        <v>486</v>
      </c>
      <c r="M649" s="37"/>
      <c r="N649" s="65"/>
      <c r="O649" s="90" t="s">
        <v>858</v>
      </c>
      <c r="P649" s="138" t="s">
        <v>486</v>
      </c>
      <c r="Q649" s="37"/>
      <c r="R649" s="65"/>
      <c r="S649" s="90" t="s">
        <v>858</v>
      </c>
      <c r="T649" s="138" t="s">
        <v>486</v>
      </c>
      <c r="U649" s="37"/>
      <c r="V649" s="65"/>
      <c r="W649" s="90" t="s">
        <v>858</v>
      </c>
      <c r="X649" s="138" t="s">
        <v>486</v>
      </c>
      <c r="Y649" s="37"/>
      <c r="Z649" s="65"/>
      <c r="AA649" s="90" t="s">
        <v>858</v>
      </c>
      <c r="AB649" s="138" t="s">
        <v>486</v>
      </c>
      <c r="AC649" s="37"/>
      <c r="AD649" s="65"/>
      <c r="AE649" s="90" t="s">
        <v>858</v>
      </c>
      <c r="AF649" s="138" t="s">
        <v>486</v>
      </c>
      <c r="AG649" s="37"/>
      <c r="AH649" s="65"/>
      <c r="AI649" s="90" t="s">
        <v>858</v>
      </c>
      <c r="AJ649" s="138" t="s">
        <v>486</v>
      </c>
      <c r="AK649" s="37"/>
      <c r="AL649" s="65"/>
      <c r="AM649" s="90" t="s">
        <v>858</v>
      </c>
      <c r="AN649" s="138" t="s">
        <v>486</v>
      </c>
      <c r="AO649" s="37"/>
      <c r="AP649" s="65"/>
      <c r="AQ649" s="90" t="s">
        <v>858</v>
      </c>
      <c r="AR649" s="138" t="s">
        <v>486</v>
      </c>
      <c r="AS649" s="37"/>
      <c r="AT649" s="65"/>
      <c r="AU649" s="90" t="s">
        <v>858</v>
      </c>
      <c r="AV649" s="138" t="s">
        <v>486</v>
      </c>
      <c r="AW649" s="37"/>
      <c r="AX649" s="65"/>
      <c r="AY649" s="90" t="s">
        <v>858</v>
      </c>
      <c r="AZ649" s="138" t="s">
        <v>486</v>
      </c>
      <c r="BA649" s="37"/>
      <c r="BB649" s="65"/>
      <c r="BC649" s="90" t="s">
        <v>858</v>
      </c>
      <c r="BD649" s="138" t="s">
        <v>486</v>
      </c>
      <c r="BE649" s="37"/>
      <c r="BF649" s="65"/>
      <c r="BG649" s="90" t="s">
        <v>858</v>
      </c>
      <c r="BH649" s="138" t="s">
        <v>486</v>
      </c>
      <c r="BI649" s="37"/>
      <c r="BJ649" s="65"/>
      <c r="BK649" s="90" t="s">
        <v>858</v>
      </c>
      <c r="BL649" s="138" t="s">
        <v>486</v>
      </c>
      <c r="BM649" s="37"/>
      <c r="BN649" s="65"/>
      <c r="BO649" s="90" t="s">
        <v>858</v>
      </c>
      <c r="BP649" s="138" t="s">
        <v>486</v>
      </c>
      <c r="BQ649" s="37"/>
      <c r="BR649" s="65"/>
      <c r="BS649" s="90" t="s">
        <v>858</v>
      </c>
      <c r="BT649" s="138" t="s">
        <v>486</v>
      </c>
      <c r="BU649" s="37"/>
    </row>
    <row r="650" ht="12.75" customHeight="1">
      <c r="A650" s="93"/>
      <c r="B650" s="152"/>
      <c r="C650" s="58"/>
      <c r="D650" s="92"/>
      <c r="E650" s="57"/>
      <c r="F650" s="135"/>
      <c r="G650" s="76"/>
      <c r="H650" s="136"/>
      <c r="I650" s="72"/>
      <c r="J650" s="65"/>
      <c r="K650" s="109"/>
      <c r="L650" s="132"/>
      <c r="M650" s="37"/>
      <c r="N650" s="65"/>
      <c r="O650" s="109"/>
      <c r="P650" s="132"/>
      <c r="Q650" s="37"/>
      <c r="R650" s="65"/>
      <c r="S650" s="109"/>
      <c r="T650" s="132"/>
      <c r="U650" s="37"/>
      <c r="V650" s="65"/>
      <c r="W650" s="109"/>
      <c r="X650" s="132"/>
      <c r="Y650" s="37"/>
      <c r="Z650" s="65"/>
      <c r="AA650" s="109"/>
      <c r="AB650" s="132"/>
      <c r="AC650" s="37"/>
      <c r="AD650" s="65"/>
      <c r="AE650" s="109"/>
      <c r="AF650" s="132"/>
      <c r="AG650" s="37"/>
      <c r="AH650" s="65"/>
      <c r="AI650" s="109"/>
      <c r="AJ650" s="132"/>
      <c r="AK650" s="37"/>
      <c r="AL650" s="65"/>
      <c r="AM650" s="109"/>
      <c r="AN650" s="132"/>
      <c r="AO650" s="37"/>
      <c r="AP650" s="65"/>
      <c r="AQ650" s="109"/>
      <c r="AR650" s="132"/>
      <c r="AS650" s="37"/>
      <c r="AT650" s="65"/>
      <c r="AU650" s="109"/>
      <c r="AV650" s="132"/>
      <c r="AW650" s="37"/>
      <c r="AX650" s="65"/>
      <c r="AY650" s="109"/>
      <c r="AZ650" s="132"/>
      <c r="BA650" s="37"/>
      <c r="BB650" s="65"/>
      <c r="BC650" s="109"/>
      <c r="BD650" s="132"/>
      <c r="BE650" s="37"/>
      <c r="BF650" s="65"/>
      <c r="BG650" s="109"/>
      <c r="BH650" s="132"/>
      <c r="BI650" s="37"/>
      <c r="BJ650" s="65"/>
      <c r="BK650" s="109"/>
      <c r="BL650" s="132"/>
      <c r="BM650" s="37"/>
      <c r="BN650" s="65"/>
      <c r="BO650" s="109"/>
      <c r="BP650" s="132"/>
      <c r="BQ650" s="37"/>
      <c r="BR650" s="65"/>
      <c r="BS650" s="109"/>
      <c r="BT650" s="132"/>
      <c r="BU650" s="37"/>
    </row>
    <row r="651" ht="12.75" customHeight="1">
      <c r="A651" s="93"/>
      <c r="B651" s="94"/>
      <c r="C651" s="58"/>
      <c r="D651" s="92"/>
      <c r="E651" s="57"/>
      <c r="F651" s="144"/>
      <c r="G651" s="76"/>
      <c r="H651" s="136"/>
      <c r="I651" s="72"/>
      <c r="J651" s="145"/>
      <c r="K651" s="109"/>
      <c r="L651" s="132"/>
      <c r="M651" s="37"/>
      <c r="N651" s="145"/>
      <c r="O651" s="109"/>
      <c r="P651" s="132"/>
      <c r="Q651" s="37"/>
      <c r="R651" s="145"/>
      <c r="S651" s="109"/>
      <c r="T651" s="132"/>
      <c r="U651" s="37"/>
      <c r="V651" s="145"/>
      <c r="W651" s="109"/>
      <c r="X651" s="132"/>
      <c r="Y651" s="37"/>
      <c r="Z651" s="145"/>
      <c r="AA651" s="109"/>
      <c r="AB651" s="132"/>
      <c r="AC651" s="37"/>
      <c r="AD651" s="145"/>
      <c r="AE651" s="109"/>
      <c r="AF651" s="132"/>
      <c r="AG651" s="37"/>
      <c r="AH651" s="145"/>
      <c r="AI651" s="109"/>
      <c r="AJ651" s="132"/>
      <c r="AK651" s="37"/>
      <c r="AL651" s="145"/>
      <c r="AM651" s="109"/>
      <c r="AN651" s="132"/>
      <c r="AO651" s="37"/>
      <c r="AP651" s="145"/>
      <c r="AQ651" s="109"/>
      <c r="AR651" s="132"/>
      <c r="AS651" s="37"/>
      <c r="AT651" s="145"/>
      <c r="AU651" s="109"/>
      <c r="AV651" s="132"/>
      <c r="AW651" s="37"/>
      <c r="AX651" s="145"/>
      <c r="AY651" s="109"/>
      <c r="AZ651" s="132"/>
      <c r="BA651" s="37"/>
      <c r="BB651" s="145"/>
      <c r="BC651" s="109"/>
      <c r="BD651" s="132"/>
      <c r="BE651" s="37"/>
      <c r="BF651" s="145"/>
      <c r="BG651" s="109"/>
      <c r="BH651" s="132"/>
      <c r="BI651" s="37"/>
      <c r="BJ651" s="145"/>
      <c r="BK651" s="109"/>
      <c r="BL651" s="132"/>
      <c r="BM651" s="37"/>
      <c r="BN651" s="145"/>
      <c r="BO651" s="109"/>
      <c r="BP651" s="132"/>
      <c r="BQ651" s="37"/>
      <c r="BR651" s="145"/>
      <c r="BS651" s="109"/>
      <c r="BT651" s="132"/>
      <c r="BU651" s="37"/>
    </row>
    <row r="652" ht="12.75" customHeight="1">
      <c r="A652" s="93"/>
      <c r="B652" s="94"/>
      <c r="C652" s="94"/>
      <c r="D652" s="37"/>
      <c r="E652" s="57"/>
      <c r="F652" s="60" t="s">
        <v>859</v>
      </c>
      <c r="G652" s="88"/>
      <c r="H652" s="149"/>
      <c r="I652" s="72"/>
      <c r="J652" s="60" t="s">
        <v>859</v>
      </c>
      <c r="K652" s="88"/>
      <c r="L652" s="150"/>
      <c r="M652" s="37"/>
      <c r="N652" s="60" t="s">
        <v>859</v>
      </c>
      <c r="O652" s="88"/>
      <c r="P652" s="150"/>
      <c r="Q652" s="37"/>
      <c r="R652" s="60" t="s">
        <v>859</v>
      </c>
      <c r="S652" s="88"/>
      <c r="T652" s="150"/>
      <c r="U652" s="37"/>
      <c r="V652" s="60" t="s">
        <v>859</v>
      </c>
      <c r="W652" s="88"/>
      <c r="X652" s="150"/>
      <c r="Y652" s="37"/>
      <c r="Z652" s="60" t="s">
        <v>859</v>
      </c>
      <c r="AA652" s="88"/>
      <c r="AB652" s="150"/>
      <c r="AC652" s="37"/>
      <c r="AD652" s="60" t="s">
        <v>859</v>
      </c>
      <c r="AE652" s="88"/>
      <c r="AF652" s="150"/>
      <c r="AG652" s="37"/>
      <c r="AH652" s="60" t="s">
        <v>859</v>
      </c>
      <c r="AI652" s="88"/>
      <c r="AJ652" s="150"/>
      <c r="AK652" s="37"/>
      <c r="AL652" s="60" t="s">
        <v>859</v>
      </c>
      <c r="AM652" s="88"/>
      <c r="AN652" s="150"/>
      <c r="AO652" s="37"/>
      <c r="AP652" s="60" t="s">
        <v>859</v>
      </c>
      <c r="AQ652" s="88"/>
      <c r="AR652" s="150"/>
      <c r="AS652" s="37"/>
      <c r="AT652" s="60" t="s">
        <v>859</v>
      </c>
      <c r="AU652" s="88"/>
      <c r="AV652" s="150"/>
      <c r="AW652" s="37"/>
      <c r="AX652" s="60" t="s">
        <v>859</v>
      </c>
      <c r="AY652" s="88"/>
      <c r="AZ652" s="150"/>
      <c r="BA652" s="37"/>
      <c r="BB652" s="60" t="s">
        <v>859</v>
      </c>
      <c r="BC652" s="88"/>
      <c r="BD652" s="150"/>
      <c r="BE652" s="37"/>
      <c r="BF652" s="60" t="s">
        <v>859</v>
      </c>
      <c r="BG652" s="88"/>
      <c r="BH652" s="150"/>
      <c r="BI652" s="37"/>
      <c r="BJ652" s="60" t="s">
        <v>859</v>
      </c>
      <c r="BK652" s="88"/>
      <c r="BL652" s="150"/>
      <c r="BM652" s="37"/>
      <c r="BN652" s="60" t="s">
        <v>859</v>
      </c>
      <c r="BO652" s="88"/>
      <c r="BP652" s="150"/>
      <c r="BQ652" s="37"/>
      <c r="BR652" s="60" t="s">
        <v>859</v>
      </c>
      <c r="BS652" s="88"/>
      <c r="BT652" s="150"/>
      <c r="BU652" s="37"/>
    </row>
    <row r="653" ht="12.75" customHeight="1">
      <c r="A653" s="63" t="s">
        <v>36</v>
      </c>
      <c r="B653" s="64" t="s">
        <v>37</v>
      </c>
      <c r="C653" s="64" t="s">
        <v>38</v>
      </c>
      <c r="D653" s="37"/>
      <c r="E653" s="57"/>
      <c r="F653" s="65"/>
      <c r="G653" s="66" t="s">
        <v>39</v>
      </c>
      <c r="H653" s="67" t="s">
        <v>40</v>
      </c>
      <c r="I653" s="153"/>
      <c r="J653" s="65"/>
      <c r="K653" s="66" t="s">
        <v>39</v>
      </c>
      <c r="L653" s="130" t="s">
        <v>40</v>
      </c>
      <c r="M653" s="92"/>
      <c r="N653" s="65"/>
      <c r="O653" s="66" t="s">
        <v>39</v>
      </c>
      <c r="P653" s="130" t="s">
        <v>40</v>
      </c>
      <c r="Q653" s="37"/>
      <c r="R653" s="65"/>
      <c r="S653" s="66" t="s">
        <v>39</v>
      </c>
      <c r="T653" s="130" t="s">
        <v>40</v>
      </c>
      <c r="U653" s="37"/>
      <c r="V653" s="65"/>
      <c r="W653" s="66" t="s">
        <v>39</v>
      </c>
      <c r="X653" s="130" t="s">
        <v>40</v>
      </c>
      <c r="Y653" s="37"/>
      <c r="Z653" s="65"/>
      <c r="AA653" s="66" t="s">
        <v>39</v>
      </c>
      <c r="AB653" s="130" t="s">
        <v>40</v>
      </c>
      <c r="AC653" s="37"/>
      <c r="AD653" s="65"/>
      <c r="AE653" s="66" t="s">
        <v>39</v>
      </c>
      <c r="AF653" s="130" t="s">
        <v>40</v>
      </c>
      <c r="AG653" s="37"/>
      <c r="AH653" s="65"/>
      <c r="AI653" s="66" t="s">
        <v>39</v>
      </c>
      <c r="AJ653" s="130" t="s">
        <v>40</v>
      </c>
      <c r="AK653" s="37"/>
      <c r="AL653" s="65"/>
      <c r="AM653" s="66" t="s">
        <v>39</v>
      </c>
      <c r="AN653" s="130" t="s">
        <v>40</v>
      </c>
      <c r="AO653" s="37"/>
      <c r="AP653" s="65"/>
      <c r="AQ653" s="66" t="s">
        <v>39</v>
      </c>
      <c r="AR653" s="130" t="s">
        <v>40</v>
      </c>
      <c r="AS653" s="37"/>
      <c r="AT653" s="65"/>
      <c r="AU653" s="66" t="s">
        <v>39</v>
      </c>
      <c r="AV653" s="130" t="s">
        <v>40</v>
      </c>
      <c r="AW653" s="37"/>
      <c r="AX653" s="65"/>
      <c r="AY653" s="66" t="s">
        <v>39</v>
      </c>
      <c r="AZ653" s="130" t="s">
        <v>40</v>
      </c>
      <c r="BA653" s="37"/>
      <c r="BB653" s="65"/>
      <c r="BC653" s="66" t="s">
        <v>39</v>
      </c>
      <c r="BD653" s="130" t="s">
        <v>40</v>
      </c>
      <c r="BE653" s="37"/>
      <c r="BF653" s="65"/>
      <c r="BG653" s="66" t="s">
        <v>39</v>
      </c>
      <c r="BH653" s="130" t="s">
        <v>40</v>
      </c>
      <c r="BI653" s="37"/>
      <c r="BJ653" s="65"/>
      <c r="BK653" s="66" t="s">
        <v>39</v>
      </c>
      <c r="BL653" s="130" t="s">
        <v>40</v>
      </c>
      <c r="BM653" s="37"/>
      <c r="BN653" s="65"/>
      <c r="BO653" s="66" t="s">
        <v>39</v>
      </c>
      <c r="BP653" s="130" t="s">
        <v>40</v>
      </c>
      <c r="BQ653" s="37"/>
      <c r="BR653" s="65"/>
      <c r="BS653" s="66" t="s">
        <v>39</v>
      </c>
      <c r="BT653" s="130" t="s">
        <v>40</v>
      </c>
      <c r="BU653" s="37"/>
    </row>
    <row r="654" ht="12.75" customHeight="1">
      <c r="A654" s="146"/>
      <c r="B654" s="132" t="s">
        <v>63</v>
      </c>
      <c r="C654" s="69"/>
      <c r="D654" s="134"/>
      <c r="E654" s="59"/>
      <c r="F654" s="65"/>
      <c r="G654" s="70" t="s">
        <v>860</v>
      </c>
      <c r="H654" s="95"/>
      <c r="I654" s="37"/>
      <c r="J654" s="65"/>
      <c r="K654" s="137" t="s">
        <v>860</v>
      </c>
      <c r="L654" s="138" t="s">
        <v>46</v>
      </c>
      <c r="M654" s="37"/>
      <c r="N654" s="65"/>
      <c r="O654" s="137" t="s">
        <v>860</v>
      </c>
      <c r="P654" s="139" t="s">
        <v>63</v>
      </c>
      <c r="Q654" s="37"/>
      <c r="R654" s="65"/>
      <c r="S654" s="137" t="s">
        <v>860</v>
      </c>
      <c r="T654" s="139" t="s">
        <v>63</v>
      </c>
      <c r="U654" s="37"/>
      <c r="V654" s="65"/>
      <c r="W654" s="137" t="s">
        <v>860</v>
      </c>
      <c r="X654" s="138" t="s">
        <v>46</v>
      </c>
      <c r="Y654" s="37"/>
      <c r="Z654" s="65"/>
      <c r="AA654" s="137" t="s">
        <v>860</v>
      </c>
      <c r="AB654" s="139" t="s">
        <v>63</v>
      </c>
      <c r="AC654" s="37"/>
      <c r="AD654" s="65"/>
      <c r="AE654" s="137" t="s">
        <v>860</v>
      </c>
      <c r="AF654" s="138" t="s">
        <v>46</v>
      </c>
      <c r="AG654" s="37"/>
      <c r="AH654" s="65"/>
      <c r="AI654" s="137" t="s">
        <v>860</v>
      </c>
      <c r="AJ654" s="138" t="s">
        <v>46</v>
      </c>
      <c r="AK654" s="37"/>
      <c r="AL654" s="65"/>
      <c r="AM654" s="137" t="s">
        <v>860</v>
      </c>
      <c r="AN654" s="138" t="s">
        <v>46</v>
      </c>
      <c r="AO654" s="37"/>
      <c r="AP654" s="65"/>
      <c r="AQ654" s="137" t="s">
        <v>860</v>
      </c>
      <c r="AR654" s="139" t="s">
        <v>63</v>
      </c>
      <c r="AS654" s="37"/>
      <c r="AT654" s="65"/>
      <c r="AU654" s="137" t="s">
        <v>860</v>
      </c>
      <c r="AV654" s="139" t="s">
        <v>63</v>
      </c>
      <c r="AW654" s="37"/>
      <c r="AX654" s="65"/>
      <c r="AY654" s="137" t="s">
        <v>860</v>
      </c>
      <c r="AZ654" s="138" t="s">
        <v>46</v>
      </c>
      <c r="BA654" s="37"/>
      <c r="BB654" s="65"/>
      <c r="BC654" s="137" t="s">
        <v>860</v>
      </c>
      <c r="BD654" s="139" t="s">
        <v>63</v>
      </c>
      <c r="BE654" s="37"/>
      <c r="BF654" s="65"/>
      <c r="BG654" s="137" t="s">
        <v>860</v>
      </c>
      <c r="BH654" s="139" t="s">
        <v>63</v>
      </c>
      <c r="BI654" s="37"/>
      <c r="BJ654" s="65"/>
      <c r="BK654" s="137" t="s">
        <v>860</v>
      </c>
      <c r="BL654" s="138" t="s">
        <v>46</v>
      </c>
      <c r="BM654" s="37"/>
      <c r="BN654" s="65"/>
      <c r="BO654" s="137" t="s">
        <v>860</v>
      </c>
      <c r="BP654" s="139" t="s">
        <v>63</v>
      </c>
      <c r="BQ654" s="37"/>
      <c r="BR654" s="65"/>
      <c r="BS654" s="137" t="s">
        <v>860</v>
      </c>
      <c r="BT654" s="139" t="s">
        <v>63</v>
      </c>
      <c r="BU654" s="37"/>
    </row>
    <row r="655" ht="12.75" customHeight="1">
      <c r="A655" s="146"/>
      <c r="B655" s="132" t="s">
        <v>46</v>
      </c>
      <c r="C655" s="69"/>
      <c r="D655" s="134"/>
      <c r="E655" s="59"/>
      <c r="F655" s="65"/>
      <c r="G655" s="70" t="s">
        <v>861</v>
      </c>
      <c r="H655" s="95"/>
      <c r="I655" s="37"/>
      <c r="J655" s="65"/>
      <c r="K655" s="137" t="s">
        <v>861</v>
      </c>
      <c r="L655" s="139" t="s">
        <v>46</v>
      </c>
      <c r="M655" s="37"/>
      <c r="N655" s="65"/>
      <c r="O655" s="137" t="s">
        <v>861</v>
      </c>
      <c r="P655" s="138" t="s">
        <v>63</v>
      </c>
      <c r="Q655" s="37"/>
      <c r="R655" s="65"/>
      <c r="S655" s="137" t="s">
        <v>861</v>
      </c>
      <c r="T655" s="139" t="s">
        <v>46</v>
      </c>
      <c r="U655" s="37"/>
      <c r="V655" s="65"/>
      <c r="W655" s="137" t="s">
        <v>861</v>
      </c>
      <c r="X655" s="139" t="s">
        <v>46</v>
      </c>
      <c r="Y655" s="37"/>
      <c r="Z655" s="65"/>
      <c r="AA655" s="137" t="s">
        <v>861</v>
      </c>
      <c r="AB655" s="138" t="s">
        <v>63</v>
      </c>
      <c r="AC655" s="37"/>
      <c r="AD655" s="65"/>
      <c r="AE655" s="137" t="s">
        <v>861</v>
      </c>
      <c r="AF655" s="139" t="s">
        <v>46</v>
      </c>
      <c r="AG655" s="37"/>
      <c r="AH655" s="65"/>
      <c r="AI655" s="137" t="s">
        <v>861</v>
      </c>
      <c r="AJ655" s="139" t="s">
        <v>46</v>
      </c>
      <c r="AK655" s="37"/>
      <c r="AL655" s="65"/>
      <c r="AM655" s="137" t="s">
        <v>861</v>
      </c>
      <c r="AN655" s="139" t="s">
        <v>46</v>
      </c>
      <c r="AO655" s="37"/>
      <c r="AP655" s="65"/>
      <c r="AQ655" s="137" t="s">
        <v>861</v>
      </c>
      <c r="AR655" s="138" t="s">
        <v>63</v>
      </c>
      <c r="AS655" s="37"/>
      <c r="AT655" s="65"/>
      <c r="AU655" s="137" t="s">
        <v>861</v>
      </c>
      <c r="AV655" s="139" t="s">
        <v>46</v>
      </c>
      <c r="AW655" s="37"/>
      <c r="AX655" s="65"/>
      <c r="AY655" s="137" t="s">
        <v>861</v>
      </c>
      <c r="AZ655" s="139" t="s">
        <v>46</v>
      </c>
      <c r="BA655" s="37"/>
      <c r="BB655" s="65"/>
      <c r="BC655" s="137" t="s">
        <v>861</v>
      </c>
      <c r="BD655" s="138" t="s">
        <v>63</v>
      </c>
      <c r="BE655" s="37"/>
      <c r="BF655" s="65"/>
      <c r="BG655" s="137" t="s">
        <v>861</v>
      </c>
      <c r="BH655" s="138" t="s">
        <v>63</v>
      </c>
      <c r="BI655" s="37"/>
      <c r="BJ655" s="65"/>
      <c r="BK655" s="137" t="s">
        <v>861</v>
      </c>
      <c r="BL655" s="139" t="s">
        <v>46</v>
      </c>
      <c r="BM655" s="37"/>
      <c r="BN655" s="65"/>
      <c r="BO655" s="137" t="s">
        <v>861</v>
      </c>
      <c r="BP655" s="138" t="s">
        <v>63</v>
      </c>
      <c r="BQ655" s="37"/>
      <c r="BR655" s="65"/>
      <c r="BS655" s="137" t="s">
        <v>861</v>
      </c>
      <c r="BT655" s="138" t="s">
        <v>63</v>
      </c>
      <c r="BU655" s="37"/>
    </row>
    <row r="656" ht="12.75" customHeight="1">
      <c r="A656" s="146"/>
      <c r="B656" s="132" t="s">
        <v>46</v>
      </c>
      <c r="C656" s="69"/>
      <c r="D656" s="134"/>
      <c r="E656" s="59"/>
      <c r="F656" s="65"/>
      <c r="G656" s="70" t="s">
        <v>862</v>
      </c>
      <c r="H656" s="95"/>
      <c r="I656" s="37"/>
      <c r="J656" s="65"/>
      <c r="K656" s="137" t="s">
        <v>862</v>
      </c>
      <c r="L656" s="139" t="s">
        <v>46</v>
      </c>
      <c r="M656" s="37"/>
      <c r="N656" s="65"/>
      <c r="O656" s="137" t="s">
        <v>862</v>
      </c>
      <c r="P656" s="138" t="s">
        <v>63</v>
      </c>
      <c r="Q656" s="37"/>
      <c r="R656" s="65"/>
      <c r="S656" s="137" t="s">
        <v>862</v>
      </c>
      <c r="T656" s="139" t="s">
        <v>46</v>
      </c>
      <c r="U656" s="37"/>
      <c r="V656" s="65"/>
      <c r="W656" s="137" t="s">
        <v>862</v>
      </c>
      <c r="X656" s="139" t="s">
        <v>46</v>
      </c>
      <c r="Y656" s="37"/>
      <c r="Z656" s="65"/>
      <c r="AA656" s="137" t="s">
        <v>862</v>
      </c>
      <c r="AB656" s="138" t="s">
        <v>63</v>
      </c>
      <c r="AC656" s="37"/>
      <c r="AD656" s="65"/>
      <c r="AE656" s="137" t="s">
        <v>862</v>
      </c>
      <c r="AF656" s="139" t="s">
        <v>46</v>
      </c>
      <c r="AG656" s="37"/>
      <c r="AH656" s="65"/>
      <c r="AI656" s="137" t="s">
        <v>862</v>
      </c>
      <c r="AJ656" s="139" t="s">
        <v>46</v>
      </c>
      <c r="AK656" s="37"/>
      <c r="AL656" s="65"/>
      <c r="AM656" s="137" t="s">
        <v>862</v>
      </c>
      <c r="AN656" s="139" t="s">
        <v>46</v>
      </c>
      <c r="AO656" s="37"/>
      <c r="AP656" s="65"/>
      <c r="AQ656" s="137" t="s">
        <v>862</v>
      </c>
      <c r="AR656" s="138" t="s">
        <v>63</v>
      </c>
      <c r="AS656" s="37"/>
      <c r="AT656" s="65"/>
      <c r="AU656" s="137" t="s">
        <v>862</v>
      </c>
      <c r="AV656" s="139" t="s">
        <v>46</v>
      </c>
      <c r="AW656" s="37"/>
      <c r="AX656" s="65"/>
      <c r="AY656" s="137" t="s">
        <v>862</v>
      </c>
      <c r="AZ656" s="139" t="s">
        <v>46</v>
      </c>
      <c r="BA656" s="37"/>
      <c r="BB656" s="65"/>
      <c r="BC656" s="137" t="s">
        <v>862</v>
      </c>
      <c r="BD656" s="138" t="s">
        <v>63</v>
      </c>
      <c r="BE656" s="37"/>
      <c r="BF656" s="65"/>
      <c r="BG656" s="137" t="s">
        <v>862</v>
      </c>
      <c r="BH656" s="138" t="s">
        <v>63</v>
      </c>
      <c r="BI656" s="37"/>
      <c r="BJ656" s="65"/>
      <c r="BK656" s="137" t="s">
        <v>862</v>
      </c>
      <c r="BL656" s="139" t="s">
        <v>46</v>
      </c>
      <c r="BM656" s="37"/>
      <c r="BN656" s="65"/>
      <c r="BO656" s="137" t="s">
        <v>862</v>
      </c>
      <c r="BP656" s="138" t="s">
        <v>63</v>
      </c>
      <c r="BQ656" s="37"/>
      <c r="BR656" s="65"/>
      <c r="BS656" s="137" t="s">
        <v>862</v>
      </c>
      <c r="BT656" s="138" t="s">
        <v>63</v>
      </c>
      <c r="BU656" s="37"/>
    </row>
    <row r="657" ht="12.75" customHeight="1">
      <c r="A657" s="146"/>
      <c r="B657" s="132" t="s">
        <v>46</v>
      </c>
      <c r="C657" s="69"/>
      <c r="D657" s="134"/>
      <c r="E657" s="59"/>
      <c r="F657" s="65"/>
      <c r="G657" s="70" t="s">
        <v>863</v>
      </c>
      <c r="H657" s="95"/>
      <c r="I657" s="37"/>
      <c r="J657" s="65"/>
      <c r="K657" s="137" t="s">
        <v>863</v>
      </c>
      <c r="L657" s="139" t="s">
        <v>46</v>
      </c>
      <c r="M657" s="37"/>
      <c r="N657" s="65"/>
      <c r="O657" s="137" t="s">
        <v>863</v>
      </c>
      <c r="P657" s="138" t="s">
        <v>63</v>
      </c>
      <c r="Q657" s="37"/>
      <c r="R657" s="65"/>
      <c r="S657" s="137" t="s">
        <v>863</v>
      </c>
      <c r="T657" s="139" t="s">
        <v>46</v>
      </c>
      <c r="U657" s="37"/>
      <c r="V657" s="65"/>
      <c r="W657" s="137" t="s">
        <v>863</v>
      </c>
      <c r="X657" s="139" t="s">
        <v>46</v>
      </c>
      <c r="Y657" s="37"/>
      <c r="Z657" s="65"/>
      <c r="AA657" s="137" t="s">
        <v>863</v>
      </c>
      <c r="AB657" s="138" t="s">
        <v>63</v>
      </c>
      <c r="AC657" s="37"/>
      <c r="AD657" s="65"/>
      <c r="AE657" s="137" t="s">
        <v>863</v>
      </c>
      <c r="AF657" s="139" t="s">
        <v>46</v>
      </c>
      <c r="AG657" s="37"/>
      <c r="AH657" s="65"/>
      <c r="AI657" s="137" t="s">
        <v>863</v>
      </c>
      <c r="AJ657" s="139" t="s">
        <v>46</v>
      </c>
      <c r="AK657" s="37"/>
      <c r="AL657" s="65"/>
      <c r="AM657" s="137" t="s">
        <v>863</v>
      </c>
      <c r="AN657" s="139" t="s">
        <v>46</v>
      </c>
      <c r="AO657" s="37"/>
      <c r="AP657" s="65"/>
      <c r="AQ657" s="137" t="s">
        <v>863</v>
      </c>
      <c r="AR657" s="138" t="s">
        <v>63</v>
      </c>
      <c r="AS657" s="37"/>
      <c r="AT657" s="65"/>
      <c r="AU657" s="137" t="s">
        <v>863</v>
      </c>
      <c r="AV657" s="139" t="s">
        <v>46</v>
      </c>
      <c r="AW657" s="37"/>
      <c r="AX657" s="65"/>
      <c r="AY657" s="137" t="s">
        <v>863</v>
      </c>
      <c r="AZ657" s="139" t="s">
        <v>46</v>
      </c>
      <c r="BA657" s="37"/>
      <c r="BB657" s="65"/>
      <c r="BC657" s="137" t="s">
        <v>863</v>
      </c>
      <c r="BD657" s="138" t="s">
        <v>63</v>
      </c>
      <c r="BE657" s="37"/>
      <c r="BF657" s="65"/>
      <c r="BG657" s="137" t="s">
        <v>863</v>
      </c>
      <c r="BH657" s="138" t="s">
        <v>63</v>
      </c>
      <c r="BI657" s="37"/>
      <c r="BJ657" s="65"/>
      <c r="BK657" s="137" t="s">
        <v>863</v>
      </c>
      <c r="BL657" s="139" t="s">
        <v>46</v>
      </c>
      <c r="BM657" s="37"/>
      <c r="BN657" s="65"/>
      <c r="BO657" s="137" t="s">
        <v>863</v>
      </c>
      <c r="BP657" s="138" t="s">
        <v>63</v>
      </c>
      <c r="BQ657" s="37"/>
      <c r="BR657" s="65"/>
      <c r="BS657" s="137" t="s">
        <v>863</v>
      </c>
      <c r="BT657" s="138" t="s">
        <v>63</v>
      </c>
      <c r="BU657" s="37"/>
    </row>
    <row r="658" ht="12.75" customHeight="1">
      <c r="A658" s="146"/>
      <c r="B658" s="132" t="s">
        <v>46</v>
      </c>
      <c r="C658" s="69"/>
      <c r="D658" s="134"/>
      <c r="E658" s="59"/>
      <c r="F658" s="65"/>
      <c r="G658" s="70" t="s">
        <v>864</v>
      </c>
      <c r="H658" s="95"/>
      <c r="I658" s="37"/>
      <c r="J658" s="65"/>
      <c r="K658" s="137" t="s">
        <v>864</v>
      </c>
      <c r="L658" s="138" t="s">
        <v>243</v>
      </c>
      <c r="M658" s="37"/>
      <c r="N658" s="65"/>
      <c r="O658" s="137" t="s">
        <v>864</v>
      </c>
      <c r="P658" s="138" t="s">
        <v>63</v>
      </c>
      <c r="Q658" s="37"/>
      <c r="R658" s="65"/>
      <c r="S658" s="137" t="s">
        <v>864</v>
      </c>
      <c r="T658" s="138" t="s">
        <v>243</v>
      </c>
      <c r="U658" s="37"/>
      <c r="V658" s="65"/>
      <c r="W658" s="137" t="s">
        <v>864</v>
      </c>
      <c r="X658" s="138" t="s">
        <v>243</v>
      </c>
      <c r="Y658" s="37"/>
      <c r="Z658" s="65"/>
      <c r="AA658" s="137" t="s">
        <v>864</v>
      </c>
      <c r="AB658" s="138" t="s">
        <v>63</v>
      </c>
      <c r="AC658" s="37"/>
      <c r="AD658" s="65"/>
      <c r="AE658" s="137" t="s">
        <v>864</v>
      </c>
      <c r="AF658" s="138" t="s">
        <v>243</v>
      </c>
      <c r="AG658" s="37"/>
      <c r="AH658" s="65"/>
      <c r="AI658" s="137" t="s">
        <v>864</v>
      </c>
      <c r="AJ658" s="138" t="s">
        <v>243</v>
      </c>
      <c r="AK658" s="37"/>
      <c r="AL658" s="65"/>
      <c r="AM658" s="137" t="s">
        <v>864</v>
      </c>
      <c r="AN658" s="138" t="s">
        <v>243</v>
      </c>
      <c r="AO658" s="37"/>
      <c r="AP658" s="65"/>
      <c r="AQ658" s="137" t="s">
        <v>864</v>
      </c>
      <c r="AR658" s="138" t="s">
        <v>63</v>
      </c>
      <c r="AS658" s="37"/>
      <c r="AT658" s="65"/>
      <c r="AU658" s="137" t="s">
        <v>864</v>
      </c>
      <c r="AV658" s="138" t="s">
        <v>243</v>
      </c>
      <c r="AW658" s="37"/>
      <c r="AX658" s="65"/>
      <c r="AY658" s="137" t="s">
        <v>864</v>
      </c>
      <c r="AZ658" s="138" t="s">
        <v>243</v>
      </c>
      <c r="BA658" s="37"/>
      <c r="BB658" s="65"/>
      <c r="BC658" s="137" t="s">
        <v>864</v>
      </c>
      <c r="BD658" s="138" t="s">
        <v>63</v>
      </c>
      <c r="BE658" s="37"/>
      <c r="BF658" s="65"/>
      <c r="BG658" s="137" t="s">
        <v>864</v>
      </c>
      <c r="BH658" s="138" t="s">
        <v>63</v>
      </c>
      <c r="BI658" s="37"/>
      <c r="BJ658" s="65"/>
      <c r="BK658" s="137" t="s">
        <v>864</v>
      </c>
      <c r="BL658" s="138" t="s">
        <v>243</v>
      </c>
      <c r="BM658" s="37"/>
      <c r="BN658" s="65"/>
      <c r="BO658" s="137" t="s">
        <v>864</v>
      </c>
      <c r="BP658" s="138" t="s">
        <v>63</v>
      </c>
      <c r="BQ658" s="37"/>
      <c r="BR658" s="65"/>
      <c r="BS658" s="137" t="s">
        <v>864</v>
      </c>
      <c r="BT658" s="138" t="s">
        <v>63</v>
      </c>
      <c r="BU658" s="37"/>
    </row>
    <row r="659" ht="12.75" customHeight="1">
      <c r="A659" s="146"/>
      <c r="B659" s="132" t="s">
        <v>46</v>
      </c>
      <c r="C659" s="69"/>
      <c r="D659" s="134"/>
      <c r="E659" s="59"/>
      <c r="F659" s="65"/>
      <c r="G659" s="70" t="s">
        <v>865</v>
      </c>
      <c r="H659" s="95"/>
      <c r="I659" s="37"/>
      <c r="J659" s="65"/>
      <c r="K659" s="137" t="s">
        <v>865</v>
      </c>
      <c r="L659" s="138" t="s">
        <v>268</v>
      </c>
      <c r="M659" s="37"/>
      <c r="N659" s="65"/>
      <c r="O659" s="137" t="s">
        <v>865</v>
      </c>
      <c r="P659" s="138" t="s">
        <v>268</v>
      </c>
      <c r="Q659" s="37"/>
      <c r="R659" s="65"/>
      <c r="S659" s="137" t="s">
        <v>865</v>
      </c>
      <c r="T659" s="138" t="s">
        <v>268</v>
      </c>
      <c r="U659" s="37"/>
      <c r="V659" s="65"/>
      <c r="W659" s="137" t="s">
        <v>865</v>
      </c>
      <c r="X659" s="138" t="s">
        <v>268</v>
      </c>
      <c r="Y659" s="37"/>
      <c r="Z659" s="65"/>
      <c r="AA659" s="137" t="s">
        <v>865</v>
      </c>
      <c r="AB659" s="138" t="s">
        <v>268</v>
      </c>
      <c r="AC659" s="37"/>
      <c r="AD659" s="65"/>
      <c r="AE659" s="137" t="s">
        <v>865</v>
      </c>
      <c r="AF659" s="138" t="s">
        <v>268</v>
      </c>
      <c r="AG659" s="37"/>
      <c r="AH659" s="65"/>
      <c r="AI659" s="137" t="s">
        <v>865</v>
      </c>
      <c r="AJ659" s="138" t="s">
        <v>268</v>
      </c>
      <c r="AK659" s="37"/>
      <c r="AL659" s="65"/>
      <c r="AM659" s="137" t="s">
        <v>865</v>
      </c>
      <c r="AN659" s="138" t="s">
        <v>268</v>
      </c>
      <c r="AO659" s="37"/>
      <c r="AP659" s="65"/>
      <c r="AQ659" s="137" t="s">
        <v>865</v>
      </c>
      <c r="AR659" s="138" t="s">
        <v>268</v>
      </c>
      <c r="AS659" s="37"/>
      <c r="AT659" s="65"/>
      <c r="AU659" s="137" t="s">
        <v>865</v>
      </c>
      <c r="AV659" s="138" t="s">
        <v>268</v>
      </c>
      <c r="AW659" s="37"/>
      <c r="AX659" s="65"/>
      <c r="AY659" s="137" t="s">
        <v>865</v>
      </c>
      <c r="AZ659" s="138" t="s">
        <v>268</v>
      </c>
      <c r="BA659" s="37"/>
      <c r="BB659" s="65"/>
      <c r="BC659" s="137" t="s">
        <v>865</v>
      </c>
      <c r="BD659" s="138" t="s">
        <v>268</v>
      </c>
      <c r="BE659" s="37"/>
      <c r="BF659" s="65"/>
      <c r="BG659" s="137" t="s">
        <v>865</v>
      </c>
      <c r="BH659" s="138" t="s">
        <v>268</v>
      </c>
      <c r="BI659" s="37"/>
      <c r="BJ659" s="65"/>
      <c r="BK659" s="137" t="s">
        <v>865</v>
      </c>
      <c r="BL659" s="138" t="s">
        <v>268</v>
      </c>
      <c r="BM659" s="37"/>
      <c r="BN659" s="65"/>
      <c r="BO659" s="137" t="s">
        <v>865</v>
      </c>
      <c r="BP659" s="138" t="s">
        <v>268</v>
      </c>
      <c r="BQ659" s="37"/>
      <c r="BR659" s="65"/>
      <c r="BS659" s="137" t="s">
        <v>865</v>
      </c>
      <c r="BT659" s="138" t="s">
        <v>268</v>
      </c>
      <c r="BU659" s="37"/>
    </row>
    <row r="660" ht="12.75" customHeight="1">
      <c r="A660" s="146"/>
      <c r="B660" s="132" t="s">
        <v>46</v>
      </c>
      <c r="C660" s="69"/>
      <c r="D660" s="134"/>
      <c r="E660" s="59"/>
      <c r="F660" s="65"/>
      <c r="G660" s="70" t="s">
        <v>866</v>
      </c>
      <c r="H660" s="95"/>
      <c r="I660" s="37"/>
      <c r="J660" s="65"/>
      <c r="K660" s="137" t="s">
        <v>866</v>
      </c>
      <c r="L660" s="138" t="s">
        <v>268</v>
      </c>
      <c r="M660" s="37"/>
      <c r="N660" s="65"/>
      <c r="O660" s="137" t="s">
        <v>866</v>
      </c>
      <c r="P660" s="138" t="s">
        <v>268</v>
      </c>
      <c r="Q660" s="37"/>
      <c r="R660" s="65"/>
      <c r="S660" s="137" t="s">
        <v>866</v>
      </c>
      <c r="T660" s="138" t="s">
        <v>268</v>
      </c>
      <c r="U660" s="37"/>
      <c r="V660" s="65"/>
      <c r="W660" s="137" t="s">
        <v>866</v>
      </c>
      <c r="X660" s="138" t="s">
        <v>268</v>
      </c>
      <c r="Y660" s="37"/>
      <c r="Z660" s="65"/>
      <c r="AA660" s="137" t="s">
        <v>866</v>
      </c>
      <c r="AB660" s="138" t="s">
        <v>268</v>
      </c>
      <c r="AC660" s="37"/>
      <c r="AD660" s="65"/>
      <c r="AE660" s="137" t="s">
        <v>866</v>
      </c>
      <c r="AF660" s="138" t="s">
        <v>268</v>
      </c>
      <c r="AG660" s="37"/>
      <c r="AH660" s="65"/>
      <c r="AI660" s="137" t="s">
        <v>866</v>
      </c>
      <c r="AJ660" s="138" t="s">
        <v>268</v>
      </c>
      <c r="AK660" s="37"/>
      <c r="AL660" s="65"/>
      <c r="AM660" s="137" t="s">
        <v>866</v>
      </c>
      <c r="AN660" s="138" t="s">
        <v>268</v>
      </c>
      <c r="AO660" s="37"/>
      <c r="AP660" s="65"/>
      <c r="AQ660" s="137" t="s">
        <v>866</v>
      </c>
      <c r="AR660" s="138" t="s">
        <v>268</v>
      </c>
      <c r="AS660" s="37"/>
      <c r="AT660" s="65"/>
      <c r="AU660" s="137" t="s">
        <v>866</v>
      </c>
      <c r="AV660" s="138" t="s">
        <v>268</v>
      </c>
      <c r="AW660" s="37"/>
      <c r="AX660" s="65"/>
      <c r="AY660" s="137" t="s">
        <v>866</v>
      </c>
      <c r="AZ660" s="138" t="s">
        <v>268</v>
      </c>
      <c r="BA660" s="37"/>
      <c r="BB660" s="65"/>
      <c r="BC660" s="137" t="s">
        <v>866</v>
      </c>
      <c r="BD660" s="138" t="s">
        <v>268</v>
      </c>
      <c r="BE660" s="37"/>
      <c r="BF660" s="65"/>
      <c r="BG660" s="137" t="s">
        <v>866</v>
      </c>
      <c r="BH660" s="138" t="s">
        <v>268</v>
      </c>
      <c r="BI660" s="37"/>
      <c r="BJ660" s="65"/>
      <c r="BK660" s="137" t="s">
        <v>866</v>
      </c>
      <c r="BL660" s="138" t="s">
        <v>268</v>
      </c>
      <c r="BM660" s="37"/>
      <c r="BN660" s="65"/>
      <c r="BO660" s="137" t="s">
        <v>866</v>
      </c>
      <c r="BP660" s="138" t="s">
        <v>268</v>
      </c>
      <c r="BQ660" s="37"/>
      <c r="BR660" s="65"/>
      <c r="BS660" s="137" t="s">
        <v>866</v>
      </c>
      <c r="BT660" s="138" t="s">
        <v>268</v>
      </c>
      <c r="BU660" s="37"/>
    </row>
    <row r="661" ht="12.75" customHeight="1">
      <c r="A661" s="146"/>
      <c r="B661" s="132" t="s">
        <v>46</v>
      </c>
      <c r="C661" s="69"/>
      <c r="D661" s="134"/>
      <c r="E661" s="59"/>
      <c r="F661" s="65"/>
      <c r="G661" s="70" t="s">
        <v>867</v>
      </c>
      <c r="H661" s="95"/>
      <c r="I661" s="37"/>
      <c r="J661" s="65"/>
      <c r="K661" s="137" t="s">
        <v>867</v>
      </c>
      <c r="L661" s="138" t="s">
        <v>868</v>
      </c>
      <c r="M661" s="37"/>
      <c r="N661" s="65"/>
      <c r="O661" s="137" t="s">
        <v>867</v>
      </c>
      <c r="P661" s="138" t="s">
        <v>868</v>
      </c>
      <c r="Q661" s="37"/>
      <c r="R661" s="65"/>
      <c r="S661" s="137" t="s">
        <v>867</v>
      </c>
      <c r="T661" s="138" t="s">
        <v>868</v>
      </c>
      <c r="U661" s="37"/>
      <c r="V661" s="65"/>
      <c r="W661" s="137" t="s">
        <v>867</v>
      </c>
      <c r="X661" s="138" t="s">
        <v>868</v>
      </c>
      <c r="Y661" s="37"/>
      <c r="Z661" s="65"/>
      <c r="AA661" s="137" t="s">
        <v>867</v>
      </c>
      <c r="AB661" s="138" t="s">
        <v>868</v>
      </c>
      <c r="AC661" s="37"/>
      <c r="AD661" s="65"/>
      <c r="AE661" s="137" t="s">
        <v>867</v>
      </c>
      <c r="AF661" s="138" t="s">
        <v>868</v>
      </c>
      <c r="AG661" s="37"/>
      <c r="AH661" s="65"/>
      <c r="AI661" s="137" t="s">
        <v>867</v>
      </c>
      <c r="AJ661" s="138" t="s">
        <v>868</v>
      </c>
      <c r="AK661" s="37"/>
      <c r="AL661" s="65"/>
      <c r="AM661" s="137" t="s">
        <v>867</v>
      </c>
      <c r="AN661" s="138" t="s">
        <v>868</v>
      </c>
      <c r="AO661" s="37"/>
      <c r="AP661" s="65"/>
      <c r="AQ661" s="137" t="s">
        <v>867</v>
      </c>
      <c r="AR661" s="138" t="s">
        <v>868</v>
      </c>
      <c r="AS661" s="37"/>
      <c r="AT661" s="65"/>
      <c r="AU661" s="137" t="s">
        <v>867</v>
      </c>
      <c r="AV661" s="138" t="s">
        <v>868</v>
      </c>
      <c r="AW661" s="37"/>
      <c r="AX661" s="65"/>
      <c r="AY661" s="137" t="s">
        <v>867</v>
      </c>
      <c r="AZ661" s="138" t="s">
        <v>868</v>
      </c>
      <c r="BA661" s="37"/>
      <c r="BB661" s="65"/>
      <c r="BC661" s="137" t="s">
        <v>867</v>
      </c>
      <c r="BD661" s="138" t="s">
        <v>868</v>
      </c>
      <c r="BE661" s="37"/>
      <c r="BF661" s="65"/>
      <c r="BG661" s="137" t="s">
        <v>867</v>
      </c>
      <c r="BH661" s="138" t="s">
        <v>868</v>
      </c>
      <c r="BI661" s="37"/>
      <c r="BJ661" s="65"/>
      <c r="BK661" s="137" t="s">
        <v>867</v>
      </c>
      <c r="BL661" s="138" t="s">
        <v>868</v>
      </c>
      <c r="BM661" s="37"/>
      <c r="BN661" s="65"/>
      <c r="BO661" s="137" t="s">
        <v>867</v>
      </c>
      <c r="BP661" s="138" t="s">
        <v>868</v>
      </c>
      <c r="BQ661" s="37"/>
      <c r="BR661" s="65"/>
      <c r="BS661" s="137" t="s">
        <v>867</v>
      </c>
      <c r="BT661" s="138" t="s">
        <v>868</v>
      </c>
      <c r="BU661" s="37"/>
    </row>
    <row r="662" ht="12.75" customHeight="1">
      <c r="A662" s="146"/>
      <c r="B662" s="132" t="s">
        <v>46</v>
      </c>
      <c r="C662" s="69"/>
      <c r="D662" s="134"/>
      <c r="E662" s="59"/>
      <c r="F662" s="65"/>
      <c r="G662" s="70" t="s">
        <v>869</v>
      </c>
      <c r="H662" s="95"/>
      <c r="I662" s="37"/>
      <c r="J662" s="65"/>
      <c r="K662" s="137" t="s">
        <v>869</v>
      </c>
      <c r="L662" s="138" t="s">
        <v>551</v>
      </c>
      <c r="M662" s="37"/>
      <c r="N662" s="65"/>
      <c r="O662" s="137" t="s">
        <v>869</v>
      </c>
      <c r="P662" s="138" t="s">
        <v>551</v>
      </c>
      <c r="Q662" s="37"/>
      <c r="R662" s="65"/>
      <c r="S662" s="137" t="s">
        <v>869</v>
      </c>
      <c r="T662" s="138" t="s">
        <v>551</v>
      </c>
      <c r="U662" s="37"/>
      <c r="V662" s="65"/>
      <c r="W662" s="137" t="s">
        <v>869</v>
      </c>
      <c r="X662" s="138" t="s">
        <v>551</v>
      </c>
      <c r="Y662" s="37"/>
      <c r="Z662" s="65"/>
      <c r="AA662" s="137" t="s">
        <v>869</v>
      </c>
      <c r="AB662" s="138" t="s">
        <v>551</v>
      </c>
      <c r="AC662" s="37"/>
      <c r="AD662" s="65"/>
      <c r="AE662" s="137" t="s">
        <v>869</v>
      </c>
      <c r="AF662" s="138" t="s">
        <v>551</v>
      </c>
      <c r="AG662" s="37"/>
      <c r="AH662" s="65"/>
      <c r="AI662" s="137" t="s">
        <v>869</v>
      </c>
      <c r="AJ662" s="138" t="s">
        <v>551</v>
      </c>
      <c r="AK662" s="37"/>
      <c r="AL662" s="65"/>
      <c r="AM662" s="137" t="s">
        <v>869</v>
      </c>
      <c r="AN662" s="138" t="s">
        <v>551</v>
      </c>
      <c r="AO662" s="37"/>
      <c r="AP662" s="65"/>
      <c r="AQ662" s="137" t="s">
        <v>869</v>
      </c>
      <c r="AR662" s="138" t="s">
        <v>551</v>
      </c>
      <c r="AS662" s="37"/>
      <c r="AT662" s="65"/>
      <c r="AU662" s="137" t="s">
        <v>869</v>
      </c>
      <c r="AV662" s="138" t="s">
        <v>551</v>
      </c>
      <c r="AW662" s="37"/>
      <c r="AX662" s="65"/>
      <c r="AY662" s="137" t="s">
        <v>869</v>
      </c>
      <c r="AZ662" s="138" t="s">
        <v>551</v>
      </c>
      <c r="BA662" s="37"/>
      <c r="BB662" s="65"/>
      <c r="BC662" s="137" t="s">
        <v>869</v>
      </c>
      <c r="BD662" s="138" t="s">
        <v>551</v>
      </c>
      <c r="BE662" s="37"/>
      <c r="BF662" s="65"/>
      <c r="BG662" s="137" t="s">
        <v>869</v>
      </c>
      <c r="BH662" s="138" t="s">
        <v>551</v>
      </c>
      <c r="BI662" s="37"/>
      <c r="BJ662" s="65"/>
      <c r="BK662" s="137" t="s">
        <v>869</v>
      </c>
      <c r="BL662" s="138" t="s">
        <v>551</v>
      </c>
      <c r="BM662" s="37"/>
      <c r="BN662" s="65"/>
      <c r="BO662" s="137" t="s">
        <v>869</v>
      </c>
      <c r="BP662" s="138" t="s">
        <v>551</v>
      </c>
      <c r="BQ662" s="37"/>
      <c r="BR662" s="65"/>
      <c r="BS662" s="137" t="s">
        <v>869</v>
      </c>
      <c r="BT662" s="138" t="s">
        <v>551</v>
      </c>
      <c r="BU662" s="37"/>
    </row>
    <row r="663" ht="12.75" customHeight="1">
      <c r="A663" s="146"/>
      <c r="B663" s="132" t="s">
        <v>46</v>
      </c>
      <c r="C663" s="69"/>
      <c r="D663" s="134"/>
      <c r="E663" s="59"/>
      <c r="F663" s="65"/>
      <c r="G663" s="70" t="s">
        <v>870</v>
      </c>
      <c r="H663" s="95"/>
      <c r="I663" s="37"/>
      <c r="J663" s="65"/>
      <c r="K663" s="137" t="s">
        <v>870</v>
      </c>
      <c r="L663" s="138" t="s">
        <v>181</v>
      </c>
      <c r="M663" s="37"/>
      <c r="N663" s="65"/>
      <c r="O663" s="137" t="s">
        <v>870</v>
      </c>
      <c r="P663" s="138" t="s">
        <v>181</v>
      </c>
      <c r="Q663" s="37"/>
      <c r="R663" s="65"/>
      <c r="S663" s="137" t="s">
        <v>870</v>
      </c>
      <c r="T663" s="138" t="s">
        <v>181</v>
      </c>
      <c r="U663" s="37"/>
      <c r="V663" s="65"/>
      <c r="W663" s="137" t="s">
        <v>870</v>
      </c>
      <c r="X663" s="138" t="s">
        <v>181</v>
      </c>
      <c r="Y663" s="37"/>
      <c r="Z663" s="65"/>
      <c r="AA663" s="137" t="s">
        <v>870</v>
      </c>
      <c r="AB663" s="138" t="s">
        <v>181</v>
      </c>
      <c r="AC663" s="37"/>
      <c r="AD663" s="65"/>
      <c r="AE663" s="137" t="s">
        <v>870</v>
      </c>
      <c r="AF663" s="138" t="s">
        <v>181</v>
      </c>
      <c r="AG663" s="37"/>
      <c r="AH663" s="65"/>
      <c r="AI663" s="137" t="s">
        <v>870</v>
      </c>
      <c r="AJ663" s="138" t="s">
        <v>181</v>
      </c>
      <c r="AK663" s="37"/>
      <c r="AL663" s="65"/>
      <c r="AM663" s="137" t="s">
        <v>870</v>
      </c>
      <c r="AN663" s="138" t="s">
        <v>181</v>
      </c>
      <c r="AO663" s="37"/>
      <c r="AP663" s="65"/>
      <c r="AQ663" s="137" t="s">
        <v>870</v>
      </c>
      <c r="AR663" s="138" t="s">
        <v>181</v>
      </c>
      <c r="AS663" s="37"/>
      <c r="AT663" s="65"/>
      <c r="AU663" s="137" t="s">
        <v>870</v>
      </c>
      <c r="AV663" s="138" t="s">
        <v>181</v>
      </c>
      <c r="AW663" s="37"/>
      <c r="AX663" s="65"/>
      <c r="AY663" s="137" t="s">
        <v>870</v>
      </c>
      <c r="AZ663" s="138" t="s">
        <v>181</v>
      </c>
      <c r="BA663" s="37"/>
      <c r="BB663" s="65"/>
      <c r="BC663" s="137" t="s">
        <v>870</v>
      </c>
      <c r="BD663" s="138" t="s">
        <v>181</v>
      </c>
      <c r="BE663" s="37"/>
      <c r="BF663" s="65"/>
      <c r="BG663" s="137" t="s">
        <v>870</v>
      </c>
      <c r="BH663" s="138" t="s">
        <v>181</v>
      </c>
      <c r="BI663" s="37"/>
      <c r="BJ663" s="65"/>
      <c r="BK663" s="137" t="s">
        <v>870</v>
      </c>
      <c r="BL663" s="138" t="s">
        <v>181</v>
      </c>
      <c r="BM663" s="37"/>
      <c r="BN663" s="65"/>
      <c r="BO663" s="137" t="s">
        <v>870</v>
      </c>
      <c r="BP663" s="138" t="s">
        <v>181</v>
      </c>
      <c r="BQ663" s="37"/>
      <c r="BR663" s="65"/>
      <c r="BS663" s="137" t="s">
        <v>870</v>
      </c>
      <c r="BT663" s="138" t="s">
        <v>181</v>
      </c>
      <c r="BU663" s="37"/>
    </row>
    <row r="664" ht="12.75" customHeight="1">
      <c r="A664" s="146"/>
      <c r="B664" s="132" t="s">
        <v>46</v>
      </c>
      <c r="C664" s="69"/>
      <c r="D664" s="134"/>
      <c r="E664" s="59"/>
      <c r="F664" s="65"/>
      <c r="G664" s="70" t="s">
        <v>871</v>
      </c>
      <c r="H664" s="95"/>
      <c r="I664" s="37"/>
      <c r="J664" s="65"/>
      <c r="K664" s="137" t="s">
        <v>871</v>
      </c>
      <c r="L664" s="138" t="s">
        <v>142</v>
      </c>
      <c r="M664" s="37"/>
      <c r="N664" s="65"/>
      <c r="O664" s="137" t="s">
        <v>871</v>
      </c>
      <c r="P664" s="138" t="s">
        <v>142</v>
      </c>
      <c r="Q664" s="37"/>
      <c r="R664" s="65"/>
      <c r="S664" s="137" t="s">
        <v>871</v>
      </c>
      <c r="T664" s="138" t="s">
        <v>142</v>
      </c>
      <c r="U664" s="37"/>
      <c r="V664" s="65"/>
      <c r="W664" s="137" t="s">
        <v>871</v>
      </c>
      <c r="X664" s="138" t="s">
        <v>142</v>
      </c>
      <c r="Y664" s="37"/>
      <c r="Z664" s="65"/>
      <c r="AA664" s="137" t="s">
        <v>871</v>
      </c>
      <c r="AB664" s="138" t="s">
        <v>142</v>
      </c>
      <c r="AC664" s="37"/>
      <c r="AD664" s="65"/>
      <c r="AE664" s="137" t="s">
        <v>871</v>
      </c>
      <c r="AF664" s="138" t="s">
        <v>142</v>
      </c>
      <c r="AG664" s="37"/>
      <c r="AH664" s="65"/>
      <c r="AI664" s="137" t="s">
        <v>871</v>
      </c>
      <c r="AJ664" s="138" t="s">
        <v>142</v>
      </c>
      <c r="AK664" s="37"/>
      <c r="AL664" s="65"/>
      <c r="AM664" s="137" t="s">
        <v>871</v>
      </c>
      <c r="AN664" s="138" t="s">
        <v>142</v>
      </c>
      <c r="AO664" s="37"/>
      <c r="AP664" s="65"/>
      <c r="AQ664" s="137" t="s">
        <v>871</v>
      </c>
      <c r="AR664" s="138" t="s">
        <v>142</v>
      </c>
      <c r="AS664" s="37"/>
      <c r="AT664" s="65"/>
      <c r="AU664" s="137" t="s">
        <v>871</v>
      </c>
      <c r="AV664" s="138" t="s">
        <v>142</v>
      </c>
      <c r="AW664" s="37"/>
      <c r="AX664" s="65"/>
      <c r="AY664" s="137" t="s">
        <v>871</v>
      </c>
      <c r="AZ664" s="138" t="s">
        <v>142</v>
      </c>
      <c r="BA664" s="37"/>
      <c r="BB664" s="65"/>
      <c r="BC664" s="137" t="s">
        <v>871</v>
      </c>
      <c r="BD664" s="138" t="s">
        <v>142</v>
      </c>
      <c r="BE664" s="37"/>
      <c r="BF664" s="65"/>
      <c r="BG664" s="137" t="s">
        <v>871</v>
      </c>
      <c r="BH664" s="138" t="s">
        <v>142</v>
      </c>
      <c r="BI664" s="37"/>
      <c r="BJ664" s="65"/>
      <c r="BK664" s="137" t="s">
        <v>871</v>
      </c>
      <c r="BL664" s="138" t="s">
        <v>142</v>
      </c>
      <c r="BM664" s="37"/>
      <c r="BN664" s="65"/>
      <c r="BO664" s="137" t="s">
        <v>871</v>
      </c>
      <c r="BP664" s="138" t="s">
        <v>142</v>
      </c>
      <c r="BQ664" s="37"/>
      <c r="BR664" s="65"/>
      <c r="BS664" s="137" t="s">
        <v>871</v>
      </c>
      <c r="BT664" s="138" t="s">
        <v>142</v>
      </c>
      <c r="BU664" s="37"/>
    </row>
    <row r="665" ht="12.75" customHeight="1">
      <c r="A665" s="146"/>
      <c r="B665" s="132" t="s">
        <v>46</v>
      </c>
      <c r="C665" s="69"/>
      <c r="D665" s="134"/>
      <c r="E665" s="59"/>
      <c r="F665" s="65"/>
      <c r="G665" s="70" t="s">
        <v>872</v>
      </c>
      <c r="H665" s="95"/>
      <c r="I665" s="37"/>
      <c r="J665" s="65"/>
      <c r="K665" s="137" t="s">
        <v>872</v>
      </c>
      <c r="L665" s="138" t="s">
        <v>381</v>
      </c>
      <c r="M665" s="37"/>
      <c r="N665" s="65"/>
      <c r="O665" s="137" t="s">
        <v>872</v>
      </c>
      <c r="P665" s="138" t="s">
        <v>381</v>
      </c>
      <c r="Q665" s="37"/>
      <c r="R665" s="65"/>
      <c r="S665" s="137" t="s">
        <v>872</v>
      </c>
      <c r="T665" s="138" t="s">
        <v>381</v>
      </c>
      <c r="U665" s="37"/>
      <c r="V665" s="65"/>
      <c r="W665" s="137" t="s">
        <v>872</v>
      </c>
      <c r="X665" s="138" t="s">
        <v>381</v>
      </c>
      <c r="Y665" s="37"/>
      <c r="Z665" s="65"/>
      <c r="AA665" s="137" t="s">
        <v>872</v>
      </c>
      <c r="AB665" s="138" t="s">
        <v>381</v>
      </c>
      <c r="AC665" s="37"/>
      <c r="AD665" s="65"/>
      <c r="AE665" s="137" t="s">
        <v>872</v>
      </c>
      <c r="AF665" s="138" t="s">
        <v>381</v>
      </c>
      <c r="AG665" s="37"/>
      <c r="AH665" s="65"/>
      <c r="AI665" s="137" t="s">
        <v>872</v>
      </c>
      <c r="AJ665" s="138" t="s">
        <v>381</v>
      </c>
      <c r="AK665" s="37"/>
      <c r="AL665" s="65"/>
      <c r="AM665" s="137" t="s">
        <v>872</v>
      </c>
      <c r="AN665" s="138" t="s">
        <v>381</v>
      </c>
      <c r="AO665" s="37"/>
      <c r="AP665" s="65"/>
      <c r="AQ665" s="137" t="s">
        <v>872</v>
      </c>
      <c r="AR665" s="138" t="s">
        <v>381</v>
      </c>
      <c r="AS665" s="37"/>
      <c r="AT665" s="65"/>
      <c r="AU665" s="137" t="s">
        <v>872</v>
      </c>
      <c r="AV665" s="138" t="s">
        <v>381</v>
      </c>
      <c r="AW665" s="37"/>
      <c r="AX665" s="65"/>
      <c r="AY665" s="137" t="s">
        <v>872</v>
      </c>
      <c r="AZ665" s="138" t="s">
        <v>381</v>
      </c>
      <c r="BA665" s="37"/>
      <c r="BB665" s="65"/>
      <c r="BC665" s="137" t="s">
        <v>872</v>
      </c>
      <c r="BD665" s="138" t="s">
        <v>381</v>
      </c>
      <c r="BE665" s="37"/>
      <c r="BF665" s="65"/>
      <c r="BG665" s="137" t="s">
        <v>872</v>
      </c>
      <c r="BH665" s="138" t="s">
        <v>381</v>
      </c>
      <c r="BI665" s="37"/>
      <c r="BJ665" s="65"/>
      <c r="BK665" s="137" t="s">
        <v>872</v>
      </c>
      <c r="BL665" s="138" t="s">
        <v>381</v>
      </c>
      <c r="BM665" s="37"/>
      <c r="BN665" s="65"/>
      <c r="BO665" s="137" t="s">
        <v>872</v>
      </c>
      <c r="BP665" s="138" t="s">
        <v>381</v>
      </c>
      <c r="BQ665" s="37"/>
      <c r="BR665" s="65"/>
      <c r="BS665" s="137" t="s">
        <v>872</v>
      </c>
      <c r="BT665" s="138" t="s">
        <v>381</v>
      </c>
      <c r="BU665" s="37"/>
    </row>
    <row r="666" ht="12.75" customHeight="1">
      <c r="A666" s="146"/>
      <c r="B666" s="132" t="s">
        <v>46</v>
      </c>
      <c r="C666" s="69"/>
      <c r="D666" s="134"/>
      <c r="E666" s="59"/>
      <c r="F666" s="65"/>
      <c r="G666" s="70" t="s">
        <v>873</v>
      </c>
      <c r="H666" s="95"/>
      <c r="I666" s="37"/>
      <c r="J666" s="65"/>
      <c r="K666" s="137" t="s">
        <v>873</v>
      </c>
      <c r="L666" s="138" t="s">
        <v>268</v>
      </c>
      <c r="M666" s="37"/>
      <c r="N666" s="65"/>
      <c r="O666" s="137" t="s">
        <v>873</v>
      </c>
      <c r="P666" s="138" t="s">
        <v>268</v>
      </c>
      <c r="Q666" s="37"/>
      <c r="R666" s="65"/>
      <c r="S666" s="137" t="s">
        <v>873</v>
      </c>
      <c r="T666" s="138" t="s">
        <v>268</v>
      </c>
      <c r="U666" s="37"/>
      <c r="V666" s="65"/>
      <c r="W666" s="137" t="s">
        <v>873</v>
      </c>
      <c r="X666" s="138" t="s">
        <v>268</v>
      </c>
      <c r="Y666" s="37"/>
      <c r="Z666" s="65"/>
      <c r="AA666" s="137" t="s">
        <v>873</v>
      </c>
      <c r="AB666" s="138" t="s">
        <v>268</v>
      </c>
      <c r="AC666" s="37"/>
      <c r="AD666" s="65"/>
      <c r="AE666" s="137" t="s">
        <v>873</v>
      </c>
      <c r="AF666" s="138" t="s">
        <v>268</v>
      </c>
      <c r="AG666" s="37"/>
      <c r="AH666" s="65"/>
      <c r="AI666" s="137" t="s">
        <v>873</v>
      </c>
      <c r="AJ666" s="138" t="s">
        <v>268</v>
      </c>
      <c r="AK666" s="37"/>
      <c r="AL666" s="65"/>
      <c r="AM666" s="137" t="s">
        <v>873</v>
      </c>
      <c r="AN666" s="138" t="s">
        <v>268</v>
      </c>
      <c r="AO666" s="37"/>
      <c r="AP666" s="65"/>
      <c r="AQ666" s="137" t="s">
        <v>873</v>
      </c>
      <c r="AR666" s="138" t="s">
        <v>268</v>
      </c>
      <c r="AS666" s="37"/>
      <c r="AT666" s="65"/>
      <c r="AU666" s="137" t="s">
        <v>873</v>
      </c>
      <c r="AV666" s="138" t="s">
        <v>268</v>
      </c>
      <c r="AW666" s="37"/>
      <c r="AX666" s="65"/>
      <c r="AY666" s="137" t="s">
        <v>873</v>
      </c>
      <c r="AZ666" s="138" t="s">
        <v>268</v>
      </c>
      <c r="BA666" s="37"/>
      <c r="BB666" s="65"/>
      <c r="BC666" s="137" t="s">
        <v>873</v>
      </c>
      <c r="BD666" s="138" t="s">
        <v>268</v>
      </c>
      <c r="BE666" s="37"/>
      <c r="BF666" s="65"/>
      <c r="BG666" s="137" t="s">
        <v>873</v>
      </c>
      <c r="BH666" s="138" t="s">
        <v>268</v>
      </c>
      <c r="BI666" s="37"/>
      <c r="BJ666" s="65"/>
      <c r="BK666" s="137" t="s">
        <v>873</v>
      </c>
      <c r="BL666" s="138" t="s">
        <v>268</v>
      </c>
      <c r="BM666" s="37"/>
      <c r="BN666" s="65"/>
      <c r="BO666" s="137" t="s">
        <v>873</v>
      </c>
      <c r="BP666" s="138" t="s">
        <v>268</v>
      </c>
      <c r="BQ666" s="37"/>
      <c r="BR666" s="65"/>
      <c r="BS666" s="137" t="s">
        <v>873</v>
      </c>
      <c r="BT666" s="138" t="s">
        <v>268</v>
      </c>
      <c r="BU666" s="37"/>
    </row>
    <row r="667" ht="12.75" customHeight="1">
      <c r="A667" s="146"/>
      <c r="B667" s="132" t="s">
        <v>46</v>
      </c>
      <c r="C667" s="69"/>
      <c r="D667" s="134"/>
      <c r="E667" s="59"/>
      <c r="F667" s="65"/>
      <c r="G667" s="70" t="s">
        <v>874</v>
      </c>
      <c r="H667" s="95"/>
      <c r="I667" s="37"/>
      <c r="J667" s="65"/>
      <c r="K667" s="137" t="s">
        <v>874</v>
      </c>
      <c r="L667" s="138" t="s">
        <v>268</v>
      </c>
      <c r="M667" s="37"/>
      <c r="N667" s="65"/>
      <c r="O667" s="137" t="s">
        <v>874</v>
      </c>
      <c r="P667" s="138" t="s">
        <v>268</v>
      </c>
      <c r="Q667" s="37"/>
      <c r="R667" s="65"/>
      <c r="S667" s="137" t="s">
        <v>874</v>
      </c>
      <c r="T667" s="138" t="s">
        <v>268</v>
      </c>
      <c r="U667" s="37"/>
      <c r="V667" s="65"/>
      <c r="W667" s="137" t="s">
        <v>874</v>
      </c>
      <c r="X667" s="138" t="s">
        <v>268</v>
      </c>
      <c r="Y667" s="37"/>
      <c r="Z667" s="65"/>
      <c r="AA667" s="137" t="s">
        <v>874</v>
      </c>
      <c r="AB667" s="138" t="s">
        <v>268</v>
      </c>
      <c r="AC667" s="37"/>
      <c r="AD667" s="65"/>
      <c r="AE667" s="137" t="s">
        <v>874</v>
      </c>
      <c r="AF667" s="138" t="s">
        <v>268</v>
      </c>
      <c r="AG667" s="37"/>
      <c r="AH667" s="65"/>
      <c r="AI667" s="137" t="s">
        <v>874</v>
      </c>
      <c r="AJ667" s="138" t="s">
        <v>268</v>
      </c>
      <c r="AK667" s="37"/>
      <c r="AL667" s="65"/>
      <c r="AM667" s="137" t="s">
        <v>874</v>
      </c>
      <c r="AN667" s="138" t="s">
        <v>268</v>
      </c>
      <c r="AO667" s="37"/>
      <c r="AP667" s="65"/>
      <c r="AQ667" s="137" t="s">
        <v>874</v>
      </c>
      <c r="AR667" s="138" t="s">
        <v>268</v>
      </c>
      <c r="AS667" s="37"/>
      <c r="AT667" s="65"/>
      <c r="AU667" s="137" t="s">
        <v>874</v>
      </c>
      <c r="AV667" s="138" t="s">
        <v>268</v>
      </c>
      <c r="AW667" s="37"/>
      <c r="AX667" s="65"/>
      <c r="AY667" s="137" t="s">
        <v>874</v>
      </c>
      <c r="AZ667" s="138" t="s">
        <v>268</v>
      </c>
      <c r="BA667" s="37"/>
      <c r="BB667" s="65"/>
      <c r="BC667" s="137" t="s">
        <v>874</v>
      </c>
      <c r="BD667" s="138" t="s">
        <v>268</v>
      </c>
      <c r="BE667" s="37"/>
      <c r="BF667" s="65"/>
      <c r="BG667" s="137" t="s">
        <v>874</v>
      </c>
      <c r="BH667" s="138" t="s">
        <v>268</v>
      </c>
      <c r="BI667" s="37"/>
      <c r="BJ667" s="65"/>
      <c r="BK667" s="137" t="s">
        <v>874</v>
      </c>
      <c r="BL667" s="138" t="s">
        <v>268</v>
      </c>
      <c r="BM667" s="37"/>
      <c r="BN667" s="65"/>
      <c r="BO667" s="137" t="s">
        <v>874</v>
      </c>
      <c r="BP667" s="138" t="s">
        <v>268</v>
      </c>
      <c r="BQ667" s="37"/>
      <c r="BR667" s="65"/>
      <c r="BS667" s="137" t="s">
        <v>874</v>
      </c>
      <c r="BT667" s="138" t="s">
        <v>268</v>
      </c>
      <c r="BU667" s="37"/>
    </row>
    <row r="668" ht="12.75" customHeight="1">
      <c r="A668" s="146"/>
      <c r="B668" s="132" t="s">
        <v>46</v>
      </c>
      <c r="C668" s="69"/>
      <c r="D668" s="134"/>
      <c r="E668" s="59"/>
      <c r="F668" s="65"/>
      <c r="G668" s="70" t="s">
        <v>875</v>
      </c>
      <c r="H668" s="95"/>
      <c r="I668" s="37"/>
      <c r="J668" s="65"/>
      <c r="K668" s="137" t="s">
        <v>875</v>
      </c>
      <c r="L668" s="138" t="s">
        <v>868</v>
      </c>
      <c r="M668" s="37"/>
      <c r="N668" s="65"/>
      <c r="O668" s="137" t="s">
        <v>875</v>
      </c>
      <c r="P668" s="138" t="s">
        <v>868</v>
      </c>
      <c r="Q668" s="37"/>
      <c r="R668" s="65"/>
      <c r="S668" s="137" t="s">
        <v>875</v>
      </c>
      <c r="T668" s="138" t="s">
        <v>868</v>
      </c>
      <c r="U668" s="37"/>
      <c r="V668" s="65"/>
      <c r="W668" s="137" t="s">
        <v>875</v>
      </c>
      <c r="X668" s="138" t="s">
        <v>868</v>
      </c>
      <c r="Y668" s="37"/>
      <c r="Z668" s="65"/>
      <c r="AA668" s="137" t="s">
        <v>875</v>
      </c>
      <c r="AB668" s="138" t="s">
        <v>868</v>
      </c>
      <c r="AC668" s="37"/>
      <c r="AD668" s="65"/>
      <c r="AE668" s="137" t="s">
        <v>875</v>
      </c>
      <c r="AF668" s="138" t="s">
        <v>868</v>
      </c>
      <c r="AG668" s="37"/>
      <c r="AH668" s="65"/>
      <c r="AI668" s="137" t="s">
        <v>875</v>
      </c>
      <c r="AJ668" s="138" t="s">
        <v>868</v>
      </c>
      <c r="AK668" s="37"/>
      <c r="AL668" s="65"/>
      <c r="AM668" s="137" t="s">
        <v>875</v>
      </c>
      <c r="AN668" s="138" t="s">
        <v>868</v>
      </c>
      <c r="AO668" s="37"/>
      <c r="AP668" s="65"/>
      <c r="AQ668" s="137" t="s">
        <v>875</v>
      </c>
      <c r="AR668" s="138" t="s">
        <v>868</v>
      </c>
      <c r="AS668" s="37"/>
      <c r="AT668" s="65"/>
      <c r="AU668" s="137" t="s">
        <v>875</v>
      </c>
      <c r="AV668" s="138" t="s">
        <v>868</v>
      </c>
      <c r="AW668" s="37"/>
      <c r="AX668" s="65"/>
      <c r="AY668" s="137" t="s">
        <v>875</v>
      </c>
      <c r="AZ668" s="138" t="s">
        <v>868</v>
      </c>
      <c r="BA668" s="37"/>
      <c r="BB668" s="65"/>
      <c r="BC668" s="137" t="s">
        <v>875</v>
      </c>
      <c r="BD668" s="138" t="s">
        <v>868</v>
      </c>
      <c r="BE668" s="37"/>
      <c r="BF668" s="65"/>
      <c r="BG668" s="137" t="s">
        <v>875</v>
      </c>
      <c r="BH668" s="138" t="s">
        <v>868</v>
      </c>
      <c r="BI668" s="37"/>
      <c r="BJ668" s="65"/>
      <c r="BK668" s="137" t="s">
        <v>875</v>
      </c>
      <c r="BL668" s="138" t="s">
        <v>868</v>
      </c>
      <c r="BM668" s="37"/>
      <c r="BN668" s="65"/>
      <c r="BO668" s="137" t="s">
        <v>875</v>
      </c>
      <c r="BP668" s="138" t="s">
        <v>868</v>
      </c>
      <c r="BQ668" s="37"/>
      <c r="BR668" s="65"/>
      <c r="BS668" s="137" t="s">
        <v>875</v>
      </c>
      <c r="BT668" s="138" t="s">
        <v>868</v>
      </c>
      <c r="BU668" s="37"/>
    </row>
    <row r="669" ht="12.75" customHeight="1">
      <c r="A669" s="146"/>
      <c r="B669" s="132" t="s">
        <v>46</v>
      </c>
      <c r="C669" s="69"/>
      <c r="D669" s="134"/>
      <c r="E669" s="59"/>
      <c r="F669" s="65"/>
      <c r="G669" s="70" t="s">
        <v>876</v>
      </c>
      <c r="H669" s="95"/>
      <c r="I669" s="37"/>
      <c r="J669" s="65"/>
      <c r="K669" s="137" t="s">
        <v>876</v>
      </c>
      <c r="L669" s="138" t="s">
        <v>551</v>
      </c>
      <c r="M669" s="37"/>
      <c r="N669" s="65"/>
      <c r="O669" s="137" t="s">
        <v>876</v>
      </c>
      <c r="P669" s="138" t="s">
        <v>551</v>
      </c>
      <c r="Q669" s="37"/>
      <c r="R669" s="65"/>
      <c r="S669" s="137" t="s">
        <v>876</v>
      </c>
      <c r="T669" s="138" t="s">
        <v>551</v>
      </c>
      <c r="U669" s="37"/>
      <c r="V669" s="65"/>
      <c r="W669" s="137" t="s">
        <v>876</v>
      </c>
      <c r="X669" s="138" t="s">
        <v>551</v>
      </c>
      <c r="Y669" s="37"/>
      <c r="Z669" s="65"/>
      <c r="AA669" s="137" t="s">
        <v>876</v>
      </c>
      <c r="AB669" s="138" t="s">
        <v>551</v>
      </c>
      <c r="AC669" s="37"/>
      <c r="AD669" s="65"/>
      <c r="AE669" s="137" t="s">
        <v>876</v>
      </c>
      <c r="AF669" s="138" t="s">
        <v>551</v>
      </c>
      <c r="AG669" s="37"/>
      <c r="AH669" s="65"/>
      <c r="AI669" s="137" t="s">
        <v>876</v>
      </c>
      <c r="AJ669" s="138" t="s">
        <v>551</v>
      </c>
      <c r="AK669" s="37"/>
      <c r="AL669" s="65"/>
      <c r="AM669" s="137" t="s">
        <v>876</v>
      </c>
      <c r="AN669" s="138" t="s">
        <v>551</v>
      </c>
      <c r="AO669" s="37"/>
      <c r="AP669" s="65"/>
      <c r="AQ669" s="137" t="s">
        <v>876</v>
      </c>
      <c r="AR669" s="138" t="s">
        <v>551</v>
      </c>
      <c r="AS669" s="37"/>
      <c r="AT669" s="65"/>
      <c r="AU669" s="137" t="s">
        <v>876</v>
      </c>
      <c r="AV669" s="138" t="s">
        <v>551</v>
      </c>
      <c r="AW669" s="37"/>
      <c r="AX669" s="65"/>
      <c r="AY669" s="137" t="s">
        <v>876</v>
      </c>
      <c r="AZ669" s="138" t="s">
        <v>551</v>
      </c>
      <c r="BA669" s="37"/>
      <c r="BB669" s="65"/>
      <c r="BC669" s="137" t="s">
        <v>876</v>
      </c>
      <c r="BD669" s="138" t="s">
        <v>551</v>
      </c>
      <c r="BE669" s="37"/>
      <c r="BF669" s="65"/>
      <c r="BG669" s="137" t="s">
        <v>876</v>
      </c>
      <c r="BH669" s="138" t="s">
        <v>551</v>
      </c>
      <c r="BI669" s="37"/>
      <c r="BJ669" s="65"/>
      <c r="BK669" s="137" t="s">
        <v>876</v>
      </c>
      <c r="BL669" s="138" t="s">
        <v>551</v>
      </c>
      <c r="BM669" s="37"/>
      <c r="BN669" s="65"/>
      <c r="BO669" s="137" t="s">
        <v>876</v>
      </c>
      <c r="BP669" s="138" t="s">
        <v>551</v>
      </c>
      <c r="BQ669" s="37"/>
      <c r="BR669" s="65"/>
      <c r="BS669" s="137" t="s">
        <v>876</v>
      </c>
      <c r="BT669" s="138" t="s">
        <v>551</v>
      </c>
      <c r="BU669" s="37"/>
    </row>
    <row r="670" ht="12.75" customHeight="1">
      <c r="A670" s="146"/>
      <c r="B670" s="132" t="s">
        <v>46</v>
      </c>
      <c r="C670" s="69"/>
      <c r="D670" s="134"/>
      <c r="E670" s="59"/>
      <c r="F670" s="65"/>
      <c r="G670" s="70" t="s">
        <v>877</v>
      </c>
      <c r="H670" s="95"/>
      <c r="I670" s="37"/>
      <c r="J670" s="65"/>
      <c r="K670" s="137" t="s">
        <v>877</v>
      </c>
      <c r="L670" s="138" t="s">
        <v>181</v>
      </c>
      <c r="M670" s="37"/>
      <c r="N670" s="65"/>
      <c r="O670" s="137" t="s">
        <v>877</v>
      </c>
      <c r="P670" s="138" t="s">
        <v>181</v>
      </c>
      <c r="Q670" s="37"/>
      <c r="R670" s="65"/>
      <c r="S670" s="137" t="s">
        <v>877</v>
      </c>
      <c r="T670" s="138" t="s">
        <v>181</v>
      </c>
      <c r="U670" s="37"/>
      <c r="V670" s="65"/>
      <c r="W670" s="137" t="s">
        <v>877</v>
      </c>
      <c r="X670" s="138" t="s">
        <v>181</v>
      </c>
      <c r="Y670" s="37"/>
      <c r="Z670" s="65"/>
      <c r="AA670" s="137" t="s">
        <v>877</v>
      </c>
      <c r="AB670" s="138" t="s">
        <v>181</v>
      </c>
      <c r="AC670" s="37"/>
      <c r="AD670" s="65"/>
      <c r="AE670" s="137" t="s">
        <v>877</v>
      </c>
      <c r="AF670" s="138" t="s">
        <v>181</v>
      </c>
      <c r="AG670" s="37"/>
      <c r="AH670" s="65"/>
      <c r="AI670" s="137" t="s">
        <v>877</v>
      </c>
      <c r="AJ670" s="138" t="s">
        <v>181</v>
      </c>
      <c r="AK670" s="37"/>
      <c r="AL670" s="65"/>
      <c r="AM670" s="137" t="s">
        <v>877</v>
      </c>
      <c r="AN670" s="138" t="s">
        <v>181</v>
      </c>
      <c r="AO670" s="37"/>
      <c r="AP670" s="65"/>
      <c r="AQ670" s="137" t="s">
        <v>877</v>
      </c>
      <c r="AR670" s="138" t="s">
        <v>181</v>
      </c>
      <c r="AS670" s="37"/>
      <c r="AT670" s="65"/>
      <c r="AU670" s="137" t="s">
        <v>877</v>
      </c>
      <c r="AV670" s="138" t="s">
        <v>181</v>
      </c>
      <c r="AW670" s="37"/>
      <c r="AX670" s="65"/>
      <c r="AY670" s="137" t="s">
        <v>877</v>
      </c>
      <c r="AZ670" s="138" t="s">
        <v>181</v>
      </c>
      <c r="BA670" s="37"/>
      <c r="BB670" s="65"/>
      <c r="BC670" s="137" t="s">
        <v>877</v>
      </c>
      <c r="BD670" s="138" t="s">
        <v>181</v>
      </c>
      <c r="BE670" s="37"/>
      <c r="BF670" s="65"/>
      <c r="BG670" s="137" t="s">
        <v>877</v>
      </c>
      <c r="BH670" s="138" t="s">
        <v>181</v>
      </c>
      <c r="BI670" s="37"/>
      <c r="BJ670" s="65"/>
      <c r="BK670" s="137" t="s">
        <v>877</v>
      </c>
      <c r="BL670" s="138" t="s">
        <v>181</v>
      </c>
      <c r="BM670" s="37"/>
      <c r="BN670" s="65"/>
      <c r="BO670" s="137" t="s">
        <v>877</v>
      </c>
      <c r="BP670" s="138" t="s">
        <v>181</v>
      </c>
      <c r="BQ670" s="37"/>
      <c r="BR670" s="65"/>
      <c r="BS670" s="137" t="s">
        <v>877</v>
      </c>
      <c r="BT670" s="138" t="s">
        <v>181</v>
      </c>
      <c r="BU670" s="37"/>
    </row>
    <row r="671" ht="12.75" customHeight="1">
      <c r="A671" s="146"/>
      <c r="B671" s="132" t="s">
        <v>46</v>
      </c>
      <c r="C671" s="69"/>
      <c r="D671" s="134"/>
      <c r="E671" s="59"/>
      <c r="F671" s="65"/>
      <c r="G671" s="70" t="s">
        <v>878</v>
      </c>
      <c r="H671" s="95"/>
      <c r="I671" s="37"/>
      <c r="J671" s="65"/>
      <c r="K671" s="137" t="s">
        <v>878</v>
      </c>
      <c r="L671" s="138" t="s">
        <v>142</v>
      </c>
      <c r="M671" s="37"/>
      <c r="N671" s="65"/>
      <c r="O671" s="137" t="s">
        <v>878</v>
      </c>
      <c r="P671" s="138" t="s">
        <v>142</v>
      </c>
      <c r="Q671" s="37"/>
      <c r="R671" s="65"/>
      <c r="S671" s="137" t="s">
        <v>878</v>
      </c>
      <c r="T671" s="138" t="s">
        <v>142</v>
      </c>
      <c r="U671" s="37"/>
      <c r="V671" s="65"/>
      <c r="W671" s="137" t="s">
        <v>878</v>
      </c>
      <c r="X671" s="138" t="s">
        <v>142</v>
      </c>
      <c r="Y671" s="37"/>
      <c r="Z671" s="65"/>
      <c r="AA671" s="137" t="s">
        <v>878</v>
      </c>
      <c r="AB671" s="138" t="s">
        <v>142</v>
      </c>
      <c r="AC671" s="37"/>
      <c r="AD671" s="65"/>
      <c r="AE671" s="137" t="s">
        <v>878</v>
      </c>
      <c r="AF671" s="138" t="s">
        <v>142</v>
      </c>
      <c r="AG671" s="37"/>
      <c r="AH671" s="65"/>
      <c r="AI671" s="137" t="s">
        <v>878</v>
      </c>
      <c r="AJ671" s="138" t="s">
        <v>142</v>
      </c>
      <c r="AK671" s="37"/>
      <c r="AL671" s="65"/>
      <c r="AM671" s="137" t="s">
        <v>878</v>
      </c>
      <c r="AN671" s="138" t="s">
        <v>142</v>
      </c>
      <c r="AO671" s="37"/>
      <c r="AP671" s="65"/>
      <c r="AQ671" s="137" t="s">
        <v>878</v>
      </c>
      <c r="AR671" s="138" t="s">
        <v>142</v>
      </c>
      <c r="AS671" s="37"/>
      <c r="AT671" s="65"/>
      <c r="AU671" s="137" t="s">
        <v>878</v>
      </c>
      <c r="AV671" s="138" t="s">
        <v>142</v>
      </c>
      <c r="AW671" s="37"/>
      <c r="AX671" s="65"/>
      <c r="AY671" s="137" t="s">
        <v>878</v>
      </c>
      <c r="AZ671" s="138" t="s">
        <v>142</v>
      </c>
      <c r="BA671" s="37"/>
      <c r="BB671" s="65"/>
      <c r="BC671" s="137" t="s">
        <v>878</v>
      </c>
      <c r="BD671" s="138" t="s">
        <v>142</v>
      </c>
      <c r="BE671" s="37"/>
      <c r="BF671" s="65"/>
      <c r="BG671" s="137" t="s">
        <v>878</v>
      </c>
      <c r="BH671" s="138" t="s">
        <v>142</v>
      </c>
      <c r="BI671" s="37"/>
      <c r="BJ671" s="65"/>
      <c r="BK671" s="137" t="s">
        <v>878</v>
      </c>
      <c r="BL671" s="138" t="s">
        <v>142</v>
      </c>
      <c r="BM671" s="37"/>
      <c r="BN671" s="65"/>
      <c r="BO671" s="137" t="s">
        <v>878</v>
      </c>
      <c r="BP671" s="138" t="s">
        <v>142</v>
      </c>
      <c r="BQ671" s="37"/>
      <c r="BR671" s="65"/>
      <c r="BS671" s="137" t="s">
        <v>878</v>
      </c>
      <c r="BT671" s="138" t="s">
        <v>142</v>
      </c>
      <c r="BU671" s="37"/>
    </row>
    <row r="672" ht="12.75" customHeight="1">
      <c r="A672" s="146"/>
      <c r="B672" s="132" t="s">
        <v>46</v>
      </c>
      <c r="C672" s="69"/>
      <c r="D672" s="134"/>
      <c r="E672" s="59"/>
      <c r="F672" s="65"/>
      <c r="G672" s="70" t="s">
        <v>879</v>
      </c>
      <c r="H672" s="95"/>
      <c r="I672" s="37"/>
      <c r="J672" s="65"/>
      <c r="K672" s="137" t="s">
        <v>879</v>
      </c>
      <c r="L672" s="138" t="s">
        <v>381</v>
      </c>
      <c r="M672" s="37"/>
      <c r="N672" s="65"/>
      <c r="O672" s="137" t="s">
        <v>879</v>
      </c>
      <c r="P672" s="138" t="s">
        <v>381</v>
      </c>
      <c r="Q672" s="37"/>
      <c r="R672" s="65"/>
      <c r="S672" s="137" t="s">
        <v>879</v>
      </c>
      <c r="T672" s="138" t="s">
        <v>381</v>
      </c>
      <c r="U672" s="37"/>
      <c r="V672" s="65"/>
      <c r="W672" s="137" t="s">
        <v>879</v>
      </c>
      <c r="X672" s="138" t="s">
        <v>381</v>
      </c>
      <c r="Y672" s="37"/>
      <c r="Z672" s="65"/>
      <c r="AA672" s="137" t="s">
        <v>879</v>
      </c>
      <c r="AB672" s="138" t="s">
        <v>381</v>
      </c>
      <c r="AC672" s="37"/>
      <c r="AD672" s="65"/>
      <c r="AE672" s="137" t="s">
        <v>879</v>
      </c>
      <c r="AF672" s="138" t="s">
        <v>381</v>
      </c>
      <c r="AG672" s="37"/>
      <c r="AH672" s="65"/>
      <c r="AI672" s="137" t="s">
        <v>879</v>
      </c>
      <c r="AJ672" s="138" t="s">
        <v>381</v>
      </c>
      <c r="AK672" s="37"/>
      <c r="AL672" s="65"/>
      <c r="AM672" s="137" t="s">
        <v>879</v>
      </c>
      <c r="AN672" s="138" t="s">
        <v>381</v>
      </c>
      <c r="AO672" s="37"/>
      <c r="AP672" s="65"/>
      <c r="AQ672" s="137" t="s">
        <v>879</v>
      </c>
      <c r="AR672" s="138" t="s">
        <v>381</v>
      </c>
      <c r="AS672" s="37"/>
      <c r="AT672" s="65"/>
      <c r="AU672" s="137" t="s">
        <v>879</v>
      </c>
      <c r="AV672" s="138" t="s">
        <v>381</v>
      </c>
      <c r="AW672" s="37"/>
      <c r="AX672" s="65"/>
      <c r="AY672" s="137" t="s">
        <v>879</v>
      </c>
      <c r="AZ672" s="138" t="s">
        <v>381</v>
      </c>
      <c r="BA672" s="37"/>
      <c r="BB672" s="65"/>
      <c r="BC672" s="137" t="s">
        <v>879</v>
      </c>
      <c r="BD672" s="138" t="s">
        <v>381</v>
      </c>
      <c r="BE672" s="37"/>
      <c r="BF672" s="65"/>
      <c r="BG672" s="137" t="s">
        <v>879</v>
      </c>
      <c r="BH672" s="138" t="s">
        <v>381</v>
      </c>
      <c r="BI672" s="37"/>
      <c r="BJ672" s="65"/>
      <c r="BK672" s="137" t="s">
        <v>879</v>
      </c>
      <c r="BL672" s="138" t="s">
        <v>381</v>
      </c>
      <c r="BM672" s="37"/>
      <c r="BN672" s="65"/>
      <c r="BO672" s="137" t="s">
        <v>879</v>
      </c>
      <c r="BP672" s="138" t="s">
        <v>381</v>
      </c>
      <c r="BQ672" s="37"/>
      <c r="BR672" s="65"/>
      <c r="BS672" s="137" t="s">
        <v>879</v>
      </c>
      <c r="BT672" s="138" t="s">
        <v>381</v>
      </c>
      <c r="BU672" s="37"/>
    </row>
    <row r="673" ht="12.75" customHeight="1">
      <c r="A673" s="146"/>
      <c r="B673" s="132" t="s">
        <v>46</v>
      </c>
      <c r="C673" s="69"/>
      <c r="D673" s="134"/>
      <c r="E673" s="59"/>
      <c r="F673" s="65"/>
      <c r="G673" s="70" t="s">
        <v>880</v>
      </c>
      <c r="H673" s="95"/>
      <c r="I673" s="37"/>
      <c r="J673" s="65"/>
      <c r="K673" s="137" t="s">
        <v>880</v>
      </c>
      <c r="L673" s="138" t="s">
        <v>551</v>
      </c>
      <c r="M673" s="37"/>
      <c r="N673" s="65"/>
      <c r="O673" s="137" t="s">
        <v>880</v>
      </c>
      <c r="P673" s="138" t="s">
        <v>551</v>
      </c>
      <c r="Q673" s="37"/>
      <c r="R673" s="65"/>
      <c r="S673" s="137" t="s">
        <v>880</v>
      </c>
      <c r="T673" s="138" t="s">
        <v>551</v>
      </c>
      <c r="U673" s="37"/>
      <c r="V673" s="65"/>
      <c r="W673" s="137" t="s">
        <v>880</v>
      </c>
      <c r="X673" s="138" t="s">
        <v>551</v>
      </c>
      <c r="Y673" s="37"/>
      <c r="Z673" s="65"/>
      <c r="AA673" s="137" t="s">
        <v>880</v>
      </c>
      <c r="AB673" s="138" t="s">
        <v>551</v>
      </c>
      <c r="AC673" s="37"/>
      <c r="AD673" s="65"/>
      <c r="AE673" s="137" t="s">
        <v>880</v>
      </c>
      <c r="AF673" s="138" t="s">
        <v>551</v>
      </c>
      <c r="AG673" s="37"/>
      <c r="AH673" s="65"/>
      <c r="AI673" s="137" t="s">
        <v>880</v>
      </c>
      <c r="AJ673" s="138" t="s">
        <v>551</v>
      </c>
      <c r="AK673" s="37"/>
      <c r="AL673" s="65"/>
      <c r="AM673" s="137" t="s">
        <v>880</v>
      </c>
      <c r="AN673" s="138" t="s">
        <v>551</v>
      </c>
      <c r="AO673" s="37"/>
      <c r="AP673" s="65"/>
      <c r="AQ673" s="137" t="s">
        <v>880</v>
      </c>
      <c r="AR673" s="138" t="s">
        <v>551</v>
      </c>
      <c r="AS673" s="37"/>
      <c r="AT673" s="65"/>
      <c r="AU673" s="137" t="s">
        <v>880</v>
      </c>
      <c r="AV673" s="138" t="s">
        <v>551</v>
      </c>
      <c r="AW673" s="37"/>
      <c r="AX673" s="65"/>
      <c r="AY673" s="137" t="s">
        <v>880</v>
      </c>
      <c r="AZ673" s="138" t="s">
        <v>551</v>
      </c>
      <c r="BA673" s="37"/>
      <c r="BB673" s="65"/>
      <c r="BC673" s="137" t="s">
        <v>880</v>
      </c>
      <c r="BD673" s="138" t="s">
        <v>551</v>
      </c>
      <c r="BE673" s="37"/>
      <c r="BF673" s="65"/>
      <c r="BG673" s="137" t="s">
        <v>880</v>
      </c>
      <c r="BH673" s="138" t="s">
        <v>551</v>
      </c>
      <c r="BI673" s="37"/>
      <c r="BJ673" s="65"/>
      <c r="BK673" s="137" t="s">
        <v>880</v>
      </c>
      <c r="BL673" s="138" t="s">
        <v>551</v>
      </c>
      <c r="BM673" s="37"/>
      <c r="BN673" s="65"/>
      <c r="BO673" s="137" t="s">
        <v>880</v>
      </c>
      <c r="BP673" s="138" t="s">
        <v>551</v>
      </c>
      <c r="BQ673" s="37"/>
      <c r="BR673" s="65"/>
      <c r="BS673" s="137" t="s">
        <v>880</v>
      </c>
      <c r="BT673" s="138" t="s">
        <v>551</v>
      </c>
      <c r="BU673" s="37"/>
    </row>
    <row r="674" ht="12.75" customHeight="1">
      <c r="A674" s="146"/>
      <c r="B674" s="132" t="s">
        <v>46</v>
      </c>
      <c r="C674" s="69"/>
      <c r="D674" s="134"/>
      <c r="E674" s="59"/>
      <c r="F674" s="65"/>
      <c r="G674" s="70" t="s">
        <v>881</v>
      </c>
      <c r="H674" s="95"/>
      <c r="I674" s="37"/>
      <c r="J674" s="65"/>
      <c r="K674" s="137" t="s">
        <v>881</v>
      </c>
      <c r="L674" s="138" t="s">
        <v>551</v>
      </c>
      <c r="M674" s="37"/>
      <c r="N674" s="65"/>
      <c r="O674" s="137" t="s">
        <v>881</v>
      </c>
      <c r="P674" s="138" t="s">
        <v>551</v>
      </c>
      <c r="Q674" s="37"/>
      <c r="R674" s="65"/>
      <c r="S674" s="137" t="s">
        <v>881</v>
      </c>
      <c r="T674" s="138" t="s">
        <v>551</v>
      </c>
      <c r="U674" s="37"/>
      <c r="V674" s="65"/>
      <c r="W674" s="137" t="s">
        <v>881</v>
      </c>
      <c r="X674" s="138" t="s">
        <v>551</v>
      </c>
      <c r="Y674" s="37"/>
      <c r="Z674" s="65"/>
      <c r="AA674" s="137" t="s">
        <v>881</v>
      </c>
      <c r="AB674" s="138" t="s">
        <v>551</v>
      </c>
      <c r="AC674" s="37"/>
      <c r="AD674" s="65"/>
      <c r="AE674" s="137" t="s">
        <v>881</v>
      </c>
      <c r="AF674" s="138" t="s">
        <v>551</v>
      </c>
      <c r="AG674" s="37"/>
      <c r="AH674" s="65"/>
      <c r="AI674" s="137" t="s">
        <v>881</v>
      </c>
      <c r="AJ674" s="138" t="s">
        <v>551</v>
      </c>
      <c r="AK674" s="37"/>
      <c r="AL674" s="65"/>
      <c r="AM674" s="137" t="s">
        <v>881</v>
      </c>
      <c r="AN674" s="138" t="s">
        <v>551</v>
      </c>
      <c r="AO674" s="37"/>
      <c r="AP674" s="65"/>
      <c r="AQ674" s="137" t="s">
        <v>881</v>
      </c>
      <c r="AR674" s="138" t="s">
        <v>551</v>
      </c>
      <c r="AS674" s="37"/>
      <c r="AT674" s="65"/>
      <c r="AU674" s="137" t="s">
        <v>881</v>
      </c>
      <c r="AV674" s="138" t="s">
        <v>551</v>
      </c>
      <c r="AW674" s="37"/>
      <c r="AX674" s="65"/>
      <c r="AY674" s="137" t="s">
        <v>881</v>
      </c>
      <c r="AZ674" s="138" t="s">
        <v>551</v>
      </c>
      <c r="BA674" s="37"/>
      <c r="BB674" s="65"/>
      <c r="BC674" s="137" t="s">
        <v>881</v>
      </c>
      <c r="BD674" s="138" t="s">
        <v>551</v>
      </c>
      <c r="BE674" s="37"/>
      <c r="BF674" s="65"/>
      <c r="BG674" s="137" t="s">
        <v>881</v>
      </c>
      <c r="BH674" s="138" t="s">
        <v>551</v>
      </c>
      <c r="BI674" s="37"/>
      <c r="BJ674" s="65"/>
      <c r="BK674" s="137" t="s">
        <v>881</v>
      </c>
      <c r="BL674" s="138" t="s">
        <v>551</v>
      </c>
      <c r="BM674" s="37"/>
      <c r="BN674" s="65"/>
      <c r="BO674" s="137" t="s">
        <v>881</v>
      </c>
      <c r="BP674" s="138" t="s">
        <v>551</v>
      </c>
      <c r="BQ674" s="37"/>
      <c r="BR674" s="65"/>
      <c r="BS674" s="137" t="s">
        <v>881</v>
      </c>
      <c r="BT674" s="138" t="s">
        <v>551</v>
      </c>
      <c r="BU674" s="37"/>
    </row>
    <row r="675" ht="12.75" customHeight="1">
      <c r="A675" s="146"/>
      <c r="B675" s="132" t="s">
        <v>46</v>
      </c>
      <c r="C675" s="69"/>
      <c r="D675" s="134"/>
      <c r="E675" s="59"/>
      <c r="F675" s="65"/>
      <c r="G675" s="70" t="s">
        <v>882</v>
      </c>
      <c r="H675" s="95"/>
      <c r="I675" s="37"/>
      <c r="J675" s="65"/>
      <c r="K675" s="137" t="s">
        <v>882</v>
      </c>
      <c r="L675" s="139" t="s">
        <v>46</v>
      </c>
      <c r="M675" s="37"/>
      <c r="N675" s="65"/>
      <c r="O675" s="137" t="s">
        <v>882</v>
      </c>
      <c r="P675" s="139" t="s">
        <v>46</v>
      </c>
      <c r="Q675" s="37"/>
      <c r="R675" s="65"/>
      <c r="S675" s="137" t="s">
        <v>882</v>
      </c>
      <c r="T675" s="139" t="s">
        <v>46</v>
      </c>
      <c r="U675" s="37"/>
      <c r="V675" s="65"/>
      <c r="W675" s="137" t="s">
        <v>882</v>
      </c>
      <c r="X675" s="139" t="s">
        <v>46</v>
      </c>
      <c r="Y675" s="37"/>
      <c r="Z675" s="65"/>
      <c r="AA675" s="137" t="s">
        <v>882</v>
      </c>
      <c r="AB675" s="139" t="s">
        <v>46</v>
      </c>
      <c r="AC675" s="37"/>
      <c r="AD675" s="65"/>
      <c r="AE675" s="137" t="s">
        <v>882</v>
      </c>
      <c r="AF675" s="139" t="s">
        <v>46</v>
      </c>
      <c r="AG675" s="37"/>
      <c r="AH675" s="65"/>
      <c r="AI675" s="137" t="s">
        <v>882</v>
      </c>
      <c r="AJ675" s="139" t="s">
        <v>46</v>
      </c>
      <c r="AK675" s="37"/>
      <c r="AL675" s="65"/>
      <c r="AM675" s="137" t="s">
        <v>882</v>
      </c>
      <c r="AN675" s="139" t="s">
        <v>46</v>
      </c>
      <c r="AO675" s="37"/>
      <c r="AP675" s="65"/>
      <c r="AQ675" s="137" t="s">
        <v>882</v>
      </c>
      <c r="AR675" s="139" t="s">
        <v>46</v>
      </c>
      <c r="AS675" s="37"/>
      <c r="AT675" s="65"/>
      <c r="AU675" s="137" t="s">
        <v>882</v>
      </c>
      <c r="AV675" s="139" t="s">
        <v>46</v>
      </c>
      <c r="AW675" s="37"/>
      <c r="AX675" s="65"/>
      <c r="AY675" s="137" t="s">
        <v>882</v>
      </c>
      <c r="AZ675" s="139" t="s">
        <v>46</v>
      </c>
      <c r="BA675" s="37"/>
      <c r="BB675" s="65"/>
      <c r="BC675" s="137" t="s">
        <v>882</v>
      </c>
      <c r="BD675" s="139" t="s">
        <v>46</v>
      </c>
      <c r="BE675" s="37"/>
      <c r="BF675" s="65"/>
      <c r="BG675" s="137" t="s">
        <v>882</v>
      </c>
      <c r="BH675" s="139" t="s">
        <v>46</v>
      </c>
      <c r="BI675" s="37"/>
      <c r="BJ675" s="65"/>
      <c r="BK675" s="137" t="s">
        <v>882</v>
      </c>
      <c r="BL675" s="139" t="s">
        <v>46</v>
      </c>
      <c r="BM675" s="37"/>
      <c r="BN675" s="65"/>
      <c r="BO675" s="137" t="s">
        <v>882</v>
      </c>
      <c r="BP675" s="139" t="s">
        <v>46</v>
      </c>
      <c r="BQ675" s="37"/>
      <c r="BR675" s="65"/>
      <c r="BS675" s="137" t="s">
        <v>882</v>
      </c>
      <c r="BT675" s="139" t="s">
        <v>46</v>
      </c>
      <c r="BU675" s="37"/>
    </row>
    <row r="676" ht="12.75" customHeight="1">
      <c r="A676" s="146"/>
      <c r="B676" s="132" t="s">
        <v>46</v>
      </c>
      <c r="C676" s="69"/>
      <c r="D676" s="134"/>
      <c r="E676" s="59"/>
      <c r="F676" s="65"/>
      <c r="G676" s="70" t="s">
        <v>883</v>
      </c>
      <c r="H676" s="95"/>
      <c r="I676" s="37"/>
      <c r="J676" s="65"/>
      <c r="K676" s="137" t="s">
        <v>883</v>
      </c>
      <c r="L676" s="139" t="s">
        <v>46</v>
      </c>
      <c r="M676" s="37"/>
      <c r="N676" s="65"/>
      <c r="O676" s="137" t="s">
        <v>883</v>
      </c>
      <c r="P676" s="139" t="s">
        <v>46</v>
      </c>
      <c r="Q676" s="37"/>
      <c r="R676" s="65"/>
      <c r="S676" s="137" t="s">
        <v>883</v>
      </c>
      <c r="T676" s="139" t="s">
        <v>46</v>
      </c>
      <c r="U676" s="37"/>
      <c r="V676" s="65"/>
      <c r="W676" s="137" t="s">
        <v>883</v>
      </c>
      <c r="X676" s="139" t="s">
        <v>46</v>
      </c>
      <c r="Y676" s="37"/>
      <c r="Z676" s="65"/>
      <c r="AA676" s="137" t="s">
        <v>883</v>
      </c>
      <c r="AB676" s="139" t="s">
        <v>46</v>
      </c>
      <c r="AC676" s="37"/>
      <c r="AD676" s="65"/>
      <c r="AE676" s="137" t="s">
        <v>883</v>
      </c>
      <c r="AF676" s="139" t="s">
        <v>46</v>
      </c>
      <c r="AG676" s="37"/>
      <c r="AH676" s="65"/>
      <c r="AI676" s="137" t="s">
        <v>883</v>
      </c>
      <c r="AJ676" s="139" t="s">
        <v>46</v>
      </c>
      <c r="AK676" s="37"/>
      <c r="AL676" s="65"/>
      <c r="AM676" s="137" t="s">
        <v>883</v>
      </c>
      <c r="AN676" s="139" t="s">
        <v>46</v>
      </c>
      <c r="AO676" s="37"/>
      <c r="AP676" s="65"/>
      <c r="AQ676" s="137" t="s">
        <v>883</v>
      </c>
      <c r="AR676" s="139" t="s">
        <v>46</v>
      </c>
      <c r="AS676" s="37"/>
      <c r="AT676" s="65"/>
      <c r="AU676" s="137" t="s">
        <v>883</v>
      </c>
      <c r="AV676" s="139" t="s">
        <v>46</v>
      </c>
      <c r="AW676" s="37"/>
      <c r="AX676" s="65"/>
      <c r="AY676" s="137" t="s">
        <v>883</v>
      </c>
      <c r="AZ676" s="139" t="s">
        <v>46</v>
      </c>
      <c r="BA676" s="37"/>
      <c r="BB676" s="65"/>
      <c r="BC676" s="137" t="s">
        <v>883</v>
      </c>
      <c r="BD676" s="139" t="s">
        <v>46</v>
      </c>
      <c r="BE676" s="37"/>
      <c r="BF676" s="65"/>
      <c r="BG676" s="137" t="s">
        <v>883</v>
      </c>
      <c r="BH676" s="139" t="s">
        <v>46</v>
      </c>
      <c r="BI676" s="37"/>
      <c r="BJ676" s="65"/>
      <c r="BK676" s="137" t="s">
        <v>883</v>
      </c>
      <c r="BL676" s="139" t="s">
        <v>46</v>
      </c>
      <c r="BM676" s="37"/>
      <c r="BN676" s="65"/>
      <c r="BO676" s="137" t="s">
        <v>883</v>
      </c>
      <c r="BP676" s="139" t="s">
        <v>46</v>
      </c>
      <c r="BQ676" s="37"/>
      <c r="BR676" s="65"/>
      <c r="BS676" s="137" t="s">
        <v>883</v>
      </c>
      <c r="BT676" s="138" t="s">
        <v>754</v>
      </c>
      <c r="BU676" s="37"/>
    </row>
    <row r="677" ht="12.75" customHeight="1">
      <c r="A677" s="146"/>
      <c r="B677" s="132" t="s">
        <v>46</v>
      </c>
      <c r="C677" s="69"/>
      <c r="D677" s="134"/>
      <c r="E677" s="59"/>
      <c r="F677" s="65"/>
      <c r="G677" s="70" t="s">
        <v>884</v>
      </c>
      <c r="H677" s="95"/>
      <c r="I677" s="37"/>
      <c r="J677" s="65"/>
      <c r="K677" s="137" t="s">
        <v>884</v>
      </c>
      <c r="L677" s="139" t="s">
        <v>46</v>
      </c>
      <c r="M677" s="37"/>
      <c r="N677" s="65"/>
      <c r="O677" s="137" t="s">
        <v>884</v>
      </c>
      <c r="P677" s="139" t="s">
        <v>46</v>
      </c>
      <c r="Q677" s="37"/>
      <c r="R677" s="65"/>
      <c r="S677" s="137" t="s">
        <v>884</v>
      </c>
      <c r="T677" s="139" t="s">
        <v>46</v>
      </c>
      <c r="U677" s="37"/>
      <c r="V677" s="65"/>
      <c r="W677" s="137" t="s">
        <v>884</v>
      </c>
      <c r="X677" s="139" t="s">
        <v>46</v>
      </c>
      <c r="Y677" s="37"/>
      <c r="Z677" s="65"/>
      <c r="AA677" s="137" t="s">
        <v>884</v>
      </c>
      <c r="AB677" s="139" t="s">
        <v>46</v>
      </c>
      <c r="AC677" s="37"/>
      <c r="AD677" s="65"/>
      <c r="AE677" s="137" t="s">
        <v>884</v>
      </c>
      <c r="AF677" s="139" t="s">
        <v>46</v>
      </c>
      <c r="AG677" s="37"/>
      <c r="AH677" s="65"/>
      <c r="AI677" s="137" t="s">
        <v>884</v>
      </c>
      <c r="AJ677" s="139" t="s">
        <v>46</v>
      </c>
      <c r="AK677" s="37"/>
      <c r="AL677" s="65"/>
      <c r="AM677" s="137" t="s">
        <v>884</v>
      </c>
      <c r="AN677" s="139" t="s">
        <v>46</v>
      </c>
      <c r="AO677" s="37"/>
      <c r="AP677" s="65"/>
      <c r="AQ677" s="137" t="s">
        <v>884</v>
      </c>
      <c r="AR677" s="139" t="s">
        <v>46</v>
      </c>
      <c r="AS677" s="37"/>
      <c r="AT677" s="65"/>
      <c r="AU677" s="137" t="s">
        <v>884</v>
      </c>
      <c r="AV677" s="139" t="s">
        <v>46</v>
      </c>
      <c r="AW677" s="37"/>
      <c r="AX677" s="65"/>
      <c r="AY677" s="137" t="s">
        <v>884</v>
      </c>
      <c r="AZ677" s="139" t="s">
        <v>46</v>
      </c>
      <c r="BA677" s="37"/>
      <c r="BB677" s="65"/>
      <c r="BC677" s="137" t="s">
        <v>884</v>
      </c>
      <c r="BD677" s="139" t="s">
        <v>46</v>
      </c>
      <c r="BE677" s="37"/>
      <c r="BF677" s="65"/>
      <c r="BG677" s="137" t="s">
        <v>884</v>
      </c>
      <c r="BH677" s="139" t="s">
        <v>46</v>
      </c>
      <c r="BI677" s="37"/>
      <c r="BJ677" s="65"/>
      <c r="BK677" s="137" t="s">
        <v>884</v>
      </c>
      <c r="BL677" s="139" t="s">
        <v>46</v>
      </c>
      <c r="BM677" s="37"/>
      <c r="BN677" s="65"/>
      <c r="BO677" s="137" t="s">
        <v>884</v>
      </c>
      <c r="BP677" s="139" t="s">
        <v>46</v>
      </c>
      <c r="BQ677" s="37"/>
      <c r="BR677" s="65"/>
      <c r="BS677" s="137" t="s">
        <v>884</v>
      </c>
      <c r="BT677" s="139" t="s">
        <v>46</v>
      </c>
      <c r="BU677" s="37"/>
    </row>
    <row r="678" ht="12.75" customHeight="1">
      <c r="A678" s="146"/>
      <c r="B678" s="132" t="s">
        <v>46</v>
      </c>
      <c r="C678" s="69"/>
      <c r="D678" s="134"/>
      <c r="E678" s="59"/>
      <c r="F678" s="65"/>
      <c r="G678" s="70" t="s">
        <v>885</v>
      </c>
      <c r="H678" s="95"/>
      <c r="I678" s="37"/>
      <c r="J678" s="65"/>
      <c r="K678" s="137" t="s">
        <v>885</v>
      </c>
      <c r="L678" s="139" t="s">
        <v>46</v>
      </c>
      <c r="M678" s="37"/>
      <c r="N678" s="65"/>
      <c r="O678" s="137" t="s">
        <v>885</v>
      </c>
      <c r="P678" s="139" t="s">
        <v>46</v>
      </c>
      <c r="Q678" s="37"/>
      <c r="R678" s="65"/>
      <c r="S678" s="137" t="s">
        <v>885</v>
      </c>
      <c r="T678" s="139" t="s">
        <v>46</v>
      </c>
      <c r="U678" s="37"/>
      <c r="V678" s="65"/>
      <c r="W678" s="137" t="s">
        <v>885</v>
      </c>
      <c r="X678" s="139" t="s">
        <v>46</v>
      </c>
      <c r="Y678" s="37"/>
      <c r="Z678" s="65"/>
      <c r="AA678" s="137" t="s">
        <v>885</v>
      </c>
      <c r="AB678" s="139" t="s">
        <v>46</v>
      </c>
      <c r="AC678" s="37"/>
      <c r="AD678" s="65"/>
      <c r="AE678" s="137" t="s">
        <v>885</v>
      </c>
      <c r="AF678" s="139" t="s">
        <v>46</v>
      </c>
      <c r="AG678" s="37"/>
      <c r="AH678" s="65"/>
      <c r="AI678" s="137" t="s">
        <v>885</v>
      </c>
      <c r="AJ678" s="139" t="s">
        <v>46</v>
      </c>
      <c r="AK678" s="37"/>
      <c r="AL678" s="65"/>
      <c r="AM678" s="137" t="s">
        <v>885</v>
      </c>
      <c r="AN678" s="139" t="s">
        <v>46</v>
      </c>
      <c r="AO678" s="37"/>
      <c r="AP678" s="65"/>
      <c r="AQ678" s="137" t="s">
        <v>885</v>
      </c>
      <c r="AR678" s="139" t="s">
        <v>46</v>
      </c>
      <c r="AS678" s="37"/>
      <c r="AT678" s="65"/>
      <c r="AU678" s="137" t="s">
        <v>885</v>
      </c>
      <c r="AV678" s="139" t="s">
        <v>46</v>
      </c>
      <c r="AW678" s="37"/>
      <c r="AX678" s="65"/>
      <c r="AY678" s="137" t="s">
        <v>885</v>
      </c>
      <c r="AZ678" s="139" t="s">
        <v>46</v>
      </c>
      <c r="BA678" s="37"/>
      <c r="BB678" s="65"/>
      <c r="BC678" s="137" t="s">
        <v>885</v>
      </c>
      <c r="BD678" s="139" t="s">
        <v>46</v>
      </c>
      <c r="BE678" s="37"/>
      <c r="BF678" s="65"/>
      <c r="BG678" s="137" t="s">
        <v>885</v>
      </c>
      <c r="BH678" s="139" t="s">
        <v>46</v>
      </c>
      <c r="BI678" s="37"/>
      <c r="BJ678" s="65"/>
      <c r="BK678" s="137" t="s">
        <v>885</v>
      </c>
      <c r="BL678" s="139" t="s">
        <v>46</v>
      </c>
      <c r="BM678" s="37"/>
      <c r="BN678" s="65"/>
      <c r="BO678" s="137" t="s">
        <v>885</v>
      </c>
      <c r="BP678" s="139" t="s">
        <v>46</v>
      </c>
      <c r="BQ678" s="37"/>
      <c r="BR678" s="65"/>
      <c r="BS678" s="137" t="s">
        <v>885</v>
      </c>
      <c r="BT678" s="138" t="s">
        <v>519</v>
      </c>
      <c r="BU678" s="37"/>
    </row>
    <row r="679" ht="12.75" customHeight="1">
      <c r="A679" s="146"/>
      <c r="B679" s="132" t="s">
        <v>46</v>
      </c>
      <c r="C679" s="69"/>
      <c r="D679" s="134"/>
      <c r="E679" s="59"/>
      <c r="F679" s="65"/>
      <c r="G679" s="70" t="s">
        <v>886</v>
      </c>
      <c r="H679" s="95"/>
      <c r="I679" s="37"/>
      <c r="J679" s="65"/>
      <c r="K679" s="137" t="s">
        <v>886</v>
      </c>
      <c r="L679" s="139" t="s">
        <v>46</v>
      </c>
      <c r="M679" s="37"/>
      <c r="N679" s="65"/>
      <c r="O679" s="137" t="s">
        <v>886</v>
      </c>
      <c r="P679" s="139" t="s">
        <v>46</v>
      </c>
      <c r="Q679" s="37"/>
      <c r="R679" s="65"/>
      <c r="S679" s="137" t="s">
        <v>886</v>
      </c>
      <c r="T679" s="139" t="s">
        <v>46</v>
      </c>
      <c r="U679" s="37"/>
      <c r="V679" s="65"/>
      <c r="W679" s="137" t="s">
        <v>886</v>
      </c>
      <c r="X679" s="139" t="s">
        <v>46</v>
      </c>
      <c r="Y679" s="37"/>
      <c r="Z679" s="65"/>
      <c r="AA679" s="137" t="s">
        <v>886</v>
      </c>
      <c r="AB679" s="139" t="s">
        <v>46</v>
      </c>
      <c r="AC679" s="37"/>
      <c r="AD679" s="65"/>
      <c r="AE679" s="137" t="s">
        <v>886</v>
      </c>
      <c r="AF679" s="139" t="s">
        <v>46</v>
      </c>
      <c r="AG679" s="37"/>
      <c r="AH679" s="65"/>
      <c r="AI679" s="137" t="s">
        <v>886</v>
      </c>
      <c r="AJ679" s="139" t="s">
        <v>46</v>
      </c>
      <c r="AK679" s="37"/>
      <c r="AL679" s="65"/>
      <c r="AM679" s="137" t="s">
        <v>886</v>
      </c>
      <c r="AN679" s="139" t="s">
        <v>46</v>
      </c>
      <c r="AO679" s="37"/>
      <c r="AP679" s="65"/>
      <c r="AQ679" s="137" t="s">
        <v>886</v>
      </c>
      <c r="AR679" s="139" t="s">
        <v>46</v>
      </c>
      <c r="AS679" s="37"/>
      <c r="AT679" s="65"/>
      <c r="AU679" s="137" t="s">
        <v>886</v>
      </c>
      <c r="AV679" s="139" t="s">
        <v>46</v>
      </c>
      <c r="AW679" s="37"/>
      <c r="AX679" s="65"/>
      <c r="AY679" s="137" t="s">
        <v>886</v>
      </c>
      <c r="AZ679" s="139" t="s">
        <v>46</v>
      </c>
      <c r="BA679" s="37"/>
      <c r="BB679" s="65"/>
      <c r="BC679" s="137" t="s">
        <v>886</v>
      </c>
      <c r="BD679" s="139" t="s">
        <v>46</v>
      </c>
      <c r="BE679" s="37"/>
      <c r="BF679" s="65"/>
      <c r="BG679" s="137" t="s">
        <v>886</v>
      </c>
      <c r="BH679" s="139" t="s">
        <v>46</v>
      </c>
      <c r="BI679" s="37"/>
      <c r="BJ679" s="65"/>
      <c r="BK679" s="137" t="s">
        <v>886</v>
      </c>
      <c r="BL679" s="139" t="s">
        <v>46</v>
      </c>
      <c r="BM679" s="37"/>
      <c r="BN679" s="65"/>
      <c r="BO679" s="137" t="s">
        <v>886</v>
      </c>
      <c r="BP679" s="139" t="s">
        <v>46</v>
      </c>
      <c r="BQ679" s="37"/>
      <c r="BR679" s="65"/>
      <c r="BS679" s="137" t="s">
        <v>886</v>
      </c>
      <c r="BT679" s="139" t="s">
        <v>46</v>
      </c>
      <c r="BU679" s="37"/>
    </row>
    <row r="680" ht="12.75" customHeight="1">
      <c r="A680" s="146"/>
      <c r="B680" s="132" t="s">
        <v>46</v>
      </c>
      <c r="C680" s="69"/>
      <c r="D680" s="134"/>
      <c r="E680" s="59"/>
      <c r="F680" s="65"/>
      <c r="G680" s="70" t="s">
        <v>887</v>
      </c>
      <c r="H680" s="95"/>
      <c r="I680" s="37"/>
      <c r="J680" s="65"/>
      <c r="K680" s="137" t="s">
        <v>887</v>
      </c>
      <c r="L680" s="139" t="s">
        <v>46</v>
      </c>
      <c r="M680" s="37"/>
      <c r="N680" s="65"/>
      <c r="O680" s="137" t="s">
        <v>887</v>
      </c>
      <c r="P680" s="139" t="s">
        <v>46</v>
      </c>
      <c r="Q680" s="37"/>
      <c r="R680" s="65"/>
      <c r="S680" s="137" t="s">
        <v>887</v>
      </c>
      <c r="T680" s="139" t="s">
        <v>46</v>
      </c>
      <c r="U680" s="37"/>
      <c r="V680" s="65"/>
      <c r="W680" s="137" t="s">
        <v>887</v>
      </c>
      <c r="X680" s="139" t="s">
        <v>46</v>
      </c>
      <c r="Y680" s="37"/>
      <c r="Z680" s="65"/>
      <c r="AA680" s="137" t="s">
        <v>887</v>
      </c>
      <c r="AB680" s="139" t="s">
        <v>46</v>
      </c>
      <c r="AC680" s="37"/>
      <c r="AD680" s="65"/>
      <c r="AE680" s="137" t="s">
        <v>887</v>
      </c>
      <c r="AF680" s="139" t="s">
        <v>46</v>
      </c>
      <c r="AG680" s="37"/>
      <c r="AH680" s="65"/>
      <c r="AI680" s="137" t="s">
        <v>887</v>
      </c>
      <c r="AJ680" s="139" t="s">
        <v>46</v>
      </c>
      <c r="AK680" s="37"/>
      <c r="AL680" s="65"/>
      <c r="AM680" s="137" t="s">
        <v>887</v>
      </c>
      <c r="AN680" s="139" t="s">
        <v>46</v>
      </c>
      <c r="AO680" s="37"/>
      <c r="AP680" s="65"/>
      <c r="AQ680" s="137" t="s">
        <v>887</v>
      </c>
      <c r="AR680" s="139" t="s">
        <v>46</v>
      </c>
      <c r="AS680" s="37"/>
      <c r="AT680" s="65"/>
      <c r="AU680" s="137" t="s">
        <v>887</v>
      </c>
      <c r="AV680" s="139" t="s">
        <v>46</v>
      </c>
      <c r="AW680" s="37"/>
      <c r="AX680" s="65"/>
      <c r="AY680" s="137" t="s">
        <v>887</v>
      </c>
      <c r="AZ680" s="139" t="s">
        <v>46</v>
      </c>
      <c r="BA680" s="37"/>
      <c r="BB680" s="65"/>
      <c r="BC680" s="137" t="s">
        <v>887</v>
      </c>
      <c r="BD680" s="139" t="s">
        <v>46</v>
      </c>
      <c r="BE680" s="37"/>
      <c r="BF680" s="65"/>
      <c r="BG680" s="137" t="s">
        <v>887</v>
      </c>
      <c r="BH680" s="139" t="s">
        <v>46</v>
      </c>
      <c r="BI680" s="37"/>
      <c r="BJ680" s="65"/>
      <c r="BK680" s="137" t="s">
        <v>887</v>
      </c>
      <c r="BL680" s="139" t="s">
        <v>46</v>
      </c>
      <c r="BM680" s="37"/>
      <c r="BN680" s="65"/>
      <c r="BO680" s="137" t="s">
        <v>887</v>
      </c>
      <c r="BP680" s="139" t="s">
        <v>46</v>
      </c>
      <c r="BQ680" s="37"/>
      <c r="BR680" s="65"/>
      <c r="BS680" s="137" t="s">
        <v>887</v>
      </c>
      <c r="BT680" s="138" t="s">
        <v>591</v>
      </c>
      <c r="BU680" s="37"/>
    </row>
    <row r="681" ht="12.75" customHeight="1">
      <c r="A681" s="146"/>
      <c r="B681" s="132" t="s">
        <v>46</v>
      </c>
      <c r="C681" s="69"/>
      <c r="D681" s="134"/>
      <c r="E681" s="59"/>
      <c r="F681" s="65"/>
      <c r="G681" s="70" t="s">
        <v>888</v>
      </c>
      <c r="H681" s="95"/>
      <c r="I681" s="37"/>
      <c r="J681" s="65"/>
      <c r="K681" s="137" t="s">
        <v>888</v>
      </c>
      <c r="L681" s="139" t="s">
        <v>46</v>
      </c>
      <c r="M681" s="37"/>
      <c r="N681" s="65"/>
      <c r="O681" s="137" t="s">
        <v>888</v>
      </c>
      <c r="P681" s="139" t="s">
        <v>46</v>
      </c>
      <c r="Q681" s="37"/>
      <c r="R681" s="65"/>
      <c r="S681" s="137" t="s">
        <v>888</v>
      </c>
      <c r="T681" s="139" t="s">
        <v>46</v>
      </c>
      <c r="U681" s="37"/>
      <c r="V681" s="65"/>
      <c r="W681" s="137" t="s">
        <v>888</v>
      </c>
      <c r="X681" s="139" t="s">
        <v>46</v>
      </c>
      <c r="Y681" s="37"/>
      <c r="Z681" s="65"/>
      <c r="AA681" s="137" t="s">
        <v>888</v>
      </c>
      <c r="AB681" s="139" t="s">
        <v>46</v>
      </c>
      <c r="AC681" s="37"/>
      <c r="AD681" s="65"/>
      <c r="AE681" s="137" t="s">
        <v>888</v>
      </c>
      <c r="AF681" s="139" t="s">
        <v>46</v>
      </c>
      <c r="AG681" s="37"/>
      <c r="AH681" s="65"/>
      <c r="AI681" s="137" t="s">
        <v>888</v>
      </c>
      <c r="AJ681" s="139" t="s">
        <v>46</v>
      </c>
      <c r="AK681" s="37"/>
      <c r="AL681" s="65"/>
      <c r="AM681" s="137" t="s">
        <v>888</v>
      </c>
      <c r="AN681" s="139" t="s">
        <v>46</v>
      </c>
      <c r="AO681" s="37"/>
      <c r="AP681" s="65"/>
      <c r="AQ681" s="137" t="s">
        <v>888</v>
      </c>
      <c r="AR681" s="139" t="s">
        <v>46</v>
      </c>
      <c r="AS681" s="37"/>
      <c r="AT681" s="65"/>
      <c r="AU681" s="137" t="s">
        <v>888</v>
      </c>
      <c r="AV681" s="139" t="s">
        <v>46</v>
      </c>
      <c r="AW681" s="37"/>
      <c r="AX681" s="65"/>
      <c r="AY681" s="137" t="s">
        <v>888</v>
      </c>
      <c r="AZ681" s="139" t="s">
        <v>46</v>
      </c>
      <c r="BA681" s="37"/>
      <c r="BB681" s="65"/>
      <c r="BC681" s="137" t="s">
        <v>888</v>
      </c>
      <c r="BD681" s="139" t="s">
        <v>46</v>
      </c>
      <c r="BE681" s="37"/>
      <c r="BF681" s="65"/>
      <c r="BG681" s="137" t="s">
        <v>888</v>
      </c>
      <c r="BH681" s="139" t="s">
        <v>46</v>
      </c>
      <c r="BI681" s="37"/>
      <c r="BJ681" s="65"/>
      <c r="BK681" s="137" t="s">
        <v>888</v>
      </c>
      <c r="BL681" s="139" t="s">
        <v>46</v>
      </c>
      <c r="BM681" s="37"/>
      <c r="BN681" s="65"/>
      <c r="BO681" s="137" t="s">
        <v>888</v>
      </c>
      <c r="BP681" s="139" t="s">
        <v>46</v>
      </c>
      <c r="BQ681" s="37"/>
      <c r="BR681" s="65"/>
      <c r="BS681" s="137" t="s">
        <v>888</v>
      </c>
      <c r="BT681" s="139" t="s">
        <v>46</v>
      </c>
      <c r="BU681" s="37"/>
    </row>
    <row r="682" ht="12.75" customHeight="1">
      <c r="A682" s="146"/>
      <c r="B682" s="132" t="s">
        <v>46</v>
      </c>
      <c r="C682" s="69"/>
      <c r="D682" s="134"/>
      <c r="E682" s="59"/>
      <c r="F682" s="65"/>
      <c r="G682" s="70" t="s">
        <v>889</v>
      </c>
      <c r="H682" s="95"/>
      <c r="I682" s="37"/>
      <c r="J682" s="65"/>
      <c r="K682" s="137" t="s">
        <v>889</v>
      </c>
      <c r="L682" s="139" t="s">
        <v>46</v>
      </c>
      <c r="M682" s="37"/>
      <c r="N682" s="65"/>
      <c r="O682" s="137" t="s">
        <v>889</v>
      </c>
      <c r="P682" s="139" t="s">
        <v>46</v>
      </c>
      <c r="Q682" s="37"/>
      <c r="R682" s="65"/>
      <c r="S682" s="137" t="s">
        <v>889</v>
      </c>
      <c r="T682" s="139" t="s">
        <v>46</v>
      </c>
      <c r="U682" s="37"/>
      <c r="V682" s="65"/>
      <c r="W682" s="137" t="s">
        <v>889</v>
      </c>
      <c r="X682" s="139" t="s">
        <v>46</v>
      </c>
      <c r="Y682" s="37"/>
      <c r="Z682" s="65"/>
      <c r="AA682" s="137" t="s">
        <v>889</v>
      </c>
      <c r="AB682" s="139" t="s">
        <v>46</v>
      </c>
      <c r="AC682" s="37"/>
      <c r="AD682" s="65"/>
      <c r="AE682" s="137" t="s">
        <v>889</v>
      </c>
      <c r="AF682" s="139" t="s">
        <v>46</v>
      </c>
      <c r="AG682" s="37"/>
      <c r="AH682" s="65"/>
      <c r="AI682" s="137" t="s">
        <v>889</v>
      </c>
      <c r="AJ682" s="139" t="s">
        <v>46</v>
      </c>
      <c r="AK682" s="37"/>
      <c r="AL682" s="65"/>
      <c r="AM682" s="137" t="s">
        <v>889</v>
      </c>
      <c r="AN682" s="139" t="s">
        <v>46</v>
      </c>
      <c r="AO682" s="37"/>
      <c r="AP682" s="65"/>
      <c r="AQ682" s="137" t="s">
        <v>889</v>
      </c>
      <c r="AR682" s="139" t="s">
        <v>46</v>
      </c>
      <c r="AS682" s="37"/>
      <c r="AT682" s="65"/>
      <c r="AU682" s="137" t="s">
        <v>889</v>
      </c>
      <c r="AV682" s="139" t="s">
        <v>46</v>
      </c>
      <c r="AW682" s="37"/>
      <c r="AX682" s="65"/>
      <c r="AY682" s="137" t="s">
        <v>889</v>
      </c>
      <c r="AZ682" s="139" t="s">
        <v>46</v>
      </c>
      <c r="BA682" s="37"/>
      <c r="BB682" s="65"/>
      <c r="BC682" s="137" t="s">
        <v>889</v>
      </c>
      <c r="BD682" s="139" t="s">
        <v>46</v>
      </c>
      <c r="BE682" s="37"/>
      <c r="BF682" s="65"/>
      <c r="BG682" s="137" t="s">
        <v>889</v>
      </c>
      <c r="BH682" s="139" t="s">
        <v>46</v>
      </c>
      <c r="BI682" s="37"/>
      <c r="BJ682" s="65"/>
      <c r="BK682" s="137" t="s">
        <v>889</v>
      </c>
      <c r="BL682" s="139" t="s">
        <v>46</v>
      </c>
      <c r="BM682" s="37"/>
      <c r="BN682" s="65"/>
      <c r="BO682" s="137" t="s">
        <v>889</v>
      </c>
      <c r="BP682" s="139" t="s">
        <v>46</v>
      </c>
      <c r="BQ682" s="37"/>
      <c r="BR682" s="65"/>
      <c r="BS682" s="137" t="s">
        <v>889</v>
      </c>
      <c r="BT682" s="138" t="s">
        <v>255</v>
      </c>
      <c r="BU682" s="37"/>
    </row>
    <row r="683" ht="12.75" customHeight="1">
      <c r="A683" s="146"/>
      <c r="B683" s="132" t="s">
        <v>46</v>
      </c>
      <c r="C683" s="69"/>
      <c r="D683" s="134"/>
      <c r="E683" s="59"/>
      <c r="F683" s="65"/>
      <c r="G683" s="70" t="s">
        <v>890</v>
      </c>
      <c r="H683" s="95"/>
      <c r="I683" s="37"/>
      <c r="J683" s="65"/>
      <c r="K683" s="137" t="s">
        <v>890</v>
      </c>
      <c r="L683" s="139" t="s">
        <v>46</v>
      </c>
      <c r="M683" s="37"/>
      <c r="N683" s="65"/>
      <c r="O683" s="137" t="s">
        <v>890</v>
      </c>
      <c r="P683" s="139" t="s">
        <v>46</v>
      </c>
      <c r="Q683" s="37"/>
      <c r="R683" s="65"/>
      <c r="S683" s="137" t="s">
        <v>890</v>
      </c>
      <c r="T683" s="139" t="s">
        <v>46</v>
      </c>
      <c r="U683" s="37"/>
      <c r="V683" s="65"/>
      <c r="W683" s="137" t="s">
        <v>890</v>
      </c>
      <c r="X683" s="139" t="s">
        <v>46</v>
      </c>
      <c r="Y683" s="37"/>
      <c r="Z683" s="65"/>
      <c r="AA683" s="137" t="s">
        <v>890</v>
      </c>
      <c r="AB683" s="139" t="s">
        <v>46</v>
      </c>
      <c r="AC683" s="37"/>
      <c r="AD683" s="65"/>
      <c r="AE683" s="137" t="s">
        <v>890</v>
      </c>
      <c r="AF683" s="139" t="s">
        <v>46</v>
      </c>
      <c r="AG683" s="37"/>
      <c r="AH683" s="65"/>
      <c r="AI683" s="137" t="s">
        <v>890</v>
      </c>
      <c r="AJ683" s="139" t="s">
        <v>46</v>
      </c>
      <c r="AK683" s="37"/>
      <c r="AL683" s="65"/>
      <c r="AM683" s="137" t="s">
        <v>890</v>
      </c>
      <c r="AN683" s="139" t="s">
        <v>46</v>
      </c>
      <c r="AO683" s="37"/>
      <c r="AP683" s="65"/>
      <c r="AQ683" s="137" t="s">
        <v>890</v>
      </c>
      <c r="AR683" s="138" t="s">
        <v>243</v>
      </c>
      <c r="AS683" s="37"/>
      <c r="AT683" s="65"/>
      <c r="AU683" s="137" t="s">
        <v>890</v>
      </c>
      <c r="AV683" s="139" t="s">
        <v>46</v>
      </c>
      <c r="AW683" s="37"/>
      <c r="AX683" s="65"/>
      <c r="AY683" s="137" t="s">
        <v>890</v>
      </c>
      <c r="AZ683" s="139" t="s">
        <v>46</v>
      </c>
      <c r="BA683" s="37"/>
      <c r="BB683" s="65"/>
      <c r="BC683" s="137" t="s">
        <v>890</v>
      </c>
      <c r="BD683" s="139" t="s">
        <v>46</v>
      </c>
      <c r="BE683" s="37"/>
      <c r="BF683" s="65"/>
      <c r="BG683" s="137" t="s">
        <v>890</v>
      </c>
      <c r="BH683" s="138" t="s">
        <v>243</v>
      </c>
      <c r="BI683" s="37"/>
      <c r="BJ683" s="65"/>
      <c r="BK683" s="137" t="s">
        <v>890</v>
      </c>
      <c r="BL683" s="139" t="s">
        <v>46</v>
      </c>
      <c r="BM683" s="37"/>
      <c r="BN683" s="65"/>
      <c r="BO683" s="137" t="s">
        <v>890</v>
      </c>
      <c r="BP683" s="138" t="s">
        <v>243</v>
      </c>
      <c r="BQ683" s="37"/>
      <c r="BR683" s="65"/>
      <c r="BS683" s="137" t="s">
        <v>890</v>
      </c>
      <c r="BT683" s="138" t="s">
        <v>186</v>
      </c>
      <c r="BU683" s="37"/>
    </row>
    <row r="684" ht="12.75" customHeight="1">
      <c r="A684" s="146"/>
      <c r="B684" s="132" t="s">
        <v>46</v>
      </c>
      <c r="C684" s="69"/>
      <c r="D684" s="134"/>
      <c r="E684" s="59"/>
      <c r="F684" s="65"/>
      <c r="G684" s="70" t="s">
        <v>891</v>
      </c>
      <c r="H684" s="95"/>
      <c r="I684" s="37"/>
      <c r="J684" s="65"/>
      <c r="K684" s="137" t="s">
        <v>891</v>
      </c>
      <c r="L684" s="139" t="s">
        <v>46</v>
      </c>
      <c r="M684" s="37"/>
      <c r="N684" s="65"/>
      <c r="O684" s="137" t="s">
        <v>891</v>
      </c>
      <c r="P684" s="139" t="s">
        <v>46</v>
      </c>
      <c r="Q684" s="37"/>
      <c r="R684" s="65"/>
      <c r="S684" s="137" t="s">
        <v>891</v>
      </c>
      <c r="T684" s="139" t="s">
        <v>46</v>
      </c>
      <c r="U684" s="37"/>
      <c r="V684" s="65"/>
      <c r="W684" s="137" t="s">
        <v>891</v>
      </c>
      <c r="X684" s="138" t="s">
        <v>118</v>
      </c>
      <c r="Y684" s="37"/>
      <c r="Z684" s="65"/>
      <c r="AA684" s="137" t="s">
        <v>891</v>
      </c>
      <c r="AB684" s="139" t="s">
        <v>46</v>
      </c>
      <c r="AC684" s="37"/>
      <c r="AD684" s="65"/>
      <c r="AE684" s="137" t="s">
        <v>891</v>
      </c>
      <c r="AF684" s="138" t="s">
        <v>125</v>
      </c>
      <c r="AG684" s="37"/>
      <c r="AH684" s="65"/>
      <c r="AI684" s="137" t="s">
        <v>891</v>
      </c>
      <c r="AJ684" s="139" t="s">
        <v>46</v>
      </c>
      <c r="AK684" s="37"/>
      <c r="AL684" s="65"/>
      <c r="AM684" s="137" t="s">
        <v>891</v>
      </c>
      <c r="AN684" s="139" t="s">
        <v>46</v>
      </c>
      <c r="AO684" s="37"/>
      <c r="AP684" s="65"/>
      <c r="AQ684" s="137" t="s">
        <v>891</v>
      </c>
      <c r="AR684" s="138" t="s">
        <v>348</v>
      </c>
      <c r="AS684" s="37"/>
      <c r="AT684" s="65"/>
      <c r="AU684" s="137" t="s">
        <v>891</v>
      </c>
      <c r="AV684" s="139" t="s">
        <v>46</v>
      </c>
      <c r="AW684" s="37"/>
      <c r="AX684" s="65"/>
      <c r="AY684" s="137" t="s">
        <v>891</v>
      </c>
      <c r="AZ684" s="138" t="s">
        <v>118</v>
      </c>
      <c r="BA684" s="37"/>
      <c r="BB684" s="65"/>
      <c r="BC684" s="137" t="s">
        <v>891</v>
      </c>
      <c r="BD684" s="139" t="s">
        <v>46</v>
      </c>
      <c r="BE684" s="37"/>
      <c r="BF684" s="65"/>
      <c r="BG684" s="137" t="s">
        <v>891</v>
      </c>
      <c r="BH684" s="138" t="s">
        <v>348</v>
      </c>
      <c r="BI684" s="37"/>
      <c r="BJ684" s="65"/>
      <c r="BK684" s="137" t="s">
        <v>891</v>
      </c>
      <c r="BL684" s="138" t="s">
        <v>125</v>
      </c>
      <c r="BM684" s="37"/>
      <c r="BN684" s="65"/>
      <c r="BO684" s="137" t="s">
        <v>891</v>
      </c>
      <c r="BP684" s="138" t="s">
        <v>348</v>
      </c>
      <c r="BQ684" s="37"/>
      <c r="BR684" s="65"/>
      <c r="BS684" s="137" t="s">
        <v>891</v>
      </c>
      <c r="BT684" s="138" t="s">
        <v>551</v>
      </c>
      <c r="BU684" s="37"/>
    </row>
    <row r="685" ht="12.75" customHeight="1">
      <c r="A685" s="146"/>
      <c r="B685" s="132" t="s">
        <v>46</v>
      </c>
      <c r="C685" s="69"/>
      <c r="D685" s="134"/>
      <c r="E685" s="59"/>
      <c r="F685" s="65"/>
      <c r="G685" s="70" t="s">
        <v>892</v>
      </c>
      <c r="H685" s="95"/>
      <c r="I685" s="37"/>
      <c r="J685" s="65"/>
      <c r="K685" s="137" t="s">
        <v>892</v>
      </c>
      <c r="L685" s="139" t="s">
        <v>46</v>
      </c>
      <c r="M685" s="37"/>
      <c r="N685" s="65"/>
      <c r="O685" s="137" t="s">
        <v>892</v>
      </c>
      <c r="P685" s="139" t="s">
        <v>46</v>
      </c>
      <c r="Q685" s="37"/>
      <c r="R685" s="65"/>
      <c r="S685" s="137" t="s">
        <v>892</v>
      </c>
      <c r="T685" s="139" t="s">
        <v>46</v>
      </c>
      <c r="U685" s="37"/>
      <c r="V685" s="65"/>
      <c r="W685" s="137" t="s">
        <v>892</v>
      </c>
      <c r="X685" s="139" t="s">
        <v>46</v>
      </c>
      <c r="Y685" s="37"/>
      <c r="Z685" s="65"/>
      <c r="AA685" s="137" t="s">
        <v>892</v>
      </c>
      <c r="AB685" s="139" t="s">
        <v>46</v>
      </c>
      <c r="AC685" s="37"/>
      <c r="AD685" s="65"/>
      <c r="AE685" s="137" t="s">
        <v>892</v>
      </c>
      <c r="AF685" s="139" t="s">
        <v>46</v>
      </c>
      <c r="AG685" s="37"/>
      <c r="AH685" s="65"/>
      <c r="AI685" s="137" t="s">
        <v>892</v>
      </c>
      <c r="AJ685" s="139" t="s">
        <v>46</v>
      </c>
      <c r="AK685" s="37"/>
      <c r="AL685" s="65"/>
      <c r="AM685" s="137" t="s">
        <v>892</v>
      </c>
      <c r="AN685" s="139" t="s">
        <v>46</v>
      </c>
      <c r="AO685" s="37"/>
      <c r="AP685" s="65"/>
      <c r="AQ685" s="137" t="s">
        <v>892</v>
      </c>
      <c r="AR685" s="138" t="s">
        <v>243</v>
      </c>
      <c r="AS685" s="37"/>
      <c r="AT685" s="65"/>
      <c r="AU685" s="137" t="s">
        <v>892</v>
      </c>
      <c r="AV685" s="139" t="s">
        <v>46</v>
      </c>
      <c r="AW685" s="37"/>
      <c r="AX685" s="65"/>
      <c r="AY685" s="137" t="s">
        <v>892</v>
      </c>
      <c r="AZ685" s="139" t="s">
        <v>46</v>
      </c>
      <c r="BA685" s="37"/>
      <c r="BB685" s="65"/>
      <c r="BC685" s="137" t="s">
        <v>892</v>
      </c>
      <c r="BD685" s="139" t="s">
        <v>46</v>
      </c>
      <c r="BE685" s="37"/>
      <c r="BF685" s="65"/>
      <c r="BG685" s="137" t="s">
        <v>892</v>
      </c>
      <c r="BH685" s="138" t="s">
        <v>243</v>
      </c>
      <c r="BI685" s="37"/>
      <c r="BJ685" s="65"/>
      <c r="BK685" s="137" t="s">
        <v>892</v>
      </c>
      <c r="BL685" s="139" t="s">
        <v>46</v>
      </c>
      <c r="BM685" s="37"/>
      <c r="BN685" s="65"/>
      <c r="BO685" s="137" t="s">
        <v>892</v>
      </c>
      <c r="BP685" s="138" t="s">
        <v>243</v>
      </c>
      <c r="BQ685" s="37"/>
      <c r="BR685" s="65"/>
      <c r="BS685" s="137" t="s">
        <v>892</v>
      </c>
      <c r="BT685" s="139" t="s">
        <v>46</v>
      </c>
      <c r="BU685" s="37"/>
    </row>
    <row r="686" ht="12.75" customHeight="1">
      <c r="A686" s="146"/>
      <c r="B686" s="132" t="s">
        <v>46</v>
      </c>
      <c r="C686" s="69"/>
      <c r="D686" s="134"/>
      <c r="E686" s="59"/>
      <c r="F686" s="65"/>
      <c r="G686" s="70" t="s">
        <v>893</v>
      </c>
      <c r="H686" s="95"/>
      <c r="I686" s="37"/>
      <c r="J686" s="65"/>
      <c r="K686" s="137" t="s">
        <v>893</v>
      </c>
      <c r="L686" s="139" t="s">
        <v>46</v>
      </c>
      <c r="M686" s="37"/>
      <c r="N686" s="65"/>
      <c r="O686" s="137" t="s">
        <v>893</v>
      </c>
      <c r="P686" s="139" t="s">
        <v>46</v>
      </c>
      <c r="Q686" s="37"/>
      <c r="R686" s="65"/>
      <c r="S686" s="137" t="s">
        <v>893</v>
      </c>
      <c r="T686" s="139" t="s">
        <v>46</v>
      </c>
      <c r="U686" s="37"/>
      <c r="V686" s="65"/>
      <c r="W686" s="137" t="s">
        <v>893</v>
      </c>
      <c r="X686" s="138" t="s">
        <v>118</v>
      </c>
      <c r="Y686" s="37"/>
      <c r="Z686" s="65"/>
      <c r="AA686" s="137" t="s">
        <v>893</v>
      </c>
      <c r="AB686" s="139" t="s">
        <v>46</v>
      </c>
      <c r="AC686" s="37"/>
      <c r="AD686" s="65"/>
      <c r="AE686" s="137" t="s">
        <v>893</v>
      </c>
      <c r="AF686" s="138" t="s">
        <v>125</v>
      </c>
      <c r="AG686" s="37"/>
      <c r="AH686" s="65"/>
      <c r="AI686" s="137" t="s">
        <v>893</v>
      </c>
      <c r="AJ686" s="139" t="s">
        <v>46</v>
      </c>
      <c r="AK686" s="37"/>
      <c r="AL686" s="65"/>
      <c r="AM686" s="137" t="s">
        <v>893</v>
      </c>
      <c r="AN686" s="139" t="s">
        <v>46</v>
      </c>
      <c r="AO686" s="37"/>
      <c r="AP686" s="65"/>
      <c r="AQ686" s="137" t="s">
        <v>893</v>
      </c>
      <c r="AR686" s="138" t="s">
        <v>348</v>
      </c>
      <c r="AS686" s="37"/>
      <c r="AT686" s="65"/>
      <c r="AU686" s="137" t="s">
        <v>893</v>
      </c>
      <c r="AV686" s="139" t="s">
        <v>46</v>
      </c>
      <c r="AW686" s="37"/>
      <c r="AX686" s="65"/>
      <c r="AY686" s="137" t="s">
        <v>893</v>
      </c>
      <c r="AZ686" s="138" t="s">
        <v>118</v>
      </c>
      <c r="BA686" s="37"/>
      <c r="BB686" s="65"/>
      <c r="BC686" s="137" t="s">
        <v>893</v>
      </c>
      <c r="BD686" s="139" t="s">
        <v>46</v>
      </c>
      <c r="BE686" s="37"/>
      <c r="BF686" s="65"/>
      <c r="BG686" s="137" t="s">
        <v>893</v>
      </c>
      <c r="BH686" s="138" t="s">
        <v>348</v>
      </c>
      <c r="BI686" s="37"/>
      <c r="BJ686" s="65"/>
      <c r="BK686" s="137" t="s">
        <v>893</v>
      </c>
      <c r="BL686" s="138" t="s">
        <v>125</v>
      </c>
      <c r="BM686" s="37"/>
      <c r="BN686" s="65"/>
      <c r="BO686" s="137" t="s">
        <v>893</v>
      </c>
      <c r="BP686" s="138" t="s">
        <v>348</v>
      </c>
      <c r="BQ686" s="37"/>
      <c r="BR686" s="65"/>
      <c r="BS686" s="137" t="s">
        <v>893</v>
      </c>
      <c r="BT686" s="138" t="s">
        <v>262</v>
      </c>
      <c r="BU686" s="37"/>
    </row>
    <row r="687" ht="12.75" customHeight="1">
      <c r="A687" s="146"/>
      <c r="B687" s="132" t="s">
        <v>46</v>
      </c>
      <c r="C687" s="69"/>
      <c r="D687" s="134"/>
      <c r="E687" s="59"/>
      <c r="F687" s="65"/>
      <c r="G687" s="70" t="s">
        <v>894</v>
      </c>
      <c r="H687" s="95"/>
      <c r="I687" s="37"/>
      <c r="J687" s="65"/>
      <c r="K687" s="137" t="s">
        <v>894</v>
      </c>
      <c r="L687" s="139" t="s">
        <v>46</v>
      </c>
      <c r="M687" s="37"/>
      <c r="N687" s="65"/>
      <c r="O687" s="137" t="s">
        <v>894</v>
      </c>
      <c r="P687" s="139" t="s">
        <v>46</v>
      </c>
      <c r="Q687" s="37"/>
      <c r="R687" s="65"/>
      <c r="S687" s="137" t="s">
        <v>894</v>
      </c>
      <c r="T687" s="139" t="s">
        <v>46</v>
      </c>
      <c r="U687" s="37"/>
      <c r="V687" s="65"/>
      <c r="W687" s="137" t="s">
        <v>894</v>
      </c>
      <c r="X687" s="139" t="s">
        <v>46</v>
      </c>
      <c r="Y687" s="37"/>
      <c r="Z687" s="65"/>
      <c r="AA687" s="137" t="s">
        <v>894</v>
      </c>
      <c r="AB687" s="139" t="s">
        <v>46</v>
      </c>
      <c r="AC687" s="37"/>
      <c r="AD687" s="65"/>
      <c r="AE687" s="137" t="s">
        <v>894</v>
      </c>
      <c r="AF687" s="139" t="s">
        <v>46</v>
      </c>
      <c r="AG687" s="37"/>
      <c r="AH687" s="65"/>
      <c r="AI687" s="137" t="s">
        <v>894</v>
      </c>
      <c r="AJ687" s="139" t="s">
        <v>46</v>
      </c>
      <c r="AK687" s="37"/>
      <c r="AL687" s="65"/>
      <c r="AM687" s="137" t="s">
        <v>894</v>
      </c>
      <c r="AN687" s="139" t="s">
        <v>46</v>
      </c>
      <c r="AO687" s="37"/>
      <c r="AP687" s="65"/>
      <c r="AQ687" s="137" t="s">
        <v>894</v>
      </c>
      <c r="AR687" s="139" t="s">
        <v>46</v>
      </c>
      <c r="AS687" s="37"/>
      <c r="AT687" s="65"/>
      <c r="AU687" s="137" t="s">
        <v>894</v>
      </c>
      <c r="AV687" s="139" t="s">
        <v>46</v>
      </c>
      <c r="AW687" s="37"/>
      <c r="AX687" s="65"/>
      <c r="AY687" s="137" t="s">
        <v>894</v>
      </c>
      <c r="AZ687" s="139" t="s">
        <v>46</v>
      </c>
      <c r="BA687" s="37"/>
      <c r="BB687" s="65"/>
      <c r="BC687" s="137" t="s">
        <v>894</v>
      </c>
      <c r="BD687" s="139" t="s">
        <v>46</v>
      </c>
      <c r="BE687" s="37"/>
      <c r="BF687" s="65"/>
      <c r="BG687" s="137" t="s">
        <v>894</v>
      </c>
      <c r="BH687" s="139" t="s">
        <v>46</v>
      </c>
      <c r="BI687" s="37"/>
      <c r="BJ687" s="65"/>
      <c r="BK687" s="137" t="s">
        <v>894</v>
      </c>
      <c r="BL687" s="139" t="s">
        <v>46</v>
      </c>
      <c r="BM687" s="37"/>
      <c r="BN687" s="65"/>
      <c r="BO687" s="137" t="s">
        <v>894</v>
      </c>
      <c r="BP687" s="139" t="s">
        <v>46</v>
      </c>
      <c r="BQ687" s="37"/>
      <c r="BR687" s="65"/>
      <c r="BS687" s="137" t="s">
        <v>894</v>
      </c>
      <c r="BT687" s="139" t="s">
        <v>46</v>
      </c>
      <c r="BU687" s="37"/>
    </row>
    <row r="688" ht="12.75" customHeight="1">
      <c r="A688" s="146"/>
      <c r="B688" s="132" t="s">
        <v>46</v>
      </c>
      <c r="C688" s="69"/>
      <c r="D688" s="134"/>
      <c r="E688" s="59"/>
      <c r="F688" s="65"/>
      <c r="G688" s="70" t="s">
        <v>895</v>
      </c>
      <c r="H688" s="95"/>
      <c r="I688" s="37"/>
      <c r="J688" s="65"/>
      <c r="K688" s="137" t="s">
        <v>895</v>
      </c>
      <c r="L688" s="139" t="s">
        <v>46</v>
      </c>
      <c r="M688" s="37"/>
      <c r="N688" s="65"/>
      <c r="O688" s="137" t="s">
        <v>895</v>
      </c>
      <c r="P688" s="139" t="s">
        <v>46</v>
      </c>
      <c r="Q688" s="37"/>
      <c r="R688" s="65"/>
      <c r="S688" s="137" t="s">
        <v>895</v>
      </c>
      <c r="T688" s="139" t="s">
        <v>46</v>
      </c>
      <c r="U688" s="37"/>
      <c r="V688" s="65"/>
      <c r="W688" s="137" t="s">
        <v>895</v>
      </c>
      <c r="X688" s="139" t="s">
        <v>46</v>
      </c>
      <c r="Y688" s="37"/>
      <c r="Z688" s="65"/>
      <c r="AA688" s="137" t="s">
        <v>895</v>
      </c>
      <c r="AB688" s="139" t="s">
        <v>46</v>
      </c>
      <c r="AC688" s="37"/>
      <c r="AD688" s="65"/>
      <c r="AE688" s="137" t="s">
        <v>895</v>
      </c>
      <c r="AF688" s="139" t="s">
        <v>46</v>
      </c>
      <c r="AG688" s="37"/>
      <c r="AH688" s="65"/>
      <c r="AI688" s="137" t="s">
        <v>895</v>
      </c>
      <c r="AJ688" s="139" t="s">
        <v>46</v>
      </c>
      <c r="AK688" s="37"/>
      <c r="AL688" s="65"/>
      <c r="AM688" s="137" t="s">
        <v>895</v>
      </c>
      <c r="AN688" s="139" t="s">
        <v>46</v>
      </c>
      <c r="AO688" s="37"/>
      <c r="AP688" s="65"/>
      <c r="AQ688" s="137" t="s">
        <v>895</v>
      </c>
      <c r="AR688" s="139" t="s">
        <v>46</v>
      </c>
      <c r="AS688" s="37"/>
      <c r="AT688" s="65"/>
      <c r="AU688" s="137" t="s">
        <v>895</v>
      </c>
      <c r="AV688" s="139" t="s">
        <v>46</v>
      </c>
      <c r="AW688" s="37"/>
      <c r="AX688" s="65"/>
      <c r="AY688" s="137" t="s">
        <v>895</v>
      </c>
      <c r="AZ688" s="139" t="s">
        <v>46</v>
      </c>
      <c r="BA688" s="37"/>
      <c r="BB688" s="65"/>
      <c r="BC688" s="137" t="s">
        <v>895</v>
      </c>
      <c r="BD688" s="139" t="s">
        <v>46</v>
      </c>
      <c r="BE688" s="37"/>
      <c r="BF688" s="65"/>
      <c r="BG688" s="137" t="s">
        <v>895</v>
      </c>
      <c r="BH688" s="139" t="s">
        <v>46</v>
      </c>
      <c r="BI688" s="37"/>
      <c r="BJ688" s="65"/>
      <c r="BK688" s="137" t="s">
        <v>895</v>
      </c>
      <c r="BL688" s="139" t="s">
        <v>46</v>
      </c>
      <c r="BM688" s="37"/>
      <c r="BN688" s="65"/>
      <c r="BO688" s="137" t="s">
        <v>895</v>
      </c>
      <c r="BP688" s="139" t="s">
        <v>46</v>
      </c>
      <c r="BQ688" s="37"/>
      <c r="BR688" s="65"/>
      <c r="BS688" s="137" t="s">
        <v>895</v>
      </c>
      <c r="BT688" s="139" t="s">
        <v>46</v>
      </c>
      <c r="BU688" s="37"/>
    </row>
    <row r="689" ht="12.75" customHeight="1">
      <c r="A689" s="146"/>
      <c r="B689" s="132" t="s">
        <v>46</v>
      </c>
      <c r="C689" s="69"/>
      <c r="D689" s="134"/>
      <c r="E689" s="59"/>
      <c r="F689" s="65"/>
      <c r="G689" s="70" t="s">
        <v>896</v>
      </c>
      <c r="H689" s="95"/>
      <c r="I689" s="37"/>
      <c r="J689" s="65"/>
      <c r="K689" s="137" t="s">
        <v>896</v>
      </c>
      <c r="L689" s="139" t="s">
        <v>46</v>
      </c>
      <c r="M689" s="37"/>
      <c r="N689" s="65"/>
      <c r="O689" s="137" t="s">
        <v>896</v>
      </c>
      <c r="P689" s="139" t="s">
        <v>46</v>
      </c>
      <c r="Q689" s="37"/>
      <c r="R689" s="65"/>
      <c r="S689" s="137" t="s">
        <v>896</v>
      </c>
      <c r="T689" s="139" t="s">
        <v>46</v>
      </c>
      <c r="U689" s="37"/>
      <c r="V689" s="65"/>
      <c r="W689" s="137" t="s">
        <v>896</v>
      </c>
      <c r="X689" s="139" t="s">
        <v>46</v>
      </c>
      <c r="Y689" s="37"/>
      <c r="Z689" s="65"/>
      <c r="AA689" s="137" t="s">
        <v>896</v>
      </c>
      <c r="AB689" s="139" t="s">
        <v>46</v>
      </c>
      <c r="AC689" s="37"/>
      <c r="AD689" s="65"/>
      <c r="AE689" s="137" t="s">
        <v>896</v>
      </c>
      <c r="AF689" s="139" t="s">
        <v>46</v>
      </c>
      <c r="AG689" s="37"/>
      <c r="AH689" s="65"/>
      <c r="AI689" s="137" t="s">
        <v>896</v>
      </c>
      <c r="AJ689" s="139" t="s">
        <v>46</v>
      </c>
      <c r="AK689" s="37"/>
      <c r="AL689" s="65"/>
      <c r="AM689" s="137" t="s">
        <v>896</v>
      </c>
      <c r="AN689" s="139" t="s">
        <v>46</v>
      </c>
      <c r="AO689" s="37"/>
      <c r="AP689" s="65"/>
      <c r="AQ689" s="137" t="s">
        <v>896</v>
      </c>
      <c r="AR689" s="139" t="s">
        <v>46</v>
      </c>
      <c r="AS689" s="37"/>
      <c r="AT689" s="65"/>
      <c r="AU689" s="137" t="s">
        <v>896</v>
      </c>
      <c r="AV689" s="139" t="s">
        <v>46</v>
      </c>
      <c r="AW689" s="37"/>
      <c r="AX689" s="65"/>
      <c r="AY689" s="137" t="s">
        <v>896</v>
      </c>
      <c r="AZ689" s="139" t="s">
        <v>46</v>
      </c>
      <c r="BA689" s="37"/>
      <c r="BB689" s="65"/>
      <c r="BC689" s="137" t="s">
        <v>896</v>
      </c>
      <c r="BD689" s="139" t="s">
        <v>46</v>
      </c>
      <c r="BE689" s="37"/>
      <c r="BF689" s="65"/>
      <c r="BG689" s="137" t="s">
        <v>896</v>
      </c>
      <c r="BH689" s="139" t="s">
        <v>46</v>
      </c>
      <c r="BI689" s="37"/>
      <c r="BJ689" s="65"/>
      <c r="BK689" s="137" t="s">
        <v>896</v>
      </c>
      <c r="BL689" s="139" t="s">
        <v>46</v>
      </c>
      <c r="BM689" s="37"/>
      <c r="BN689" s="65"/>
      <c r="BO689" s="137" t="s">
        <v>896</v>
      </c>
      <c r="BP689" s="139" t="s">
        <v>46</v>
      </c>
      <c r="BQ689" s="37"/>
      <c r="BR689" s="65"/>
      <c r="BS689" s="137" t="s">
        <v>896</v>
      </c>
      <c r="BT689" s="139" t="s">
        <v>46</v>
      </c>
      <c r="BU689" s="37"/>
    </row>
    <row r="690" ht="12.75" customHeight="1">
      <c r="A690" s="146"/>
      <c r="B690" s="132" t="s">
        <v>46</v>
      </c>
      <c r="C690" s="69"/>
      <c r="D690" s="134"/>
      <c r="E690" s="59"/>
      <c r="F690" s="65"/>
      <c r="G690" s="70" t="s">
        <v>897</v>
      </c>
      <c r="H690" s="95"/>
      <c r="I690" s="37"/>
      <c r="J690" s="65"/>
      <c r="K690" s="137" t="s">
        <v>897</v>
      </c>
      <c r="L690" s="139" t="s">
        <v>46</v>
      </c>
      <c r="M690" s="37"/>
      <c r="N690" s="65"/>
      <c r="O690" s="137" t="s">
        <v>897</v>
      </c>
      <c r="P690" s="139" t="s">
        <v>46</v>
      </c>
      <c r="Q690" s="37"/>
      <c r="R690" s="65"/>
      <c r="S690" s="137" t="s">
        <v>897</v>
      </c>
      <c r="T690" s="139" t="s">
        <v>46</v>
      </c>
      <c r="U690" s="37"/>
      <c r="V690" s="65"/>
      <c r="W690" s="137" t="s">
        <v>897</v>
      </c>
      <c r="X690" s="139" t="s">
        <v>46</v>
      </c>
      <c r="Y690" s="37"/>
      <c r="Z690" s="65"/>
      <c r="AA690" s="137" t="s">
        <v>897</v>
      </c>
      <c r="AB690" s="139" t="s">
        <v>46</v>
      </c>
      <c r="AC690" s="37"/>
      <c r="AD690" s="65"/>
      <c r="AE690" s="137" t="s">
        <v>897</v>
      </c>
      <c r="AF690" s="139" t="s">
        <v>46</v>
      </c>
      <c r="AG690" s="37"/>
      <c r="AH690" s="65"/>
      <c r="AI690" s="137" t="s">
        <v>897</v>
      </c>
      <c r="AJ690" s="139" t="s">
        <v>46</v>
      </c>
      <c r="AK690" s="37"/>
      <c r="AL690" s="65"/>
      <c r="AM690" s="137" t="s">
        <v>897</v>
      </c>
      <c r="AN690" s="139" t="s">
        <v>46</v>
      </c>
      <c r="AO690" s="37"/>
      <c r="AP690" s="65"/>
      <c r="AQ690" s="137" t="s">
        <v>897</v>
      </c>
      <c r="AR690" s="139" t="s">
        <v>46</v>
      </c>
      <c r="AS690" s="37"/>
      <c r="AT690" s="65"/>
      <c r="AU690" s="137" t="s">
        <v>897</v>
      </c>
      <c r="AV690" s="139" t="s">
        <v>46</v>
      </c>
      <c r="AW690" s="37"/>
      <c r="AX690" s="65"/>
      <c r="AY690" s="137" t="s">
        <v>897</v>
      </c>
      <c r="AZ690" s="139" t="s">
        <v>46</v>
      </c>
      <c r="BA690" s="37"/>
      <c r="BB690" s="65"/>
      <c r="BC690" s="137" t="s">
        <v>897</v>
      </c>
      <c r="BD690" s="139" t="s">
        <v>46</v>
      </c>
      <c r="BE690" s="37"/>
      <c r="BF690" s="65"/>
      <c r="BG690" s="137" t="s">
        <v>897</v>
      </c>
      <c r="BH690" s="139" t="s">
        <v>46</v>
      </c>
      <c r="BI690" s="37"/>
      <c r="BJ690" s="65"/>
      <c r="BK690" s="137" t="s">
        <v>897</v>
      </c>
      <c r="BL690" s="139" t="s">
        <v>46</v>
      </c>
      <c r="BM690" s="37"/>
      <c r="BN690" s="65"/>
      <c r="BO690" s="137" t="s">
        <v>897</v>
      </c>
      <c r="BP690" s="139" t="s">
        <v>46</v>
      </c>
      <c r="BQ690" s="37"/>
      <c r="BR690" s="65"/>
      <c r="BS690" s="137" t="s">
        <v>897</v>
      </c>
      <c r="BT690" s="139" t="s">
        <v>46</v>
      </c>
      <c r="BU690" s="37"/>
    </row>
    <row r="691" ht="12.75" customHeight="1">
      <c r="A691" s="146"/>
      <c r="B691" s="132" t="s">
        <v>46</v>
      </c>
      <c r="C691" s="69"/>
      <c r="D691" s="134"/>
      <c r="E691" s="59"/>
      <c r="F691" s="65"/>
      <c r="G691" s="70" t="s">
        <v>898</v>
      </c>
      <c r="H691" s="95"/>
      <c r="I691" s="37"/>
      <c r="J691" s="65"/>
      <c r="K691" s="137" t="s">
        <v>898</v>
      </c>
      <c r="L691" s="139" t="s">
        <v>46</v>
      </c>
      <c r="M691" s="37"/>
      <c r="N691" s="65"/>
      <c r="O691" s="137" t="s">
        <v>898</v>
      </c>
      <c r="P691" s="139" t="s">
        <v>46</v>
      </c>
      <c r="Q691" s="37"/>
      <c r="R691" s="65"/>
      <c r="S691" s="137" t="s">
        <v>898</v>
      </c>
      <c r="T691" s="139" t="s">
        <v>46</v>
      </c>
      <c r="U691" s="37"/>
      <c r="V691" s="65"/>
      <c r="W691" s="137" t="s">
        <v>898</v>
      </c>
      <c r="X691" s="139" t="s">
        <v>46</v>
      </c>
      <c r="Y691" s="37"/>
      <c r="Z691" s="65"/>
      <c r="AA691" s="137" t="s">
        <v>898</v>
      </c>
      <c r="AB691" s="139" t="s">
        <v>46</v>
      </c>
      <c r="AC691" s="37"/>
      <c r="AD691" s="65"/>
      <c r="AE691" s="137" t="s">
        <v>898</v>
      </c>
      <c r="AF691" s="139" t="s">
        <v>46</v>
      </c>
      <c r="AG691" s="37"/>
      <c r="AH691" s="65"/>
      <c r="AI691" s="137" t="s">
        <v>898</v>
      </c>
      <c r="AJ691" s="139" t="s">
        <v>46</v>
      </c>
      <c r="AK691" s="37"/>
      <c r="AL691" s="65"/>
      <c r="AM691" s="137" t="s">
        <v>898</v>
      </c>
      <c r="AN691" s="139" t="s">
        <v>46</v>
      </c>
      <c r="AO691" s="37"/>
      <c r="AP691" s="65"/>
      <c r="AQ691" s="137" t="s">
        <v>898</v>
      </c>
      <c r="AR691" s="139" t="s">
        <v>46</v>
      </c>
      <c r="AS691" s="37"/>
      <c r="AT691" s="65"/>
      <c r="AU691" s="137" t="s">
        <v>898</v>
      </c>
      <c r="AV691" s="139" t="s">
        <v>46</v>
      </c>
      <c r="AW691" s="37"/>
      <c r="AX691" s="65"/>
      <c r="AY691" s="137" t="s">
        <v>898</v>
      </c>
      <c r="AZ691" s="139" t="s">
        <v>46</v>
      </c>
      <c r="BA691" s="37"/>
      <c r="BB691" s="65"/>
      <c r="BC691" s="137" t="s">
        <v>898</v>
      </c>
      <c r="BD691" s="139" t="s">
        <v>46</v>
      </c>
      <c r="BE691" s="37"/>
      <c r="BF691" s="65"/>
      <c r="BG691" s="137" t="s">
        <v>898</v>
      </c>
      <c r="BH691" s="139" t="s">
        <v>46</v>
      </c>
      <c r="BI691" s="37"/>
      <c r="BJ691" s="65"/>
      <c r="BK691" s="137" t="s">
        <v>898</v>
      </c>
      <c r="BL691" s="139" t="s">
        <v>46</v>
      </c>
      <c r="BM691" s="37"/>
      <c r="BN691" s="65"/>
      <c r="BO691" s="137" t="s">
        <v>898</v>
      </c>
      <c r="BP691" s="139" t="s">
        <v>46</v>
      </c>
      <c r="BQ691" s="37"/>
      <c r="BR691" s="65"/>
      <c r="BS691" s="137" t="s">
        <v>898</v>
      </c>
      <c r="BT691" s="139" t="s">
        <v>46</v>
      </c>
      <c r="BU691" s="37"/>
    </row>
    <row r="692" ht="12.75" customHeight="1">
      <c r="A692" s="146"/>
      <c r="B692" s="132" t="s">
        <v>46</v>
      </c>
      <c r="C692" s="69"/>
      <c r="D692" s="134"/>
      <c r="E692" s="59"/>
      <c r="F692" s="65"/>
      <c r="G692" s="70" t="s">
        <v>899</v>
      </c>
      <c r="H692" s="95"/>
      <c r="I692" s="37"/>
      <c r="J692" s="65"/>
      <c r="K692" s="137" t="s">
        <v>899</v>
      </c>
      <c r="L692" s="139" t="s">
        <v>46</v>
      </c>
      <c r="M692" s="37"/>
      <c r="N692" s="65"/>
      <c r="O692" s="137" t="s">
        <v>899</v>
      </c>
      <c r="P692" s="139" t="s">
        <v>46</v>
      </c>
      <c r="Q692" s="37"/>
      <c r="R692" s="65"/>
      <c r="S692" s="137" t="s">
        <v>899</v>
      </c>
      <c r="T692" s="139" t="s">
        <v>46</v>
      </c>
      <c r="U692" s="37"/>
      <c r="V692" s="65"/>
      <c r="W692" s="137" t="s">
        <v>899</v>
      </c>
      <c r="X692" s="139" t="s">
        <v>46</v>
      </c>
      <c r="Y692" s="37"/>
      <c r="Z692" s="65"/>
      <c r="AA692" s="137" t="s">
        <v>899</v>
      </c>
      <c r="AB692" s="139" t="s">
        <v>46</v>
      </c>
      <c r="AC692" s="37"/>
      <c r="AD692" s="65"/>
      <c r="AE692" s="137" t="s">
        <v>899</v>
      </c>
      <c r="AF692" s="139" t="s">
        <v>46</v>
      </c>
      <c r="AG692" s="37"/>
      <c r="AH692" s="65"/>
      <c r="AI692" s="137" t="s">
        <v>899</v>
      </c>
      <c r="AJ692" s="139" t="s">
        <v>46</v>
      </c>
      <c r="AK692" s="37"/>
      <c r="AL692" s="65"/>
      <c r="AM692" s="137" t="s">
        <v>899</v>
      </c>
      <c r="AN692" s="139" t="s">
        <v>46</v>
      </c>
      <c r="AO692" s="37"/>
      <c r="AP692" s="65"/>
      <c r="AQ692" s="137" t="s">
        <v>899</v>
      </c>
      <c r="AR692" s="139" t="s">
        <v>46</v>
      </c>
      <c r="AS692" s="37"/>
      <c r="AT692" s="65"/>
      <c r="AU692" s="137" t="s">
        <v>899</v>
      </c>
      <c r="AV692" s="139" t="s">
        <v>46</v>
      </c>
      <c r="AW692" s="37"/>
      <c r="AX692" s="65"/>
      <c r="AY692" s="137" t="s">
        <v>899</v>
      </c>
      <c r="AZ692" s="139" t="s">
        <v>46</v>
      </c>
      <c r="BA692" s="37"/>
      <c r="BB692" s="65"/>
      <c r="BC692" s="137" t="s">
        <v>899</v>
      </c>
      <c r="BD692" s="139" t="s">
        <v>46</v>
      </c>
      <c r="BE692" s="37"/>
      <c r="BF692" s="65"/>
      <c r="BG692" s="137" t="s">
        <v>899</v>
      </c>
      <c r="BH692" s="139" t="s">
        <v>46</v>
      </c>
      <c r="BI692" s="37"/>
      <c r="BJ692" s="65"/>
      <c r="BK692" s="137" t="s">
        <v>899</v>
      </c>
      <c r="BL692" s="139" t="s">
        <v>46</v>
      </c>
      <c r="BM692" s="37"/>
      <c r="BN692" s="65"/>
      <c r="BO692" s="137" t="s">
        <v>899</v>
      </c>
      <c r="BP692" s="139" t="s">
        <v>46</v>
      </c>
      <c r="BQ692" s="37"/>
      <c r="BR692" s="65"/>
      <c r="BS692" s="137" t="s">
        <v>899</v>
      </c>
      <c r="BT692" s="139" t="s">
        <v>46</v>
      </c>
      <c r="BU692" s="37"/>
    </row>
    <row r="693" ht="12.75" customHeight="1">
      <c r="A693" s="146"/>
      <c r="B693" s="132" t="s">
        <v>46</v>
      </c>
      <c r="C693" s="69"/>
      <c r="D693" s="134"/>
      <c r="E693" s="59"/>
      <c r="F693" s="65"/>
      <c r="G693" s="70" t="s">
        <v>900</v>
      </c>
      <c r="H693" s="95"/>
      <c r="I693" s="37"/>
      <c r="J693" s="65"/>
      <c r="K693" s="137" t="s">
        <v>900</v>
      </c>
      <c r="L693" s="139" t="s">
        <v>46</v>
      </c>
      <c r="M693" s="37"/>
      <c r="N693" s="65"/>
      <c r="O693" s="137" t="s">
        <v>900</v>
      </c>
      <c r="P693" s="139" t="s">
        <v>46</v>
      </c>
      <c r="Q693" s="37"/>
      <c r="R693" s="65"/>
      <c r="S693" s="137" t="s">
        <v>900</v>
      </c>
      <c r="T693" s="139" t="s">
        <v>46</v>
      </c>
      <c r="U693" s="37"/>
      <c r="V693" s="65"/>
      <c r="W693" s="137" t="s">
        <v>900</v>
      </c>
      <c r="X693" s="139" t="s">
        <v>46</v>
      </c>
      <c r="Y693" s="37"/>
      <c r="Z693" s="65"/>
      <c r="AA693" s="137" t="s">
        <v>900</v>
      </c>
      <c r="AB693" s="139" t="s">
        <v>46</v>
      </c>
      <c r="AC693" s="37"/>
      <c r="AD693" s="65"/>
      <c r="AE693" s="137" t="s">
        <v>900</v>
      </c>
      <c r="AF693" s="139" t="s">
        <v>46</v>
      </c>
      <c r="AG693" s="37"/>
      <c r="AH693" s="65"/>
      <c r="AI693" s="137" t="s">
        <v>900</v>
      </c>
      <c r="AJ693" s="139" t="s">
        <v>46</v>
      </c>
      <c r="AK693" s="37"/>
      <c r="AL693" s="65"/>
      <c r="AM693" s="137" t="s">
        <v>900</v>
      </c>
      <c r="AN693" s="139" t="s">
        <v>46</v>
      </c>
      <c r="AO693" s="37"/>
      <c r="AP693" s="65"/>
      <c r="AQ693" s="137" t="s">
        <v>900</v>
      </c>
      <c r="AR693" s="139" t="s">
        <v>46</v>
      </c>
      <c r="AS693" s="37"/>
      <c r="AT693" s="65"/>
      <c r="AU693" s="137" t="s">
        <v>900</v>
      </c>
      <c r="AV693" s="139" t="s">
        <v>46</v>
      </c>
      <c r="AW693" s="37"/>
      <c r="AX693" s="65"/>
      <c r="AY693" s="137" t="s">
        <v>900</v>
      </c>
      <c r="AZ693" s="139" t="s">
        <v>46</v>
      </c>
      <c r="BA693" s="37"/>
      <c r="BB693" s="65"/>
      <c r="BC693" s="137" t="s">
        <v>900</v>
      </c>
      <c r="BD693" s="139" t="s">
        <v>46</v>
      </c>
      <c r="BE693" s="37"/>
      <c r="BF693" s="65"/>
      <c r="BG693" s="137" t="s">
        <v>900</v>
      </c>
      <c r="BH693" s="139" t="s">
        <v>46</v>
      </c>
      <c r="BI693" s="37"/>
      <c r="BJ693" s="65"/>
      <c r="BK693" s="137" t="s">
        <v>900</v>
      </c>
      <c r="BL693" s="139" t="s">
        <v>46</v>
      </c>
      <c r="BM693" s="37"/>
      <c r="BN693" s="65"/>
      <c r="BO693" s="137" t="s">
        <v>900</v>
      </c>
      <c r="BP693" s="139" t="s">
        <v>46</v>
      </c>
      <c r="BQ693" s="37"/>
      <c r="BR693" s="65"/>
      <c r="BS693" s="137" t="s">
        <v>900</v>
      </c>
      <c r="BT693" s="139" t="s">
        <v>46</v>
      </c>
      <c r="BU693" s="37"/>
    </row>
    <row r="694" ht="12.75" customHeight="1">
      <c r="A694" s="146"/>
      <c r="B694" s="132" t="s">
        <v>46</v>
      </c>
      <c r="C694" s="69"/>
      <c r="D694" s="134"/>
      <c r="E694" s="59"/>
      <c r="F694" s="65"/>
      <c r="G694" s="70" t="s">
        <v>901</v>
      </c>
      <c r="H694" s="95"/>
      <c r="I694" s="37"/>
      <c r="J694" s="65"/>
      <c r="K694" s="137" t="s">
        <v>901</v>
      </c>
      <c r="L694" s="139" t="s">
        <v>46</v>
      </c>
      <c r="M694" s="37"/>
      <c r="N694" s="65"/>
      <c r="O694" s="137" t="s">
        <v>901</v>
      </c>
      <c r="P694" s="139" t="s">
        <v>46</v>
      </c>
      <c r="Q694" s="37"/>
      <c r="R694" s="65"/>
      <c r="S694" s="137" t="s">
        <v>901</v>
      </c>
      <c r="T694" s="139" t="s">
        <v>46</v>
      </c>
      <c r="U694" s="37"/>
      <c r="V694" s="65"/>
      <c r="W694" s="137" t="s">
        <v>901</v>
      </c>
      <c r="X694" s="139" t="s">
        <v>46</v>
      </c>
      <c r="Y694" s="37"/>
      <c r="Z694" s="65"/>
      <c r="AA694" s="137" t="s">
        <v>901</v>
      </c>
      <c r="AB694" s="139" t="s">
        <v>46</v>
      </c>
      <c r="AC694" s="37"/>
      <c r="AD694" s="65"/>
      <c r="AE694" s="137" t="s">
        <v>901</v>
      </c>
      <c r="AF694" s="139" t="s">
        <v>46</v>
      </c>
      <c r="AG694" s="37"/>
      <c r="AH694" s="65"/>
      <c r="AI694" s="137" t="s">
        <v>901</v>
      </c>
      <c r="AJ694" s="139" t="s">
        <v>46</v>
      </c>
      <c r="AK694" s="37"/>
      <c r="AL694" s="65"/>
      <c r="AM694" s="137" t="s">
        <v>901</v>
      </c>
      <c r="AN694" s="139" t="s">
        <v>46</v>
      </c>
      <c r="AO694" s="37"/>
      <c r="AP694" s="65"/>
      <c r="AQ694" s="137" t="s">
        <v>901</v>
      </c>
      <c r="AR694" s="139" t="s">
        <v>46</v>
      </c>
      <c r="AS694" s="37"/>
      <c r="AT694" s="65"/>
      <c r="AU694" s="137" t="s">
        <v>901</v>
      </c>
      <c r="AV694" s="139" t="s">
        <v>46</v>
      </c>
      <c r="AW694" s="37"/>
      <c r="AX694" s="65"/>
      <c r="AY694" s="137" t="s">
        <v>901</v>
      </c>
      <c r="AZ694" s="139" t="s">
        <v>46</v>
      </c>
      <c r="BA694" s="37"/>
      <c r="BB694" s="65"/>
      <c r="BC694" s="137" t="s">
        <v>901</v>
      </c>
      <c r="BD694" s="139" t="s">
        <v>46</v>
      </c>
      <c r="BE694" s="37"/>
      <c r="BF694" s="65"/>
      <c r="BG694" s="137" t="s">
        <v>901</v>
      </c>
      <c r="BH694" s="139" t="s">
        <v>46</v>
      </c>
      <c r="BI694" s="37"/>
      <c r="BJ694" s="65"/>
      <c r="BK694" s="137" t="s">
        <v>901</v>
      </c>
      <c r="BL694" s="139" t="s">
        <v>46</v>
      </c>
      <c r="BM694" s="37"/>
      <c r="BN694" s="65"/>
      <c r="BO694" s="137" t="s">
        <v>901</v>
      </c>
      <c r="BP694" s="139" t="s">
        <v>46</v>
      </c>
      <c r="BQ694" s="37"/>
      <c r="BR694" s="65"/>
      <c r="BS694" s="137" t="s">
        <v>901</v>
      </c>
      <c r="BT694" s="139" t="s">
        <v>46</v>
      </c>
      <c r="BU694" s="37"/>
    </row>
    <row r="695" ht="12.75" customHeight="1">
      <c r="A695" s="146"/>
      <c r="B695" s="132" t="s">
        <v>46</v>
      </c>
      <c r="C695" s="69"/>
      <c r="D695" s="134"/>
      <c r="E695" s="59"/>
      <c r="F695" s="65"/>
      <c r="G695" s="70" t="s">
        <v>902</v>
      </c>
      <c r="H695" s="95"/>
      <c r="I695" s="37"/>
      <c r="J695" s="65"/>
      <c r="K695" s="137" t="s">
        <v>902</v>
      </c>
      <c r="L695" s="139" t="s">
        <v>46</v>
      </c>
      <c r="M695" s="37"/>
      <c r="N695" s="65"/>
      <c r="O695" s="137" t="s">
        <v>902</v>
      </c>
      <c r="P695" s="139" t="s">
        <v>46</v>
      </c>
      <c r="Q695" s="37"/>
      <c r="R695" s="65"/>
      <c r="S695" s="137" t="s">
        <v>902</v>
      </c>
      <c r="T695" s="139" t="s">
        <v>46</v>
      </c>
      <c r="U695" s="37"/>
      <c r="V695" s="65"/>
      <c r="W695" s="137" t="s">
        <v>902</v>
      </c>
      <c r="X695" s="139" t="s">
        <v>46</v>
      </c>
      <c r="Y695" s="37"/>
      <c r="Z695" s="65"/>
      <c r="AA695" s="137" t="s">
        <v>902</v>
      </c>
      <c r="AB695" s="139" t="s">
        <v>46</v>
      </c>
      <c r="AC695" s="37"/>
      <c r="AD695" s="65"/>
      <c r="AE695" s="137" t="s">
        <v>902</v>
      </c>
      <c r="AF695" s="139" t="s">
        <v>46</v>
      </c>
      <c r="AG695" s="37"/>
      <c r="AH695" s="65"/>
      <c r="AI695" s="137" t="s">
        <v>902</v>
      </c>
      <c r="AJ695" s="139" t="s">
        <v>46</v>
      </c>
      <c r="AK695" s="37"/>
      <c r="AL695" s="65"/>
      <c r="AM695" s="137" t="s">
        <v>902</v>
      </c>
      <c r="AN695" s="139" t="s">
        <v>46</v>
      </c>
      <c r="AO695" s="37"/>
      <c r="AP695" s="65"/>
      <c r="AQ695" s="137" t="s">
        <v>902</v>
      </c>
      <c r="AR695" s="139" t="s">
        <v>46</v>
      </c>
      <c r="AS695" s="37"/>
      <c r="AT695" s="65"/>
      <c r="AU695" s="137" t="s">
        <v>902</v>
      </c>
      <c r="AV695" s="139" t="s">
        <v>46</v>
      </c>
      <c r="AW695" s="37"/>
      <c r="AX695" s="65"/>
      <c r="AY695" s="137" t="s">
        <v>902</v>
      </c>
      <c r="AZ695" s="139" t="s">
        <v>46</v>
      </c>
      <c r="BA695" s="37"/>
      <c r="BB695" s="65"/>
      <c r="BC695" s="137" t="s">
        <v>902</v>
      </c>
      <c r="BD695" s="139" t="s">
        <v>46</v>
      </c>
      <c r="BE695" s="37"/>
      <c r="BF695" s="65"/>
      <c r="BG695" s="137" t="s">
        <v>902</v>
      </c>
      <c r="BH695" s="139" t="s">
        <v>46</v>
      </c>
      <c r="BI695" s="37"/>
      <c r="BJ695" s="65"/>
      <c r="BK695" s="137" t="s">
        <v>902</v>
      </c>
      <c r="BL695" s="139" t="s">
        <v>46</v>
      </c>
      <c r="BM695" s="37"/>
      <c r="BN695" s="65"/>
      <c r="BO695" s="137" t="s">
        <v>902</v>
      </c>
      <c r="BP695" s="139" t="s">
        <v>46</v>
      </c>
      <c r="BQ695" s="37"/>
      <c r="BR695" s="65"/>
      <c r="BS695" s="137" t="s">
        <v>902</v>
      </c>
      <c r="BT695" s="139" t="s">
        <v>46</v>
      </c>
      <c r="BU695" s="37"/>
    </row>
    <row r="696" ht="12.75" customHeight="1">
      <c r="A696" s="146"/>
      <c r="B696" s="132" t="s">
        <v>46</v>
      </c>
      <c r="C696" s="69"/>
      <c r="D696" s="134"/>
      <c r="E696" s="59"/>
      <c r="F696" s="65"/>
      <c r="G696" s="70" t="s">
        <v>903</v>
      </c>
      <c r="H696" s="95"/>
      <c r="I696" s="37"/>
      <c r="J696" s="65"/>
      <c r="K696" s="137" t="s">
        <v>903</v>
      </c>
      <c r="L696" s="139" t="s">
        <v>46</v>
      </c>
      <c r="M696" s="37"/>
      <c r="N696" s="65"/>
      <c r="O696" s="137" t="s">
        <v>903</v>
      </c>
      <c r="P696" s="139" t="s">
        <v>46</v>
      </c>
      <c r="Q696" s="37"/>
      <c r="R696" s="65"/>
      <c r="S696" s="137" t="s">
        <v>903</v>
      </c>
      <c r="T696" s="139" t="s">
        <v>46</v>
      </c>
      <c r="U696" s="37"/>
      <c r="V696" s="65"/>
      <c r="W696" s="137" t="s">
        <v>903</v>
      </c>
      <c r="X696" s="139" t="s">
        <v>46</v>
      </c>
      <c r="Y696" s="37"/>
      <c r="Z696" s="65"/>
      <c r="AA696" s="137" t="s">
        <v>903</v>
      </c>
      <c r="AB696" s="139" t="s">
        <v>46</v>
      </c>
      <c r="AC696" s="37"/>
      <c r="AD696" s="65"/>
      <c r="AE696" s="137" t="s">
        <v>903</v>
      </c>
      <c r="AF696" s="139" t="s">
        <v>46</v>
      </c>
      <c r="AG696" s="37"/>
      <c r="AH696" s="65"/>
      <c r="AI696" s="137" t="s">
        <v>903</v>
      </c>
      <c r="AJ696" s="139" t="s">
        <v>46</v>
      </c>
      <c r="AK696" s="37"/>
      <c r="AL696" s="65"/>
      <c r="AM696" s="137" t="s">
        <v>903</v>
      </c>
      <c r="AN696" s="139" t="s">
        <v>46</v>
      </c>
      <c r="AO696" s="37"/>
      <c r="AP696" s="65"/>
      <c r="AQ696" s="137" t="s">
        <v>903</v>
      </c>
      <c r="AR696" s="139" t="s">
        <v>46</v>
      </c>
      <c r="AS696" s="37"/>
      <c r="AT696" s="65"/>
      <c r="AU696" s="137" t="s">
        <v>903</v>
      </c>
      <c r="AV696" s="139" t="s">
        <v>46</v>
      </c>
      <c r="AW696" s="37"/>
      <c r="AX696" s="65"/>
      <c r="AY696" s="137" t="s">
        <v>903</v>
      </c>
      <c r="AZ696" s="139" t="s">
        <v>46</v>
      </c>
      <c r="BA696" s="37"/>
      <c r="BB696" s="65"/>
      <c r="BC696" s="137" t="s">
        <v>903</v>
      </c>
      <c r="BD696" s="139" t="s">
        <v>46</v>
      </c>
      <c r="BE696" s="37"/>
      <c r="BF696" s="65"/>
      <c r="BG696" s="137" t="s">
        <v>903</v>
      </c>
      <c r="BH696" s="139" t="s">
        <v>46</v>
      </c>
      <c r="BI696" s="37"/>
      <c r="BJ696" s="65"/>
      <c r="BK696" s="137" t="s">
        <v>903</v>
      </c>
      <c r="BL696" s="139" t="s">
        <v>46</v>
      </c>
      <c r="BM696" s="37"/>
      <c r="BN696" s="65"/>
      <c r="BO696" s="137" t="s">
        <v>903</v>
      </c>
      <c r="BP696" s="139" t="s">
        <v>46</v>
      </c>
      <c r="BQ696" s="37"/>
      <c r="BR696" s="65"/>
      <c r="BS696" s="137" t="s">
        <v>903</v>
      </c>
      <c r="BT696" s="139" t="s">
        <v>46</v>
      </c>
      <c r="BU696" s="37"/>
    </row>
    <row r="697" ht="12.75" customHeight="1">
      <c r="A697" s="146"/>
      <c r="B697" s="132" t="s">
        <v>63</v>
      </c>
      <c r="C697" s="69"/>
      <c r="D697" s="134"/>
      <c r="E697" s="59"/>
      <c r="F697" s="65"/>
      <c r="G697" s="70" t="s">
        <v>904</v>
      </c>
      <c r="H697" s="95"/>
      <c r="I697" s="37"/>
      <c r="J697" s="65"/>
      <c r="K697" s="137" t="s">
        <v>904</v>
      </c>
      <c r="L697" s="139" t="s">
        <v>63</v>
      </c>
      <c r="M697" s="37"/>
      <c r="N697" s="65"/>
      <c r="O697" s="137" t="s">
        <v>904</v>
      </c>
      <c r="P697" s="139" t="s">
        <v>63</v>
      </c>
      <c r="Q697" s="37"/>
      <c r="R697" s="65"/>
      <c r="S697" s="137" t="s">
        <v>904</v>
      </c>
      <c r="T697" s="139" t="s">
        <v>63</v>
      </c>
      <c r="U697" s="37"/>
      <c r="V697" s="65"/>
      <c r="W697" s="137" t="s">
        <v>904</v>
      </c>
      <c r="X697" s="139" t="s">
        <v>63</v>
      </c>
      <c r="Y697" s="37"/>
      <c r="Z697" s="65"/>
      <c r="AA697" s="137" t="s">
        <v>904</v>
      </c>
      <c r="AB697" s="139" t="s">
        <v>63</v>
      </c>
      <c r="AC697" s="37"/>
      <c r="AD697" s="65"/>
      <c r="AE697" s="137" t="s">
        <v>904</v>
      </c>
      <c r="AF697" s="139" t="s">
        <v>63</v>
      </c>
      <c r="AG697" s="37"/>
      <c r="AH697" s="65"/>
      <c r="AI697" s="137" t="s">
        <v>904</v>
      </c>
      <c r="AJ697" s="139" t="s">
        <v>63</v>
      </c>
      <c r="AK697" s="37"/>
      <c r="AL697" s="65"/>
      <c r="AM697" s="137" t="s">
        <v>904</v>
      </c>
      <c r="AN697" s="139" t="s">
        <v>63</v>
      </c>
      <c r="AO697" s="37"/>
      <c r="AP697" s="65"/>
      <c r="AQ697" s="137" t="s">
        <v>904</v>
      </c>
      <c r="AR697" s="139" t="s">
        <v>63</v>
      </c>
      <c r="AS697" s="37"/>
      <c r="AT697" s="65"/>
      <c r="AU697" s="137" t="s">
        <v>904</v>
      </c>
      <c r="AV697" s="139" t="s">
        <v>63</v>
      </c>
      <c r="AW697" s="37"/>
      <c r="AX697" s="65"/>
      <c r="AY697" s="137" t="s">
        <v>904</v>
      </c>
      <c r="AZ697" s="139" t="s">
        <v>63</v>
      </c>
      <c r="BA697" s="37"/>
      <c r="BB697" s="65"/>
      <c r="BC697" s="137" t="s">
        <v>904</v>
      </c>
      <c r="BD697" s="139" t="s">
        <v>63</v>
      </c>
      <c r="BE697" s="37"/>
      <c r="BF697" s="65"/>
      <c r="BG697" s="137" t="s">
        <v>904</v>
      </c>
      <c r="BH697" s="139" t="s">
        <v>63</v>
      </c>
      <c r="BI697" s="37"/>
      <c r="BJ697" s="65"/>
      <c r="BK697" s="137" t="s">
        <v>904</v>
      </c>
      <c r="BL697" s="139" t="s">
        <v>63</v>
      </c>
      <c r="BM697" s="37"/>
      <c r="BN697" s="65"/>
      <c r="BO697" s="137" t="s">
        <v>904</v>
      </c>
      <c r="BP697" s="139" t="s">
        <v>63</v>
      </c>
      <c r="BQ697" s="37"/>
      <c r="BR697" s="65"/>
      <c r="BS697" s="137" t="s">
        <v>904</v>
      </c>
      <c r="BT697" s="139" t="s">
        <v>63</v>
      </c>
      <c r="BU697" s="37"/>
    </row>
    <row r="698" ht="12.75" customHeight="1">
      <c r="A698" s="146"/>
      <c r="B698" s="132" t="s">
        <v>46</v>
      </c>
      <c r="C698" s="69"/>
      <c r="D698" s="134"/>
      <c r="E698" s="59"/>
      <c r="F698" s="65"/>
      <c r="G698" s="70" t="s">
        <v>905</v>
      </c>
      <c r="H698" s="95"/>
      <c r="I698" s="37"/>
      <c r="J698" s="65"/>
      <c r="K698" s="137" t="s">
        <v>905</v>
      </c>
      <c r="L698" s="139" t="s">
        <v>46</v>
      </c>
      <c r="M698" s="37"/>
      <c r="N698" s="65"/>
      <c r="O698" s="137" t="s">
        <v>905</v>
      </c>
      <c r="P698" s="139" t="s">
        <v>46</v>
      </c>
      <c r="Q698" s="37"/>
      <c r="R698" s="65"/>
      <c r="S698" s="137" t="s">
        <v>905</v>
      </c>
      <c r="T698" s="139" t="s">
        <v>46</v>
      </c>
      <c r="U698" s="37"/>
      <c r="V698" s="65"/>
      <c r="W698" s="137" t="s">
        <v>905</v>
      </c>
      <c r="X698" s="139" t="s">
        <v>46</v>
      </c>
      <c r="Y698" s="37"/>
      <c r="Z698" s="65"/>
      <c r="AA698" s="137" t="s">
        <v>905</v>
      </c>
      <c r="AB698" s="139" t="s">
        <v>46</v>
      </c>
      <c r="AC698" s="37"/>
      <c r="AD698" s="65"/>
      <c r="AE698" s="137" t="s">
        <v>905</v>
      </c>
      <c r="AF698" s="139" t="s">
        <v>46</v>
      </c>
      <c r="AG698" s="37"/>
      <c r="AH698" s="65"/>
      <c r="AI698" s="137" t="s">
        <v>905</v>
      </c>
      <c r="AJ698" s="139" t="s">
        <v>46</v>
      </c>
      <c r="AK698" s="37"/>
      <c r="AL698" s="65"/>
      <c r="AM698" s="137" t="s">
        <v>905</v>
      </c>
      <c r="AN698" s="139" t="s">
        <v>46</v>
      </c>
      <c r="AO698" s="37"/>
      <c r="AP698" s="65"/>
      <c r="AQ698" s="137" t="s">
        <v>905</v>
      </c>
      <c r="AR698" s="139" t="s">
        <v>46</v>
      </c>
      <c r="AS698" s="37"/>
      <c r="AT698" s="65"/>
      <c r="AU698" s="137" t="s">
        <v>905</v>
      </c>
      <c r="AV698" s="139" t="s">
        <v>46</v>
      </c>
      <c r="AW698" s="37"/>
      <c r="AX698" s="65"/>
      <c r="AY698" s="137" t="s">
        <v>905</v>
      </c>
      <c r="AZ698" s="139" t="s">
        <v>46</v>
      </c>
      <c r="BA698" s="37"/>
      <c r="BB698" s="65"/>
      <c r="BC698" s="137" t="s">
        <v>905</v>
      </c>
      <c r="BD698" s="139" t="s">
        <v>46</v>
      </c>
      <c r="BE698" s="37"/>
      <c r="BF698" s="65"/>
      <c r="BG698" s="137" t="s">
        <v>905</v>
      </c>
      <c r="BH698" s="139" t="s">
        <v>46</v>
      </c>
      <c r="BI698" s="37"/>
      <c r="BJ698" s="65"/>
      <c r="BK698" s="137" t="s">
        <v>905</v>
      </c>
      <c r="BL698" s="139" t="s">
        <v>46</v>
      </c>
      <c r="BM698" s="37"/>
      <c r="BN698" s="65"/>
      <c r="BO698" s="137" t="s">
        <v>905</v>
      </c>
      <c r="BP698" s="139" t="s">
        <v>46</v>
      </c>
      <c r="BQ698" s="37"/>
      <c r="BR698" s="65"/>
      <c r="BS698" s="137" t="s">
        <v>905</v>
      </c>
      <c r="BT698" s="138" t="s">
        <v>61</v>
      </c>
      <c r="BU698" s="37"/>
    </row>
    <row r="699" ht="12.75" customHeight="1">
      <c r="A699" s="146"/>
      <c r="B699" s="132" t="s">
        <v>46</v>
      </c>
      <c r="C699" s="69"/>
      <c r="D699" s="134"/>
      <c r="E699" s="59"/>
      <c r="F699" s="65"/>
      <c r="G699" s="70" t="s">
        <v>906</v>
      </c>
      <c r="H699" s="95"/>
      <c r="I699" s="37"/>
      <c r="J699" s="65"/>
      <c r="K699" s="137" t="s">
        <v>906</v>
      </c>
      <c r="L699" s="139" t="s">
        <v>46</v>
      </c>
      <c r="M699" s="37"/>
      <c r="N699" s="65"/>
      <c r="O699" s="137" t="s">
        <v>906</v>
      </c>
      <c r="P699" s="139" t="s">
        <v>46</v>
      </c>
      <c r="Q699" s="37"/>
      <c r="R699" s="65"/>
      <c r="S699" s="137" t="s">
        <v>906</v>
      </c>
      <c r="T699" s="139" t="s">
        <v>46</v>
      </c>
      <c r="U699" s="37"/>
      <c r="V699" s="65"/>
      <c r="W699" s="137" t="s">
        <v>906</v>
      </c>
      <c r="X699" s="139" t="s">
        <v>46</v>
      </c>
      <c r="Y699" s="37"/>
      <c r="Z699" s="65"/>
      <c r="AA699" s="137" t="s">
        <v>906</v>
      </c>
      <c r="AB699" s="139" t="s">
        <v>46</v>
      </c>
      <c r="AC699" s="37"/>
      <c r="AD699" s="65"/>
      <c r="AE699" s="137" t="s">
        <v>906</v>
      </c>
      <c r="AF699" s="139" t="s">
        <v>46</v>
      </c>
      <c r="AG699" s="37"/>
      <c r="AH699" s="65"/>
      <c r="AI699" s="137" t="s">
        <v>906</v>
      </c>
      <c r="AJ699" s="139" t="s">
        <v>46</v>
      </c>
      <c r="AK699" s="37"/>
      <c r="AL699" s="65"/>
      <c r="AM699" s="137" t="s">
        <v>906</v>
      </c>
      <c r="AN699" s="139" t="s">
        <v>46</v>
      </c>
      <c r="AO699" s="37"/>
      <c r="AP699" s="65"/>
      <c r="AQ699" s="137" t="s">
        <v>906</v>
      </c>
      <c r="AR699" s="139" t="s">
        <v>46</v>
      </c>
      <c r="AS699" s="37"/>
      <c r="AT699" s="65"/>
      <c r="AU699" s="137" t="s">
        <v>906</v>
      </c>
      <c r="AV699" s="139" t="s">
        <v>46</v>
      </c>
      <c r="AW699" s="37"/>
      <c r="AX699" s="65"/>
      <c r="AY699" s="137" t="s">
        <v>906</v>
      </c>
      <c r="AZ699" s="139" t="s">
        <v>46</v>
      </c>
      <c r="BA699" s="37"/>
      <c r="BB699" s="65"/>
      <c r="BC699" s="137" t="s">
        <v>906</v>
      </c>
      <c r="BD699" s="139" t="s">
        <v>46</v>
      </c>
      <c r="BE699" s="37"/>
      <c r="BF699" s="65"/>
      <c r="BG699" s="137" t="s">
        <v>906</v>
      </c>
      <c r="BH699" s="139" t="s">
        <v>46</v>
      </c>
      <c r="BI699" s="37"/>
      <c r="BJ699" s="65"/>
      <c r="BK699" s="137" t="s">
        <v>906</v>
      </c>
      <c r="BL699" s="139" t="s">
        <v>46</v>
      </c>
      <c r="BM699" s="37"/>
      <c r="BN699" s="65"/>
      <c r="BO699" s="137" t="s">
        <v>906</v>
      </c>
      <c r="BP699" s="139" t="s">
        <v>46</v>
      </c>
      <c r="BQ699" s="37"/>
      <c r="BR699" s="65"/>
      <c r="BS699" s="137" t="s">
        <v>906</v>
      </c>
      <c r="BT699" s="138" t="s">
        <v>162</v>
      </c>
      <c r="BU699" s="37"/>
    </row>
    <row r="700" ht="12.75" customHeight="1">
      <c r="A700" s="146"/>
      <c r="B700" s="132" t="s">
        <v>46</v>
      </c>
      <c r="C700" s="69"/>
      <c r="D700" s="134"/>
      <c r="E700" s="59"/>
      <c r="F700" s="65"/>
      <c r="G700" s="70" t="s">
        <v>907</v>
      </c>
      <c r="H700" s="95"/>
      <c r="I700" s="37"/>
      <c r="J700" s="65"/>
      <c r="K700" s="137" t="s">
        <v>907</v>
      </c>
      <c r="L700" s="139" t="s">
        <v>46</v>
      </c>
      <c r="M700" s="37"/>
      <c r="N700" s="65"/>
      <c r="O700" s="137" t="s">
        <v>907</v>
      </c>
      <c r="P700" s="139" t="s">
        <v>46</v>
      </c>
      <c r="Q700" s="37"/>
      <c r="R700" s="65"/>
      <c r="S700" s="137" t="s">
        <v>907</v>
      </c>
      <c r="T700" s="139" t="s">
        <v>46</v>
      </c>
      <c r="U700" s="37"/>
      <c r="V700" s="65"/>
      <c r="W700" s="137" t="s">
        <v>907</v>
      </c>
      <c r="X700" s="139" t="s">
        <v>46</v>
      </c>
      <c r="Y700" s="37"/>
      <c r="Z700" s="65"/>
      <c r="AA700" s="137" t="s">
        <v>907</v>
      </c>
      <c r="AB700" s="139" t="s">
        <v>46</v>
      </c>
      <c r="AC700" s="37"/>
      <c r="AD700" s="65"/>
      <c r="AE700" s="137" t="s">
        <v>907</v>
      </c>
      <c r="AF700" s="139" t="s">
        <v>46</v>
      </c>
      <c r="AG700" s="37"/>
      <c r="AH700" s="65"/>
      <c r="AI700" s="137" t="s">
        <v>907</v>
      </c>
      <c r="AJ700" s="139" t="s">
        <v>46</v>
      </c>
      <c r="AK700" s="37"/>
      <c r="AL700" s="65"/>
      <c r="AM700" s="137" t="s">
        <v>907</v>
      </c>
      <c r="AN700" s="139" t="s">
        <v>46</v>
      </c>
      <c r="AO700" s="37"/>
      <c r="AP700" s="65"/>
      <c r="AQ700" s="137" t="s">
        <v>907</v>
      </c>
      <c r="AR700" s="139" t="s">
        <v>46</v>
      </c>
      <c r="AS700" s="37"/>
      <c r="AT700" s="65"/>
      <c r="AU700" s="137" t="s">
        <v>907</v>
      </c>
      <c r="AV700" s="139" t="s">
        <v>46</v>
      </c>
      <c r="AW700" s="37"/>
      <c r="AX700" s="65"/>
      <c r="AY700" s="137" t="s">
        <v>907</v>
      </c>
      <c r="AZ700" s="139" t="s">
        <v>46</v>
      </c>
      <c r="BA700" s="37"/>
      <c r="BB700" s="65"/>
      <c r="BC700" s="137" t="s">
        <v>907</v>
      </c>
      <c r="BD700" s="139" t="s">
        <v>46</v>
      </c>
      <c r="BE700" s="37"/>
      <c r="BF700" s="65"/>
      <c r="BG700" s="137" t="s">
        <v>907</v>
      </c>
      <c r="BH700" s="139" t="s">
        <v>46</v>
      </c>
      <c r="BI700" s="37"/>
      <c r="BJ700" s="65"/>
      <c r="BK700" s="137" t="s">
        <v>907</v>
      </c>
      <c r="BL700" s="139" t="s">
        <v>46</v>
      </c>
      <c r="BM700" s="37"/>
      <c r="BN700" s="65"/>
      <c r="BO700" s="137" t="s">
        <v>907</v>
      </c>
      <c r="BP700" s="139" t="s">
        <v>46</v>
      </c>
      <c r="BQ700" s="37"/>
      <c r="BR700" s="65"/>
      <c r="BS700" s="137" t="s">
        <v>907</v>
      </c>
      <c r="BT700" s="139" t="s">
        <v>46</v>
      </c>
      <c r="BU700" s="37"/>
    </row>
    <row r="701" ht="12.75" customHeight="1">
      <c r="A701" s="146"/>
      <c r="B701" s="132" t="s">
        <v>46</v>
      </c>
      <c r="C701" s="69"/>
      <c r="D701" s="134"/>
      <c r="E701" s="59"/>
      <c r="F701" s="65"/>
      <c r="G701" s="70" t="s">
        <v>908</v>
      </c>
      <c r="H701" s="95"/>
      <c r="I701" s="37"/>
      <c r="J701" s="65"/>
      <c r="K701" s="137" t="s">
        <v>908</v>
      </c>
      <c r="L701" s="139" t="s">
        <v>46</v>
      </c>
      <c r="M701" s="37"/>
      <c r="N701" s="65"/>
      <c r="O701" s="137" t="s">
        <v>908</v>
      </c>
      <c r="P701" s="139" t="s">
        <v>46</v>
      </c>
      <c r="Q701" s="37"/>
      <c r="R701" s="65"/>
      <c r="S701" s="137" t="s">
        <v>908</v>
      </c>
      <c r="T701" s="139" t="s">
        <v>46</v>
      </c>
      <c r="U701" s="37"/>
      <c r="V701" s="65"/>
      <c r="W701" s="137" t="s">
        <v>908</v>
      </c>
      <c r="X701" s="139" t="s">
        <v>46</v>
      </c>
      <c r="Y701" s="37"/>
      <c r="Z701" s="65"/>
      <c r="AA701" s="137" t="s">
        <v>908</v>
      </c>
      <c r="AB701" s="139" t="s">
        <v>46</v>
      </c>
      <c r="AC701" s="37"/>
      <c r="AD701" s="65"/>
      <c r="AE701" s="137" t="s">
        <v>908</v>
      </c>
      <c r="AF701" s="139" t="s">
        <v>46</v>
      </c>
      <c r="AG701" s="37"/>
      <c r="AH701" s="65"/>
      <c r="AI701" s="137" t="s">
        <v>908</v>
      </c>
      <c r="AJ701" s="139" t="s">
        <v>46</v>
      </c>
      <c r="AK701" s="37"/>
      <c r="AL701" s="65"/>
      <c r="AM701" s="137" t="s">
        <v>908</v>
      </c>
      <c r="AN701" s="139" t="s">
        <v>46</v>
      </c>
      <c r="AO701" s="37"/>
      <c r="AP701" s="65"/>
      <c r="AQ701" s="137" t="s">
        <v>908</v>
      </c>
      <c r="AR701" s="139" t="s">
        <v>46</v>
      </c>
      <c r="AS701" s="37"/>
      <c r="AT701" s="65"/>
      <c r="AU701" s="137" t="s">
        <v>908</v>
      </c>
      <c r="AV701" s="139" t="s">
        <v>46</v>
      </c>
      <c r="AW701" s="37"/>
      <c r="AX701" s="65"/>
      <c r="AY701" s="137" t="s">
        <v>908</v>
      </c>
      <c r="AZ701" s="139" t="s">
        <v>46</v>
      </c>
      <c r="BA701" s="37"/>
      <c r="BB701" s="65"/>
      <c r="BC701" s="137" t="s">
        <v>908</v>
      </c>
      <c r="BD701" s="139" t="s">
        <v>46</v>
      </c>
      <c r="BE701" s="37"/>
      <c r="BF701" s="65"/>
      <c r="BG701" s="137" t="s">
        <v>908</v>
      </c>
      <c r="BH701" s="139" t="s">
        <v>46</v>
      </c>
      <c r="BI701" s="37"/>
      <c r="BJ701" s="65"/>
      <c r="BK701" s="137" t="s">
        <v>908</v>
      </c>
      <c r="BL701" s="139" t="s">
        <v>46</v>
      </c>
      <c r="BM701" s="37"/>
      <c r="BN701" s="65"/>
      <c r="BO701" s="137" t="s">
        <v>908</v>
      </c>
      <c r="BP701" s="139" t="s">
        <v>46</v>
      </c>
      <c r="BQ701" s="37"/>
      <c r="BR701" s="65"/>
      <c r="BS701" s="137" t="s">
        <v>908</v>
      </c>
      <c r="BT701" s="138" t="s">
        <v>142</v>
      </c>
      <c r="BU701" s="37"/>
    </row>
    <row r="702" ht="12.75" customHeight="1">
      <c r="A702" s="146"/>
      <c r="B702" s="132" t="s">
        <v>46</v>
      </c>
      <c r="C702" s="69"/>
      <c r="D702" s="134"/>
      <c r="E702" s="59"/>
      <c r="F702" s="65"/>
      <c r="G702" s="70" t="s">
        <v>909</v>
      </c>
      <c r="H702" s="95"/>
      <c r="I702" s="37"/>
      <c r="J702" s="65"/>
      <c r="K702" s="137" t="s">
        <v>909</v>
      </c>
      <c r="L702" s="139" t="s">
        <v>46</v>
      </c>
      <c r="M702" s="37"/>
      <c r="N702" s="65"/>
      <c r="O702" s="137" t="s">
        <v>909</v>
      </c>
      <c r="P702" s="139" t="s">
        <v>46</v>
      </c>
      <c r="Q702" s="37"/>
      <c r="R702" s="65"/>
      <c r="S702" s="137" t="s">
        <v>909</v>
      </c>
      <c r="T702" s="139" t="s">
        <v>46</v>
      </c>
      <c r="U702" s="37"/>
      <c r="V702" s="65"/>
      <c r="W702" s="137" t="s">
        <v>909</v>
      </c>
      <c r="X702" s="139" t="s">
        <v>46</v>
      </c>
      <c r="Y702" s="37"/>
      <c r="Z702" s="65"/>
      <c r="AA702" s="137" t="s">
        <v>909</v>
      </c>
      <c r="AB702" s="139" t="s">
        <v>46</v>
      </c>
      <c r="AC702" s="37"/>
      <c r="AD702" s="65"/>
      <c r="AE702" s="137" t="s">
        <v>909</v>
      </c>
      <c r="AF702" s="139" t="s">
        <v>46</v>
      </c>
      <c r="AG702" s="37"/>
      <c r="AH702" s="65"/>
      <c r="AI702" s="137" t="s">
        <v>909</v>
      </c>
      <c r="AJ702" s="139" t="s">
        <v>46</v>
      </c>
      <c r="AK702" s="37"/>
      <c r="AL702" s="65"/>
      <c r="AM702" s="137" t="s">
        <v>909</v>
      </c>
      <c r="AN702" s="139" t="s">
        <v>46</v>
      </c>
      <c r="AO702" s="37"/>
      <c r="AP702" s="65"/>
      <c r="AQ702" s="137" t="s">
        <v>909</v>
      </c>
      <c r="AR702" s="139" t="s">
        <v>46</v>
      </c>
      <c r="AS702" s="37"/>
      <c r="AT702" s="65"/>
      <c r="AU702" s="137" t="s">
        <v>909</v>
      </c>
      <c r="AV702" s="139" t="s">
        <v>46</v>
      </c>
      <c r="AW702" s="37"/>
      <c r="AX702" s="65"/>
      <c r="AY702" s="137" t="s">
        <v>909</v>
      </c>
      <c r="AZ702" s="139" t="s">
        <v>46</v>
      </c>
      <c r="BA702" s="37"/>
      <c r="BB702" s="65"/>
      <c r="BC702" s="137" t="s">
        <v>909</v>
      </c>
      <c r="BD702" s="139" t="s">
        <v>46</v>
      </c>
      <c r="BE702" s="37"/>
      <c r="BF702" s="65"/>
      <c r="BG702" s="137" t="s">
        <v>909</v>
      </c>
      <c r="BH702" s="139" t="s">
        <v>46</v>
      </c>
      <c r="BI702" s="37"/>
      <c r="BJ702" s="65"/>
      <c r="BK702" s="137" t="s">
        <v>909</v>
      </c>
      <c r="BL702" s="139" t="s">
        <v>46</v>
      </c>
      <c r="BM702" s="37"/>
      <c r="BN702" s="65"/>
      <c r="BO702" s="137" t="s">
        <v>909</v>
      </c>
      <c r="BP702" s="139" t="s">
        <v>46</v>
      </c>
      <c r="BQ702" s="37"/>
      <c r="BR702" s="65"/>
      <c r="BS702" s="137" t="s">
        <v>909</v>
      </c>
      <c r="BT702" s="139" t="s">
        <v>46</v>
      </c>
      <c r="BU702" s="37"/>
    </row>
    <row r="703" ht="12.75" customHeight="1">
      <c r="A703" s="146"/>
      <c r="B703" s="132" t="s">
        <v>46</v>
      </c>
      <c r="C703" s="69"/>
      <c r="D703" s="134"/>
      <c r="E703" s="59"/>
      <c r="F703" s="65"/>
      <c r="G703" s="70" t="s">
        <v>910</v>
      </c>
      <c r="H703" s="95"/>
      <c r="I703" s="37"/>
      <c r="J703" s="65"/>
      <c r="K703" s="137" t="s">
        <v>910</v>
      </c>
      <c r="L703" s="139" t="s">
        <v>46</v>
      </c>
      <c r="M703" s="37"/>
      <c r="N703" s="65"/>
      <c r="O703" s="137" t="s">
        <v>910</v>
      </c>
      <c r="P703" s="139" t="s">
        <v>46</v>
      </c>
      <c r="Q703" s="37"/>
      <c r="R703" s="65"/>
      <c r="S703" s="137" t="s">
        <v>910</v>
      </c>
      <c r="T703" s="139" t="s">
        <v>46</v>
      </c>
      <c r="U703" s="37"/>
      <c r="V703" s="65"/>
      <c r="W703" s="137" t="s">
        <v>910</v>
      </c>
      <c r="X703" s="139" t="s">
        <v>46</v>
      </c>
      <c r="Y703" s="37"/>
      <c r="Z703" s="65"/>
      <c r="AA703" s="137" t="s">
        <v>910</v>
      </c>
      <c r="AB703" s="139" t="s">
        <v>46</v>
      </c>
      <c r="AC703" s="37"/>
      <c r="AD703" s="65"/>
      <c r="AE703" s="137" t="s">
        <v>910</v>
      </c>
      <c r="AF703" s="139" t="s">
        <v>46</v>
      </c>
      <c r="AG703" s="37"/>
      <c r="AH703" s="65"/>
      <c r="AI703" s="137" t="s">
        <v>910</v>
      </c>
      <c r="AJ703" s="139" t="s">
        <v>46</v>
      </c>
      <c r="AK703" s="37"/>
      <c r="AL703" s="65"/>
      <c r="AM703" s="137" t="s">
        <v>910</v>
      </c>
      <c r="AN703" s="139" t="s">
        <v>46</v>
      </c>
      <c r="AO703" s="37"/>
      <c r="AP703" s="65"/>
      <c r="AQ703" s="137" t="s">
        <v>910</v>
      </c>
      <c r="AR703" s="139" t="s">
        <v>46</v>
      </c>
      <c r="AS703" s="37"/>
      <c r="AT703" s="65"/>
      <c r="AU703" s="137" t="s">
        <v>910</v>
      </c>
      <c r="AV703" s="139" t="s">
        <v>46</v>
      </c>
      <c r="AW703" s="37"/>
      <c r="AX703" s="65"/>
      <c r="AY703" s="137" t="s">
        <v>910</v>
      </c>
      <c r="AZ703" s="139" t="s">
        <v>46</v>
      </c>
      <c r="BA703" s="37"/>
      <c r="BB703" s="65"/>
      <c r="BC703" s="137" t="s">
        <v>910</v>
      </c>
      <c r="BD703" s="139" t="s">
        <v>46</v>
      </c>
      <c r="BE703" s="37"/>
      <c r="BF703" s="65"/>
      <c r="BG703" s="137" t="s">
        <v>910</v>
      </c>
      <c r="BH703" s="139" t="s">
        <v>46</v>
      </c>
      <c r="BI703" s="37"/>
      <c r="BJ703" s="65"/>
      <c r="BK703" s="137" t="s">
        <v>910</v>
      </c>
      <c r="BL703" s="139" t="s">
        <v>46</v>
      </c>
      <c r="BM703" s="37"/>
      <c r="BN703" s="65"/>
      <c r="BO703" s="137" t="s">
        <v>910</v>
      </c>
      <c r="BP703" s="139" t="s">
        <v>46</v>
      </c>
      <c r="BQ703" s="37"/>
      <c r="BR703" s="65"/>
      <c r="BS703" s="137" t="s">
        <v>910</v>
      </c>
      <c r="BT703" s="139" t="s">
        <v>46</v>
      </c>
      <c r="BU703" s="37"/>
    </row>
    <row r="704" ht="12.75" customHeight="1">
      <c r="A704" s="146"/>
      <c r="B704" s="132" t="s">
        <v>46</v>
      </c>
      <c r="C704" s="69"/>
      <c r="D704" s="134"/>
      <c r="E704" s="59"/>
      <c r="F704" s="65"/>
      <c r="G704" s="70" t="s">
        <v>911</v>
      </c>
      <c r="H704" s="95"/>
      <c r="I704" s="37"/>
      <c r="J704" s="65"/>
      <c r="K704" s="137" t="s">
        <v>911</v>
      </c>
      <c r="L704" s="139" t="s">
        <v>46</v>
      </c>
      <c r="M704" s="37"/>
      <c r="N704" s="65"/>
      <c r="O704" s="137" t="s">
        <v>911</v>
      </c>
      <c r="P704" s="139" t="s">
        <v>46</v>
      </c>
      <c r="Q704" s="37"/>
      <c r="R704" s="65"/>
      <c r="S704" s="137" t="s">
        <v>911</v>
      </c>
      <c r="T704" s="139" t="s">
        <v>46</v>
      </c>
      <c r="U704" s="37"/>
      <c r="V704" s="65"/>
      <c r="W704" s="137" t="s">
        <v>911</v>
      </c>
      <c r="X704" s="139" t="s">
        <v>46</v>
      </c>
      <c r="Y704" s="37"/>
      <c r="Z704" s="65"/>
      <c r="AA704" s="137" t="s">
        <v>911</v>
      </c>
      <c r="AB704" s="139" t="s">
        <v>46</v>
      </c>
      <c r="AC704" s="37"/>
      <c r="AD704" s="65"/>
      <c r="AE704" s="137" t="s">
        <v>911</v>
      </c>
      <c r="AF704" s="139" t="s">
        <v>46</v>
      </c>
      <c r="AG704" s="37"/>
      <c r="AH704" s="65"/>
      <c r="AI704" s="137" t="s">
        <v>911</v>
      </c>
      <c r="AJ704" s="139" t="s">
        <v>46</v>
      </c>
      <c r="AK704" s="37"/>
      <c r="AL704" s="65"/>
      <c r="AM704" s="137" t="s">
        <v>911</v>
      </c>
      <c r="AN704" s="139" t="s">
        <v>46</v>
      </c>
      <c r="AO704" s="37"/>
      <c r="AP704" s="65"/>
      <c r="AQ704" s="137" t="s">
        <v>911</v>
      </c>
      <c r="AR704" s="139" t="s">
        <v>46</v>
      </c>
      <c r="AS704" s="37"/>
      <c r="AT704" s="65"/>
      <c r="AU704" s="137" t="s">
        <v>911</v>
      </c>
      <c r="AV704" s="139" t="s">
        <v>46</v>
      </c>
      <c r="AW704" s="37"/>
      <c r="AX704" s="65"/>
      <c r="AY704" s="137" t="s">
        <v>911</v>
      </c>
      <c r="AZ704" s="139" t="s">
        <v>46</v>
      </c>
      <c r="BA704" s="37"/>
      <c r="BB704" s="65"/>
      <c r="BC704" s="137" t="s">
        <v>911</v>
      </c>
      <c r="BD704" s="139" t="s">
        <v>46</v>
      </c>
      <c r="BE704" s="37"/>
      <c r="BF704" s="65"/>
      <c r="BG704" s="137" t="s">
        <v>911</v>
      </c>
      <c r="BH704" s="139" t="s">
        <v>46</v>
      </c>
      <c r="BI704" s="37"/>
      <c r="BJ704" s="65"/>
      <c r="BK704" s="137" t="s">
        <v>911</v>
      </c>
      <c r="BL704" s="139" t="s">
        <v>46</v>
      </c>
      <c r="BM704" s="37"/>
      <c r="BN704" s="65"/>
      <c r="BO704" s="137" t="s">
        <v>911</v>
      </c>
      <c r="BP704" s="139" t="s">
        <v>46</v>
      </c>
      <c r="BQ704" s="37"/>
      <c r="BR704" s="65"/>
      <c r="BS704" s="137" t="s">
        <v>911</v>
      </c>
      <c r="BT704" s="139" t="s">
        <v>46</v>
      </c>
      <c r="BU704" s="37"/>
    </row>
    <row r="705" ht="12.75" customHeight="1">
      <c r="A705" s="146"/>
      <c r="B705" s="132" t="s">
        <v>46</v>
      </c>
      <c r="C705" s="69"/>
      <c r="D705" s="134"/>
      <c r="E705" s="59"/>
      <c r="F705" s="65"/>
      <c r="G705" s="70" t="s">
        <v>912</v>
      </c>
      <c r="H705" s="95"/>
      <c r="I705" s="37"/>
      <c r="J705" s="65"/>
      <c r="K705" s="137" t="s">
        <v>912</v>
      </c>
      <c r="L705" s="139" t="s">
        <v>46</v>
      </c>
      <c r="M705" s="37"/>
      <c r="N705" s="65"/>
      <c r="O705" s="137" t="s">
        <v>912</v>
      </c>
      <c r="P705" s="139" t="s">
        <v>46</v>
      </c>
      <c r="Q705" s="37"/>
      <c r="R705" s="65"/>
      <c r="S705" s="137" t="s">
        <v>912</v>
      </c>
      <c r="T705" s="139" t="s">
        <v>46</v>
      </c>
      <c r="U705" s="37"/>
      <c r="V705" s="65"/>
      <c r="W705" s="137" t="s">
        <v>912</v>
      </c>
      <c r="X705" s="139" t="s">
        <v>46</v>
      </c>
      <c r="Y705" s="37"/>
      <c r="Z705" s="65"/>
      <c r="AA705" s="137" t="s">
        <v>912</v>
      </c>
      <c r="AB705" s="139" t="s">
        <v>46</v>
      </c>
      <c r="AC705" s="37"/>
      <c r="AD705" s="65"/>
      <c r="AE705" s="137" t="s">
        <v>912</v>
      </c>
      <c r="AF705" s="139" t="s">
        <v>46</v>
      </c>
      <c r="AG705" s="37"/>
      <c r="AH705" s="65"/>
      <c r="AI705" s="137" t="s">
        <v>912</v>
      </c>
      <c r="AJ705" s="139" t="s">
        <v>46</v>
      </c>
      <c r="AK705" s="37"/>
      <c r="AL705" s="65"/>
      <c r="AM705" s="137" t="s">
        <v>912</v>
      </c>
      <c r="AN705" s="139" t="s">
        <v>46</v>
      </c>
      <c r="AO705" s="37"/>
      <c r="AP705" s="65"/>
      <c r="AQ705" s="137" t="s">
        <v>912</v>
      </c>
      <c r="AR705" s="139" t="s">
        <v>46</v>
      </c>
      <c r="AS705" s="37"/>
      <c r="AT705" s="65"/>
      <c r="AU705" s="137" t="s">
        <v>912</v>
      </c>
      <c r="AV705" s="139" t="s">
        <v>46</v>
      </c>
      <c r="AW705" s="37"/>
      <c r="AX705" s="65"/>
      <c r="AY705" s="137" t="s">
        <v>912</v>
      </c>
      <c r="AZ705" s="139" t="s">
        <v>46</v>
      </c>
      <c r="BA705" s="37"/>
      <c r="BB705" s="65"/>
      <c r="BC705" s="137" t="s">
        <v>912</v>
      </c>
      <c r="BD705" s="139" t="s">
        <v>46</v>
      </c>
      <c r="BE705" s="37"/>
      <c r="BF705" s="65"/>
      <c r="BG705" s="137" t="s">
        <v>912</v>
      </c>
      <c r="BH705" s="139" t="s">
        <v>46</v>
      </c>
      <c r="BI705" s="37"/>
      <c r="BJ705" s="65"/>
      <c r="BK705" s="137" t="s">
        <v>912</v>
      </c>
      <c r="BL705" s="139" t="s">
        <v>46</v>
      </c>
      <c r="BM705" s="37"/>
      <c r="BN705" s="65"/>
      <c r="BO705" s="137" t="s">
        <v>912</v>
      </c>
      <c r="BP705" s="139" t="s">
        <v>46</v>
      </c>
      <c r="BQ705" s="37"/>
      <c r="BR705" s="65"/>
      <c r="BS705" s="137" t="s">
        <v>912</v>
      </c>
      <c r="BT705" s="139" t="s">
        <v>46</v>
      </c>
      <c r="BU705" s="37"/>
    </row>
    <row r="706" ht="12.75" customHeight="1">
      <c r="A706" s="146"/>
      <c r="B706" s="132" t="s">
        <v>46</v>
      </c>
      <c r="C706" s="69"/>
      <c r="D706" s="134"/>
      <c r="E706" s="59"/>
      <c r="F706" s="65"/>
      <c r="G706" s="70" t="s">
        <v>913</v>
      </c>
      <c r="H706" s="95"/>
      <c r="I706" s="37"/>
      <c r="J706" s="65"/>
      <c r="K706" s="137" t="s">
        <v>913</v>
      </c>
      <c r="L706" s="138" t="s">
        <v>8</v>
      </c>
      <c r="M706" s="37"/>
      <c r="N706" s="65"/>
      <c r="O706" s="137" t="s">
        <v>913</v>
      </c>
      <c r="P706" s="138" t="s">
        <v>8</v>
      </c>
      <c r="Q706" s="37"/>
      <c r="R706" s="65"/>
      <c r="S706" s="137" t="s">
        <v>913</v>
      </c>
      <c r="T706" s="138" t="s">
        <v>8</v>
      </c>
      <c r="U706" s="37"/>
      <c r="V706" s="65"/>
      <c r="W706" s="137" t="s">
        <v>913</v>
      </c>
      <c r="X706" s="139" t="s">
        <v>46</v>
      </c>
      <c r="Y706" s="37"/>
      <c r="Z706" s="65"/>
      <c r="AA706" s="137" t="s">
        <v>913</v>
      </c>
      <c r="AB706" s="138" t="s">
        <v>8</v>
      </c>
      <c r="AC706" s="37"/>
      <c r="AD706" s="65"/>
      <c r="AE706" s="137" t="s">
        <v>913</v>
      </c>
      <c r="AF706" s="138" t="s">
        <v>8</v>
      </c>
      <c r="AG706" s="37"/>
      <c r="AH706" s="65"/>
      <c r="AI706" s="137" t="s">
        <v>913</v>
      </c>
      <c r="AJ706" s="138" t="s">
        <v>8</v>
      </c>
      <c r="AK706" s="37"/>
      <c r="AL706" s="65"/>
      <c r="AM706" s="137" t="s">
        <v>913</v>
      </c>
      <c r="AN706" s="138" t="s">
        <v>8</v>
      </c>
      <c r="AO706" s="37"/>
      <c r="AP706" s="65"/>
      <c r="AQ706" s="137" t="s">
        <v>913</v>
      </c>
      <c r="AR706" s="138" t="s">
        <v>8</v>
      </c>
      <c r="AS706" s="37"/>
      <c r="AT706" s="65"/>
      <c r="AU706" s="137" t="s">
        <v>913</v>
      </c>
      <c r="AV706" s="138" t="s">
        <v>8</v>
      </c>
      <c r="AW706" s="37"/>
      <c r="AX706" s="65"/>
      <c r="AY706" s="137" t="s">
        <v>913</v>
      </c>
      <c r="AZ706" s="139" t="s">
        <v>46</v>
      </c>
      <c r="BA706" s="37"/>
      <c r="BB706" s="65"/>
      <c r="BC706" s="137" t="s">
        <v>913</v>
      </c>
      <c r="BD706" s="138" t="s">
        <v>8</v>
      </c>
      <c r="BE706" s="37"/>
      <c r="BF706" s="65"/>
      <c r="BG706" s="137" t="s">
        <v>913</v>
      </c>
      <c r="BH706" s="138" t="s">
        <v>8</v>
      </c>
      <c r="BI706" s="37"/>
      <c r="BJ706" s="65"/>
      <c r="BK706" s="137" t="s">
        <v>913</v>
      </c>
      <c r="BL706" s="138" t="s">
        <v>8</v>
      </c>
      <c r="BM706" s="37"/>
      <c r="BN706" s="65"/>
      <c r="BO706" s="137" t="s">
        <v>913</v>
      </c>
      <c r="BP706" s="138" t="s">
        <v>8</v>
      </c>
      <c r="BQ706" s="37"/>
      <c r="BR706" s="65"/>
      <c r="BS706" s="137" t="s">
        <v>913</v>
      </c>
      <c r="BT706" s="138" t="s">
        <v>8</v>
      </c>
      <c r="BU706" s="37"/>
    </row>
    <row r="707" ht="12.75" customHeight="1">
      <c r="A707" s="146"/>
      <c r="B707" s="132" t="s">
        <v>120</v>
      </c>
      <c r="C707" s="69"/>
      <c r="D707" s="134"/>
      <c r="E707" s="59"/>
      <c r="F707" s="65"/>
      <c r="G707" s="70" t="s">
        <v>914</v>
      </c>
      <c r="H707" s="95"/>
      <c r="I707" s="37"/>
      <c r="J707" s="65"/>
      <c r="K707" s="137" t="s">
        <v>914</v>
      </c>
      <c r="L707" s="138" t="s">
        <v>8</v>
      </c>
      <c r="M707" s="37"/>
      <c r="N707" s="65"/>
      <c r="O707" s="137" t="s">
        <v>914</v>
      </c>
      <c r="P707" s="138" t="s">
        <v>8</v>
      </c>
      <c r="Q707" s="37"/>
      <c r="R707" s="65"/>
      <c r="S707" s="137" t="s">
        <v>914</v>
      </c>
      <c r="T707" s="138" t="s">
        <v>8</v>
      </c>
      <c r="U707" s="37"/>
      <c r="V707" s="65"/>
      <c r="W707" s="137" t="s">
        <v>914</v>
      </c>
      <c r="X707" s="139" t="s">
        <v>120</v>
      </c>
      <c r="Y707" s="37"/>
      <c r="Z707" s="65"/>
      <c r="AA707" s="137" t="s">
        <v>914</v>
      </c>
      <c r="AB707" s="138" t="s">
        <v>8</v>
      </c>
      <c r="AC707" s="37"/>
      <c r="AD707" s="65"/>
      <c r="AE707" s="137" t="s">
        <v>914</v>
      </c>
      <c r="AF707" s="138" t="s">
        <v>8</v>
      </c>
      <c r="AG707" s="37"/>
      <c r="AH707" s="65"/>
      <c r="AI707" s="137" t="s">
        <v>914</v>
      </c>
      <c r="AJ707" s="138" t="s">
        <v>8</v>
      </c>
      <c r="AK707" s="37"/>
      <c r="AL707" s="65"/>
      <c r="AM707" s="137" t="s">
        <v>914</v>
      </c>
      <c r="AN707" s="138" t="s">
        <v>8</v>
      </c>
      <c r="AO707" s="37"/>
      <c r="AP707" s="65"/>
      <c r="AQ707" s="137" t="s">
        <v>914</v>
      </c>
      <c r="AR707" s="138" t="s">
        <v>8</v>
      </c>
      <c r="AS707" s="37"/>
      <c r="AT707" s="65"/>
      <c r="AU707" s="137" t="s">
        <v>914</v>
      </c>
      <c r="AV707" s="138" t="s">
        <v>8</v>
      </c>
      <c r="AW707" s="37"/>
      <c r="AX707" s="65"/>
      <c r="AY707" s="137" t="s">
        <v>914</v>
      </c>
      <c r="AZ707" s="139" t="s">
        <v>120</v>
      </c>
      <c r="BA707" s="37"/>
      <c r="BB707" s="65"/>
      <c r="BC707" s="137" t="s">
        <v>914</v>
      </c>
      <c r="BD707" s="138" t="s">
        <v>8</v>
      </c>
      <c r="BE707" s="37"/>
      <c r="BF707" s="65"/>
      <c r="BG707" s="137" t="s">
        <v>914</v>
      </c>
      <c r="BH707" s="138" t="s">
        <v>8</v>
      </c>
      <c r="BI707" s="37"/>
      <c r="BJ707" s="65"/>
      <c r="BK707" s="137" t="s">
        <v>914</v>
      </c>
      <c r="BL707" s="138" t="s">
        <v>8</v>
      </c>
      <c r="BM707" s="37"/>
      <c r="BN707" s="65"/>
      <c r="BO707" s="137" t="s">
        <v>914</v>
      </c>
      <c r="BP707" s="138" t="s">
        <v>8</v>
      </c>
      <c r="BQ707" s="37"/>
      <c r="BR707" s="65"/>
      <c r="BS707" s="137" t="s">
        <v>914</v>
      </c>
      <c r="BT707" s="138" t="s">
        <v>8</v>
      </c>
      <c r="BU707" s="37"/>
    </row>
    <row r="708" ht="12.75" customHeight="1">
      <c r="A708" s="146"/>
      <c r="B708" s="132" t="s">
        <v>63</v>
      </c>
      <c r="C708" s="69"/>
      <c r="D708" s="134"/>
      <c r="E708" s="59"/>
      <c r="F708" s="65"/>
      <c r="G708" s="70" t="s">
        <v>915</v>
      </c>
      <c r="H708" s="95"/>
      <c r="I708" s="37"/>
      <c r="J708" s="65"/>
      <c r="K708" s="137" t="s">
        <v>915</v>
      </c>
      <c r="L708" s="138" t="s">
        <v>8</v>
      </c>
      <c r="M708" s="37"/>
      <c r="N708" s="65"/>
      <c r="O708" s="137" t="s">
        <v>915</v>
      </c>
      <c r="P708" s="138" t="s">
        <v>8</v>
      </c>
      <c r="Q708" s="37"/>
      <c r="R708" s="65"/>
      <c r="S708" s="137" t="s">
        <v>915</v>
      </c>
      <c r="T708" s="138" t="s">
        <v>8</v>
      </c>
      <c r="U708" s="37"/>
      <c r="V708" s="65"/>
      <c r="W708" s="137" t="s">
        <v>915</v>
      </c>
      <c r="X708" s="139" t="s">
        <v>63</v>
      </c>
      <c r="Y708" s="37"/>
      <c r="Z708" s="65"/>
      <c r="AA708" s="137" t="s">
        <v>915</v>
      </c>
      <c r="AB708" s="138" t="s">
        <v>8</v>
      </c>
      <c r="AC708" s="37"/>
      <c r="AD708" s="65"/>
      <c r="AE708" s="137" t="s">
        <v>915</v>
      </c>
      <c r="AF708" s="138" t="s">
        <v>8</v>
      </c>
      <c r="AG708" s="37"/>
      <c r="AH708" s="65"/>
      <c r="AI708" s="137" t="s">
        <v>915</v>
      </c>
      <c r="AJ708" s="138" t="s">
        <v>8</v>
      </c>
      <c r="AK708" s="37"/>
      <c r="AL708" s="65"/>
      <c r="AM708" s="137" t="s">
        <v>915</v>
      </c>
      <c r="AN708" s="138" t="s">
        <v>8</v>
      </c>
      <c r="AO708" s="37"/>
      <c r="AP708" s="65"/>
      <c r="AQ708" s="137" t="s">
        <v>915</v>
      </c>
      <c r="AR708" s="138" t="s">
        <v>8</v>
      </c>
      <c r="AS708" s="37"/>
      <c r="AT708" s="65"/>
      <c r="AU708" s="137" t="s">
        <v>915</v>
      </c>
      <c r="AV708" s="138" t="s">
        <v>8</v>
      </c>
      <c r="AW708" s="37"/>
      <c r="AX708" s="65"/>
      <c r="AY708" s="137" t="s">
        <v>915</v>
      </c>
      <c r="AZ708" s="139" t="s">
        <v>63</v>
      </c>
      <c r="BA708" s="37"/>
      <c r="BB708" s="65"/>
      <c r="BC708" s="137" t="s">
        <v>915</v>
      </c>
      <c r="BD708" s="138" t="s">
        <v>8</v>
      </c>
      <c r="BE708" s="37"/>
      <c r="BF708" s="65"/>
      <c r="BG708" s="137" t="s">
        <v>915</v>
      </c>
      <c r="BH708" s="138" t="s">
        <v>8</v>
      </c>
      <c r="BI708" s="37"/>
      <c r="BJ708" s="65"/>
      <c r="BK708" s="137" t="s">
        <v>915</v>
      </c>
      <c r="BL708" s="138" t="s">
        <v>8</v>
      </c>
      <c r="BM708" s="37"/>
      <c r="BN708" s="65"/>
      <c r="BO708" s="137" t="s">
        <v>915</v>
      </c>
      <c r="BP708" s="138" t="s">
        <v>8</v>
      </c>
      <c r="BQ708" s="37"/>
      <c r="BR708" s="65"/>
      <c r="BS708" s="137" t="s">
        <v>915</v>
      </c>
      <c r="BT708" s="138" t="s">
        <v>8</v>
      </c>
      <c r="BU708" s="37"/>
    </row>
    <row r="709" ht="12.75" customHeight="1">
      <c r="A709" s="146"/>
      <c r="B709" s="132" t="s">
        <v>158</v>
      </c>
      <c r="C709" s="69"/>
      <c r="D709" s="134"/>
      <c r="E709" s="59"/>
      <c r="F709" s="65"/>
      <c r="G709" s="70" t="s">
        <v>916</v>
      </c>
      <c r="H709" s="95"/>
      <c r="I709" s="37"/>
      <c r="J709" s="65"/>
      <c r="K709" s="137" t="s">
        <v>916</v>
      </c>
      <c r="L709" s="138" t="s">
        <v>8</v>
      </c>
      <c r="M709" s="37"/>
      <c r="N709" s="65"/>
      <c r="O709" s="137" t="s">
        <v>916</v>
      </c>
      <c r="P709" s="138" t="s">
        <v>8</v>
      </c>
      <c r="Q709" s="37"/>
      <c r="R709" s="65"/>
      <c r="S709" s="137" t="s">
        <v>916</v>
      </c>
      <c r="T709" s="138" t="s">
        <v>8</v>
      </c>
      <c r="U709" s="37"/>
      <c r="V709" s="65"/>
      <c r="W709" s="137" t="s">
        <v>916</v>
      </c>
      <c r="X709" s="139" t="s">
        <v>158</v>
      </c>
      <c r="Y709" s="37"/>
      <c r="Z709" s="65"/>
      <c r="AA709" s="137" t="s">
        <v>916</v>
      </c>
      <c r="AB709" s="138" t="s">
        <v>8</v>
      </c>
      <c r="AC709" s="37"/>
      <c r="AD709" s="65"/>
      <c r="AE709" s="137" t="s">
        <v>916</v>
      </c>
      <c r="AF709" s="138" t="s">
        <v>8</v>
      </c>
      <c r="AG709" s="37"/>
      <c r="AH709" s="65"/>
      <c r="AI709" s="137" t="s">
        <v>916</v>
      </c>
      <c r="AJ709" s="138" t="s">
        <v>8</v>
      </c>
      <c r="AK709" s="37"/>
      <c r="AL709" s="65"/>
      <c r="AM709" s="137" t="s">
        <v>916</v>
      </c>
      <c r="AN709" s="138" t="s">
        <v>8</v>
      </c>
      <c r="AO709" s="37"/>
      <c r="AP709" s="65"/>
      <c r="AQ709" s="137" t="s">
        <v>916</v>
      </c>
      <c r="AR709" s="138" t="s">
        <v>8</v>
      </c>
      <c r="AS709" s="37"/>
      <c r="AT709" s="65"/>
      <c r="AU709" s="137" t="s">
        <v>916</v>
      </c>
      <c r="AV709" s="138" t="s">
        <v>8</v>
      </c>
      <c r="AW709" s="37"/>
      <c r="AX709" s="65"/>
      <c r="AY709" s="137" t="s">
        <v>916</v>
      </c>
      <c r="AZ709" s="139" t="s">
        <v>158</v>
      </c>
      <c r="BA709" s="37"/>
      <c r="BB709" s="65"/>
      <c r="BC709" s="137" t="s">
        <v>916</v>
      </c>
      <c r="BD709" s="138" t="s">
        <v>8</v>
      </c>
      <c r="BE709" s="37"/>
      <c r="BF709" s="65"/>
      <c r="BG709" s="137" t="s">
        <v>916</v>
      </c>
      <c r="BH709" s="138" t="s">
        <v>8</v>
      </c>
      <c r="BI709" s="37"/>
      <c r="BJ709" s="65"/>
      <c r="BK709" s="137" t="s">
        <v>916</v>
      </c>
      <c r="BL709" s="138" t="s">
        <v>8</v>
      </c>
      <c r="BM709" s="37"/>
      <c r="BN709" s="65"/>
      <c r="BO709" s="137" t="s">
        <v>916</v>
      </c>
      <c r="BP709" s="138" t="s">
        <v>8</v>
      </c>
      <c r="BQ709" s="37"/>
      <c r="BR709" s="65"/>
      <c r="BS709" s="137" t="s">
        <v>916</v>
      </c>
      <c r="BT709" s="138" t="s">
        <v>8</v>
      </c>
      <c r="BU709" s="37"/>
    </row>
    <row r="710" ht="12.75" customHeight="1">
      <c r="A710" s="146"/>
      <c r="B710" s="132" t="s">
        <v>46</v>
      </c>
      <c r="C710" s="69"/>
      <c r="D710" s="134"/>
      <c r="E710" s="59"/>
      <c r="F710" s="65"/>
      <c r="G710" s="70" t="s">
        <v>917</v>
      </c>
      <c r="H710" s="95"/>
      <c r="I710" s="37"/>
      <c r="J710" s="65"/>
      <c r="K710" s="137" t="s">
        <v>917</v>
      </c>
      <c r="L710" s="138" t="s">
        <v>8</v>
      </c>
      <c r="M710" s="37"/>
      <c r="N710" s="65"/>
      <c r="O710" s="137" t="s">
        <v>917</v>
      </c>
      <c r="P710" s="138" t="s">
        <v>8</v>
      </c>
      <c r="Q710" s="37"/>
      <c r="R710" s="65"/>
      <c r="S710" s="137" t="s">
        <v>917</v>
      </c>
      <c r="T710" s="138" t="s">
        <v>8</v>
      </c>
      <c r="U710" s="37"/>
      <c r="V710" s="65"/>
      <c r="W710" s="137" t="s">
        <v>917</v>
      </c>
      <c r="X710" s="139" t="s">
        <v>46</v>
      </c>
      <c r="Y710" s="37"/>
      <c r="Z710" s="65"/>
      <c r="AA710" s="137" t="s">
        <v>917</v>
      </c>
      <c r="AB710" s="138" t="s">
        <v>8</v>
      </c>
      <c r="AC710" s="37"/>
      <c r="AD710" s="65"/>
      <c r="AE710" s="137" t="s">
        <v>917</v>
      </c>
      <c r="AF710" s="138" t="s">
        <v>8</v>
      </c>
      <c r="AG710" s="37"/>
      <c r="AH710" s="65"/>
      <c r="AI710" s="137" t="s">
        <v>917</v>
      </c>
      <c r="AJ710" s="138" t="s">
        <v>8</v>
      </c>
      <c r="AK710" s="37"/>
      <c r="AL710" s="65"/>
      <c r="AM710" s="137" t="s">
        <v>917</v>
      </c>
      <c r="AN710" s="138" t="s">
        <v>8</v>
      </c>
      <c r="AO710" s="37"/>
      <c r="AP710" s="65"/>
      <c r="AQ710" s="137" t="s">
        <v>917</v>
      </c>
      <c r="AR710" s="138" t="s">
        <v>8</v>
      </c>
      <c r="AS710" s="37"/>
      <c r="AT710" s="65"/>
      <c r="AU710" s="137" t="s">
        <v>917</v>
      </c>
      <c r="AV710" s="138" t="s">
        <v>8</v>
      </c>
      <c r="AW710" s="37"/>
      <c r="AX710" s="65"/>
      <c r="AY710" s="137" t="s">
        <v>917</v>
      </c>
      <c r="AZ710" s="139" t="s">
        <v>46</v>
      </c>
      <c r="BA710" s="37"/>
      <c r="BB710" s="65"/>
      <c r="BC710" s="137" t="s">
        <v>917</v>
      </c>
      <c r="BD710" s="138" t="s">
        <v>8</v>
      </c>
      <c r="BE710" s="37"/>
      <c r="BF710" s="65"/>
      <c r="BG710" s="137" t="s">
        <v>917</v>
      </c>
      <c r="BH710" s="138" t="s">
        <v>8</v>
      </c>
      <c r="BI710" s="37"/>
      <c r="BJ710" s="65"/>
      <c r="BK710" s="137" t="s">
        <v>917</v>
      </c>
      <c r="BL710" s="138" t="s">
        <v>8</v>
      </c>
      <c r="BM710" s="37"/>
      <c r="BN710" s="65"/>
      <c r="BO710" s="137" t="s">
        <v>917</v>
      </c>
      <c r="BP710" s="138" t="s">
        <v>8</v>
      </c>
      <c r="BQ710" s="37"/>
      <c r="BR710" s="65"/>
      <c r="BS710" s="137" t="s">
        <v>917</v>
      </c>
      <c r="BT710" s="138" t="s">
        <v>8</v>
      </c>
      <c r="BU710" s="37"/>
    </row>
    <row r="711" ht="12.75" customHeight="1">
      <c r="A711" s="146"/>
      <c r="B711" s="132" t="s">
        <v>155</v>
      </c>
      <c r="C711" s="69"/>
      <c r="D711" s="134"/>
      <c r="E711" s="59"/>
      <c r="F711" s="65"/>
      <c r="G711" s="70" t="s">
        <v>918</v>
      </c>
      <c r="H711" s="95"/>
      <c r="I711" s="37"/>
      <c r="J711" s="65"/>
      <c r="K711" s="137" t="s">
        <v>918</v>
      </c>
      <c r="L711" s="138" t="s">
        <v>8</v>
      </c>
      <c r="M711" s="37"/>
      <c r="N711" s="65"/>
      <c r="O711" s="137" t="s">
        <v>918</v>
      </c>
      <c r="P711" s="138" t="s">
        <v>8</v>
      </c>
      <c r="Q711" s="37"/>
      <c r="R711" s="65"/>
      <c r="S711" s="137" t="s">
        <v>918</v>
      </c>
      <c r="T711" s="138" t="s">
        <v>8</v>
      </c>
      <c r="U711" s="37"/>
      <c r="V711" s="65"/>
      <c r="W711" s="137" t="s">
        <v>918</v>
      </c>
      <c r="X711" s="139" t="s">
        <v>155</v>
      </c>
      <c r="Y711" s="37"/>
      <c r="Z711" s="65"/>
      <c r="AA711" s="137" t="s">
        <v>918</v>
      </c>
      <c r="AB711" s="138" t="s">
        <v>8</v>
      </c>
      <c r="AC711" s="37"/>
      <c r="AD711" s="65"/>
      <c r="AE711" s="137" t="s">
        <v>918</v>
      </c>
      <c r="AF711" s="138" t="s">
        <v>8</v>
      </c>
      <c r="AG711" s="37"/>
      <c r="AH711" s="65"/>
      <c r="AI711" s="137" t="s">
        <v>918</v>
      </c>
      <c r="AJ711" s="138" t="s">
        <v>8</v>
      </c>
      <c r="AK711" s="37"/>
      <c r="AL711" s="65"/>
      <c r="AM711" s="137" t="s">
        <v>918</v>
      </c>
      <c r="AN711" s="138" t="s">
        <v>8</v>
      </c>
      <c r="AO711" s="37"/>
      <c r="AP711" s="65"/>
      <c r="AQ711" s="137" t="s">
        <v>918</v>
      </c>
      <c r="AR711" s="138" t="s">
        <v>8</v>
      </c>
      <c r="AS711" s="37"/>
      <c r="AT711" s="65"/>
      <c r="AU711" s="137" t="s">
        <v>918</v>
      </c>
      <c r="AV711" s="138" t="s">
        <v>8</v>
      </c>
      <c r="AW711" s="37"/>
      <c r="AX711" s="65"/>
      <c r="AY711" s="137" t="s">
        <v>918</v>
      </c>
      <c r="AZ711" s="139" t="s">
        <v>155</v>
      </c>
      <c r="BA711" s="37"/>
      <c r="BB711" s="65"/>
      <c r="BC711" s="137" t="s">
        <v>918</v>
      </c>
      <c r="BD711" s="138" t="s">
        <v>8</v>
      </c>
      <c r="BE711" s="37"/>
      <c r="BF711" s="65"/>
      <c r="BG711" s="137" t="s">
        <v>918</v>
      </c>
      <c r="BH711" s="138" t="s">
        <v>8</v>
      </c>
      <c r="BI711" s="37"/>
      <c r="BJ711" s="65"/>
      <c r="BK711" s="137" t="s">
        <v>918</v>
      </c>
      <c r="BL711" s="138" t="s">
        <v>8</v>
      </c>
      <c r="BM711" s="37"/>
      <c r="BN711" s="65"/>
      <c r="BO711" s="137" t="s">
        <v>918</v>
      </c>
      <c r="BP711" s="138" t="s">
        <v>8</v>
      </c>
      <c r="BQ711" s="37"/>
      <c r="BR711" s="65"/>
      <c r="BS711" s="137" t="s">
        <v>918</v>
      </c>
      <c r="BT711" s="138" t="s">
        <v>8</v>
      </c>
      <c r="BU711" s="37"/>
    </row>
    <row r="712" ht="12.75" customHeight="1">
      <c r="A712" s="146"/>
      <c r="B712" s="132" t="s">
        <v>63</v>
      </c>
      <c r="C712" s="69"/>
      <c r="D712" s="134"/>
      <c r="E712" s="59"/>
      <c r="F712" s="65"/>
      <c r="G712" s="70" t="s">
        <v>919</v>
      </c>
      <c r="H712" s="95"/>
      <c r="I712" s="37"/>
      <c r="J712" s="65"/>
      <c r="K712" s="137" t="s">
        <v>919</v>
      </c>
      <c r="L712" s="138" t="s">
        <v>8</v>
      </c>
      <c r="M712" s="37"/>
      <c r="N712" s="65"/>
      <c r="O712" s="137" t="s">
        <v>919</v>
      </c>
      <c r="P712" s="138" t="s">
        <v>8</v>
      </c>
      <c r="Q712" s="37"/>
      <c r="R712" s="65"/>
      <c r="S712" s="137" t="s">
        <v>919</v>
      </c>
      <c r="T712" s="138" t="s">
        <v>8</v>
      </c>
      <c r="U712" s="37"/>
      <c r="V712" s="65"/>
      <c r="W712" s="137" t="s">
        <v>919</v>
      </c>
      <c r="X712" s="139" t="s">
        <v>63</v>
      </c>
      <c r="Y712" s="37"/>
      <c r="Z712" s="65"/>
      <c r="AA712" s="137" t="s">
        <v>919</v>
      </c>
      <c r="AB712" s="138" t="s">
        <v>8</v>
      </c>
      <c r="AC712" s="37"/>
      <c r="AD712" s="65"/>
      <c r="AE712" s="137" t="s">
        <v>919</v>
      </c>
      <c r="AF712" s="138" t="s">
        <v>8</v>
      </c>
      <c r="AG712" s="37"/>
      <c r="AH712" s="65"/>
      <c r="AI712" s="137" t="s">
        <v>919</v>
      </c>
      <c r="AJ712" s="138" t="s">
        <v>8</v>
      </c>
      <c r="AK712" s="37"/>
      <c r="AL712" s="65"/>
      <c r="AM712" s="137" t="s">
        <v>919</v>
      </c>
      <c r="AN712" s="138" t="s">
        <v>8</v>
      </c>
      <c r="AO712" s="37"/>
      <c r="AP712" s="65"/>
      <c r="AQ712" s="137" t="s">
        <v>919</v>
      </c>
      <c r="AR712" s="138" t="s">
        <v>8</v>
      </c>
      <c r="AS712" s="37"/>
      <c r="AT712" s="65"/>
      <c r="AU712" s="137" t="s">
        <v>919</v>
      </c>
      <c r="AV712" s="138" t="s">
        <v>8</v>
      </c>
      <c r="AW712" s="37"/>
      <c r="AX712" s="65"/>
      <c r="AY712" s="137" t="s">
        <v>919</v>
      </c>
      <c r="AZ712" s="139" t="s">
        <v>63</v>
      </c>
      <c r="BA712" s="37"/>
      <c r="BB712" s="65"/>
      <c r="BC712" s="137" t="s">
        <v>919</v>
      </c>
      <c r="BD712" s="138" t="s">
        <v>8</v>
      </c>
      <c r="BE712" s="37"/>
      <c r="BF712" s="65"/>
      <c r="BG712" s="137" t="s">
        <v>919</v>
      </c>
      <c r="BH712" s="138" t="s">
        <v>8</v>
      </c>
      <c r="BI712" s="37"/>
      <c r="BJ712" s="65"/>
      <c r="BK712" s="137" t="s">
        <v>919</v>
      </c>
      <c r="BL712" s="138" t="s">
        <v>8</v>
      </c>
      <c r="BM712" s="37"/>
      <c r="BN712" s="65"/>
      <c r="BO712" s="137" t="s">
        <v>919</v>
      </c>
      <c r="BP712" s="138" t="s">
        <v>8</v>
      </c>
      <c r="BQ712" s="37"/>
      <c r="BR712" s="65"/>
      <c r="BS712" s="137" t="s">
        <v>919</v>
      </c>
      <c r="BT712" s="138" t="s">
        <v>8</v>
      </c>
      <c r="BU712" s="37"/>
    </row>
    <row r="713" ht="12.75" customHeight="1">
      <c r="A713" s="146"/>
      <c r="B713" s="132" t="s">
        <v>765</v>
      </c>
      <c r="C713" s="69"/>
      <c r="D713" s="134"/>
      <c r="E713" s="59"/>
      <c r="F713" s="65"/>
      <c r="G713" s="70" t="s">
        <v>920</v>
      </c>
      <c r="H713" s="95"/>
      <c r="I713" s="37"/>
      <c r="J713" s="65"/>
      <c r="K713" s="137" t="s">
        <v>920</v>
      </c>
      <c r="L713" s="138" t="s">
        <v>8</v>
      </c>
      <c r="M713" s="37"/>
      <c r="N713" s="65"/>
      <c r="O713" s="137" t="s">
        <v>920</v>
      </c>
      <c r="P713" s="138" t="s">
        <v>8</v>
      </c>
      <c r="Q713" s="37"/>
      <c r="R713" s="65"/>
      <c r="S713" s="137" t="s">
        <v>920</v>
      </c>
      <c r="T713" s="138" t="s">
        <v>8</v>
      </c>
      <c r="U713" s="37"/>
      <c r="V713" s="65"/>
      <c r="W713" s="137" t="s">
        <v>920</v>
      </c>
      <c r="X713" s="139" t="s">
        <v>765</v>
      </c>
      <c r="Y713" s="37"/>
      <c r="Z713" s="65"/>
      <c r="AA713" s="137" t="s">
        <v>920</v>
      </c>
      <c r="AB713" s="138" t="s">
        <v>8</v>
      </c>
      <c r="AC713" s="37"/>
      <c r="AD713" s="65"/>
      <c r="AE713" s="137" t="s">
        <v>920</v>
      </c>
      <c r="AF713" s="138" t="s">
        <v>8</v>
      </c>
      <c r="AG713" s="37"/>
      <c r="AH713" s="65"/>
      <c r="AI713" s="137" t="s">
        <v>920</v>
      </c>
      <c r="AJ713" s="138" t="s">
        <v>8</v>
      </c>
      <c r="AK713" s="37"/>
      <c r="AL713" s="65"/>
      <c r="AM713" s="137" t="s">
        <v>920</v>
      </c>
      <c r="AN713" s="138" t="s">
        <v>8</v>
      </c>
      <c r="AO713" s="37"/>
      <c r="AP713" s="65"/>
      <c r="AQ713" s="137" t="s">
        <v>920</v>
      </c>
      <c r="AR713" s="138" t="s">
        <v>8</v>
      </c>
      <c r="AS713" s="37"/>
      <c r="AT713" s="65"/>
      <c r="AU713" s="137" t="s">
        <v>920</v>
      </c>
      <c r="AV713" s="138" t="s">
        <v>8</v>
      </c>
      <c r="AW713" s="37"/>
      <c r="AX713" s="65"/>
      <c r="AY713" s="137" t="s">
        <v>920</v>
      </c>
      <c r="AZ713" s="139" t="s">
        <v>765</v>
      </c>
      <c r="BA713" s="37"/>
      <c r="BB713" s="65"/>
      <c r="BC713" s="137" t="s">
        <v>920</v>
      </c>
      <c r="BD713" s="138" t="s">
        <v>8</v>
      </c>
      <c r="BE713" s="37"/>
      <c r="BF713" s="65"/>
      <c r="BG713" s="137" t="s">
        <v>920</v>
      </c>
      <c r="BH713" s="138" t="s">
        <v>8</v>
      </c>
      <c r="BI713" s="37"/>
      <c r="BJ713" s="65"/>
      <c r="BK713" s="137" t="s">
        <v>920</v>
      </c>
      <c r="BL713" s="138" t="s">
        <v>8</v>
      </c>
      <c r="BM713" s="37"/>
      <c r="BN713" s="65"/>
      <c r="BO713" s="137" t="s">
        <v>920</v>
      </c>
      <c r="BP713" s="138" t="s">
        <v>8</v>
      </c>
      <c r="BQ713" s="37"/>
      <c r="BR713" s="65"/>
      <c r="BS713" s="137" t="s">
        <v>920</v>
      </c>
      <c r="BT713" s="138" t="s">
        <v>8</v>
      </c>
      <c r="BU713" s="37"/>
    </row>
    <row r="714" ht="12.75" customHeight="1">
      <c r="A714" s="146"/>
      <c r="B714" s="132" t="s">
        <v>46</v>
      </c>
      <c r="C714" s="69"/>
      <c r="D714" s="134"/>
      <c r="E714" s="59"/>
      <c r="F714" s="65"/>
      <c r="G714" s="70" t="s">
        <v>921</v>
      </c>
      <c r="H714" s="95"/>
      <c r="I714" s="37"/>
      <c r="J714" s="65"/>
      <c r="K714" s="137" t="s">
        <v>921</v>
      </c>
      <c r="L714" s="138" t="s">
        <v>8</v>
      </c>
      <c r="M714" s="37"/>
      <c r="N714" s="65"/>
      <c r="O714" s="137" t="s">
        <v>921</v>
      </c>
      <c r="P714" s="138" t="s">
        <v>8</v>
      </c>
      <c r="Q714" s="37"/>
      <c r="R714" s="65"/>
      <c r="S714" s="137" t="s">
        <v>921</v>
      </c>
      <c r="T714" s="138" t="s">
        <v>8</v>
      </c>
      <c r="U714" s="37"/>
      <c r="V714" s="65"/>
      <c r="W714" s="137" t="s">
        <v>921</v>
      </c>
      <c r="X714" s="139" t="s">
        <v>46</v>
      </c>
      <c r="Y714" s="37"/>
      <c r="Z714" s="65"/>
      <c r="AA714" s="137" t="s">
        <v>921</v>
      </c>
      <c r="AB714" s="138" t="s">
        <v>8</v>
      </c>
      <c r="AC714" s="37"/>
      <c r="AD714" s="65"/>
      <c r="AE714" s="137" t="s">
        <v>921</v>
      </c>
      <c r="AF714" s="138" t="s">
        <v>8</v>
      </c>
      <c r="AG714" s="37"/>
      <c r="AH714" s="65"/>
      <c r="AI714" s="137" t="s">
        <v>921</v>
      </c>
      <c r="AJ714" s="138" t="s">
        <v>8</v>
      </c>
      <c r="AK714" s="37"/>
      <c r="AL714" s="65"/>
      <c r="AM714" s="137" t="s">
        <v>921</v>
      </c>
      <c r="AN714" s="138" t="s">
        <v>8</v>
      </c>
      <c r="AO714" s="37"/>
      <c r="AP714" s="65"/>
      <c r="AQ714" s="137" t="s">
        <v>921</v>
      </c>
      <c r="AR714" s="138" t="s">
        <v>8</v>
      </c>
      <c r="AS714" s="37"/>
      <c r="AT714" s="65"/>
      <c r="AU714" s="137" t="s">
        <v>921</v>
      </c>
      <c r="AV714" s="138" t="s">
        <v>8</v>
      </c>
      <c r="AW714" s="37"/>
      <c r="AX714" s="65"/>
      <c r="AY714" s="137" t="s">
        <v>921</v>
      </c>
      <c r="AZ714" s="139" t="s">
        <v>46</v>
      </c>
      <c r="BA714" s="37"/>
      <c r="BB714" s="65"/>
      <c r="BC714" s="137" t="s">
        <v>921</v>
      </c>
      <c r="BD714" s="138" t="s">
        <v>8</v>
      </c>
      <c r="BE714" s="37"/>
      <c r="BF714" s="65"/>
      <c r="BG714" s="137" t="s">
        <v>921</v>
      </c>
      <c r="BH714" s="138" t="s">
        <v>8</v>
      </c>
      <c r="BI714" s="37"/>
      <c r="BJ714" s="65"/>
      <c r="BK714" s="137" t="s">
        <v>921</v>
      </c>
      <c r="BL714" s="138" t="s">
        <v>8</v>
      </c>
      <c r="BM714" s="37"/>
      <c r="BN714" s="65"/>
      <c r="BO714" s="137" t="s">
        <v>921</v>
      </c>
      <c r="BP714" s="138" t="s">
        <v>8</v>
      </c>
      <c r="BQ714" s="37"/>
      <c r="BR714" s="65"/>
      <c r="BS714" s="137" t="s">
        <v>921</v>
      </c>
      <c r="BT714" s="138" t="s">
        <v>8</v>
      </c>
      <c r="BU714" s="37"/>
    </row>
    <row r="715" ht="12.75" customHeight="1">
      <c r="A715" s="146"/>
      <c r="B715" s="132" t="s">
        <v>849</v>
      </c>
      <c r="C715" s="69"/>
      <c r="D715" s="134"/>
      <c r="E715" s="59"/>
      <c r="F715" s="65"/>
      <c r="G715" s="70" t="s">
        <v>922</v>
      </c>
      <c r="H715" s="95"/>
      <c r="I715" s="37"/>
      <c r="J715" s="65"/>
      <c r="K715" s="137" t="s">
        <v>922</v>
      </c>
      <c r="L715" s="138" t="s">
        <v>8</v>
      </c>
      <c r="M715" s="37"/>
      <c r="N715" s="65"/>
      <c r="O715" s="137" t="s">
        <v>922</v>
      </c>
      <c r="P715" s="138" t="s">
        <v>8</v>
      </c>
      <c r="Q715" s="37"/>
      <c r="R715" s="65"/>
      <c r="S715" s="137" t="s">
        <v>922</v>
      </c>
      <c r="T715" s="138" t="s">
        <v>8</v>
      </c>
      <c r="U715" s="37"/>
      <c r="V715" s="65"/>
      <c r="W715" s="137" t="s">
        <v>922</v>
      </c>
      <c r="X715" s="139" t="s">
        <v>849</v>
      </c>
      <c r="Y715" s="37"/>
      <c r="Z715" s="65"/>
      <c r="AA715" s="137" t="s">
        <v>922</v>
      </c>
      <c r="AB715" s="138" t="s">
        <v>8</v>
      </c>
      <c r="AC715" s="37"/>
      <c r="AD715" s="65"/>
      <c r="AE715" s="137" t="s">
        <v>922</v>
      </c>
      <c r="AF715" s="138" t="s">
        <v>8</v>
      </c>
      <c r="AG715" s="37"/>
      <c r="AH715" s="65"/>
      <c r="AI715" s="137" t="s">
        <v>922</v>
      </c>
      <c r="AJ715" s="138" t="s">
        <v>8</v>
      </c>
      <c r="AK715" s="37"/>
      <c r="AL715" s="65"/>
      <c r="AM715" s="137" t="s">
        <v>922</v>
      </c>
      <c r="AN715" s="138" t="s">
        <v>8</v>
      </c>
      <c r="AO715" s="37"/>
      <c r="AP715" s="65"/>
      <c r="AQ715" s="137" t="s">
        <v>922</v>
      </c>
      <c r="AR715" s="138" t="s">
        <v>8</v>
      </c>
      <c r="AS715" s="37"/>
      <c r="AT715" s="65"/>
      <c r="AU715" s="137" t="s">
        <v>922</v>
      </c>
      <c r="AV715" s="138" t="s">
        <v>8</v>
      </c>
      <c r="AW715" s="37"/>
      <c r="AX715" s="65"/>
      <c r="AY715" s="137" t="s">
        <v>922</v>
      </c>
      <c r="AZ715" s="139" t="s">
        <v>849</v>
      </c>
      <c r="BA715" s="37"/>
      <c r="BB715" s="65"/>
      <c r="BC715" s="137" t="s">
        <v>922</v>
      </c>
      <c r="BD715" s="138" t="s">
        <v>8</v>
      </c>
      <c r="BE715" s="37"/>
      <c r="BF715" s="65"/>
      <c r="BG715" s="137" t="s">
        <v>922</v>
      </c>
      <c r="BH715" s="138" t="s">
        <v>8</v>
      </c>
      <c r="BI715" s="37"/>
      <c r="BJ715" s="65"/>
      <c r="BK715" s="137" t="s">
        <v>922</v>
      </c>
      <c r="BL715" s="138" t="s">
        <v>8</v>
      </c>
      <c r="BM715" s="37"/>
      <c r="BN715" s="65"/>
      <c r="BO715" s="137" t="s">
        <v>922</v>
      </c>
      <c r="BP715" s="138" t="s">
        <v>8</v>
      </c>
      <c r="BQ715" s="37"/>
      <c r="BR715" s="65"/>
      <c r="BS715" s="137" t="s">
        <v>922</v>
      </c>
      <c r="BT715" s="138" t="s">
        <v>8</v>
      </c>
      <c r="BU715" s="37"/>
    </row>
    <row r="716" ht="12.75" customHeight="1">
      <c r="A716" s="146"/>
      <c r="B716" s="132" t="s">
        <v>132</v>
      </c>
      <c r="C716" s="69"/>
      <c r="D716" s="134"/>
      <c r="E716" s="59"/>
      <c r="F716" s="65"/>
      <c r="G716" s="70" t="s">
        <v>923</v>
      </c>
      <c r="H716" s="95"/>
      <c r="I716" s="37"/>
      <c r="J716" s="65"/>
      <c r="K716" s="137" t="s">
        <v>923</v>
      </c>
      <c r="L716" s="138" t="s">
        <v>8</v>
      </c>
      <c r="M716" s="37"/>
      <c r="N716" s="65"/>
      <c r="O716" s="137" t="s">
        <v>923</v>
      </c>
      <c r="P716" s="138" t="s">
        <v>8</v>
      </c>
      <c r="Q716" s="37"/>
      <c r="R716" s="65"/>
      <c r="S716" s="137" t="s">
        <v>923</v>
      </c>
      <c r="T716" s="138" t="s">
        <v>8</v>
      </c>
      <c r="U716" s="37"/>
      <c r="V716" s="65"/>
      <c r="W716" s="137" t="s">
        <v>923</v>
      </c>
      <c r="X716" s="139" t="s">
        <v>132</v>
      </c>
      <c r="Y716" s="37"/>
      <c r="Z716" s="65"/>
      <c r="AA716" s="137" t="s">
        <v>923</v>
      </c>
      <c r="AB716" s="138" t="s">
        <v>8</v>
      </c>
      <c r="AC716" s="37"/>
      <c r="AD716" s="65"/>
      <c r="AE716" s="137" t="s">
        <v>923</v>
      </c>
      <c r="AF716" s="138" t="s">
        <v>8</v>
      </c>
      <c r="AG716" s="37"/>
      <c r="AH716" s="65"/>
      <c r="AI716" s="137" t="s">
        <v>923</v>
      </c>
      <c r="AJ716" s="138" t="s">
        <v>8</v>
      </c>
      <c r="AK716" s="37"/>
      <c r="AL716" s="65"/>
      <c r="AM716" s="137" t="s">
        <v>923</v>
      </c>
      <c r="AN716" s="138" t="s">
        <v>8</v>
      </c>
      <c r="AO716" s="37"/>
      <c r="AP716" s="65"/>
      <c r="AQ716" s="137" t="s">
        <v>923</v>
      </c>
      <c r="AR716" s="138" t="s">
        <v>8</v>
      </c>
      <c r="AS716" s="37"/>
      <c r="AT716" s="65"/>
      <c r="AU716" s="137" t="s">
        <v>923</v>
      </c>
      <c r="AV716" s="138" t="s">
        <v>8</v>
      </c>
      <c r="AW716" s="37"/>
      <c r="AX716" s="65"/>
      <c r="AY716" s="137" t="s">
        <v>923</v>
      </c>
      <c r="AZ716" s="139" t="s">
        <v>132</v>
      </c>
      <c r="BA716" s="37"/>
      <c r="BB716" s="65"/>
      <c r="BC716" s="137" t="s">
        <v>923</v>
      </c>
      <c r="BD716" s="138" t="s">
        <v>8</v>
      </c>
      <c r="BE716" s="37"/>
      <c r="BF716" s="65"/>
      <c r="BG716" s="137" t="s">
        <v>923</v>
      </c>
      <c r="BH716" s="138" t="s">
        <v>8</v>
      </c>
      <c r="BI716" s="37"/>
      <c r="BJ716" s="65"/>
      <c r="BK716" s="137" t="s">
        <v>923</v>
      </c>
      <c r="BL716" s="138" t="s">
        <v>8</v>
      </c>
      <c r="BM716" s="37"/>
      <c r="BN716" s="65"/>
      <c r="BO716" s="137" t="s">
        <v>923</v>
      </c>
      <c r="BP716" s="138" t="s">
        <v>8</v>
      </c>
      <c r="BQ716" s="37"/>
      <c r="BR716" s="65"/>
      <c r="BS716" s="137" t="s">
        <v>923</v>
      </c>
      <c r="BT716" s="138" t="s">
        <v>8</v>
      </c>
      <c r="BU716" s="37"/>
    </row>
    <row r="717" ht="12.75" customHeight="1">
      <c r="A717" s="146"/>
      <c r="B717" s="132" t="s">
        <v>195</v>
      </c>
      <c r="C717" s="69"/>
      <c r="D717" s="134"/>
      <c r="E717" s="59"/>
      <c r="F717" s="65"/>
      <c r="G717" s="70" t="s">
        <v>924</v>
      </c>
      <c r="H717" s="95"/>
      <c r="I717" s="37"/>
      <c r="J717" s="65"/>
      <c r="K717" s="137" t="s">
        <v>924</v>
      </c>
      <c r="L717" s="138" t="s">
        <v>8</v>
      </c>
      <c r="M717" s="37"/>
      <c r="N717" s="65"/>
      <c r="O717" s="137" t="s">
        <v>924</v>
      </c>
      <c r="P717" s="138" t="s">
        <v>8</v>
      </c>
      <c r="Q717" s="37"/>
      <c r="R717" s="65"/>
      <c r="S717" s="137" t="s">
        <v>924</v>
      </c>
      <c r="T717" s="138" t="s">
        <v>8</v>
      </c>
      <c r="U717" s="37"/>
      <c r="V717" s="65"/>
      <c r="W717" s="137" t="s">
        <v>924</v>
      </c>
      <c r="X717" s="139" t="s">
        <v>195</v>
      </c>
      <c r="Y717" s="37"/>
      <c r="Z717" s="65"/>
      <c r="AA717" s="137" t="s">
        <v>924</v>
      </c>
      <c r="AB717" s="138" t="s">
        <v>8</v>
      </c>
      <c r="AC717" s="37"/>
      <c r="AD717" s="65"/>
      <c r="AE717" s="137" t="s">
        <v>924</v>
      </c>
      <c r="AF717" s="138" t="s">
        <v>8</v>
      </c>
      <c r="AG717" s="37"/>
      <c r="AH717" s="65"/>
      <c r="AI717" s="137" t="s">
        <v>924</v>
      </c>
      <c r="AJ717" s="138" t="s">
        <v>8</v>
      </c>
      <c r="AK717" s="37"/>
      <c r="AL717" s="65"/>
      <c r="AM717" s="137" t="s">
        <v>924</v>
      </c>
      <c r="AN717" s="138" t="s">
        <v>8</v>
      </c>
      <c r="AO717" s="37"/>
      <c r="AP717" s="65"/>
      <c r="AQ717" s="137" t="s">
        <v>924</v>
      </c>
      <c r="AR717" s="138" t="s">
        <v>8</v>
      </c>
      <c r="AS717" s="37"/>
      <c r="AT717" s="65"/>
      <c r="AU717" s="137" t="s">
        <v>924</v>
      </c>
      <c r="AV717" s="138" t="s">
        <v>8</v>
      </c>
      <c r="AW717" s="37"/>
      <c r="AX717" s="65"/>
      <c r="AY717" s="137" t="s">
        <v>924</v>
      </c>
      <c r="AZ717" s="139" t="s">
        <v>195</v>
      </c>
      <c r="BA717" s="37"/>
      <c r="BB717" s="65"/>
      <c r="BC717" s="137" t="s">
        <v>924</v>
      </c>
      <c r="BD717" s="138" t="s">
        <v>8</v>
      </c>
      <c r="BE717" s="37"/>
      <c r="BF717" s="65"/>
      <c r="BG717" s="137" t="s">
        <v>924</v>
      </c>
      <c r="BH717" s="138" t="s">
        <v>8</v>
      </c>
      <c r="BI717" s="37"/>
      <c r="BJ717" s="65"/>
      <c r="BK717" s="137" t="s">
        <v>924</v>
      </c>
      <c r="BL717" s="138" t="s">
        <v>8</v>
      </c>
      <c r="BM717" s="37"/>
      <c r="BN717" s="65"/>
      <c r="BO717" s="137" t="s">
        <v>924</v>
      </c>
      <c r="BP717" s="138" t="s">
        <v>8</v>
      </c>
      <c r="BQ717" s="37"/>
      <c r="BR717" s="65"/>
      <c r="BS717" s="137" t="s">
        <v>924</v>
      </c>
      <c r="BT717" s="138" t="s">
        <v>8</v>
      </c>
      <c r="BU717" s="37"/>
    </row>
    <row r="718" ht="12.75" customHeight="1">
      <c r="A718" s="146"/>
      <c r="B718" s="132" t="s">
        <v>46</v>
      </c>
      <c r="C718" s="69"/>
      <c r="D718" s="134"/>
      <c r="E718" s="59"/>
      <c r="F718" s="65"/>
      <c r="G718" s="70" t="s">
        <v>925</v>
      </c>
      <c r="H718" s="95"/>
      <c r="I718" s="37"/>
      <c r="J718" s="65"/>
      <c r="K718" s="137" t="s">
        <v>925</v>
      </c>
      <c r="L718" s="138" t="s">
        <v>8</v>
      </c>
      <c r="M718" s="37"/>
      <c r="N718" s="65"/>
      <c r="O718" s="137" t="s">
        <v>925</v>
      </c>
      <c r="P718" s="138" t="s">
        <v>8</v>
      </c>
      <c r="Q718" s="37"/>
      <c r="R718" s="65"/>
      <c r="S718" s="137" t="s">
        <v>925</v>
      </c>
      <c r="T718" s="138" t="s">
        <v>8</v>
      </c>
      <c r="U718" s="37"/>
      <c r="V718" s="65"/>
      <c r="W718" s="137" t="s">
        <v>925</v>
      </c>
      <c r="X718" s="139" t="s">
        <v>46</v>
      </c>
      <c r="Y718" s="37"/>
      <c r="Z718" s="65"/>
      <c r="AA718" s="137" t="s">
        <v>925</v>
      </c>
      <c r="AB718" s="138" t="s">
        <v>8</v>
      </c>
      <c r="AC718" s="37"/>
      <c r="AD718" s="65"/>
      <c r="AE718" s="137" t="s">
        <v>925</v>
      </c>
      <c r="AF718" s="138" t="s">
        <v>8</v>
      </c>
      <c r="AG718" s="37"/>
      <c r="AH718" s="65"/>
      <c r="AI718" s="137" t="s">
        <v>925</v>
      </c>
      <c r="AJ718" s="138" t="s">
        <v>8</v>
      </c>
      <c r="AK718" s="37"/>
      <c r="AL718" s="65"/>
      <c r="AM718" s="137" t="s">
        <v>925</v>
      </c>
      <c r="AN718" s="138" t="s">
        <v>8</v>
      </c>
      <c r="AO718" s="37"/>
      <c r="AP718" s="65"/>
      <c r="AQ718" s="137" t="s">
        <v>925</v>
      </c>
      <c r="AR718" s="138" t="s">
        <v>8</v>
      </c>
      <c r="AS718" s="37"/>
      <c r="AT718" s="65"/>
      <c r="AU718" s="137" t="s">
        <v>925</v>
      </c>
      <c r="AV718" s="138" t="s">
        <v>8</v>
      </c>
      <c r="AW718" s="37"/>
      <c r="AX718" s="65"/>
      <c r="AY718" s="137" t="s">
        <v>925</v>
      </c>
      <c r="AZ718" s="139" t="s">
        <v>46</v>
      </c>
      <c r="BA718" s="37"/>
      <c r="BB718" s="65"/>
      <c r="BC718" s="137" t="s">
        <v>925</v>
      </c>
      <c r="BD718" s="138" t="s">
        <v>8</v>
      </c>
      <c r="BE718" s="37"/>
      <c r="BF718" s="65"/>
      <c r="BG718" s="137" t="s">
        <v>925</v>
      </c>
      <c r="BH718" s="138" t="s">
        <v>8</v>
      </c>
      <c r="BI718" s="37"/>
      <c r="BJ718" s="65"/>
      <c r="BK718" s="137" t="s">
        <v>925</v>
      </c>
      <c r="BL718" s="138" t="s">
        <v>8</v>
      </c>
      <c r="BM718" s="37"/>
      <c r="BN718" s="65"/>
      <c r="BO718" s="137" t="s">
        <v>925</v>
      </c>
      <c r="BP718" s="138" t="s">
        <v>8</v>
      </c>
      <c r="BQ718" s="37"/>
      <c r="BR718" s="65"/>
      <c r="BS718" s="137" t="s">
        <v>925</v>
      </c>
      <c r="BT718" s="138" t="s">
        <v>8</v>
      </c>
      <c r="BU718" s="37"/>
    </row>
    <row r="719" ht="12.75" customHeight="1">
      <c r="A719" s="146"/>
      <c r="B719" s="132" t="s">
        <v>926</v>
      </c>
      <c r="C719" s="69"/>
      <c r="D719" s="134"/>
      <c r="E719" s="59"/>
      <c r="F719" s="65"/>
      <c r="G719" s="70" t="s">
        <v>927</v>
      </c>
      <c r="H719" s="95"/>
      <c r="I719" s="37"/>
      <c r="J719" s="65"/>
      <c r="K719" s="137" t="s">
        <v>927</v>
      </c>
      <c r="L719" s="138" t="s">
        <v>8</v>
      </c>
      <c r="M719" s="37"/>
      <c r="N719" s="65"/>
      <c r="O719" s="137" t="s">
        <v>927</v>
      </c>
      <c r="P719" s="138" t="s">
        <v>8</v>
      </c>
      <c r="Q719" s="37"/>
      <c r="R719" s="65"/>
      <c r="S719" s="137" t="s">
        <v>927</v>
      </c>
      <c r="T719" s="138" t="s">
        <v>8</v>
      </c>
      <c r="U719" s="37"/>
      <c r="V719" s="65"/>
      <c r="W719" s="137" t="s">
        <v>927</v>
      </c>
      <c r="X719" s="139" t="s">
        <v>926</v>
      </c>
      <c r="Y719" s="37"/>
      <c r="Z719" s="65"/>
      <c r="AA719" s="137" t="s">
        <v>927</v>
      </c>
      <c r="AB719" s="138" t="s">
        <v>8</v>
      </c>
      <c r="AC719" s="37"/>
      <c r="AD719" s="65"/>
      <c r="AE719" s="137" t="s">
        <v>927</v>
      </c>
      <c r="AF719" s="138" t="s">
        <v>8</v>
      </c>
      <c r="AG719" s="37"/>
      <c r="AH719" s="65"/>
      <c r="AI719" s="137" t="s">
        <v>927</v>
      </c>
      <c r="AJ719" s="138" t="s">
        <v>8</v>
      </c>
      <c r="AK719" s="37"/>
      <c r="AL719" s="65"/>
      <c r="AM719" s="137" t="s">
        <v>927</v>
      </c>
      <c r="AN719" s="138" t="s">
        <v>8</v>
      </c>
      <c r="AO719" s="37"/>
      <c r="AP719" s="65"/>
      <c r="AQ719" s="137" t="s">
        <v>927</v>
      </c>
      <c r="AR719" s="138" t="s">
        <v>8</v>
      </c>
      <c r="AS719" s="37"/>
      <c r="AT719" s="65"/>
      <c r="AU719" s="137" t="s">
        <v>927</v>
      </c>
      <c r="AV719" s="138" t="s">
        <v>8</v>
      </c>
      <c r="AW719" s="37"/>
      <c r="AX719" s="65"/>
      <c r="AY719" s="137" t="s">
        <v>927</v>
      </c>
      <c r="AZ719" s="139" t="s">
        <v>926</v>
      </c>
      <c r="BA719" s="37"/>
      <c r="BB719" s="65"/>
      <c r="BC719" s="137" t="s">
        <v>927</v>
      </c>
      <c r="BD719" s="138" t="s">
        <v>8</v>
      </c>
      <c r="BE719" s="37"/>
      <c r="BF719" s="65"/>
      <c r="BG719" s="137" t="s">
        <v>927</v>
      </c>
      <c r="BH719" s="138" t="s">
        <v>8</v>
      </c>
      <c r="BI719" s="37"/>
      <c r="BJ719" s="65"/>
      <c r="BK719" s="137" t="s">
        <v>927</v>
      </c>
      <c r="BL719" s="138" t="s">
        <v>8</v>
      </c>
      <c r="BM719" s="37"/>
      <c r="BN719" s="65"/>
      <c r="BO719" s="137" t="s">
        <v>927</v>
      </c>
      <c r="BP719" s="138" t="s">
        <v>8</v>
      </c>
      <c r="BQ719" s="37"/>
      <c r="BR719" s="65"/>
      <c r="BS719" s="137" t="s">
        <v>927</v>
      </c>
      <c r="BT719" s="138" t="s">
        <v>8</v>
      </c>
      <c r="BU719" s="37"/>
    </row>
    <row r="720" ht="12.75" customHeight="1">
      <c r="A720" s="146"/>
      <c r="B720" s="132" t="s">
        <v>63</v>
      </c>
      <c r="C720" s="69"/>
      <c r="D720" s="134"/>
      <c r="E720" s="59"/>
      <c r="F720" s="65"/>
      <c r="G720" s="70" t="s">
        <v>928</v>
      </c>
      <c r="H720" s="95"/>
      <c r="I720" s="37"/>
      <c r="J720" s="65"/>
      <c r="K720" s="137" t="s">
        <v>928</v>
      </c>
      <c r="L720" s="138" t="s">
        <v>8</v>
      </c>
      <c r="M720" s="37"/>
      <c r="N720" s="65"/>
      <c r="O720" s="137" t="s">
        <v>928</v>
      </c>
      <c r="P720" s="138" t="s">
        <v>8</v>
      </c>
      <c r="Q720" s="37"/>
      <c r="R720" s="65"/>
      <c r="S720" s="137" t="s">
        <v>928</v>
      </c>
      <c r="T720" s="138" t="s">
        <v>8</v>
      </c>
      <c r="U720" s="37"/>
      <c r="V720" s="65"/>
      <c r="W720" s="137" t="s">
        <v>928</v>
      </c>
      <c r="X720" s="139" t="s">
        <v>63</v>
      </c>
      <c r="Y720" s="37"/>
      <c r="Z720" s="65"/>
      <c r="AA720" s="137" t="s">
        <v>928</v>
      </c>
      <c r="AB720" s="138" t="s">
        <v>8</v>
      </c>
      <c r="AC720" s="37"/>
      <c r="AD720" s="65"/>
      <c r="AE720" s="137" t="s">
        <v>928</v>
      </c>
      <c r="AF720" s="138" t="s">
        <v>8</v>
      </c>
      <c r="AG720" s="37"/>
      <c r="AH720" s="65"/>
      <c r="AI720" s="137" t="s">
        <v>928</v>
      </c>
      <c r="AJ720" s="138" t="s">
        <v>8</v>
      </c>
      <c r="AK720" s="37"/>
      <c r="AL720" s="65"/>
      <c r="AM720" s="137" t="s">
        <v>928</v>
      </c>
      <c r="AN720" s="138" t="s">
        <v>8</v>
      </c>
      <c r="AO720" s="37"/>
      <c r="AP720" s="65"/>
      <c r="AQ720" s="137" t="s">
        <v>928</v>
      </c>
      <c r="AR720" s="138" t="s">
        <v>8</v>
      </c>
      <c r="AS720" s="37"/>
      <c r="AT720" s="65"/>
      <c r="AU720" s="137" t="s">
        <v>928</v>
      </c>
      <c r="AV720" s="138" t="s">
        <v>8</v>
      </c>
      <c r="AW720" s="37"/>
      <c r="AX720" s="65"/>
      <c r="AY720" s="137" t="s">
        <v>928</v>
      </c>
      <c r="AZ720" s="139" t="s">
        <v>63</v>
      </c>
      <c r="BA720" s="37"/>
      <c r="BB720" s="65"/>
      <c r="BC720" s="137" t="s">
        <v>928</v>
      </c>
      <c r="BD720" s="138" t="s">
        <v>8</v>
      </c>
      <c r="BE720" s="37"/>
      <c r="BF720" s="65"/>
      <c r="BG720" s="137" t="s">
        <v>928</v>
      </c>
      <c r="BH720" s="138" t="s">
        <v>8</v>
      </c>
      <c r="BI720" s="37"/>
      <c r="BJ720" s="65"/>
      <c r="BK720" s="137" t="s">
        <v>928</v>
      </c>
      <c r="BL720" s="138" t="s">
        <v>8</v>
      </c>
      <c r="BM720" s="37"/>
      <c r="BN720" s="65"/>
      <c r="BO720" s="137" t="s">
        <v>928</v>
      </c>
      <c r="BP720" s="138" t="s">
        <v>8</v>
      </c>
      <c r="BQ720" s="37"/>
      <c r="BR720" s="65"/>
      <c r="BS720" s="137" t="s">
        <v>928</v>
      </c>
      <c r="BT720" s="138" t="s">
        <v>8</v>
      </c>
      <c r="BU720" s="37"/>
    </row>
    <row r="721" ht="12.75" customHeight="1">
      <c r="A721" s="146"/>
      <c r="B721" s="132" t="s">
        <v>158</v>
      </c>
      <c r="C721" s="69"/>
      <c r="D721" s="134"/>
      <c r="E721" s="59"/>
      <c r="F721" s="65"/>
      <c r="G721" s="70" t="s">
        <v>929</v>
      </c>
      <c r="H721" s="95"/>
      <c r="I721" s="37"/>
      <c r="J721" s="65"/>
      <c r="K721" s="137" t="s">
        <v>929</v>
      </c>
      <c r="L721" s="138" t="s">
        <v>8</v>
      </c>
      <c r="M721" s="37"/>
      <c r="N721" s="65"/>
      <c r="O721" s="137" t="s">
        <v>929</v>
      </c>
      <c r="P721" s="138" t="s">
        <v>8</v>
      </c>
      <c r="Q721" s="37"/>
      <c r="R721" s="65"/>
      <c r="S721" s="137" t="s">
        <v>929</v>
      </c>
      <c r="T721" s="138" t="s">
        <v>8</v>
      </c>
      <c r="U721" s="37"/>
      <c r="V721" s="65"/>
      <c r="W721" s="137" t="s">
        <v>929</v>
      </c>
      <c r="X721" s="139" t="s">
        <v>158</v>
      </c>
      <c r="Y721" s="37"/>
      <c r="Z721" s="65"/>
      <c r="AA721" s="137" t="s">
        <v>929</v>
      </c>
      <c r="AB721" s="138" t="s">
        <v>8</v>
      </c>
      <c r="AC721" s="37"/>
      <c r="AD721" s="65"/>
      <c r="AE721" s="137" t="s">
        <v>929</v>
      </c>
      <c r="AF721" s="138" t="s">
        <v>8</v>
      </c>
      <c r="AG721" s="37"/>
      <c r="AH721" s="65"/>
      <c r="AI721" s="137" t="s">
        <v>929</v>
      </c>
      <c r="AJ721" s="138" t="s">
        <v>8</v>
      </c>
      <c r="AK721" s="37"/>
      <c r="AL721" s="65"/>
      <c r="AM721" s="137" t="s">
        <v>929</v>
      </c>
      <c r="AN721" s="138" t="s">
        <v>8</v>
      </c>
      <c r="AO721" s="37"/>
      <c r="AP721" s="65"/>
      <c r="AQ721" s="137" t="s">
        <v>929</v>
      </c>
      <c r="AR721" s="138" t="s">
        <v>8</v>
      </c>
      <c r="AS721" s="37"/>
      <c r="AT721" s="65"/>
      <c r="AU721" s="137" t="s">
        <v>929</v>
      </c>
      <c r="AV721" s="138" t="s">
        <v>8</v>
      </c>
      <c r="AW721" s="37"/>
      <c r="AX721" s="65"/>
      <c r="AY721" s="137" t="s">
        <v>929</v>
      </c>
      <c r="AZ721" s="139" t="s">
        <v>158</v>
      </c>
      <c r="BA721" s="37"/>
      <c r="BB721" s="65"/>
      <c r="BC721" s="137" t="s">
        <v>929</v>
      </c>
      <c r="BD721" s="138" t="s">
        <v>8</v>
      </c>
      <c r="BE721" s="37"/>
      <c r="BF721" s="65"/>
      <c r="BG721" s="137" t="s">
        <v>929</v>
      </c>
      <c r="BH721" s="138" t="s">
        <v>8</v>
      </c>
      <c r="BI721" s="37"/>
      <c r="BJ721" s="65"/>
      <c r="BK721" s="137" t="s">
        <v>929</v>
      </c>
      <c r="BL721" s="138" t="s">
        <v>8</v>
      </c>
      <c r="BM721" s="37"/>
      <c r="BN721" s="65"/>
      <c r="BO721" s="137" t="s">
        <v>929</v>
      </c>
      <c r="BP721" s="138" t="s">
        <v>8</v>
      </c>
      <c r="BQ721" s="37"/>
      <c r="BR721" s="65"/>
      <c r="BS721" s="137" t="s">
        <v>929</v>
      </c>
      <c r="BT721" s="138" t="s">
        <v>8</v>
      </c>
      <c r="BU721" s="37"/>
    </row>
    <row r="722" ht="12.75" customHeight="1">
      <c r="A722" s="146"/>
      <c r="B722" s="132" t="s">
        <v>46</v>
      </c>
      <c r="C722" s="69"/>
      <c r="D722" s="134"/>
      <c r="E722" s="59"/>
      <c r="F722" s="65"/>
      <c r="G722" s="70" t="s">
        <v>930</v>
      </c>
      <c r="H722" s="95"/>
      <c r="I722" s="37"/>
      <c r="J722" s="65"/>
      <c r="K722" s="137" t="s">
        <v>930</v>
      </c>
      <c r="L722" s="138" t="s">
        <v>8</v>
      </c>
      <c r="M722" s="37"/>
      <c r="N722" s="65"/>
      <c r="O722" s="137" t="s">
        <v>930</v>
      </c>
      <c r="P722" s="138" t="s">
        <v>8</v>
      </c>
      <c r="Q722" s="37"/>
      <c r="R722" s="65"/>
      <c r="S722" s="137" t="s">
        <v>930</v>
      </c>
      <c r="T722" s="138" t="s">
        <v>8</v>
      </c>
      <c r="U722" s="37"/>
      <c r="V722" s="65"/>
      <c r="W722" s="137" t="s">
        <v>930</v>
      </c>
      <c r="X722" s="139" t="s">
        <v>46</v>
      </c>
      <c r="Y722" s="37"/>
      <c r="Z722" s="65"/>
      <c r="AA722" s="137" t="s">
        <v>930</v>
      </c>
      <c r="AB722" s="138" t="s">
        <v>8</v>
      </c>
      <c r="AC722" s="37"/>
      <c r="AD722" s="65"/>
      <c r="AE722" s="137" t="s">
        <v>930</v>
      </c>
      <c r="AF722" s="138" t="s">
        <v>8</v>
      </c>
      <c r="AG722" s="37"/>
      <c r="AH722" s="65"/>
      <c r="AI722" s="137" t="s">
        <v>930</v>
      </c>
      <c r="AJ722" s="138" t="s">
        <v>8</v>
      </c>
      <c r="AK722" s="37"/>
      <c r="AL722" s="65"/>
      <c r="AM722" s="137" t="s">
        <v>930</v>
      </c>
      <c r="AN722" s="138" t="s">
        <v>8</v>
      </c>
      <c r="AO722" s="37"/>
      <c r="AP722" s="65"/>
      <c r="AQ722" s="137" t="s">
        <v>930</v>
      </c>
      <c r="AR722" s="138" t="s">
        <v>8</v>
      </c>
      <c r="AS722" s="37"/>
      <c r="AT722" s="65"/>
      <c r="AU722" s="137" t="s">
        <v>930</v>
      </c>
      <c r="AV722" s="138" t="s">
        <v>8</v>
      </c>
      <c r="AW722" s="37"/>
      <c r="AX722" s="65"/>
      <c r="AY722" s="137" t="s">
        <v>930</v>
      </c>
      <c r="AZ722" s="139" t="s">
        <v>46</v>
      </c>
      <c r="BA722" s="37"/>
      <c r="BB722" s="65"/>
      <c r="BC722" s="137" t="s">
        <v>930</v>
      </c>
      <c r="BD722" s="138" t="s">
        <v>8</v>
      </c>
      <c r="BE722" s="37"/>
      <c r="BF722" s="65"/>
      <c r="BG722" s="137" t="s">
        <v>930</v>
      </c>
      <c r="BH722" s="138" t="s">
        <v>8</v>
      </c>
      <c r="BI722" s="37"/>
      <c r="BJ722" s="65"/>
      <c r="BK722" s="137" t="s">
        <v>930</v>
      </c>
      <c r="BL722" s="138" t="s">
        <v>8</v>
      </c>
      <c r="BM722" s="37"/>
      <c r="BN722" s="65"/>
      <c r="BO722" s="137" t="s">
        <v>930</v>
      </c>
      <c r="BP722" s="138" t="s">
        <v>8</v>
      </c>
      <c r="BQ722" s="37"/>
      <c r="BR722" s="65"/>
      <c r="BS722" s="137" t="s">
        <v>930</v>
      </c>
      <c r="BT722" s="138" t="s">
        <v>8</v>
      </c>
      <c r="BU722" s="37"/>
    </row>
    <row r="723" ht="12.75" customHeight="1">
      <c r="A723" s="146"/>
      <c r="B723" s="132" t="s">
        <v>86</v>
      </c>
      <c r="C723" s="69"/>
      <c r="D723" s="134"/>
      <c r="E723" s="59"/>
      <c r="F723" s="65"/>
      <c r="G723" s="70" t="s">
        <v>931</v>
      </c>
      <c r="H723" s="95"/>
      <c r="I723" s="37"/>
      <c r="J723" s="65"/>
      <c r="K723" s="137" t="s">
        <v>931</v>
      </c>
      <c r="L723" s="138" t="s">
        <v>8</v>
      </c>
      <c r="M723" s="37"/>
      <c r="N723" s="65"/>
      <c r="O723" s="137" t="s">
        <v>931</v>
      </c>
      <c r="P723" s="138" t="s">
        <v>8</v>
      </c>
      <c r="Q723" s="37"/>
      <c r="R723" s="65"/>
      <c r="S723" s="137" t="s">
        <v>931</v>
      </c>
      <c r="T723" s="138" t="s">
        <v>8</v>
      </c>
      <c r="U723" s="37"/>
      <c r="V723" s="65"/>
      <c r="W723" s="137" t="s">
        <v>931</v>
      </c>
      <c r="X723" s="139" t="s">
        <v>86</v>
      </c>
      <c r="Y723" s="37"/>
      <c r="Z723" s="65"/>
      <c r="AA723" s="137" t="s">
        <v>931</v>
      </c>
      <c r="AB723" s="138" t="s">
        <v>8</v>
      </c>
      <c r="AC723" s="37"/>
      <c r="AD723" s="65"/>
      <c r="AE723" s="137" t="s">
        <v>931</v>
      </c>
      <c r="AF723" s="138" t="s">
        <v>8</v>
      </c>
      <c r="AG723" s="37"/>
      <c r="AH723" s="65"/>
      <c r="AI723" s="137" t="s">
        <v>931</v>
      </c>
      <c r="AJ723" s="138" t="s">
        <v>8</v>
      </c>
      <c r="AK723" s="37"/>
      <c r="AL723" s="65"/>
      <c r="AM723" s="137" t="s">
        <v>931</v>
      </c>
      <c r="AN723" s="138" t="s">
        <v>8</v>
      </c>
      <c r="AO723" s="37"/>
      <c r="AP723" s="65"/>
      <c r="AQ723" s="137" t="s">
        <v>931</v>
      </c>
      <c r="AR723" s="138" t="s">
        <v>8</v>
      </c>
      <c r="AS723" s="37"/>
      <c r="AT723" s="65"/>
      <c r="AU723" s="137" t="s">
        <v>931</v>
      </c>
      <c r="AV723" s="138" t="s">
        <v>8</v>
      </c>
      <c r="AW723" s="37"/>
      <c r="AX723" s="65"/>
      <c r="AY723" s="137" t="s">
        <v>931</v>
      </c>
      <c r="AZ723" s="139" t="s">
        <v>86</v>
      </c>
      <c r="BA723" s="37"/>
      <c r="BB723" s="65"/>
      <c r="BC723" s="137" t="s">
        <v>931</v>
      </c>
      <c r="BD723" s="138" t="s">
        <v>8</v>
      </c>
      <c r="BE723" s="37"/>
      <c r="BF723" s="65"/>
      <c r="BG723" s="137" t="s">
        <v>931</v>
      </c>
      <c r="BH723" s="138" t="s">
        <v>8</v>
      </c>
      <c r="BI723" s="37"/>
      <c r="BJ723" s="65"/>
      <c r="BK723" s="137" t="s">
        <v>931</v>
      </c>
      <c r="BL723" s="138" t="s">
        <v>8</v>
      </c>
      <c r="BM723" s="37"/>
      <c r="BN723" s="65"/>
      <c r="BO723" s="137" t="s">
        <v>931</v>
      </c>
      <c r="BP723" s="138" t="s">
        <v>8</v>
      </c>
      <c r="BQ723" s="37"/>
      <c r="BR723" s="65"/>
      <c r="BS723" s="137" t="s">
        <v>931</v>
      </c>
      <c r="BT723" s="138" t="s">
        <v>8</v>
      </c>
      <c r="BU723" s="37"/>
    </row>
    <row r="724" ht="12.75" customHeight="1">
      <c r="A724" s="146"/>
      <c r="B724" s="132" t="s">
        <v>63</v>
      </c>
      <c r="C724" s="69"/>
      <c r="D724" s="134"/>
      <c r="E724" s="59"/>
      <c r="F724" s="65"/>
      <c r="G724" s="70" t="s">
        <v>932</v>
      </c>
      <c r="H724" s="95"/>
      <c r="I724" s="37"/>
      <c r="J724" s="65"/>
      <c r="K724" s="137" t="s">
        <v>932</v>
      </c>
      <c r="L724" s="138" t="s">
        <v>8</v>
      </c>
      <c r="M724" s="37"/>
      <c r="N724" s="65"/>
      <c r="O724" s="137" t="s">
        <v>932</v>
      </c>
      <c r="P724" s="138" t="s">
        <v>8</v>
      </c>
      <c r="Q724" s="37"/>
      <c r="R724" s="65"/>
      <c r="S724" s="137" t="s">
        <v>932</v>
      </c>
      <c r="T724" s="138" t="s">
        <v>8</v>
      </c>
      <c r="U724" s="37"/>
      <c r="V724" s="65"/>
      <c r="W724" s="137" t="s">
        <v>932</v>
      </c>
      <c r="X724" s="139" t="s">
        <v>63</v>
      </c>
      <c r="Y724" s="37"/>
      <c r="Z724" s="65"/>
      <c r="AA724" s="137" t="s">
        <v>932</v>
      </c>
      <c r="AB724" s="138" t="s">
        <v>8</v>
      </c>
      <c r="AC724" s="37"/>
      <c r="AD724" s="65"/>
      <c r="AE724" s="137" t="s">
        <v>932</v>
      </c>
      <c r="AF724" s="138" t="s">
        <v>8</v>
      </c>
      <c r="AG724" s="37"/>
      <c r="AH724" s="65"/>
      <c r="AI724" s="137" t="s">
        <v>932</v>
      </c>
      <c r="AJ724" s="138" t="s">
        <v>8</v>
      </c>
      <c r="AK724" s="37"/>
      <c r="AL724" s="65"/>
      <c r="AM724" s="137" t="s">
        <v>932</v>
      </c>
      <c r="AN724" s="138" t="s">
        <v>8</v>
      </c>
      <c r="AO724" s="37"/>
      <c r="AP724" s="65"/>
      <c r="AQ724" s="137" t="s">
        <v>932</v>
      </c>
      <c r="AR724" s="138" t="s">
        <v>8</v>
      </c>
      <c r="AS724" s="37"/>
      <c r="AT724" s="65"/>
      <c r="AU724" s="137" t="s">
        <v>932</v>
      </c>
      <c r="AV724" s="138" t="s">
        <v>8</v>
      </c>
      <c r="AW724" s="37"/>
      <c r="AX724" s="65"/>
      <c r="AY724" s="137" t="s">
        <v>932</v>
      </c>
      <c r="AZ724" s="139" t="s">
        <v>63</v>
      </c>
      <c r="BA724" s="37"/>
      <c r="BB724" s="65"/>
      <c r="BC724" s="137" t="s">
        <v>932</v>
      </c>
      <c r="BD724" s="138" t="s">
        <v>8</v>
      </c>
      <c r="BE724" s="37"/>
      <c r="BF724" s="65"/>
      <c r="BG724" s="137" t="s">
        <v>932</v>
      </c>
      <c r="BH724" s="138" t="s">
        <v>8</v>
      </c>
      <c r="BI724" s="37"/>
      <c r="BJ724" s="65"/>
      <c r="BK724" s="137" t="s">
        <v>932</v>
      </c>
      <c r="BL724" s="138" t="s">
        <v>8</v>
      </c>
      <c r="BM724" s="37"/>
      <c r="BN724" s="65"/>
      <c r="BO724" s="137" t="s">
        <v>932</v>
      </c>
      <c r="BP724" s="138" t="s">
        <v>8</v>
      </c>
      <c r="BQ724" s="37"/>
      <c r="BR724" s="65"/>
      <c r="BS724" s="137" t="s">
        <v>932</v>
      </c>
      <c r="BT724" s="138" t="s">
        <v>8</v>
      </c>
      <c r="BU724" s="37"/>
    </row>
    <row r="725" ht="12.75" customHeight="1">
      <c r="A725" s="146"/>
      <c r="B725" s="132" t="s">
        <v>765</v>
      </c>
      <c r="C725" s="69"/>
      <c r="D725" s="134"/>
      <c r="E725" s="59"/>
      <c r="F725" s="65"/>
      <c r="G725" s="70" t="s">
        <v>933</v>
      </c>
      <c r="H725" s="95"/>
      <c r="I725" s="37"/>
      <c r="J725" s="65"/>
      <c r="K725" s="137" t="s">
        <v>933</v>
      </c>
      <c r="L725" s="138" t="s">
        <v>8</v>
      </c>
      <c r="M725" s="37"/>
      <c r="N725" s="65"/>
      <c r="O725" s="137" t="s">
        <v>933</v>
      </c>
      <c r="P725" s="138" t="s">
        <v>8</v>
      </c>
      <c r="Q725" s="37"/>
      <c r="R725" s="65"/>
      <c r="S725" s="137" t="s">
        <v>933</v>
      </c>
      <c r="T725" s="138" t="s">
        <v>8</v>
      </c>
      <c r="U725" s="37"/>
      <c r="V725" s="65"/>
      <c r="W725" s="137" t="s">
        <v>933</v>
      </c>
      <c r="X725" s="139" t="s">
        <v>765</v>
      </c>
      <c r="Y725" s="37"/>
      <c r="Z725" s="65"/>
      <c r="AA725" s="137" t="s">
        <v>933</v>
      </c>
      <c r="AB725" s="138" t="s">
        <v>8</v>
      </c>
      <c r="AC725" s="37"/>
      <c r="AD725" s="65"/>
      <c r="AE725" s="137" t="s">
        <v>933</v>
      </c>
      <c r="AF725" s="138" t="s">
        <v>8</v>
      </c>
      <c r="AG725" s="37"/>
      <c r="AH725" s="65"/>
      <c r="AI725" s="137" t="s">
        <v>933</v>
      </c>
      <c r="AJ725" s="138" t="s">
        <v>8</v>
      </c>
      <c r="AK725" s="37"/>
      <c r="AL725" s="65"/>
      <c r="AM725" s="137" t="s">
        <v>933</v>
      </c>
      <c r="AN725" s="138" t="s">
        <v>8</v>
      </c>
      <c r="AO725" s="37"/>
      <c r="AP725" s="65"/>
      <c r="AQ725" s="137" t="s">
        <v>933</v>
      </c>
      <c r="AR725" s="138" t="s">
        <v>8</v>
      </c>
      <c r="AS725" s="37"/>
      <c r="AT725" s="65"/>
      <c r="AU725" s="137" t="s">
        <v>933</v>
      </c>
      <c r="AV725" s="138" t="s">
        <v>8</v>
      </c>
      <c r="AW725" s="37"/>
      <c r="AX725" s="65"/>
      <c r="AY725" s="137" t="s">
        <v>933</v>
      </c>
      <c r="AZ725" s="139" t="s">
        <v>765</v>
      </c>
      <c r="BA725" s="37"/>
      <c r="BB725" s="65"/>
      <c r="BC725" s="137" t="s">
        <v>933</v>
      </c>
      <c r="BD725" s="138" t="s">
        <v>8</v>
      </c>
      <c r="BE725" s="37"/>
      <c r="BF725" s="65"/>
      <c r="BG725" s="137" t="s">
        <v>933</v>
      </c>
      <c r="BH725" s="138" t="s">
        <v>8</v>
      </c>
      <c r="BI725" s="37"/>
      <c r="BJ725" s="65"/>
      <c r="BK725" s="137" t="s">
        <v>933</v>
      </c>
      <c r="BL725" s="138" t="s">
        <v>8</v>
      </c>
      <c r="BM725" s="37"/>
      <c r="BN725" s="65"/>
      <c r="BO725" s="137" t="s">
        <v>933</v>
      </c>
      <c r="BP725" s="138" t="s">
        <v>8</v>
      </c>
      <c r="BQ725" s="37"/>
      <c r="BR725" s="65"/>
      <c r="BS725" s="137" t="s">
        <v>933</v>
      </c>
      <c r="BT725" s="138" t="s">
        <v>8</v>
      </c>
      <c r="BU725" s="37"/>
    </row>
    <row r="726" ht="12.75" customHeight="1">
      <c r="A726" s="146"/>
      <c r="B726" s="132" t="s">
        <v>46</v>
      </c>
      <c r="C726" s="69"/>
      <c r="D726" s="134"/>
      <c r="E726" s="59"/>
      <c r="F726" s="65"/>
      <c r="G726" s="70" t="s">
        <v>934</v>
      </c>
      <c r="H726" s="95"/>
      <c r="I726" s="37"/>
      <c r="J726" s="65"/>
      <c r="K726" s="137" t="s">
        <v>934</v>
      </c>
      <c r="L726" s="138" t="s">
        <v>8</v>
      </c>
      <c r="M726" s="37"/>
      <c r="N726" s="65"/>
      <c r="O726" s="137" t="s">
        <v>934</v>
      </c>
      <c r="P726" s="138" t="s">
        <v>8</v>
      </c>
      <c r="Q726" s="37"/>
      <c r="R726" s="65"/>
      <c r="S726" s="137" t="s">
        <v>934</v>
      </c>
      <c r="T726" s="138" t="s">
        <v>8</v>
      </c>
      <c r="U726" s="37"/>
      <c r="V726" s="65"/>
      <c r="W726" s="137" t="s">
        <v>934</v>
      </c>
      <c r="X726" s="139" t="s">
        <v>46</v>
      </c>
      <c r="Y726" s="37"/>
      <c r="Z726" s="65"/>
      <c r="AA726" s="137" t="s">
        <v>934</v>
      </c>
      <c r="AB726" s="138" t="s">
        <v>8</v>
      </c>
      <c r="AC726" s="37"/>
      <c r="AD726" s="65"/>
      <c r="AE726" s="137" t="s">
        <v>934</v>
      </c>
      <c r="AF726" s="138" t="s">
        <v>8</v>
      </c>
      <c r="AG726" s="37"/>
      <c r="AH726" s="65"/>
      <c r="AI726" s="137" t="s">
        <v>934</v>
      </c>
      <c r="AJ726" s="138" t="s">
        <v>8</v>
      </c>
      <c r="AK726" s="37"/>
      <c r="AL726" s="65"/>
      <c r="AM726" s="137" t="s">
        <v>934</v>
      </c>
      <c r="AN726" s="138" t="s">
        <v>8</v>
      </c>
      <c r="AO726" s="37"/>
      <c r="AP726" s="65"/>
      <c r="AQ726" s="137" t="s">
        <v>934</v>
      </c>
      <c r="AR726" s="138" t="s">
        <v>8</v>
      </c>
      <c r="AS726" s="37"/>
      <c r="AT726" s="65"/>
      <c r="AU726" s="137" t="s">
        <v>934</v>
      </c>
      <c r="AV726" s="138" t="s">
        <v>8</v>
      </c>
      <c r="AW726" s="37"/>
      <c r="AX726" s="65"/>
      <c r="AY726" s="137" t="s">
        <v>934</v>
      </c>
      <c r="AZ726" s="139" t="s">
        <v>46</v>
      </c>
      <c r="BA726" s="37"/>
      <c r="BB726" s="65"/>
      <c r="BC726" s="137" t="s">
        <v>934</v>
      </c>
      <c r="BD726" s="138" t="s">
        <v>8</v>
      </c>
      <c r="BE726" s="37"/>
      <c r="BF726" s="65"/>
      <c r="BG726" s="137" t="s">
        <v>934</v>
      </c>
      <c r="BH726" s="138" t="s">
        <v>8</v>
      </c>
      <c r="BI726" s="37"/>
      <c r="BJ726" s="65"/>
      <c r="BK726" s="137" t="s">
        <v>934</v>
      </c>
      <c r="BL726" s="138" t="s">
        <v>8</v>
      </c>
      <c r="BM726" s="37"/>
      <c r="BN726" s="65"/>
      <c r="BO726" s="137" t="s">
        <v>934</v>
      </c>
      <c r="BP726" s="138" t="s">
        <v>8</v>
      </c>
      <c r="BQ726" s="37"/>
      <c r="BR726" s="65"/>
      <c r="BS726" s="137" t="s">
        <v>934</v>
      </c>
      <c r="BT726" s="138" t="s">
        <v>8</v>
      </c>
      <c r="BU726" s="37"/>
    </row>
    <row r="727" ht="12.75" customHeight="1">
      <c r="A727" s="146"/>
      <c r="B727" s="132" t="s">
        <v>120</v>
      </c>
      <c r="C727" s="69"/>
      <c r="D727" s="134"/>
      <c r="E727" s="59"/>
      <c r="F727" s="65"/>
      <c r="G727" s="70" t="s">
        <v>935</v>
      </c>
      <c r="H727" s="95"/>
      <c r="I727" s="37"/>
      <c r="J727" s="65"/>
      <c r="K727" s="137" t="s">
        <v>935</v>
      </c>
      <c r="L727" s="138" t="s">
        <v>8</v>
      </c>
      <c r="M727" s="37"/>
      <c r="N727" s="65"/>
      <c r="O727" s="137" t="s">
        <v>935</v>
      </c>
      <c r="P727" s="138" t="s">
        <v>8</v>
      </c>
      <c r="Q727" s="37"/>
      <c r="R727" s="65"/>
      <c r="S727" s="137" t="s">
        <v>935</v>
      </c>
      <c r="T727" s="138" t="s">
        <v>8</v>
      </c>
      <c r="U727" s="37"/>
      <c r="V727" s="65"/>
      <c r="W727" s="137" t="s">
        <v>935</v>
      </c>
      <c r="X727" s="139" t="s">
        <v>120</v>
      </c>
      <c r="Y727" s="37"/>
      <c r="Z727" s="65"/>
      <c r="AA727" s="137" t="s">
        <v>935</v>
      </c>
      <c r="AB727" s="138" t="s">
        <v>8</v>
      </c>
      <c r="AC727" s="37"/>
      <c r="AD727" s="65"/>
      <c r="AE727" s="137" t="s">
        <v>935</v>
      </c>
      <c r="AF727" s="138" t="s">
        <v>8</v>
      </c>
      <c r="AG727" s="37"/>
      <c r="AH727" s="65"/>
      <c r="AI727" s="137" t="s">
        <v>935</v>
      </c>
      <c r="AJ727" s="138" t="s">
        <v>8</v>
      </c>
      <c r="AK727" s="37"/>
      <c r="AL727" s="65"/>
      <c r="AM727" s="137" t="s">
        <v>935</v>
      </c>
      <c r="AN727" s="138" t="s">
        <v>8</v>
      </c>
      <c r="AO727" s="37"/>
      <c r="AP727" s="65"/>
      <c r="AQ727" s="137" t="s">
        <v>935</v>
      </c>
      <c r="AR727" s="138" t="s">
        <v>8</v>
      </c>
      <c r="AS727" s="37"/>
      <c r="AT727" s="65"/>
      <c r="AU727" s="137" t="s">
        <v>935</v>
      </c>
      <c r="AV727" s="138" t="s">
        <v>8</v>
      </c>
      <c r="AW727" s="37"/>
      <c r="AX727" s="65"/>
      <c r="AY727" s="137" t="s">
        <v>935</v>
      </c>
      <c r="AZ727" s="139" t="s">
        <v>120</v>
      </c>
      <c r="BA727" s="37"/>
      <c r="BB727" s="65"/>
      <c r="BC727" s="137" t="s">
        <v>935</v>
      </c>
      <c r="BD727" s="138" t="s">
        <v>8</v>
      </c>
      <c r="BE727" s="37"/>
      <c r="BF727" s="65"/>
      <c r="BG727" s="137" t="s">
        <v>935</v>
      </c>
      <c r="BH727" s="138" t="s">
        <v>8</v>
      </c>
      <c r="BI727" s="37"/>
      <c r="BJ727" s="65"/>
      <c r="BK727" s="137" t="s">
        <v>935</v>
      </c>
      <c r="BL727" s="138" t="s">
        <v>8</v>
      </c>
      <c r="BM727" s="37"/>
      <c r="BN727" s="65"/>
      <c r="BO727" s="137" t="s">
        <v>935</v>
      </c>
      <c r="BP727" s="138" t="s">
        <v>8</v>
      </c>
      <c r="BQ727" s="37"/>
      <c r="BR727" s="65"/>
      <c r="BS727" s="137" t="s">
        <v>935</v>
      </c>
      <c r="BT727" s="138" t="s">
        <v>8</v>
      </c>
      <c r="BU727" s="37"/>
    </row>
    <row r="728" ht="12.75" customHeight="1">
      <c r="A728" s="146"/>
      <c r="B728" s="132" t="s">
        <v>46</v>
      </c>
      <c r="C728" s="69"/>
      <c r="D728" s="134"/>
      <c r="E728" s="59"/>
      <c r="F728" s="65"/>
      <c r="G728" s="70" t="s">
        <v>936</v>
      </c>
      <c r="H728" s="95"/>
      <c r="I728" s="37"/>
      <c r="J728" s="65"/>
      <c r="K728" s="137" t="s">
        <v>936</v>
      </c>
      <c r="L728" s="138" t="s">
        <v>8</v>
      </c>
      <c r="M728" s="37"/>
      <c r="N728" s="65"/>
      <c r="O728" s="137" t="s">
        <v>936</v>
      </c>
      <c r="P728" s="138" t="s">
        <v>8</v>
      </c>
      <c r="Q728" s="37"/>
      <c r="R728" s="65"/>
      <c r="S728" s="137" t="s">
        <v>936</v>
      </c>
      <c r="T728" s="138" t="s">
        <v>8</v>
      </c>
      <c r="U728" s="37"/>
      <c r="V728" s="65"/>
      <c r="W728" s="137" t="s">
        <v>936</v>
      </c>
      <c r="X728" s="139" t="s">
        <v>46</v>
      </c>
      <c r="Y728" s="37"/>
      <c r="Z728" s="65"/>
      <c r="AA728" s="137" t="s">
        <v>936</v>
      </c>
      <c r="AB728" s="138" t="s">
        <v>8</v>
      </c>
      <c r="AC728" s="37"/>
      <c r="AD728" s="65"/>
      <c r="AE728" s="137" t="s">
        <v>936</v>
      </c>
      <c r="AF728" s="138" t="s">
        <v>8</v>
      </c>
      <c r="AG728" s="37"/>
      <c r="AH728" s="65"/>
      <c r="AI728" s="137" t="s">
        <v>936</v>
      </c>
      <c r="AJ728" s="138" t="s">
        <v>8</v>
      </c>
      <c r="AK728" s="37"/>
      <c r="AL728" s="65"/>
      <c r="AM728" s="137" t="s">
        <v>936</v>
      </c>
      <c r="AN728" s="138" t="s">
        <v>8</v>
      </c>
      <c r="AO728" s="37"/>
      <c r="AP728" s="65"/>
      <c r="AQ728" s="137" t="s">
        <v>936</v>
      </c>
      <c r="AR728" s="138" t="s">
        <v>8</v>
      </c>
      <c r="AS728" s="37"/>
      <c r="AT728" s="65"/>
      <c r="AU728" s="137" t="s">
        <v>936</v>
      </c>
      <c r="AV728" s="138" t="s">
        <v>8</v>
      </c>
      <c r="AW728" s="37"/>
      <c r="AX728" s="65"/>
      <c r="AY728" s="137" t="s">
        <v>936</v>
      </c>
      <c r="AZ728" s="139" t="s">
        <v>46</v>
      </c>
      <c r="BA728" s="37"/>
      <c r="BB728" s="65"/>
      <c r="BC728" s="137" t="s">
        <v>936</v>
      </c>
      <c r="BD728" s="138" t="s">
        <v>8</v>
      </c>
      <c r="BE728" s="37"/>
      <c r="BF728" s="65"/>
      <c r="BG728" s="137" t="s">
        <v>936</v>
      </c>
      <c r="BH728" s="138" t="s">
        <v>8</v>
      </c>
      <c r="BI728" s="37"/>
      <c r="BJ728" s="65"/>
      <c r="BK728" s="137" t="s">
        <v>936</v>
      </c>
      <c r="BL728" s="138" t="s">
        <v>8</v>
      </c>
      <c r="BM728" s="37"/>
      <c r="BN728" s="65"/>
      <c r="BO728" s="137" t="s">
        <v>936</v>
      </c>
      <c r="BP728" s="138" t="s">
        <v>8</v>
      </c>
      <c r="BQ728" s="37"/>
      <c r="BR728" s="65"/>
      <c r="BS728" s="137" t="s">
        <v>936</v>
      </c>
      <c r="BT728" s="138" t="s">
        <v>8</v>
      </c>
      <c r="BU728" s="37"/>
    </row>
    <row r="729" ht="12.75" customHeight="1">
      <c r="A729" s="146"/>
      <c r="B729" s="132" t="s">
        <v>926</v>
      </c>
      <c r="C729" s="69"/>
      <c r="D729" s="134"/>
      <c r="E729" s="59"/>
      <c r="F729" s="65"/>
      <c r="G729" s="70" t="s">
        <v>937</v>
      </c>
      <c r="H729" s="95"/>
      <c r="I729" s="37"/>
      <c r="J729" s="65"/>
      <c r="K729" s="137" t="s">
        <v>937</v>
      </c>
      <c r="L729" s="138" t="s">
        <v>8</v>
      </c>
      <c r="M729" s="37"/>
      <c r="N729" s="65"/>
      <c r="O729" s="137" t="s">
        <v>937</v>
      </c>
      <c r="P729" s="138" t="s">
        <v>8</v>
      </c>
      <c r="Q729" s="37"/>
      <c r="R729" s="65"/>
      <c r="S729" s="137" t="s">
        <v>937</v>
      </c>
      <c r="T729" s="138" t="s">
        <v>8</v>
      </c>
      <c r="U729" s="37"/>
      <c r="V729" s="65"/>
      <c r="W729" s="137" t="s">
        <v>937</v>
      </c>
      <c r="X729" s="139" t="s">
        <v>926</v>
      </c>
      <c r="Y729" s="37"/>
      <c r="Z729" s="65"/>
      <c r="AA729" s="137" t="s">
        <v>937</v>
      </c>
      <c r="AB729" s="138" t="s">
        <v>8</v>
      </c>
      <c r="AC729" s="37"/>
      <c r="AD729" s="65"/>
      <c r="AE729" s="137" t="s">
        <v>937</v>
      </c>
      <c r="AF729" s="138" t="s">
        <v>8</v>
      </c>
      <c r="AG729" s="37"/>
      <c r="AH729" s="65"/>
      <c r="AI729" s="137" t="s">
        <v>937</v>
      </c>
      <c r="AJ729" s="138" t="s">
        <v>8</v>
      </c>
      <c r="AK729" s="37"/>
      <c r="AL729" s="65"/>
      <c r="AM729" s="137" t="s">
        <v>937</v>
      </c>
      <c r="AN729" s="138" t="s">
        <v>8</v>
      </c>
      <c r="AO729" s="37"/>
      <c r="AP729" s="65"/>
      <c r="AQ729" s="137" t="s">
        <v>937</v>
      </c>
      <c r="AR729" s="138" t="s">
        <v>8</v>
      </c>
      <c r="AS729" s="37"/>
      <c r="AT729" s="65"/>
      <c r="AU729" s="137" t="s">
        <v>937</v>
      </c>
      <c r="AV729" s="138" t="s">
        <v>8</v>
      </c>
      <c r="AW729" s="37"/>
      <c r="AX729" s="65"/>
      <c r="AY729" s="137" t="s">
        <v>937</v>
      </c>
      <c r="AZ729" s="139" t="s">
        <v>926</v>
      </c>
      <c r="BA729" s="37"/>
      <c r="BB729" s="65"/>
      <c r="BC729" s="137" t="s">
        <v>937</v>
      </c>
      <c r="BD729" s="138" t="s">
        <v>8</v>
      </c>
      <c r="BE729" s="37"/>
      <c r="BF729" s="65"/>
      <c r="BG729" s="137" t="s">
        <v>937</v>
      </c>
      <c r="BH729" s="138" t="s">
        <v>8</v>
      </c>
      <c r="BI729" s="37"/>
      <c r="BJ729" s="65"/>
      <c r="BK729" s="137" t="s">
        <v>937</v>
      </c>
      <c r="BL729" s="138" t="s">
        <v>8</v>
      </c>
      <c r="BM729" s="37"/>
      <c r="BN729" s="65"/>
      <c r="BO729" s="137" t="s">
        <v>937</v>
      </c>
      <c r="BP729" s="138" t="s">
        <v>8</v>
      </c>
      <c r="BQ729" s="37"/>
      <c r="BR729" s="65"/>
      <c r="BS729" s="137" t="s">
        <v>937</v>
      </c>
      <c r="BT729" s="138" t="s">
        <v>8</v>
      </c>
      <c r="BU729" s="37"/>
    </row>
    <row r="730" ht="12.75" customHeight="1">
      <c r="A730" s="146"/>
      <c r="B730" s="132" t="s">
        <v>46</v>
      </c>
      <c r="C730" s="69"/>
      <c r="D730" s="134"/>
      <c r="E730" s="59"/>
      <c r="F730" s="65"/>
      <c r="G730" s="70" t="s">
        <v>938</v>
      </c>
      <c r="H730" s="95"/>
      <c r="I730" s="37"/>
      <c r="J730" s="65"/>
      <c r="K730" s="137" t="s">
        <v>938</v>
      </c>
      <c r="L730" s="138" t="s">
        <v>8</v>
      </c>
      <c r="M730" s="37"/>
      <c r="N730" s="65"/>
      <c r="O730" s="137" t="s">
        <v>938</v>
      </c>
      <c r="P730" s="138" t="s">
        <v>8</v>
      </c>
      <c r="Q730" s="37"/>
      <c r="R730" s="65"/>
      <c r="S730" s="137" t="s">
        <v>938</v>
      </c>
      <c r="T730" s="138" t="s">
        <v>8</v>
      </c>
      <c r="U730" s="37"/>
      <c r="V730" s="65"/>
      <c r="W730" s="137" t="s">
        <v>938</v>
      </c>
      <c r="X730" s="139" t="s">
        <v>46</v>
      </c>
      <c r="Y730" s="37"/>
      <c r="Z730" s="65"/>
      <c r="AA730" s="137" t="s">
        <v>938</v>
      </c>
      <c r="AB730" s="138" t="s">
        <v>8</v>
      </c>
      <c r="AC730" s="37"/>
      <c r="AD730" s="65"/>
      <c r="AE730" s="137" t="s">
        <v>938</v>
      </c>
      <c r="AF730" s="138" t="s">
        <v>8</v>
      </c>
      <c r="AG730" s="37"/>
      <c r="AH730" s="65"/>
      <c r="AI730" s="137" t="s">
        <v>938</v>
      </c>
      <c r="AJ730" s="138" t="s">
        <v>8</v>
      </c>
      <c r="AK730" s="37"/>
      <c r="AL730" s="65"/>
      <c r="AM730" s="137" t="s">
        <v>938</v>
      </c>
      <c r="AN730" s="138" t="s">
        <v>8</v>
      </c>
      <c r="AO730" s="37"/>
      <c r="AP730" s="65"/>
      <c r="AQ730" s="137" t="s">
        <v>938</v>
      </c>
      <c r="AR730" s="138" t="s">
        <v>8</v>
      </c>
      <c r="AS730" s="37"/>
      <c r="AT730" s="65"/>
      <c r="AU730" s="137" t="s">
        <v>938</v>
      </c>
      <c r="AV730" s="138" t="s">
        <v>8</v>
      </c>
      <c r="AW730" s="37"/>
      <c r="AX730" s="65"/>
      <c r="AY730" s="137" t="s">
        <v>938</v>
      </c>
      <c r="AZ730" s="139" t="s">
        <v>46</v>
      </c>
      <c r="BA730" s="37"/>
      <c r="BB730" s="65"/>
      <c r="BC730" s="137" t="s">
        <v>938</v>
      </c>
      <c r="BD730" s="138" t="s">
        <v>8</v>
      </c>
      <c r="BE730" s="37"/>
      <c r="BF730" s="65"/>
      <c r="BG730" s="137" t="s">
        <v>938</v>
      </c>
      <c r="BH730" s="138" t="s">
        <v>8</v>
      </c>
      <c r="BI730" s="37"/>
      <c r="BJ730" s="65"/>
      <c r="BK730" s="137" t="s">
        <v>938</v>
      </c>
      <c r="BL730" s="138" t="s">
        <v>8</v>
      </c>
      <c r="BM730" s="37"/>
      <c r="BN730" s="65"/>
      <c r="BO730" s="137" t="s">
        <v>938</v>
      </c>
      <c r="BP730" s="138" t="s">
        <v>8</v>
      </c>
      <c r="BQ730" s="37"/>
      <c r="BR730" s="65"/>
      <c r="BS730" s="137" t="s">
        <v>938</v>
      </c>
      <c r="BT730" s="138" t="s">
        <v>8</v>
      </c>
      <c r="BU730" s="37"/>
    </row>
    <row r="731" ht="12.75" customHeight="1">
      <c r="A731" s="146"/>
      <c r="B731" s="132" t="s">
        <v>155</v>
      </c>
      <c r="C731" s="69"/>
      <c r="D731" s="134"/>
      <c r="E731" s="59"/>
      <c r="F731" s="65"/>
      <c r="G731" s="70" t="s">
        <v>939</v>
      </c>
      <c r="H731" s="95"/>
      <c r="I731" s="37"/>
      <c r="J731" s="65"/>
      <c r="K731" s="137" t="s">
        <v>939</v>
      </c>
      <c r="L731" s="138" t="s">
        <v>8</v>
      </c>
      <c r="M731" s="37"/>
      <c r="N731" s="65"/>
      <c r="O731" s="137" t="s">
        <v>939</v>
      </c>
      <c r="P731" s="138" t="s">
        <v>8</v>
      </c>
      <c r="Q731" s="37"/>
      <c r="R731" s="65"/>
      <c r="S731" s="137" t="s">
        <v>939</v>
      </c>
      <c r="T731" s="138" t="s">
        <v>8</v>
      </c>
      <c r="U731" s="37"/>
      <c r="V731" s="65"/>
      <c r="W731" s="137" t="s">
        <v>939</v>
      </c>
      <c r="X731" s="139" t="s">
        <v>155</v>
      </c>
      <c r="Y731" s="37"/>
      <c r="Z731" s="65"/>
      <c r="AA731" s="137" t="s">
        <v>939</v>
      </c>
      <c r="AB731" s="138" t="s">
        <v>8</v>
      </c>
      <c r="AC731" s="37"/>
      <c r="AD731" s="65"/>
      <c r="AE731" s="137" t="s">
        <v>939</v>
      </c>
      <c r="AF731" s="138" t="s">
        <v>8</v>
      </c>
      <c r="AG731" s="37"/>
      <c r="AH731" s="65"/>
      <c r="AI731" s="137" t="s">
        <v>939</v>
      </c>
      <c r="AJ731" s="138" t="s">
        <v>8</v>
      </c>
      <c r="AK731" s="37"/>
      <c r="AL731" s="65"/>
      <c r="AM731" s="137" t="s">
        <v>939</v>
      </c>
      <c r="AN731" s="138" t="s">
        <v>8</v>
      </c>
      <c r="AO731" s="37"/>
      <c r="AP731" s="65"/>
      <c r="AQ731" s="137" t="s">
        <v>939</v>
      </c>
      <c r="AR731" s="138" t="s">
        <v>8</v>
      </c>
      <c r="AS731" s="37"/>
      <c r="AT731" s="65"/>
      <c r="AU731" s="137" t="s">
        <v>939</v>
      </c>
      <c r="AV731" s="138" t="s">
        <v>8</v>
      </c>
      <c r="AW731" s="37"/>
      <c r="AX731" s="65"/>
      <c r="AY731" s="137" t="s">
        <v>939</v>
      </c>
      <c r="AZ731" s="139" t="s">
        <v>155</v>
      </c>
      <c r="BA731" s="37"/>
      <c r="BB731" s="65"/>
      <c r="BC731" s="137" t="s">
        <v>939</v>
      </c>
      <c r="BD731" s="138" t="s">
        <v>8</v>
      </c>
      <c r="BE731" s="37"/>
      <c r="BF731" s="65"/>
      <c r="BG731" s="137" t="s">
        <v>939</v>
      </c>
      <c r="BH731" s="138" t="s">
        <v>8</v>
      </c>
      <c r="BI731" s="37"/>
      <c r="BJ731" s="65"/>
      <c r="BK731" s="137" t="s">
        <v>939</v>
      </c>
      <c r="BL731" s="138" t="s">
        <v>8</v>
      </c>
      <c r="BM731" s="37"/>
      <c r="BN731" s="65"/>
      <c r="BO731" s="137" t="s">
        <v>939</v>
      </c>
      <c r="BP731" s="138" t="s">
        <v>8</v>
      </c>
      <c r="BQ731" s="37"/>
      <c r="BR731" s="65"/>
      <c r="BS731" s="137" t="s">
        <v>939</v>
      </c>
      <c r="BT731" s="138" t="s">
        <v>8</v>
      </c>
      <c r="BU731" s="37"/>
    </row>
    <row r="732" ht="12.75" customHeight="1">
      <c r="A732" s="146"/>
      <c r="B732" s="132" t="s">
        <v>46</v>
      </c>
      <c r="C732" s="69"/>
      <c r="D732" s="134"/>
      <c r="E732" s="59"/>
      <c r="F732" s="65"/>
      <c r="G732" s="70" t="s">
        <v>940</v>
      </c>
      <c r="H732" s="95"/>
      <c r="I732" s="37"/>
      <c r="J732" s="65"/>
      <c r="K732" s="137" t="s">
        <v>940</v>
      </c>
      <c r="L732" s="138" t="s">
        <v>8</v>
      </c>
      <c r="M732" s="37"/>
      <c r="N732" s="65"/>
      <c r="O732" s="137" t="s">
        <v>940</v>
      </c>
      <c r="P732" s="138" t="s">
        <v>8</v>
      </c>
      <c r="Q732" s="37"/>
      <c r="R732" s="65"/>
      <c r="S732" s="137" t="s">
        <v>940</v>
      </c>
      <c r="T732" s="138" t="s">
        <v>8</v>
      </c>
      <c r="U732" s="37"/>
      <c r="V732" s="65"/>
      <c r="W732" s="137" t="s">
        <v>940</v>
      </c>
      <c r="X732" s="139" t="s">
        <v>46</v>
      </c>
      <c r="Y732" s="37"/>
      <c r="Z732" s="65"/>
      <c r="AA732" s="137" t="s">
        <v>940</v>
      </c>
      <c r="AB732" s="138" t="s">
        <v>8</v>
      </c>
      <c r="AC732" s="37"/>
      <c r="AD732" s="65"/>
      <c r="AE732" s="137" t="s">
        <v>940</v>
      </c>
      <c r="AF732" s="138" t="s">
        <v>8</v>
      </c>
      <c r="AG732" s="37"/>
      <c r="AH732" s="65"/>
      <c r="AI732" s="137" t="s">
        <v>940</v>
      </c>
      <c r="AJ732" s="138" t="s">
        <v>8</v>
      </c>
      <c r="AK732" s="37"/>
      <c r="AL732" s="65"/>
      <c r="AM732" s="137" t="s">
        <v>940</v>
      </c>
      <c r="AN732" s="138" t="s">
        <v>8</v>
      </c>
      <c r="AO732" s="37"/>
      <c r="AP732" s="65"/>
      <c r="AQ732" s="137" t="s">
        <v>940</v>
      </c>
      <c r="AR732" s="138" t="s">
        <v>8</v>
      </c>
      <c r="AS732" s="37"/>
      <c r="AT732" s="65"/>
      <c r="AU732" s="137" t="s">
        <v>940</v>
      </c>
      <c r="AV732" s="138" t="s">
        <v>8</v>
      </c>
      <c r="AW732" s="37"/>
      <c r="AX732" s="65"/>
      <c r="AY732" s="137" t="s">
        <v>940</v>
      </c>
      <c r="AZ732" s="139" t="s">
        <v>46</v>
      </c>
      <c r="BA732" s="37"/>
      <c r="BB732" s="65"/>
      <c r="BC732" s="137" t="s">
        <v>940</v>
      </c>
      <c r="BD732" s="138" t="s">
        <v>8</v>
      </c>
      <c r="BE732" s="37"/>
      <c r="BF732" s="65"/>
      <c r="BG732" s="137" t="s">
        <v>940</v>
      </c>
      <c r="BH732" s="138" t="s">
        <v>8</v>
      </c>
      <c r="BI732" s="37"/>
      <c r="BJ732" s="65"/>
      <c r="BK732" s="137" t="s">
        <v>940</v>
      </c>
      <c r="BL732" s="138" t="s">
        <v>8</v>
      </c>
      <c r="BM732" s="37"/>
      <c r="BN732" s="65"/>
      <c r="BO732" s="137" t="s">
        <v>940</v>
      </c>
      <c r="BP732" s="138" t="s">
        <v>8</v>
      </c>
      <c r="BQ732" s="37"/>
      <c r="BR732" s="65"/>
      <c r="BS732" s="137" t="s">
        <v>940</v>
      </c>
      <c r="BT732" s="138" t="s">
        <v>8</v>
      </c>
      <c r="BU732" s="37"/>
    </row>
    <row r="733" ht="12.75" customHeight="1">
      <c r="A733" s="146"/>
      <c r="B733" s="132" t="s">
        <v>86</v>
      </c>
      <c r="C733" s="69"/>
      <c r="D733" s="134"/>
      <c r="E733" s="59"/>
      <c r="F733" s="65"/>
      <c r="G733" s="70" t="s">
        <v>941</v>
      </c>
      <c r="H733" s="95"/>
      <c r="I733" s="37"/>
      <c r="J733" s="65"/>
      <c r="K733" s="137" t="s">
        <v>941</v>
      </c>
      <c r="L733" s="138" t="s">
        <v>8</v>
      </c>
      <c r="M733" s="37"/>
      <c r="N733" s="65"/>
      <c r="O733" s="137" t="s">
        <v>941</v>
      </c>
      <c r="P733" s="138" t="s">
        <v>8</v>
      </c>
      <c r="Q733" s="37"/>
      <c r="R733" s="65"/>
      <c r="S733" s="137" t="s">
        <v>941</v>
      </c>
      <c r="T733" s="138" t="s">
        <v>8</v>
      </c>
      <c r="U733" s="37"/>
      <c r="V733" s="65"/>
      <c r="W733" s="137" t="s">
        <v>941</v>
      </c>
      <c r="X733" s="139" t="s">
        <v>86</v>
      </c>
      <c r="Y733" s="37"/>
      <c r="Z733" s="65"/>
      <c r="AA733" s="137" t="s">
        <v>941</v>
      </c>
      <c r="AB733" s="138" t="s">
        <v>8</v>
      </c>
      <c r="AC733" s="37"/>
      <c r="AD733" s="65"/>
      <c r="AE733" s="137" t="s">
        <v>941</v>
      </c>
      <c r="AF733" s="138" t="s">
        <v>8</v>
      </c>
      <c r="AG733" s="37"/>
      <c r="AH733" s="65"/>
      <c r="AI733" s="137" t="s">
        <v>941</v>
      </c>
      <c r="AJ733" s="138" t="s">
        <v>8</v>
      </c>
      <c r="AK733" s="37"/>
      <c r="AL733" s="65"/>
      <c r="AM733" s="137" t="s">
        <v>941</v>
      </c>
      <c r="AN733" s="138" t="s">
        <v>8</v>
      </c>
      <c r="AO733" s="37"/>
      <c r="AP733" s="65"/>
      <c r="AQ733" s="137" t="s">
        <v>941</v>
      </c>
      <c r="AR733" s="138" t="s">
        <v>8</v>
      </c>
      <c r="AS733" s="37"/>
      <c r="AT733" s="65"/>
      <c r="AU733" s="137" t="s">
        <v>941</v>
      </c>
      <c r="AV733" s="138" t="s">
        <v>8</v>
      </c>
      <c r="AW733" s="37"/>
      <c r="AX733" s="65"/>
      <c r="AY733" s="137" t="s">
        <v>941</v>
      </c>
      <c r="AZ733" s="139" t="s">
        <v>86</v>
      </c>
      <c r="BA733" s="37"/>
      <c r="BB733" s="65"/>
      <c r="BC733" s="137" t="s">
        <v>941</v>
      </c>
      <c r="BD733" s="138" t="s">
        <v>8</v>
      </c>
      <c r="BE733" s="37"/>
      <c r="BF733" s="65"/>
      <c r="BG733" s="137" t="s">
        <v>941</v>
      </c>
      <c r="BH733" s="138" t="s">
        <v>8</v>
      </c>
      <c r="BI733" s="37"/>
      <c r="BJ733" s="65"/>
      <c r="BK733" s="137" t="s">
        <v>941</v>
      </c>
      <c r="BL733" s="138" t="s">
        <v>8</v>
      </c>
      <c r="BM733" s="37"/>
      <c r="BN733" s="65"/>
      <c r="BO733" s="137" t="s">
        <v>941</v>
      </c>
      <c r="BP733" s="138" t="s">
        <v>8</v>
      </c>
      <c r="BQ733" s="37"/>
      <c r="BR733" s="65"/>
      <c r="BS733" s="137" t="s">
        <v>941</v>
      </c>
      <c r="BT733" s="138" t="s">
        <v>8</v>
      </c>
      <c r="BU733" s="37"/>
    </row>
    <row r="734" ht="12.75" customHeight="1">
      <c r="A734" s="146"/>
      <c r="B734" s="132" t="s">
        <v>46</v>
      </c>
      <c r="C734" s="69"/>
      <c r="D734" s="134"/>
      <c r="E734" s="59"/>
      <c r="F734" s="65"/>
      <c r="G734" s="70" t="s">
        <v>942</v>
      </c>
      <c r="H734" s="95"/>
      <c r="I734" s="37"/>
      <c r="J734" s="65"/>
      <c r="K734" s="137" t="s">
        <v>942</v>
      </c>
      <c r="L734" s="138" t="s">
        <v>8</v>
      </c>
      <c r="M734" s="37"/>
      <c r="N734" s="65"/>
      <c r="O734" s="137" t="s">
        <v>942</v>
      </c>
      <c r="P734" s="138" t="s">
        <v>8</v>
      </c>
      <c r="Q734" s="37"/>
      <c r="R734" s="65"/>
      <c r="S734" s="137" t="s">
        <v>942</v>
      </c>
      <c r="T734" s="138" t="s">
        <v>8</v>
      </c>
      <c r="U734" s="37"/>
      <c r="V734" s="65"/>
      <c r="W734" s="137" t="s">
        <v>942</v>
      </c>
      <c r="X734" s="139" t="s">
        <v>46</v>
      </c>
      <c r="Y734" s="37"/>
      <c r="Z734" s="65"/>
      <c r="AA734" s="137" t="s">
        <v>942</v>
      </c>
      <c r="AB734" s="138" t="s">
        <v>8</v>
      </c>
      <c r="AC734" s="37"/>
      <c r="AD734" s="65"/>
      <c r="AE734" s="137" t="s">
        <v>942</v>
      </c>
      <c r="AF734" s="138" t="s">
        <v>8</v>
      </c>
      <c r="AG734" s="37"/>
      <c r="AH734" s="65"/>
      <c r="AI734" s="137" t="s">
        <v>942</v>
      </c>
      <c r="AJ734" s="138" t="s">
        <v>8</v>
      </c>
      <c r="AK734" s="37"/>
      <c r="AL734" s="65"/>
      <c r="AM734" s="137" t="s">
        <v>942</v>
      </c>
      <c r="AN734" s="138" t="s">
        <v>8</v>
      </c>
      <c r="AO734" s="37"/>
      <c r="AP734" s="65"/>
      <c r="AQ734" s="137" t="s">
        <v>942</v>
      </c>
      <c r="AR734" s="138" t="s">
        <v>8</v>
      </c>
      <c r="AS734" s="37"/>
      <c r="AT734" s="65"/>
      <c r="AU734" s="137" t="s">
        <v>942</v>
      </c>
      <c r="AV734" s="138" t="s">
        <v>8</v>
      </c>
      <c r="AW734" s="37"/>
      <c r="AX734" s="65"/>
      <c r="AY734" s="137" t="s">
        <v>942</v>
      </c>
      <c r="AZ734" s="139" t="s">
        <v>46</v>
      </c>
      <c r="BA734" s="37"/>
      <c r="BB734" s="65"/>
      <c r="BC734" s="137" t="s">
        <v>942</v>
      </c>
      <c r="BD734" s="138" t="s">
        <v>8</v>
      </c>
      <c r="BE734" s="37"/>
      <c r="BF734" s="65"/>
      <c r="BG734" s="137" t="s">
        <v>942</v>
      </c>
      <c r="BH734" s="138" t="s">
        <v>8</v>
      </c>
      <c r="BI734" s="37"/>
      <c r="BJ734" s="65"/>
      <c r="BK734" s="137" t="s">
        <v>942</v>
      </c>
      <c r="BL734" s="138" t="s">
        <v>8</v>
      </c>
      <c r="BM734" s="37"/>
      <c r="BN734" s="65"/>
      <c r="BO734" s="137" t="s">
        <v>942</v>
      </c>
      <c r="BP734" s="138" t="s">
        <v>8</v>
      </c>
      <c r="BQ734" s="37"/>
      <c r="BR734" s="65"/>
      <c r="BS734" s="137" t="s">
        <v>942</v>
      </c>
      <c r="BT734" s="138" t="s">
        <v>8</v>
      </c>
      <c r="BU734" s="37"/>
    </row>
    <row r="735" ht="12.75" customHeight="1">
      <c r="A735" s="146"/>
      <c r="B735" s="132" t="s">
        <v>120</v>
      </c>
      <c r="C735" s="69"/>
      <c r="D735" s="134"/>
      <c r="E735" s="59"/>
      <c r="F735" s="65"/>
      <c r="G735" s="70" t="s">
        <v>943</v>
      </c>
      <c r="H735" s="95"/>
      <c r="I735" s="37"/>
      <c r="J735" s="65"/>
      <c r="K735" s="137" t="s">
        <v>943</v>
      </c>
      <c r="L735" s="138" t="s">
        <v>8</v>
      </c>
      <c r="M735" s="37"/>
      <c r="N735" s="65"/>
      <c r="O735" s="137" t="s">
        <v>943</v>
      </c>
      <c r="P735" s="138" t="s">
        <v>8</v>
      </c>
      <c r="Q735" s="37"/>
      <c r="R735" s="65"/>
      <c r="S735" s="137" t="s">
        <v>943</v>
      </c>
      <c r="T735" s="138" t="s">
        <v>8</v>
      </c>
      <c r="U735" s="37"/>
      <c r="V735" s="65"/>
      <c r="W735" s="137" t="s">
        <v>943</v>
      </c>
      <c r="X735" s="139" t="s">
        <v>120</v>
      </c>
      <c r="Y735" s="37"/>
      <c r="Z735" s="65"/>
      <c r="AA735" s="137" t="s">
        <v>943</v>
      </c>
      <c r="AB735" s="138" t="s">
        <v>8</v>
      </c>
      <c r="AC735" s="37"/>
      <c r="AD735" s="65"/>
      <c r="AE735" s="137" t="s">
        <v>943</v>
      </c>
      <c r="AF735" s="138" t="s">
        <v>8</v>
      </c>
      <c r="AG735" s="37"/>
      <c r="AH735" s="65"/>
      <c r="AI735" s="137" t="s">
        <v>943</v>
      </c>
      <c r="AJ735" s="138" t="s">
        <v>8</v>
      </c>
      <c r="AK735" s="37"/>
      <c r="AL735" s="65"/>
      <c r="AM735" s="137" t="s">
        <v>943</v>
      </c>
      <c r="AN735" s="138" t="s">
        <v>8</v>
      </c>
      <c r="AO735" s="37"/>
      <c r="AP735" s="65"/>
      <c r="AQ735" s="137" t="s">
        <v>943</v>
      </c>
      <c r="AR735" s="138" t="s">
        <v>8</v>
      </c>
      <c r="AS735" s="37"/>
      <c r="AT735" s="65"/>
      <c r="AU735" s="137" t="s">
        <v>943</v>
      </c>
      <c r="AV735" s="138" t="s">
        <v>8</v>
      </c>
      <c r="AW735" s="37"/>
      <c r="AX735" s="65"/>
      <c r="AY735" s="137" t="s">
        <v>943</v>
      </c>
      <c r="AZ735" s="139" t="s">
        <v>120</v>
      </c>
      <c r="BA735" s="37"/>
      <c r="BB735" s="65"/>
      <c r="BC735" s="137" t="s">
        <v>943</v>
      </c>
      <c r="BD735" s="138" t="s">
        <v>8</v>
      </c>
      <c r="BE735" s="37"/>
      <c r="BF735" s="65"/>
      <c r="BG735" s="137" t="s">
        <v>943</v>
      </c>
      <c r="BH735" s="138" t="s">
        <v>8</v>
      </c>
      <c r="BI735" s="37"/>
      <c r="BJ735" s="65"/>
      <c r="BK735" s="137" t="s">
        <v>943</v>
      </c>
      <c r="BL735" s="138" t="s">
        <v>8</v>
      </c>
      <c r="BM735" s="37"/>
      <c r="BN735" s="65"/>
      <c r="BO735" s="137" t="s">
        <v>943</v>
      </c>
      <c r="BP735" s="138" t="s">
        <v>8</v>
      </c>
      <c r="BQ735" s="37"/>
      <c r="BR735" s="65"/>
      <c r="BS735" s="137" t="s">
        <v>943</v>
      </c>
      <c r="BT735" s="138" t="s">
        <v>8</v>
      </c>
      <c r="BU735" s="37"/>
    </row>
    <row r="736" ht="12.75" customHeight="1">
      <c r="A736" s="146"/>
      <c r="B736" s="132" t="s">
        <v>46</v>
      </c>
      <c r="C736" s="69"/>
      <c r="D736" s="134"/>
      <c r="E736" s="59"/>
      <c r="F736" s="65"/>
      <c r="G736" s="70" t="s">
        <v>944</v>
      </c>
      <c r="H736" s="95"/>
      <c r="I736" s="37"/>
      <c r="J736" s="65"/>
      <c r="K736" s="137" t="s">
        <v>944</v>
      </c>
      <c r="L736" s="138" t="s">
        <v>8</v>
      </c>
      <c r="M736" s="37"/>
      <c r="N736" s="65"/>
      <c r="O736" s="137" t="s">
        <v>944</v>
      </c>
      <c r="P736" s="138" t="s">
        <v>8</v>
      </c>
      <c r="Q736" s="37"/>
      <c r="R736" s="65"/>
      <c r="S736" s="137" t="s">
        <v>944</v>
      </c>
      <c r="T736" s="138" t="s">
        <v>8</v>
      </c>
      <c r="U736" s="37"/>
      <c r="V736" s="65"/>
      <c r="W736" s="137" t="s">
        <v>944</v>
      </c>
      <c r="X736" s="139" t="s">
        <v>46</v>
      </c>
      <c r="Y736" s="37"/>
      <c r="Z736" s="65"/>
      <c r="AA736" s="137" t="s">
        <v>944</v>
      </c>
      <c r="AB736" s="138" t="s">
        <v>8</v>
      </c>
      <c r="AC736" s="37"/>
      <c r="AD736" s="65"/>
      <c r="AE736" s="137" t="s">
        <v>944</v>
      </c>
      <c r="AF736" s="138" t="s">
        <v>8</v>
      </c>
      <c r="AG736" s="37"/>
      <c r="AH736" s="65"/>
      <c r="AI736" s="137" t="s">
        <v>944</v>
      </c>
      <c r="AJ736" s="138" t="s">
        <v>8</v>
      </c>
      <c r="AK736" s="37"/>
      <c r="AL736" s="65"/>
      <c r="AM736" s="137" t="s">
        <v>944</v>
      </c>
      <c r="AN736" s="138" t="s">
        <v>8</v>
      </c>
      <c r="AO736" s="37"/>
      <c r="AP736" s="65"/>
      <c r="AQ736" s="137" t="s">
        <v>944</v>
      </c>
      <c r="AR736" s="138" t="s">
        <v>8</v>
      </c>
      <c r="AS736" s="37"/>
      <c r="AT736" s="65"/>
      <c r="AU736" s="137" t="s">
        <v>944</v>
      </c>
      <c r="AV736" s="138" t="s">
        <v>8</v>
      </c>
      <c r="AW736" s="37"/>
      <c r="AX736" s="65"/>
      <c r="AY736" s="137" t="s">
        <v>944</v>
      </c>
      <c r="AZ736" s="139" t="s">
        <v>46</v>
      </c>
      <c r="BA736" s="37"/>
      <c r="BB736" s="65"/>
      <c r="BC736" s="137" t="s">
        <v>944</v>
      </c>
      <c r="BD736" s="138" t="s">
        <v>8</v>
      </c>
      <c r="BE736" s="37"/>
      <c r="BF736" s="65"/>
      <c r="BG736" s="137" t="s">
        <v>944</v>
      </c>
      <c r="BH736" s="138" t="s">
        <v>8</v>
      </c>
      <c r="BI736" s="37"/>
      <c r="BJ736" s="65"/>
      <c r="BK736" s="137" t="s">
        <v>944</v>
      </c>
      <c r="BL736" s="138" t="s">
        <v>8</v>
      </c>
      <c r="BM736" s="37"/>
      <c r="BN736" s="65"/>
      <c r="BO736" s="137" t="s">
        <v>944</v>
      </c>
      <c r="BP736" s="138" t="s">
        <v>8</v>
      </c>
      <c r="BQ736" s="37"/>
      <c r="BR736" s="65"/>
      <c r="BS736" s="137" t="s">
        <v>944</v>
      </c>
      <c r="BT736" s="138" t="s">
        <v>8</v>
      </c>
      <c r="BU736" s="37"/>
    </row>
    <row r="737" ht="12.75" customHeight="1">
      <c r="A737" s="146"/>
      <c r="B737" s="132" t="s">
        <v>155</v>
      </c>
      <c r="C737" s="69"/>
      <c r="D737" s="134"/>
      <c r="E737" s="59"/>
      <c r="F737" s="65"/>
      <c r="G737" s="70" t="s">
        <v>945</v>
      </c>
      <c r="H737" s="95"/>
      <c r="I737" s="37"/>
      <c r="J737" s="65"/>
      <c r="K737" s="137" t="s">
        <v>945</v>
      </c>
      <c r="L737" s="138" t="s">
        <v>8</v>
      </c>
      <c r="M737" s="37"/>
      <c r="N737" s="65"/>
      <c r="O737" s="137" t="s">
        <v>945</v>
      </c>
      <c r="P737" s="138" t="s">
        <v>8</v>
      </c>
      <c r="Q737" s="37"/>
      <c r="R737" s="65"/>
      <c r="S737" s="137" t="s">
        <v>945</v>
      </c>
      <c r="T737" s="138" t="s">
        <v>8</v>
      </c>
      <c r="U737" s="37"/>
      <c r="V737" s="65"/>
      <c r="W737" s="137" t="s">
        <v>945</v>
      </c>
      <c r="X737" s="139" t="s">
        <v>155</v>
      </c>
      <c r="Y737" s="37"/>
      <c r="Z737" s="65"/>
      <c r="AA737" s="137" t="s">
        <v>945</v>
      </c>
      <c r="AB737" s="138" t="s">
        <v>8</v>
      </c>
      <c r="AC737" s="37"/>
      <c r="AD737" s="65"/>
      <c r="AE737" s="137" t="s">
        <v>945</v>
      </c>
      <c r="AF737" s="138" t="s">
        <v>8</v>
      </c>
      <c r="AG737" s="37"/>
      <c r="AH737" s="65"/>
      <c r="AI737" s="137" t="s">
        <v>945</v>
      </c>
      <c r="AJ737" s="138" t="s">
        <v>8</v>
      </c>
      <c r="AK737" s="37"/>
      <c r="AL737" s="65"/>
      <c r="AM737" s="137" t="s">
        <v>945</v>
      </c>
      <c r="AN737" s="138" t="s">
        <v>8</v>
      </c>
      <c r="AO737" s="37"/>
      <c r="AP737" s="65"/>
      <c r="AQ737" s="137" t="s">
        <v>945</v>
      </c>
      <c r="AR737" s="138" t="s">
        <v>8</v>
      </c>
      <c r="AS737" s="37"/>
      <c r="AT737" s="65"/>
      <c r="AU737" s="137" t="s">
        <v>945</v>
      </c>
      <c r="AV737" s="138" t="s">
        <v>8</v>
      </c>
      <c r="AW737" s="37"/>
      <c r="AX737" s="65"/>
      <c r="AY737" s="137" t="s">
        <v>945</v>
      </c>
      <c r="AZ737" s="139" t="s">
        <v>155</v>
      </c>
      <c r="BA737" s="37"/>
      <c r="BB737" s="65"/>
      <c r="BC737" s="137" t="s">
        <v>945</v>
      </c>
      <c r="BD737" s="138" t="s">
        <v>8</v>
      </c>
      <c r="BE737" s="37"/>
      <c r="BF737" s="65"/>
      <c r="BG737" s="137" t="s">
        <v>945</v>
      </c>
      <c r="BH737" s="138" t="s">
        <v>8</v>
      </c>
      <c r="BI737" s="37"/>
      <c r="BJ737" s="65"/>
      <c r="BK737" s="137" t="s">
        <v>945</v>
      </c>
      <c r="BL737" s="138" t="s">
        <v>8</v>
      </c>
      <c r="BM737" s="37"/>
      <c r="BN737" s="65"/>
      <c r="BO737" s="137" t="s">
        <v>945</v>
      </c>
      <c r="BP737" s="138" t="s">
        <v>8</v>
      </c>
      <c r="BQ737" s="37"/>
      <c r="BR737" s="65"/>
      <c r="BS737" s="137" t="s">
        <v>945</v>
      </c>
      <c r="BT737" s="138" t="s">
        <v>8</v>
      </c>
      <c r="BU737" s="37"/>
    </row>
    <row r="738" ht="12.75" customHeight="1">
      <c r="A738" s="146"/>
      <c r="B738" s="132" t="s">
        <v>46</v>
      </c>
      <c r="C738" s="69"/>
      <c r="D738" s="134"/>
      <c r="E738" s="59"/>
      <c r="F738" s="65"/>
      <c r="G738" s="70" t="s">
        <v>946</v>
      </c>
      <c r="H738" s="95"/>
      <c r="I738" s="37"/>
      <c r="J738" s="65"/>
      <c r="K738" s="137" t="s">
        <v>946</v>
      </c>
      <c r="L738" s="138" t="s">
        <v>8</v>
      </c>
      <c r="M738" s="37"/>
      <c r="N738" s="65"/>
      <c r="O738" s="137" t="s">
        <v>946</v>
      </c>
      <c r="P738" s="138" t="s">
        <v>8</v>
      </c>
      <c r="Q738" s="37"/>
      <c r="R738" s="65"/>
      <c r="S738" s="137" t="s">
        <v>946</v>
      </c>
      <c r="T738" s="138" t="s">
        <v>8</v>
      </c>
      <c r="U738" s="37"/>
      <c r="V738" s="65"/>
      <c r="W738" s="137" t="s">
        <v>946</v>
      </c>
      <c r="X738" s="139" t="s">
        <v>46</v>
      </c>
      <c r="Y738" s="37"/>
      <c r="Z738" s="65"/>
      <c r="AA738" s="137" t="s">
        <v>946</v>
      </c>
      <c r="AB738" s="138" t="s">
        <v>8</v>
      </c>
      <c r="AC738" s="37"/>
      <c r="AD738" s="65"/>
      <c r="AE738" s="137" t="s">
        <v>946</v>
      </c>
      <c r="AF738" s="138" t="s">
        <v>8</v>
      </c>
      <c r="AG738" s="37"/>
      <c r="AH738" s="65"/>
      <c r="AI738" s="137" t="s">
        <v>946</v>
      </c>
      <c r="AJ738" s="138" t="s">
        <v>8</v>
      </c>
      <c r="AK738" s="37"/>
      <c r="AL738" s="65"/>
      <c r="AM738" s="137" t="s">
        <v>946</v>
      </c>
      <c r="AN738" s="138" t="s">
        <v>8</v>
      </c>
      <c r="AO738" s="37"/>
      <c r="AP738" s="65"/>
      <c r="AQ738" s="137" t="s">
        <v>946</v>
      </c>
      <c r="AR738" s="138" t="s">
        <v>8</v>
      </c>
      <c r="AS738" s="37"/>
      <c r="AT738" s="65"/>
      <c r="AU738" s="137" t="s">
        <v>946</v>
      </c>
      <c r="AV738" s="138" t="s">
        <v>8</v>
      </c>
      <c r="AW738" s="37"/>
      <c r="AX738" s="65"/>
      <c r="AY738" s="137" t="s">
        <v>946</v>
      </c>
      <c r="AZ738" s="139" t="s">
        <v>46</v>
      </c>
      <c r="BA738" s="37"/>
      <c r="BB738" s="65"/>
      <c r="BC738" s="137" t="s">
        <v>946</v>
      </c>
      <c r="BD738" s="138" t="s">
        <v>8</v>
      </c>
      <c r="BE738" s="37"/>
      <c r="BF738" s="65"/>
      <c r="BG738" s="137" t="s">
        <v>946</v>
      </c>
      <c r="BH738" s="138" t="s">
        <v>8</v>
      </c>
      <c r="BI738" s="37"/>
      <c r="BJ738" s="65"/>
      <c r="BK738" s="137" t="s">
        <v>946</v>
      </c>
      <c r="BL738" s="138" t="s">
        <v>8</v>
      </c>
      <c r="BM738" s="37"/>
      <c r="BN738" s="65"/>
      <c r="BO738" s="137" t="s">
        <v>946</v>
      </c>
      <c r="BP738" s="138" t="s">
        <v>8</v>
      </c>
      <c r="BQ738" s="37"/>
      <c r="BR738" s="65"/>
      <c r="BS738" s="137" t="s">
        <v>946</v>
      </c>
      <c r="BT738" s="138" t="s">
        <v>8</v>
      </c>
      <c r="BU738" s="37"/>
    </row>
    <row r="739" ht="12.75" customHeight="1">
      <c r="A739" s="146"/>
      <c r="B739" s="132" t="s">
        <v>926</v>
      </c>
      <c r="C739" s="69"/>
      <c r="D739" s="134"/>
      <c r="E739" s="59"/>
      <c r="F739" s="65"/>
      <c r="G739" s="70" t="s">
        <v>947</v>
      </c>
      <c r="H739" s="95"/>
      <c r="I739" s="37"/>
      <c r="J739" s="65"/>
      <c r="K739" s="137" t="s">
        <v>947</v>
      </c>
      <c r="L739" s="138" t="s">
        <v>8</v>
      </c>
      <c r="M739" s="37"/>
      <c r="N739" s="65"/>
      <c r="O739" s="137" t="s">
        <v>947</v>
      </c>
      <c r="P739" s="138" t="s">
        <v>8</v>
      </c>
      <c r="Q739" s="37"/>
      <c r="R739" s="65"/>
      <c r="S739" s="137" t="s">
        <v>947</v>
      </c>
      <c r="T739" s="138" t="s">
        <v>8</v>
      </c>
      <c r="U739" s="37"/>
      <c r="V739" s="65"/>
      <c r="W739" s="137" t="s">
        <v>947</v>
      </c>
      <c r="X739" s="139" t="s">
        <v>926</v>
      </c>
      <c r="Y739" s="37"/>
      <c r="Z739" s="65"/>
      <c r="AA739" s="137" t="s">
        <v>947</v>
      </c>
      <c r="AB739" s="138" t="s">
        <v>8</v>
      </c>
      <c r="AC739" s="37"/>
      <c r="AD739" s="65"/>
      <c r="AE739" s="137" t="s">
        <v>947</v>
      </c>
      <c r="AF739" s="138" t="s">
        <v>8</v>
      </c>
      <c r="AG739" s="37"/>
      <c r="AH739" s="65"/>
      <c r="AI739" s="137" t="s">
        <v>947</v>
      </c>
      <c r="AJ739" s="138" t="s">
        <v>8</v>
      </c>
      <c r="AK739" s="37"/>
      <c r="AL739" s="65"/>
      <c r="AM739" s="137" t="s">
        <v>947</v>
      </c>
      <c r="AN739" s="138" t="s">
        <v>8</v>
      </c>
      <c r="AO739" s="37"/>
      <c r="AP739" s="65"/>
      <c r="AQ739" s="137" t="s">
        <v>947</v>
      </c>
      <c r="AR739" s="138" t="s">
        <v>8</v>
      </c>
      <c r="AS739" s="37"/>
      <c r="AT739" s="65"/>
      <c r="AU739" s="137" t="s">
        <v>947</v>
      </c>
      <c r="AV739" s="138" t="s">
        <v>8</v>
      </c>
      <c r="AW739" s="37"/>
      <c r="AX739" s="65"/>
      <c r="AY739" s="137" t="s">
        <v>947</v>
      </c>
      <c r="AZ739" s="139" t="s">
        <v>926</v>
      </c>
      <c r="BA739" s="37"/>
      <c r="BB739" s="65"/>
      <c r="BC739" s="137" t="s">
        <v>947</v>
      </c>
      <c r="BD739" s="138" t="s">
        <v>8</v>
      </c>
      <c r="BE739" s="37"/>
      <c r="BF739" s="65"/>
      <c r="BG739" s="137" t="s">
        <v>947</v>
      </c>
      <c r="BH739" s="138" t="s">
        <v>8</v>
      </c>
      <c r="BI739" s="37"/>
      <c r="BJ739" s="65"/>
      <c r="BK739" s="137" t="s">
        <v>947</v>
      </c>
      <c r="BL739" s="138" t="s">
        <v>8</v>
      </c>
      <c r="BM739" s="37"/>
      <c r="BN739" s="65"/>
      <c r="BO739" s="137" t="s">
        <v>947</v>
      </c>
      <c r="BP739" s="138" t="s">
        <v>8</v>
      </c>
      <c r="BQ739" s="37"/>
      <c r="BR739" s="65"/>
      <c r="BS739" s="137" t="s">
        <v>947</v>
      </c>
      <c r="BT739" s="138" t="s">
        <v>8</v>
      </c>
      <c r="BU739" s="37"/>
    </row>
    <row r="740" ht="12.75" customHeight="1">
      <c r="A740" s="146"/>
      <c r="B740" s="132" t="s">
        <v>46</v>
      </c>
      <c r="C740" s="69"/>
      <c r="D740" s="134"/>
      <c r="E740" s="59"/>
      <c r="F740" s="65"/>
      <c r="G740" s="70" t="s">
        <v>948</v>
      </c>
      <c r="H740" s="95"/>
      <c r="I740" s="37"/>
      <c r="J740" s="65"/>
      <c r="K740" s="137" t="s">
        <v>948</v>
      </c>
      <c r="L740" s="138" t="s">
        <v>8</v>
      </c>
      <c r="M740" s="37"/>
      <c r="N740" s="65"/>
      <c r="O740" s="137" t="s">
        <v>948</v>
      </c>
      <c r="P740" s="138" t="s">
        <v>8</v>
      </c>
      <c r="Q740" s="37"/>
      <c r="R740" s="65"/>
      <c r="S740" s="137" t="s">
        <v>948</v>
      </c>
      <c r="T740" s="138" t="s">
        <v>8</v>
      </c>
      <c r="U740" s="37"/>
      <c r="V740" s="65"/>
      <c r="W740" s="137" t="s">
        <v>948</v>
      </c>
      <c r="X740" s="139" t="s">
        <v>46</v>
      </c>
      <c r="Y740" s="37"/>
      <c r="Z740" s="65"/>
      <c r="AA740" s="137" t="s">
        <v>948</v>
      </c>
      <c r="AB740" s="138" t="s">
        <v>8</v>
      </c>
      <c r="AC740" s="37"/>
      <c r="AD740" s="65"/>
      <c r="AE740" s="137" t="s">
        <v>948</v>
      </c>
      <c r="AF740" s="138" t="s">
        <v>8</v>
      </c>
      <c r="AG740" s="37"/>
      <c r="AH740" s="65"/>
      <c r="AI740" s="137" t="s">
        <v>948</v>
      </c>
      <c r="AJ740" s="138" t="s">
        <v>8</v>
      </c>
      <c r="AK740" s="37"/>
      <c r="AL740" s="65"/>
      <c r="AM740" s="137" t="s">
        <v>948</v>
      </c>
      <c r="AN740" s="138" t="s">
        <v>8</v>
      </c>
      <c r="AO740" s="37"/>
      <c r="AP740" s="65"/>
      <c r="AQ740" s="137" t="s">
        <v>948</v>
      </c>
      <c r="AR740" s="138" t="s">
        <v>8</v>
      </c>
      <c r="AS740" s="37"/>
      <c r="AT740" s="65"/>
      <c r="AU740" s="137" t="s">
        <v>948</v>
      </c>
      <c r="AV740" s="138" t="s">
        <v>8</v>
      </c>
      <c r="AW740" s="37"/>
      <c r="AX740" s="65"/>
      <c r="AY740" s="137" t="s">
        <v>948</v>
      </c>
      <c r="AZ740" s="139" t="s">
        <v>46</v>
      </c>
      <c r="BA740" s="37"/>
      <c r="BB740" s="65"/>
      <c r="BC740" s="137" t="s">
        <v>948</v>
      </c>
      <c r="BD740" s="138" t="s">
        <v>8</v>
      </c>
      <c r="BE740" s="37"/>
      <c r="BF740" s="65"/>
      <c r="BG740" s="137" t="s">
        <v>948</v>
      </c>
      <c r="BH740" s="138" t="s">
        <v>8</v>
      </c>
      <c r="BI740" s="37"/>
      <c r="BJ740" s="65"/>
      <c r="BK740" s="137" t="s">
        <v>948</v>
      </c>
      <c r="BL740" s="138" t="s">
        <v>8</v>
      </c>
      <c r="BM740" s="37"/>
      <c r="BN740" s="65"/>
      <c r="BO740" s="137" t="s">
        <v>948</v>
      </c>
      <c r="BP740" s="138" t="s">
        <v>8</v>
      </c>
      <c r="BQ740" s="37"/>
      <c r="BR740" s="65"/>
      <c r="BS740" s="137" t="s">
        <v>948</v>
      </c>
      <c r="BT740" s="138" t="s">
        <v>8</v>
      </c>
      <c r="BU740" s="37"/>
    </row>
    <row r="741" ht="12.75" customHeight="1">
      <c r="A741" s="146"/>
      <c r="B741" s="132" t="s">
        <v>86</v>
      </c>
      <c r="C741" s="69"/>
      <c r="D741" s="134"/>
      <c r="E741" s="59"/>
      <c r="F741" s="65"/>
      <c r="G741" s="70" t="s">
        <v>949</v>
      </c>
      <c r="H741" s="95"/>
      <c r="I741" s="37"/>
      <c r="J741" s="65"/>
      <c r="K741" s="137" t="s">
        <v>949</v>
      </c>
      <c r="L741" s="138" t="s">
        <v>8</v>
      </c>
      <c r="M741" s="37"/>
      <c r="N741" s="65"/>
      <c r="O741" s="137" t="s">
        <v>949</v>
      </c>
      <c r="P741" s="138" t="s">
        <v>8</v>
      </c>
      <c r="Q741" s="37"/>
      <c r="R741" s="65"/>
      <c r="S741" s="137" t="s">
        <v>949</v>
      </c>
      <c r="T741" s="138" t="s">
        <v>8</v>
      </c>
      <c r="U741" s="37"/>
      <c r="V741" s="65"/>
      <c r="W741" s="137" t="s">
        <v>949</v>
      </c>
      <c r="X741" s="139" t="s">
        <v>86</v>
      </c>
      <c r="Y741" s="37"/>
      <c r="Z741" s="65"/>
      <c r="AA741" s="137" t="s">
        <v>949</v>
      </c>
      <c r="AB741" s="138" t="s">
        <v>8</v>
      </c>
      <c r="AC741" s="37"/>
      <c r="AD741" s="65"/>
      <c r="AE741" s="137" t="s">
        <v>949</v>
      </c>
      <c r="AF741" s="138" t="s">
        <v>8</v>
      </c>
      <c r="AG741" s="37"/>
      <c r="AH741" s="65"/>
      <c r="AI741" s="137" t="s">
        <v>949</v>
      </c>
      <c r="AJ741" s="138" t="s">
        <v>8</v>
      </c>
      <c r="AK741" s="37"/>
      <c r="AL741" s="65"/>
      <c r="AM741" s="137" t="s">
        <v>949</v>
      </c>
      <c r="AN741" s="138" t="s">
        <v>8</v>
      </c>
      <c r="AO741" s="37"/>
      <c r="AP741" s="65"/>
      <c r="AQ741" s="137" t="s">
        <v>949</v>
      </c>
      <c r="AR741" s="138" t="s">
        <v>8</v>
      </c>
      <c r="AS741" s="37"/>
      <c r="AT741" s="65"/>
      <c r="AU741" s="137" t="s">
        <v>949</v>
      </c>
      <c r="AV741" s="138" t="s">
        <v>8</v>
      </c>
      <c r="AW741" s="37"/>
      <c r="AX741" s="65"/>
      <c r="AY741" s="137" t="s">
        <v>949</v>
      </c>
      <c r="AZ741" s="139" t="s">
        <v>86</v>
      </c>
      <c r="BA741" s="37"/>
      <c r="BB741" s="65"/>
      <c r="BC741" s="137" t="s">
        <v>949</v>
      </c>
      <c r="BD741" s="138" t="s">
        <v>8</v>
      </c>
      <c r="BE741" s="37"/>
      <c r="BF741" s="65"/>
      <c r="BG741" s="137" t="s">
        <v>949</v>
      </c>
      <c r="BH741" s="138" t="s">
        <v>8</v>
      </c>
      <c r="BI741" s="37"/>
      <c r="BJ741" s="65"/>
      <c r="BK741" s="137" t="s">
        <v>949</v>
      </c>
      <c r="BL741" s="138" t="s">
        <v>8</v>
      </c>
      <c r="BM741" s="37"/>
      <c r="BN741" s="65"/>
      <c r="BO741" s="137" t="s">
        <v>949</v>
      </c>
      <c r="BP741" s="138" t="s">
        <v>8</v>
      </c>
      <c r="BQ741" s="37"/>
      <c r="BR741" s="65"/>
      <c r="BS741" s="137" t="s">
        <v>949</v>
      </c>
      <c r="BT741" s="138" t="s">
        <v>8</v>
      </c>
      <c r="BU741" s="37"/>
    </row>
    <row r="742" ht="12.75" customHeight="1">
      <c r="A742" s="146"/>
      <c r="B742" s="132" t="s">
        <v>46</v>
      </c>
      <c r="C742" s="69"/>
      <c r="D742" s="134"/>
      <c r="E742" s="59"/>
      <c r="F742" s="65"/>
      <c r="G742" s="70" t="s">
        <v>950</v>
      </c>
      <c r="H742" s="95"/>
      <c r="I742" s="37"/>
      <c r="J742" s="65"/>
      <c r="K742" s="137" t="s">
        <v>950</v>
      </c>
      <c r="L742" s="138" t="s">
        <v>8</v>
      </c>
      <c r="M742" s="37"/>
      <c r="N742" s="65"/>
      <c r="O742" s="137" t="s">
        <v>950</v>
      </c>
      <c r="P742" s="138" t="s">
        <v>8</v>
      </c>
      <c r="Q742" s="37"/>
      <c r="R742" s="65"/>
      <c r="S742" s="137" t="s">
        <v>950</v>
      </c>
      <c r="T742" s="138" t="s">
        <v>8</v>
      </c>
      <c r="U742" s="37"/>
      <c r="V742" s="65"/>
      <c r="W742" s="137" t="s">
        <v>950</v>
      </c>
      <c r="X742" s="139" t="s">
        <v>46</v>
      </c>
      <c r="Y742" s="37"/>
      <c r="Z742" s="65"/>
      <c r="AA742" s="137" t="s">
        <v>950</v>
      </c>
      <c r="AB742" s="138" t="s">
        <v>8</v>
      </c>
      <c r="AC742" s="37"/>
      <c r="AD742" s="65"/>
      <c r="AE742" s="137" t="s">
        <v>950</v>
      </c>
      <c r="AF742" s="138" t="s">
        <v>8</v>
      </c>
      <c r="AG742" s="37"/>
      <c r="AH742" s="65"/>
      <c r="AI742" s="137" t="s">
        <v>950</v>
      </c>
      <c r="AJ742" s="138" t="s">
        <v>8</v>
      </c>
      <c r="AK742" s="37"/>
      <c r="AL742" s="65"/>
      <c r="AM742" s="137" t="s">
        <v>950</v>
      </c>
      <c r="AN742" s="138" t="s">
        <v>8</v>
      </c>
      <c r="AO742" s="37"/>
      <c r="AP742" s="65"/>
      <c r="AQ742" s="137" t="s">
        <v>950</v>
      </c>
      <c r="AR742" s="138" t="s">
        <v>8</v>
      </c>
      <c r="AS742" s="37"/>
      <c r="AT742" s="65"/>
      <c r="AU742" s="137" t="s">
        <v>950</v>
      </c>
      <c r="AV742" s="138" t="s">
        <v>8</v>
      </c>
      <c r="AW742" s="37"/>
      <c r="AX742" s="65"/>
      <c r="AY742" s="137" t="s">
        <v>950</v>
      </c>
      <c r="AZ742" s="139" t="s">
        <v>46</v>
      </c>
      <c r="BA742" s="37"/>
      <c r="BB742" s="65"/>
      <c r="BC742" s="137" t="s">
        <v>950</v>
      </c>
      <c r="BD742" s="138" t="s">
        <v>8</v>
      </c>
      <c r="BE742" s="37"/>
      <c r="BF742" s="65"/>
      <c r="BG742" s="137" t="s">
        <v>950</v>
      </c>
      <c r="BH742" s="138" t="s">
        <v>8</v>
      </c>
      <c r="BI742" s="37"/>
      <c r="BJ742" s="65"/>
      <c r="BK742" s="137" t="s">
        <v>950</v>
      </c>
      <c r="BL742" s="138" t="s">
        <v>8</v>
      </c>
      <c r="BM742" s="37"/>
      <c r="BN742" s="65"/>
      <c r="BO742" s="137" t="s">
        <v>950</v>
      </c>
      <c r="BP742" s="138" t="s">
        <v>8</v>
      </c>
      <c r="BQ742" s="37"/>
      <c r="BR742" s="65"/>
      <c r="BS742" s="137" t="s">
        <v>950</v>
      </c>
      <c r="BT742" s="138" t="s">
        <v>8</v>
      </c>
      <c r="BU742" s="37"/>
    </row>
    <row r="743" ht="12.75" customHeight="1">
      <c r="A743" s="146"/>
      <c r="B743" s="132" t="s">
        <v>120</v>
      </c>
      <c r="C743" s="69"/>
      <c r="D743" s="134"/>
      <c r="E743" s="59"/>
      <c r="F743" s="65"/>
      <c r="G743" s="70" t="s">
        <v>951</v>
      </c>
      <c r="H743" s="95"/>
      <c r="I743" s="37"/>
      <c r="J743" s="65"/>
      <c r="K743" s="137" t="s">
        <v>951</v>
      </c>
      <c r="L743" s="138" t="s">
        <v>8</v>
      </c>
      <c r="M743" s="37"/>
      <c r="N743" s="65"/>
      <c r="O743" s="137" t="s">
        <v>951</v>
      </c>
      <c r="P743" s="138" t="s">
        <v>8</v>
      </c>
      <c r="Q743" s="37"/>
      <c r="R743" s="65"/>
      <c r="S743" s="137" t="s">
        <v>951</v>
      </c>
      <c r="T743" s="138" t="s">
        <v>8</v>
      </c>
      <c r="U743" s="37"/>
      <c r="V743" s="65"/>
      <c r="W743" s="137" t="s">
        <v>951</v>
      </c>
      <c r="X743" s="139" t="s">
        <v>120</v>
      </c>
      <c r="Y743" s="37"/>
      <c r="Z743" s="65"/>
      <c r="AA743" s="137" t="s">
        <v>951</v>
      </c>
      <c r="AB743" s="138" t="s">
        <v>8</v>
      </c>
      <c r="AC743" s="37"/>
      <c r="AD743" s="65"/>
      <c r="AE743" s="137" t="s">
        <v>951</v>
      </c>
      <c r="AF743" s="138" t="s">
        <v>8</v>
      </c>
      <c r="AG743" s="37"/>
      <c r="AH743" s="65"/>
      <c r="AI743" s="137" t="s">
        <v>951</v>
      </c>
      <c r="AJ743" s="138" t="s">
        <v>8</v>
      </c>
      <c r="AK743" s="37"/>
      <c r="AL743" s="65"/>
      <c r="AM743" s="137" t="s">
        <v>951</v>
      </c>
      <c r="AN743" s="138" t="s">
        <v>8</v>
      </c>
      <c r="AO743" s="37"/>
      <c r="AP743" s="65"/>
      <c r="AQ743" s="137" t="s">
        <v>951</v>
      </c>
      <c r="AR743" s="138" t="s">
        <v>8</v>
      </c>
      <c r="AS743" s="37"/>
      <c r="AT743" s="65"/>
      <c r="AU743" s="137" t="s">
        <v>951</v>
      </c>
      <c r="AV743" s="138" t="s">
        <v>8</v>
      </c>
      <c r="AW743" s="37"/>
      <c r="AX743" s="65"/>
      <c r="AY743" s="137" t="s">
        <v>951</v>
      </c>
      <c r="AZ743" s="139" t="s">
        <v>120</v>
      </c>
      <c r="BA743" s="37"/>
      <c r="BB743" s="65"/>
      <c r="BC743" s="137" t="s">
        <v>951</v>
      </c>
      <c r="BD743" s="138" t="s">
        <v>8</v>
      </c>
      <c r="BE743" s="37"/>
      <c r="BF743" s="65"/>
      <c r="BG743" s="137" t="s">
        <v>951</v>
      </c>
      <c r="BH743" s="138" t="s">
        <v>8</v>
      </c>
      <c r="BI743" s="37"/>
      <c r="BJ743" s="65"/>
      <c r="BK743" s="137" t="s">
        <v>951</v>
      </c>
      <c r="BL743" s="138" t="s">
        <v>8</v>
      </c>
      <c r="BM743" s="37"/>
      <c r="BN743" s="65"/>
      <c r="BO743" s="137" t="s">
        <v>951</v>
      </c>
      <c r="BP743" s="138" t="s">
        <v>8</v>
      </c>
      <c r="BQ743" s="37"/>
      <c r="BR743" s="65"/>
      <c r="BS743" s="137" t="s">
        <v>951</v>
      </c>
      <c r="BT743" s="138" t="s">
        <v>8</v>
      </c>
      <c r="BU743" s="37"/>
    </row>
    <row r="744" ht="12.75" customHeight="1">
      <c r="A744" s="146"/>
      <c r="B744" s="132" t="s">
        <v>46</v>
      </c>
      <c r="C744" s="69"/>
      <c r="D744" s="134"/>
      <c r="E744" s="59"/>
      <c r="F744" s="65"/>
      <c r="G744" s="70" t="s">
        <v>952</v>
      </c>
      <c r="H744" s="95"/>
      <c r="I744" s="37"/>
      <c r="J744" s="65"/>
      <c r="K744" s="137" t="s">
        <v>952</v>
      </c>
      <c r="L744" s="138" t="s">
        <v>8</v>
      </c>
      <c r="M744" s="37"/>
      <c r="N744" s="65"/>
      <c r="O744" s="137" t="s">
        <v>952</v>
      </c>
      <c r="P744" s="138" t="s">
        <v>8</v>
      </c>
      <c r="Q744" s="37"/>
      <c r="R744" s="65"/>
      <c r="S744" s="137" t="s">
        <v>952</v>
      </c>
      <c r="T744" s="138" t="s">
        <v>8</v>
      </c>
      <c r="U744" s="37"/>
      <c r="V744" s="65"/>
      <c r="W744" s="137" t="s">
        <v>952</v>
      </c>
      <c r="X744" s="139" t="s">
        <v>46</v>
      </c>
      <c r="Y744" s="37"/>
      <c r="Z744" s="65"/>
      <c r="AA744" s="137" t="s">
        <v>952</v>
      </c>
      <c r="AB744" s="138" t="s">
        <v>8</v>
      </c>
      <c r="AC744" s="37"/>
      <c r="AD744" s="65"/>
      <c r="AE744" s="137" t="s">
        <v>952</v>
      </c>
      <c r="AF744" s="138" t="s">
        <v>8</v>
      </c>
      <c r="AG744" s="37"/>
      <c r="AH744" s="65"/>
      <c r="AI744" s="137" t="s">
        <v>952</v>
      </c>
      <c r="AJ744" s="138" t="s">
        <v>8</v>
      </c>
      <c r="AK744" s="37"/>
      <c r="AL744" s="65"/>
      <c r="AM744" s="137" t="s">
        <v>952</v>
      </c>
      <c r="AN744" s="138" t="s">
        <v>8</v>
      </c>
      <c r="AO744" s="37"/>
      <c r="AP744" s="65"/>
      <c r="AQ744" s="137" t="s">
        <v>952</v>
      </c>
      <c r="AR744" s="138" t="s">
        <v>8</v>
      </c>
      <c r="AS744" s="37"/>
      <c r="AT744" s="65"/>
      <c r="AU744" s="137" t="s">
        <v>952</v>
      </c>
      <c r="AV744" s="138" t="s">
        <v>8</v>
      </c>
      <c r="AW744" s="37"/>
      <c r="AX744" s="65"/>
      <c r="AY744" s="137" t="s">
        <v>952</v>
      </c>
      <c r="AZ744" s="139" t="s">
        <v>46</v>
      </c>
      <c r="BA744" s="37"/>
      <c r="BB744" s="65"/>
      <c r="BC744" s="137" t="s">
        <v>952</v>
      </c>
      <c r="BD744" s="138" t="s">
        <v>8</v>
      </c>
      <c r="BE744" s="37"/>
      <c r="BF744" s="65"/>
      <c r="BG744" s="137" t="s">
        <v>952</v>
      </c>
      <c r="BH744" s="138" t="s">
        <v>8</v>
      </c>
      <c r="BI744" s="37"/>
      <c r="BJ744" s="65"/>
      <c r="BK744" s="137" t="s">
        <v>952</v>
      </c>
      <c r="BL744" s="138" t="s">
        <v>8</v>
      </c>
      <c r="BM744" s="37"/>
      <c r="BN744" s="65"/>
      <c r="BO744" s="137" t="s">
        <v>952</v>
      </c>
      <c r="BP744" s="138" t="s">
        <v>8</v>
      </c>
      <c r="BQ744" s="37"/>
      <c r="BR744" s="65"/>
      <c r="BS744" s="137" t="s">
        <v>952</v>
      </c>
      <c r="BT744" s="138" t="s">
        <v>8</v>
      </c>
      <c r="BU744" s="37"/>
    </row>
    <row r="745" ht="12.75" customHeight="1">
      <c r="A745" s="146"/>
      <c r="B745" s="132" t="s">
        <v>926</v>
      </c>
      <c r="C745" s="69"/>
      <c r="D745" s="134"/>
      <c r="E745" s="59"/>
      <c r="F745" s="65"/>
      <c r="G745" s="70" t="s">
        <v>953</v>
      </c>
      <c r="H745" s="95"/>
      <c r="I745" s="37"/>
      <c r="J745" s="65"/>
      <c r="K745" s="137" t="s">
        <v>953</v>
      </c>
      <c r="L745" s="138" t="s">
        <v>8</v>
      </c>
      <c r="M745" s="37"/>
      <c r="N745" s="65"/>
      <c r="O745" s="137" t="s">
        <v>953</v>
      </c>
      <c r="P745" s="138" t="s">
        <v>8</v>
      </c>
      <c r="Q745" s="37"/>
      <c r="R745" s="65"/>
      <c r="S745" s="137" t="s">
        <v>953</v>
      </c>
      <c r="T745" s="138" t="s">
        <v>8</v>
      </c>
      <c r="U745" s="37"/>
      <c r="V745" s="65"/>
      <c r="W745" s="137" t="s">
        <v>953</v>
      </c>
      <c r="X745" s="139" t="s">
        <v>926</v>
      </c>
      <c r="Y745" s="37"/>
      <c r="Z745" s="65"/>
      <c r="AA745" s="137" t="s">
        <v>953</v>
      </c>
      <c r="AB745" s="138" t="s">
        <v>8</v>
      </c>
      <c r="AC745" s="37"/>
      <c r="AD745" s="65"/>
      <c r="AE745" s="137" t="s">
        <v>953</v>
      </c>
      <c r="AF745" s="138" t="s">
        <v>8</v>
      </c>
      <c r="AG745" s="37"/>
      <c r="AH745" s="65"/>
      <c r="AI745" s="137" t="s">
        <v>953</v>
      </c>
      <c r="AJ745" s="138" t="s">
        <v>8</v>
      </c>
      <c r="AK745" s="37"/>
      <c r="AL745" s="65"/>
      <c r="AM745" s="137" t="s">
        <v>953</v>
      </c>
      <c r="AN745" s="138" t="s">
        <v>8</v>
      </c>
      <c r="AO745" s="37"/>
      <c r="AP745" s="65"/>
      <c r="AQ745" s="137" t="s">
        <v>953</v>
      </c>
      <c r="AR745" s="138" t="s">
        <v>8</v>
      </c>
      <c r="AS745" s="37"/>
      <c r="AT745" s="65"/>
      <c r="AU745" s="137" t="s">
        <v>953</v>
      </c>
      <c r="AV745" s="138" t="s">
        <v>8</v>
      </c>
      <c r="AW745" s="37"/>
      <c r="AX745" s="65"/>
      <c r="AY745" s="137" t="s">
        <v>953</v>
      </c>
      <c r="AZ745" s="139" t="s">
        <v>926</v>
      </c>
      <c r="BA745" s="37"/>
      <c r="BB745" s="65"/>
      <c r="BC745" s="137" t="s">
        <v>953</v>
      </c>
      <c r="BD745" s="138" t="s">
        <v>8</v>
      </c>
      <c r="BE745" s="37"/>
      <c r="BF745" s="65"/>
      <c r="BG745" s="137" t="s">
        <v>953</v>
      </c>
      <c r="BH745" s="138" t="s">
        <v>8</v>
      </c>
      <c r="BI745" s="37"/>
      <c r="BJ745" s="65"/>
      <c r="BK745" s="137" t="s">
        <v>953</v>
      </c>
      <c r="BL745" s="138" t="s">
        <v>8</v>
      </c>
      <c r="BM745" s="37"/>
      <c r="BN745" s="65"/>
      <c r="BO745" s="137" t="s">
        <v>953</v>
      </c>
      <c r="BP745" s="138" t="s">
        <v>8</v>
      </c>
      <c r="BQ745" s="37"/>
      <c r="BR745" s="65"/>
      <c r="BS745" s="137" t="s">
        <v>953</v>
      </c>
      <c r="BT745" s="138" t="s">
        <v>8</v>
      </c>
      <c r="BU745" s="37"/>
    </row>
    <row r="746" ht="12.75" customHeight="1">
      <c r="A746" s="146"/>
      <c r="B746" s="132" t="s">
        <v>46</v>
      </c>
      <c r="C746" s="69"/>
      <c r="D746" s="134"/>
      <c r="E746" s="59"/>
      <c r="F746" s="65"/>
      <c r="G746" s="70" t="s">
        <v>954</v>
      </c>
      <c r="H746" s="95"/>
      <c r="I746" s="37"/>
      <c r="J746" s="65"/>
      <c r="K746" s="137" t="s">
        <v>954</v>
      </c>
      <c r="L746" s="138" t="s">
        <v>8</v>
      </c>
      <c r="M746" s="37"/>
      <c r="N746" s="65"/>
      <c r="O746" s="137" t="s">
        <v>954</v>
      </c>
      <c r="P746" s="138" t="s">
        <v>8</v>
      </c>
      <c r="Q746" s="37"/>
      <c r="R746" s="65"/>
      <c r="S746" s="137" t="s">
        <v>954</v>
      </c>
      <c r="T746" s="138" t="s">
        <v>8</v>
      </c>
      <c r="U746" s="37"/>
      <c r="V746" s="65"/>
      <c r="W746" s="137" t="s">
        <v>954</v>
      </c>
      <c r="X746" s="139" t="s">
        <v>46</v>
      </c>
      <c r="Y746" s="37"/>
      <c r="Z746" s="65"/>
      <c r="AA746" s="137" t="s">
        <v>954</v>
      </c>
      <c r="AB746" s="138" t="s">
        <v>8</v>
      </c>
      <c r="AC746" s="37"/>
      <c r="AD746" s="65"/>
      <c r="AE746" s="137" t="s">
        <v>954</v>
      </c>
      <c r="AF746" s="138" t="s">
        <v>8</v>
      </c>
      <c r="AG746" s="37"/>
      <c r="AH746" s="65"/>
      <c r="AI746" s="137" t="s">
        <v>954</v>
      </c>
      <c r="AJ746" s="138" t="s">
        <v>8</v>
      </c>
      <c r="AK746" s="37"/>
      <c r="AL746" s="65"/>
      <c r="AM746" s="137" t="s">
        <v>954</v>
      </c>
      <c r="AN746" s="138" t="s">
        <v>8</v>
      </c>
      <c r="AO746" s="37"/>
      <c r="AP746" s="65"/>
      <c r="AQ746" s="137" t="s">
        <v>954</v>
      </c>
      <c r="AR746" s="138" t="s">
        <v>8</v>
      </c>
      <c r="AS746" s="37"/>
      <c r="AT746" s="65"/>
      <c r="AU746" s="137" t="s">
        <v>954</v>
      </c>
      <c r="AV746" s="138" t="s">
        <v>8</v>
      </c>
      <c r="AW746" s="37"/>
      <c r="AX746" s="65"/>
      <c r="AY746" s="137" t="s">
        <v>954</v>
      </c>
      <c r="AZ746" s="139" t="s">
        <v>46</v>
      </c>
      <c r="BA746" s="37"/>
      <c r="BB746" s="65"/>
      <c r="BC746" s="137" t="s">
        <v>954</v>
      </c>
      <c r="BD746" s="138" t="s">
        <v>8</v>
      </c>
      <c r="BE746" s="37"/>
      <c r="BF746" s="65"/>
      <c r="BG746" s="137" t="s">
        <v>954</v>
      </c>
      <c r="BH746" s="138" t="s">
        <v>8</v>
      </c>
      <c r="BI746" s="37"/>
      <c r="BJ746" s="65"/>
      <c r="BK746" s="137" t="s">
        <v>954</v>
      </c>
      <c r="BL746" s="138" t="s">
        <v>8</v>
      </c>
      <c r="BM746" s="37"/>
      <c r="BN746" s="65"/>
      <c r="BO746" s="137" t="s">
        <v>954</v>
      </c>
      <c r="BP746" s="138" t="s">
        <v>8</v>
      </c>
      <c r="BQ746" s="37"/>
      <c r="BR746" s="65"/>
      <c r="BS746" s="137" t="s">
        <v>954</v>
      </c>
      <c r="BT746" s="138" t="s">
        <v>8</v>
      </c>
      <c r="BU746" s="37"/>
    </row>
    <row r="747" ht="12.75" customHeight="1">
      <c r="A747" s="146"/>
      <c r="B747" s="132" t="s">
        <v>86</v>
      </c>
      <c r="C747" s="69"/>
      <c r="D747" s="134"/>
      <c r="E747" s="59"/>
      <c r="F747" s="65"/>
      <c r="G747" s="70" t="s">
        <v>955</v>
      </c>
      <c r="H747" s="95"/>
      <c r="I747" s="37"/>
      <c r="J747" s="65"/>
      <c r="K747" s="137" t="s">
        <v>955</v>
      </c>
      <c r="L747" s="138" t="s">
        <v>8</v>
      </c>
      <c r="M747" s="37"/>
      <c r="N747" s="65"/>
      <c r="O747" s="137" t="s">
        <v>955</v>
      </c>
      <c r="P747" s="138" t="s">
        <v>8</v>
      </c>
      <c r="Q747" s="37"/>
      <c r="R747" s="65"/>
      <c r="S747" s="137" t="s">
        <v>955</v>
      </c>
      <c r="T747" s="138" t="s">
        <v>8</v>
      </c>
      <c r="U747" s="37"/>
      <c r="V747" s="65"/>
      <c r="W747" s="137" t="s">
        <v>955</v>
      </c>
      <c r="X747" s="139" t="s">
        <v>86</v>
      </c>
      <c r="Y747" s="37"/>
      <c r="Z747" s="65"/>
      <c r="AA747" s="137" t="s">
        <v>955</v>
      </c>
      <c r="AB747" s="138" t="s">
        <v>8</v>
      </c>
      <c r="AC747" s="37"/>
      <c r="AD747" s="65"/>
      <c r="AE747" s="137" t="s">
        <v>955</v>
      </c>
      <c r="AF747" s="138" t="s">
        <v>8</v>
      </c>
      <c r="AG747" s="37"/>
      <c r="AH747" s="65"/>
      <c r="AI747" s="137" t="s">
        <v>955</v>
      </c>
      <c r="AJ747" s="138" t="s">
        <v>8</v>
      </c>
      <c r="AK747" s="37"/>
      <c r="AL747" s="65"/>
      <c r="AM747" s="137" t="s">
        <v>955</v>
      </c>
      <c r="AN747" s="138" t="s">
        <v>8</v>
      </c>
      <c r="AO747" s="37"/>
      <c r="AP747" s="65"/>
      <c r="AQ747" s="137" t="s">
        <v>955</v>
      </c>
      <c r="AR747" s="138" t="s">
        <v>8</v>
      </c>
      <c r="AS747" s="37"/>
      <c r="AT747" s="65"/>
      <c r="AU747" s="137" t="s">
        <v>955</v>
      </c>
      <c r="AV747" s="138" t="s">
        <v>8</v>
      </c>
      <c r="AW747" s="37"/>
      <c r="AX747" s="65"/>
      <c r="AY747" s="137" t="s">
        <v>955</v>
      </c>
      <c r="AZ747" s="139" t="s">
        <v>86</v>
      </c>
      <c r="BA747" s="37"/>
      <c r="BB747" s="65"/>
      <c r="BC747" s="137" t="s">
        <v>955</v>
      </c>
      <c r="BD747" s="138" t="s">
        <v>8</v>
      </c>
      <c r="BE747" s="37"/>
      <c r="BF747" s="65"/>
      <c r="BG747" s="137" t="s">
        <v>955</v>
      </c>
      <c r="BH747" s="138" t="s">
        <v>8</v>
      </c>
      <c r="BI747" s="37"/>
      <c r="BJ747" s="65"/>
      <c r="BK747" s="137" t="s">
        <v>955</v>
      </c>
      <c r="BL747" s="138" t="s">
        <v>8</v>
      </c>
      <c r="BM747" s="37"/>
      <c r="BN747" s="65"/>
      <c r="BO747" s="137" t="s">
        <v>955</v>
      </c>
      <c r="BP747" s="138" t="s">
        <v>8</v>
      </c>
      <c r="BQ747" s="37"/>
      <c r="BR747" s="65"/>
      <c r="BS747" s="137" t="s">
        <v>955</v>
      </c>
      <c r="BT747" s="138" t="s">
        <v>8</v>
      </c>
      <c r="BU747" s="37"/>
    </row>
    <row r="748" ht="12.75" customHeight="1">
      <c r="A748" s="146"/>
      <c r="B748" s="132" t="s">
        <v>46</v>
      </c>
      <c r="C748" s="69"/>
      <c r="D748" s="134"/>
      <c r="E748" s="59"/>
      <c r="F748" s="65"/>
      <c r="G748" s="70" t="s">
        <v>956</v>
      </c>
      <c r="H748" s="95"/>
      <c r="I748" s="37"/>
      <c r="J748" s="65"/>
      <c r="K748" s="137" t="s">
        <v>956</v>
      </c>
      <c r="L748" s="138" t="s">
        <v>8</v>
      </c>
      <c r="M748" s="37"/>
      <c r="N748" s="65"/>
      <c r="O748" s="137" t="s">
        <v>956</v>
      </c>
      <c r="P748" s="138" t="s">
        <v>8</v>
      </c>
      <c r="Q748" s="37"/>
      <c r="R748" s="65"/>
      <c r="S748" s="137" t="s">
        <v>956</v>
      </c>
      <c r="T748" s="138" t="s">
        <v>8</v>
      </c>
      <c r="U748" s="37"/>
      <c r="V748" s="65"/>
      <c r="W748" s="137" t="s">
        <v>956</v>
      </c>
      <c r="X748" s="139" t="s">
        <v>46</v>
      </c>
      <c r="Y748" s="37"/>
      <c r="Z748" s="65"/>
      <c r="AA748" s="137" t="s">
        <v>956</v>
      </c>
      <c r="AB748" s="138" t="s">
        <v>8</v>
      </c>
      <c r="AC748" s="37"/>
      <c r="AD748" s="65"/>
      <c r="AE748" s="137" t="s">
        <v>956</v>
      </c>
      <c r="AF748" s="138" t="s">
        <v>8</v>
      </c>
      <c r="AG748" s="37"/>
      <c r="AH748" s="65"/>
      <c r="AI748" s="137" t="s">
        <v>956</v>
      </c>
      <c r="AJ748" s="138" t="s">
        <v>8</v>
      </c>
      <c r="AK748" s="37"/>
      <c r="AL748" s="65"/>
      <c r="AM748" s="137" t="s">
        <v>956</v>
      </c>
      <c r="AN748" s="138" t="s">
        <v>8</v>
      </c>
      <c r="AO748" s="37"/>
      <c r="AP748" s="65"/>
      <c r="AQ748" s="137" t="s">
        <v>956</v>
      </c>
      <c r="AR748" s="138" t="s">
        <v>8</v>
      </c>
      <c r="AS748" s="37"/>
      <c r="AT748" s="65"/>
      <c r="AU748" s="137" t="s">
        <v>956</v>
      </c>
      <c r="AV748" s="138" t="s">
        <v>8</v>
      </c>
      <c r="AW748" s="37"/>
      <c r="AX748" s="65"/>
      <c r="AY748" s="137" t="s">
        <v>956</v>
      </c>
      <c r="AZ748" s="139" t="s">
        <v>46</v>
      </c>
      <c r="BA748" s="37"/>
      <c r="BB748" s="65"/>
      <c r="BC748" s="137" t="s">
        <v>956</v>
      </c>
      <c r="BD748" s="138" t="s">
        <v>8</v>
      </c>
      <c r="BE748" s="37"/>
      <c r="BF748" s="65"/>
      <c r="BG748" s="137" t="s">
        <v>956</v>
      </c>
      <c r="BH748" s="138" t="s">
        <v>8</v>
      </c>
      <c r="BI748" s="37"/>
      <c r="BJ748" s="65"/>
      <c r="BK748" s="137" t="s">
        <v>956</v>
      </c>
      <c r="BL748" s="138" t="s">
        <v>8</v>
      </c>
      <c r="BM748" s="37"/>
      <c r="BN748" s="65"/>
      <c r="BO748" s="137" t="s">
        <v>956</v>
      </c>
      <c r="BP748" s="138" t="s">
        <v>8</v>
      </c>
      <c r="BQ748" s="37"/>
      <c r="BR748" s="65"/>
      <c r="BS748" s="137" t="s">
        <v>956</v>
      </c>
      <c r="BT748" s="138" t="s">
        <v>8</v>
      </c>
      <c r="BU748" s="37"/>
    </row>
    <row r="749" ht="12.75" customHeight="1">
      <c r="A749" s="146"/>
      <c r="B749" s="132" t="s">
        <v>155</v>
      </c>
      <c r="C749" s="69"/>
      <c r="D749" s="134"/>
      <c r="E749" s="59"/>
      <c r="F749" s="65"/>
      <c r="G749" s="70" t="s">
        <v>957</v>
      </c>
      <c r="H749" s="95"/>
      <c r="I749" s="37"/>
      <c r="J749" s="65"/>
      <c r="K749" s="137" t="s">
        <v>957</v>
      </c>
      <c r="L749" s="138" t="s">
        <v>8</v>
      </c>
      <c r="M749" s="37"/>
      <c r="N749" s="65"/>
      <c r="O749" s="137" t="s">
        <v>957</v>
      </c>
      <c r="P749" s="138" t="s">
        <v>8</v>
      </c>
      <c r="Q749" s="37"/>
      <c r="R749" s="65"/>
      <c r="S749" s="137" t="s">
        <v>957</v>
      </c>
      <c r="T749" s="138" t="s">
        <v>8</v>
      </c>
      <c r="U749" s="37"/>
      <c r="V749" s="65"/>
      <c r="W749" s="137" t="s">
        <v>957</v>
      </c>
      <c r="X749" s="139" t="s">
        <v>155</v>
      </c>
      <c r="Y749" s="37"/>
      <c r="Z749" s="65"/>
      <c r="AA749" s="137" t="s">
        <v>957</v>
      </c>
      <c r="AB749" s="138" t="s">
        <v>8</v>
      </c>
      <c r="AC749" s="37"/>
      <c r="AD749" s="65"/>
      <c r="AE749" s="137" t="s">
        <v>957</v>
      </c>
      <c r="AF749" s="138" t="s">
        <v>8</v>
      </c>
      <c r="AG749" s="37"/>
      <c r="AH749" s="65"/>
      <c r="AI749" s="137" t="s">
        <v>957</v>
      </c>
      <c r="AJ749" s="138" t="s">
        <v>8</v>
      </c>
      <c r="AK749" s="37"/>
      <c r="AL749" s="65"/>
      <c r="AM749" s="137" t="s">
        <v>957</v>
      </c>
      <c r="AN749" s="138" t="s">
        <v>8</v>
      </c>
      <c r="AO749" s="37"/>
      <c r="AP749" s="65"/>
      <c r="AQ749" s="137" t="s">
        <v>957</v>
      </c>
      <c r="AR749" s="138" t="s">
        <v>8</v>
      </c>
      <c r="AS749" s="37"/>
      <c r="AT749" s="65"/>
      <c r="AU749" s="137" t="s">
        <v>957</v>
      </c>
      <c r="AV749" s="138" t="s">
        <v>8</v>
      </c>
      <c r="AW749" s="37"/>
      <c r="AX749" s="65"/>
      <c r="AY749" s="137" t="s">
        <v>957</v>
      </c>
      <c r="AZ749" s="139" t="s">
        <v>155</v>
      </c>
      <c r="BA749" s="37"/>
      <c r="BB749" s="65"/>
      <c r="BC749" s="137" t="s">
        <v>957</v>
      </c>
      <c r="BD749" s="138" t="s">
        <v>8</v>
      </c>
      <c r="BE749" s="37"/>
      <c r="BF749" s="65"/>
      <c r="BG749" s="137" t="s">
        <v>957</v>
      </c>
      <c r="BH749" s="138" t="s">
        <v>8</v>
      </c>
      <c r="BI749" s="37"/>
      <c r="BJ749" s="65"/>
      <c r="BK749" s="137" t="s">
        <v>957</v>
      </c>
      <c r="BL749" s="138" t="s">
        <v>8</v>
      </c>
      <c r="BM749" s="37"/>
      <c r="BN749" s="65"/>
      <c r="BO749" s="137" t="s">
        <v>957</v>
      </c>
      <c r="BP749" s="138" t="s">
        <v>8</v>
      </c>
      <c r="BQ749" s="37"/>
      <c r="BR749" s="65"/>
      <c r="BS749" s="137" t="s">
        <v>957</v>
      </c>
      <c r="BT749" s="138" t="s">
        <v>8</v>
      </c>
      <c r="BU749" s="37"/>
    </row>
    <row r="750" ht="12.75" customHeight="1">
      <c r="A750" s="146"/>
      <c r="B750" s="132" t="s">
        <v>147</v>
      </c>
      <c r="C750" s="69"/>
      <c r="D750" s="134"/>
      <c r="E750" s="59"/>
      <c r="F750" s="65"/>
      <c r="G750" s="70" t="s">
        <v>958</v>
      </c>
      <c r="H750" s="95"/>
      <c r="I750" s="37"/>
      <c r="J750" s="65"/>
      <c r="K750" s="137" t="s">
        <v>958</v>
      </c>
      <c r="L750" s="138" t="s">
        <v>8</v>
      </c>
      <c r="M750" s="37"/>
      <c r="N750" s="65"/>
      <c r="O750" s="137" t="s">
        <v>958</v>
      </c>
      <c r="P750" s="138" t="s">
        <v>8</v>
      </c>
      <c r="Q750" s="37"/>
      <c r="R750" s="65"/>
      <c r="S750" s="137" t="s">
        <v>958</v>
      </c>
      <c r="T750" s="138" t="s">
        <v>8</v>
      </c>
      <c r="U750" s="37"/>
      <c r="V750" s="65"/>
      <c r="W750" s="137" t="s">
        <v>958</v>
      </c>
      <c r="X750" s="139" t="s">
        <v>147</v>
      </c>
      <c r="Y750" s="37"/>
      <c r="Z750" s="65"/>
      <c r="AA750" s="137" t="s">
        <v>958</v>
      </c>
      <c r="AB750" s="138" t="s">
        <v>8</v>
      </c>
      <c r="AC750" s="37"/>
      <c r="AD750" s="65"/>
      <c r="AE750" s="137" t="s">
        <v>958</v>
      </c>
      <c r="AF750" s="138" t="s">
        <v>8</v>
      </c>
      <c r="AG750" s="37"/>
      <c r="AH750" s="65"/>
      <c r="AI750" s="137" t="s">
        <v>958</v>
      </c>
      <c r="AJ750" s="138" t="s">
        <v>8</v>
      </c>
      <c r="AK750" s="37"/>
      <c r="AL750" s="65"/>
      <c r="AM750" s="137" t="s">
        <v>958</v>
      </c>
      <c r="AN750" s="138" t="s">
        <v>8</v>
      </c>
      <c r="AO750" s="37"/>
      <c r="AP750" s="65"/>
      <c r="AQ750" s="137" t="s">
        <v>958</v>
      </c>
      <c r="AR750" s="138" t="s">
        <v>8</v>
      </c>
      <c r="AS750" s="37"/>
      <c r="AT750" s="65"/>
      <c r="AU750" s="137" t="s">
        <v>958</v>
      </c>
      <c r="AV750" s="138" t="s">
        <v>8</v>
      </c>
      <c r="AW750" s="37"/>
      <c r="AX750" s="65"/>
      <c r="AY750" s="137" t="s">
        <v>958</v>
      </c>
      <c r="AZ750" s="139" t="s">
        <v>147</v>
      </c>
      <c r="BA750" s="37"/>
      <c r="BB750" s="65"/>
      <c r="BC750" s="137" t="s">
        <v>958</v>
      </c>
      <c r="BD750" s="138" t="s">
        <v>8</v>
      </c>
      <c r="BE750" s="37"/>
      <c r="BF750" s="65"/>
      <c r="BG750" s="137" t="s">
        <v>958</v>
      </c>
      <c r="BH750" s="138" t="s">
        <v>8</v>
      </c>
      <c r="BI750" s="37"/>
      <c r="BJ750" s="65"/>
      <c r="BK750" s="137" t="s">
        <v>958</v>
      </c>
      <c r="BL750" s="138" t="s">
        <v>8</v>
      </c>
      <c r="BM750" s="37"/>
      <c r="BN750" s="65"/>
      <c r="BO750" s="137" t="s">
        <v>958</v>
      </c>
      <c r="BP750" s="138" t="s">
        <v>8</v>
      </c>
      <c r="BQ750" s="37"/>
      <c r="BR750" s="65"/>
      <c r="BS750" s="137" t="s">
        <v>958</v>
      </c>
      <c r="BT750" s="138" t="s">
        <v>8</v>
      </c>
      <c r="BU750" s="37"/>
    </row>
    <row r="751" ht="12.75" customHeight="1">
      <c r="A751" s="146"/>
      <c r="B751" s="132" t="s">
        <v>286</v>
      </c>
      <c r="C751" s="69"/>
      <c r="D751" s="134"/>
      <c r="E751" s="59"/>
      <c r="F751" s="65"/>
      <c r="G751" s="70" t="s">
        <v>959</v>
      </c>
      <c r="H751" s="95"/>
      <c r="I751" s="37"/>
      <c r="J751" s="65"/>
      <c r="K751" s="137" t="s">
        <v>959</v>
      </c>
      <c r="L751" s="138" t="s">
        <v>8</v>
      </c>
      <c r="M751" s="37"/>
      <c r="N751" s="65"/>
      <c r="O751" s="137" t="s">
        <v>959</v>
      </c>
      <c r="P751" s="138" t="s">
        <v>8</v>
      </c>
      <c r="Q751" s="37"/>
      <c r="R751" s="65"/>
      <c r="S751" s="137" t="s">
        <v>959</v>
      </c>
      <c r="T751" s="138" t="s">
        <v>8</v>
      </c>
      <c r="U751" s="37"/>
      <c r="V751" s="65"/>
      <c r="W751" s="137" t="s">
        <v>959</v>
      </c>
      <c r="X751" s="139" t="s">
        <v>286</v>
      </c>
      <c r="Y751" s="37"/>
      <c r="Z751" s="65"/>
      <c r="AA751" s="137" t="s">
        <v>959</v>
      </c>
      <c r="AB751" s="138" t="s">
        <v>8</v>
      </c>
      <c r="AC751" s="37"/>
      <c r="AD751" s="65"/>
      <c r="AE751" s="137" t="s">
        <v>959</v>
      </c>
      <c r="AF751" s="138" t="s">
        <v>8</v>
      </c>
      <c r="AG751" s="37"/>
      <c r="AH751" s="65"/>
      <c r="AI751" s="137" t="s">
        <v>959</v>
      </c>
      <c r="AJ751" s="138" t="s">
        <v>8</v>
      </c>
      <c r="AK751" s="37"/>
      <c r="AL751" s="65"/>
      <c r="AM751" s="137" t="s">
        <v>959</v>
      </c>
      <c r="AN751" s="138" t="s">
        <v>8</v>
      </c>
      <c r="AO751" s="37"/>
      <c r="AP751" s="65"/>
      <c r="AQ751" s="137" t="s">
        <v>959</v>
      </c>
      <c r="AR751" s="138" t="s">
        <v>8</v>
      </c>
      <c r="AS751" s="37"/>
      <c r="AT751" s="65"/>
      <c r="AU751" s="137" t="s">
        <v>959</v>
      </c>
      <c r="AV751" s="138" t="s">
        <v>8</v>
      </c>
      <c r="AW751" s="37"/>
      <c r="AX751" s="65"/>
      <c r="AY751" s="137" t="s">
        <v>959</v>
      </c>
      <c r="AZ751" s="139" t="s">
        <v>286</v>
      </c>
      <c r="BA751" s="37"/>
      <c r="BB751" s="65"/>
      <c r="BC751" s="137" t="s">
        <v>959</v>
      </c>
      <c r="BD751" s="138" t="s">
        <v>8</v>
      </c>
      <c r="BE751" s="37"/>
      <c r="BF751" s="65"/>
      <c r="BG751" s="137" t="s">
        <v>959</v>
      </c>
      <c r="BH751" s="138" t="s">
        <v>8</v>
      </c>
      <c r="BI751" s="37"/>
      <c r="BJ751" s="65"/>
      <c r="BK751" s="137" t="s">
        <v>959</v>
      </c>
      <c r="BL751" s="138" t="s">
        <v>8</v>
      </c>
      <c r="BM751" s="37"/>
      <c r="BN751" s="65"/>
      <c r="BO751" s="137" t="s">
        <v>959</v>
      </c>
      <c r="BP751" s="138" t="s">
        <v>8</v>
      </c>
      <c r="BQ751" s="37"/>
      <c r="BR751" s="65"/>
      <c r="BS751" s="137" t="s">
        <v>959</v>
      </c>
      <c r="BT751" s="138" t="s">
        <v>8</v>
      </c>
      <c r="BU751" s="37"/>
    </row>
    <row r="752" ht="12.75" customHeight="1">
      <c r="A752" s="146"/>
      <c r="B752" s="132" t="s">
        <v>668</v>
      </c>
      <c r="C752" s="69"/>
      <c r="D752" s="134"/>
      <c r="E752" s="59"/>
      <c r="F752" s="65"/>
      <c r="G752" s="70" t="s">
        <v>960</v>
      </c>
      <c r="H752" s="95"/>
      <c r="I752" s="37"/>
      <c r="J752" s="65"/>
      <c r="K752" s="137" t="s">
        <v>960</v>
      </c>
      <c r="L752" s="138" t="s">
        <v>8</v>
      </c>
      <c r="M752" s="37"/>
      <c r="N752" s="65"/>
      <c r="O752" s="137" t="s">
        <v>960</v>
      </c>
      <c r="P752" s="138" t="s">
        <v>8</v>
      </c>
      <c r="Q752" s="37"/>
      <c r="R752" s="65"/>
      <c r="S752" s="137" t="s">
        <v>960</v>
      </c>
      <c r="T752" s="138" t="s">
        <v>8</v>
      </c>
      <c r="U752" s="37"/>
      <c r="V752" s="65"/>
      <c r="W752" s="137" t="s">
        <v>960</v>
      </c>
      <c r="X752" s="139" t="s">
        <v>668</v>
      </c>
      <c r="Y752" s="37"/>
      <c r="Z752" s="65"/>
      <c r="AA752" s="137" t="s">
        <v>960</v>
      </c>
      <c r="AB752" s="138" t="s">
        <v>8</v>
      </c>
      <c r="AC752" s="37"/>
      <c r="AD752" s="65"/>
      <c r="AE752" s="137" t="s">
        <v>960</v>
      </c>
      <c r="AF752" s="138" t="s">
        <v>8</v>
      </c>
      <c r="AG752" s="37"/>
      <c r="AH752" s="65"/>
      <c r="AI752" s="137" t="s">
        <v>960</v>
      </c>
      <c r="AJ752" s="138" t="s">
        <v>8</v>
      </c>
      <c r="AK752" s="37"/>
      <c r="AL752" s="65"/>
      <c r="AM752" s="137" t="s">
        <v>960</v>
      </c>
      <c r="AN752" s="138" t="s">
        <v>8</v>
      </c>
      <c r="AO752" s="37"/>
      <c r="AP752" s="65"/>
      <c r="AQ752" s="137" t="s">
        <v>960</v>
      </c>
      <c r="AR752" s="138" t="s">
        <v>8</v>
      </c>
      <c r="AS752" s="37"/>
      <c r="AT752" s="65"/>
      <c r="AU752" s="137" t="s">
        <v>960</v>
      </c>
      <c r="AV752" s="138" t="s">
        <v>8</v>
      </c>
      <c r="AW752" s="37"/>
      <c r="AX752" s="65"/>
      <c r="AY752" s="137" t="s">
        <v>960</v>
      </c>
      <c r="AZ752" s="139" t="s">
        <v>668</v>
      </c>
      <c r="BA752" s="37"/>
      <c r="BB752" s="65"/>
      <c r="BC752" s="137" t="s">
        <v>960</v>
      </c>
      <c r="BD752" s="138" t="s">
        <v>8</v>
      </c>
      <c r="BE752" s="37"/>
      <c r="BF752" s="65"/>
      <c r="BG752" s="137" t="s">
        <v>960</v>
      </c>
      <c r="BH752" s="138" t="s">
        <v>8</v>
      </c>
      <c r="BI752" s="37"/>
      <c r="BJ752" s="65"/>
      <c r="BK752" s="137" t="s">
        <v>960</v>
      </c>
      <c r="BL752" s="138" t="s">
        <v>8</v>
      </c>
      <c r="BM752" s="37"/>
      <c r="BN752" s="65"/>
      <c r="BO752" s="137" t="s">
        <v>960</v>
      </c>
      <c r="BP752" s="138" t="s">
        <v>8</v>
      </c>
      <c r="BQ752" s="37"/>
      <c r="BR752" s="65"/>
      <c r="BS752" s="137" t="s">
        <v>960</v>
      </c>
      <c r="BT752" s="138" t="s">
        <v>8</v>
      </c>
      <c r="BU752" s="37"/>
    </row>
    <row r="753" ht="12.75" customHeight="1">
      <c r="A753" s="146"/>
      <c r="B753" s="132" t="s">
        <v>298</v>
      </c>
      <c r="C753" s="69"/>
      <c r="D753" s="134"/>
      <c r="E753" s="59"/>
      <c r="F753" s="65"/>
      <c r="G753" s="70" t="s">
        <v>961</v>
      </c>
      <c r="H753" s="95"/>
      <c r="I753" s="37"/>
      <c r="J753" s="65"/>
      <c r="K753" s="137" t="s">
        <v>961</v>
      </c>
      <c r="L753" s="138" t="s">
        <v>8</v>
      </c>
      <c r="M753" s="37"/>
      <c r="N753" s="65"/>
      <c r="O753" s="137" t="s">
        <v>961</v>
      </c>
      <c r="P753" s="138" t="s">
        <v>8</v>
      </c>
      <c r="Q753" s="37"/>
      <c r="R753" s="65"/>
      <c r="S753" s="137" t="s">
        <v>961</v>
      </c>
      <c r="T753" s="138" t="s">
        <v>8</v>
      </c>
      <c r="U753" s="37"/>
      <c r="V753" s="65"/>
      <c r="W753" s="137" t="s">
        <v>961</v>
      </c>
      <c r="X753" s="139" t="s">
        <v>298</v>
      </c>
      <c r="Y753" s="37"/>
      <c r="Z753" s="65"/>
      <c r="AA753" s="137" t="s">
        <v>961</v>
      </c>
      <c r="AB753" s="138" t="s">
        <v>8</v>
      </c>
      <c r="AC753" s="37"/>
      <c r="AD753" s="65"/>
      <c r="AE753" s="137" t="s">
        <v>961</v>
      </c>
      <c r="AF753" s="138" t="s">
        <v>8</v>
      </c>
      <c r="AG753" s="37"/>
      <c r="AH753" s="65"/>
      <c r="AI753" s="137" t="s">
        <v>961</v>
      </c>
      <c r="AJ753" s="138" t="s">
        <v>8</v>
      </c>
      <c r="AK753" s="37"/>
      <c r="AL753" s="65"/>
      <c r="AM753" s="137" t="s">
        <v>961</v>
      </c>
      <c r="AN753" s="138" t="s">
        <v>8</v>
      </c>
      <c r="AO753" s="37"/>
      <c r="AP753" s="65"/>
      <c r="AQ753" s="137" t="s">
        <v>961</v>
      </c>
      <c r="AR753" s="138" t="s">
        <v>8</v>
      </c>
      <c r="AS753" s="37"/>
      <c r="AT753" s="65"/>
      <c r="AU753" s="137" t="s">
        <v>961</v>
      </c>
      <c r="AV753" s="138" t="s">
        <v>8</v>
      </c>
      <c r="AW753" s="37"/>
      <c r="AX753" s="65"/>
      <c r="AY753" s="137" t="s">
        <v>961</v>
      </c>
      <c r="AZ753" s="139" t="s">
        <v>298</v>
      </c>
      <c r="BA753" s="37"/>
      <c r="BB753" s="65"/>
      <c r="BC753" s="137" t="s">
        <v>961</v>
      </c>
      <c r="BD753" s="138" t="s">
        <v>8</v>
      </c>
      <c r="BE753" s="37"/>
      <c r="BF753" s="65"/>
      <c r="BG753" s="137" t="s">
        <v>961</v>
      </c>
      <c r="BH753" s="138" t="s">
        <v>8</v>
      </c>
      <c r="BI753" s="37"/>
      <c r="BJ753" s="65"/>
      <c r="BK753" s="137" t="s">
        <v>961</v>
      </c>
      <c r="BL753" s="138" t="s">
        <v>8</v>
      </c>
      <c r="BM753" s="37"/>
      <c r="BN753" s="65"/>
      <c r="BO753" s="137" t="s">
        <v>961</v>
      </c>
      <c r="BP753" s="138" t="s">
        <v>8</v>
      </c>
      <c r="BQ753" s="37"/>
      <c r="BR753" s="65"/>
      <c r="BS753" s="137" t="s">
        <v>961</v>
      </c>
      <c r="BT753" s="138" t="s">
        <v>8</v>
      </c>
      <c r="BU753" s="37"/>
    </row>
    <row r="754" ht="12.75" customHeight="1">
      <c r="A754" s="146"/>
      <c r="B754" s="132" t="s">
        <v>42</v>
      </c>
      <c r="C754" s="69"/>
      <c r="D754" s="134"/>
      <c r="E754" s="59"/>
      <c r="F754" s="65"/>
      <c r="G754" s="70" t="s">
        <v>962</v>
      </c>
      <c r="H754" s="95"/>
      <c r="I754" s="37"/>
      <c r="J754" s="65"/>
      <c r="K754" s="137" t="s">
        <v>962</v>
      </c>
      <c r="L754" s="138" t="s">
        <v>8</v>
      </c>
      <c r="M754" s="37"/>
      <c r="N754" s="65"/>
      <c r="O754" s="137" t="s">
        <v>962</v>
      </c>
      <c r="P754" s="138" t="s">
        <v>8</v>
      </c>
      <c r="Q754" s="37"/>
      <c r="R754" s="65"/>
      <c r="S754" s="137" t="s">
        <v>962</v>
      </c>
      <c r="T754" s="138" t="s">
        <v>8</v>
      </c>
      <c r="U754" s="37"/>
      <c r="V754" s="65"/>
      <c r="W754" s="137" t="s">
        <v>962</v>
      </c>
      <c r="X754" s="139" t="s">
        <v>42</v>
      </c>
      <c r="Y754" s="37"/>
      <c r="Z754" s="65"/>
      <c r="AA754" s="137" t="s">
        <v>962</v>
      </c>
      <c r="AB754" s="138" t="s">
        <v>8</v>
      </c>
      <c r="AC754" s="37"/>
      <c r="AD754" s="65"/>
      <c r="AE754" s="137" t="s">
        <v>962</v>
      </c>
      <c r="AF754" s="138" t="s">
        <v>8</v>
      </c>
      <c r="AG754" s="37"/>
      <c r="AH754" s="65"/>
      <c r="AI754" s="137" t="s">
        <v>962</v>
      </c>
      <c r="AJ754" s="138" t="s">
        <v>8</v>
      </c>
      <c r="AK754" s="37"/>
      <c r="AL754" s="65"/>
      <c r="AM754" s="137" t="s">
        <v>962</v>
      </c>
      <c r="AN754" s="138" t="s">
        <v>8</v>
      </c>
      <c r="AO754" s="37"/>
      <c r="AP754" s="65"/>
      <c r="AQ754" s="137" t="s">
        <v>962</v>
      </c>
      <c r="AR754" s="138" t="s">
        <v>8</v>
      </c>
      <c r="AS754" s="37"/>
      <c r="AT754" s="65"/>
      <c r="AU754" s="137" t="s">
        <v>962</v>
      </c>
      <c r="AV754" s="138" t="s">
        <v>8</v>
      </c>
      <c r="AW754" s="37"/>
      <c r="AX754" s="65"/>
      <c r="AY754" s="137" t="s">
        <v>962</v>
      </c>
      <c r="AZ754" s="139" t="s">
        <v>42</v>
      </c>
      <c r="BA754" s="37"/>
      <c r="BB754" s="65"/>
      <c r="BC754" s="137" t="s">
        <v>962</v>
      </c>
      <c r="BD754" s="138" t="s">
        <v>8</v>
      </c>
      <c r="BE754" s="37"/>
      <c r="BF754" s="65"/>
      <c r="BG754" s="137" t="s">
        <v>962</v>
      </c>
      <c r="BH754" s="138" t="s">
        <v>8</v>
      </c>
      <c r="BI754" s="37"/>
      <c r="BJ754" s="65"/>
      <c r="BK754" s="137" t="s">
        <v>962</v>
      </c>
      <c r="BL754" s="138" t="s">
        <v>8</v>
      </c>
      <c r="BM754" s="37"/>
      <c r="BN754" s="65"/>
      <c r="BO754" s="137" t="s">
        <v>962</v>
      </c>
      <c r="BP754" s="138" t="s">
        <v>8</v>
      </c>
      <c r="BQ754" s="37"/>
      <c r="BR754" s="65"/>
      <c r="BS754" s="137" t="s">
        <v>962</v>
      </c>
      <c r="BT754" s="138" t="s">
        <v>8</v>
      </c>
      <c r="BU754" s="37"/>
    </row>
    <row r="755" ht="12.75" customHeight="1">
      <c r="A755" s="146"/>
      <c r="B755" s="132" t="s">
        <v>42</v>
      </c>
      <c r="C755" s="69"/>
      <c r="D755" s="134"/>
      <c r="E755" s="59"/>
      <c r="F755" s="65"/>
      <c r="G755" s="70" t="s">
        <v>963</v>
      </c>
      <c r="H755" s="95"/>
      <c r="I755" s="37"/>
      <c r="J755" s="65"/>
      <c r="K755" s="137" t="s">
        <v>963</v>
      </c>
      <c r="L755" s="138" t="s">
        <v>8</v>
      </c>
      <c r="M755" s="37"/>
      <c r="N755" s="65"/>
      <c r="O755" s="137" t="s">
        <v>963</v>
      </c>
      <c r="P755" s="138" t="s">
        <v>8</v>
      </c>
      <c r="Q755" s="37"/>
      <c r="R755" s="65"/>
      <c r="S755" s="137" t="s">
        <v>963</v>
      </c>
      <c r="T755" s="138" t="s">
        <v>8</v>
      </c>
      <c r="U755" s="37"/>
      <c r="V755" s="65"/>
      <c r="W755" s="137" t="s">
        <v>963</v>
      </c>
      <c r="X755" s="139" t="s">
        <v>42</v>
      </c>
      <c r="Y755" s="37"/>
      <c r="Z755" s="65"/>
      <c r="AA755" s="137" t="s">
        <v>963</v>
      </c>
      <c r="AB755" s="138" t="s">
        <v>8</v>
      </c>
      <c r="AC755" s="37"/>
      <c r="AD755" s="65"/>
      <c r="AE755" s="137" t="s">
        <v>963</v>
      </c>
      <c r="AF755" s="138" t="s">
        <v>8</v>
      </c>
      <c r="AG755" s="37"/>
      <c r="AH755" s="65"/>
      <c r="AI755" s="137" t="s">
        <v>963</v>
      </c>
      <c r="AJ755" s="138" t="s">
        <v>8</v>
      </c>
      <c r="AK755" s="37"/>
      <c r="AL755" s="65"/>
      <c r="AM755" s="137" t="s">
        <v>963</v>
      </c>
      <c r="AN755" s="138" t="s">
        <v>8</v>
      </c>
      <c r="AO755" s="37"/>
      <c r="AP755" s="65"/>
      <c r="AQ755" s="137" t="s">
        <v>963</v>
      </c>
      <c r="AR755" s="138" t="s">
        <v>8</v>
      </c>
      <c r="AS755" s="37"/>
      <c r="AT755" s="65"/>
      <c r="AU755" s="137" t="s">
        <v>963</v>
      </c>
      <c r="AV755" s="138" t="s">
        <v>8</v>
      </c>
      <c r="AW755" s="37"/>
      <c r="AX755" s="65"/>
      <c r="AY755" s="137" t="s">
        <v>963</v>
      </c>
      <c r="AZ755" s="139" t="s">
        <v>42</v>
      </c>
      <c r="BA755" s="37"/>
      <c r="BB755" s="65"/>
      <c r="BC755" s="137" t="s">
        <v>963</v>
      </c>
      <c r="BD755" s="138" t="s">
        <v>8</v>
      </c>
      <c r="BE755" s="37"/>
      <c r="BF755" s="65"/>
      <c r="BG755" s="137" t="s">
        <v>963</v>
      </c>
      <c r="BH755" s="138" t="s">
        <v>8</v>
      </c>
      <c r="BI755" s="37"/>
      <c r="BJ755" s="65"/>
      <c r="BK755" s="137" t="s">
        <v>963</v>
      </c>
      <c r="BL755" s="138" t="s">
        <v>8</v>
      </c>
      <c r="BM755" s="37"/>
      <c r="BN755" s="65"/>
      <c r="BO755" s="137" t="s">
        <v>963</v>
      </c>
      <c r="BP755" s="138" t="s">
        <v>8</v>
      </c>
      <c r="BQ755" s="37"/>
      <c r="BR755" s="65"/>
      <c r="BS755" s="137" t="s">
        <v>963</v>
      </c>
      <c r="BT755" s="138" t="s">
        <v>8</v>
      </c>
      <c r="BU755" s="37"/>
    </row>
    <row r="756" ht="12.75" customHeight="1">
      <c r="A756" s="93"/>
      <c r="B756" s="94"/>
      <c r="C756" s="94"/>
      <c r="D756" s="154"/>
      <c r="E756" s="155"/>
      <c r="F756" s="156"/>
      <c r="G756" s="157"/>
      <c r="H756" s="158"/>
      <c r="I756" s="159"/>
      <c r="J756" s="160"/>
      <c r="K756" s="161"/>
      <c r="L756" s="69"/>
      <c r="M756" s="37"/>
      <c r="N756" s="160"/>
      <c r="O756" s="161"/>
      <c r="P756" s="69"/>
      <c r="Q756" s="37"/>
      <c r="R756" s="160"/>
      <c r="S756" s="161"/>
      <c r="T756" s="69"/>
      <c r="U756" s="37"/>
      <c r="V756" s="160"/>
      <c r="W756" s="161"/>
      <c r="X756" s="69"/>
      <c r="Y756" s="37"/>
      <c r="Z756" s="160"/>
      <c r="AA756" s="161"/>
      <c r="AB756" s="69"/>
      <c r="AC756" s="37"/>
      <c r="AD756" s="160"/>
      <c r="AE756" s="161"/>
      <c r="AF756" s="69"/>
      <c r="AG756" s="37"/>
      <c r="AH756" s="160"/>
      <c r="AI756" s="161"/>
      <c r="AJ756" s="69"/>
      <c r="AK756" s="37"/>
      <c r="AL756" s="160"/>
      <c r="AM756" s="161"/>
      <c r="AN756" s="69"/>
      <c r="AO756" s="37"/>
      <c r="AP756" s="160"/>
      <c r="AQ756" s="161"/>
      <c r="AR756" s="69"/>
      <c r="AS756" s="37"/>
      <c r="AT756" s="160"/>
      <c r="AU756" s="161"/>
      <c r="AV756" s="69"/>
      <c r="AW756" s="37"/>
      <c r="AX756" s="160"/>
      <c r="AY756" s="161"/>
      <c r="AZ756" s="69"/>
      <c r="BA756" s="37"/>
      <c r="BB756" s="160"/>
      <c r="BC756" s="161"/>
      <c r="BD756" s="69"/>
      <c r="BE756" s="37"/>
      <c r="BF756" s="160"/>
      <c r="BG756" s="161"/>
      <c r="BH756" s="69"/>
      <c r="BI756" s="37"/>
      <c r="BJ756" s="160"/>
      <c r="BK756" s="161"/>
      <c r="BL756" s="69"/>
      <c r="BM756" s="37"/>
      <c r="BN756" s="160"/>
      <c r="BO756" s="161"/>
      <c r="BP756" s="69"/>
      <c r="BQ756" s="37"/>
      <c r="BR756" s="160"/>
      <c r="BS756" s="161"/>
      <c r="BT756" s="69"/>
      <c r="BU756" s="37"/>
    </row>
    <row r="757" ht="12.75" customHeight="1">
      <c r="A757" s="93"/>
      <c r="B757" s="94"/>
      <c r="C757" s="94"/>
      <c r="D757" s="37"/>
      <c r="E757" s="59"/>
      <c r="F757" s="144"/>
      <c r="G757" s="70"/>
      <c r="H757" s="162"/>
      <c r="I757" s="72"/>
      <c r="J757" s="145"/>
      <c r="K757" s="137"/>
      <c r="L757" s="163"/>
      <c r="M757" s="37"/>
      <c r="N757" s="145"/>
      <c r="O757" s="137"/>
      <c r="P757" s="163"/>
      <c r="Q757" s="37"/>
      <c r="R757" s="145"/>
      <c r="S757" s="137"/>
      <c r="T757" s="163"/>
      <c r="U757" s="37"/>
      <c r="V757" s="145"/>
      <c r="W757" s="137"/>
      <c r="X757" s="163"/>
      <c r="Y757" s="37"/>
      <c r="Z757" s="145"/>
      <c r="AA757" s="137"/>
      <c r="AB757" s="163"/>
      <c r="AC757" s="37"/>
      <c r="AD757" s="145"/>
      <c r="AE757" s="137"/>
      <c r="AF757" s="163"/>
      <c r="AG757" s="37"/>
      <c r="AH757" s="145"/>
      <c r="AI757" s="137"/>
      <c r="AJ757" s="163"/>
      <c r="AK757" s="37"/>
      <c r="AL757" s="145"/>
      <c r="AM757" s="137"/>
      <c r="AN757" s="163"/>
      <c r="AO757" s="37"/>
      <c r="AP757" s="145"/>
      <c r="AQ757" s="137"/>
      <c r="AR757" s="163"/>
      <c r="AS757" s="37"/>
      <c r="AT757" s="145"/>
      <c r="AU757" s="137"/>
      <c r="AV757" s="163"/>
      <c r="AW757" s="37"/>
      <c r="AX757" s="145"/>
      <c r="AY757" s="137"/>
      <c r="AZ757" s="163"/>
      <c r="BA757" s="37"/>
      <c r="BB757" s="145"/>
      <c r="BC757" s="137"/>
      <c r="BD757" s="163"/>
      <c r="BE757" s="37"/>
      <c r="BF757" s="145"/>
      <c r="BG757" s="137"/>
      <c r="BH757" s="163"/>
      <c r="BI757" s="37"/>
      <c r="BJ757" s="145"/>
      <c r="BK757" s="137"/>
      <c r="BL757" s="163"/>
      <c r="BM757" s="37"/>
      <c r="BN757" s="145"/>
      <c r="BO757" s="137"/>
      <c r="BP757" s="163"/>
      <c r="BQ757" s="37"/>
      <c r="BR757" s="145"/>
      <c r="BS757" s="137"/>
      <c r="BT757" s="163"/>
      <c r="BU757" s="37"/>
    </row>
    <row r="758" ht="12.75" customHeight="1">
      <c r="A758" s="93"/>
      <c r="B758" s="94"/>
      <c r="C758" s="94"/>
      <c r="D758" s="37"/>
      <c r="E758" s="57"/>
      <c r="F758" s="60" t="s">
        <v>964</v>
      </c>
      <c r="G758" s="88"/>
      <c r="H758" s="149"/>
      <c r="I758" s="72"/>
      <c r="J758" s="60" t="s">
        <v>964</v>
      </c>
      <c r="K758" s="88"/>
      <c r="L758" s="150"/>
      <c r="M758" s="37"/>
      <c r="N758" s="60" t="s">
        <v>964</v>
      </c>
      <c r="O758" s="88"/>
      <c r="P758" s="150"/>
      <c r="Q758" s="37"/>
      <c r="R758" s="60" t="s">
        <v>964</v>
      </c>
      <c r="S758" s="88"/>
      <c r="T758" s="150"/>
      <c r="U758" s="37"/>
      <c r="V758" s="60" t="s">
        <v>964</v>
      </c>
      <c r="W758" s="88"/>
      <c r="X758" s="150"/>
      <c r="Y758" s="37"/>
      <c r="Z758" s="60" t="s">
        <v>964</v>
      </c>
      <c r="AA758" s="88"/>
      <c r="AB758" s="150"/>
      <c r="AC758" s="37"/>
      <c r="AD758" s="60" t="s">
        <v>964</v>
      </c>
      <c r="AE758" s="88"/>
      <c r="AF758" s="150"/>
      <c r="AG758" s="37"/>
      <c r="AH758" s="60" t="s">
        <v>964</v>
      </c>
      <c r="AI758" s="88"/>
      <c r="AJ758" s="150"/>
      <c r="AK758" s="37"/>
      <c r="AL758" s="60" t="s">
        <v>964</v>
      </c>
      <c r="AM758" s="88"/>
      <c r="AN758" s="150"/>
      <c r="AO758" s="37"/>
      <c r="AP758" s="60" t="s">
        <v>964</v>
      </c>
      <c r="AQ758" s="88"/>
      <c r="AR758" s="150"/>
      <c r="AS758" s="37"/>
      <c r="AT758" s="60" t="s">
        <v>964</v>
      </c>
      <c r="AU758" s="88"/>
      <c r="AV758" s="150"/>
      <c r="AW758" s="37"/>
      <c r="AX758" s="60" t="s">
        <v>964</v>
      </c>
      <c r="AY758" s="88"/>
      <c r="AZ758" s="150"/>
      <c r="BA758" s="37"/>
      <c r="BB758" s="60" t="s">
        <v>964</v>
      </c>
      <c r="BC758" s="88"/>
      <c r="BD758" s="150"/>
      <c r="BE758" s="37"/>
      <c r="BF758" s="60" t="s">
        <v>964</v>
      </c>
      <c r="BG758" s="88"/>
      <c r="BH758" s="150"/>
      <c r="BI758" s="37"/>
      <c r="BJ758" s="60" t="s">
        <v>964</v>
      </c>
      <c r="BK758" s="88"/>
      <c r="BL758" s="150"/>
      <c r="BM758" s="37"/>
      <c r="BN758" s="60" t="s">
        <v>964</v>
      </c>
      <c r="BO758" s="88"/>
      <c r="BP758" s="150"/>
      <c r="BQ758" s="37"/>
      <c r="BR758" s="60" t="s">
        <v>964</v>
      </c>
      <c r="BS758" s="88"/>
      <c r="BT758" s="150"/>
      <c r="BU758" s="37"/>
    </row>
    <row r="759" ht="12.75" customHeight="1">
      <c r="A759" s="63" t="s">
        <v>36</v>
      </c>
      <c r="B759" s="64" t="s">
        <v>37</v>
      </c>
      <c r="C759" s="64" t="s">
        <v>38</v>
      </c>
      <c r="D759" s="37"/>
      <c r="E759" s="57"/>
      <c r="F759" s="65"/>
      <c r="G759" s="66" t="s">
        <v>39</v>
      </c>
      <c r="H759" s="67" t="s">
        <v>40</v>
      </c>
      <c r="I759" s="153"/>
      <c r="J759" s="65"/>
      <c r="K759" s="66" t="s">
        <v>39</v>
      </c>
      <c r="L759" s="130" t="s">
        <v>40</v>
      </c>
      <c r="M759" s="92"/>
      <c r="N759" s="65"/>
      <c r="O759" s="66" t="s">
        <v>39</v>
      </c>
      <c r="P759" s="130" t="s">
        <v>40</v>
      </c>
      <c r="Q759" s="37"/>
      <c r="R759" s="65"/>
      <c r="S759" s="66" t="s">
        <v>39</v>
      </c>
      <c r="T759" s="130" t="s">
        <v>40</v>
      </c>
      <c r="U759" s="37"/>
      <c r="V759" s="65"/>
      <c r="W759" s="66" t="s">
        <v>39</v>
      </c>
      <c r="X759" s="130" t="s">
        <v>40</v>
      </c>
      <c r="Y759" s="37"/>
      <c r="Z759" s="65"/>
      <c r="AA759" s="66" t="s">
        <v>39</v>
      </c>
      <c r="AB759" s="130" t="s">
        <v>40</v>
      </c>
      <c r="AC759" s="37"/>
      <c r="AD759" s="65"/>
      <c r="AE759" s="66" t="s">
        <v>39</v>
      </c>
      <c r="AF759" s="130" t="s">
        <v>40</v>
      </c>
      <c r="AG759" s="37"/>
      <c r="AH759" s="65"/>
      <c r="AI759" s="66" t="s">
        <v>39</v>
      </c>
      <c r="AJ759" s="130" t="s">
        <v>40</v>
      </c>
      <c r="AK759" s="37"/>
      <c r="AL759" s="65"/>
      <c r="AM759" s="66" t="s">
        <v>39</v>
      </c>
      <c r="AN759" s="130" t="s">
        <v>40</v>
      </c>
      <c r="AO759" s="37"/>
      <c r="AP759" s="65"/>
      <c r="AQ759" s="66" t="s">
        <v>39</v>
      </c>
      <c r="AR759" s="130" t="s">
        <v>40</v>
      </c>
      <c r="AS759" s="37"/>
      <c r="AT759" s="65"/>
      <c r="AU759" s="66" t="s">
        <v>39</v>
      </c>
      <c r="AV759" s="130" t="s">
        <v>40</v>
      </c>
      <c r="AW759" s="37"/>
      <c r="AX759" s="65"/>
      <c r="AY759" s="66" t="s">
        <v>39</v>
      </c>
      <c r="AZ759" s="130" t="s">
        <v>40</v>
      </c>
      <c r="BA759" s="37"/>
      <c r="BB759" s="65"/>
      <c r="BC759" s="66" t="s">
        <v>39</v>
      </c>
      <c r="BD759" s="130" t="s">
        <v>40</v>
      </c>
      <c r="BE759" s="37"/>
      <c r="BF759" s="65"/>
      <c r="BG759" s="66" t="s">
        <v>39</v>
      </c>
      <c r="BH759" s="130" t="s">
        <v>40</v>
      </c>
      <c r="BI759" s="37"/>
      <c r="BJ759" s="65"/>
      <c r="BK759" s="66" t="s">
        <v>39</v>
      </c>
      <c r="BL759" s="130" t="s">
        <v>40</v>
      </c>
      <c r="BM759" s="37"/>
      <c r="BN759" s="65"/>
      <c r="BO759" s="66" t="s">
        <v>39</v>
      </c>
      <c r="BP759" s="130" t="s">
        <v>40</v>
      </c>
      <c r="BQ759" s="37"/>
      <c r="BR759" s="65"/>
      <c r="BS759" s="66" t="s">
        <v>39</v>
      </c>
      <c r="BT759" s="130" t="s">
        <v>40</v>
      </c>
      <c r="BU759" s="37"/>
    </row>
    <row r="760" ht="12.75" customHeight="1">
      <c r="A760" s="131" t="s">
        <v>965</v>
      </c>
      <c r="B760" s="132" t="s">
        <v>61</v>
      </c>
      <c r="C760" s="69"/>
      <c r="D760" s="134"/>
      <c r="E760" s="59"/>
      <c r="F760" s="65"/>
      <c r="G760" s="70" t="s">
        <v>966</v>
      </c>
      <c r="H760" s="136"/>
      <c r="I760" s="72"/>
      <c r="J760" s="65"/>
      <c r="K760" s="137" t="s">
        <v>966</v>
      </c>
      <c r="L760" s="139" t="s">
        <v>61</v>
      </c>
      <c r="M760" s="37"/>
      <c r="N760" s="65"/>
      <c r="O760" s="137" t="s">
        <v>966</v>
      </c>
      <c r="P760" s="139" t="s">
        <v>61</v>
      </c>
      <c r="Q760" s="37"/>
      <c r="R760" s="65"/>
      <c r="S760" s="137" t="s">
        <v>966</v>
      </c>
      <c r="T760" s="139" t="s">
        <v>61</v>
      </c>
      <c r="U760" s="37"/>
      <c r="V760" s="65"/>
      <c r="W760" s="137" t="s">
        <v>966</v>
      </c>
      <c r="X760" s="139" t="s">
        <v>61</v>
      </c>
      <c r="Y760" s="37"/>
      <c r="Z760" s="65"/>
      <c r="AA760" s="137" t="s">
        <v>966</v>
      </c>
      <c r="AB760" s="139" t="s">
        <v>61</v>
      </c>
      <c r="AC760" s="37"/>
      <c r="AD760" s="65"/>
      <c r="AE760" s="137" t="s">
        <v>966</v>
      </c>
      <c r="AF760" s="139" t="s">
        <v>61</v>
      </c>
      <c r="AG760" s="37"/>
      <c r="AH760" s="65"/>
      <c r="AI760" s="137" t="s">
        <v>966</v>
      </c>
      <c r="AJ760" s="139" t="s">
        <v>61</v>
      </c>
      <c r="AK760" s="37"/>
      <c r="AL760" s="65"/>
      <c r="AM760" s="137" t="s">
        <v>966</v>
      </c>
      <c r="AN760" s="139" t="s">
        <v>61</v>
      </c>
      <c r="AO760" s="37"/>
      <c r="AP760" s="65"/>
      <c r="AQ760" s="137" t="s">
        <v>966</v>
      </c>
      <c r="AR760" s="139" t="s">
        <v>61</v>
      </c>
      <c r="AS760" s="37"/>
      <c r="AT760" s="65"/>
      <c r="AU760" s="137" t="s">
        <v>966</v>
      </c>
      <c r="AV760" s="139" t="s">
        <v>61</v>
      </c>
      <c r="AW760" s="37"/>
      <c r="AX760" s="65"/>
      <c r="AY760" s="137" t="s">
        <v>966</v>
      </c>
      <c r="AZ760" s="139" t="s">
        <v>61</v>
      </c>
      <c r="BA760" s="37"/>
      <c r="BB760" s="65"/>
      <c r="BC760" s="137" t="s">
        <v>966</v>
      </c>
      <c r="BD760" s="139" t="s">
        <v>61</v>
      </c>
      <c r="BE760" s="37"/>
      <c r="BF760" s="65"/>
      <c r="BG760" s="137" t="s">
        <v>966</v>
      </c>
      <c r="BH760" s="139" t="s">
        <v>61</v>
      </c>
      <c r="BI760" s="37"/>
      <c r="BJ760" s="65"/>
      <c r="BK760" s="137" t="s">
        <v>966</v>
      </c>
      <c r="BL760" s="139" t="s">
        <v>61</v>
      </c>
      <c r="BM760" s="37"/>
      <c r="BN760" s="65"/>
      <c r="BO760" s="137" t="s">
        <v>966</v>
      </c>
      <c r="BP760" s="139" t="s">
        <v>61</v>
      </c>
      <c r="BQ760" s="37"/>
      <c r="BR760" s="65"/>
      <c r="BS760" s="137" t="s">
        <v>966</v>
      </c>
      <c r="BT760" s="139" t="s">
        <v>61</v>
      </c>
      <c r="BU760" s="37"/>
    </row>
    <row r="761" ht="12.75" customHeight="1">
      <c r="A761" s="131" t="s">
        <v>967</v>
      </c>
      <c r="B761" s="132" t="s">
        <v>284</v>
      </c>
      <c r="C761" s="69"/>
      <c r="D761" s="134"/>
      <c r="E761" s="59"/>
      <c r="F761" s="65"/>
      <c r="G761" s="70" t="s">
        <v>968</v>
      </c>
      <c r="H761" s="136"/>
      <c r="I761" s="72"/>
      <c r="J761" s="65"/>
      <c r="K761" s="137" t="s">
        <v>968</v>
      </c>
      <c r="L761" s="139" t="s">
        <v>284</v>
      </c>
      <c r="M761" s="37"/>
      <c r="N761" s="65"/>
      <c r="O761" s="137" t="s">
        <v>968</v>
      </c>
      <c r="P761" s="139" t="s">
        <v>284</v>
      </c>
      <c r="Q761" s="37"/>
      <c r="R761" s="65"/>
      <c r="S761" s="137" t="s">
        <v>968</v>
      </c>
      <c r="T761" s="139" t="s">
        <v>284</v>
      </c>
      <c r="U761" s="37"/>
      <c r="V761" s="65"/>
      <c r="W761" s="137" t="s">
        <v>968</v>
      </c>
      <c r="X761" s="139" t="s">
        <v>284</v>
      </c>
      <c r="Y761" s="37"/>
      <c r="Z761" s="65"/>
      <c r="AA761" s="137" t="s">
        <v>968</v>
      </c>
      <c r="AB761" s="139" t="s">
        <v>284</v>
      </c>
      <c r="AC761" s="37"/>
      <c r="AD761" s="65"/>
      <c r="AE761" s="137" t="s">
        <v>968</v>
      </c>
      <c r="AF761" s="139" t="s">
        <v>284</v>
      </c>
      <c r="AG761" s="37"/>
      <c r="AH761" s="65"/>
      <c r="AI761" s="137" t="s">
        <v>968</v>
      </c>
      <c r="AJ761" s="139" t="s">
        <v>284</v>
      </c>
      <c r="AK761" s="37"/>
      <c r="AL761" s="65"/>
      <c r="AM761" s="137" t="s">
        <v>968</v>
      </c>
      <c r="AN761" s="139" t="s">
        <v>284</v>
      </c>
      <c r="AO761" s="37"/>
      <c r="AP761" s="65"/>
      <c r="AQ761" s="137" t="s">
        <v>968</v>
      </c>
      <c r="AR761" s="139" t="s">
        <v>284</v>
      </c>
      <c r="AS761" s="37"/>
      <c r="AT761" s="65"/>
      <c r="AU761" s="137" t="s">
        <v>968</v>
      </c>
      <c r="AV761" s="139" t="s">
        <v>284</v>
      </c>
      <c r="AW761" s="37"/>
      <c r="AX761" s="65"/>
      <c r="AY761" s="137" t="s">
        <v>968</v>
      </c>
      <c r="AZ761" s="139" t="s">
        <v>284</v>
      </c>
      <c r="BA761" s="37"/>
      <c r="BB761" s="65"/>
      <c r="BC761" s="137" t="s">
        <v>968</v>
      </c>
      <c r="BD761" s="139" t="s">
        <v>284</v>
      </c>
      <c r="BE761" s="37"/>
      <c r="BF761" s="65"/>
      <c r="BG761" s="137" t="s">
        <v>968</v>
      </c>
      <c r="BH761" s="139" t="s">
        <v>284</v>
      </c>
      <c r="BI761" s="37"/>
      <c r="BJ761" s="65"/>
      <c r="BK761" s="137" t="s">
        <v>968</v>
      </c>
      <c r="BL761" s="139" t="s">
        <v>284</v>
      </c>
      <c r="BM761" s="37"/>
      <c r="BN761" s="65"/>
      <c r="BO761" s="137" t="s">
        <v>968</v>
      </c>
      <c r="BP761" s="139" t="s">
        <v>284</v>
      </c>
      <c r="BQ761" s="37"/>
      <c r="BR761" s="65"/>
      <c r="BS761" s="137" t="s">
        <v>968</v>
      </c>
      <c r="BT761" s="139" t="s">
        <v>284</v>
      </c>
      <c r="BU761" s="37"/>
    </row>
    <row r="762" ht="12.75" customHeight="1">
      <c r="A762" s="93"/>
      <c r="B762" s="94"/>
      <c r="C762" s="94"/>
      <c r="D762" s="134"/>
      <c r="E762" s="59"/>
      <c r="F762" s="65"/>
      <c r="G762" s="164"/>
      <c r="H762" s="136"/>
      <c r="I762" s="72"/>
      <c r="J762" s="65"/>
      <c r="K762" s="165"/>
      <c r="L762" s="132"/>
      <c r="M762" s="37"/>
      <c r="N762" s="65"/>
      <c r="O762" s="165"/>
      <c r="P762" s="132"/>
      <c r="Q762" s="37"/>
      <c r="R762" s="65"/>
      <c r="S762" s="165"/>
      <c r="T762" s="132"/>
      <c r="U762" s="37"/>
      <c r="V762" s="65"/>
      <c r="W762" s="165"/>
      <c r="X762" s="132"/>
      <c r="Y762" s="37"/>
      <c r="Z762" s="65"/>
      <c r="AA762" s="165"/>
      <c r="AB762" s="132"/>
      <c r="AC762" s="37"/>
      <c r="AD762" s="65"/>
      <c r="AE762" s="165"/>
      <c r="AF762" s="132"/>
      <c r="AG762" s="37"/>
      <c r="AH762" s="65"/>
      <c r="AI762" s="165"/>
      <c r="AJ762" s="132"/>
      <c r="AK762" s="37"/>
      <c r="AL762" s="65"/>
      <c r="AM762" s="165"/>
      <c r="AN762" s="132"/>
      <c r="AO762" s="37"/>
      <c r="AP762" s="65"/>
      <c r="AQ762" s="165"/>
      <c r="AR762" s="132"/>
      <c r="AS762" s="37"/>
      <c r="AT762" s="65"/>
      <c r="AU762" s="165"/>
      <c r="AV762" s="132"/>
      <c r="AW762" s="37"/>
      <c r="AX762" s="65"/>
      <c r="AY762" s="165"/>
      <c r="AZ762" s="132"/>
      <c r="BA762" s="37"/>
      <c r="BB762" s="65"/>
      <c r="BC762" s="165"/>
      <c r="BD762" s="132"/>
      <c r="BE762" s="37"/>
      <c r="BF762" s="65"/>
      <c r="BG762" s="165"/>
      <c r="BH762" s="132"/>
      <c r="BI762" s="37"/>
      <c r="BJ762" s="65"/>
      <c r="BK762" s="165"/>
      <c r="BL762" s="132"/>
      <c r="BM762" s="37"/>
      <c r="BN762" s="65"/>
      <c r="BO762" s="165"/>
      <c r="BP762" s="132"/>
      <c r="BQ762" s="37"/>
      <c r="BR762" s="65"/>
      <c r="BS762" s="165"/>
      <c r="BT762" s="132"/>
      <c r="BU762" s="37"/>
    </row>
    <row r="763" ht="12.75" customHeight="1">
      <c r="A763" s="93"/>
      <c r="B763" s="94"/>
      <c r="C763" s="94"/>
      <c r="D763" s="37"/>
      <c r="E763" s="59"/>
      <c r="F763" s="144"/>
      <c r="G763" s="164"/>
      <c r="H763" s="95"/>
      <c r="I763" s="72"/>
      <c r="J763" s="145"/>
      <c r="K763" s="165"/>
      <c r="L763" s="139"/>
      <c r="M763" s="37"/>
      <c r="N763" s="145"/>
      <c r="O763" s="165"/>
      <c r="P763" s="139"/>
      <c r="Q763" s="37"/>
      <c r="R763" s="145"/>
      <c r="S763" s="165"/>
      <c r="T763" s="139"/>
      <c r="U763" s="37"/>
      <c r="V763" s="145"/>
      <c r="W763" s="165"/>
      <c r="X763" s="139"/>
      <c r="Y763" s="37"/>
      <c r="Z763" s="145"/>
      <c r="AA763" s="165"/>
      <c r="AB763" s="139"/>
      <c r="AC763" s="37"/>
      <c r="AD763" s="145"/>
      <c r="AE763" s="165"/>
      <c r="AF763" s="139"/>
      <c r="AG763" s="37"/>
      <c r="AH763" s="145"/>
      <c r="AI763" s="165"/>
      <c r="AJ763" s="139"/>
      <c r="AK763" s="37"/>
      <c r="AL763" s="145"/>
      <c r="AM763" s="165"/>
      <c r="AN763" s="139"/>
      <c r="AO763" s="37"/>
      <c r="AP763" s="145"/>
      <c r="AQ763" s="165"/>
      <c r="AR763" s="139"/>
      <c r="AS763" s="37"/>
      <c r="AT763" s="145"/>
      <c r="AU763" s="165"/>
      <c r="AV763" s="139"/>
      <c r="AW763" s="37"/>
      <c r="AX763" s="145"/>
      <c r="AY763" s="165"/>
      <c r="AZ763" s="139"/>
      <c r="BA763" s="37"/>
      <c r="BB763" s="145"/>
      <c r="BC763" s="165"/>
      <c r="BD763" s="139"/>
      <c r="BE763" s="37"/>
      <c r="BF763" s="145"/>
      <c r="BG763" s="165"/>
      <c r="BH763" s="139"/>
      <c r="BI763" s="37"/>
      <c r="BJ763" s="145"/>
      <c r="BK763" s="165"/>
      <c r="BL763" s="139"/>
      <c r="BM763" s="37"/>
      <c r="BN763" s="145"/>
      <c r="BO763" s="165"/>
      <c r="BP763" s="139"/>
      <c r="BQ763" s="37"/>
      <c r="BR763" s="145"/>
      <c r="BS763" s="165"/>
      <c r="BT763" s="139"/>
      <c r="BU763" s="37"/>
    </row>
    <row r="764" ht="12.75" customHeight="1">
      <c r="A764" s="93"/>
      <c r="B764" s="94"/>
      <c r="C764" s="94"/>
      <c r="D764" s="37"/>
      <c r="E764" s="57"/>
      <c r="F764" s="65" t="s">
        <v>969</v>
      </c>
      <c r="G764" s="88"/>
      <c r="H764" s="149"/>
      <c r="I764" s="72"/>
      <c r="J764" s="65" t="s">
        <v>969</v>
      </c>
      <c r="K764" s="88"/>
      <c r="L764" s="150"/>
      <c r="M764" s="37"/>
      <c r="N764" s="65" t="s">
        <v>969</v>
      </c>
      <c r="O764" s="88"/>
      <c r="P764" s="150"/>
      <c r="Q764" s="37"/>
      <c r="R764" s="65" t="s">
        <v>969</v>
      </c>
      <c r="S764" s="88"/>
      <c r="T764" s="150"/>
      <c r="U764" s="37"/>
      <c r="V764" s="65" t="s">
        <v>969</v>
      </c>
      <c r="W764" s="88"/>
      <c r="X764" s="150"/>
      <c r="Y764" s="37"/>
      <c r="Z764" s="65" t="s">
        <v>969</v>
      </c>
      <c r="AA764" s="88"/>
      <c r="AB764" s="150"/>
      <c r="AC764" s="37"/>
      <c r="AD764" s="65" t="s">
        <v>969</v>
      </c>
      <c r="AE764" s="88"/>
      <c r="AF764" s="150"/>
      <c r="AG764" s="37"/>
      <c r="AH764" s="65" t="s">
        <v>969</v>
      </c>
      <c r="AI764" s="88"/>
      <c r="AJ764" s="150"/>
      <c r="AK764" s="37"/>
      <c r="AL764" s="65" t="s">
        <v>969</v>
      </c>
      <c r="AM764" s="88"/>
      <c r="AN764" s="150"/>
      <c r="AO764" s="37"/>
      <c r="AP764" s="65" t="s">
        <v>969</v>
      </c>
      <c r="AQ764" s="88"/>
      <c r="AR764" s="150"/>
      <c r="AS764" s="37"/>
      <c r="AT764" s="65" t="s">
        <v>969</v>
      </c>
      <c r="AU764" s="88"/>
      <c r="AV764" s="150"/>
      <c r="AW764" s="37"/>
      <c r="AX764" s="65" t="s">
        <v>969</v>
      </c>
      <c r="AY764" s="88"/>
      <c r="AZ764" s="150"/>
      <c r="BA764" s="37"/>
      <c r="BB764" s="65" t="s">
        <v>969</v>
      </c>
      <c r="BC764" s="88"/>
      <c r="BD764" s="150"/>
      <c r="BE764" s="37"/>
      <c r="BF764" s="65" t="s">
        <v>969</v>
      </c>
      <c r="BG764" s="88"/>
      <c r="BH764" s="150"/>
      <c r="BI764" s="37"/>
      <c r="BJ764" s="65" t="s">
        <v>969</v>
      </c>
      <c r="BK764" s="88"/>
      <c r="BL764" s="150"/>
      <c r="BM764" s="37"/>
      <c r="BN764" s="65" t="s">
        <v>969</v>
      </c>
      <c r="BO764" s="88"/>
      <c r="BP764" s="150"/>
      <c r="BQ764" s="37"/>
      <c r="BR764" s="65" t="s">
        <v>969</v>
      </c>
      <c r="BS764" s="88"/>
      <c r="BT764" s="150"/>
      <c r="BU764" s="37"/>
    </row>
    <row r="765" ht="12.75" customHeight="1">
      <c r="A765" s="63" t="s">
        <v>36</v>
      </c>
      <c r="B765" s="64" t="s">
        <v>37</v>
      </c>
      <c r="C765" s="64" t="s">
        <v>38</v>
      </c>
      <c r="D765" s="37"/>
      <c r="E765" s="57"/>
      <c r="F765" s="65"/>
      <c r="G765" s="66" t="s">
        <v>39</v>
      </c>
      <c r="H765" s="67" t="s">
        <v>40</v>
      </c>
      <c r="I765" s="153"/>
      <c r="J765" s="65"/>
      <c r="K765" s="66" t="s">
        <v>39</v>
      </c>
      <c r="L765" s="130" t="s">
        <v>40</v>
      </c>
      <c r="M765" s="92"/>
      <c r="N765" s="65"/>
      <c r="O765" s="66" t="s">
        <v>39</v>
      </c>
      <c r="P765" s="130" t="s">
        <v>40</v>
      </c>
      <c r="Q765" s="37"/>
      <c r="R765" s="65"/>
      <c r="S765" s="66" t="s">
        <v>39</v>
      </c>
      <c r="T765" s="130" t="s">
        <v>40</v>
      </c>
      <c r="U765" s="37"/>
      <c r="V765" s="65"/>
      <c r="W765" s="66" t="s">
        <v>39</v>
      </c>
      <c r="X765" s="130" t="s">
        <v>40</v>
      </c>
      <c r="Y765" s="37"/>
      <c r="Z765" s="65"/>
      <c r="AA765" s="66" t="s">
        <v>39</v>
      </c>
      <c r="AB765" s="130" t="s">
        <v>40</v>
      </c>
      <c r="AC765" s="37"/>
      <c r="AD765" s="65"/>
      <c r="AE765" s="66" t="s">
        <v>39</v>
      </c>
      <c r="AF765" s="130" t="s">
        <v>40</v>
      </c>
      <c r="AG765" s="37"/>
      <c r="AH765" s="65"/>
      <c r="AI765" s="66" t="s">
        <v>39</v>
      </c>
      <c r="AJ765" s="130" t="s">
        <v>40</v>
      </c>
      <c r="AK765" s="37"/>
      <c r="AL765" s="65"/>
      <c r="AM765" s="66" t="s">
        <v>39</v>
      </c>
      <c r="AN765" s="130" t="s">
        <v>40</v>
      </c>
      <c r="AO765" s="37"/>
      <c r="AP765" s="65"/>
      <c r="AQ765" s="66" t="s">
        <v>39</v>
      </c>
      <c r="AR765" s="130" t="s">
        <v>40</v>
      </c>
      <c r="AS765" s="37"/>
      <c r="AT765" s="65"/>
      <c r="AU765" s="66" t="s">
        <v>39</v>
      </c>
      <c r="AV765" s="130" t="s">
        <v>40</v>
      </c>
      <c r="AW765" s="37"/>
      <c r="AX765" s="65"/>
      <c r="AY765" s="66" t="s">
        <v>39</v>
      </c>
      <c r="AZ765" s="130" t="s">
        <v>40</v>
      </c>
      <c r="BA765" s="37"/>
      <c r="BB765" s="65"/>
      <c r="BC765" s="66" t="s">
        <v>39</v>
      </c>
      <c r="BD765" s="130" t="s">
        <v>40</v>
      </c>
      <c r="BE765" s="37"/>
      <c r="BF765" s="65"/>
      <c r="BG765" s="66" t="s">
        <v>39</v>
      </c>
      <c r="BH765" s="130" t="s">
        <v>40</v>
      </c>
      <c r="BI765" s="37"/>
      <c r="BJ765" s="65"/>
      <c r="BK765" s="66" t="s">
        <v>39</v>
      </c>
      <c r="BL765" s="130" t="s">
        <v>40</v>
      </c>
      <c r="BM765" s="37"/>
      <c r="BN765" s="65"/>
      <c r="BO765" s="66" t="s">
        <v>39</v>
      </c>
      <c r="BP765" s="130" t="s">
        <v>40</v>
      </c>
      <c r="BQ765" s="37"/>
      <c r="BR765" s="65"/>
      <c r="BS765" s="66" t="s">
        <v>39</v>
      </c>
      <c r="BT765" s="130" t="s">
        <v>40</v>
      </c>
      <c r="BU765" s="37"/>
    </row>
    <row r="766" ht="12.75" customHeight="1">
      <c r="A766" s="131" t="s">
        <v>970</v>
      </c>
      <c r="B766" s="132" t="s">
        <v>46</v>
      </c>
      <c r="C766" s="69"/>
      <c r="D766" s="134"/>
      <c r="E766" s="59"/>
      <c r="F766" s="65"/>
      <c r="G766" s="70" t="s">
        <v>971</v>
      </c>
      <c r="H766" s="136"/>
      <c r="I766" s="72"/>
      <c r="J766" s="65"/>
      <c r="K766" s="137" t="s">
        <v>971</v>
      </c>
      <c r="L766" s="139" t="s">
        <v>46</v>
      </c>
      <c r="M766" s="37"/>
      <c r="N766" s="65"/>
      <c r="O766" s="137" t="s">
        <v>971</v>
      </c>
      <c r="P766" s="139" t="s">
        <v>46</v>
      </c>
      <c r="Q766" s="37"/>
      <c r="R766" s="65"/>
      <c r="S766" s="137" t="s">
        <v>971</v>
      </c>
      <c r="T766" s="139" t="s">
        <v>46</v>
      </c>
      <c r="U766" s="37"/>
      <c r="V766" s="65"/>
      <c r="W766" s="137" t="s">
        <v>971</v>
      </c>
      <c r="X766" s="139" t="s">
        <v>46</v>
      </c>
      <c r="Y766" s="37"/>
      <c r="Z766" s="65"/>
      <c r="AA766" s="137" t="s">
        <v>971</v>
      </c>
      <c r="AB766" s="139" t="s">
        <v>46</v>
      </c>
      <c r="AC766" s="37"/>
      <c r="AD766" s="65"/>
      <c r="AE766" s="137" t="s">
        <v>971</v>
      </c>
      <c r="AF766" s="139" t="s">
        <v>46</v>
      </c>
      <c r="AG766" s="37"/>
      <c r="AH766" s="65"/>
      <c r="AI766" s="137" t="s">
        <v>971</v>
      </c>
      <c r="AJ766" s="139" t="s">
        <v>46</v>
      </c>
      <c r="AK766" s="37"/>
      <c r="AL766" s="65"/>
      <c r="AM766" s="137" t="s">
        <v>971</v>
      </c>
      <c r="AN766" s="139" t="s">
        <v>46</v>
      </c>
      <c r="AO766" s="37"/>
      <c r="AP766" s="65"/>
      <c r="AQ766" s="137" t="s">
        <v>971</v>
      </c>
      <c r="AR766" s="139" t="s">
        <v>46</v>
      </c>
      <c r="AS766" s="37"/>
      <c r="AT766" s="65"/>
      <c r="AU766" s="137" t="s">
        <v>971</v>
      </c>
      <c r="AV766" s="139" t="s">
        <v>46</v>
      </c>
      <c r="AW766" s="37"/>
      <c r="AX766" s="65"/>
      <c r="AY766" s="137" t="s">
        <v>971</v>
      </c>
      <c r="AZ766" s="139" t="s">
        <v>46</v>
      </c>
      <c r="BA766" s="37"/>
      <c r="BB766" s="65"/>
      <c r="BC766" s="137" t="s">
        <v>971</v>
      </c>
      <c r="BD766" s="139" t="s">
        <v>46</v>
      </c>
      <c r="BE766" s="37"/>
      <c r="BF766" s="65"/>
      <c r="BG766" s="137" t="s">
        <v>971</v>
      </c>
      <c r="BH766" s="139" t="s">
        <v>46</v>
      </c>
      <c r="BI766" s="37"/>
      <c r="BJ766" s="65"/>
      <c r="BK766" s="137" t="s">
        <v>971</v>
      </c>
      <c r="BL766" s="139" t="s">
        <v>46</v>
      </c>
      <c r="BM766" s="37"/>
      <c r="BN766" s="65"/>
      <c r="BO766" s="137" t="s">
        <v>971</v>
      </c>
      <c r="BP766" s="139" t="s">
        <v>46</v>
      </c>
      <c r="BQ766" s="37"/>
      <c r="BR766" s="65"/>
      <c r="BS766" s="137" t="s">
        <v>971</v>
      </c>
      <c r="BT766" s="139" t="s">
        <v>46</v>
      </c>
      <c r="BU766" s="37"/>
    </row>
    <row r="767" ht="12.75" customHeight="1">
      <c r="A767" s="131" t="s">
        <v>972</v>
      </c>
      <c r="B767" s="132" t="s">
        <v>46</v>
      </c>
      <c r="C767" s="69"/>
      <c r="D767" s="134"/>
      <c r="E767" s="59"/>
      <c r="F767" s="65"/>
      <c r="G767" s="70" t="s">
        <v>973</v>
      </c>
      <c r="H767" s="136"/>
      <c r="I767" s="72"/>
      <c r="J767" s="65"/>
      <c r="K767" s="137" t="s">
        <v>973</v>
      </c>
      <c r="L767" s="139" t="s">
        <v>46</v>
      </c>
      <c r="M767" s="37"/>
      <c r="N767" s="65"/>
      <c r="O767" s="137" t="s">
        <v>973</v>
      </c>
      <c r="P767" s="139" t="s">
        <v>46</v>
      </c>
      <c r="Q767" s="37"/>
      <c r="R767" s="65"/>
      <c r="S767" s="137" t="s">
        <v>973</v>
      </c>
      <c r="T767" s="139" t="s">
        <v>46</v>
      </c>
      <c r="U767" s="37"/>
      <c r="V767" s="65"/>
      <c r="W767" s="137" t="s">
        <v>973</v>
      </c>
      <c r="X767" s="139" t="s">
        <v>46</v>
      </c>
      <c r="Y767" s="37"/>
      <c r="Z767" s="65"/>
      <c r="AA767" s="137" t="s">
        <v>973</v>
      </c>
      <c r="AB767" s="139" t="s">
        <v>46</v>
      </c>
      <c r="AC767" s="37"/>
      <c r="AD767" s="65"/>
      <c r="AE767" s="137" t="s">
        <v>973</v>
      </c>
      <c r="AF767" s="139" t="s">
        <v>46</v>
      </c>
      <c r="AG767" s="37"/>
      <c r="AH767" s="65"/>
      <c r="AI767" s="137" t="s">
        <v>973</v>
      </c>
      <c r="AJ767" s="139" t="s">
        <v>46</v>
      </c>
      <c r="AK767" s="37"/>
      <c r="AL767" s="65"/>
      <c r="AM767" s="137" t="s">
        <v>973</v>
      </c>
      <c r="AN767" s="139" t="s">
        <v>46</v>
      </c>
      <c r="AO767" s="37"/>
      <c r="AP767" s="65"/>
      <c r="AQ767" s="137" t="s">
        <v>973</v>
      </c>
      <c r="AR767" s="139" t="s">
        <v>46</v>
      </c>
      <c r="AS767" s="37"/>
      <c r="AT767" s="65"/>
      <c r="AU767" s="137" t="s">
        <v>973</v>
      </c>
      <c r="AV767" s="139" t="s">
        <v>46</v>
      </c>
      <c r="AW767" s="37"/>
      <c r="AX767" s="65"/>
      <c r="AY767" s="137" t="s">
        <v>973</v>
      </c>
      <c r="AZ767" s="139" t="s">
        <v>46</v>
      </c>
      <c r="BA767" s="37"/>
      <c r="BB767" s="65"/>
      <c r="BC767" s="137" t="s">
        <v>973</v>
      </c>
      <c r="BD767" s="139" t="s">
        <v>46</v>
      </c>
      <c r="BE767" s="37"/>
      <c r="BF767" s="65"/>
      <c r="BG767" s="137" t="s">
        <v>973</v>
      </c>
      <c r="BH767" s="139" t="s">
        <v>46</v>
      </c>
      <c r="BI767" s="37"/>
      <c r="BJ767" s="65"/>
      <c r="BK767" s="137" t="s">
        <v>973</v>
      </c>
      <c r="BL767" s="139" t="s">
        <v>46</v>
      </c>
      <c r="BM767" s="37"/>
      <c r="BN767" s="65"/>
      <c r="BO767" s="137" t="s">
        <v>973</v>
      </c>
      <c r="BP767" s="139" t="s">
        <v>46</v>
      </c>
      <c r="BQ767" s="37"/>
      <c r="BR767" s="65"/>
      <c r="BS767" s="137" t="s">
        <v>973</v>
      </c>
      <c r="BT767" s="139" t="s">
        <v>46</v>
      </c>
      <c r="BU767" s="37"/>
    </row>
    <row r="768" ht="12.75" customHeight="1">
      <c r="A768" s="131" t="s">
        <v>974</v>
      </c>
      <c r="B768" s="132" t="s">
        <v>63</v>
      </c>
      <c r="C768" s="69"/>
      <c r="D768" s="134"/>
      <c r="E768" s="59"/>
      <c r="F768" s="65"/>
      <c r="G768" s="70" t="s">
        <v>975</v>
      </c>
      <c r="H768" s="136"/>
      <c r="I768" s="72"/>
      <c r="J768" s="65"/>
      <c r="K768" s="137" t="s">
        <v>975</v>
      </c>
      <c r="L768" s="139" t="s">
        <v>63</v>
      </c>
      <c r="M768" s="37"/>
      <c r="N768" s="65"/>
      <c r="O768" s="137" t="s">
        <v>975</v>
      </c>
      <c r="P768" s="139" t="s">
        <v>63</v>
      </c>
      <c r="Q768" s="37"/>
      <c r="R768" s="65"/>
      <c r="S768" s="137" t="s">
        <v>975</v>
      </c>
      <c r="T768" s="139" t="s">
        <v>63</v>
      </c>
      <c r="U768" s="37"/>
      <c r="V768" s="65"/>
      <c r="W768" s="137" t="s">
        <v>975</v>
      </c>
      <c r="X768" s="139" t="s">
        <v>63</v>
      </c>
      <c r="Y768" s="37"/>
      <c r="Z768" s="65"/>
      <c r="AA768" s="137" t="s">
        <v>975</v>
      </c>
      <c r="AB768" s="139" t="s">
        <v>63</v>
      </c>
      <c r="AC768" s="37"/>
      <c r="AD768" s="65"/>
      <c r="AE768" s="137" t="s">
        <v>975</v>
      </c>
      <c r="AF768" s="139" t="s">
        <v>63</v>
      </c>
      <c r="AG768" s="37"/>
      <c r="AH768" s="65"/>
      <c r="AI768" s="137" t="s">
        <v>975</v>
      </c>
      <c r="AJ768" s="139" t="s">
        <v>63</v>
      </c>
      <c r="AK768" s="37"/>
      <c r="AL768" s="65"/>
      <c r="AM768" s="137" t="s">
        <v>975</v>
      </c>
      <c r="AN768" s="139" t="s">
        <v>63</v>
      </c>
      <c r="AO768" s="37"/>
      <c r="AP768" s="65"/>
      <c r="AQ768" s="137" t="s">
        <v>975</v>
      </c>
      <c r="AR768" s="139" t="s">
        <v>63</v>
      </c>
      <c r="AS768" s="37"/>
      <c r="AT768" s="65"/>
      <c r="AU768" s="137" t="s">
        <v>975</v>
      </c>
      <c r="AV768" s="139" t="s">
        <v>63</v>
      </c>
      <c r="AW768" s="37"/>
      <c r="AX768" s="65"/>
      <c r="AY768" s="137" t="s">
        <v>975</v>
      </c>
      <c r="AZ768" s="139" t="s">
        <v>63</v>
      </c>
      <c r="BA768" s="37"/>
      <c r="BB768" s="65"/>
      <c r="BC768" s="137" t="s">
        <v>975</v>
      </c>
      <c r="BD768" s="139" t="s">
        <v>63</v>
      </c>
      <c r="BE768" s="37"/>
      <c r="BF768" s="65"/>
      <c r="BG768" s="137" t="s">
        <v>975</v>
      </c>
      <c r="BH768" s="139" t="s">
        <v>63</v>
      </c>
      <c r="BI768" s="37"/>
      <c r="BJ768" s="65"/>
      <c r="BK768" s="137" t="s">
        <v>975</v>
      </c>
      <c r="BL768" s="139" t="s">
        <v>63</v>
      </c>
      <c r="BM768" s="37"/>
      <c r="BN768" s="65"/>
      <c r="BO768" s="137" t="s">
        <v>975</v>
      </c>
      <c r="BP768" s="139" t="s">
        <v>63</v>
      </c>
      <c r="BQ768" s="37"/>
      <c r="BR768" s="65"/>
      <c r="BS768" s="137" t="s">
        <v>975</v>
      </c>
      <c r="BT768" s="139" t="s">
        <v>63</v>
      </c>
      <c r="BU768" s="37"/>
    </row>
    <row r="769" ht="12.75" customHeight="1">
      <c r="A769" s="131" t="s">
        <v>976</v>
      </c>
      <c r="B769" s="132" t="s">
        <v>46</v>
      </c>
      <c r="C769" s="69"/>
      <c r="D769" s="134"/>
      <c r="E769" s="59"/>
      <c r="F769" s="65"/>
      <c r="G769" s="70" t="s">
        <v>977</v>
      </c>
      <c r="H769" s="136"/>
      <c r="I769" s="72"/>
      <c r="J769" s="65"/>
      <c r="K769" s="137" t="s">
        <v>977</v>
      </c>
      <c r="L769" s="139" t="s">
        <v>46</v>
      </c>
      <c r="M769" s="37"/>
      <c r="N769" s="65"/>
      <c r="O769" s="137" t="s">
        <v>977</v>
      </c>
      <c r="P769" s="139" t="s">
        <v>46</v>
      </c>
      <c r="Q769" s="37"/>
      <c r="R769" s="65"/>
      <c r="S769" s="137" t="s">
        <v>977</v>
      </c>
      <c r="T769" s="139" t="s">
        <v>46</v>
      </c>
      <c r="U769" s="37"/>
      <c r="V769" s="65"/>
      <c r="W769" s="137" t="s">
        <v>977</v>
      </c>
      <c r="X769" s="139" t="s">
        <v>46</v>
      </c>
      <c r="Y769" s="37"/>
      <c r="Z769" s="65"/>
      <c r="AA769" s="137" t="s">
        <v>977</v>
      </c>
      <c r="AB769" s="139" t="s">
        <v>46</v>
      </c>
      <c r="AC769" s="37"/>
      <c r="AD769" s="65"/>
      <c r="AE769" s="137" t="s">
        <v>977</v>
      </c>
      <c r="AF769" s="139" t="s">
        <v>46</v>
      </c>
      <c r="AG769" s="37"/>
      <c r="AH769" s="65"/>
      <c r="AI769" s="137" t="s">
        <v>977</v>
      </c>
      <c r="AJ769" s="139" t="s">
        <v>46</v>
      </c>
      <c r="AK769" s="37"/>
      <c r="AL769" s="65"/>
      <c r="AM769" s="137" t="s">
        <v>977</v>
      </c>
      <c r="AN769" s="139" t="s">
        <v>46</v>
      </c>
      <c r="AO769" s="37"/>
      <c r="AP769" s="65"/>
      <c r="AQ769" s="137" t="s">
        <v>977</v>
      </c>
      <c r="AR769" s="139" t="s">
        <v>46</v>
      </c>
      <c r="AS769" s="37"/>
      <c r="AT769" s="65"/>
      <c r="AU769" s="137" t="s">
        <v>977</v>
      </c>
      <c r="AV769" s="139" t="s">
        <v>46</v>
      </c>
      <c r="AW769" s="37"/>
      <c r="AX769" s="65"/>
      <c r="AY769" s="137" t="s">
        <v>977</v>
      </c>
      <c r="AZ769" s="139" t="s">
        <v>46</v>
      </c>
      <c r="BA769" s="37"/>
      <c r="BB769" s="65"/>
      <c r="BC769" s="137" t="s">
        <v>977</v>
      </c>
      <c r="BD769" s="139" t="s">
        <v>46</v>
      </c>
      <c r="BE769" s="37"/>
      <c r="BF769" s="65"/>
      <c r="BG769" s="137" t="s">
        <v>977</v>
      </c>
      <c r="BH769" s="139" t="s">
        <v>46</v>
      </c>
      <c r="BI769" s="37"/>
      <c r="BJ769" s="65"/>
      <c r="BK769" s="137" t="s">
        <v>977</v>
      </c>
      <c r="BL769" s="139" t="s">
        <v>46</v>
      </c>
      <c r="BM769" s="37"/>
      <c r="BN769" s="65"/>
      <c r="BO769" s="137" t="s">
        <v>977</v>
      </c>
      <c r="BP769" s="139" t="s">
        <v>46</v>
      </c>
      <c r="BQ769" s="37"/>
      <c r="BR769" s="65"/>
      <c r="BS769" s="137" t="s">
        <v>977</v>
      </c>
      <c r="BT769" s="139" t="s">
        <v>46</v>
      </c>
      <c r="BU769" s="37"/>
    </row>
    <row r="770" ht="12.75" customHeight="1">
      <c r="A770" s="93"/>
      <c r="B770" s="94"/>
      <c r="C770" s="94"/>
      <c r="D770" s="134"/>
      <c r="E770" s="59"/>
      <c r="F770" s="65"/>
      <c r="G770" s="164"/>
      <c r="H770" s="136"/>
      <c r="I770" s="72"/>
      <c r="J770" s="65"/>
      <c r="K770" s="165"/>
      <c r="L770" s="132"/>
      <c r="M770" s="37"/>
      <c r="N770" s="65"/>
      <c r="O770" s="165"/>
      <c r="P770" s="132"/>
      <c r="Q770" s="37"/>
      <c r="R770" s="65"/>
      <c r="S770" s="165"/>
      <c r="T770" s="132"/>
      <c r="U770" s="37"/>
      <c r="V770" s="65"/>
      <c r="W770" s="165"/>
      <c r="X770" s="132"/>
      <c r="Y770" s="37"/>
      <c r="Z770" s="65"/>
      <c r="AA770" s="165"/>
      <c r="AB770" s="132"/>
      <c r="AC770" s="37"/>
      <c r="AD770" s="65"/>
      <c r="AE770" s="165"/>
      <c r="AF770" s="132"/>
      <c r="AG770" s="37"/>
      <c r="AH770" s="65"/>
      <c r="AI770" s="165"/>
      <c r="AJ770" s="132"/>
      <c r="AK770" s="37"/>
      <c r="AL770" s="65"/>
      <c r="AM770" s="165"/>
      <c r="AN770" s="132"/>
      <c r="AO770" s="37"/>
      <c r="AP770" s="65"/>
      <c r="AQ770" s="165"/>
      <c r="AR770" s="132"/>
      <c r="AS770" s="37"/>
      <c r="AT770" s="65"/>
      <c r="AU770" s="165"/>
      <c r="AV770" s="132"/>
      <c r="AW770" s="37"/>
      <c r="AX770" s="65"/>
      <c r="AY770" s="165"/>
      <c r="AZ770" s="132"/>
      <c r="BA770" s="37"/>
      <c r="BB770" s="65"/>
      <c r="BC770" s="165"/>
      <c r="BD770" s="132"/>
      <c r="BE770" s="37"/>
      <c r="BF770" s="65"/>
      <c r="BG770" s="165"/>
      <c r="BH770" s="132"/>
      <c r="BI770" s="37"/>
      <c r="BJ770" s="65"/>
      <c r="BK770" s="165"/>
      <c r="BL770" s="132"/>
      <c r="BM770" s="37"/>
      <c r="BN770" s="65"/>
      <c r="BO770" s="165"/>
      <c r="BP770" s="132"/>
      <c r="BQ770" s="37"/>
      <c r="BR770" s="65"/>
      <c r="BS770" s="165"/>
      <c r="BT770" s="132"/>
      <c r="BU770" s="37"/>
    </row>
    <row r="771" ht="12.75" customHeight="1">
      <c r="A771" s="93"/>
      <c r="B771" s="94"/>
      <c r="C771" s="58"/>
      <c r="D771" s="37"/>
      <c r="E771" s="59"/>
      <c r="F771" s="144"/>
      <c r="G771" s="164"/>
      <c r="H771" s="95"/>
      <c r="I771" s="72"/>
      <c r="J771" s="145"/>
      <c r="K771" s="165"/>
      <c r="L771" s="139"/>
      <c r="M771" s="37"/>
      <c r="N771" s="145"/>
      <c r="O771" s="165"/>
      <c r="P771" s="139"/>
      <c r="Q771" s="37"/>
      <c r="R771" s="145"/>
      <c r="S771" s="165"/>
      <c r="T771" s="139"/>
      <c r="U771" s="37"/>
      <c r="V771" s="145"/>
      <c r="W771" s="165"/>
      <c r="X771" s="139"/>
      <c r="Y771" s="37"/>
      <c r="Z771" s="145"/>
      <c r="AA771" s="165"/>
      <c r="AB771" s="139"/>
      <c r="AC771" s="37"/>
      <c r="AD771" s="145"/>
      <c r="AE771" s="165"/>
      <c r="AF771" s="139"/>
      <c r="AG771" s="37"/>
      <c r="AH771" s="145"/>
      <c r="AI771" s="165"/>
      <c r="AJ771" s="139"/>
      <c r="AK771" s="37"/>
      <c r="AL771" s="145"/>
      <c r="AM771" s="165"/>
      <c r="AN771" s="139"/>
      <c r="AO771" s="37"/>
      <c r="AP771" s="145"/>
      <c r="AQ771" s="165"/>
      <c r="AR771" s="139"/>
      <c r="AS771" s="37"/>
      <c r="AT771" s="145"/>
      <c r="AU771" s="165"/>
      <c r="AV771" s="139"/>
      <c r="AW771" s="37"/>
      <c r="AX771" s="145"/>
      <c r="AY771" s="165"/>
      <c r="AZ771" s="139"/>
      <c r="BA771" s="37"/>
      <c r="BB771" s="145"/>
      <c r="BC771" s="165"/>
      <c r="BD771" s="139"/>
      <c r="BE771" s="37"/>
      <c r="BF771" s="145"/>
      <c r="BG771" s="165"/>
      <c r="BH771" s="139"/>
      <c r="BI771" s="37"/>
      <c r="BJ771" s="145"/>
      <c r="BK771" s="165"/>
      <c r="BL771" s="139"/>
      <c r="BM771" s="37"/>
      <c r="BN771" s="145"/>
      <c r="BO771" s="165"/>
      <c r="BP771" s="139"/>
      <c r="BQ771" s="37"/>
      <c r="BR771" s="145"/>
      <c r="BS771" s="165"/>
      <c r="BT771" s="139"/>
      <c r="BU771" s="37"/>
    </row>
    <row r="772" ht="12.75" customHeight="1">
      <c r="A772" s="86"/>
      <c r="B772" s="75"/>
      <c r="C772" s="86"/>
      <c r="D772" s="87"/>
      <c r="E772" s="57"/>
      <c r="F772" s="65" t="s">
        <v>978</v>
      </c>
      <c r="G772" s="88"/>
      <c r="H772" s="89"/>
      <c r="I772" s="38"/>
      <c r="J772" s="65" t="s">
        <v>978</v>
      </c>
      <c r="K772" s="88"/>
      <c r="L772" s="166"/>
      <c r="M772" s="37"/>
      <c r="N772" s="65" t="s">
        <v>978</v>
      </c>
      <c r="O772" s="88"/>
      <c r="P772" s="166"/>
      <c r="Q772" s="37"/>
      <c r="R772" s="65" t="s">
        <v>978</v>
      </c>
      <c r="S772" s="88"/>
      <c r="T772" s="166"/>
      <c r="U772" s="37"/>
      <c r="V772" s="65" t="s">
        <v>978</v>
      </c>
      <c r="W772" s="88"/>
      <c r="X772" s="166"/>
      <c r="Y772" s="37"/>
      <c r="Z772" s="65" t="s">
        <v>978</v>
      </c>
      <c r="AA772" s="88"/>
      <c r="AB772" s="166"/>
      <c r="AC772" s="37"/>
      <c r="AD772" s="65" t="s">
        <v>978</v>
      </c>
      <c r="AE772" s="88"/>
      <c r="AF772" s="166"/>
      <c r="AG772" s="37"/>
      <c r="AH772" s="65" t="s">
        <v>978</v>
      </c>
      <c r="AI772" s="88"/>
      <c r="AJ772" s="166"/>
      <c r="AK772" s="37"/>
      <c r="AL772" s="65" t="s">
        <v>978</v>
      </c>
      <c r="AM772" s="88"/>
      <c r="AN772" s="166"/>
      <c r="AO772" s="37"/>
      <c r="AP772" s="65" t="s">
        <v>978</v>
      </c>
      <c r="AQ772" s="88"/>
      <c r="AR772" s="166"/>
      <c r="AS772" s="37"/>
      <c r="AT772" s="65" t="s">
        <v>978</v>
      </c>
      <c r="AU772" s="88"/>
      <c r="AV772" s="166"/>
      <c r="AW772" s="37"/>
      <c r="AX772" s="65" t="s">
        <v>978</v>
      </c>
      <c r="AY772" s="88"/>
      <c r="AZ772" s="166"/>
      <c r="BA772" s="37"/>
      <c r="BB772" s="65" t="s">
        <v>978</v>
      </c>
      <c r="BC772" s="88"/>
      <c r="BD772" s="166"/>
      <c r="BE772" s="37"/>
      <c r="BF772" s="65" t="s">
        <v>978</v>
      </c>
      <c r="BG772" s="88"/>
      <c r="BH772" s="166"/>
      <c r="BI772" s="37"/>
      <c r="BJ772" s="65" t="s">
        <v>978</v>
      </c>
      <c r="BK772" s="88"/>
      <c r="BL772" s="166"/>
      <c r="BM772" s="37"/>
      <c r="BN772" s="65" t="s">
        <v>978</v>
      </c>
      <c r="BO772" s="88"/>
      <c r="BP772" s="166"/>
      <c r="BQ772" s="37"/>
      <c r="BR772" s="65" t="s">
        <v>978</v>
      </c>
      <c r="BS772" s="88"/>
      <c r="BT772" s="166"/>
      <c r="BU772" s="37"/>
    </row>
    <row r="773" ht="12.75" customHeight="1">
      <c r="A773" s="63" t="s">
        <v>36</v>
      </c>
      <c r="B773" s="64" t="s">
        <v>37</v>
      </c>
      <c r="C773" s="64" t="s">
        <v>38</v>
      </c>
      <c r="D773" s="87"/>
      <c r="E773" s="57"/>
      <c r="F773" s="65"/>
      <c r="G773" s="66" t="s">
        <v>39</v>
      </c>
      <c r="H773" s="67" t="s">
        <v>40</v>
      </c>
      <c r="I773" s="38"/>
      <c r="J773" s="65"/>
      <c r="K773" s="66" t="s">
        <v>39</v>
      </c>
      <c r="L773" s="130" t="s">
        <v>40</v>
      </c>
      <c r="M773" s="37"/>
      <c r="N773" s="65"/>
      <c r="O773" s="66" t="s">
        <v>39</v>
      </c>
      <c r="P773" s="130" t="s">
        <v>40</v>
      </c>
      <c r="Q773" s="37"/>
      <c r="R773" s="65"/>
      <c r="S773" s="66" t="s">
        <v>39</v>
      </c>
      <c r="T773" s="130" t="s">
        <v>40</v>
      </c>
      <c r="U773" s="37"/>
      <c r="V773" s="65"/>
      <c r="W773" s="66" t="s">
        <v>39</v>
      </c>
      <c r="X773" s="130" t="s">
        <v>40</v>
      </c>
      <c r="Y773" s="37"/>
      <c r="Z773" s="65"/>
      <c r="AA773" s="66" t="s">
        <v>39</v>
      </c>
      <c r="AB773" s="130" t="s">
        <v>40</v>
      </c>
      <c r="AC773" s="37"/>
      <c r="AD773" s="65"/>
      <c r="AE773" s="66" t="s">
        <v>39</v>
      </c>
      <c r="AF773" s="130" t="s">
        <v>40</v>
      </c>
      <c r="AG773" s="37"/>
      <c r="AH773" s="65"/>
      <c r="AI773" s="66" t="s">
        <v>39</v>
      </c>
      <c r="AJ773" s="130" t="s">
        <v>40</v>
      </c>
      <c r="AK773" s="37"/>
      <c r="AL773" s="65"/>
      <c r="AM773" s="66" t="s">
        <v>39</v>
      </c>
      <c r="AN773" s="130" t="s">
        <v>40</v>
      </c>
      <c r="AO773" s="37"/>
      <c r="AP773" s="65"/>
      <c r="AQ773" s="66" t="s">
        <v>39</v>
      </c>
      <c r="AR773" s="130" t="s">
        <v>40</v>
      </c>
      <c r="AS773" s="37"/>
      <c r="AT773" s="65"/>
      <c r="AU773" s="66" t="s">
        <v>39</v>
      </c>
      <c r="AV773" s="130" t="s">
        <v>40</v>
      </c>
      <c r="AW773" s="37"/>
      <c r="AX773" s="65"/>
      <c r="AY773" s="66" t="s">
        <v>39</v>
      </c>
      <c r="AZ773" s="130" t="s">
        <v>40</v>
      </c>
      <c r="BA773" s="37"/>
      <c r="BB773" s="65"/>
      <c r="BC773" s="66" t="s">
        <v>39</v>
      </c>
      <c r="BD773" s="130" t="s">
        <v>40</v>
      </c>
      <c r="BE773" s="37"/>
      <c r="BF773" s="65"/>
      <c r="BG773" s="66" t="s">
        <v>39</v>
      </c>
      <c r="BH773" s="130" t="s">
        <v>40</v>
      </c>
      <c r="BI773" s="37"/>
      <c r="BJ773" s="65"/>
      <c r="BK773" s="66" t="s">
        <v>39</v>
      </c>
      <c r="BL773" s="130" t="s">
        <v>40</v>
      </c>
      <c r="BM773" s="37"/>
      <c r="BN773" s="65"/>
      <c r="BO773" s="66" t="s">
        <v>39</v>
      </c>
      <c r="BP773" s="130" t="s">
        <v>40</v>
      </c>
      <c r="BQ773" s="37"/>
      <c r="BR773" s="65"/>
      <c r="BS773" s="66" t="s">
        <v>39</v>
      </c>
      <c r="BT773" s="130" t="s">
        <v>40</v>
      </c>
      <c r="BU773" s="37"/>
    </row>
    <row r="774" ht="12.75" customHeight="1">
      <c r="A774" s="146"/>
      <c r="B774" s="132" t="s">
        <v>46</v>
      </c>
      <c r="C774" s="69"/>
      <c r="D774" s="134"/>
      <c r="E774" s="59"/>
      <c r="F774" s="65"/>
      <c r="G774" s="70" t="s">
        <v>979</v>
      </c>
      <c r="H774" s="95"/>
      <c r="I774" s="38"/>
      <c r="J774" s="65"/>
      <c r="K774" s="137" t="s">
        <v>979</v>
      </c>
      <c r="L774" s="139" t="s">
        <v>46</v>
      </c>
      <c r="M774" s="37"/>
      <c r="N774" s="65"/>
      <c r="O774" s="137" t="s">
        <v>979</v>
      </c>
      <c r="P774" s="139" t="s">
        <v>46</v>
      </c>
      <c r="Q774" s="37"/>
      <c r="R774" s="65"/>
      <c r="S774" s="137" t="s">
        <v>979</v>
      </c>
      <c r="T774" s="139" t="s">
        <v>46</v>
      </c>
      <c r="U774" s="37"/>
      <c r="V774" s="65"/>
      <c r="W774" s="137" t="s">
        <v>979</v>
      </c>
      <c r="X774" s="138" t="s">
        <v>63</v>
      </c>
      <c r="Y774" s="37"/>
      <c r="Z774" s="65"/>
      <c r="AA774" s="137" t="s">
        <v>979</v>
      </c>
      <c r="AB774" s="139" t="s">
        <v>46</v>
      </c>
      <c r="AC774" s="37"/>
      <c r="AD774" s="65"/>
      <c r="AE774" s="137" t="s">
        <v>979</v>
      </c>
      <c r="AF774" s="139" t="s">
        <v>46</v>
      </c>
      <c r="AG774" s="37"/>
      <c r="AH774" s="65"/>
      <c r="AI774" s="137" t="s">
        <v>979</v>
      </c>
      <c r="AJ774" s="139" t="s">
        <v>46</v>
      </c>
      <c r="AK774" s="37"/>
      <c r="AL774" s="65"/>
      <c r="AM774" s="137" t="s">
        <v>979</v>
      </c>
      <c r="AN774" s="139" t="s">
        <v>46</v>
      </c>
      <c r="AO774" s="37"/>
      <c r="AP774" s="65"/>
      <c r="AQ774" s="137" t="s">
        <v>979</v>
      </c>
      <c r="AR774" s="139" t="s">
        <v>46</v>
      </c>
      <c r="AS774" s="37"/>
      <c r="AT774" s="65"/>
      <c r="AU774" s="137" t="s">
        <v>979</v>
      </c>
      <c r="AV774" s="139" t="s">
        <v>46</v>
      </c>
      <c r="AW774" s="37"/>
      <c r="AX774" s="65"/>
      <c r="AY774" s="137" t="s">
        <v>979</v>
      </c>
      <c r="AZ774" s="138" t="s">
        <v>63</v>
      </c>
      <c r="BA774" s="37"/>
      <c r="BB774" s="65"/>
      <c r="BC774" s="137" t="s">
        <v>979</v>
      </c>
      <c r="BD774" s="139" t="s">
        <v>46</v>
      </c>
      <c r="BE774" s="37"/>
      <c r="BF774" s="65"/>
      <c r="BG774" s="137" t="s">
        <v>979</v>
      </c>
      <c r="BH774" s="139" t="s">
        <v>46</v>
      </c>
      <c r="BI774" s="37"/>
      <c r="BJ774" s="65"/>
      <c r="BK774" s="137" t="s">
        <v>979</v>
      </c>
      <c r="BL774" s="139" t="s">
        <v>46</v>
      </c>
      <c r="BM774" s="37"/>
      <c r="BN774" s="65"/>
      <c r="BO774" s="137" t="s">
        <v>979</v>
      </c>
      <c r="BP774" s="139" t="s">
        <v>46</v>
      </c>
      <c r="BQ774" s="37"/>
      <c r="BR774" s="65"/>
      <c r="BS774" s="137" t="s">
        <v>979</v>
      </c>
      <c r="BT774" s="139" t="s">
        <v>46</v>
      </c>
      <c r="BU774" s="37"/>
    </row>
    <row r="775" ht="12.75" customHeight="1">
      <c r="A775" s="146"/>
      <c r="B775" s="132" t="s">
        <v>186</v>
      </c>
      <c r="C775" s="69"/>
      <c r="D775" s="134"/>
      <c r="E775" s="59"/>
      <c r="F775" s="65"/>
      <c r="G775" s="70" t="s">
        <v>980</v>
      </c>
      <c r="H775" s="95"/>
      <c r="I775" s="38"/>
      <c r="J775" s="65"/>
      <c r="K775" s="137" t="s">
        <v>980</v>
      </c>
      <c r="L775" s="139" t="s">
        <v>186</v>
      </c>
      <c r="M775" s="37"/>
      <c r="N775" s="65"/>
      <c r="O775" s="137" t="s">
        <v>980</v>
      </c>
      <c r="P775" s="139" t="s">
        <v>186</v>
      </c>
      <c r="Q775" s="37"/>
      <c r="R775" s="65"/>
      <c r="S775" s="137" t="s">
        <v>980</v>
      </c>
      <c r="T775" s="139" t="s">
        <v>186</v>
      </c>
      <c r="U775" s="37"/>
      <c r="V775" s="65"/>
      <c r="W775" s="137" t="s">
        <v>980</v>
      </c>
      <c r="X775" s="139" t="s">
        <v>186</v>
      </c>
      <c r="Y775" s="37"/>
      <c r="Z775" s="65"/>
      <c r="AA775" s="137" t="s">
        <v>980</v>
      </c>
      <c r="AB775" s="139" t="s">
        <v>186</v>
      </c>
      <c r="AC775" s="37"/>
      <c r="AD775" s="65"/>
      <c r="AE775" s="137" t="s">
        <v>980</v>
      </c>
      <c r="AF775" s="139" t="s">
        <v>186</v>
      </c>
      <c r="AG775" s="37"/>
      <c r="AH775" s="65"/>
      <c r="AI775" s="137" t="s">
        <v>980</v>
      </c>
      <c r="AJ775" s="139" t="s">
        <v>186</v>
      </c>
      <c r="AK775" s="37"/>
      <c r="AL775" s="65"/>
      <c r="AM775" s="137" t="s">
        <v>980</v>
      </c>
      <c r="AN775" s="139" t="s">
        <v>186</v>
      </c>
      <c r="AO775" s="37"/>
      <c r="AP775" s="65"/>
      <c r="AQ775" s="137" t="s">
        <v>980</v>
      </c>
      <c r="AR775" s="139" t="s">
        <v>186</v>
      </c>
      <c r="AS775" s="37"/>
      <c r="AT775" s="65"/>
      <c r="AU775" s="137" t="s">
        <v>980</v>
      </c>
      <c r="AV775" s="139" t="s">
        <v>186</v>
      </c>
      <c r="AW775" s="37"/>
      <c r="AX775" s="65"/>
      <c r="AY775" s="137" t="s">
        <v>980</v>
      </c>
      <c r="AZ775" s="139" t="s">
        <v>186</v>
      </c>
      <c r="BA775" s="37"/>
      <c r="BB775" s="65"/>
      <c r="BC775" s="137" t="s">
        <v>980</v>
      </c>
      <c r="BD775" s="139" t="s">
        <v>186</v>
      </c>
      <c r="BE775" s="37"/>
      <c r="BF775" s="65"/>
      <c r="BG775" s="137" t="s">
        <v>980</v>
      </c>
      <c r="BH775" s="139" t="s">
        <v>186</v>
      </c>
      <c r="BI775" s="37"/>
      <c r="BJ775" s="65"/>
      <c r="BK775" s="137" t="s">
        <v>980</v>
      </c>
      <c r="BL775" s="139" t="s">
        <v>186</v>
      </c>
      <c r="BM775" s="37"/>
      <c r="BN775" s="65"/>
      <c r="BO775" s="137" t="s">
        <v>980</v>
      </c>
      <c r="BP775" s="139" t="s">
        <v>186</v>
      </c>
      <c r="BQ775" s="37"/>
      <c r="BR775" s="65"/>
      <c r="BS775" s="137" t="s">
        <v>980</v>
      </c>
      <c r="BT775" s="139" t="s">
        <v>186</v>
      </c>
      <c r="BU775" s="37"/>
    </row>
    <row r="776" ht="12.75" customHeight="1">
      <c r="A776" s="146"/>
      <c r="B776" s="132" t="s">
        <v>46</v>
      </c>
      <c r="C776" s="69"/>
      <c r="D776" s="134"/>
      <c r="E776" s="59"/>
      <c r="F776" s="65"/>
      <c r="G776" s="70" t="s">
        <v>981</v>
      </c>
      <c r="H776" s="95"/>
      <c r="I776" s="38"/>
      <c r="J776" s="65"/>
      <c r="K776" s="137" t="s">
        <v>981</v>
      </c>
      <c r="L776" s="139" t="s">
        <v>46</v>
      </c>
      <c r="M776" s="37"/>
      <c r="N776" s="65"/>
      <c r="O776" s="137" t="s">
        <v>981</v>
      </c>
      <c r="P776" s="139" t="s">
        <v>46</v>
      </c>
      <c r="Q776" s="37"/>
      <c r="R776" s="65"/>
      <c r="S776" s="137" t="s">
        <v>981</v>
      </c>
      <c r="T776" s="139" t="s">
        <v>46</v>
      </c>
      <c r="U776" s="37"/>
      <c r="V776" s="65"/>
      <c r="W776" s="137" t="s">
        <v>981</v>
      </c>
      <c r="X776" s="138" t="s">
        <v>63</v>
      </c>
      <c r="Y776" s="37"/>
      <c r="Z776" s="65"/>
      <c r="AA776" s="137" t="s">
        <v>981</v>
      </c>
      <c r="AB776" s="139" t="s">
        <v>46</v>
      </c>
      <c r="AC776" s="37"/>
      <c r="AD776" s="65"/>
      <c r="AE776" s="137" t="s">
        <v>981</v>
      </c>
      <c r="AF776" s="139" t="s">
        <v>46</v>
      </c>
      <c r="AG776" s="37"/>
      <c r="AH776" s="65"/>
      <c r="AI776" s="137" t="s">
        <v>981</v>
      </c>
      <c r="AJ776" s="139" t="s">
        <v>46</v>
      </c>
      <c r="AK776" s="37"/>
      <c r="AL776" s="65"/>
      <c r="AM776" s="137" t="s">
        <v>981</v>
      </c>
      <c r="AN776" s="139" t="s">
        <v>46</v>
      </c>
      <c r="AO776" s="37"/>
      <c r="AP776" s="65"/>
      <c r="AQ776" s="137" t="s">
        <v>981</v>
      </c>
      <c r="AR776" s="139" t="s">
        <v>46</v>
      </c>
      <c r="AS776" s="37"/>
      <c r="AT776" s="65"/>
      <c r="AU776" s="137" t="s">
        <v>981</v>
      </c>
      <c r="AV776" s="139" t="s">
        <v>46</v>
      </c>
      <c r="AW776" s="37"/>
      <c r="AX776" s="65"/>
      <c r="AY776" s="137" t="s">
        <v>981</v>
      </c>
      <c r="AZ776" s="138" t="s">
        <v>63</v>
      </c>
      <c r="BA776" s="37"/>
      <c r="BB776" s="65"/>
      <c r="BC776" s="137" t="s">
        <v>981</v>
      </c>
      <c r="BD776" s="139" t="s">
        <v>46</v>
      </c>
      <c r="BE776" s="37"/>
      <c r="BF776" s="65"/>
      <c r="BG776" s="137" t="s">
        <v>981</v>
      </c>
      <c r="BH776" s="139" t="s">
        <v>46</v>
      </c>
      <c r="BI776" s="37"/>
      <c r="BJ776" s="65"/>
      <c r="BK776" s="137" t="s">
        <v>981</v>
      </c>
      <c r="BL776" s="139" t="s">
        <v>46</v>
      </c>
      <c r="BM776" s="37"/>
      <c r="BN776" s="65"/>
      <c r="BO776" s="137" t="s">
        <v>981</v>
      </c>
      <c r="BP776" s="139" t="s">
        <v>46</v>
      </c>
      <c r="BQ776" s="37"/>
      <c r="BR776" s="65"/>
      <c r="BS776" s="137" t="s">
        <v>981</v>
      </c>
      <c r="BT776" s="139" t="s">
        <v>46</v>
      </c>
      <c r="BU776" s="37"/>
    </row>
    <row r="777" ht="12.75" customHeight="1">
      <c r="A777" s="93"/>
      <c r="B777" s="94"/>
      <c r="C777" s="94"/>
      <c r="D777" s="87"/>
      <c r="E777" s="57"/>
      <c r="F777" s="65"/>
      <c r="G777" s="76"/>
      <c r="H777" s="95"/>
      <c r="I777" s="72"/>
      <c r="J777" s="65"/>
      <c r="K777" s="109"/>
      <c r="L777" s="139"/>
      <c r="M777" s="37"/>
      <c r="N777" s="65"/>
      <c r="O777" s="109"/>
      <c r="P777" s="139"/>
      <c r="Q777" s="37"/>
      <c r="R777" s="65"/>
      <c r="S777" s="109"/>
      <c r="T777" s="139"/>
      <c r="U777" s="37"/>
      <c r="V777" s="65"/>
      <c r="W777" s="109"/>
      <c r="X777" s="139"/>
      <c r="Y777" s="37"/>
      <c r="Z777" s="65"/>
      <c r="AA777" s="109"/>
      <c r="AB777" s="139"/>
      <c r="AC777" s="37"/>
      <c r="AD777" s="65"/>
      <c r="AE777" s="109"/>
      <c r="AF777" s="139"/>
      <c r="AG777" s="37"/>
      <c r="AH777" s="65"/>
      <c r="AI777" s="109"/>
      <c r="AJ777" s="139"/>
      <c r="AK777" s="37"/>
      <c r="AL777" s="65"/>
      <c r="AM777" s="109"/>
      <c r="AN777" s="139"/>
      <c r="AO777" s="37"/>
      <c r="AP777" s="65"/>
      <c r="AQ777" s="109"/>
      <c r="AR777" s="139"/>
      <c r="AS777" s="37"/>
      <c r="AT777" s="65"/>
      <c r="AU777" s="109"/>
      <c r="AV777" s="139"/>
      <c r="AW777" s="37"/>
      <c r="AX777" s="65"/>
      <c r="AY777" s="109"/>
      <c r="AZ777" s="139"/>
      <c r="BA777" s="37"/>
      <c r="BB777" s="65"/>
      <c r="BC777" s="109"/>
      <c r="BD777" s="139"/>
      <c r="BE777" s="37"/>
      <c r="BF777" s="65"/>
      <c r="BG777" s="109"/>
      <c r="BH777" s="139"/>
      <c r="BI777" s="37"/>
      <c r="BJ777" s="65"/>
      <c r="BK777" s="109"/>
      <c r="BL777" s="139"/>
      <c r="BM777" s="37"/>
      <c r="BN777" s="65"/>
      <c r="BO777" s="109"/>
      <c r="BP777" s="139"/>
      <c r="BQ777" s="37"/>
      <c r="BR777" s="65"/>
      <c r="BS777" s="109"/>
      <c r="BT777" s="139"/>
      <c r="BU777" s="37"/>
    </row>
    <row r="778" ht="12.75" customHeight="1">
      <c r="A778" s="94"/>
      <c r="B778" s="94"/>
      <c r="C778" s="94"/>
      <c r="D778" s="87"/>
      <c r="E778" s="57"/>
      <c r="F778" s="85"/>
      <c r="G778" s="76"/>
      <c r="H778" s="95"/>
      <c r="I778" s="37"/>
      <c r="J778" s="85"/>
      <c r="K778" s="109"/>
      <c r="L778" s="139"/>
      <c r="M778" s="37"/>
      <c r="N778" s="85"/>
      <c r="O778" s="109"/>
      <c r="P778" s="139"/>
      <c r="Q778" s="37"/>
      <c r="R778" s="85"/>
      <c r="S778" s="109"/>
      <c r="T778" s="139"/>
      <c r="U778" s="37"/>
      <c r="V778" s="85"/>
      <c r="W778" s="109"/>
      <c r="X778" s="139"/>
      <c r="Y778" s="37"/>
      <c r="Z778" s="85"/>
      <c r="AA778" s="109"/>
      <c r="AB778" s="139"/>
      <c r="AC778" s="37"/>
      <c r="AD778" s="85"/>
      <c r="AE778" s="109"/>
      <c r="AF778" s="139"/>
      <c r="AG778" s="37"/>
      <c r="AH778" s="85"/>
      <c r="AI778" s="109"/>
      <c r="AJ778" s="139"/>
      <c r="AK778" s="37"/>
      <c r="AL778" s="85"/>
      <c r="AM778" s="109"/>
      <c r="AN778" s="139"/>
      <c r="AO778" s="37"/>
      <c r="AP778" s="85"/>
      <c r="AQ778" s="109"/>
      <c r="AR778" s="139"/>
      <c r="AS778" s="37"/>
      <c r="AT778" s="85"/>
      <c r="AU778" s="109"/>
      <c r="AV778" s="139"/>
      <c r="AW778" s="37"/>
      <c r="AX778" s="85"/>
      <c r="AY778" s="109"/>
      <c r="AZ778" s="139"/>
      <c r="BA778" s="37"/>
      <c r="BB778" s="85"/>
      <c r="BC778" s="109"/>
      <c r="BD778" s="139"/>
      <c r="BE778" s="37"/>
      <c r="BF778" s="85"/>
      <c r="BG778" s="109"/>
      <c r="BH778" s="139"/>
      <c r="BI778" s="37"/>
      <c r="BJ778" s="85"/>
      <c r="BK778" s="109"/>
      <c r="BL778" s="139"/>
      <c r="BM778" s="37"/>
      <c r="BN778" s="85"/>
      <c r="BO778" s="109"/>
      <c r="BP778" s="139"/>
      <c r="BQ778" s="37"/>
      <c r="BR778" s="85"/>
      <c r="BS778" s="109"/>
      <c r="BT778" s="139"/>
      <c r="BU778" s="37"/>
    </row>
    <row r="779" ht="12.75" customHeight="1">
      <c r="A779" s="86"/>
      <c r="B779" s="75"/>
      <c r="C779" s="86"/>
      <c r="D779" s="87"/>
      <c r="E779" s="57"/>
      <c r="F779" s="65" t="s">
        <v>982</v>
      </c>
      <c r="G779" s="88"/>
      <c r="H779" s="89"/>
      <c r="I779" s="38"/>
      <c r="J779" s="65" t="s">
        <v>982</v>
      </c>
      <c r="K779" s="88"/>
      <c r="L779" s="166"/>
      <c r="M779" s="37"/>
      <c r="N779" s="65" t="s">
        <v>982</v>
      </c>
      <c r="O779" s="88"/>
      <c r="P779" s="166"/>
      <c r="Q779" s="37"/>
      <c r="R779" s="65" t="s">
        <v>982</v>
      </c>
      <c r="S779" s="88"/>
      <c r="T779" s="166"/>
      <c r="U779" s="37"/>
      <c r="V779" s="65" t="s">
        <v>982</v>
      </c>
      <c r="W779" s="88"/>
      <c r="X779" s="166"/>
      <c r="Y779" s="37"/>
      <c r="Z779" s="65" t="s">
        <v>982</v>
      </c>
      <c r="AA779" s="88"/>
      <c r="AB779" s="166"/>
      <c r="AC779" s="37"/>
      <c r="AD779" s="65" t="s">
        <v>982</v>
      </c>
      <c r="AE779" s="88"/>
      <c r="AF779" s="166"/>
      <c r="AG779" s="37"/>
      <c r="AH779" s="65" t="s">
        <v>982</v>
      </c>
      <c r="AI779" s="88"/>
      <c r="AJ779" s="166"/>
      <c r="AK779" s="37"/>
      <c r="AL779" s="65" t="s">
        <v>982</v>
      </c>
      <c r="AM779" s="88"/>
      <c r="AN779" s="166"/>
      <c r="AO779" s="37"/>
      <c r="AP779" s="65" t="s">
        <v>982</v>
      </c>
      <c r="AQ779" s="88"/>
      <c r="AR779" s="166"/>
      <c r="AS779" s="37"/>
      <c r="AT779" s="65" t="s">
        <v>982</v>
      </c>
      <c r="AU779" s="88"/>
      <c r="AV779" s="166"/>
      <c r="AW779" s="37"/>
      <c r="AX779" s="65" t="s">
        <v>982</v>
      </c>
      <c r="AY779" s="88"/>
      <c r="AZ779" s="166"/>
      <c r="BA779" s="37"/>
      <c r="BB779" s="65" t="s">
        <v>982</v>
      </c>
      <c r="BC779" s="88"/>
      <c r="BD779" s="166"/>
      <c r="BE779" s="37"/>
      <c r="BF779" s="65" t="s">
        <v>982</v>
      </c>
      <c r="BG779" s="88"/>
      <c r="BH779" s="166"/>
      <c r="BI779" s="37"/>
      <c r="BJ779" s="65" t="s">
        <v>982</v>
      </c>
      <c r="BK779" s="88"/>
      <c r="BL779" s="166"/>
      <c r="BM779" s="37"/>
      <c r="BN779" s="65" t="s">
        <v>982</v>
      </c>
      <c r="BO779" s="88"/>
      <c r="BP779" s="166"/>
      <c r="BQ779" s="37"/>
      <c r="BR779" s="65" t="s">
        <v>982</v>
      </c>
      <c r="BS779" s="88"/>
      <c r="BT779" s="166"/>
      <c r="BU779" s="37"/>
    </row>
    <row r="780" ht="12.75" customHeight="1">
      <c r="A780" s="63" t="s">
        <v>36</v>
      </c>
      <c r="B780" s="64" t="s">
        <v>37</v>
      </c>
      <c r="C780" s="64" t="s">
        <v>38</v>
      </c>
      <c r="D780" s="87"/>
      <c r="E780" s="57"/>
      <c r="F780" s="65"/>
      <c r="G780" s="66" t="s">
        <v>39</v>
      </c>
      <c r="H780" s="67" t="s">
        <v>40</v>
      </c>
      <c r="I780" s="38"/>
      <c r="J780" s="65"/>
      <c r="K780" s="66" t="s">
        <v>39</v>
      </c>
      <c r="L780" s="130" t="s">
        <v>40</v>
      </c>
      <c r="M780" s="37"/>
      <c r="N780" s="65"/>
      <c r="O780" s="66" t="s">
        <v>39</v>
      </c>
      <c r="P780" s="130" t="s">
        <v>40</v>
      </c>
      <c r="Q780" s="37"/>
      <c r="R780" s="65"/>
      <c r="S780" s="66" t="s">
        <v>39</v>
      </c>
      <c r="T780" s="130" t="s">
        <v>40</v>
      </c>
      <c r="U780" s="37"/>
      <c r="V780" s="65"/>
      <c r="W780" s="66" t="s">
        <v>39</v>
      </c>
      <c r="X780" s="130" t="s">
        <v>40</v>
      </c>
      <c r="Y780" s="37"/>
      <c r="Z780" s="65"/>
      <c r="AA780" s="66" t="s">
        <v>39</v>
      </c>
      <c r="AB780" s="130" t="s">
        <v>40</v>
      </c>
      <c r="AC780" s="37"/>
      <c r="AD780" s="65"/>
      <c r="AE780" s="66" t="s">
        <v>39</v>
      </c>
      <c r="AF780" s="130" t="s">
        <v>40</v>
      </c>
      <c r="AG780" s="37"/>
      <c r="AH780" s="65"/>
      <c r="AI780" s="66" t="s">
        <v>39</v>
      </c>
      <c r="AJ780" s="130" t="s">
        <v>40</v>
      </c>
      <c r="AK780" s="37"/>
      <c r="AL780" s="65"/>
      <c r="AM780" s="66" t="s">
        <v>39</v>
      </c>
      <c r="AN780" s="130" t="s">
        <v>40</v>
      </c>
      <c r="AO780" s="37"/>
      <c r="AP780" s="65"/>
      <c r="AQ780" s="66" t="s">
        <v>39</v>
      </c>
      <c r="AR780" s="130" t="s">
        <v>40</v>
      </c>
      <c r="AS780" s="37"/>
      <c r="AT780" s="65"/>
      <c r="AU780" s="66" t="s">
        <v>39</v>
      </c>
      <c r="AV780" s="130" t="s">
        <v>40</v>
      </c>
      <c r="AW780" s="37"/>
      <c r="AX780" s="65"/>
      <c r="AY780" s="66" t="s">
        <v>39</v>
      </c>
      <c r="AZ780" s="130" t="s">
        <v>40</v>
      </c>
      <c r="BA780" s="37"/>
      <c r="BB780" s="65"/>
      <c r="BC780" s="66" t="s">
        <v>39</v>
      </c>
      <c r="BD780" s="130" t="s">
        <v>40</v>
      </c>
      <c r="BE780" s="37"/>
      <c r="BF780" s="65"/>
      <c r="BG780" s="66" t="s">
        <v>39</v>
      </c>
      <c r="BH780" s="130" t="s">
        <v>40</v>
      </c>
      <c r="BI780" s="37"/>
      <c r="BJ780" s="65"/>
      <c r="BK780" s="66" t="s">
        <v>39</v>
      </c>
      <c r="BL780" s="130" t="s">
        <v>40</v>
      </c>
      <c r="BM780" s="37"/>
      <c r="BN780" s="65"/>
      <c r="BO780" s="66" t="s">
        <v>39</v>
      </c>
      <c r="BP780" s="130" t="s">
        <v>40</v>
      </c>
      <c r="BQ780" s="37"/>
      <c r="BR780" s="65"/>
      <c r="BS780" s="66" t="s">
        <v>39</v>
      </c>
      <c r="BT780" s="130" t="s">
        <v>40</v>
      </c>
      <c r="BU780" s="37"/>
    </row>
    <row r="781" ht="12.75" customHeight="1">
      <c r="A781" s="80"/>
      <c r="B781" s="69" t="s">
        <v>46</v>
      </c>
      <c r="C781" s="69"/>
      <c r="D781" s="87"/>
      <c r="E781" s="57"/>
      <c r="F781" s="65"/>
      <c r="G781" s="90" t="s">
        <v>983</v>
      </c>
      <c r="H781" s="95"/>
      <c r="I781" s="38"/>
      <c r="J781" s="65"/>
      <c r="K781" s="90" t="s">
        <v>983</v>
      </c>
      <c r="L781" s="139" t="s">
        <v>46</v>
      </c>
      <c r="M781" s="37"/>
      <c r="N781" s="65"/>
      <c r="O781" s="90" t="s">
        <v>983</v>
      </c>
      <c r="P781" s="139" t="s">
        <v>46</v>
      </c>
      <c r="Q781" s="37"/>
      <c r="R781" s="65"/>
      <c r="S781" s="90" t="s">
        <v>983</v>
      </c>
      <c r="T781" s="139" t="s">
        <v>46</v>
      </c>
      <c r="U781" s="37"/>
      <c r="V781" s="65"/>
      <c r="W781" s="90" t="s">
        <v>983</v>
      </c>
      <c r="X781" s="139" t="s">
        <v>46</v>
      </c>
      <c r="Y781" s="37"/>
      <c r="Z781" s="65"/>
      <c r="AA781" s="90" t="s">
        <v>983</v>
      </c>
      <c r="AB781" s="139" t="s">
        <v>46</v>
      </c>
      <c r="AC781" s="37"/>
      <c r="AD781" s="65"/>
      <c r="AE781" s="90" t="s">
        <v>983</v>
      </c>
      <c r="AF781" s="139" t="s">
        <v>46</v>
      </c>
      <c r="AG781" s="37"/>
      <c r="AH781" s="65"/>
      <c r="AI781" s="90" t="s">
        <v>983</v>
      </c>
      <c r="AJ781" s="139" t="s">
        <v>46</v>
      </c>
      <c r="AK781" s="37"/>
      <c r="AL781" s="65"/>
      <c r="AM781" s="90" t="s">
        <v>983</v>
      </c>
      <c r="AN781" s="139" t="s">
        <v>46</v>
      </c>
      <c r="AO781" s="37"/>
      <c r="AP781" s="65"/>
      <c r="AQ781" s="90" t="s">
        <v>983</v>
      </c>
      <c r="AR781" s="139" t="s">
        <v>46</v>
      </c>
      <c r="AS781" s="37"/>
      <c r="AT781" s="65"/>
      <c r="AU781" s="90" t="s">
        <v>983</v>
      </c>
      <c r="AV781" s="139" t="s">
        <v>46</v>
      </c>
      <c r="AW781" s="37"/>
      <c r="AX781" s="65"/>
      <c r="AY781" s="90" t="s">
        <v>983</v>
      </c>
      <c r="AZ781" s="139" t="s">
        <v>46</v>
      </c>
      <c r="BA781" s="37"/>
      <c r="BB781" s="65"/>
      <c r="BC781" s="90" t="s">
        <v>983</v>
      </c>
      <c r="BD781" s="139" t="s">
        <v>46</v>
      </c>
      <c r="BE781" s="37"/>
      <c r="BF781" s="65"/>
      <c r="BG781" s="90" t="s">
        <v>983</v>
      </c>
      <c r="BH781" s="139" t="s">
        <v>46</v>
      </c>
      <c r="BI781" s="37"/>
      <c r="BJ781" s="65"/>
      <c r="BK781" s="90" t="s">
        <v>983</v>
      </c>
      <c r="BL781" s="139" t="s">
        <v>46</v>
      </c>
      <c r="BM781" s="37"/>
      <c r="BN781" s="65"/>
      <c r="BO781" s="90" t="s">
        <v>983</v>
      </c>
      <c r="BP781" s="139" t="s">
        <v>46</v>
      </c>
      <c r="BQ781" s="37"/>
      <c r="BR781" s="65"/>
      <c r="BS781" s="90" t="s">
        <v>983</v>
      </c>
      <c r="BT781" s="139" t="s">
        <v>46</v>
      </c>
      <c r="BU781" s="37"/>
    </row>
    <row r="782" ht="12.75" customHeight="1">
      <c r="A782" s="80"/>
      <c r="B782" s="69" t="s">
        <v>46</v>
      </c>
      <c r="C782" s="69"/>
      <c r="D782" s="87"/>
      <c r="E782" s="57"/>
      <c r="F782" s="65"/>
      <c r="G782" s="90" t="s">
        <v>984</v>
      </c>
      <c r="H782" s="95"/>
      <c r="I782" s="38"/>
      <c r="J782" s="65"/>
      <c r="K782" s="90" t="s">
        <v>984</v>
      </c>
      <c r="L782" s="139" t="s">
        <v>46</v>
      </c>
      <c r="M782" s="37"/>
      <c r="N782" s="65"/>
      <c r="O782" s="90" t="s">
        <v>984</v>
      </c>
      <c r="P782" s="139" t="s">
        <v>46</v>
      </c>
      <c r="Q782" s="37"/>
      <c r="R782" s="65"/>
      <c r="S782" s="90" t="s">
        <v>984</v>
      </c>
      <c r="T782" s="139" t="s">
        <v>46</v>
      </c>
      <c r="U782" s="37"/>
      <c r="V782" s="65"/>
      <c r="W782" s="90" t="s">
        <v>984</v>
      </c>
      <c r="X782" s="139" t="s">
        <v>46</v>
      </c>
      <c r="Y782" s="37"/>
      <c r="Z782" s="65"/>
      <c r="AA782" s="90" t="s">
        <v>984</v>
      </c>
      <c r="AB782" s="139" t="s">
        <v>46</v>
      </c>
      <c r="AC782" s="37"/>
      <c r="AD782" s="65"/>
      <c r="AE782" s="90" t="s">
        <v>984</v>
      </c>
      <c r="AF782" s="139" t="s">
        <v>46</v>
      </c>
      <c r="AG782" s="37"/>
      <c r="AH782" s="65"/>
      <c r="AI782" s="90" t="s">
        <v>984</v>
      </c>
      <c r="AJ782" s="139" t="s">
        <v>46</v>
      </c>
      <c r="AK782" s="37"/>
      <c r="AL782" s="65"/>
      <c r="AM782" s="90" t="s">
        <v>984</v>
      </c>
      <c r="AN782" s="139" t="s">
        <v>46</v>
      </c>
      <c r="AO782" s="37"/>
      <c r="AP782" s="65"/>
      <c r="AQ782" s="90" t="s">
        <v>984</v>
      </c>
      <c r="AR782" s="139" t="s">
        <v>46</v>
      </c>
      <c r="AS782" s="37"/>
      <c r="AT782" s="65"/>
      <c r="AU782" s="90" t="s">
        <v>984</v>
      </c>
      <c r="AV782" s="139" t="s">
        <v>46</v>
      </c>
      <c r="AW782" s="37"/>
      <c r="AX782" s="65"/>
      <c r="AY782" s="90" t="s">
        <v>984</v>
      </c>
      <c r="AZ782" s="139" t="s">
        <v>46</v>
      </c>
      <c r="BA782" s="37"/>
      <c r="BB782" s="65"/>
      <c r="BC782" s="90" t="s">
        <v>984</v>
      </c>
      <c r="BD782" s="139" t="s">
        <v>46</v>
      </c>
      <c r="BE782" s="37"/>
      <c r="BF782" s="65"/>
      <c r="BG782" s="90" t="s">
        <v>984</v>
      </c>
      <c r="BH782" s="139" t="s">
        <v>46</v>
      </c>
      <c r="BI782" s="37"/>
      <c r="BJ782" s="65"/>
      <c r="BK782" s="90" t="s">
        <v>984</v>
      </c>
      <c r="BL782" s="139" t="s">
        <v>46</v>
      </c>
      <c r="BM782" s="37"/>
      <c r="BN782" s="65"/>
      <c r="BO782" s="90" t="s">
        <v>984</v>
      </c>
      <c r="BP782" s="139" t="s">
        <v>46</v>
      </c>
      <c r="BQ782" s="37"/>
      <c r="BR782" s="65"/>
      <c r="BS782" s="90" t="s">
        <v>984</v>
      </c>
      <c r="BT782" s="139" t="s">
        <v>46</v>
      </c>
      <c r="BU782" s="37"/>
    </row>
    <row r="783" ht="12.75" customHeight="1">
      <c r="A783" s="80"/>
      <c r="B783" s="69" t="s">
        <v>46</v>
      </c>
      <c r="C783" s="69"/>
      <c r="D783" s="87"/>
      <c r="E783" s="57"/>
      <c r="F783" s="65"/>
      <c r="G783" s="90" t="s">
        <v>985</v>
      </c>
      <c r="H783" s="95"/>
      <c r="I783" s="38"/>
      <c r="J783" s="65"/>
      <c r="K783" s="90" t="s">
        <v>985</v>
      </c>
      <c r="L783" s="139" t="s">
        <v>46</v>
      </c>
      <c r="M783" s="37"/>
      <c r="N783" s="65"/>
      <c r="O783" s="90" t="s">
        <v>985</v>
      </c>
      <c r="P783" s="139" t="s">
        <v>46</v>
      </c>
      <c r="Q783" s="37"/>
      <c r="R783" s="65"/>
      <c r="S783" s="90" t="s">
        <v>985</v>
      </c>
      <c r="T783" s="139" t="s">
        <v>46</v>
      </c>
      <c r="U783" s="37"/>
      <c r="V783" s="65"/>
      <c r="W783" s="90" t="s">
        <v>985</v>
      </c>
      <c r="X783" s="139" t="s">
        <v>46</v>
      </c>
      <c r="Y783" s="37"/>
      <c r="Z783" s="65"/>
      <c r="AA783" s="90" t="s">
        <v>985</v>
      </c>
      <c r="AB783" s="139" t="s">
        <v>46</v>
      </c>
      <c r="AC783" s="37"/>
      <c r="AD783" s="65"/>
      <c r="AE783" s="90" t="s">
        <v>985</v>
      </c>
      <c r="AF783" s="139" t="s">
        <v>46</v>
      </c>
      <c r="AG783" s="37"/>
      <c r="AH783" s="65"/>
      <c r="AI783" s="90" t="s">
        <v>985</v>
      </c>
      <c r="AJ783" s="139" t="s">
        <v>46</v>
      </c>
      <c r="AK783" s="37"/>
      <c r="AL783" s="65"/>
      <c r="AM783" s="90" t="s">
        <v>985</v>
      </c>
      <c r="AN783" s="139" t="s">
        <v>46</v>
      </c>
      <c r="AO783" s="37"/>
      <c r="AP783" s="65"/>
      <c r="AQ783" s="90" t="s">
        <v>985</v>
      </c>
      <c r="AR783" s="139" t="s">
        <v>46</v>
      </c>
      <c r="AS783" s="37"/>
      <c r="AT783" s="65"/>
      <c r="AU783" s="90" t="s">
        <v>985</v>
      </c>
      <c r="AV783" s="139" t="s">
        <v>46</v>
      </c>
      <c r="AW783" s="37"/>
      <c r="AX783" s="65"/>
      <c r="AY783" s="90" t="s">
        <v>985</v>
      </c>
      <c r="AZ783" s="139" t="s">
        <v>46</v>
      </c>
      <c r="BA783" s="37"/>
      <c r="BB783" s="65"/>
      <c r="BC783" s="90" t="s">
        <v>985</v>
      </c>
      <c r="BD783" s="139" t="s">
        <v>46</v>
      </c>
      <c r="BE783" s="37"/>
      <c r="BF783" s="65"/>
      <c r="BG783" s="90" t="s">
        <v>985</v>
      </c>
      <c r="BH783" s="139" t="s">
        <v>46</v>
      </c>
      <c r="BI783" s="37"/>
      <c r="BJ783" s="65"/>
      <c r="BK783" s="90" t="s">
        <v>985</v>
      </c>
      <c r="BL783" s="139" t="s">
        <v>46</v>
      </c>
      <c r="BM783" s="37"/>
      <c r="BN783" s="65"/>
      <c r="BO783" s="90" t="s">
        <v>985</v>
      </c>
      <c r="BP783" s="139" t="s">
        <v>46</v>
      </c>
      <c r="BQ783" s="37"/>
      <c r="BR783" s="65"/>
      <c r="BS783" s="90" t="s">
        <v>985</v>
      </c>
      <c r="BT783" s="139" t="s">
        <v>46</v>
      </c>
      <c r="BU783" s="37"/>
    </row>
    <row r="784" ht="12.75" customHeight="1">
      <c r="A784" s="80"/>
      <c r="B784" s="69" t="s">
        <v>46</v>
      </c>
      <c r="C784" s="69"/>
      <c r="D784" s="87"/>
      <c r="E784" s="57"/>
      <c r="F784" s="65"/>
      <c r="G784" s="90" t="s">
        <v>986</v>
      </c>
      <c r="H784" s="95"/>
      <c r="I784" s="38"/>
      <c r="J784" s="65"/>
      <c r="K784" s="90" t="s">
        <v>986</v>
      </c>
      <c r="L784" s="139" t="s">
        <v>46</v>
      </c>
      <c r="M784" s="37"/>
      <c r="N784" s="65"/>
      <c r="O784" s="90" t="s">
        <v>986</v>
      </c>
      <c r="P784" s="139" t="s">
        <v>46</v>
      </c>
      <c r="Q784" s="37"/>
      <c r="R784" s="65"/>
      <c r="S784" s="90" t="s">
        <v>986</v>
      </c>
      <c r="T784" s="139" t="s">
        <v>46</v>
      </c>
      <c r="U784" s="37"/>
      <c r="V784" s="65"/>
      <c r="W784" s="90" t="s">
        <v>986</v>
      </c>
      <c r="X784" s="139" t="s">
        <v>46</v>
      </c>
      <c r="Y784" s="37"/>
      <c r="Z784" s="65"/>
      <c r="AA784" s="90" t="s">
        <v>986</v>
      </c>
      <c r="AB784" s="139" t="s">
        <v>46</v>
      </c>
      <c r="AC784" s="37"/>
      <c r="AD784" s="65"/>
      <c r="AE784" s="90" t="s">
        <v>986</v>
      </c>
      <c r="AF784" s="139" t="s">
        <v>46</v>
      </c>
      <c r="AG784" s="37"/>
      <c r="AH784" s="65"/>
      <c r="AI784" s="90" t="s">
        <v>986</v>
      </c>
      <c r="AJ784" s="139" t="s">
        <v>46</v>
      </c>
      <c r="AK784" s="37"/>
      <c r="AL784" s="65"/>
      <c r="AM784" s="90" t="s">
        <v>986</v>
      </c>
      <c r="AN784" s="139" t="s">
        <v>46</v>
      </c>
      <c r="AO784" s="37"/>
      <c r="AP784" s="65"/>
      <c r="AQ784" s="90" t="s">
        <v>986</v>
      </c>
      <c r="AR784" s="139" t="s">
        <v>46</v>
      </c>
      <c r="AS784" s="37"/>
      <c r="AT784" s="65"/>
      <c r="AU784" s="90" t="s">
        <v>986</v>
      </c>
      <c r="AV784" s="139" t="s">
        <v>46</v>
      </c>
      <c r="AW784" s="37"/>
      <c r="AX784" s="65"/>
      <c r="AY784" s="90" t="s">
        <v>986</v>
      </c>
      <c r="AZ784" s="139" t="s">
        <v>46</v>
      </c>
      <c r="BA784" s="37"/>
      <c r="BB784" s="65"/>
      <c r="BC784" s="90" t="s">
        <v>986</v>
      </c>
      <c r="BD784" s="139" t="s">
        <v>46</v>
      </c>
      <c r="BE784" s="37"/>
      <c r="BF784" s="65"/>
      <c r="BG784" s="90" t="s">
        <v>986</v>
      </c>
      <c r="BH784" s="139" t="s">
        <v>46</v>
      </c>
      <c r="BI784" s="37"/>
      <c r="BJ784" s="65"/>
      <c r="BK784" s="90" t="s">
        <v>986</v>
      </c>
      <c r="BL784" s="139" t="s">
        <v>46</v>
      </c>
      <c r="BM784" s="37"/>
      <c r="BN784" s="65"/>
      <c r="BO784" s="90" t="s">
        <v>986</v>
      </c>
      <c r="BP784" s="139" t="s">
        <v>46</v>
      </c>
      <c r="BQ784" s="37"/>
      <c r="BR784" s="65"/>
      <c r="BS784" s="90" t="s">
        <v>986</v>
      </c>
      <c r="BT784" s="139" t="s">
        <v>46</v>
      </c>
      <c r="BU784" s="37"/>
    </row>
    <row r="785" ht="12.75" customHeight="1">
      <c r="A785" s="80"/>
      <c r="B785" s="69" t="s">
        <v>46</v>
      </c>
      <c r="C785" s="69"/>
      <c r="D785" s="87"/>
      <c r="E785" s="57"/>
      <c r="F785" s="65"/>
      <c r="G785" s="90" t="s">
        <v>987</v>
      </c>
      <c r="H785" s="95"/>
      <c r="I785" s="38"/>
      <c r="J785" s="65"/>
      <c r="K785" s="90" t="s">
        <v>987</v>
      </c>
      <c r="L785" s="139" t="s">
        <v>46</v>
      </c>
      <c r="M785" s="37"/>
      <c r="N785" s="65"/>
      <c r="O785" s="90" t="s">
        <v>987</v>
      </c>
      <c r="P785" s="139" t="s">
        <v>46</v>
      </c>
      <c r="Q785" s="37"/>
      <c r="R785" s="65"/>
      <c r="S785" s="90" t="s">
        <v>987</v>
      </c>
      <c r="T785" s="139" t="s">
        <v>46</v>
      </c>
      <c r="U785" s="37"/>
      <c r="V785" s="65"/>
      <c r="W785" s="90" t="s">
        <v>987</v>
      </c>
      <c r="X785" s="139" t="s">
        <v>46</v>
      </c>
      <c r="Y785" s="37"/>
      <c r="Z785" s="65"/>
      <c r="AA785" s="90" t="s">
        <v>987</v>
      </c>
      <c r="AB785" s="139" t="s">
        <v>46</v>
      </c>
      <c r="AC785" s="37"/>
      <c r="AD785" s="65"/>
      <c r="AE785" s="90" t="s">
        <v>987</v>
      </c>
      <c r="AF785" s="139" t="s">
        <v>46</v>
      </c>
      <c r="AG785" s="37"/>
      <c r="AH785" s="65"/>
      <c r="AI785" s="90" t="s">
        <v>987</v>
      </c>
      <c r="AJ785" s="139" t="s">
        <v>46</v>
      </c>
      <c r="AK785" s="37"/>
      <c r="AL785" s="65"/>
      <c r="AM785" s="90" t="s">
        <v>987</v>
      </c>
      <c r="AN785" s="139" t="s">
        <v>46</v>
      </c>
      <c r="AO785" s="37"/>
      <c r="AP785" s="65"/>
      <c r="AQ785" s="90" t="s">
        <v>987</v>
      </c>
      <c r="AR785" s="139" t="s">
        <v>46</v>
      </c>
      <c r="AS785" s="37"/>
      <c r="AT785" s="65"/>
      <c r="AU785" s="90" t="s">
        <v>987</v>
      </c>
      <c r="AV785" s="139" t="s">
        <v>46</v>
      </c>
      <c r="AW785" s="37"/>
      <c r="AX785" s="65"/>
      <c r="AY785" s="90" t="s">
        <v>987</v>
      </c>
      <c r="AZ785" s="139" t="s">
        <v>46</v>
      </c>
      <c r="BA785" s="37"/>
      <c r="BB785" s="65"/>
      <c r="BC785" s="90" t="s">
        <v>987</v>
      </c>
      <c r="BD785" s="139" t="s">
        <v>46</v>
      </c>
      <c r="BE785" s="37"/>
      <c r="BF785" s="65"/>
      <c r="BG785" s="90" t="s">
        <v>987</v>
      </c>
      <c r="BH785" s="139" t="s">
        <v>46</v>
      </c>
      <c r="BI785" s="37"/>
      <c r="BJ785" s="65"/>
      <c r="BK785" s="90" t="s">
        <v>987</v>
      </c>
      <c r="BL785" s="139" t="s">
        <v>46</v>
      </c>
      <c r="BM785" s="37"/>
      <c r="BN785" s="65"/>
      <c r="BO785" s="90" t="s">
        <v>987</v>
      </c>
      <c r="BP785" s="139" t="s">
        <v>46</v>
      </c>
      <c r="BQ785" s="37"/>
      <c r="BR785" s="65"/>
      <c r="BS785" s="90" t="s">
        <v>987</v>
      </c>
      <c r="BT785" s="139" t="s">
        <v>46</v>
      </c>
      <c r="BU785" s="37"/>
    </row>
    <row r="786" ht="12.75" customHeight="1">
      <c r="A786" s="80"/>
      <c r="B786" s="69" t="s">
        <v>46</v>
      </c>
      <c r="C786" s="69"/>
      <c r="D786" s="87"/>
      <c r="E786" s="57"/>
      <c r="F786" s="65"/>
      <c r="G786" s="90" t="s">
        <v>988</v>
      </c>
      <c r="H786" s="95"/>
      <c r="I786" s="38"/>
      <c r="J786" s="65"/>
      <c r="K786" s="90" t="s">
        <v>988</v>
      </c>
      <c r="L786" s="139" t="s">
        <v>46</v>
      </c>
      <c r="M786" s="37"/>
      <c r="N786" s="65"/>
      <c r="O786" s="90" t="s">
        <v>988</v>
      </c>
      <c r="P786" s="139" t="s">
        <v>46</v>
      </c>
      <c r="Q786" s="37"/>
      <c r="R786" s="65"/>
      <c r="S786" s="90" t="s">
        <v>988</v>
      </c>
      <c r="T786" s="139" t="s">
        <v>46</v>
      </c>
      <c r="U786" s="37"/>
      <c r="V786" s="65"/>
      <c r="W786" s="90" t="s">
        <v>988</v>
      </c>
      <c r="X786" s="139" t="s">
        <v>46</v>
      </c>
      <c r="Y786" s="37"/>
      <c r="Z786" s="65"/>
      <c r="AA786" s="90" t="s">
        <v>988</v>
      </c>
      <c r="AB786" s="139" t="s">
        <v>46</v>
      </c>
      <c r="AC786" s="37"/>
      <c r="AD786" s="65"/>
      <c r="AE786" s="90" t="s">
        <v>988</v>
      </c>
      <c r="AF786" s="139" t="s">
        <v>46</v>
      </c>
      <c r="AG786" s="37"/>
      <c r="AH786" s="65"/>
      <c r="AI786" s="90" t="s">
        <v>988</v>
      </c>
      <c r="AJ786" s="139" t="s">
        <v>46</v>
      </c>
      <c r="AK786" s="37"/>
      <c r="AL786" s="65"/>
      <c r="AM786" s="90" t="s">
        <v>988</v>
      </c>
      <c r="AN786" s="139" t="s">
        <v>46</v>
      </c>
      <c r="AO786" s="37"/>
      <c r="AP786" s="65"/>
      <c r="AQ786" s="90" t="s">
        <v>988</v>
      </c>
      <c r="AR786" s="139" t="s">
        <v>46</v>
      </c>
      <c r="AS786" s="37"/>
      <c r="AT786" s="65"/>
      <c r="AU786" s="90" t="s">
        <v>988</v>
      </c>
      <c r="AV786" s="139" t="s">
        <v>46</v>
      </c>
      <c r="AW786" s="37"/>
      <c r="AX786" s="65"/>
      <c r="AY786" s="90" t="s">
        <v>988</v>
      </c>
      <c r="AZ786" s="139" t="s">
        <v>46</v>
      </c>
      <c r="BA786" s="37"/>
      <c r="BB786" s="65"/>
      <c r="BC786" s="90" t="s">
        <v>988</v>
      </c>
      <c r="BD786" s="139" t="s">
        <v>46</v>
      </c>
      <c r="BE786" s="37"/>
      <c r="BF786" s="65"/>
      <c r="BG786" s="90" t="s">
        <v>988</v>
      </c>
      <c r="BH786" s="139" t="s">
        <v>46</v>
      </c>
      <c r="BI786" s="37"/>
      <c r="BJ786" s="65"/>
      <c r="BK786" s="90" t="s">
        <v>988</v>
      </c>
      <c r="BL786" s="139" t="s">
        <v>46</v>
      </c>
      <c r="BM786" s="37"/>
      <c r="BN786" s="65"/>
      <c r="BO786" s="90" t="s">
        <v>988</v>
      </c>
      <c r="BP786" s="139" t="s">
        <v>46</v>
      </c>
      <c r="BQ786" s="37"/>
      <c r="BR786" s="65"/>
      <c r="BS786" s="90" t="s">
        <v>988</v>
      </c>
      <c r="BT786" s="139" t="s">
        <v>46</v>
      </c>
      <c r="BU786" s="37"/>
    </row>
    <row r="787" ht="12.75" customHeight="1">
      <c r="A787" s="93"/>
      <c r="B787" s="94"/>
      <c r="C787" s="94"/>
      <c r="D787" s="87"/>
      <c r="E787" s="57"/>
      <c r="F787" s="65"/>
      <c r="G787" s="76"/>
      <c r="H787" s="95"/>
      <c r="I787" s="38"/>
      <c r="J787" s="65"/>
      <c r="K787" s="109"/>
      <c r="L787" s="139"/>
      <c r="M787" s="37"/>
      <c r="N787" s="65"/>
      <c r="O787" s="109"/>
      <c r="P787" s="139"/>
      <c r="Q787" s="37"/>
      <c r="R787" s="65"/>
      <c r="S787" s="109"/>
      <c r="T787" s="139"/>
      <c r="U787" s="37"/>
      <c r="V787" s="65"/>
      <c r="W787" s="109"/>
      <c r="X787" s="139"/>
      <c r="Y787" s="37"/>
      <c r="Z787" s="65"/>
      <c r="AA787" s="109"/>
      <c r="AB787" s="139"/>
      <c r="AC787" s="37"/>
      <c r="AD787" s="65"/>
      <c r="AE787" s="109"/>
      <c r="AF787" s="139"/>
      <c r="AG787" s="37"/>
      <c r="AH787" s="65"/>
      <c r="AI787" s="109"/>
      <c r="AJ787" s="139"/>
      <c r="AK787" s="37"/>
      <c r="AL787" s="65"/>
      <c r="AM787" s="109"/>
      <c r="AN787" s="139"/>
      <c r="AO787" s="37"/>
      <c r="AP787" s="65"/>
      <c r="AQ787" s="109"/>
      <c r="AR787" s="139"/>
      <c r="AS787" s="37"/>
      <c r="AT787" s="65"/>
      <c r="AU787" s="109"/>
      <c r="AV787" s="139"/>
      <c r="AW787" s="37"/>
      <c r="AX787" s="65"/>
      <c r="AY787" s="109"/>
      <c r="AZ787" s="139"/>
      <c r="BA787" s="37"/>
      <c r="BB787" s="65"/>
      <c r="BC787" s="109"/>
      <c r="BD787" s="139"/>
      <c r="BE787" s="37"/>
      <c r="BF787" s="65"/>
      <c r="BG787" s="109"/>
      <c r="BH787" s="139"/>
      <c r="BI787" s="37"/>
      <c r="BJ787" s="65"/>
      <c r="BK787" s="109"/>
      <c r="BL787" s="139"/>
      <c r="BM787" s="37"/>
      <c r="BN787" s="65"/>
      <c r="BO787" s="109"/>
      <c r="BP787" s="139"/>
      <c r="BQ787" s="37"/>
      <c r="BR787" s="65"/>
      <c r="BS787" s="109"/>
      <c r="BT787" s="139"/>
      <c r="BU787" s="37"/>
    </row>
    <row r="788" ht="12.75" customHeight="1">
      <c r="A788" s="94"/>
      <c r="B788" s="94"/>
      <c r="C788" s="94"/>
      <c r="D788" s="87"/>
      <c r="E788" s="57"/>
      <c r="F788" s="85"/>
      <c r="G788" s="76"/>
      <c r="H788" s="95"/>
      <c r="I788" s="38"/>
      <c r="J788" s="85"/>
      <c r="K788" s="109"/>
      <c r="L788" s="139"/>
      <c r="M788" s="37"/>
      <c r="N788" s="85"/>
      <c r="O788" s="109"/>
      <c r="P788" s="139"/>
      <c r="Q788" s="37"/>
      <c r="R788" s="85"/>
      <c r="S788" s="109"/>
      <c r="T788" s="139"/>
      <c r="U788" s="37"/>
      <c r="V788" s="85"/>
      <c r="W788" s="109"/>
      <c r="X788" s="139"/>
      <c r="Y788" s="37"/>
      <c r="Z788" s="85"/>
      <c r="AA788" s="109"/>
      <c r="AB788" s="139"/>
      <c r="AC788" s="37"/>
      <c r="AD788" s="85"/>
      <c r="AE788" s="109"/>
      <c r="AF788" s="139"/>
      <c r="AG788" s="37"/>
      <c r="AH788" s="85"/>
      <c r="AI788" s="109"/>
      <c r="AJ788" s="139"/>
      <c r="AK788" s="37"/>
      <c r="AL788" s="85"/>
      <c r="AM788" s="109"/>
      <c r="AN788" s="139"/>
      <c r="AO788" s="37"/>
      <c r="AP788" s="85"/>
      <c r="AQ788" s="109"/>
      <c r="AR788" s="139"/>
      <c r="AS788" s="37"/>
      <c r="AT788" s="85"/>
      <c r="AU788" s="109"/>
      <c r="AV788" s="139"/>
      <c r="AW788" s="37"/>
      <c r="AX788" s="85"/>
      <c r="AY788" s="109"/>
      <c r="AZ788" s="139"/>
      <c r="BA788" s="37"/>
      <c r="BB788" s="85"/>
      <c r="BC788" s="109"/>
      <c r="BD788" s="139"/>
      <c r="BE788" s="37"/>
      <c r="BF788" s="85"/>
      <c r="BG788" s="109"/>
      <c r="BH788" s="139"/>
      <c r="BI788" s="37"/>
      <c r="BJ788" s="85"/>
      <c r="BK788" s="109"/>
      <c r="BL788" s="139"/>
      <c r="BM788" s="37"/>
      <c r="BN788" s="85"/>
      <c r="BO788" s="109"/>
      <c r="BP788" s="139"/>
      <c r="BQ788" s="37"/>
      <c r="BR788" s="85"/>
      <c r="BS788" s="109"/>
      <c r="BT788" s="139"/>
      <c r="BU788" s="37"/>
    </row>
    <row r="789" ht="12.75" customHeight="1">
      <c r="A789" s="86"/>
      <c r="B789" s="94"/>
      <c r="C789" s="94"/>
      <c r="D789" s="87"/>
      <c r="E789" s="57"/>
      <c r="F789" s="145"/>
      <c r="G789" s="76"/>
      <c r="H789" s="95"/>
      <c r="I789" s="38"/>
      <c r="J789" s="145"/>
      <c r="K789" s="109"/>
      <c r="L789" s="139"/>
      <c r="M789" s="37"/>
      <c r="N789" s="145"/>
      <c r="O789" s="109"/>
      <c r="P789" s="139"/>
      <c r="Q789" s="37"/>
      <c r="R789" s="145"/>
      <c r="S789" s="109"/>
      <c r="T789" s="139"/>
      <c r="U789" s="37"/>
      <c r="V789" s="145"/>
      <c r="W789" s="109"/>
      <c r="X789" s="139"/>
      <c r="Y789" s="37"/>
      <c r="Z789" s="145"/>
      <c r="AA789" s="109"/>
      <c r="AB789" s="139"/>
      <c r="AC789" s="37"/>
      <c r="AD789" s="145"/>
      <c r="AE789" s="109"/>
      <c r="AF789" s="139"/>
      <c r="AG789" s="37"/>
      <c r="AH789" s="145"/>
      <c r="AI789" s="109"/>
      <c r="AJ789" s="139"/>
      <c r="AK789" s="37"/>
      <c r="AL789" s="145"/>
      <c r="AM789" s="109"/>
      <c r="AN789" s="139"/>
      <c r="AO789" s="37"/>
      <c r="AP789" s="145"/>
      <c r="AQ789" s="109"/>
      <c r="AR789" s="139"/>
      <c r="AS789" s="37"/>
      <c r="AT789" s="145"/>
      <c r="AU789" s="109"/>
      <c r="AV789" s="139"/>
      <c r="AW789" s="37"/>
      <c r="AX789" s="145"/>
      <c r="AY789" s="109"/>
      <c r="AZ789" s="139"/>
      <c r="BA789" s="37"/>
      <c r="BB789" s="145"/>
      <c r="BC789" s="109"/>
      <c r="BD789" s="139"/>
      <c r="BE789" s="37"/>
      <c r="BF789" s="145"/>
      <c r="BG789" s="109"/>
      <c r="BH789" s="139"/>
      <c r="BI789" s="37"/>
      <c r="BJ789" s="145"/>
      <c r="BK789" s="109"/>
      <c r="BL789" s="139"/>
      <c r="BM789" s="37"/>
      <c r="BN789" s="145"/>
      <c r="BO789" s="109"/>
      <c r="BP789" s="139"/>
      <c r="BQ789" s="37"/>
      <c r="BR789" s="145"/>
      <c r="BS789" s="109"/>
      <c r="BT789" s="139"/>
      <c r="BU789" s="37"/>
    </row>
    <row r="790" ht="12.75" customHeight="1">
      <c r="A790" s="86"/>
      <c r="B790" s="75"/>
      <c r="C790" s="86"/>
      <c r="D790" s="87"/>
      <c r="E790" s="57"/>
      <c r="F790" s="65" t="s">
        <v>989</v>
      </c>
      <c r="G790" s="88"/>
      <c r="H790" s="89"/>
      <c r="I790" s="38"/>
      <c r="J790" s="65" t="s">
        <v>989</v>
      </c>
      <c r="K790" s="88"/>
      <c r="L790" s="166"/>
      <c r="M790" s="37"/>
      <c r="N790" s="65" t="s">
        <v>989</v>
      </c>
      <c r="O790" s="88"/>
      <c r="P790" s="166"/>
      <c r="Q790" s="37"/>
      <c r="R790" s="65" t="s">
        <v>989</v>
      </c>
      <c r="S790" s="88"/>
      <c r="T790" s="166"/>
      <c r="U790" s="37"/>
      <c r="V790" s="65" t="s">
        <v>989</v>
      </c>
      <c r="W790" s="88"/>
      <c r="X790" s="166"/>
      <c r="Y790" s="37"/>
      <c r="Z790" s="65" t="s">
        <v>989</v>
      </c>
      <c r="AA790" s="88"/>
      <c r="AB790" s="166"/>
      <c r="AC790" s="37"/>
      <c r="AD790" s="65" t="s">
        <v>989</v>
      </c>
      <c r="AE790" s="88"/>
      <c r="AF790" s="166"/>
      <c r="AG790" s="37"/>
      <c r="AH790" s="65" t="s">
        <v>989</v>
      </c>
      <c r="AI790" s="88"/>
      <c r="AJ790" s="166"/>
      <c r="AK790" s="37"/>
      <c r="AL790" s="65" t="s">
        <v>989</v>
      </c>
      <c r="AM790" s="88"/>
      <c r="AN790" s="166"/>
      <c r="AO790" s="37"/>
      <c r="AP790" s="65" t="s">
        <v>989</v>
      </c>
      <c r="AQ790" s="88"/>
      <c r="AR790" s="166"/>
      <c r="AS790" s="37"/>
      <c r="AT790" s="65" t="s">
        <v>989</v>
      </c>
      <c r="AU790" s="88"/>
      <c r="AV790" s="166"/>
      <c r="AW790" s="37"/>
      <c r="AX790" s="65" t="s">
        <v>989</v>
      </c>
      <c r="AY790" s="88"/>
      <c r="AZ790" s="166"/>
      <c r="BA790" s="37"/>
      <c r="BB790" s="65" t="s">
        <v>989</v>
      </c>
      <c r="BC790" s="88"/>
      <c r="BD790" s="166"/>
      <c r="BE790" s="37"/>
      <c r="BF790" s="65" t="s">
        <v>989</v>
      </c>
      <c r="BG790" s="88"/>
      <c r="BH790" s="166"/>
      <c r="BI790" s="37"/>
      <c r="BJ790" s="65" t="s">
        <v>989</v>
      </c>
      <c r="BK790" s="88"/>
      <c r="BL790" s="166"/>
      <c r="BM790" s="37"/>
      <c r="BN790" s="65" t="s">
        <v>989</v>
      </c>
      <c r="BO790" s="88"/>
      <c r="BP790" s="166"/>
      <c r="BQ790" s="37"/>
      <c r="BR790" s="65" t="s">
        <v>989</v>
      </c>
      <c r="BS790" s="88"/>
      <c r="BT790" s="166"/>
      <c r="BU790" s="37"/>
    </row>
    <row r="791" ht="12.75" customHeight="1">
      <c r="A791" s="63" t="s">
        <v>36</v>
      </c>
      <c r="B791" s="64" t="s">
        <v>37</v>
      </c>
      <c r="C791" s="64" t="s">
        <v>38</v>
      </c>
      <c r="D791" s="87"/>
      <c r="E791" s="57"/>
      <c r="F791" s="65"/>
      <c r="G791" s="66" t="s">
        <v>39</v>
      </c>
      <c r="H791" s="67" t="s">
        <v>40</v>
      </c>
      <c r="I791" s="38"/>
      <c r="J791" s="65"/>
      <c r="K791" s="66" t="s">
        <v>39</v>
      </c>
      <c r="L791" s="130" t="s">
        <v>40</v>
      </c>
      <c r="M791" s="37"/>
      <c r="N791" s="65"/>
      <c r="O791" s="66" t="s">
        <v>39</v>
      </c>
      <c r="P791" s="130" t="s">
        <v>40</v>
      </c>
      <c r="Q791" s="37"/>
      <c r="R791" s="65"/>
      <c r="S791" s="66" t="s">
        <v>39</v>
      </c>
      <c r="T791" s="130" t="s">
        <v>40</v>
      </c>
      <c r="U791" s="37"/>
      <c r="V791" s="65"/>
      <c r="W791" s="66" t="s">
        <v>39</v>
      </c>
      <c r="X791" s="130" t="s">
        <v>40</v>
      </c>
      <c r="Y791" s="37"/>
      <c r="Z791" s="65"/>
      <c r="AA791" s="66" t="s">
        <v>39</v>
      </c>
      <c r="AB791" s="130" t="s">
        <v>40</v>
      </c>
      <c r="AC791" s="37"/>
      <c r="AD791" s="65"/>
      <c r="AE791" s="66" t="s">
        <v>39</v>
      </c>
      <c r="AF791" s="130" t="s">
        <v>40</v>
      </c>
      <c r="AG791" s="37"/>
      <c r="AH791" s="65"/>
      <c r="AI791" s="66" t="s">
        <v>39</v>
      </c>
      <c r="AJ791" s="130" t="s">
        <v>40</v>
      </c>
      <c r="AK791" s="37"/>
      <c r="AL791" s="65"/>
      <c r="AM791" s="66" t="s">
        <v>39</v>
      </c>
      <c r="AN791" s="130" t="s">
        <v>40</v>
      </c>
      <c r="AO791" s="37"/>
      <c r="AP791" s="65"/>
      <c r="AQ791" s="66" t="s">
        <v>39</v>
      </c>
      <c r="AR791" s="130" t="s">
        <v>40</v>
      </c>
      <c r="AS791" s="37"/>
      <c r="AT791" s="65"/>
      <c r="AU791" s="66" t="s">
        <v>39</v>
      </c>
      <c r="AV791" s="130" t="s">
        <v>40</v>
      </c>
      <c r="AW791" s="37"/>
      <c r="AX791" s="65"/>
      <c r="AY791" s="66" t="s">
        <v>39</v>
      </c>
      <c r="AZ791" s="130" t="s">
        <v>40</v>
      </c>
      <c r="BA791" s="37"/>
      <c r="BB791" s="65"/>
      <c r="BC791" s="66" t="s">
        <v>39</v>
      </c>
      <c r="BD791" s="130" t="s">
        <v>40</v>
      </c>
      <c r="BE791" s="37"/>
      <c r="BF791" s="65"/>
      <c r="BG791" s="66" t="s">
        <v>39</v>
      </c>
      <c r="BH791" s="130" t="s">
        <v>40</v>
      </c>
      <c r="BI791" s="37"/>
      <c r="BJ791" s="65"/>
      <c r="BK791" s="66" t="s">
        <v>39</v>
      </c>
      <c r="BL791" s="130" t="s">
        <v>40</v>
      </c>
      <c r="BM791" s="37"/>
      <c r="BN791" s="65"/>
      <c r="BO791" s="66" t="s">
        <v>39</v>
      </c>
      <c r="BP791" s="130" t="s">
        <v>40</v>
      </c>
      <c r="BQ791" s="37"/>
      <c r="BR791" s="65"/>
      <c r="BS791" s="66" t="s">
        <v>39</v>
      </c>
      <c r="BT791" s="130" t="s">
        <v>40</v>
      </c>
      <c r="BU791" s="37"/>
    </row>
    <row r="792" ht="12.75" customHeight="1">
      <c r="A792" s="146"/>
      <c r="B792" s="132" t="s">
        <v>46</v>
      </c>
      <c r="C792" s="69"/>
      <c r="D792" s="134"/>
      <c r="E792" s="59"/>
      <c r="F792" s="65"/>
      <c r="G792" s="70" t="s">
        <v>990</v>
      </c>
      <c r="H792" s="95"/>
      <c r="I792" s="38"/>
      <c r="J792" s="65"/>
      <c r="K792" s="137" t="s">
        <v>990</v>
      </c>
      <c r="L792" s="139" t="s">
        <v>46</v>
      </c>
      <c r="M792" s="37"/>
      <c r="N792" s="65"/>
      <c r="O792" s="137" t="s">
        <v>990</v>
      </c>
      <c r="P792" s="139" t="s">
        <v>46</v>
      </c>
      <c r="Q792" s="37"/>
      <c r="R792" s="65"/>
      <c r="S792" s="137" t="s">
        <v>990</v>
      </c>
      <c r="T792" s="139" t="s">
        <v>46</v>
      </c>
      <c r="U792" s="37"/>
      <c r="V792" s="65"/>
      <c r="W792" s="137" t="s">
        <v>990</v>
      </c>
      <c r="X792" s="138" t="s">
        <v>63</v>
      </c>
      <c r="Y792" s="37"/>
      <c r="Z792" s="65"/>
      <c r="AA792" s="137" t="s">
        <v>990</v>
      </c>
      <c r="AB792" s="139" t="s">
        <v>46</v>
      </c>
      <c r="AC792" s="37"/>
      <c r="AD792" s="65"/>
      <c r="AE792" s="137" t="s">
        <v>990</v>
      </c>
      <c r="AF792" s="138" t="s">
        <v>63</v>
      </c>
      <c r="AG792" s="37"/>
      <c r="AH792" s="65"/>
      <c r="AI792" s="137" t="s">
        <v>990</v>
      </c>
      <c r="AJ792" s="139" t="s">
        <v>46</v>
      </c>
      <c r="AK792" s="37"/>
      <c r="AL792" s="65"/>
      <c r="AM792" s="137" t="s">
        <v>990</v>
      </c>
      <c r="AN792" s="139" t="s">
        <v>46</v>
      </c>
      <c r="AO792" s="37"/>
      <c r="AP792" s="65"/>
      <c r="AQ792" s="137" t="s">
        <v>990</v>
      </c>
      <c r="AR792" s="139" t="s">
        <v>46</v>
      </c>
      <c r="AS792" s="37"/>
      <c r="AT792" s="65"/>
      <c r="AU792" s="137" t="s">
        <v>990</v>
      </c>
      <c r="AV792" s="139" t="s">
        <v>46</v>
      </c>
      <c r="AW792" s="37"/>
      <c r="AX792" s="65"/>
      <c r="AY792" s="137" t="s">
        <v>990</v>
      </c>
      <c r="AZ792" s="138" t="s">
        <v>63</v>
      </c>
      <c r="BA792" s="37"/>
      <c r="BB792" s="65"/>
      <c r="BC792" s="137" t="s">
        <v>990</v>
      </c>
      <c r="BD792" s="139" t="s">
        <v>46</v>
      </c>
      <c r="BE792" s="37"/>
      <c r="BF792" s="65"/>
      <c r="BG792" s="137" t="s">
        <v>990</v>
      </c>
      <c r="BH792" s="139" t="s">
        <v>46</v>
      </c>
      <c r="BI792" s="37"/>
      <c r="BJ792" s="65"/>
      <c r="BK792" s="137" t="s">
        <v>990</v>
      </c>
      <c r="BL792" s="138" t="s">
        <v>63</v>
      </c>
      <c r="BM792" s="37"/>
      <c r="BN792" s="65"/>
      <c r="BO792" s="137" t="s">
        <v>990</v>
      </c>
      <c r="BP792" s="139" t="s">
        <v>46</v>
      </c>
      <c r="BQ792" s="37"/>
      <c r="BR792" s="65"/>
      <c r="BS792" s="137" t="s">
        <v>990</v>
      </c>
      <c r="BT792" s="139" t="s">
        <v>46</v>
      </c>
      <c r="BU792" s="37"/>
    </row>
    <row r="793" ht="12.75" customHeight="1">
      <c r="A793" s="146"/>
      <c r="B793" s="132" t="s">
        <v>63</v>
      </c>
      <c r="C793" s="69"/>
      <c r="D793" s="134"/>
      <c r="E793" s="59"/>
      <c r="F793" s="65"/>
      <c r="G793" s="70" t="s">
        <v>991</v>
      </c>
      <c r="H793" s="95"/>
      <c r="I793" s="38"/>
      <c r="J793" s="65"/>
      <c r="K793" s="137" t="s">
        <v>991</v>
      </c>
      <c r="L793" s="139" t="s">
        <v>63</v>
      </c>
      <c r="M793" s="37"/>
      <c r="N793" s="65"/>
      <c r="O793" s="137" t="s">
        <v>991</v>
      </c>
      <c r="P793" s="139" t="s">
        <v>63</v>
      </c>
      <c r="Q793" s="37"/>
      <c r="R793" s="65"/>
      <c r="S793" s="137" t="s">
        <v>991</v>
      </c>
      <c r="T793" s="139" t="s">
        <v>63</v>
      </c>
      <c r="U793" s="37"/>
      <c r="V793" s="65"/>
      <c r="W793" s="137" t="s">
        <v>991</v>
      </c>
      <c r="X793" s="139" t="s">
        <v>63</v>
      </c>
      <c r="Y793" s="37"/>
      <c r="Z793" s="65"/>
      <c r="AA793" s="137" t="s">
        <v>991</v>
      </c>
      <c r="AB793" s="139" t="s">
        <v>63</v>
      </c>
      <c r="AC793" s="37"/>
      <c r="AD793" s="65"/>
      <c r="AE793" s="137" t="s">
        <v>991</v>
      </c>
      <c r="AF793" s="139" t="s">
        <v>63</v>
      </c>
      <c r="AG793" s="37"/>
      <c r="AH793" s="65"/>
      <c r="AI793" s="137" t="s">
        <v>991</v>
      </c>
      <c r="AJ793" s="139" t="s">
        <v>63</v>
      </c>
      <c r="AK793" s="37"/>
      <c r="AL793" s="65"/>
      <c r="AM793" s="137" t="s">
        <v>991</v>
      </c>
      <c r="AN793" s="139" t="s">
        <v>63</v>
      </c>
      <c r="AO793" s="37"/>
      <c r="AP793" s="65"/>
      <c r="AQ793" s="137" t="s">
        <v>991</v>
      </c>
      <c r="AR793" s="139" t="s">
        <v>63</v>
      </c>
      <c r="AS793" s="37"/>
      <c r="AT793" s="65"/>
      <c r="AU793" s="137" t="s">
        <v>991</v>
      </c>
      <c r="AV793" s="139" t="s">
        <v>63</v>
      </c>
      <c r="AW793" s="37"/>
      <c r="AX793" s="65"/>
      <c r="AY793" s="137" t="s">
        <v>991</v>
      </c>
      <c r="AZ793" s="139" t="s">
        <v>63</v>
      </c>
      <c r="BA793" s="37"/>
      <c r="BB793" s="65"/>
      <c r="BC793" s="137" t="s">
        <v>991</v>
      </c>
      <c r="BD793" s="139" t="s">
        <v>63</v>
      </c>
      <c r="BE793" s="37"/>
      <c r="BF793" s="65"/>
      <c r="BG793" s="137" t="s">
        <v>991</v>
      </c>
      <c r="BH793" s="139" t="s">
        <v>63</v>
      </c>
      <c r="BI793" s="37"/>
      <c r="BJ793" s="65"/>
      <c r="BK793" s="137" t="s">
        <v>991</v>
      </c>
      <c r="BL793" s="139" t="s">
        <v>63</v>
      </c>
      <c r="BM793" s="37"/>
      <c r="BN793" s="65"/>
      <c r="BO793" s="137" t="s">
        <v>991</v>
      </c>
      <c r="BP793" s="139" t="s">
        <v>63</v>
      </c>
      <c r="BQ793" s="37"/>
      <c r="BR793" s="65"/>
      <c r="BS793" s="137" t="s">
        <v>991</v>
      </c>
      <c r="BT793" s="139" t="s">
        <v>63</v>
      </c>
      <c r="BU793" s="37"/>
    </row>
    <row r="794" ht="12.75" customHeight="1">
      <c r="A794" s="146"/>
      <c r="B794" s="132" t="s">
        <v>83</v>
      </c>
      <c r="C794" s="69"/>
      <c r="D794" s="134"/>
      <c r="E794" s="59"/>
      <c r="F794" s="65"/>
      <c r="G794" s="70" t="s">
        <v>992</v>
      </c>
      <c r="H794" s="95"/>
      <c r="I794" s="38"/>
      <c r="J794" s="65"/>
      <c r="K794" s="137" t="s">
        <v>992</v>
      </c>
      <c r="L794" s="139" t="s">
        <v>83</v>
      </c>
      <c r="M794" s="37"/>
      <c r="N794" s="65"/>
      <c r="O794" s="137" t="s">
        <v>992</v>
      </c>
      <c r="P794" s="139" t="s">
        <v>83</v>
      </c>
      <c r="Q794" s="37"/>
      <c r="R794" s="65"/>
      <c r="S794" s="137" t="s">
        <v>992</v>
      </c>
      <c r="T794" s="139" t="s">
        <v>83</v>
      </c>
      <c r="U794" s="37"/>
      <c r="V794" s="65"/>
      <c r="W794" s="137" t="s">
        <v>992</v>
      </c>
      <c r="X794" s="139" t="s">
        <v>83</v>
      </c>
      <c r="Y794" s="37"/>
      <c r="Z794" s="65"/>
      <c r="AA794" s="137" t="s">
        <v>992</v>
      </c>
      <c r="AB794" s="139" t="s">
        <v>83</v>
      </c>
      <c r="AC794" s="37"/>
      <c r="AD794" s="65"/>
      <c r="AE794" s="137" t="s">
        <v>992</v>
      </c>
      <c r="AF794" s="139" t="s">
        <v>83</v>
      </c>
      <c r="AG794" s="37"/>
      <c r="AH794" s="65"/>
      <c r="AI794" s="137" t="s">
        <v>992</v>
      </c>
      <c r="AJ794" s="139" t="s">
        <v>83</v>
      </c>
      <c r="AK794" s="37"/>
      <c r="AL794" s="65"/>
      <c r="AM794" s="137" t="s">
        <v>992</v>
      </c>
      <c r="AN794" s="139" t="s">
        <v>83</v>
      </c>
      <c r="AO794" s="37"/>
      <c r="AP794" s="65"/>
      <c r="AQ794" s="137" t="s">
        <v>992</v>
      </c>
      <c r="AR794" s="139" t="s">
        <v>83</v>
      </c>
      <c r="AS794" s="37"/>
      <c r="AT794" s="65"/>
      <c r="AU794" s="137" t="s">
        <v>992</v>
      </c>
      <c r="AV794" s="139" t="s">
        <v>83</v>
      </c>
      <c r="AW794" s="37"/>
      <c r="AX794" s="65"/>
      <c r="AY794" s="137" t="s">
        <v>992</v>
      </c>
      <c r="AZ794" s="139" t="s">
        <v>83</v>
      </c>
      <c r="BA794" s="37"/>
      <c r="BB794" s="65"/>
      <c r="BC794" s="137" t="s">
        <v>992</v>
      </c>
      <c r="BD794" s="139" t="s">
        <v>83</v>
      </c>
      <c r="BE794" s="37"/>
      <c r="BF794" s="65"/>
      <c r="BG794" s="137" t="s">
        <v>992</v>
      </c>
      <c r="BH794" s="139" t="s">
        <v>83</v>
      </c>
      <c r="BI794" s="37"/>
      <c r="BJ794" s="65"/>
      <c r="BK794" s="137" t="s">
        <v>992</v>
      </c>
      <c r="BL794" s="138" t="s">
        <v>759</v>
      </c>
      <c r="BM794" s="37"/>
      <c r="BN794" s="65"/>
      <c r="BO794" s="137" t="s">
        <v>992</v>
      </c>
      <c r="BP794" s="139" t="s">
        <v>83</v>
      </c>
      <c r="BQ794" s="37"/>
      <c r="BR794" s="65"/>
      <c r="BS794" s="137" t="s">
        <v>992</v>
      </c>
      <c r="BT794" s="139" t="s">
        <v>83</v>
      </c>
      <c r="BU794" s="37"/>
    </row>
    <row r="795" ht="12.75" customHeight="1">
      <c r="A795" s="93"/>
      <c r="B795" s="94"/>
      <c r="C795" s="94"/>
      <c r="D795" s="87"/>
      <c r="E795" s="57"/>
      <c r="F795" s="65"/>
      <c r="G795" s="76"/>
      <c r="H795" s="95"/>
      <c r="I795" s="38"/>
      <c r="J795" s="65"/>
      <c r="K795" s="109"/>
      <c r="L795" s="139"/>
      <c r="M795" s="37"/>
      <c r="N795" s="65"/>
      <c r="O795" s="109"/>
      <c r="P795" s="139"/>
      <c r="Q795" s="37"/>
      <c r="R795" s="65"/>
      <c r="S795" s="109"/>
      <c r="T795" s="139"/>
      <c r="U795" s="37"/>
      <c r="V795" s="65"/>
      <c r="W795" s="109"/>
      <c r="X795" s="139"/>
      <c r="Y795" s="37"/>
      <c r="Z795" s="65"/>
      <c r="AA795" s="109"/>
      <c r="AB795" s="139"/>
      <c r="AC795" s="37"/>
      <c r="AD795" s="65"/>
      <c r="AE795" s="109"/>
      <c r="AF795" s="139"/>
      <c r="AG795" s="37"/>
      <c r="AH795" s="65"/>
      <c r="AI795" s="109"/>
      <c r="AJ795" s="139"/>
      <c r="AK795" s="37"/>
      <c r="AL795" s="65"/>
      <c r="AM795" s="109"/>
      <c r="AN795" s="139"/>
      <c r="AO795" s="37"/>
      <c r="AP795" s="65"/>
      <c r="AQ795" s="109"/>
      <c r="AR795" s="139"/>
      <c r="AS795" s="37"/>
      <c r="AT795" s="65"/>
      <c r="AU795" s="109"/>
      <c r="AV795" s="139"/>
      <c r="AW795" s="37"/>
      <c r="AX795" s="65"/>
      <c r="AY795" s="109"/>
      <c r="AZ795" s="139"/>
      <c r="BA795" s="37"/>
      <c r="BB795" s="65"/>
      <c r="BC795" s="109"/>
      <c r="BD795" s="139"/>
      <c r="BE795" s="37"/>
      <c r="BF795" s="65"/>
      <c r="BG795" s="109"/>
      <c r="BH795" s="139"/>
      <c r="BI795" s="37"/>
      <c r="BJ795" s="65"/>
      <c r="BK795" s="109"/>
      <c r="BL795" s="139"/>
      <c r="BM795" s="37"/>
      <c r="BN795" s="65"/>
      <c r="BO795" s="109"/>
      <c r="BP795" s="139"/>
      <c r="BQ795" s="37"/>
      <c r="BR795" s="65"/>
      <c r="BS795" s="109"/>
      <c r="BT795" s="139"/>
      <c r="BU795" s="37"/>
    </row>
    <row r="796" ht="12.75" customHeight="1">
      <c r="A796" s="94"/>
      <c r="B796" s="94"/>
      <c r="C796" s="94"/>
      <c r="D796" s="87"/>
      <c r="E796" s="57"/>
      <c r="F796" s="85"/>
      <c r="G796" s="76"/>
      <c r="H796" s="95"/>
      <c r="I796" s="38"/>
      <c r="J796" s="85"/>
      <c r="K796" s="109"/>
      <c r="L796" s="139"/>
      <c r="M796" s="37"/>
      <c r="N796" s="85"/>
      <c r="O796" s="109"/>
      <c r="P796" s="139"/>
      <c r="Q796" s="37"/>
      <c r="R796" s="85"/>
      <c r="S796" s="109"/>
      <c r="T796" s="139"/>
      <c r="U796" s="37"/>
      <c r="V796" s="85"/>
      <c r="W796" s="109"/>
      <c r="X796" s="139"/>
      <c r="Y796" s="37"/>
      <c r="Z796" s="85"/>
      <c r="AA796" s="109"/>
      <c r="AB796" s="139"/>
      <c r="AC796" s="37"/>
      <c r="AD796" s="85"/>
      <c r="AE796" s="109"/>
      <c r="AF796" s="139"/>
      <c r="AG796" s="37"/>
      <c r="AH796" s="85"/>
      <c r="AI796" s="109"/>
      <c r="AJ796" s="139"/>
      <c r="AK796" s="37"/>
      <c r="AL796" s="85"/>
      <c r="AM796" s="109"/>
      <c r="AN796" s="139"/>
      <c r="AO796" s="37"/>
      <c r="AP796" s="85"/>
      <c r="AQ796" s="109"/>
      <c r="AR796" s="139"/>
      <c r="AS796" s="37"/>
      <c r="AT796" s="85"/>
      <c r="AU796" s="109"/>
      <c r="AV796" s="139"/>
      <c r="AW796" s="37"/>
      <c r="AX796" s="85"/>
      <c r="AY796" s="109"/>
      <c r="AZ796" s="139"/>
      <c r="BA796" s="37"/>
      <c r="BB796" s="85"/>
      <c r="BC796" s="109"/>
      <c r="BD796" s="139"/>
      <c r="BE796" s="37"/>
      <c r="BF796" s="85"/>
      <c r="BG796" s="109"/>
      <c r="BH796" s="139"/>
      <c r="BI796" s="37"/>
      <c r="BJ796" s="85"/>
      <c r="BK796" s="109"/>
      <c r="BL796" s="139"/>
      <c r="BM796" s="37"/>
      <c r="BN796" s="85"/>
      <c r="BO796" s="109"/>
      <c r="BP796" s="139"/>
      <c r="BQ796" s="37"/>
      <c r="BR796" s="85"/>
      <c r="BS796" s="109"/>
      <c r="BT796" s="139"/>
      <c r="BU796" s="37"/>
    </row>
    <row r="797" ht="12.75" customHeight="1">
      <c r="A797" s="86"/>
      <c r="B797" s="75"/>
      <c r="C797" s="86"/>
      <c r="D797" s="87"/>
      <c r="E797" s="57"/>
      <c r="F797" s="65" t="s">
        <v>993</v>
      </c>
      <c r="G797" s="88"/>
      <c r="H797" s="89"/>
      <c r="I797" s="38"/>
      <c r="J797" s="65" t="s">
        <v>993</v>
      </c>
      <c r="K797" s="88"/>
      <c r="L797" s="166"/>
      <c r="M797" s="37"/>
      <c r="N797" s="65" t="s">
        <v>993</v>
      </c>
      <c r="O797" s="88"/>
      <c r="P797" s="166"/>
      <c r="Q797" s="37"/>
      <c r="R797" s="65" t="s">
        <v>993</v>
      </c>
      <c r="S797" s="88"/>
      <c r="T797" s="166"/>
      <c r="U797" s="37"/>
      <c r="V797" s="65" t="s">
        <v>993</v>
      </c>
      <c r="W797" s="88"/>
      <c r="X797" s="166"/>
      <c r="Y797" s="37"/>
      <c r="Z797" s="65" t="s">
        <v>993</v>
      </c>
      <c r="AA797" s="88"/>
      <c r="AB797" s="166"/>
      <c r="AC797" s="37"/>
      <c r="AD797" s="65" t="s">
        <v>993</v>
      </c>
      <c r="AE797" s="88"/>
      <c r="AF797" s="166"/>
      <c r="AG797" s="37"/>
      <c r="AH797" s="65" t="s">
        <v>993</v>
      </c>
      <c r="AI797" s="88"/>
      <c r="AJ797" s="166"/>
      <c r="AK797" s="37"/>
      <c r="AL797" s="65" t="s">
        <v>993</v>
      </c>
      <c r="AM797" s="88"/>
      <c r="AN797" s="166"/>
      <c r="AO797" s="37"/>
      <c r="AP797" s="65" t="s">
        <v>993</v>
      </c>
      <c r="AQ797" s="88"/>
      <c r="AR797" s="166"/>
      <c r="AS797" s="37"/>
      <c r="AT797" s="65" t="s">
        <v>993</v>
      </c>
      <c r="AU797" s="88"/>
      <c r="AV797" s="166"/>
      <c r="AW797" s="37"/>
      <c r="AX797" s="65" t="s">
        <v>993</v>
      </c>
      <c r="AY797" s="88"/>
      <c r="AZ797" s="166"/>
      <c r="BA797" s="37"/>
      <c r="BB797" s="65" t="s">
        <v>993</v>
      </c>
      <c r="BC797" s="88"/>
      <c r="BD797" s="166"/>
      <c r="BE797" s="37"/>
      <c r="BF797" s="65" t="s">
        <v>993</v>
      </c>
      <c r="BG797" s="88"/>
      <c r="BH797" s="166"/>
      <c r="BI797" s="37"/>
      <c r="BJ797" s="65" t="s">
        <v>993</v>
      </c>
      <c r="BK797" s="88"/>
      <c r="BL797" s="166"/>
      <c r="BM797" s="37"/>
      <c r="BN797" s="65" t="s">
        <v>993</v>
      </c>
      <c r="BO797" s="88"/>
      <c r="BP797" s="166"/>
      <c r="BQ797" s="37"/>
      <c r="BR797" s="65" t="s">
        <v>993</v>
      </c>
      <c r="BS797" s="88"/>
      <c r="BT797" s="166"/>
      <c r="BU797" s="37"/>
    </row>
    <row r="798" ht="12.75" customHeight="1">
      <c r="A798" s="63" t="s">
        <v>36</v>
      </c>
      <c r="B798" s="64" t="s">
        <v>37</v>
      </c>
      <c r="C798" s="64" t="s">
        <v>38</v>
      </c>
      <c r="D798" s="87"/>
      <c r="E798" s="57"/>
      <c r="F798" s="65"/>
      <c r="G798" s="66" t="s">
        <v>39</v>
      </c>
      <c r="H798" s="67" t="s">
        <v>40</v>
      </c>
      <c r="I798" s="38"/>
      <c r="J798" s="65"/>
      <c r="K798" s="66" t="s">
        <v>39</v>
      </c>
      <c r="L798" s="130" t="s">
        <v>40</v>
      </c>
      <c r="M798" s="37"/>
      <c r="N798" s="65"/>
      <c r="O798" s="66" t="s">
        <v>39</v>
      </c>
      <c r="P798" s="130" t="s">
        <v>40</v>
      </c>
      <c r="Q798" s="37"/>
      <c r="R798" s="65"/>
      <c r="S798" s="66" t="s">
        <v>39</v>
      </c>
      <c r="T798" s="130" t="s">
        <v>40</v>
      </c>
      <c r="U798" s="37"/>
      <c r="V798" s="65"/>
      <c r="W798" s="66" t="s">
        <v>39</v>
      </c>
      <c r="X798" s="130" t="s">
        <v>40</v>
      </c>
      <c r="Y798" s="37"/>
      <c r="Z798" s="65"/>
      <c r="AA798" s="66" t="s">
        <v>39</v>
      </c>
      <c r="AB798" s="130" t="s">
        <v>40</v>
      </c>
      <c r="AC798" s="37"/>
      <c r="AD798" s="65"/>
      <c r="AE798" s="66" t="s">
        <v>39</v>
      </c>
      <c r="AF798" s="130" t="s">
        <v>40</v>
      </c>
      <c r="AG798" s="37"/>
      <c r="AH798" s="65"/>
      <c r="AI798" s="66" t="s">
        <v>39</v>
      </c>
      <c r="AJ798" s="130" t="s">
        <v>40</v>
      </c>
      <c r="AK798" s="37"/>
      <c r="AL798" s="65"/>
      <c r="AM798" s="66" t="s">
        <v>39</v>
      </c>
      <c r="AN798" s="130" t="s">
        <v>40</v>
      </c>
      <c r="AO798" s="37"/>
      <c r="AP798" s="65"/>
      <c r="AQ798" s="66" t="s">
        <v>39</v>
      </c>
      <c r="AR798" s="130" t="s">
        <v>40</v>
      </c>
      <c r="AS798" s="37"/>
      <c r="AT798" s="65"/>
      <c r="AU798" s="66" t="s">
        <v>39</v>
      </c>
      <c r="AV798" s="130" t="s">
        <v>40</v>
      </c>
      <c r="AW798" s="37"/>
      <c r="AX798" s="65"/>
      <c r="AY798" s="66" t="s">
        <v>39</v>
      </c>
      <c r="AZ798" s="130" t="s">
        <v>40</v>
      </c>
      <c r="BA798" s="37"/>
      <c r="BB798" s="65"/>
      <c r="BC798" s="66" t="s">
        <v>39</v>
      </c>
      <c r="BD798" s="130" t="s">
        <v>40</v>
      </c>
      <c r="BE798" s="37"/>
      <c r="BF798" s="65"/>
      <c r="BG798" s="66" t="s">
        <v>39</v>
      </c>
      <c r="BH798" s="130" t="s">
        <v>40</v>
      </c>
      <c r="BI798" s="37"/>
      <c r="BJ798" s="65"/>
      <c r="BK798" s="66" t="s">
        <v>39</v>
      </c>
      <c r="BL798" s="130" t="s">
        <v>40</v>
      </c>
      <c r="BM798" s="37"/>
      <c r="BN798" s="65"/>
      <c r="BO798" s="66" t="s">
        <v>39</v>
      </c>
      <c r="BP798" s="130" t="s">
        <v>40</v>
      </c>
      <c r="BQ798" s="37"/>
      <c r="BR798" s="65"/>
      <c r="BS798" s="66" t="s">
        <v>39</v>
      </c>
      <c r="BT798" s="130" t="s">
        <v>40</v>
      </c>
      <c r="BU798" s="37"/>
    </row>
    <row r="799" ht="12.75" customHeight="1">
      <c r="A799" s="146"/>
      <c r="B799" s="132" t="s">
        <v>46</v>
      </c>
      <c r="C799" s="69"/>
      <c r="D799" s="134"/>
      <c r="E799" s="59"/>
      <c r="F799" s="65"/>
      <c r="G799" s="70" t="s">
        <v>994</v>
      </c>
      <c r="H799" s="95"/>
      <c r="I799" s="38"/>
      <c r="J799" s="65"/>
      <c r="K799" s="137" t="s">
        <v>994</v>
      </c>
      <c r="L799" s="139" t="s">
        <v>46</v>
      </c>
      <c r="M799" s="37"/>
      <c r="N799" s="65"/>
      <c r="O799" s="137" t="s">
        <v>994</v>
      </c>
      <c r="P799" s="139" t="s">
        <v>46</v>
      </c>
      <c r="Q799" s="37"/>
      <c r="R799" s="65"/>
      <c r="S799" s="137" t="s">
        <v>994</v>
      </c>
      <c r="T799" s="139" t="s">
        <v>46</v>
      </c>
      <c r="U799" s="37"/>
      <c r="V799" s="65"/>
      <c r="W799" s="137" t="s">
        <v>994</v>
      </c>
      <c r="X799" s="138" t="s">
        <v>63</v>
      </c>
      <c r="Y799" s="37"/>
      <c r="Z799" s="65"/>
      <c r="AA799" s="137" t="s">
        <v>994</v>
      </c>
      <c r="AB799" s="139" t="s">
        <v>46</v>
      </c>
      <c r="AC799" s="37"/>
      <c r="AD799" s="65"/>
      <c r="AE799" s="137" t="s">
        <v>994</v>
      </c>
      <c r="AF799" s="139" t="s">
        <v>46</v>
      </c>
      <c r="AG799" s="37"/>
      <c r="AH799" s="65"/>
      <c r="AI799" s="137" t="s">
        <v>994</v>
      </c>
      <c r="AJ799" s="139" t="s">
        <v>46</v>
      </c>
      <c r="AK799" s="37"/>
      <c r="AL799" s="65"/>
      <c r="AM799" s="137" t="s">
        <v>994</v>
      </c>
      <c r="AN799" s="139" t="s">
        <v>46</v>
      </c>
      <c r="AO799" s="37"/>
      <c r="AP799" s="65"/>
      <c r="AQ799" s="137" t="s">
        <v>994</v>
      </c>
      <c r="AR799" s="139" t="s">
        <v>46</v>
      </c>
      <c r="AS799" s="37"/>
      <c r="AT799" s="65"/>
      <c r="AU799" s="137" t="s">
        <v>994</v>
      </c>
      <c r="AV799" s="139" t="s">
        <v>46</v>
      </c>
      <c r="AW799" s="37"/>
      <c r="AX799" s="65"/>
      <c r="AY799" s="137" t="s">
        <v>994</v>
      </c>
      <c r="AZ799" s="138" t="s">
        <v>63</v>
      </c>
      <c r="BA799" s="37"/>
      <c r="BB799" s="65"/>
      <c r="BC799" s="137" t="s">
        <v>994</v>
      </c>
      <c r="BD799" s="139" t="s">
        <v>46</v>
      </c>
      <c r="BE799" s="37"/>
      <c r="BF799" s="65"/>
      <c r="BG799" s="137" t="s">
        <v>994</v>
      </c>
      <c r="BH799" s="139" t="s">
        <v>46</v>
      </c>
      <c r="BI799" s="37"/>
      <c r="BJ799" s="65"/>
      <c r="BK799" s="137" t="s">
        <v>994</v>
      </c>
      <c r="BL799" s="139" t="s">
        <v>46</v>
      </c>
      <c r="BM799" s="37"/>
      <c r="BN799" s="65"/>
      <c r="BO799" s="137" t="s">
        <v>994</v>
      </c>
      <c r="BP799" s="139" t="s">
        <v>46</v>
      </c>
      <c r="BQ799" s="37"/>
      <c r="BR799" s="65"/>
      <c r="BS799" s="137" t="s">
        <v>994</v>
      </c>
      <c r="BT799" s="139" t="s">
        <v>46</v>
      </c>
      <c r="BU799" s="37"/>
    </row>
    <row r="800" ht="12.75" customHeight="1">
      <c r="A800" s="93"/>
      <c r="B800" s="94"/>
      <c r="C800" s="94"/>
      <c r="D800" s="87"/>
      <c r="E800" s="57"/>
      <c r="F800" s="65"/>
      <c r="G800" s="76"/>
      <c r="H800" s="95"/>
      <c r="I800" s="38"/>
      <c r="J800" s="65"/>
      <c r="K800" s="109"/>
      <c r="L800" s="139"/>
      <c r="M800" s="37"/>
      <c r="N800" s="65"/>
      <c r="O800" s="109"/>
      <c r="P800" s="139"/>
      <c r="Q800" s="37"/>
      <c r="R800" s="65"/>
      <c r="S800" s="109"/>
      <c r="T800" s="139"/>
      <c r="U800" s="37"/>
      <c r="V800" s="65"/>
      <c r="W800" s="109"/>
      <c r="X800" s="139"/>
      <c r="Y800" s="37"/>
      <c r="Z800" s="65"/>
      <c r="AA800" s="109"/>
      <c r="AB800" s="139"/>
      <c r="AC800" s="37"/>
      <c r="AD800" s="65"/>
      <c r="AE800" s="109"/>
      <c r="AF800" s="139"/>
      <c r="AG800" s="37"/>
      <c r="AH800" s="65"/>
      <c r="AI800" s="109"/>
      <c r="AJ800" s="139"/>
      <c r="AK800" s="37"/>
      <c r="AL800" s="65"/>
      <c r="AM800" s="109"/>
      <c r="AN800" s="139"/>
      <c r="AO800" s="37"/>
      <c r="AP800" s="65"/>
      <c r="AQ800" s="109"/>
      <c r="AR800" s="139"/>
      <c r="AS800" s="37"/>
      <c r="AT800" s="65"/>
      <c r="AU800" s="109"/>
      <c r="AV800" s="139"/>
      <c r="AW800" s="37"/>
      <c r="AX800" s="65"/>
      <c r="AY800" s="109"/>
      <c r="AZ800" s="139"/>
      <c r="BA800" s="37"/>
      <c r="BB800" s="65"/>
      <c r="BC800" s="109"/>
      <c r="BD800" s="139"/>
      <c r="BE800" s="37"/>
      <c r="BF800" s="65"/>
      <c r="BG800" s="109"/>
      <c r="BH800" s="139"/>
      <c r="BI800" s="37"/>
      <c r="BJ800" s="65"/>
      <c r="BK800" s="109"/>
      <c r="BL800" s="139"/>
      <c r="BM800" s="37"/>
      <c r="BN800" s="65"/>
      <c r="BO800" s="109"/>
      <c r="BP800" s="139"/>
      <c r="BQ800" s="37"/>
      <c r="BR800" s="65"/>
      <c r="BS800" s="109"/>
      <c r="BT800" s="139"/>
      <c r="BU800" s="37"/>
    </row>
    <row r="801" ht="12.75" customHeight="1">
      <c r="A801" s="86"/>
      <c r="B801" s="94"/>
      <c r="C801" s="94"/>
      <c r="D801" s="87"/>
      <c r="E801" s="57"/>
      <c r="F801" s="145"/>
      <c r="G801" s="76"/>
      <c r="H801" s="95"/>
      <c r="I801" s="38"/>
      <c r="J801" s="145"/>
      <c r="K801" s="109"/>
      <c r="L801" s="139"/>
      <c r="M801" s="37"/>
      <c r="N801" s="145"/>
      <c r="O801" s="109"/>
      <c r="P801" s="139"/>
      <c r="Q801" s="37"/>
      <c r="R801" s="145"/>
      <c r="S801" s="109"/>
      <c r="T801" s="139"/>
      <c r="U801" s="37"/>
      <c r="V801" s="145"/>
      <c r="W801" s="109"/>
      <c r="X801" s="139"/>
      <c r="Y801" s="37"/>
      <c r="Z801" s="145"/>
      <c r="AA801" s="109"/>
      <c r="AB801" s="139"/>
      <c r="AC801" s="37"/>
      <c r="AD801" s="145"/>
      <c r="AE801" s="109"/>
      <c r="AF801" s="139"/>
      <c r="AG801" s="37"/>
      <c r="AH801" s="145"/>
      <c r="AI801" s="109"/>
      <c r="AJ801" s="139"/>
      <c r="AK801" s="37"/>
      <c r="AL801" s="145"/>
      <c r="AM801" s="109"/>
      <c r="AN801" s="139"/>
      <c r="AO801" s="37"/>
      <c r="AP801" s="145"/>
      <c r="AQ801" s="109"/>
      <c r="AR801" s="139"/>
      <c r="AS801" s="37"/>
      <c r="AT801" s="145"/>
      <c r="AU801" s="109"/>
      <c r="AV801" s="139"/>
      <c r="AW801" s="37"/>
      <c r="AX801" s="145"/>
      <c r="AY801" s="109"/>
      <c r="AZ801" s="139"/>
      <c r="BA801" s="37"/>
      <c r="BB801" s="145"/>
      <c r="BC801" s="109"/>
      <c r="BD801" s="139"/>
      <c r="BE801" s="37"/>
      <c r="BF801" s="145"/>
      <c r="BG801" s="109"/>
      <c r="BH801" s="139"/>
      <c r="BI801" s="37"/>
      <c r="BJ801" s="145"/>
      <c r="BK801" s="109"/>
      <c r="BL801" s="139"/>
      <c r="BM801" s="37"/>
      <c r="BN801" s="145"/>
      <c r="BO801" s="109"/>
      <c r="BP801" s="139"/>
      <c r="BQ801" s="37"/>
      <c r="BR801" s="145"/>
      <c r="BS801" s="109"/>
      <c r="BT801" s="139"/>
      <c r="BU801" s="37"/>
    </row>
    <row r="802" ht="12.75" customHeight="1">
      <c r="A802" s="86"/>
      <c r="B802" s="75"/>
      <c r="C802" s="86"/>
      <c r="D802" s="87"/>
      <c r="E802" s="57"/>
      <c r="F802" s="65" t="s">
        <v>995</v>
      </c>
      <c r="G802" s="88"/>
      <c r="H802" s="89"/>
      <c r="I802" s="37"/>
      <c r="J802" s="65" t="s">
        <v>995</v>
      </c>
      <c r="K802" s="88"/>
      <c r="L802" s="166"/>
      <c r="M802" s="37"/>
      <c r="N802" s="65" t="s">
        <v>995</v>
      </c>
      <c r="O802" s="88"/>
      <c r="P802" s="166"/>
      <c r="Q802" s="37"/>
      <c r="R802" s="65" t="s">
        <v>995</v>
      </c>
      <c r="S802" s="88"/>
      <c r="T802" s="166"/>
      <c r="U802" s="37"/>
      <c r="V802" s="65" t="s">
        <v>995</v>
      </c>
      <c r="W802" s="88"/>
      <c r="X802" s="166"/>
      <c r="Y802" s="37"/>
      <c r="Z802" s="65" t="s">
        <v>995</v>
      </c>
      <c r="AA802" s="88"/>
      <c r="AB802" s="166"/>
      <c r="AC802" s="37"/>
      <c r="AD802" s="65" t="s">
        <v>995</v>
      </c>
      <c r="AE802" s="88"/>
      <c r="AF802" s="166"/>
      <c r="AG802" s="37"/>
      <c r="AH802" s="65" t="s">
        <v>995</v>
      </c>
      <c r="AI802" s="88"/>
      <c r="AJ802" s="166"/>
      <c r="AK802" s="37"/>
      <c r="AL802" s="65" t="s">
        <v>995</v>
      </c>
      <c r="AM802" s="88"/>
      <c r="AN802" s="166"/>
      <c r="AO802" s="37"/>
      <c r="AP802" s="65" t="s">
        <v>995</v>
      </c>
      <c r="AQ802" s="88"/>
      <c r="AR802" s="166"/>
      <c r="AS802" s="37"/>
      <c r="AT802" s="65" t="s">
        <v>995</v>
      </c>
      <c r="AU802" s="88"/>
      <c r="AV802" s="166"/>
      <c r="AW802" s="37"/>
      <c r="AX802" s="65" t="s">
        <v>995</v>
      </c>
      <c r="AY802" s="88"/>
      <c r="AZ802" s="166"/>
      <c r="BA802" s="37"/>
      <c r="BB802" s="65" t="s">
        <v>995</v>
      </c>
      <c r="BC802" s="88"/>
      <c r="BD802" s="166"/>
      <c r="BE802" s="37"/>
      <c r="BF802" s="65" t="s">
        <v>995</v>
      </c>
      <c r="BG802" s="88"/>
      <c r="BH802" s="166"/>
      <c r="BI802" s="37"/>
      <c r="BJ802" s="65" t="s">
        <v>995</v>
      </c>
      <c r="BK802" s="88"/>
      <c r="BL802" s="166"/>
      <c r="BM802" s="37"/>
      <c r="BN802" s="65" t="s">
        <v>995</v>
      </c>
      <c r="BO802" s="88"/>
      <c r="BP802" s="166"/>
      <c r="BQ802" s="37"/>
      <c r="BR802" s="65" t="s">
        <v>995</v>
      </c>
      <c r="BS802" s="88"/>
      <c r="BT802" s="166"/>
      <c r="BU802" s="37"/>
    </row>
    <row r="803" ht="12.75" customHeight="1">
      <c r="A803" s="63" t="s">
        <v>36</v>
      </c>
      <c r="B803" s="64" t="s">
        <v>37</v>
      </c>
      <c r="C803" s="64" t="s">
        <v>38</v>
      </c>
      <c r="D803" s="87"/>
      <c r="E803" s="57"/>
      <c r="F803" s="65"/>
      <c r="G803" s="66" t="s">
        <v>39</v>
      </c>
      <c r="H803" s="67" t="s">
        <v>40</v>
      </c>
      <c r="I803" s="38"/>
      <c r="J803" s="65"/>
      <c r="K803" s="66" t="s">
        <v>39</v>
      </c>
      <c r="L803" s="130" t="s">
        <v>40</v>
      </c>
      <c r="M803" s="37"/>
      <c r="N803" s="65"/>
      <c r="O803" s="66" t="s">
        <v>39</v>
      </c>
      <c r="P803" s="130" t="s">
        <v>40</v>
      </c>
      <c r="Q803" s="37"/>
      <c r="R803" s="65"/>
      <c r="S803" s="66" t="s">
        <v>39</v>
      </c>
      <c r="T803" s="130" t="s">
        <v>40</v>
      </c>
      <c r="U803" s="37"/>
      <c r="V803" s="65"/>
      <c r="W803" s="66" t="s">
        <v>39</v>
      </c>
      <c r="X803" s="130" t="s">
        <v>40</v>
      </c>
      <c r="Y803" s="37"/>
      <c r="Z803" s="65"/>
      <c r="AA803" s="66" t="s">
        <v>39</v>
      </c>
      <c r="AB803" s="130" t="s">
        <v>40</v>
      </c>
      <c r="AC803" s="37"/>
      <c r="AD803" s="65"/>
      <c r="AE803" s="66" t="s">
        <v>39</v>
      </c>
      <c r="AF803" s="130" t="s">
        <v>40</v>
      </c>
      <c r="AG803" s="37"/>
      <c r="AH803" s="65"/>
      <c r="AI803" s="66" t="s">
        <v>39</v>
      </c>
      <c r="AJ803" s="130" t="s">
        <v>40</v>
      </c>
      <c r="AK803" s="37"/>
      <c r="AL803" s="65"/>
      <c r="AM803" s="66" t="s">
        <v>39</v>
      </c>
      <c r="AN803" s="130" t="s">
        <v>40</v>
      </c>
      <c r="AO803" s="37"/>
      <c r="AP803" s="65"/>
      <c r="AQ803" s="66" t="s">
        <v>39</v>
      </c>
      <c r="AR803" s="130" t="s">
        <v>40</v>
      </c>
      <c r="AS803" s="37"/>
      <c r="AT803" s="65"/>
      <c r="AU803" s="66" t="s">
        <v>39</v>
      </c>
      <c r="AV803" s="130" t="s">
        <v>40</v>
      </c>
      <c r="AW803" s="37"/>
      <c r="AX803" s="65"/>
      <c r="AY803" s="66" t="s">
        <v>39</v>
      </c>
      <c r="AZ803" s="130" t="s">
        <v>40</v>
      </c>
      <c r="BA803" s="37"/>
      <c r="BB803" s="65"/>
      <c r="BC803" s="66" t="s">
        <v>39</v>
      </c>
      <c r="BD803" s="130" t="s">
        <v>40</v>
      </c>
      <c r="BE803" s="37"/>
      <c r="BF803" s="65"/>
      <c r="BG803" s="66" t="s">
        <v>39</v>
      </c>
      <c r="BH803" s="130" t="s">
        <v>40</v>
      </c>
      <c r="BI803" s="37"/>
      <c r="BJ803" s="65"/>
      <c r="BK803" s="66" t="s">
        <v>39</v>
      </c>
      <c r="BL803" s="130" t="s">
        <v>40</v>
      </c>
      <c r="BM803" s="37"/>
      <c r="BN803" s="65"/>
      <c r="BO803" s="66" t="s">
        <v>39</v>
      </c>
      <c r="BP803" s="130" t="s">
        <v>40</v>
      </c>
      <c r="BQ803" s="37"/>
      <c r="BR803" s="65"/>
      <c r="BS803" s="66" t="s">
        <v>39</v>
      </c>
      <c r="BT803" s="130" t="s">
        <v>40</v>
      </c>
      <c r="BU803" s="37"/>
    </row>
    <row r="804" ht="12.75" customHeight="1">
      <c r="A804" s="146" t="s">
        <v>996</v>
      </c>
      <c r="B804" s="132" t="s">
        <v>46</v>
      </c>
      <c r="C804" s="69"/>
      <c r="D804" s="134"/>
      <c r="E804" s="59"/>
      <c r="F804" s="65"/>
      <c r="G804" s="70" t="s">
        <v>997</v>
      </c>
      <c r="H804" s="95"/>
      <c r="I804" s="36"/>
      <c r="J804" s="65"/>
      <c r="K804" s="137" t="s">
        <v>997</v>
      </c>
      <c r="L804" s="139" t="s">
        <v>46</v>
      </c>
      <c r="M804" s="37"/>
      <c r="N804" s="65"/>
      <c r="O804" s="137" t="s">
        <v>997</v>
      </c>
      <c r="P804" s="139" t="s">
        <v>46</v>
      </c>
      <c r="Q804" s="37"/>
      <c r="R804" s="65"/>
      <c r="S804" s="137" t="s">
        <v>997</v>
      </c>
      <c r="T804" s="139" t="s">
        <v>46</v>
      </c>
      <c r="U804" s="37"/>
      <c r="V804" s="65"/>
      <c r="W804" s="137" t="s">
        <v>997</v>
      </c>
      <c r="X804" s="139" t="s">
        <v>46</v>
      </c>
      <c r="Y804" s="37"/>
      <c r="Z804" s="65"/>
      <c r="AA804" s="137" t="s">
        <v>997</v>
      </c>
      <c r="AB804" s="139" t="s">
        <v>46</v>
      </c>
      <c r="AC804" s="37"/>
      <c r="AD804" s="65"/>
      <c r="AE804" s="137" t="s">
        <v>997</v>
      </c>
      <c r="AF804" s="139" t="s">
        <v>46</v>
      </c>
      <c r="AG804" s="37"/>
      <c r="AH804" s="65"/>
      <c r="AI804" s="137" t="s">
        <v>997</v>
      </c>
      <c r="AJ804" s="139" t="s">
        <v>46</v>
      </c>
      <c r="AK804" s="37"/>
      <c r="AL804" s="65"/>
      <c r="AM804" s="137" t="s">
        <v>997</v>
      </c>
      <c r="AN804" s="139" t="s">
        <v>46</v>
      </c>
      <c r="AO804" s="37"/>
      <c r="AP804" s="65"/>
      <c r="AQ804" s="137" t="s">
        <v>997</v>
      </c>
      <c r="AR804" s="139" t="s">
        <v>46</v>
      </c>
      <c r="AS804" s="37"/>
      <c r="AT804" s="65"/>
      <c r="AU804" s="137" t="s">
        <v>997</v>
      </c>
      <c r="AV804" s="139" t="s">
        <v>46</v>
      </c>
      <c r="AW804" s="37"/>
      <c r="AX804" s="65"/>
      <c r="AY804" s="137" t="s">
        <v>997</v>
      </c>
      <c r="AZ804" s="139" t="s">
        <v>46</v>
      </c>
      <c r="BA804" s="37"/>
      <c r="BB804" s="65"/>
      <c r="BC804" s="137" t="s">
        <v>997</v>
      </c>
      <c r="BD804" s="139" t="s">
        <v>46</v>
      </c>
      <c r="BE804" s="37"/>
      <c r="BF804" s="65"/>
      <c r="BG804" s="137" t="s">
        <v>997</v>
      </c>
      <c r="BH804" s="139" t="s">
        <v>46</v>
      </c>
      <c r="BI804" s="37"/>
      <c r="BJ804" s="65"/>
      <c r="BK804" s="137" t="s">
        <v>997</v>
      </c>
      <c r="BL804" s="139" t="s">
        <v>46</v>
      </c>
      <c r="BM804" s="37"/>
      <c r="BN804" s="65"/>
      <c r="BO804" s="137" t="s">
        <v>997</v>
      </c>
      <c r="BP804" s="139" t="s">
        <v>46</v>
      </c>
      <c r="BQ804" s="37"/>
      <c r="BR804" s="65"/>
      <c r="BS804" s="137" t="s">
        <v>997</v>
      </c>
      <c r="BT804" s="139" t="s">
        <v>46</v>
      </c>
      <c r="BU804" s="37"/>
    </row>
    <row r="805" ht="12.75" customHeight="1">
      <c r="A805" s="146" t="s">
        <v>998</v>
      </c>
      <c r="B805" s="132" t="s">
        <v>46</v>
      </c>
      <c r="C805" s="69"/>
      <c r="D805" s="134"/>
      <c r="E805" s="59"/>
      <c r="F805" s="65"/>
      <c r="G805" s="70" t="s">
        <v>999</v>
      </c>
      <c r="H805" s="95"/>
      <c r="I805" s="37"/>
      <c r="J805" s="65"/>
      <c r="K805" s="137" t="s">
        <v>999</v>
      </c>
      <c r="L805" s="139" t="s">
        <v>46</v>
      </c>
      <c r="M805" s="37"/>
      <c r="N805" s="65"/>
      <c r="O805" s="137" t="s">
        <v>999</v>
      </c>
      <c r="P805" s="139" t="s">
        <v>46</v>
      </c>
      <c r="Q805" s="37"/>
      <c r="R805" s="65"/>
      <c r="S805" s="137" t="s">
        <v>999</v>
      </c>
      <c r="T805" s="139" t="s">
        <v>46</v>
      </c>
      <c r="U805" s="37"/>
      <c r="V805" s="65"/>
      <c r="W805" s="137" t="s">
        <v>999</v>
      </c>
      <c r="X805" s="139" t="s">
        <v>46</v>
      </c>
      <c r="Y805" s="37"/>
      <c r="Z805" s="65"/>
      <c r="AA805" s="137" t="s">
        <v>999</v>
      </c>
      <c r="AB805" s="139" t="s">
        <v>46</v>
      </c>
      <c r="AC805" s="37"/>
      <c r="AD805" s="65"/>
      <c r="AE805" s="137" t="s">
        <v>999</v>
      </c>
      <c r="AF805" s="139" t="s">
        <v>46</v>
      </c>
      <c r="AG805" s="37"/>
      <c r="AH805" s="65"/>
      <c r="AI805" s="137" t="s">
        <v>999</v>
      </c>
      <c r="AJ805" s="139" t="s">
        <v>46</v>
      </c>
      <c r="AK805" s="37"/>
      <c r="AL805" s="65"/>
      <c r="AM805" s="137" t="s">
        <v>999</v>
      </c>
      <c r="AN805" s="139" t="s">
        <v>46</v>
      </c>
      <c r="AO805" s="37"/>
      <c r="AP805" s="65"/>
      <c r="AQ805" s="137" t="s">
        <v>999</v>
      </c>
      <c r="AR805" s="139" t="s">
        <v>46</v>
      </c>
      <c r="AS805" s="37"/>
      <c r="AT805" s="65"/>
      <c r="AU805" s="137" t="s">
        <v>999</v>
      </c>
      <c r="AV805" s="139" t="s">
        <v>46</v>
      </c>
      <c r="AW805" s="37"/>
      <c r="AX805" s="65"/>
      <c r="AY805" s="137" t="s">
        <v>999</v>
      </c>
      <c r="AZ805" s="139" t="s">
        <v>46</v>
      </c>
      <c r="BA805" s="37"/>
      <c r="BB805" s="65"/>
      <c r="BC805" s="137" t="s">
        <v>999</v>
      </c>
      <c r="BD805" s="139" t="s">
        <v>46</v>
      </c>
      <c r="BE805" s="37"/>
      <c r="BF805" s="65"/>
      <c r="BG805" s="137" t="s">
        <v>999</v>
      </c>
      <c r="BH805" s="139" t="s">
        <v>46</v>
      </c>
      <c r="BI805" s="37"/>
      <c r="BJ805" s="65"/>
      <c r="BK805" s="137" t="s">
        <v>999</v>
      </c>
      <c r="BL805" s="139" t="s">
        <v>46</v>
      </c>
      <c r="BM805" s="37"/>
      <c r="BN805" s="65"/>
      <c r="BO805" s="137" t="s">
        <v>999</v>
      </c>
      <c r="BP805" s="139" t="s">
        <v>46</v>
      </c>
      <c r="BQ805" s="37"/>
      <c r="BR805" s="65"/>
      <c r="BS805" s="137" t="s">
        <v>999</v>
      </c>
      <c r="BT805" s="139" t="s">
        <v>46</v>
      </c>
      <c r="BU805" s="37"/>
    </row>
    <row r="806" ht="12.75" customHeight="1">
      <c r="A806" s="146" t="s">
        <v>1000</v>
      </c>
      <c r="B806" s="132" t="s">
        <v>63</v>
      </c>
      <c r="C806" s="69"/>
      <c r="D806" s="134"/>
      <c r="E806" s="59"/>
      <c r="F806" s="65"/>
      <c r="G806" s="70" t="s">
        <v>1001</v>
      </c>
      <c r="H806" s="95"/>
      <c r="I806" s="38"/>
      <c r="J806" s="65"/>
      <c r="K806" s="137" t="s">
        <v>1001</v>
      </c>
      <c r="L806" s="139" t="s">
        <v>63</v>
      </c>
      <c r="M806" s="37"/>
      <c r="N806" s="65"/>
      <c r="O806" s="137" t="s">
        <v>1001</v>
      </c>
      <c r="P806" s="139" t="s">
        <v>63</v>
      </c>
      <c r="Q806" s="37"/>
      <c r="R806" s="65"/>
      <c r="S806" s="137" t="s">
        <v>1001</v>
      </c>
      <c r="T806" s="139" t="s">
        <v>63</v>
      </c>
      <c r="U806" s="37"/>
      <c r="V806" s="65"/>
      <c r="W806" s="137" t="s">
        <v>1001</v>
      </c>
      <c r="X806" s="139" t="s">
        <v>63</v>
      </c>
      <c r="Y806" s="37"/>
      <c r="Z806" s="65"/>
      <c r="AA806" s="137" t="s">
        <v>1001</v>
      </c>
      <c r="AB806" s="139" t="s">
        <v>63</v>
      </c>
      <c r="AC806" s="37"/>
      <c r="AD806" s="65"/>
      <c r="AE806" s="137" t="s">
        <v>1001</v>
      </c>
      <c r="AF806" s="139" t="s">
        <v>63</v>
      </c>
      <c r="AG806" s="37"/>
      <c r="AH806" s="65"/>
      <c r="AI806" s="137" t="s">
        <v>1001</v>
      </c>
      <c r="AJ806" s="139" t="s">
        <v>63</v>
      </c>
      <c r="AK806" s="37"/>
      <c r="AL806" s="65"/>
      <c r="AM806" s="137" t="s">
        <v>1001</v>
      </c>
      <c r="AN806" s="139" t="s">
        <v>63</v>
      </c>
      <c r="AO806" s="37"/>
      <c r="AP806" s="65"/>
      <c r="AQ806" s="137" t="s">
        <v>1001</v>
      </c>
      <c r="AR806" s="139" t="s">
        <v>63</v>
      </c>
      <c r="AS806" s="37"/>
      <c r="AT806" s="65"/>
      <c r="AU806" s="137" t="s">
        <v>1001</v>
      </c>
      <c r="AV806" s="139" t="s">
        <v>63</v>
      </c>
      <c r="AW806" s="37"/>
      <c r="AX806" s="65"/>
      <c r="AY806" s="137" t="s">
        <v>1001</v>
      </c>
      <c r="AZ806" s="139" t="s">
        <v>63</v>
      </c>
      <c r="BA806" s="37"/>
      <c r="BB806" s="65"/>
      <c r="BC806" s="137" t="s">
        <v>1001</v>
      </c>
      <c r="BD806" s="139" t="s">
        <v>63</v>
      </c>
      <c r="BE806" s="37"/>
      <c r="BF806" s="65"/>
      <c r="BG806" s="137" t="s">
        <v>1001</v>
      </c>
      <c r="BH806" s="139" t="s">
        <v>63</v>
      </c>
      <c r="BI806" s="37"/>
      <c r="BJ806" s="65"/>
      <c r="BK806" s="137" t="s">
        <v>1001</v>
      </c>
      <c r="BL806" s="139" t="s">
        <v>63</v>
      </c>
      <c r="BM806" s="37"/>
      <c r="BN806" s="65"/>
      <c r="BO806" s="137" t="s">
        <v>1001</v>
      </c>
      <c r="BP806" s="139" t="s">
        <v>63</v>
      </c>
      <c r="BQ806" s="37"/>
      <c r="BR806" s="65"/>
      <c r="BS806" s="137" t="s">
        <v>1001</v>
      </c>
      <c r="BT806" s="139" t="s">
        <v>63</v>
      </c>
      <c r="BU806" s="37"/>
    </row>
    <row r="807" ht="12.75" customHeight="1">
      <c r="A807" s="146" t="s">
        <v>1002</v>
      </c>
      <c r="B807" s="132" t="s">
        <v>46</v>
      </c>
      <c r="C807" s="69"/>
      <c r="D807" s="134"/>
      <c r="E807" s="59"/>
      <c r="F807" s="65"/>
      <c r="G807" s="70" t="s">
        <v>1003</v>
      </c>
      <c r="H807" s="95"/>
      <c r="I807" s="36"/>
      <c r="J807" s="65"/>
      <c r="K807" s="137" t="s">
        <v>1003</v>
      </c>
      <c r="L807" s="139" t="s">
        <v>46</v>
      </c>
      <c r="M807" s="37"/>
      <c r="N807" s="65"/>
      <c r="O807" s="137" t="s">
        <v>1003</v>
      </c>
      <c r="P807" s="139" t="s">
        <v>46</v>
      </c>
      <c r="Q807" s="37"/>
      <c r="R807" s="65"/>
      <c r="S807" s="137" t="s">
        <v>1003</v>
      </c>
      <c r="T807" s="139" t="s">
        <v>46</v>
      </c>
      <c r="U807" s="37"/>
      <c r="V807" s="65"/>
      <c r="W807" s="137" t="s">
        <v>1003</v>
      </c>
      <c r="X807" s="139" t="s">
        <v>46</v>
      </c>
      <c r="Y807" s="37"/>
      <c r="Z807" s="65"/>
      <c r="AA807" s="137" t="s">
        <v>1003</v>
      </c>
      <c r="AB807" s="139" t="s">
        <v>46</v>
      </c>
      <c r="AC807" s="37"/>
      <c r="AD807" s="65"/>
      <c r="AE807" s="137" t="s">
        <v>1003</v>
      </c>
      <c r="AF807" s="139" t="s">
        <v>46</v>
      </c>
      <c r="AG807" s="37"/>
      <c r="AH807" s="65"/>
      <c r="AI807" s="137" t="s">
        <v>1003</v>
      </c>
      <c r="AJ807" s="139" t="s">
        <v>46</v>
      </c>
      <c r="AK807" s="37"/>
      <c r="AL807" s="65"/>
      <c r="AM807" s="137" t="s">
        <v>1003</v>
      </c>
      <c r="AN807" s="139" t="s">
        <v>46</v>
      </c>
      <c r="AO807" s="37"/>
      <c r="AP807" s="65"/>
      <c r="AQ807" s="137" t="s">
        <v>1003</v>
      </c>
      <c r="AR807" s="139" t="s">
        <v>46</v>
      </c>
      <c r="AS807" s="37"/>
      <c r="AT807" s="65"/>
      <c r="AU807" s="137" t="s">
        <v>1003</v>
      </c>
      <c r="AV807" s="139" t="s">
        <v>46</v>
      </c>
      <c r="AW807" s="37"/>
      <c r="AX807" s="65"/>
      <c r="AY807" s="137" t="s">
        <v>1003</v>
      </c>
      <c r="AZ807" s="139" t="s">
        <v>46</v>
      </c>
      <c r="BA807" s="37"/>
      <c r="BB807" s="65"/>
      <c r="BC807" s="137" t="s">
        <v>1003</v>
      </c>
      <c r="BD807" s="139" t="s">
        <v>46</v>
      </c>
      <c r="BE807" s="37"/>
      <c r="BF807" s="65"/>
      <c r="BG807" s="137" t="s">
        <v>1003</v>
      </c>
      <c r="BH807" s="139" t="s">
        <v>46</v>
      </c>
      <c r="BI807" s="37"/>
      <c r="BJ807" s="65"/>
      <c r="BK807" s="137" t="s">
        <v>1003</v>
      </c>
      <c r="BL807" s="139" t="s">
        <v>46</v>
      </c>
      <c r="BM807" s="37"/>
      <c r="BN807" s="65"/>
      <c r="BO807" s="137" t="s">
        <v>1003</v>
      </c>
      <c r="BP807" s="139" t="s">
        <v>46</v>
      </c>
      <c r="BQ807" s="37"/>
      <c r="BR807" s="65"/>
      <c r="BS807" s="137" t="s">
        <v>1003</v>
      </c>
      <c r="BT807" s="139" t="s">
        <v>46</v>
      </c>
      <c r="BU807" s="37"/>
    </row>
    <row r="808" ht="12.75" customHeight="1">
      <c r="A808" s="93"/>
      <c r="B808" s="94"/>
      <c r="C808" s="94"/>
      <c r="D808" s="87"/>
      <c r="E808" s="57"/>
      <c r="F808" s="65"/>
      <c r="G808" s="76"/>
      <c r="H808" s="95"/>
      <c r="I808" s="37"/>
      <c r="J808" s="65"/>
      <c r="K808" s="109"/>
      <c r="L808" s="139"/>
      <c r="M808" s="37"/>
      <c r="N808" s="65"/>
      <c r="O808" s="109"/>
      <c r="P808" s="139"/>
      <c r="Q808" s="37"/>
      <c r="R808" s="65"/>
      <c r="S808" s="109"/>
      <c r="T808" s="139"/>
      <c r="U808" s="37"/>
      <c r="V808" s="65"/>
      <c r="W808" s="109"/>
      <c r="X808" s="139"/>
      <c r="Y808" s="37"/>
      <c r="Z808" s="65"/>
      <c r="AA808" s="109"/>
      <c r="AB808" s="139"/>
      <c r="AC808" s="37"/>
      <c r="AD808" s="65"/>
      <c r="AE808" s="109"/>
      <c r="AF808" s="139"/>
      <c r="AG808" s="37"/>
      <c r="AH808" s="65"/>
      <c r="AI808" s="109"/>
      <c r="AJ808" s="139"/>
      <c r="AK808" s="37"/>
      <c r="AL808" s="65"/>
      <c r="AM808" s="109"/>
      <c r="AN808" s="139"/>
      <c r="AO808" s="37"/>
      <c r="AP808" s="65"/>
      <c r="AQ808" s="109"/>
      <c r="AR808" s="139"/>
      <c r="AS808" s="37"/>
      <c r="AT808" s="65"/>
      <c r="AU808" s="109"/>
      <c r="AV808" s="139"/>
      <c r="AW808" s="37"/>
      <c r="AX808" s="65"/>
      <c r="AY808" s="109"/>
      <c r="AZ808" s="139"/>
      <c r="BA808" s="37"/>
      <c r="BB808" s="65"/>
      <c r="BC808" s="109"/>
      <c r="BD808" s="139"/>
      <c r="BE808" s="37"/>
      <c r="BF808" s="65"/>
      <c r="BG808" s="109"/>
      <c r="BH808" s="139"/>
      <c r="BI808" s="37"/>
      <c r="BJ808" s="65"/>
      <c r="BK808" s="109"/>
      <c r="BL808" s="139"/>
      <c r="BM808" s="37"/>
      <c r="BN808" s="65"/>
      <c r="BO808" s="109"/>
      <c r="BP808" s="139"/>
      <c r="BQ808" s="37"/>
      <c r="BR808" s="65"/>
      <c r="BS808" s="109"/>
      <c r="BT808" s="139"/>
      <c r="BU808" s="37"/>
    </row>
    <row r="809" ht="12.75" customHeight="1">
      <c r="A809" s="94"/>
      <c r="B809" s="94"/>
      <c r="C809" s="94"/>
      <c r="D809" s="87"/>
      <c r="E809" s="57"/>
      <c r="F809" s="85"/>
      <c r="G809" s="76"/>
      <c r="H809" s="95"/>
      <c r="I809" s="38"/>
      <c r="J809" s="85"/>
      <c r="K809" s="109"/>
      <c r="L809" s="139"/>
      <c r="M809" s="37"/>
      <c r="N809" s="85"/>
      <c r="O809" s="109"/>
      <c r="P809" s="139"/>
      <c r="Q809" s="37"/>
      <c r="R809" s="85"/>
      <c r="S809" s="109"/>
      <c r="T809" s="139"/>
      <c r="U809" s="37"/>
      <c r="V809" s="85"/>
      <c r="W809" s="109"/>
      <c r="X809" s="139"/>
      <c r="Y809" s="37"/>
      <c r="Z809" s="85"/>
      <c r="AA809" s="109"/>
      <c r="AB809" s="139"/>
      <c r="AC809" s="37"/>
      <c r="AD809" s="85"/>
      <c r="AE809" s="109"/>
      <c r="AF809" s="139"/>
      <c r="AG809" s="37"/>
      <c r="AH809" s="85"/>
      <c r="AI809" s="109"/>
      <c r="AJ809" s="139"/>
      <c r="AK809" s="37"/>
      <c r="AL809" s="85"/>
      <c r="AM809" s="109"/>
      <c r="AN809" s="139"/>
      <c r="AO809" s="37"/>
      <c r="AP809" s="85"/>
      <c r="AQ809" s="109"/>
      <c r="AR809" s="139"/>
      <c r="AS809" s="37"/>
      <c r="AT809" s="85"/>
      <c r="AU809" s="109"/>
      <c r="AV809" s="139"/>
      <c r="AW809" s="37"/>
      <c r="AX809" s="85"/>
      <c r="AY809" s="109"/>
      <c r="AZ809" s="139"/>
      <c r="BA809" s="37"/>
      <c r="BB809" s="85"/>
      <c r="BC809" s="109"/>
      <c r="BD809" s="139"/>
      <c r="BE809" s="37"/>
      <c r="BF809" s="85"/>
      <c r="BG809" s="109"/>
      <c r="BH809" s="139"/>
      <c r="BI809" s="37"/>
      <c r="BJ809" s="85"/>
      <c r="BK809" s="109"/>
      <c r="BL809" s="139"/>
      <c r="BM809" s="37"/>
      <c r="BN809" s="85"/>
      <c r="BO809" s="109"/>
      <c r="BP809" s="139"/>
      <c r="BQ809" s="37"/>
      <c r="BR809" s="85"/>
      <c r="BS809" s="109"/>
      <c r="BT809" s="139"/>
      <c r="BU809" s="37"/>
    </row>
    <row r="810" ht="12.75" customHeight="1">
      <c r="A810" s="86"/>
      <c r="B810" s="75"/>
      <c r="C810" s="86"/>
      <c r="D810" s="87"/>
      <c r="E810" s="57"/>
      <c r="F810" s="65" t="s">
        <v>1004</v>
      </c>
      <c r="G810" s="88"/>
      <c r="H810" s="89"/>
      <c r="I810" s="36"/>
      <c r="J810" s="65" t="s">
        <v>1004</v>
      </c>
      <c r="K810" s="88"/>
      <c r="L810" s="166"/>
      <c r="M810" s="37"/>
      <c r="N810" s="65" t="s">
        <v>1004</v>
      </c>
      <c r="O810" s="88"/>
      <c r="P810" s="166"/>
      <c r="Q810" s="37"/>
      <c r="R810" s="65" t="s">
        <v>1004</v>
      </c>
      <c r="S810" s="88"/>
      <c r="T810" s="166"/>
      <c r="U810" s="37"/>
      <c r="V810" s="65" t="s">
        <v>1004</v>
      </c>
      <c r="W810" s="88"/>
      <c r="X810" s="166"/>
      <c r="Y810" s="37"/>
      <c r="Z810" s="65" t="s">
        <v>1004</v>
      </c>
      <c r="AA810" s="88"/>
      <c r="AB810" s="166"/>
      <c r="AC810" s="37"/>
      <c r="AD810" s="65" t="s">
        <v>1004</v>
      </c>
      <c r="AE810" s="88"/>
      <c r="AF810" s="166"/>
      <c r="AG810" s="37"/>
      <c r="AH810" s="65" t="s">
        <v>1004</v>
      </c>
      <c r="AI810" s="88"/>
      <c r="AJ810" s="166"/>
      <c r="AK810" s="37"/>
      <c r="AL810" s="65" t="s">
        <v>1004</v>
      </c>
      <c r="AM810" s="88"/>
      <c r="AN810" s="166"/>
      <c r="AO810" s="37"/>
      <c r="AP810" s="65" t="s">
        <v>1004</v>
      </c>
      <c r="AQ810" s="88"/>
      <c r="AR810" s="166"/>
      <c r="AS810" s="37"/>
      <c r="AT810" s="65" t="s">
        <v>1004</v>
      </c>
      <c r="AU810" s="88"/>
      <c r="AV810" s="166"/>
      <c r="AW810" s="37"/>
      <c r="AX810" s="65" t="s">
        <v>1004</v>
      </c>
      <c r="AY810" s="88"/>
      <c r="AZ810" s="166"/>
      <c r="BA810" s="37"/>
      <c r="BB810" s="65" t="s">
        <v>1004</v>
      </c>
      <c r="BC810" s="88"/>
      <c r="BD810" s="166"/>
      <c r="BE810" s="37"/>
      <c r="BF810" s="65" t="s">
        <v>1004</v>
      </c>
      <c r="BG810" s="88"/>
      <c r="BH810" s="166"/>
      <c r="BI810" s="37"/>
      <c r="BJ810" s="65" t="s">
        <v>1004</v>
      </c>
      <c r="BK810" s="88"/>
      <c r="BL810" s="166"/>
      <c r="BM810" s="37"/>
      <c r="BN810" s="65" t="s">
        <v>1004</v>
      </c>
      <c r="BO810" s="88"/>
      <c r="BP810" s="166"/>
      <c r="BQ810" s="37"/>
      <c r="BR810" s="65" t="s">
        <v>1004</v>
      </c>
      <c r="BS810" s="88"/>
      <c r="BT810" s="166"/>
      <c r="BU810" s="37"/>
    </row>
    <row r="811" ht="12.75" customHeight="1">
      <c r="A811" s="63" t="s">
        <v>36</v>
      </c>
      <c r="B811" s="64" t="s">
        <v>37</v>
      </c>
      <c r="C811" s="64" t="s">
        <v>38</v>
      </c>
      <c r="D811" s="87"/>
      <c r="E811" s="57"/>
      <c r="F811" s="65"/>
      <c r="G811" s="66" t="s">
        <v>39</v>
      </c>
      <c r="H811" s="67" t="s">
        <v>40</v>
      </c>
      <c r="I811" s="37"/>
      <c r="J811" s="65"/>
      <c r="K811" s="66" t="s">
        <v>39</v>
      </c>
      <c r="L811" s="130" t="s">
        <v>40</v>
      </c>
      <c r="M811" s="37"/>
      <c r="N811" s="65"/>
      <c r="O811" s="66" t="s">
        <v>39</v>
      </c>
      <c r="P811" s="130" t="s">
        <v>40</v>
      </c>
      <c r="Q811" s="37"/>
      <c r="R811" s="65"/>
      <c r="S811" s="66" t="s">
        <v>39</v>
      </c>
      <c r="T811" s="130" t="s">
        <v>40</v>
      </c>
      <c r="U811" s="37"/>
      <c r="V811" s="65"/>
      <c r="W811" s="66" t="s">
        <v>39</v>
      </c>
      <c r="X811" s="130" t="s">
        <v>40</v>
      </c>
      <c r="Y811" s="37"/>
      <c r="Z811" s="65"/>
      <c r="AA811" s="66" t="s">
        <v>39</v>
      </c>
      <c r="AB811" s="130" t="s">
        <v>40</v>
      </c>
      <c r="AC811" s="37"/>
      <c r="AD811" s="65"/>
      <c r="AE811" s="66" t="s">
        <v>39</v>
      </c>
      <c r="AF811" s="130" t="s">
        <v>40</v>
      </c>
      <c r="AG811" s="37"/>
      <c r="AH811" s="65"/>
      <c r="AI811" s="66" t="s">
        <v>39</v>
      </c>
      <c r="AJ811" s="130" t="s">
        <v>40</v>
      </c>
      <c r="AK811" s="37"/>
      <c r="AL811" s="65"/>
      <c r="AM811" s="66" t="s">
        <v>39</v>
      </c>
      <c r="AN811" s="130" t="s">
        <v>40</v>
      </c>
      <c r="AO811" s="37"/>
      <c r="AP811" s="65"/>
      <c r="AQ811" s="66" t="s">
        <v>39</v>
      </c>
      <c r="AR811" s="130" t="s">
        <v>40</v>
      </c>
      <c r="AS811" s="37"/>
      <c r="AT811" s="65"/>
      <c r="AU811" s="66" t="s">
        <v>39</v>
      </c>
      <c r="AV811" s="130" t="s">
        <v>40</v>
      </c>
      <c r="AW811" s="37"/>
      <c r="AX811" s="65"/>
      <c r="AY811" s="66" t="s">
        <v>39</v>
      </c>
      <c r="AZ811" s="130" t="s">
        <v>40</v>
      </c>
      <c r="BA811" s="37"/>
      <c r="BB811" s="65"/>
      <c r="BC811" s="66" t="s">
        <v>39</v>
      </c>
      <c r="BD811" s="130" t="s">
        <v>40</v>
      </c>
      <c r="BE811" s="37"/>
      <c r="BF811" s="65"/>
      <c r="BG811" s="66" t="s">
        <v>39</v>
      </c>
      <c r="BH811" s="130" t="s">
        <v>40</v>
      </c>
      <c r="BI811" s="37"/>
      <c r="BJ811" s="65"/>
      <c r="BK811" s="66" t="s">
        <v>39</v>
      </c>
      <c r="BL811" s="130" t="s">
        <v>40</v>
      </c>
      <c r="BM811" s="37"/>
      <c r="BN811" s="65"/>
      <c r="BO811" s="66" t="s">
        <v>39</v>
      </c>
      <c r="BP811" s="130" t="s">
        <v>40</v>
      </c>
      <c r="BQ811" s="37"/>
      <c r="BR811" s="65"/>
      <c r="BS811" s="66" t="s">
        <v>39</v>
      </c>
      <c r="BT811" s="130" t="s">
        <v>40</v>
      </c>
      <c r="BU811" s="37"/>
    </row>
    <row r="812" ht="12.75" customHeight="1">
      <c r="A812" s="80"/>
      <c r="B812" s="69" t="s">
        <v>46</v>
      </c>
      <c r="C812" s="69"/>
      <c r="D812" s="87"/>
      <c r="E812" s="57"/>
      <c r="F812" s="65"/>
      <c r="G812" s="90" t="s">
        <v>1005</v>
      </c>
      <c r="H812" s="95"/>
      <c r="I812" s="38"/>
      <c r="J812" s="65"/>
      <c r="K812" s="90" t="s">
        <v>1005</v>
      </c>
      <c r="L812" s="139" t="s">
        <v>46</v>
      </c>
      <c r="M812" s="37"/>
      <c r="N812" s="65"/>
      <c r="O812" s="90" t="s">
        <v>1005</v>
      </c>
      <c r="P812" s="139" t="s">
        <v>46</v>
      </c>
      <c r="Q812" s="37"/>
      <c r="R812" s="65"/>
      <c r="S812" s="90" t="s">
        <v>1005</v>
      </c>
      <c r="T812" s="139" t="s">
        <v>46</v>
      </c>
      <c r="U812" s="37"/>
      <c r="V812" s="65"/>
      <c r="W812" s="90" t="s">
        <v>1005</v>
      </c>
      <c r="X812" s="139" t="s">
        <v>46</v>
      </c>
      <c r="Y812" s="37"/>
      <c r="Z812" s="65"/>
      <c r="AA812" s="90" t="s">
        <v>1005</v>
      </c>
      <c r="AB812" s="139" t="s">
        <v>46</v>
      </c>
      <c r="AC812" s="37"/>
      <c r="AD812" s="65"/>
      <c r="AE812" s="90" t="s">
        <v>1005</v>
      </c>
      <c r="AF812" s="139" t="s">
        <v>46</v>
      </c>
      <c r="AG812" s="37"/>
      <c r="AH812" s="65"/>
      <c r="AI812" s="90" t="s">
        <v>1005</v>
      </c>
      <c r="AJ812" s="139" t="s">
        <v>46</v>
      </c>
      <c r="AK812" s="37"/>
      <c r="AL812" s="65"/>
      <c r="AM812" s="90" t="s">
        <v>1005</v>
      </c>
      <c r="AN812" s="139" t="s">
        <v>46</v>
      </c>
      <c r="AO812" s="37"/>
      <c r="AP812" s="65"/>
      <c r="AQ812" s="90" t="s">
        <v>1005</v>
      </c>
      <c r="AR812" s="139" t="s">
        <v>46</v>
      </c>
      <c r="AS812" s="37"/>
      <c r="AT812" s="65"/>
      <c r="AU812" s="90" t="s">
        <v>1005</v>
      </c>
      <c r="AV812" s="139" t="s">
        <v>46</v>
      </c>
      <c r="AW812" s="37"/>
      <c r="AX812" s="65"/>
      <c r="AY812" s="90" t="s">
        <v>1005</v>
      </c>
      <c r="AZ812" s="139" t="s">
        <v>46</v>
      </c>
      <c r="BA812" s="37"/>
      <c r="BB812" s="65"/>
      <c r="BC812" s="90" t="s">
        <v>1005</v>
      </c>
      <c r="BD812" s="139" t="s">
        <v>46</v>
      </c>
      <c r="BE812" s="37"/>
      <c r="BF812" s="65"/>
      <c r="BG812" s="90" t="s">
        <v>1005</v>
      </c>
      <c r="BH812" s="139" t="s">
        <v>46</v>
      </c>
      <c r="BI812" s="37"/>
      <c r="BJ812" s="65"/>
      <c r="BK812" s="90" t="s">
        <v>1005</v>
      </c>
      <c r="BL812" s="139" t="s">
        <v>46</v>
      </c>
      <c r="BM812" s="37"/>
      <c r="BN812" s="65"/>
      <c r="BO812" s="90" t="s">
        <v>1005</v>
      </c>
      <c r="BP812" s="139" t="s">
        <v>46</v>
      </c>
      <c r="BQ812" s="37"/>
      <c r="BR812" s="65"/>
      <c r="BS812" s="90" t="s">
        <v>1005</v>
      </c>
      <c r="BT812" s="139" t="s">
        <v>46</v>
      </c>
      <c r="BU812" s="37"/>
    </row>
    <row r="813" ht="12.75" customHeight="1">
      <c r="A813" s="80"/>
      <c r="B813" s="69" t="s">
        <v>63</v>
      </c>
      <c r="C813" s="69"/>
      <c r="D813" s="87"/>
      <c r="E813" s="57"/>
      <c r="F813" s="65"/>
      <c r="G813" s="90" t="s">
        <v>1006</v>
      </c>
      <c r="H813" s="95"/>
      <c r="I813" s="36"/>
      <c r="J813" s="65"/>
      <c r="K813" s="90" t="s">
        <v>1006</v>
      </c>
      <c r="L813" s="139" t="s">
        <v>63</v>
      </c>
      <c r="M813" s="37"/>
      <c r="N813" s="65"/>
      <c r="O813" s="90" t="s">
        <v>1006</v>
      </c>
      <c r="P813" s="139" t="s">
        <v>63</v>
      </c>
      <c r="Q813" s="37"/>
      <c r="R813" s="65"/>
      <c r="S813" s="90" t="s">
        <v>1006</v>
      </c>
      <c r="T813" s="139" t="s">
        <v>63</v>
      </c>
      <c r="U813" s="37"/>
      <c r="V813" s="65"/>
      <c r="W813" s="90" t="s">
        <v>1006</v>
      </c>
      <c r="X813" s="139" t="s">
        <v>63</v>
      </c>
      <c r="Y813" s="37"/>
      <c r="Z813" s="65"/>
      <c r="AA813" s="90" t="s">
        <v>1006</v>
      </c>
      <c r="AB813" s="139" t="s">
        <v>63</v>
      </c>
      <c r="AC813" s="37"/>
      <c r="AD813" s="65"/>
      <c r="AE813" s="90" t="s">
        <v>1006</v>
      </c>
      <c r="AF813" s="139" t="s">
        <v>63</v>
      </c>
      <c r="AG813" s="37"/>
      <c r="AH813" s="65"/>
      <c r="AI813" s="90" t="s">
        <v>1006</v>
      </c>
      <c r="AJ813" s="139" t="s">
        <v>63</v>
      </c>
      <c r="AK813" s="37"/>
      <c r="AL813" s="65"/>
      <c r="AM813" s="90" t="s">
        <v>1006</v>
      </c>
      <c r="AN813" s="139" t="s">
        <v>63</v>
      </c>
      <c r="AO813" s="37"/>
      <c r="AP813" s="65"/>
      <c r="AQ813" s="90" t="s">
        <v>1006</v>
      </c>
      <c r="AR813" s="139" t="s">
        <v>63</v>
      </c>
      <c r="AS813" s="37"/>
      <c r="AT813" s="65"/>
      <c r="AU813" s="90" t="s">
        <v>1006</v>
      </c>
      <c r="AV813" s="139" t="s">
        <v>63</v>
      </c>
      <c r="AW813" s="37"/>
      <c r="AX813" s="65"/>
      <c r="AY813" s="90" t="s">
        <v>1006</v>
      </c>
      <c r="AZ813" s="139" t="s">
        <v>63</v>
      </c>
      <c r="BA813" s="37"/>
      <c r="BB813" s="65"/>
      <c r="BC813" s="90" t="s">
        <v>1006</v>
      </c>
      <c r="BD813" s="139" t="s">
        <v>63</v>
      </c>
      <c r="BE813" s="37"/>
      <c r="BF813" s="65"/>
      <c r="BG813" s="90" t="s">
        <v>1006</v>
      </c>
      <c r="BH813" s="139" t="s">
        <v>63</v>
      </c>
      <c r="BI813" s="37"/>
      <c r="BJ813" s="65"/>
      <c r="BK813" s="90" t="s">
        <v>1006</v>
      </c>
      <c r="BL813" s="139" t="s">
        <v>63</v>
      </c>
      <c r="BM813" s="37"/>
      <c r="BN813" s="65"/>
      <c r="BO813" s="90" t="s">
        <v>1006</v>
      </c>
      <c r="BP813" s="139" t="s">
        <v>63</v>
      </c>
      <c r="BQ813" s="37"/>
      <c r="BR813" s="65"/>
      <c r="BS813" s="90" t="s">
        <v>1006</v>
      </c>
      <c r="BT813" s="139" t="s">
        <v>63</v>
      </c>
      <c r="BU813" s="37"/>
    </row>
    <row r="814" ht="12.75" customHeight="1">
      <c r="A814" s="93"/>
      <c r="B814" s="94"/>
      <c r="C814" s="94"/>
      <c r="D814" s="87"/>
      <c r="E814" s="57"/>
      <c r="F814" s="65"/>
      <c r="G814" s="76"/>
      <c r="H814" s="95"/>
      <c r="I814" s="37"/>
      <c r="J814" s="65"/>
      <c r="K814" s="109"/>
      <c r="L814" s="139"/>
      <c r="M814" s="37"/>
      <c r="N814" s="65"/>
      <c r="O814" s="109"/>
      <c r="P814" s="139"/>
      <c r="Q814" s="37"/>
      <c r="R814" s="65"/>
      <c r="S814" s="109"/>
      <c r="T814" s="139"/>
      <c r="U814" s="37"/>
      <c r="V814" s="65"/>
      <c r="W814" s="109"/>
      <c r="X814" s="139"/>
      <c r="Y814" s="37"/>
      <c r="Z814" s="65"/>
      <c r="AA814" s="109"/>
      <c r="AB814" s="139"/>
      <c r="AC814" s="37"/>
      <c r="AD814" s="65"/>
      <c r="AE814" s="109"/>
      <c r="AF814" s="139"/>
      <c r="AG814" s="37"/>
      <c r="AH814" s="65"/>
      <c r="AI814" s="109"/>
      <c r="AJ814" s="139"/>
      <c r="AK814" s="37"/>
      <c r="AL814" s="65"/>
      <c r="AM814" s="109"/>
      <c r="AN814" s="139"/>
      <c r="AO814" s="37"/>
      <c r="AP814" s="65"/>
      <c r="AQ814" s="109"/>
      <c r="AR814" s="139"/>
      <c r="AS814" s="37"/>
      <c r="AT814" s="65"/>
      <c r="AU814" s="109"/>
      <c r="AV814" s="139"/>
      <c r="AW814" s="37"/>
      <c r="AX814" s="65"/>
      <c r="AY814" s="109"/>
      <c r="AZ814" s="139"/>
      <c r="BA814" s="37"/>
      <c r="BB814" s="65"/>
      <c r="BC814" s="109"/>
      <c r="BD814" s="139"/>
      <c r="BE814" s="37"/>
      <c r="BF814" s="65"/>
      <c r="BG814" s="109"/>
      <c r="BH814" s="139"/>
      <c r="BI814" s="37"/>
      <c r="BJ814" s="65"/>
      <c r="BK814" s="109"/>
      <c r="BL814" s="139"/>
      <c r="BM814" s="37"/>
      <c r="BN814" s="65"/>
      <c r="BO814" s="109"/>
      <c r="BP814" s="139"/>
      <c r="BQ814" s="37"/>
      <c r="BR814" s="65"/>
      <c r="BS814" s="109"/>
      <c r="BT814" s="139"/>
      <c r="BU814" s="37"/>
    </row>
    <row r="815" ht="12.75" customHeight="1">
      <c r="A815" s="94"/>
      <c r="B815" s="94"/>
      <c r="C815" s="94"/>
      <c r="D815" s="87"/>
      <c r="E815" s="57"/>
      <c r="F815" s="85"/>
      <c r="G815" s="76"/>
      <c r="H815" s="95"/>
      <c r="I815" s="38"/>
      <c r="J815" s="85"/>
      <c r="K815" s="109"/>
      <c r="L815" s="139"/>
      <c r="M815" s="37"/>
      <c r="N815" s="85"/>
      <c r="O815" s="109"/>
      <c r="P815" s="139"/>
      <c r="Q815" s="37"/>
      <c r="R815" s="85"/>
      <c r="S815" s="109"/>
      <c r="T815" s="139"/>
      <c r="U815" s="37"/>
      <c r="V815" s="85"/>
      <c r="W815" s="109"/>
      <c r="X815" s="139"/>
      <c r="Y815" s="37"/>
      <c r="Z815" s="85"/>
      <c r="AA815" s="109"/>
      <c r="AB815" s="139"/>
      <c r="AC815" s="37"/>
      <c r="AD815" s="85"/>
      <c r="AE815" s="109"/>
      <c r="AF815" s="139"/>
      <c r="AG815" s="37"/>
      <c r="AH815" s="85"/>
      <c r="AI815" s="109"/>
      <c r="AJ815" s="139"/>
      <c r="AK815" s="37"/>
      <c r="AL815" s="85"/>
      <c r="AM815" s="109"/>
      <c r="AN815" s="139"/>
      <c r="AO815" s="37"/>
      <c r="AP815" s="85"/>
      <c r="AQ815" s="109"/>
      <c r="AR815" s="139"/>
      <c r="AS815" s="37"/>
      <c r="AT815" s="85"/>
      <c r="AU815" s="109"/>
      <c r="AV815" s="139"/>
      <c r="AW815" s="37"/>
      <c r="AX815" s="85"/>
      <c r="AY815" s="109"/>
      <c r="AZ815" s="139"/>
      <c r="BA815" s="37"/>
      <c r="BB815" s="85"/>
      <c r="BC815" s="109"/>
      <c r="BD815" s="139"/>
      <c r="BE815" s="37"/>
      <c r="BF815" s="85"/>
      <c r="BG815" s="109"/>
      <c r="BH815" s="139"/>
      <c r="BI815" s="37"/>
      <c r="BJ815" s="85"/>
      <c r="BK815" s="109"/>
      <c r="BL815" s="139"/>
      <c r="BM815" s="37"/>
      <c r="BN815" s="85"/>
      <c r="BO815" s="109"/>
      <c r="BP815" s="139"/>
      <c r="BQ815" s="37"/>
      <c r="BR815" s="85"/>
      <c r="BS815" s="109"/>
      <c r="BT815" s="139"/>
      <c r="BU815" s="37"/>
    </row>
    <row r="816" ht="12.75" customHeight="1">
      <c r="A816" s="86"/>
      <c r="B816" s="75"/>
      <c r="C816" s="86"/>
      <c r="D816" s="87"/>
      <c r="E816" s="57"/>
      <c r="F816" s="65" t="s">
        <v>1007</v>
      </c>
      <c r="G816" s="88"/>
      <c r="H816" s="89"/>
      <c r="I816" s="36"/>
      <c r="J816" s="65" t="s">
        <v>1007</v>
      </c>
      <c r="K816" s="88"/>
      <c r="L816" s="166"/>
      <c r="M816" s="37"/>
      <c r="N816" s="65" t="s">
        <v>1007</v>
      </c>
      <c r="O816" s="88"/>
      <c r="P816" s="166"/>
      <c r="Q816" s="37"/>
      <c r="R816" s="65" t="s">
        <v>1007</v>
      </c>
      <c r="S816" s="88"/>
      <c r="T816" s="166"/>
      <c r="U816" s="37"/>
      <c r="V816" s="65" t="s">
        <v>1007</v>
      </c>
      <c r="W816" s="88"/>
      <c r="X816" s="166"/>
      <c r="Y816" s="37"/>
      <c r="Z816" s="65" t="s">
        <v>1007</v>
      </c>
      <c r="AA816" s="88"/>
      <c r="AB816" s="166"/>
      <c r="AC816" s="37"/>
      <c r="AD816" s="65" t="s">
        <v>1007</v>
      </c>
      <c r="AE816" s="88"/>
      <c r="AF816" s="166"/>
      <c r="AG816" s="37"/>
      <c r="AH816" s="65" t="s">
        <v>1007</v>
      </c>
      <c r="AI816" s="88"/>
      <c r="AJ816" s="166"/>
      <c r="AK816" s="37"/>
      <c r="AL816" s="65" t="s">
        <v>1007</v>
      </c>
      <c r="AM816" s="88"/>
      <c r="AN816" s="166"/>
      <c r="AO816" s="37"/>
      <c r="AP816" s="65" t="s">
        <v>1007</v>
      </c>
      <c r="AQ816" s="88"/>
      <c r="AR816" s="166"/>
      <c r="AS816" s="37"/>
      <c r="AT816" s="65" t="s">
        <v>1007</v>
      </c>
      <c r="AU816" s="88"/>
      <c r="AV816" s="166"/>
      <c r="AW816" s="37"/>
      <c r="AX816" s="65" t="s">
        <v>1007</v>
      </c>
      <c r="AY816" s="88"/>
      <c r="AZ816" s="166"/>
      <c r="BA816" s="37"/>
      <c r="BB816" s="65" t="s">
        <v>1007</v>
      </c>
      <c r="BC816" s="88"/>
      <c r="BD816" s="166"/>
      <c r="BE816" s="37"/>
      <c r="BF816" s="65" t="s">
        <v>1007</v>
      </c>
      <c r="BG816" s="88"/>
      <c r="BH816" s="166"/>
      <c r="BI816" s="37"/>
      <c r="BJ816" s="65" t="s">
        <v>1007</v>
      </c>
      <c r="BK816" s="88"/>
      <c r="BL816" s="166"/>
      <c r="BM816" s="37"/>
      <c r="BN816" s="65" t="s">
        <v>1007</v>
      </c>
      <c r="BO816" s="88"/>
      <c r="BP816" s="166"/>
      <c r="BQ816" s="37"/>
      <c r="BR816" s="65" t="s">
        <v>1007</v>
      </c>
      <c r="BS816" s="88"/>
      <c r="BT816" s="166"/>
      <c r="BU816" s="37"/>
    </row>
    <row r="817" ht="12.75" customHeight="1">
      <c r="A817" s="63" t="s">
        <v>36</v>
      </c>
      <c r="B817" s="64" t="s">
        <v>37</v>
      </c>
      <c r="C817" s="64" t="s">
        <v>38</v>
      </c>
      <c r="D817" s="87"/>
      <c r="E817" s="57"/>
      <c r="F817" s="65"/>
      <c r="G817" s="66" t="s">
        <v>39</v>
      </c>
      <c r="H817" s="67" t="s">
        <v>40</v>
      </c>
      <c r="I817" s="37"/>
      <c r="J817" s="65"/>
      <c r="K817" s="66" t="s">
        <v>39</v>
      </c>
      <c r="L817" s="130" t="s">
        <v>40</v>
      </c>
      <c r="M817" s="37"/>
      <c r="N817" s="65"/>
      <c r="O817" s="66" t="s">
        <v>39</v>
      </c>
      <c r="P817" s="130" t="s">
        <v>40</v>
      </c>
      <c r="Q817" s="37"/>
      <c r="R817" s="65"/>
      <c r="S817" s="66" t="s">
        <v>39</v>
      </c>
      <c r="T817" s="130" t="s">
        <v>40</v>
      </c>
      <c r="U817" s="37"/>
      <c r="V817" s="65"/>
      <c r="W817" s="66" t="s">
        <v>39</v>
      </c>
      <c r="X817" s="130" t="s">
        <v>40</v>
      </c>
      <c r="Y817" s="37"/>
      <c r="Z817" s="65"/>
      <c r="AA817" s="66" t="s">
        <v>39</v>
      </c>
      <c r="AB817" s="130" t="s">
        <v>40</v>
      </c>
      <c r="AC817" s="37"/>
      <c r="AD817" s="65"/>
      <c r="AE817" s="66" t="s">
        <v>39</v>
      </c>
      <c r="AF817" s="130" t="s">
        <v>40</v>
      </c>
      <c r="AG817" s="37"/>
      <c r="AH817" s="65"/>
      <c r="AI817" s="66" t="s">
        <v>39</v>
      </c>
      <c r="AJ817" s="130" t="s">
        <v>40</v>
      </c>
      <c r="AK817" s="37"/>
      <c r="AL817" s="65"/>
      <c r="AM817" s="66" t="s">
        <v>39</v>
      </c>
      <c r="AN817" s="130" t="s">
        <v>40</v>
      </c>
      <c r="AO817" s="37"/>
      <c r="AP817" s="65"/>
      <c r="AQ817" s="66" t="s">
        <v>39</v>
      </c>
      <c r="AR817" s="130" t="s">
        <v>40</v>
      </c>
      <c r="AS817" s="37"/>
      <c r="AT817" s="65"/>
      <c r="AU817" s="66" t="s">
        <v>39</v>
      </c>
      <c r="AV817" s="130" t="s">
        <v>40</v>
      </c>
      <c r="AW817" s="37"/>
      <c r="AX817" s="65"/>
      <c r="AY817" s="66" t="s">
        <v>39</v>
      </c>
      <c r="AZ817" s="130" t="s">
        <v>40</v>
      </c>
      <c r="BA817" s="37"/>
      <c r="BB817" s="65"/>
      <c r="BC817" s="66" t="s">
        <v>39</v>
      </c>
      <c r="BD817" s="130" t="s">
        <v>40</v>
      </c>
      <c r="BE817" s="37"/>
      <c r="BF817" s="65"/>
      <c r="BG817" s="66" t="s">
        <v>39</v>
      </c>
      <c r="BH817" s="130" t="s">
        <v>40</v>
      </c>
      <c r="BI817" s="37"/>
      <c r="BJ817" s="65"/>
      <c r="BK817" s="66" t="s">
        <v>39</v>
      </c>
      <c r="BL817" s="130" t="s">
        <v>40</v>
      </c>
      <c r="BM817" s="37"/>
      <c r="BN817" s="65"/>
      <c r="BO817" s="66" t="s">
        <v>39</v>
      </c>
      <c r="BP817" s="130" t="s">
        <v>40</v>
      </c>
      <c r="BQ817" s="37"/>
      <c r="BR817" s="65"/>
      <c r="BS817" s="66" t="s">
        <v>39</v>
      </c>
      <c r="BT817" s="130" t="s">
        <v>40</v>
      </c>
      <c r="BU817" s="37"/>
    </row>
    <row r="818" ht="12.75" customHeight="1">
      <c r="A818" s="80"/>
      <c r="B818" s="69" t="s">
        <v>321</v>
      </c>
      <c r="C818" s="69"/>
      <c r="D818" s="87"/>
      <c r="E818" s="57"/>
      <c r="F818" s="65"/>
      <c r="G818" s="90" t="s">
        <v>1008</v>
      </c>
      <c r="H818" s="95"/>
      <c r="I818" s="38"/>
      <c r="J818" s="65"/>
      <c r="K818" s="90" t="s">
        <v>1008</v>
      </c>
      <c r="L818" s="139" t="s">
        <v>321</v>
      </c>
      <c r="M818" s="37"/>
      <c r="N818" s="65"/>
      <c r="O818" s="90" t="s">
        <v>1008</v>
      </c>
      <c r="P818" s="139" t="s">
        <v>321</v>
      </c>
      <c r="Q818" s="37"/>
      <c r="R818" s="65"/>
      <c r="S818" s="90" t="s">
        <v>1008</v>
      </c>
      <c r="T818" s="139" t="s">
        <v>321</v>
      </c>
      <c r="U818" s="37"/>
      <c r="V818" s="65"/>
      <c r="W818" s="90" t="s">
        <v>1008</v>
      </c>
      <c r="X818" s="139" t="s">
        <v>321</v>
      </c>
      <c r="Y818" s="37"/>
      <c r="Z818" s="65"/>
      <c r="AA818" s="90" t="s">
        <v>1008</v>
      </c>
      <c r="AB818" s="139" t="s">
        <v>321</v>
      </c>
      <c r="AC818" s="37"/>
      <c r="AD818" s="65"/>
      <c r="AE818" s="90" t="s">
        <v>1008</v>
      </c>
      <c r="AF818" s="139" t="s">
        <v>321</v>
      </c>
      <c r="AG818" s="37"/>
      <c r="AH818" s="65"/>
      <c r="AI818" s="90" t="s">
        <v>1008</v>
      </c>
      <c r="AJ818" s="139" t="s">
        <v>321</v>
      </c>
      <c r="AK818" s="37"/>
      <c r="AL818" s="65"/>
      <c r="AM818" s="90" t="s">
        <v>1008</v>
      </c>
      <c r="AN818" s="139" t="s">
        <v>321</v>
      </c>
      <c r="AO818" s="37"/>
      <c r="AP818" s="65"/>
      <c r="AQ818" s="90" t="s">
        <v>1008</v>
      </c>
      <c r="AR818" s="139" t="s">
        <v>321</v>
      </c>
      <c r="AS818" s="37"/>
      <c r="AT818" s="65"/>
      <c r="AU818" s="90" t="s">
        <v>1008</v>
      </c>
      <c r="AV818" s="139" t="s">
        <v>321</v>
      </c>
      <c r="AW818" s="37"/>
      <c r="AX818" s="65"/>
      <c r="AY818" s="90" t="s">
        <v>1008</v>
      </c>
      <c r="AZ818" s="139" t="s">
        <v>321</v>
      </c>
      <c r="BA818" s="37"/>
      <c r="BB818" s="65"/>
      <c r="BC818" s="90" t="s">
        <v>1008</v>
      </c>
      <c r="BD818" s="139" t="s">
        <v>321</v>
      </c>
      <c r="BE818" s="37"/>
      <c r="BF818" s="65"/>
      <c r="BG818" s="90" t="s">
        <v>1008</v>
      </c>
      <c r="BH818" s="139" t="s">
        <v>321</v>
      </c>
      <c r="BI818" s="37"/>
      <c r="BJ818" s="65"/>
      <c r="BK818" s="90" t="s">
        <v>1008</v>
      </c>
      <c r="BL818" s="139" t="s">
        <v>321</v>
      </c>
      <c r="BM818" s="37"/>
      <c r="BN818" s="65"/>
      <c r="BO818" s="90" t="s">
        <v>1008</v>
      </c>
      <c r="BP818" s="139" t="s">
        <v>321</v>
      </c>
      <c r="BQ818" s="37"/>
      <c r="BR818" s="65"/>
      <c r="BS818" s="90" t="s">
        <v>1008</v>
      </c>
      <c r="BT818" s="139" t="s">
        <v>321</v>
      </c>
      <c r="BU818" s="37"/>
    </row>
    <row r="819" ht="12.75" customHeight="1">
      <c r="A819" s="93"/>
      <c r="B819" s="94"/>
      <c r="C819" s="94"/>
      <c r="D819" s="87"/>
      <c r="E819" s="57"/>
      <c r="F819" s="65"/>
      <c r="G819" s="76"/>
      <c r="H819" s="95"/>
      <c r="I819" s="38"/>
      <c r="J819" s="65"/>
      <c r="K819" s="109"/>
      <c r="L819" s="139"/>
      <c r="M819" s="37"/>
      <c r="N819" s="65"/>
      <c r="O819" s="109"/>
      <c r="P819" s="139"/>
      <c r="Q819" s="37"/>
      <c r="R819" s="65"/>
      <c r="S819" s="109"/>
      <c r="T819" s="139"/>
      <c r="U819" s="37"/>
      <c r="V819" s="65"/>
      <c r="W819" s="109"/>
      <c r="X819" s="139"/>
      <c r="Y819" s="37"/>
      <c r="Z819" s="65"/>
      <c r="AA819" s="109"/>
      <c r="AB819" s="139"/>
      <c r="AC819" s="37"/>
      <c r="AD819" s="65"/>
      <c r="AE819" s="109"/>
      <c r="AF819" s="139"/>
      <c r="AG819" s="37"/>
      <c r="AH819" s="65"/>
      <c r="AI819" s="109"/>
      <c r="AJ819" s="139"/>
      <c r="AK819" s="37"/>
      <c r="AL819" s="65"/>
      <c r="AM819" s="109"/>
      <c r="AN819" s="139"/>
      <c r="AO819" s="37"/>
      <c r="AP819" s="65"/>
      <c r="AQ819" s="109"/>
      <c r="AR819" s="139"/>
      <c r="AS819" s="37"/>
      <c r="AT819" s="65"/>
      <c r="AU819" s="109"/>
      <c r="AV819" s="139"/>
      <c r="AW819" s="37"/>
      <c r="AX819" s="65"/>
      <c r="AY819" s="109"/>
      <c r="AZ819" s="139"/>
      <c r="BA819" s="37"/>
      <c r="BB819" s="65"/>
      <c r="BC819" s="109"/>
      <c r="BD819" s="139"/>
      <c r="BE819" s="37"/>
      <c r="BF819" s="65"/>
      <c r="BG819" s="109"/>
      <c r="BH819" s="139"/>
      <c r="BI819" s="37"/>
      <c r="BJ819" s="65"/>
      <c r="BK819" s="109"/>
      <c r="BL819" s="139"/>
      <c r="BM819" s="37"/>
      <c r="BN819" s="65"/>
      <c r="BO819" s="109"/>
      <c r="BP819" s="139"/>
      <c r="BQ819" s="37"/>
      <c r="BR819" s="65"/>
      <c r="BS819" s="109"/>
      <c r="BT819" s="139"/>
      <c r="BU819" s="37"/>
    </row>
    <row r="820" ht="12.75" customHeight="1">
      <c r="A820" s="94"/>
      <c r="B820" s="94"/>
      <c r="C820" s="94"/>
      <c r="D820" s="87"/>
      <c r="E820" s="57"/>
      <c r="F820" s="85"/>
      <c r="G820" s="76"/>
      <c r="H820" s="95"/>
      <c r="I820" s="38"/>
      <c r="J820" s="85"/>
      <c r="K820" s="109"/>
      <c r="L820" s="139"/>
      <c r="M820" s="37"/>
      <c r="N820" s="85"/>
      <c r="O820" s="109"/>
      <c r="P820" s="139"/>
      <c r="Q820" s="37"/>
      <c r="R820" s="85"/>
      <c r="S820" s="109"/>
      <c r="T820" s="139"/>
      <c r="U820" s="37"/>
      <c r="V820" s="85"/>
      <c r="W820" s="109"/>
      <c r="X820" s="139"/>
      <c r="Y820" s="37"/>
      <c r="Z820" s="85"/>
      <c r="AA820" s="109"/>
      <c r="AB820" s="139"/>
      <c r="AC820" s="37"/>
      <c r="AD820" s="85"/>
      <c r="AE820" s="109"/>
      <c r="AF820" s="139"/>
      <c r="AG820" s="37"/>
      <c r="AH820" s="85"/>
      <c r="AI820" s="109"/>
      <c r="AJ820" s="139"/>
      <c r="AK820" s="37"/>
      <c r="AL820" s="85"/>
      <c r="AM820" s="109"/>
      <c r="AN820" s="139"/>
      <c r="AO820" s="37"/>
      <c r="AP820" s="85"/>
      <c r="AQ820" s="109"/>
      <c r="AR820" s="139"/>
      <c r="AS820" s="37"/>
      <c r="AT820" s="85"/>
      <c r="AU820" s="109"/>
      <c r="AV820" s="139"/>
      <c r="AW820" s="37"/>
      <c r="AX820" s="85"/>
      <c r="AY820" s="109"/>
      <c r="AZ820" s="139"/>
      <c r="BA820" s="37"/>
      <c r="BB820" s="85"/>
      <c r="BC820" s="109"/>
      <c r="BD820" s="139"/>
      <c r="BE820" s="37"/>
      <c r="BF820" s="85"/>
      <c r="BG820" s="109"/>
      <c r="BH820" s="139"/>
      <c r="BI820" s="37"/>
      <c r="BJ820" s="85"/>
      <c r="BK820" s="109"/>
      <c r="BL820" s="139"/>
      <c r="BM820" s="37"/>
      <c r="BN820" s="85"/>
      <c r="BO820" s="109"/>
      <c r="BP820" s="139"/>
      <c r="BQ820" s="37"/>
      <c r="BR820" s="85"/>
      <c r="BS820" s="109"/>
      <c r="BT820" s="139"/>
      <c r="BU820" s="37"/>
    </row>
    <row r="821" ht="12.75" customHeight="1">
      <c r="A821" s="86"/>
      <c r="B821" s="75"/>
      <c r="C821" s="86"/>
      <c r="D821" s="87"/>
      <c r="E821" s="57"/>
      <c r="F821" s="65" t="s">
        <v>1009</v>
      </c>
      <c r="G821" s="88"/>
      <c r="H821" s="89"/>
      <c r="I821" s="38"/>
      <c r="J821" s="65" t="s">
        <v>1009</v>
      </c>
      <c r="K821" s="88"/>
      <c r="L821" s="166"/>
      <c r="M821" s="37"/>
      <c r="N821" s="65" t="s">
        <v>1009</v>
      </c>
      <c r="O821" s="88"/>
      <c r="P821" s="166"/>
      <c r="Q821" s="37"/>
      <c r="R821" s="65" t="s">
        <v>1009</v>
      </c>
      <c r="S821" s="88"/>
      <c r="T821" s="166"/>
      <c r="U821" s="37"/>
      <c r="V821" s="65" t="s">
        <v>1009</v>
      </c>
      <c r="W821" s="88"/>
      <c r="X821" s="166"/>
      <c r="Y821" s="37"/>
      <c r="Z821" s="65" t="s">
        <v>1009</v>
      </c>
      <c r="AA821" s="88"/>
      <c r="AB821" s="166"/>
      <c r="AC821" s="37"/>
      <c r="AD821" s="65" t="s">
        <v>1009</v>
      </c>
      <c r="AE821" s="88"/>
      <c r="AF821" s="166"/>
      <c r="AG821" s="37"/>
      <c r="AH821" s="65" t="s">
        <v>1009</v>
      </c>
      <c r="AI821" s="88"/>
      <c r="AJ821" s="166"/>
      <c r="AK821" s="37"/>
      <c r="AL821" s="65" t="s">
        <v>1009</v>
      </c>
      <c r="AM821" s="88"/>
      <c r="AN821" s="166"/>
      <c r="AO821" s="37"/>
      <c r="AP821" s="65" t="s">
        <v>1009</v>
      </c>
      <c r="AQ821" s="88"/>
      <c r="AR821" s="166"/>
      <c r="AS821" s="37"/>
      <c r="AT821" s="65" t="s">
        <v>1009</v>
      </c>
      <c r="AU821" s="88"/>
      <c r="AV821" s="166"/>
      <c r="AW821" s="37"/>
      <c r="AX821" s="65" t="s">
        <v>1009</v>
      </c>
      <c r="AY821" s="88"/>
      <c r="AZ821" s="166"/>
      <c r="BA821" s="37"/>
      <c r="BB821" s="65" t="s">
        <v>1009</v>
      </c>
      <c r="BC821" s="88"/>
      <c r="BD821" s="166"/>
      <c r="BE821" s="37"/>
      <c r="BF821" s="65" t="s">
        <v>1009</v>
      </c>
      <c r="BG821" s="88"/>
      <c r="BH821" s="166"/>
      <c r="BI821" s="37"/>
      <c r="BJ821" s="65" t="s">
        <v>1009</v>
      </c>
      <c r="BK821" s="88"/>
      <c r="BL821" s="166"/>
      <c r="BM821" s="37"/>
      <c r="BN821" s="65" t="s">
        <v>1009</v>
      </c>
      <c r="BO821" s="88"/>
      <c r="BP821" s="166"/>
      <c r="BQ821" s="37"/>
      <c r="BR821" s="65" t="s">
        <v>1009</v>
      </c>
      <c r="BS821" s="88"/>
      <c r="BT821" s="166"/>
      <c r="BU821" s="37"/>
    </row>
    <row r="822" ht="12.75" customHeight="1">
      <c r="A822" s="63" t="s">
        <v>36</v>
      </c>
      <c r="B822" s="64" t="s">
        <v>37</v>
      </c>
      <c r="C822" s="64" t="s">
        <v>38</v>
      </c>
      <c r="D822" s="87"/>
      <c r="E822" s="57"/>
      <c r="F822" s="65"/>
      <c r="G822" s="66" t="s">
        <v>39</v>
      </c>
      <c r="H822" s="67" t="s">
        <v>40</v>
      </c>
      <c r="I822" s="38"/>
      <c r="J822" s="65"/>
      <c r="K822" s="66" t="s">
        <v>39</v>
      </c>
      <c r="L822" s="130" t="s">
        <v>40</v>
      </c>
      <c r="M822" s="37"/>
      <c r="N822" s="65"/>
      <c r="O822" s="66" t="s">
        <v>39</v>
      </c>
      <c r="P822" s="130" t="s">
        <v>40</v>
      </c>
      <c r="Q822" s="37"/>
      <c r="R822" s="65"/>
      <c r="S822" s="66" t="s">
        <v>39</v>
      </c>
      <c r="T822" s="130" t="s">
        <v>40</v>
      </c>
      <c r="U822" s="37"/>
      <c r="V822" s="65"/>
      <c r="W822" s="66" t="s">
        <v>39</v>
      </c>
      <c r="X822" s="130" t="s">
        <v>40</v>
      </c>
      <c r="Y822" s="37"/>
      <c r="Z822" s="65"/>
      <c r="AA822" s="66" t="s">
        <v>39</v>
      </c>
      <c r="AB822" s="130" t="s">
        <v>40</v>
      </c>
      <c r="AC822" s="37"/>
      <c r="AD822" s="65"/>
      <c r="AE822" s="66" t="s">
        <v>39</v>
      </c>
      <c r="AF822" s="130" t="s">
        <v>40</v>
      </c>
      <c r="AG822" s="37"/>
      <c r="AH822" s="65"/>
      <c r="AI822" s="66" t="s">
        <v>39</v>
      </c>
      <c r="AJ822" s="130" t="s">
        <v>40</v>
      </c>
      <c r="AK822" s="37"/>
      <c r="AL822" s="65"/>
      <c r="AM822" s="66" t="s">
        <v>39</v>
      </c>
      <c r="AN822" s="130" t="s">
        <v>40</v>
      </c>
      <c r="AO822" s="37"/>
      <c r="AP822" s="65"/>
      <c r="AQ822" s="66" t="s">
        <v>39</v>
      </c>
      <c r="AR822" s="130" t="s">
        <v>40</v>
      </c>
      <c r="AS822" s="37"/>
      <c r="AT822" s="65"/>
      <c r="AU822" s="66" t="s">
        <v>39</v>
      </c>
      <c r="AV822" s="130" t="s">
        <v>40</v>
      </c>
      <c r="AW822" s="37"/>
      <c r="AX822" s="65"/>
      <c r="AY822" s="66" t="s">
        <v>39</v>
      </c>
      <c r="AZ822" s="130" t="s">
        <v>40</v>
      </c>
      <c r="BA822" s="37"/>
      <c r="BB822" s="65"/>
      <c r="BC822" s="66" t="s">
        <v>39</v>
      </c>
      <c r="BD822" s="130" t="s">
        <v>40</v>
      </c>
      <c r="BE822" s="37"/>
      <c r="BF822" s="65"/>
      <c r="BG822" s="66" t="s">
        <v>39</v>
      </c>
      <c r="BH822" s="130" t="s">
        <v>40</v>
      </c>
      <c r="BI822" s="37"/>
      <c r="BJ822" s="65"/>
      <c r="BK822" s="66" t="s">
        <v>39</v>
      </c>
      <c r="BL822" s="130" t="s">
        <v>40</v>
      </c>
      <c r="BM822" s="37"/>
      <c r="BN822" s="65"/>
      <c r="BO822" s="66" t="s">
        <v>39</v>
      </c>
      <c r="BP822" s="130" t="s">
        <v>40</v>
      </c>
      <c r="BQ822" s="37"/>
      <c r="BR822" s="65"/>
      <c r="BS822" s="66" t="s">
        <v>39</v>
      </c>
      <c r="BT822" s="130" t="s">
        <v>40</v>
      </c>
      <c r="BU822" s="37"/>
    </row>
    <row r="823" ht="12.75" customHeight="1">
      <c r="A823" s="146"/>
      <c r="B823" s="132" t="s">
        <v>46</v>
      </c>
      <c r="C823" s="69"/>
      <c r="D823" s="134"/>
      <c r="E823" s="59"/>
      <c r="F823" s="65"/>
      <c r="G823" s="70" t="s">
        <v>1010</v>
      </c>
      <c r="H823" s="95"/>
      <c r="I823" s="38"/>
      <c r="J823" s="65"/>
      <c r="K823" s="137" t="s">
        <v>1010</v>
      </c>
      <c r="L823" s="139" t="s">
        <v>46</v>
      </c>
      <c r="M823" s="37"/>
      <c r="N823" s="65"/>
      <c r="O823" s="137" t="s">
        <v>1010</v>
      </c>
      <c r="P823" s="139" t="s">
        <v>46</v>
      </c>
      <c r="Q823" s="37"/>
      <c r="R823" s="65"/>
      <c r="S823" s="137" t="s">
        <v>1010</v>
      </c>
      <c r="T823" s="139" t="s">
        <v>46</v>
      </c>
      <c r="U823" s="37"/>
      <c r="V823" s="65"/>
      <c r="W823" s="137" t="s">
        <v>1010</v>
      </c>
      <c r="X823" s="139" t="s">
        <v>46</v>
      </c>
      <c r="Y823" s="37"/>
      <c r="Z823" s="65"/>
      <c r="AA823" s="137" t="s">
        <v>1010</v>
      </c>
      <c r="AB823" s="139" t="s">
        <v>46</v>
      </c>
      <c r="AC823" s="37"/>
      <c r="AD823" s="65"/>
      <c r="AE823" s="137" t="s">
        <v>1010</v>
      </c>
      <c r="AF823" s="139" t="s">
        <v>46</v>
      </c>
      <c r="AG823" s="37"/>
      <c r="AH823" s="65"/>
      <c r="AI823" s="137" t="s">
        <v>1010</v>
      </c>
      <c r="AJ823" s="139" t="s">
        <v>46</v>
      </c>
      <c r="AK823" s="37"/>
      <c r="AL823" s="65"/>
      <c r="AM823" s="137" t="s">
        <v>1010</v>
      </c>
      <c r="AN823" s="139" t="s">
        <v>46</v>
      </c>
      <c r="AO823" s="37"/>
      <c r="AP823" s="65"/>
      <c r="AQ823" s="137" t="s">
        <v>1010</v>
      </c>
      <c r="AR823" s="139" t="s">
        <v>46</v>
      </c>
      <c r="AS823" s="37"/>
      <c r="AT823" s="65"/>
      <c r="AU823" s="137" t="s">
        <v>1010</v>
      </c>
      <c r="AV823" s="139" t="s">
        <v>46</v>
      </c>
      <c r="AW823" s="37"/>
      <c r="AX823" s="65"/>
      <c r="AY823" s="137" t="s">
        <v>1010</v>
      </c>
      <c r="AZ823" s="139" t="s">
        <v>46</v>
      </c>
      <c r="BA823" s="37"/>
      <c r="BB823" s="65"/>
      <c r="BC823" s="137" t="s">
        <v>1010</v>
      </c>
      <c r="BD823" s="139" t="s">
        <v>46</v>
      </c>
      <c r="BE823" s="37"/>
      <c r="BF823" s="65"/>
      <c r="BG823" s="137" t="s">
        <v>1010</v>
      </c>
      <c r="BH823" s="139" t="s">
        <v>46</v>
      </c>
      <c r="BI823" s="37"/>
      <c r="BJ823" s="65"/>
      <c r="BK823" s="137" t="s">
        <v>1010</v>
      </c>
      <c r="BL823" s="139" t="s">
        <v>46</v>
      </c>
      <c r="BM823" s="37"/>
      <c r="BN823" s="65"/>
      <c r="BO823" s="137" t="s">
        <v>1010</v>
      </c>
      <c r="BP823" s="139" t="s">
        <v>46</v>
      </c>
      <c r="BQ823" s="37"/>
      <c r="BR823" s="65"/>
      <c r="BS823" s="137" t="s">
        <v>1010</v>
      </c>
      <c r="BT823" s="139" t="s">
        <v>46</v>
      </c>
      <c r="BU823" s="37"/>
    </row>
    <row r="824" ht="12.75" customHeight="1">
      <c r="A824" s="146"/>
      <c r="B824" s="132" t="s">
        <v>46</v>
      </c>
      <c r="C824" s="69"/>
      <c r="D824" s="134"/>
      <c r="E824" s="59"/>
      <c r="F824" s="65"/>
      <c r="G824" s="70" t="s">
        <v>1011</v>
      </c>
      <c r="H824" s="95"/>
      <c r="I824" s="38"/>
      <c r="J824" s="65"/>
      <c r="K824" s="137" t="s">
        <v>1011</v>
      </c>
      <c r="L824" s="139" t="s">
        <v>46</v>
      </c>
      <c r="M824" s="37"/>
      <c r="N824" s="65"/>
      <c r="O824" s="137" t="s">
        <v>1011</v>
      </c>
      <c r="P824" s="139" t="s">
        <v>46</v>
      </c>
      <c r="Q824" s="37"/>
      <c r="R824" s="65"/>
      <c r="S824" s="137" t="s">
        <v>1011</v>
      </c>
      <c r="T824" s="139" t="s">
        <v>46</v>
      </c>
      <c r="U824" s="37"/>
      <c r="V824" s="65"/>
      <c r="W824" s="137" t="s">
        <v>1011</v>
      </c>
      <c r="X824" s="139" t="s">
        <v>46</v>
      </c>
      <c r="Y824" s="37"/>
      <c r="Z824" s="65"/>
      <c r="AA824" s="137" t="s">
        <v>1011</v>
      </c>
      <c r="AB824" s="139" t="s">
        <v>46</v>
      </c>
      <c r="AC824" s="37"/>
      <c r="AD824" s="65"/>
      <c r="AE824" s="137" t="s">
        <v>1011</v>
      </c>
      <c r="AF824" s="139" t="s">
        <v>46</v>
      </c>
      <c r="AG824" s="37"/>
      <c r="AH824" s="65"/>
      <c r="AI824" s="137" t="s">
        <v>1011</v>
      </c>
      <c r="AJ824" s="139" t="s">
        <v>46</v>
      </c>
      <c r="AK824" s="37"/>
      <c r="AL824" s="65"/>
      <c r="AM824" s="137" t="s">
        <v>1011</v>
      </c>
      <c r="AN824" s="139" t="s">
        <v>46</v>
      </c>
      <c r="AO824" s="37"/>
      <c r="AP824" s="65"/>
      <c r="AQ824" s="137" t="s">
        <v>1011</v>
      </c>
      <c r="AR824" s="139" t="s">
        <v>46</v>
      </c>
      <c r="AS824" s="37"/>
      <c r="AT824" s="65"/>
      <c r="AU824" s="137" t="s">
        <v>1011</v>
      </c>
      <c r="AV824" s="139" t="s">
        <v>46</v>
      </c>
      <c r="AW824" s="37"/>
      <c r="AX824" s="65"/>
      <c r="AY824" s="137" t="s">
        <v>1011</v>
      </c>
      <c r="AZ824" s="139" t="s">
        <v>46</v>
      </c>
      <c r="BA824" s="37"/>
      <c r="BB824" s="65"/>
      <c r="BC824" s="137" t="s">
        <v>1011</v>
      </c>
      <c r="BD824" s="139" t="s">
        <v>46</v>
      </c>
      <c r="BE824" s="37"/>
      <c r="BF824" s="65"/>
      <c r="BG824" s="137" t="s">
        <v>1011</v>
      </c>
      <c r="BH824" s="139" t="s">
        <v>46</v>
      </c>
      <c r="BI824" s="37"/>
      <c r="BJ824" s="65"/>
      <c r="BK824" s="137" t="s">
        <v>1011</v>
      </c>
      <c r="BL824" s="139" t="s">
        <v>46</v>
      </c>
      <c r="BM824" s="37"/>
      <c r="BN824" s="65"/>
      <c r="BO824" s="137" t="s">
        <v>1011</v>
      </c>
      <c r="BP824" s="139" t="s">
        <v>46</v>
      </c>
      <c r="BQ824" s="37"/>
      <c r="BR824" s="65"/>
      <c r="BS824" s="137" t="s">
        <v>1011</v>
      </c>
      <c r="BT824" s="139" t="s">
        <v>46</v>
      </c>
      <c r="BU824" s="37"/>
    </row>
    <row r="825" ht="12.75" customHeight="1">
      <c r="A825" s="146"/>
      <c r="B825" s="132" t="s">
        <v>63</v>
      </c>
      <c r="C825" s="69"/>
      <c r="D825" s="134"/>
      <c r="E825" s="59"/>
      <c r="F825" s="65"/>
      <c r="G825" s="70" t="s">
        <v>1012</v>
      </c>
      <c r="H825" s="95"/>
      <c r="I825" s="38"/>
      <c r="J825" s="65"/>
      <c r="K825" s="137" t="s">
        <v>1012</v>
      </c>
      <c r="L825" s="139" t="s">
        <v>63</v>
      </c>
      <c r="M825" s="37"/>
      <c r="N825" s="65"/>
      <c r="O825" s="137" t="s">
        <v>1012</v>
      </c>
      <c r="P825" s="139" t="s">
        <v>63</v>
      </c>
      <c r="Q825" s="37"/>
      <c r="R825" s="65"/>
      <c r="S825" s="137" t="s">
        <v>1012</v>
      </c>
      <c r="T825" s="139" t="s">
        <v>63</v>
      </c>
      <c r="U825" s="37"/>
      <c r="V825" s="65"/>
      <c r="W825" s="137" t="s">
        <v>1012</v>
      </c>
      <c r="X825" s="139" t="s">
        <v>63</v>
      </c>
      <c r="Y825" s="37"/>
      <c r="Z825" s="65"/>
      <c r="AA825" s="137" t="s">
        <v>1012</v>
      </c>
      <c r="AB825" s="139" t="s">
        <v>63</v>
      </c>
      <c r="AC825" s="37"/>
      <c r="AD825" s="65"/>
      <c r="AE825" s="137" t="s">
        <v>1012</v>
      </c>
      <c r="AF825" s="139" t="s">
        <v>63</v>
      </c>
      <c r="AG825" s="37"/>
      <c r="AH825" s="65"/>
      <c r="AI825" s="137" t="s">
        <v>1012</v>
      </c>
      <c r="AJ825" s="139" t="s">
        <v>63</v>
      </c>
      <c r="AK825" s="37"/>
      <c r="AL825" s="65"/>
      <c r="AM825" s="137" t="s">
        <v>1012</v>
      </c>
      <c r="AN825" s="139" t="s">
        <v>63</v>
      </c>
      <c r="AO825" s="37"/>
      <c r="AP825" s="65"/>
      <c r="AQ825" s="137" t="s">
        <v>1012</v>
      </c>
      <c r="AR825" s="139" t="s">
        <v>63</v>
      </c>
      <c r="AS825" s="37"/>
      <c r="AT825" s="65"/>
      <c r="AU825" s="137" t="s">
        <v>1012</v>
      </c>
      <c r="AV825" s="139" t="s">
        <v>63</v>
      </c>
      <c r="AW825" s="37"/>
      <c r="AX825" s="65"/>
      <c r="AY825" s="137" t="s">
        <v>1012</v>
      </c>
      <c r="AZ825" s="139" t="s">
        <v>63</v>
      </c>
      <c r="BA825" s="37"/>
      <c r="BB825" s="65"/>
      <c r="BC825" s="137" t="s">
        <v>1012</v>
      </c>
      <c r="BD825" s="139" t="s">
        <v>63</v>
      </c>
      <c r="BE825" s="37"/>
      <c r="BF825" s="65"/>
      <c r="BG825" s="137" t="s">
        <v>1012</v>
      </c>
      <c r="BH825" s="139" t="s">
        <v>63</v>
      </c>
      <c r="BI825" s="37"/>
      <c r="BJ825" s="65"/>
      <c r="BK825" s="137" t="s">
        <v>1012</v>
      </c>
      <c r="BL825" s="139" t="s">
        <v>63</v>
      </c>
      <c r="BM825" s="37"/>
      <c r="BN825" s="65"/>
      <c r="BO825" s="137" t="s">
        <v>1012</v>
      </c>
      <c r="BP825" s="139" t="s">
        <v>63</v>
      </c>
      <c r="BQ825" s="37"/>
      <c r="BR825" s="65"/>
      <c r="BS825" s="137" t="s">
        <v>1012</v>
      </c>
      <c r="BT825" s="139" t="s">
        <v>63</v>
      </c>
      <c r="BU825" s="37"/>
    </row>
    <row r="826" ht="12.75" customHeight="1">
      <c r="A826" s="146"/>
      <c r="B826" s="132" t="s">
        <v>63</v>
      </c>
      <c r="C826" s="69"/>
      <c r="D826" s="134"/>
      <c r="E826" s="59"/>
      <c r="F826" s="65"/>
      <c r="G826" s="70" t="s">
        <v>1013</v>
      </c>
      <c r="H826" s="95"/>
      <c r="I826" s="38"/>
      <c r="J826" s="65"/>
      <c r="K826" s="137" t="s">
        <v>1013</v>
      </c>
      <c r="L826" s="139" t="s">
        <v>63</v>
      </c>
      <c r="M826" s="37"/>
      <c r="N826" s="65"/>
      <c r="O826" s="137" t="s">
        <v>1013</v>
      </c>
      <c r="P826" s="139" t="s">
        <v>63</v>
      </c>
      <c r="Q826" s="37"/>
      <c r="R826" s="65"/>
      <c r="S826" s="137" t="s">
        <v>1013</v>
      </c>
      <c r="T826" s="139" t="s">
        <v>63</v>
      </c>
      <c r="U826" s="37"/>
      <c r="V826" s="65"/>
      <c r="W826" s="137" t="s">
        <v>1013</v>
      </c>
      <c r="X826" s="139" t="s">
        <v>63</v>
      </c>
      <c r="Y826" s="37"/>
      <c r="Z826" s="65"/>
      <c r="AA826" s="137" t="s">
        <v>1013</v>
      </c>
      <c r="AB826" s="139" t="s">
        <v>63</v>
      </c>
      <c r="AC826" s="37"/>
      <c r="AD826" s="65"/>
      <c r="AE826" s="137" t="s">
        <v>1013</v>
      </c>
      <c r="AF826" s="139" t="s">
        <v>63</v>
      </c>
      <c r="AG826" s="37"/>
      <c r="AH826" s="65"/>
      <c r="AI826" s="137" t="s">
        <v>1013</v>
      </c>
      <c r="AJ826" s="139" t="s">
        <v>63</v>
      </c>
      <c r="AK826" s="37"/>
      <c r="AL826" s="65"/>
      <c r="AM826" s="137" t="s">
        <v>1013</v>
      </c>
      <c r="AN826" s="139" t="s">
        <v>63</v>
      </c>
      <c r="AO826" s="37"/>
      <c r="AP826" s="65"/>
      <c r="AQ826" s="137" t="s">
        <v>1013</v>
      </c>
      <c r="AR826" s="139" t="s">
        <v>63</v>
      </c>
      <c r="AS826" s="37"/>
      <c r="AT826" s="65"/>
      <c r="AU826" s="137" t="s">
        <v>1013</v>
      </c>
      <c r="AV826" s="139" t="s">
        <v>63</v>
      </c>
      <c r="AW826" s="37"/>
      <c r="AX826" s="65"/>
      <c r="AY826" s="137" t="s">
        <v>1013</v>
      </c>
      <c r="AZ826" s="139" t="s">
        <v>63</v>
      </c>
      <c r="BA826" s="37"/>
      <c r="BB826" s="65"/>
      <c r="BC826" s="137" t="s">
        <v>1013</v>
      </c>
      <c r="BD826" s="139" t="s">
        <v>63</v>
      </c>
      <c r="BE826" s="37"/>
      <c r="BF826" s="65"/>
      <c r="BG826" s="137" t="s">
        <v>1013</v>
      </c>
      <c r="BH826" s="139" t="s">
        <v>63</v>
      </c>
      <c r="BI826" s="37"/>
      <c r="BJ826" s="65"/>
      <c r="BK826" s="137" t="s">
        <v>1013</v>
      </c>
      <c r="BL826" s="139" t="s">
        <v>63</v>
      </c>
      <c r="BM826" s="37"/>
      <c r="BN826" s="65"/>
      <c r="BO826" s="137" t="s">
        <v>1013</v>
      </c>
      <c r="BP826" s="139" t="s">
        <v>63</v>
      </c>
      <c r="BQ826" s="37"/>
      <c r="BR826" s="65"/>
      <c r="BS826" s="137" t="s">
        <v>1013</v>
      </c>
      <c r="BT826" s="139" t="s">
        <v>63</v>
      </c>
      <c r="BU826" s="37"/>
    </row>
    <row r="827" ht="12.75" customHeight="1">
      <c r="A827" s="93"/>
      <c r="B827" s="94"/>
      <c r="C827" s="94"/>
      <c r="D827" s="87"/>
      <c r="E827" s="57"/>
      <c r="F827" s="65"/>
      <c r="G827" s="76"/>
      <c r="H827" s="95"/>
      <c r="I827" s="38"/>
      <c r="J827" s="65"/>
      <c r="K827" s="109"/>
      <c r="L827" s="139"/>
      <c r="M827" s="37"/>
      <c r="N827" s="65"/>
      <c r="O827" s="109"/>
      <c r="P827" s="139"/>
      <c r="Q827" s="37"/>
      <c r="R827" s="65"/>
      <c r="S827" s="109"/>
      <c r="T827" s="139"/>
      <c r="U827" s="37"/>
      <c r="V827" s="65"/>
      <c r="W827" s="109"/>
      <c r="X827" s="139"/>
      <c r="Y827" s="37"/>
      <c r="Z827" s="65"/>
      <c r="AA827" s="109"/>
      <c r="AB827" s="139"/>
      <c r="AC827" s="37"/>
      <c r="AD827" s="65"/>
      <c r="AE827" s="109"/>
      <c r="AF827" s="139"/>
      <c r="AG827" s="37"/>
      <c r="AH827" s="65"/>
      <c r="AI827" s="109"/>
      <c r="AJ827" s="139"/>
      <c r="AK827" s="37"/>
      <c r="AL827" s="65"/>
      <c r="AM827" s="109"/>
      <c r="AN827" s="139"/>
      <c r="AO827" s="37"/>
      <c r="AP827" s="65"/>
      <c r="AQ827" s="109"/>
      <c r="AR827" s="139"/>
      <c r="AS827" s="37"/>
      <c r="AT827" s="65"/>
      <c r="AU827" s="109"/>
      <c r="AV827" s="139"/>
      <c r="AW827" s="37"/>
      <c r="AX827" s="65"/>
      <c r="AY827" s="109"/>
      <c r="AZ827" s="139"/>
      <c r="BA827" s="37"/>
      <c r="BB827" s="65"/>
      <c r="BC827" s="109"/>
      <c r="BD827" s="139"/>
      <c r="BE827" s="37"/>
      <c r="BF827" s="65"/>
      <c r="BG827" s="109"/>
      <c r="BH827" s="139"/>
      <c r="BI827" s="37"/>
      <c r="BJ827" s="65"/>
      <c r="BK827" s="109"/>
      <c r="BL827" s="139"/>
      <c r="BM827" s="37"/>
      <c r="BN827" s="65"/>
      <c r="BO827" s="109"/>
      <c r="BP827" s="139"/>
      <c r="BQ827" s="37"/>
      <c r="BR827" s="65"/>
      <c r="BS827" s="109"/>
      <c r="BT827" s="139"/>
      <c r="BU827" s="37"/>
    </row>
    <row r="828" ht="12.75" customHeight="1">
      <c r="A828" s="94"/>
      <c r="B828" s="94"/>
      <c r="C828" s="94"/>
      <c r="D828" s="87"/>
      <c r="E828" s="57"/>
      <c r="F828" s="85"/>
      <c r="G828" s="76"/>
      <c r="H828" s="95"/>
      <c r="I828" s="38"/>
      <c r="J828" s="85"/>
      <c r="K828" s="109"/>
      <c r="L828" s="139"/>
      <c r="M828" s="37"/>
      <c r="N828" s="85"/>
      <c r="O828" s="109"/>
      <c r="P828" s="139"/>
      <c r="Q828" s="37"/>
      <c r="R828" s="85"/>
      <c r="S828" s="109"/>
      <c r="T828" s="139"/>
      <c r="U828" s="37"/>
      <c r="V828" s="85"/>
      <c r="W828" s="109"/>
      <c r="X828" s="139"/>
      <c r="Y828" s="37"/>
      <c r="Z828" s="85"/>
      <c r="AA828" s="109"/>
      <c r="AB828" s="139"/>
      <c r="AC828" s="37"/>
      <c r="AD828" s="85"/>
      <c r="AE828" s="109"/>
      <c r="AF828" s="139"/>
      <c r="AG828" s="37"/>
      <c r="AH828" s="85"/>
      <c r="AI828" s="109"/>
      <c r="AJ828" s="139"/>
      <c r="AK828" s="37"/>
      <c r="AL828" s="85"/>
      <c r="AM828" s="109"/>
      <c r="AN828" s="139"/>
      <c r="AO828" s="37"/>
      <c r="AP828" s="85"/>
      <c r="AQ828" s="109"/>
      <c r="AR828" s="139"/>
      <c r="AS828" s="37"/>
      <c r="AT828" s="85"/>
      <c r="AU828" s="109"/>
      <c r="AV828" s="139"/>
      <c r="AW828" s="37"/>
      <c r="AX828" s="85"/>
      <c r="AY828" s="109"/>
      <c r="AZ828" s="139"/>
      <c r="BA828" s="37"/>
      <c r="BB828" s="85"/>
      <c r="BC828" s="109"/>
      <c r="BD828" s="139"/>
      <c r="BE828" s="37"/>
      <c r="BF828" s="85"/>
      <c r="BG828" s="109"/>
      <c r="BH828" s="139"/>
      <c r="BI828" s="37"/>
      <c r="BJ828" s="85"/>
      <c r="BK828" s="109"/>
      <c r="BL828" s="139"/>
      <c r="BM828" s="37"/>
      <c r="BN828" s="85"/>
      <c r="BO828" s="109"/>
      <c r="BP828" s="139"/>
      <c r="BQ828" s="37"/>
      <c r="BR828" s="85"/>
      <c r="BS828" s="109"/>
      <c r="BT828" s="139"/>
      <c r="BU828" s="37"/>
    </row>
    <row r="829" ht="12.75" customHeight="1">
      <c r="A829" s="86"/>
      <c r="B829" s="75"/>
      <c r="C829" s="86"/>
      <c r="D829" s="87"/>
      <c r="E829" s="57"/>
      <c r="F829" s="65" t="s">
        <v>1014</v>
      </c>
      <c r="G829" s="88"/>
      <c r="H829" s="89"/>
      <c r="I829" s="38"/>
      <c r="J829" s="65" t="s">
        <v>1014</v>
      </c>
      <c r="K829" s="88"/>
      <c r="L829" s="166"/>
      <c r="M829" s="37"/>
      <c r="N829" s="65" t="s">
        <v>1014</v>
      </c>
      <c r="O829" s="88"/>
      <c r="P829" s="166"/>
      <c r="Q829" s="37"/>
      <c r="R829" s="65" t="s">
        <v>1014</v>
      </c>
      <c r="S829" s="88"/>
      <c r="T829" s="166"/>
      <c r="U829" s="37"/>
      <c r="V829" s="65" t="s">
        <v>1014</v>
      </c>
      <c r="W829" s="88"/>
      <c r="X829" s="166"/>
      <c r="Y829" s="37"/>
      <c r="Z829" s="65" t="s">
        <v>1014</v>
      </c>
      <c r="AA829" s="88"/>
      <c r="AB829" s="166"/>
      <c r="AC829" s="37"/>
      <c r="AD829" s="65" t="s">
        <v>1014</v>
      </c>
      <c r="AE829" s="88"/>
      <c r="AF829" s="166"/>
      <c r="AG829" s="37"/>
      <c r="AH829" s="65" t="s">
        <v>1014</v>
      </c>
      <c r="AI829" s="88"/>
      <c r="AJ829" s="166"/>
      <c r="AK829" s="37"/>
      <c r="AL829" s="65" t="s">
        <v>1014</v>
      </c>
      <c r="AM829" s="88"/>
      <c r="AN829" s="166"/>
      <c r="AO829" s="37"/>
      <c r="AP829" s="65" t="s">
        <v>1014</v>
      </c>
      <c r="AQ829" s="88"/>
      <c r="AR829" s="166"/>
      <c r="AS829" s="37"/>
      <c r="AT829" s="65" t="s">
        <v>1014</v>
      </c>
      <c r="AU829" s="88"/>
      <c r="AV829" s="166"/>
      <c r="AW829" s="37"/>
      <c r="AX829" s="65" t="s">
        <v>1014</v>
      </c>
      <c r="AY829" s="88"/>
      <c r="AZ829" s="166"/>
      <c r="BA829" s="37"/>
      <c r="BB829" s="65" t="s">
        <v>1014</v>
      </c>
      <c r="BC829" s="88"/>
      <c r="BD829" s="166"/>
      <c r="BE829" s="37"/>
      <c r="BF829" s="65" t="s">
        <v>1014</v>
      </c>
      <c r="BG829" s="88"/>
      <c r="BH829" s="166"/>
      <c r="BI829" s="37"/>
      <c r="BJ829" s="65" t="s">
        <v>1014</v>
      </c>
      <c r="BK829" s="88"/>
      <c r="BL829" s="166"/>
      <c r="BM829" s="37"/>
      <c r="BN829" s="65" t="s">
        <v>1014</v>
      </c>
      <c r="BO829" s="88"/>
      <c r="BP829" s="166"/>
      <c r="BQ829" s="37"/>
      <c r="BR829" s="65" t="s">
        <v>1014</v>
      </c>
      <c r="BS829" s="88"/>
      <c r="BT829" s="166"/>
      <c r="BU829" s="37"/>
    </row>
    <row r="830" ht="12.75" customHeight="1">
      <c r="A830" s="63" t="s">
        <v>36</v>
      </c>
      <c r="B830" s="64" t="s">
        <v>37</v>
      </c>
      <c r="C830" s="64" t="s">
        <v>38</v>
      </c>
      <c r="D830" s="87"/>
      <c r="E830" s="57"/>
      <c r="F830" s="65"/>
      <c r="G830" s="66" t="s">
        <v>39</v>
      </c>
      <c r="H830" s="67" t="s">
        <v>40</v>
      </c>
      <c r="I830" s="38"/>
      <c r="J830" s="65"/>
      <c r="K830" s="66" t="s">
        <v>39</v>
      </c>
      <c r="L830" s="130" t="s">
        <v>40</v>
      </c>
      <c r="M830" s="37"/>
      <c r="N830" s="65"/>
      <c r="O830" s="66" t="s">
        <v>39</v>
      </c>
      <c r="P830" s="130" t="s">
        <v>40</v>
      </c>
      <c r="Q830" s="37"/>
      <c r="R830" s="65"/>
      <c r="S830" s="66" t="s">
        <v>39</v>
      </c>
      <c r="T830" s="130" t="s">
        <v>40</v>
      </c>
      <c r="U830" s="37"/>
      <c r="V830" s="65"/>
      <c r="W830" s="66" t="s">
        <v>39</v>
      </c>
      <c r="X830" s="130" t="s">
        <v>40</v>
      </c>
      <c r="Y830" s="37"/>
      <c r="Z830" s="65"/>
      <c r="AA830" s="66" t="s">
        <v>39</v>
      </c>
      <c r="AB830" s="130" t="s">
        <v>40</v>
      </c>
      <c r="AC830" s="37"/>
      <c r="AD830" s="65"/>
      <c r="AE830" s="66" t="s">
        <v>39</v>
      </c>
      <c r="AF830" s="130" t="s">
        <v>40</v>
      </c>
      <c r="AG830" s="37"/>
      <c r="AH830" s="65"/>
      <c r="AI830" s="66" t="s">
        <v>39</v>
      </c>
      <c r="AJ830" s="130" t="s">
        <v>40</v>
      </c>
      <c r="AK830" s="37"/>
      <c r="AL830" s="65"/>
      <c r="AM830" s="66" t="s">
        <v>39</v>
      </c>
      <c r="AN830" s="130" t="s">
        <v>40</v>
      </c>
      <c r="AO830" s="37"/>
      <c r="AP830" s="65"/>
      <c r="AQ830" s="66" t="s">
        <v>39</v>
      </c>
      <c r="AR830" s="130" t="s">
        <v>40</v>
      </c>
      <c r="AS830" s="37"/>
      <c r="AT830" s="65"/>
      <c r="AU830" s="66" t="s">
        <v>39</v>
      </c>
      <c r="AV830" s="130" t="s">
        <v>40</v>
      </c>
      <c r="AW830" s="37"/>
      <c r="AX830" s="65"/>
      <c r="AY830" s="66" t="s">
        <v>39</v>
      </c>
      <c r="AZ830" s="130" t="s">
        <v>40</v>
      </c>
      <c r="BA830" s="37"/>
      <c r="BB830" s="65"/>
      <c r="BC830" s="66" t="s">
        <v>39</v>
      </c>
      <c r="BD830" s="130" t="s">
        <v>40</v>
      </c>
      <c r="BE830" s="37"/>
      <c r="BF830" s="65"/>
      <c r="BG830" s="66" t="s">
        <v>39</v>
      </c>
      <c r="BH830" s="130" t="s">
        <v>40</v>
      </c>
      <c r="BI830" s="37"/>
      <c r="BJ830" s="65"/>
      <c r="BK830" s="66" t="s">
        <v>39</v>
      </c>
      <c r="BL830" s="130" t="s">
        <v>40</v>
      </c>
      <c r="BM830" s="37"/>
      <c r="BN830" s="65"/>
      <c r="BO830" s="66" t="s">
        <v>39</v>
      </c>
      <c r="BP830" s="130" t="s">
        <v>40</v>
      </c>
      <c r="BQ830" s="37"/>
      <c r="BR830" s="65"/>
      <c r="BS830" s="66" t="s">
        <v>39</v>
      </c>
      <c r="BT830" s="130" t="s">
        <v>40</v>
      </c>
      <c r="BU830" s="37"/>
    </row>
    <row r="831" ht="12.75" customHeight="1">
      <c r="A831" s="146"/>
      <c r="B831" s="132" t="s">
        <v>321</v>
      </c>
      <c r="C831" s="69"/>
      <c r="D831" s="134"/>
      <c r="E831" s="59"/>
      <c r="F831" s="65"/>
      <c r="G831" s="70" t="s">
        <v>1015</v>
      </c>
      <c r="H831" s="95"/>
      <c r="I831" s="38"/>
      <c r="J831" s="65"/>
      <c r="K831" s="137" t="s">
        <v>1015</v>
      </c>
      <c r="L831" s="139" t="s">
        <v>321</v>
      </c>
      <c r="M831" s="37"/>
      <c r="N831" s="65"/>
      <c r="O831" s="137" t="s">
        <v>1015</v>
      </c>
      <c r="P831" s="139" t="s">
        <v>321</v>
      </c>
      <c r="Q831" s="37"/>
      <c r="R831" s="65"/>
      <c r="S831" s="137" t="s">
        <v>1015</v>
      </c>
      <c r="T831" s="139" t="s">
        <v>321</v>
      </c>
      <c r="U831" s="37"/>
      <c r="V831" s="65"/>
      <c r="W831" s="137" t="s">
        <v>1015</v>
      </c>
      <c r="X831" s="139" t="s">
        <v>321</v>
      </c>
      <c r="Y831" s="37"/>
      <c r="Z831" s="65"/>
      <c r="AA831" s="137" t="s">
        <v>1015</v>
      </c>
      <c r="AB831" s="139" t="s">
        <v>321</v>
      </c>
      <c r="AC831" s="37"/>
      <c r="AD831" s="65"/>
      <c r="AE831" s="137" t="s">
        <v>1015</v>
      </c>
      <c r="AF831" s="139" t="s">
        <v>321</v>
      </c>
      <c r="AG831" s="37"/>
      <c r="AH831" s="65"/>
      <c r="AI831" s="137" t="s">
        <v>1015</v>
      </c>
      <c r="AJ831" s="139" t="s">
        <v>321</v>
      </c>
      <c r="AK831" s="37"/>
      <c r="AL831" s="65"/>
      <c r="AM831" s="137" t="s">
        <v>1015</v>
      </c>
      <c r="AN831" s="139" t="s">
        <v>321</v>
      </c>
      <c r="AO831" s="37"/>
      <c r="AP831" s="65"/>
      <c r="AQ831" s="137" t="s">
        <v>1015</v>
      </c>
      <c r="AR831" s="139" t="s">
        <v>321</v>
      </c>
      <c r="AS831" s="37"/>
      <c r="AT831" s="65"/>
      <c r="AU831" s="137" t="s">
        <v>1015</v>
      </c>
      <c r="AV831" s="139" t="s">
        <v>321</v>
      </c>
      <c r="AW831" s="37"/>
      <c r="AX831" s="65"/>
      <c r="AY831" s="137" t="s">
        <v>1015</v>
      </c>
      <c r="AZ831" s="139" t="s">
        <v>321</v>
      </c>
      <c r="BA831" s="37"/>
      <c r="BB831" s="65"/>
      <c r="BC831" s="137" t="s">
        <v>1015</v>
      </c>
      <c r="BD831" s="139" t="s">
        <v>321</v>
      </c>
      <c r="BE831" s="37"/>
      <c r="BF831" s="65"/>
      <c r="BG831" s="137" t="s">
        <v>1015</v>
      </c>
      <c r="BH831" s="139" t="s">
        <v>321</v>
      </c>
      <c r="BI831" s="37"/>
      <c r="BJ831" s="65"/>
      <c r="BK831" s="137" t="s">
        <v>1015</v>
      </c>
      <c r="BL831" s="139" t="s">
        <v>321</v>
      </c>
      <c r="BM831" s="37"/>
      <c r="BN831" s="65"/>
      <c r="BO831" s="137" t="s">
        <v>1015</v>
      </c>
      <c r="BP831" s="139" t="s">
        <v>321</v>
      </c>
      <c r="BQ831" s="37"/>
      <c r="BR831" s="65"/>
      <c r="BS831" s="137" t="s">
        <v>1015</v>
      </c>
      <c r="BT831" s="139" t="s">
        <v>321</v>
      </c>
      <c r="BU831" s="37"/>
    </row>
    <row r="832" ht="12.75" customHeight="1">
      <c r="A832" s="146"/>
      <c r="B832" s="132" t="s">
        <v>321</v>
      </c>
      <c r="C832" s="69"/>
      <c r="D832" s="134"/>
      <c r="E832" s="59"/>
      <c r="F832" s="65"/>
      <c r="G832" s="70" t="s">
        <v>1016</v>
      </c>
      <c r="H832" s="95"/>
      <c r="I832" s="38"/>
      <c r="J832" s="65"/>
      <c r="K832" s="137" t="s">
        <v>1016</v>
      </c>
      <c r="L832" s="139" t="s">
        <v>321</v>
      </c>
      <c r="M832" s="37"/>
      <c r="N832" s="65"/>
      <c r="O832" s="137" t="s">
        <v>1016</v>
      </c>
      <c r="P832" s="139" t="s">
        <v>321</v>
      </c>
      <c r="Q832" s="37"/>
      <c r="R832" s="65"/>
      <c r="S832" s="137" t="s">
        <v>1016</v>
      </c>
      <c r="T832" s="139" t="s">
        <v>321</v>
      </c>
      <c r="U832" s="37"/>
      <c r="V832" s="65"/>
      <c r="W832" s="137" t="s">
        <v>1016</v>
      </c>
      <c r="X832" s="139" t="s">
        <v>321</v>
      </c>
      <c r="Y832" s="37"/>
      <c r="Z832" s="65"/>
      <c r="AA832" s="137" t="s">
        <v>1016</v>
      </c>
      <c r="AB832" s="139" t="s">
        <v>321</v>
      </c>
      <c r="AC832" s="37"/>
      <c r="AD832" s="65"/>
      <c r="AE832" s="137" t="s">
        <v>1016</v>
      </c>
      <c r="AF832" s="139" t="s">
        <v>321</v>
      </c>
      <c r="AG832" s="37"/>
      <c r="AH832" s="65"/>
      <c r="AI832" s="137" t="s">
        <v>1016</v>
      </c>
      <c r="AJ832" s="139" t="s">
        <v>321</v>
      </c>
      <c r="AK832" s="37"/>
      <c r="AL832" s="65"/>
      <c r="AM832" s="137" t="s">
        <v>1016</v>
      </c>
      <c r="AN832" s="139" t="s">
        <v>321</v>
      </c>
      <c r="AO832" s="37"/>
      <c r="AP832" s="65"/>
      <c r="AQ832" s="137" t="s">
        <v>1016</v>
      </c>
      <c r="AR832" s="139" t="s">
        <v>321</v>
      </c>
      <c r="AS832" s="37"/>
      <c r="AT832" s="65"/>
      <c r="AU832" s="137" t="s">
        <v>1016</v>
      </c>
      <c r="AV832" s="139" t="s">
        <v>321</v>
      </c>
      <c r="AW832" s="37"/>
      <c r="AX832" s="65"/>
      <c r="AY832" s="137" t="s">
        <v>1016</v>
      </c>
      <c r="AZ832" s="139" t="s">
        <v>321</v>
      </c>
      <c r="BA832" s="37"/>
      <c r="BB832" s="65"/>
      <c r="BC832" s="137" t="s">
        <v>1016</v>
      </c>
      <c r="BD832" s="139" t="s">
        <v>321</v>
      </c>
      <c r="BE832" s="37"/>
      <c r="BF832" s="65"/>
      <c r="BG832" s="137" t="s">
        <v>1016</v>
      </c>
      <c r="BH832" s="139" t="s">
        <v>321</v>
      </c>
      <c r="BI832" s="37"/>
      <c r="BJ832" s="65"/>
      <c r="BK832" s="137" t="s">
        <v>1016</v>
      </c>
      <c r="BL832" s="139" t="s">
        <v>321</v>
      </c>
      <c r="BM832" s="37"/>
      <c r="BN832" s="65"/>
      <c r="BO832" s="137" t="s">
        <v>1016</v>
      </c>
      <c r="BP832" s="139" t="s">
        <v>321</v>
      </c>
      <c r="BQ832" s="37"/>
      <c r="BR832" s="65"/>
      <c r="BS832" s="137" t="s">
        <v>1016</v>
      </c>
      <c r="BT832" s="139" t="s">
        <v>321</v>
      </c>
      <c r="BU832" s="37"/>
    </row>
    <row r="833" ht="12.75" customHeight="1">
      <c r="A833" s="93"/>
      <c r="B833" s="94"/>
      <c r="C833" s="94"/>
      <c r="D833" s="87"/>
      <c r="E833" s="57"/>
      <c r="F833" s="65"/>
      <c r="G833" s="76"/>
      <c r="H833" s="95"/>
      <c r="I833" s="38"/>
      <c r="J833" s="65"/>
      <c r="K833" s="109"/>
      <c r="L833" s="139"/>
      <c r="M833" s="37"/>
      <c r="N833" s="65"/>
      <c r="O833" s="109"/>
      <c r="P833" s="139"/>
      <c r="Q833" s="37"/>
      <c r="R833" s="65"/>
      <c r="S833" s="109"/>
      <c r="T833" s="139"/>
      <c r="U833" s="37"/>
      <c r="V833" s="65"/>
      <c r="W833" s="109"/>
      <c r="X833" s="139"/>
      <c r="Y833" s="37"/>
      <c r="Z833" s="65"/>
      <c r="AA833" s="109"/>
      <c r="AB833" s="139"/>
      <c r="AC833" s="37"/>
      <c r="AD833" s="65"/>
      <c r="AE833" s="109"/>
      <c r="AF833" s="139"/>
      <c r="AG833" s="37"/>
      <c r="AH833" s="65"/>
      <c r="AI833" s="109"/>
      <c r="AJ833" s="139"/>
      <c r="AK833" s="37"/>
      <c r="AL833" s="65"/>
      <c r="AM833" s="109"/>
      <c r="AN833" s="139"/>
      <c r="AO833" s="37"/>
      <c r="AP833" s="65"/>
      <c r="AQ833" s="109"/>
      <c r="AR833" s="139"/>
      <c r="AS833" s="37"/>
      <c r="AT833" s="65"/>
      <c r="AU833" s="109"/>
      <c r="AV833" s="139"/>
      <c r="AW833" s="37"/>
      <c r="AX833" s="65"/>
      <c r="AY833" s="109"/>
      <c r="AZ833" s="139"/>
      <c r="BA833" s="37"/>
      <c r="BB833" s="65"/>
      <c r="BC833" s="109"/>
      <c r="BD833" s="139"/>
      <c r="BE833" s="37"/>
      <c r="BF833" s="65"/>
      <c r="BG833" s="109"/>
      <c r="BH833" s="139"/>
      <c r="BI833" s="37"/>
      <c r="BJ833" s="65"/>
      <c r="BK833" s="109"/>
      <c r="BL833" s="139"/>
      <c r="BM833" s="37"/>
      <c r="BN833" s="65"/>
      <c r="BO833" s="109"/>
      <c r="BP833" s="139"/>
      <c r="BQ833" s="37"/>
      <c r="BR833" s="65"/>
      <c r="BS833" s="109"/>
      <c r="BT833" s="139"/>
      <c r="BU833" s="37"/>
    </row>
    <row r="834" ht="12.75" customHeight="1">
      <c r="A834" s="94"/>
      <c r="B834" s="94"/>
      <c r="C834" s="94"/>
      <c r="D834" s="87"/>
      <c r="E834" s="57"/>
      <c r="F834" s="85"/>
      <c r="G834" s="76"/>
      <c r="H834" s="95"/>
      <c r="I834" s="38"/>
      <c r="J834" s="85"/>
      <c r="K834" s="109"/>
      <c r="L834" s="139"/>
      <c r="M834" s="37"/>
      <c r="N834" s="85"/>
      <c r="O834" s="109"/>
      <c r="P834" s="139"/>
      <c r="Q834" s="37"/>
      <c r="R834" s="85"/>
      <c r="S834" s="109"/>
      <c r="T834" s="139"/>
      <c r="U834" s="37"/>
      <c r="V834" s="85"/>
      <c r="W834" s="109"/>
      <c r="X834" s="139"/>
      <c r="Y834" s="37"/>
      <c r="Z834" s="85"/>
      <c r="AA834" s="109"/>
      <c r="AB834" s="139"/>
      <c r="AC834" s="37"/>
      <c r="AD834" s="85"/>
      <c r="AE834" s="109"/>
      <c r="AF834" s="139"/>
      <c r="AG834" s="37"/>
      <c r="AH834" s="85"/>
      <c r="AI834" s="109"/>
      <c r="AJ834" s="139"/>
      <c r="AK834" s="37"/>
      <c r="AL834" s="85"/>
      <c r="AM834" s="109"/>
      <c r="AN834" s="139"/>
      <c r="AO834" s="37"/>
      <c r="AP834" s="85"/>
      <c r="AQ834" s="109"/>
      <c r="AR834" s="139"/>
      <c r="AS834" s="37"/>
      <c r="AT834" s="85"/>
      <c r="AU834" s="109"/>
      <c r="AV834" s="139"/>
      <c r="AW834" s="37"/>
      <c r="AX834" s="85"/>
      <c r="AY834" s="109"/>
      <c r="AZ834" s="139"/>
      <c r="BA834" s="37"/>
      <c r="BB834" s="85"/>
      <c r="BC834" s="109"/>
      <c r="BD834" s="139"/>
      <c r="BE834" s="37"/>
      <c r="BF834" s="85"/>
      <c r="BG834" s="109"/>
      <c r="BH834" s="139"/>
      <c r="BI834" s="37"/>
      <c r="BJ834" s="85"/>
      <c r="BK834" s="109"/>
      <c r="BL834" s="139"/>
      <c r="BM834" s="37"/>
      <c r="BN834" s="85"/>
      <c r="BO834" s="109"/>
      <c r="BP834" s="139"/>
      <c r="BQ834" s="37"/>
      <c r="BR834" s="85"/>
      <c r="BS834" s="109"/>
      <c r="BT834" s="139"/>
      <c r="BU834" s="37"/>
    </row>
    <row r="835" ht="12.75" customHeight="1">
      <c r="A835" s="86"/>
      <c r="B835" s="75"/>
      <c r="C835" s="86"/>
      <c r="D835" s="87"/>
      <c r="E835" s="57"/>
      <c r="F835" s="65" t="s">
        <v>1017</v>
      </c>
      <c r="G835" s="88"/>
      <c r="H835" s="89"/>
      <c r="I835" s="38"/>
      <c r="J835" s="65" t="s">
        <v>1017</v>
      </c>
      <c r="K835" s="88"/>
      <c r="L835" s="166"/>
      <c r="M835" s="37"/>
      <c r="N835" s="65" t="s">
        <v>1017</v>
      </c>
      <c r="O835" s="88"/>
      <c r="P835" s="166"/>
      <c r="Q835" s="37"/>
      <c r="R835" s="65" t="s">
        <v>1017</v>
      </c>
      <c r="S835" s="88"/>
      <c r="T835" s="166"/>
      <c r="U835" s="37"/>
      <c r="V835" s="65" t="s">
        <v>1017</v>
      </c>
      <c r="W835" s="88"/>
      <c r="X835" s="166"/>
      <c r="Y835" s="37"/>
      <c r="Z835" s="65" t="s">
        <v>1017</v>
      </c>
      <c r="AA835" s="88"/>
      <c r="AB835" s="166"/>
      <c r="AC835" s="37"/>
      <c r="AD835" s="65" t="s">
        <v>1017</v>
      </c>
      <c r="AE835" s="88"/>
      <c r="AF835" s="166"/>
      <c r="AG835" s="37"/>
      <c r="AH835" s="65" t="s">
        <v>1017</v>
      </c>
      <c r="AI835" s="88"/>
      <c r="AJ835" s="166"/>
      <c r="AK835" s="37"/>
      <c r="AL835" s="65" t="s">
        <v>1017</v>
      </c>
      <c r="AM835" s="88"/>
      <c r="AN835" s="166"/>
      <c r="AO835" s="37"/>
      <c r="AP835" s="65" t="s">
        <v>1017</v>
      </c>
      <c r="AQ835" s="88"/>
      <c r="AR835" s="166"/>
      <c r="AS835" s="37"/>
      <c r="AT835" s="65" t="s">
        <v>1017</v>
      </c>
      <c r="AU835" s="88"/>
      <c r="AV835" s="166"/>
      <c r="AW835" s="37"/>
      <c r="AX835" s="65" t="s">
        <v>1017</v>
      </c>
      <c r="AY835" s="88"/>
      <c r="AZ835" s="166"/>
      <c r="BA835" s="37"/>
      <c r="BB835" s="65" t="s">
        <v>1017</v>
      </c>
      <c r="BC835" s="88"/>
      <c r="BD835" s="166"/>
      <c r="BE835" s="37"/>
      <c r="BF835" s="65" t="s">
        <v>1017</v>
      </c>
      <c r="BG835" s="88"/>
      <c r="BH835" s="166"/>
      <c r="BI835" s="37"/>
      <c r="BJ835" s="65" t="s">
        <v>1017</v>
      </c>
      <c r="BK835" s="88"/>
      <c r="BL835" s="166"/>
      <c r="BM835" s="37"/>
      <c r="BN835" s="65" t="s">
        <v>1017</v>
      </c>
      <c r="BO835" s="88"/>
      <c r="BP835" s="166"/>
      <c r="BQ835" s="37"/>
      <c r="BR835" s="65" t="s">
        <v>1017</v>
      </c>
      <c r="BS835" s="88"/>
      <c r="BT835" s="166"/>
      <c r="BU835" s="37"/>
    </row>
    <row r="836" ht="12.75" customHeight="1">
      <c r="A836" s="63" t="s">
        <v>36</v>
      </c>
      <c r="B836" s="64" t="s">
        <v>37</v>
      </c>
      <c r="C836" s="64" t="s">
        <v>38</v>
      </c>
      <c r="D836" s="87"/>
      <c r="E836" s="57"/>
      <c r="F836" s="65"/>
      <c r="G836" s="66" t="s">
        <v>39</v>
      </c>
      <c r="H836" s="67" t="s">
        <v>40</v>
      </c>
      <c r="I836" s="38"/>
      <c r="J836" s="65"/>
      <c r="K836" s="66" t="s">
        <v>39</v>
      </c>
      <c r="L836" s="130" t="s">
        <v>40</v>
      </c>
      <c r="M836" s="37"/>
      <c r="N836" s="65"/>
      <c r="O836" s="66" t="s">
        <v>39</v>
      </c>
      <c r="P836" s="130" t="s">
        <v>40</v>
      </c>
      <c r="Q836" s="37"/>
      <c r="R836" s="65"/>
      <c r="S836" s="66" t="s">
        <v>39</v>
      </c>
      <c r="T836" s="130" t="s">
        <v>40</v>
      </c>
      <c r="U836" s="37"/>
      <c r="V836" s="65"/>
      <c r="W836" s="66" t="s">
        <v>39</v>
      </c>
      <c r="X836" s="130" t="s">
        <v>40</v>
      </c>
      <c r="Y836" s="37"/>
      <c r="Z836" s="65"/>
      <c r="AA836" s="66" t="s">
        <v>39</v>
      </c>
      <c r="AB836" s="130" t="s">
        <v>40</v>
      </c>
      <c r="AC836" s="37"/>
      <c r="AD836" s="65"/>
      <c r="AE836" s="66" t="s">
        <v>39</v>
      </c>
      <c r="AF836" s="130" t="s">
        <v>40</v>
      </c>
      <c r="AG836" s="37"/>
      <c r="AH836" s="65"/>
      <c r="AI836" s="66" t="s">
        <v>39</v>
      </c>
      <c r="AJ836" s="130" t="s">
        <v>40</v>
      </c>
      <c r="AK836" s="37"/>
      <c r="AL836" s="65"/>
      <c r="AM836" s="66" t="s">
        <v>39</v>
      </c>
      <c r="AN836" s="130" t="s">
        <v>40</v>
      </c>
      <c r="AO836" s="37"/>
      <c r="AP836" s="65"/>
      <c r="AQ836" s="66" t="s">
        <v>39</v>
      </c>
      <c r="AR836" s="130" t="s">
        <v>40</v>
      </c>
      <c r="AS836" s="37"/>
      <c r="AT836" s="65"/>
      <c r="AU836" s="66" t="s">
        <v>39</v>
      </c>
      <c r="AV836" s="130" t="s">
        <v>40</v>
      </c>
      <c r="AW836" s="37"/>
      <c r="AX836" s="65"/>
      <c r="AY836" s="66" t="s">
        <v>39</v>
      </c>
      <c r="AZ836" s="130" t="s">
        <v>40</v>
      </c>
      <c r="BA836" s="37"/>
      <c r="BB836" s="65"/>
      <c r="BC836" s="66" t="s">
        <v>39</v>
      </c>
      <c r="BD836" s="130" t="s">
        <v>40</v>
      </c>
      <c r="BE836" s="37"/>
      <c r="BF836" s="65"/>
      <c r="BG836" s="66" t="s">
        <v>39</v>
      </c>
      <c r="BH836" s="130" t="s">
        <v>40</v>
      </c>
      <c r="BI836" s="37"/>
      <c r="BJ836" s="65"/>
      <c r="BK836" s="66" t="s">
        <v>39</v>
      </c>
      <c r="BL836" s="130" t="s">
        <v>40</v>
      </c>
      <c r="BM836" s="37"/>
      <c r="BN836" s="65"/>
      <c r="BO836" s="66" t="s">
        <v>39</v>
      </c>
      <c r="BP836" s="130" t="s">
        <v>40</v>
      </c>
      <c r="BQ836" s="37"/>
      <c r="BR836" s="65"/>
      <c r="BS836" s="66" t="s">
        <v>39</v>
      </c>
      <c r="BT836" s="130" t="s">
        <v>40</v>
      </c>
      <c r="BU836" s="37"/>
    </row>
    <row r="837" ht="12.75" customHeight="1">
      <c r="A837" s="146"/>
      <c r="B837" s="132" t="s">
        <v>46</v>
      </c>
      <c r="C837" s="69"/>
      <c r="D837" s="134"/>
      <c r="E837" s="59"/>
      <c r="F837" s="65"/>
      <c r="G837" s="70" t="s">
        <v>1018</v>
      </c>
      <c r="H837" s="95"/>
      <c r="I837" s="38"/>
      <c r="J837" s="65"/>
      <c r="K837" s="137" t="s">
        <v>1018</v>
      </c>
      <c r="L837" s="139" t="s">
        <v>46</v>
      </c>
      <c r="M837" s="37"/>
      <c r="N837" s="65"/>
      <c r="O837" s="137" t="s">
        <v>1018</v>
      </c>
      <c r="P837" s="139" t="s">
        <v>46</v>
      </c>
      <c r="Q837" s="37"/>
      <c r="R837" s="65"/>
      <c r="S837" s="137" t="s">
        <v>1018</v>
      </c>
      <c r="T837" s="139" t="s">
        <v>46</v>
      </c>
      <c r="U837" s="37"/>
      <c r="V837" s="65"/>
      <c r="W837" s="137" t="s">
        <v>1018</v>
      </c>
      <c r="X837" s="139" t="s">
        <v>46</v>
      </c>
      <c r="Y837" s="37"/>
      <c r="Z837" s="65"/>
      <c r="AA837" s="137" t="s">
        <v>1018</v>
      </c>
      <c r="AB837" s="139" t="s">
        <v>46</v>
      </c>
      <c r="AC837" s="37"/>
      <c r="AD837" s="65"/>
      <c r="AE837" s="137" t="s">
        <v>1018</v>
      </c>
      <c r="AF837" s="139" t="s">
        <v>46</v>
      </c>
      <c r="AG837" s="37"/>
      <c r="AH837" s="65"/>
      <c r="AI837" s="137" t="s">
        <v>1018</v>
      </c>
      <c r="AJ837" s="139" t="s">
        <v>46</v>
      </c>
      <c r="AK837" s="37"/>
      <c r="AL837" s="65"/>
      <c r="AM837" s="137" t="s">
        <v>1018</v>
      </c>
      <c r="AN837" s="139" t="s">
        <v>46</v>
      </c>
      <c r="AO837" s="37"/>
      <c r="AP837" s="65"/>
      <c r="AQ837" s="137" t="s">
        <v>1018</v>
      </c>
      <c r="AR837" s="139" t="s">
        <v>46</v>
      </c>
      <c r="AS837" s="37"/>
      <c r="AT837" s="65"/>
      <c r="AU837" s="137" t="s">
        <v>1018</v>
      </c>
      <c r="AV837" s="139" t="s">
        <v>46</v>
      </c>
      <c r="AW837" s="37"/>
      <c r="AX837" s="65"/>
      <c r="AY837" s="137" t="s">
        <v>1018</v>
      </c>
      <c r="AZ837" s="139" t="s">
        <v>46</v>
      </c>
      <c r="BA837" s="37"/>
      <c r="BB837" s="65"/>
      <c r="BC837" s="137" t="s">
        <v>1018</v>
      </c>
      <c r="BD837" s="139" t="s">
        <v>46</v>
      </c>
      <c r="BE837" s="37"/>
      <c r="BF837" s="65"/>
      <c r="BG837" s="137" t="s">
        <v>1018</v>
      </c>
      <c r="BH837" s="139" t="s">
        <v>46</v>
      </c>
      <c r="BI837" s="37"/>
      <c r="BJ837" s="65"/>
      <c r="BK837" s="137" t="s">
        <v>1018</v>
      </c>
      <c r="BL837" s="139" t="s">
        <v>46</v>
      </c>
      <c r="BM837" s="37"/>
      <c r="BN837" s="65"/>
      <c r="BO837" s="137" t="s">
        <v>1018</v>
      </c>
      <c r="BP837" s="139" t="s">
        <v>46</v>
      </c>
      <c r="BQ837" s="37"/>
      <c r="BR837" s="65"/>
      <c r="BS837" s="137" t="s">
        <v>1018</v>
      </c>
      <c r="BT837" s="139" t="s">
        <v>46</v>
      </c>
      <c r="BU837" s="37"/>
    </row>
    <row r="838" ht="12.75" customHeight="1">
      <c r="A838" s="146"/>
      <c r="B838" s="132" t="s">
        <v>63</v>
      </c>
      <c r="C838" s="69"/>
      <c r="D838" s="134"/>
      <c r="E838" s="59"/>
      <c r="F838" s="65"/>
      <c r="G838" s="70" t="s">
        <v>1019</v>
      </c>
      <c r="H838" s="95"/>
      <c r="I838" s="38"/>
      <c r="J838" s="65"/>
      <c r="K838" s="137" t="s">
        <v>1019</v>
      </c>
      <c r="L838" s="139" t="s">
        <v>63</v>
      </c>
      <c r="M838" s="37"/>
      <c r="N838" s="65"/>
      <c r="O838" s="137" t="s">
        <v>1019</v>
      </c>
      <c r="P838" s="139" t="s">
        <v>63</v>
      </c>
      <c r="Q838" s="37"/>
      <c r="R838" s="65"/>
      <c r="S838" s="137" t="s">
        <v>1019</v>
      </c>
      <c r="T838" s="139" t="s">
        <v>63</v>
      </c>
      <c r="U838" s="37"/>
      <c r="V838" s="65"/>
      <c r="W838" s="137" t="s">
        <v>1019</v>
      </c>
      <c r="X838" s="139" t="s">
        <v>63</v>
      </c>
      <c r="Y838" s="37"/>
      <c r="Z838" s="65"/>
      <c r="AA838" s="137" t="s">
        <v>1019</v>
      </c>
      <c r="AB838" s="139" t="s">
        <v>63</v>
      </c>
      <c r="AC838" s="37"/>
      <c r="AD838" s="65"/>
      <c r="AE838" s="137" t="s">
        <v>1019</v>
      </c>
      <c r="AF838" s="139" t="s">
        <v>63</v>
      </c>
      <c r="AG838" s="37"/>
      <c r="AH838" s="65"/>
      <c r="AI838" s="137" t="s">
        <v>1019</v>
      </c>
      <c r="AJ838" s="139" t="s">
        <v>63</v>
      </c>
      <c r="AK838" s="37"/>
      <c r="AL838" s="65"/>
      <c r="AM838" s="137" t="s">
        <v>1019</v>
      </c>
      <c r="AN838" s="139" t="s">
        <v>63</v>
      </c>
      <c r="AO838" s="37"/>
      <c r="AP838" s="65"/>
      <c r="AQ838" s="137" t="s">
        <v>1019</v>
      </c>
      <c r="AR838" s="139" t="s">
        <v>63</v>
      </c>
      <c r="AS838" s="37"/>
      <c r="AT838" s="65"/>
      <c r="AU838" s="137" t="s">
        <v>1019</v>
      </c>
      <c r="AV838" s="139" t="s">
        <v>63</v>
      </c>
      <c r="AW838" s="37"/>
      <c r="AX838" s="65"/>
      <c r="AY838" s="137" t="s">
        <v>1019</v>
      </c>
      <c r="AZ838" s="139" t="s">
        <v>63</v>
      </c>
      <c r="BA838" s="37"/>
      <c r="BB838" s="65"/>
      <c r="BC838" s="137" t="s">
        <v>1019</v>
      </c>
      <c r="BD838" s="139" t="s">
        <v>63</v>
      </c>
      <c r="BE838" s="37"/>
      <c r="BF838" s="65"/>
      <c r="BG838" s="137" t="s">
        <v>1019</v>
      </c>
      <c r="BH838" s="139" t="s">
        <v>63</v>
      </c>
      <c r="BI838" s="37"/>
      <c r="BJ838" s="65"/>
      <c r="BK838" s="137" t="s">
        <v>1019</v>
      </c>
      <c r="BL838" s="139" t="s">
        <v>63</v>
      </c>
      <c r="BM838" s="37"/>
      <c r="BN838" s="65"/>
      <c r="BO838" s="137" t="s">
        <v>1019</v>
      </c>
      <c r="BP838" s="139" t="s">
        <v>63</v>
      </c>
      <c r="BQ838" s="37"/>
      <c r="BR838" s="65"/>
      <c r="BS838" s="137" t="s">
        <v>1019</v>
      </c>
      <c r="BT838" s="139" t="s">
        <v>63</v>
      </c>
      <c r="BU838" s="37"/>
    </row>
    <row r="839" ht="12.75" customHeight="1">
      <c r="A839" s="93"/>
      <c r="B839" s="94"/>
      <c r="C839" s="94"/>
      <c r="D839" s="87"/>
      <c r="E839" s="57"/>
      <c r="F839" s="65"/>
      <c r="G839" s="76"/>
      <c r="H839" s="95"/>
      <c r="I839" s="38"/>
      <c r="J839" s="65"/>
      <c r="K839" s="109"/>
      <c r="L839" s="139"/>
      <c r="M839" s="37"/>
      <c r="N839" s="65"/>
      <c r="O839" s="109"/>
      <c r="P839" s="139"/>
      <c r="Q839" s="37"/>
      <c r="R839" s="65"/>
      <c r="S839" s="109"/>
      <c r="T839" s="139"/>
      <c r="U839" s="37"/>
      <c r="V839" s="65"/>
      <c r="W839" s="109"/>
      <c r="X839" s="139"/>
      <c r="Y839" s="37"/>
      <c r="Z839" s="65"/>
      <c r="AA839" s="109"/>
      <c r="AB839" s="139"/>
      <c r="AC839" s="37"/>
      <c r="AD839" s="65"/>
      <c r="AE839" s="109"/>
      <c r="AF839" s="139"/>
      <c r="AG839" s="37"/>
      <c r="AH839" s="65"/>
      <c r="AI839" s="109"/>
      <c r="AJ839" s="139"/>
      <c r="AK839" s="37"/>
      <c r="AL839" s="65"/>
      <c r="AM839" s="109"/>
      <c r="AN839" s="139"/>
      <c r="AO839" s="37"/>
      <c r="AP839" s="65"/>
      <c r="AQ839" s="109"/>
      <c r="AR839" s="139"/>
      <c r="AS839" s="37"/>
      <c r="AT839" s="65"/>
      <c r="AU839" s="109"/>
      <c r="AV839" s="139"/>
      <c r="AW839" s="37"/>
      <c r="AX839" s="65"/>
      <c r="AY839" s="109"/>
      <c r="AZ839" s="139"/>
      <c r="BA839" s="37"/>
      <c r="BB839" s="65"/>
      <c r="BC839" s="109"/>
      <c r="BD839" s="139"/>
      <c r="BE839" s="37"/>
      <c r="BF839" s="65"/>
      <c r="BG839" s="109"/>
      <c r="BH839" s="139"/>
      <c r="BI839" s="37"/>
      <c r="BJ839" s="65"/>
      <c r="BK839" s="109"/>
      <c r="BL839" s="139"/>
      <c r="BM839" s="37"/>
      <c r="BN839" s="65"/>
      <c r="BO839" s="109"/>
      <c r="BP839" s="139"/>
      <c r="BQ839" s="37"/>
      <c r="BR839" s="65"/>
      <c r="BS839" s="109"/>
      <c r="BT839" s="139"/>
      <c r="BU839" s="37"/>
    </row>
    <row r="840" ht="12.75" customHeight="1">
      <c r="A840" s="94"/>
      <c r="B840" s="94"/>
      <c r="C840" s="94"/>
      <c r="D840" s="87"/>
      <c r="E840" s="57"/>
      <c r="F840" s="85"/>
      <c r="G840" s="76"/>
      <c r="H840" s="95"/>
      <c r="I840" s="38"/>
      <c r="J840" s="85"/>
      <c r="K840" s="109"/>
      <c r="L840" s="139"/>
      <c r="M840" s="37"/>
      <c r="N840" s="85"/>
      <c r="O840" s="109"/>
      <c r="P840" s="139"/>
      <c r="Q840" s="37"/>
      <c r="R840" s="85"/>
      <c r="S840" s="109"/>
      <c r="T840" s="139"/>
      <c r="U840" s="37"/>
      <c r="V840" s="85"/>
      <c r="W840" s="109"/>
      <c r="X840" s="139"/>
      <c r="Y840" s="37"/>
      <c r="Z840" s="85"/>
      <c r="AA840" s="109"/>
      <c r="AB840" s="139"/>
      <c r="AC840" s="37"/>
      <c r="AD840" s="85"/>
      <c r="AE840" s="109"/>
      <c r="AF840" s="139"/>
      <c r="AG840" s="37"/>
      <c r="AH840" s="85"/>
      <c r="AI840" s="109"/>
      <c r="AJ840" s="139"/>
      <c r="AK840" s="37"/>
      <c r="AL840" s="85"/>
      <c r="AM840" s="109"/>
      <c r="AN840" s="139"/>
      <c r="AO840" s="37"/>
      <c r="AP840" s="85"/>
      <c r="AQ840" s="109"/>
      <c r="AR840" s="139"/>
      <c r="AS840" s="37"/>
      <c r="AT840" s="85"/>
      <c r="AU840" s="109"/>
      <c r="AV840" s="139"/>
      <c r="AW840" s="37"/>
      <c r="AX840" s="85"/>
      <c r="AY840" s="109"/>
      <c r="AZ840" s="139"/>
      <c r="BA840" s="37"/>
      <c r="BB840" s="85"/>
      <c r="BC840" s="109"/>
      <c r="BD840" s="139"/>
      <c r="BE840" s="37"/>
      <c r="BF840" s="85"/>
      <c r="BG840" s="109"/>
      <c r="BH840" s="139"/>
      <c r="BI840" s="37"/>
      <c r="BJ840" s="85"/>
      <c r="BK840" s="109"/>
      <c r="BL840" s="139"/>
      <c r="BM840" s="37"/>
      <c r="BN840" s="85"/>
      <c r="BO840" s="109"/>
      <c r="BP840" s="139"/>
      <c r="BQ840" s="37"/>
      <c r="BR840" s="85"/>
      <c r="BS840" s="109"/>
      <c r="BT840" s="139"/>
      <c r="BU840" s="37"/>
    </row>
    <row r="841" ht="12.75" customHeight="1">
      <c r="A841" s="86"/>
      <c r="B841" s="75"/>
      <c r="C841" s="86"/>
      <c r="D841" s="87"/>
      <c r="E841" s="57"/>
      <c r="F841" s="65" t="s">
        <v>1020</v>
      </c>
      <c r="G841" s="88"/>
      <c r="H841" s="89"/>
      <c r="I841" s="38"/>
      <c r="J841" s="65" t="s">
        <v>1020</v>
      </c>
      <c r="K841" s="88"/>
      <c r="L841" s="166"/>
      <c r="M841" s="37"/>
      <c r="N841" s="65" t="s">
        <v>1020</v>
      </c>
      <c r="O841" s="88"/>
      <c r="P841" s="166"/>
      <c r="Q841" s="37"/>
      <c r="R841" s="65" t="s">
        <v>1020</v>
      </c>
      <c r="S841" s="88"/>
      <c r="T841" s="166"/>
      <c r="U841" s="37"/>
      <c r="V841" s="65" t="s">
        <v>1020</v>
      </c>
      <c r="W841" s="88"/>
      <c r="X841" s="166"/>
      <c r="Y841" s="37"/>
      <c r="Z841" s="65" t="s">
        <v>1020</v>
      </c>
      <c r="AA841" s="88"/>
      <c r="AB841" s="166"/>
      <c r="AC841" s="37"/>
      <c r="AD841" s="65" t="s">
        <v>1020</v>
      </c>
      <c r="AE841" s="88"/>
      <c r="AF841" s="166"/>
      <c r="AG841" s="37"/>
      <c r="AH841" s="65" t="s">
        <v>1020</v>
      </c>
      <c r="AI841" s="88"/>
      <c r="AJ841" s="166"/>
      <c r="AK841" s="37"/>
      <c r="AL841" s="65" t="s">
        <v>1020</v>
      </c>
      <c r="AM841" s="88"/>
      <c r="AN841" s="166"/>
      <c r="AO841" s="37"/>
      <c r="AP841" s="65" t="s">
        <v>1020</v>
      </c>
      <c r="AQ841" s="88"/>
      <c r="AR841" s="166"/>
      <c r="AS841" s="37"/>
      <c r="AT841" s="65" t="s">
        <v>1020</v>
      </c>
      <c r="AU841" s="88"/>
      <c r="AV841" s="166"/>
      <c r="AW841" s="37"/>
      <c r="AX841" s="65" t="s">
        <v>1020</v>
      </c>
      <c r="AY841" s="88"/>
      <c r="AZ841" s="166"/>
      <c r="BA841" s="37"/>
      <c r="BB841" s="65" t="s">
        <v>1020</v>
      </c>
      <c r="BC841" s="88"/>
      <c r="BD841" s="166"/>
      <c r="BE841" s="37"/>
      <c r="BF841" s="65" t="s">
        <v>1020</v>
      </c>
      <c r="BG841" s="88"/>
      <c r="BH841" s="166"/>
      <c r="BI841" s="37"/>
      <c r="BJ841" s="65" t="s">
        <v>1020</v>
      </c>
      <c r="BK841" s="88"/>
      <c r="BL841" s="166"/>
      <c r="BM841" s="37"/>
      <c r="BN841" s="65" t="s">
        <v>1020</v>
      </c>
      <c r="BO841" s="88"/>
      <c r="BP841" s="166"/>
      <c r="BQ841" s="37"/>
      <c r="BR841" s="65" t="s">
        <v>1020</v>
      </c>
      <c r="BS841" s="88"/>
      <c r="BT841" s="166"/>
      <c r="BU841" s="37"/>
    </row>
    <row r="842" ht="12.75" customHeight="1">
      <c r="A842" s="63" t="s">
        <v>36</v>
      </c>
      <c r="B842" s="64" t="s">
        <v>37</v>
      </c>
      <c r="C842" s="64" t="s">
        <v>38</v>
      </c>
      <c r="D842" s="87"/>
      <c r="E842" s="57"/>
      <c r="F842" s="65"/>
      <c r="G842" s="66" t="s">
        <v>39</v>
      </c>
      <c r="H842" s="67" t="s">
        <v>40</v>
      </c>
      <c r="I842" s="38"/>
      <c r="J842" s="65"/>
      <c r="K842" s="66" t="s">
        <v>39</v>
      </c>
      <c r="L842" s="130" t="s">
        <v>40</v>
      </c>
      <c r="M842" s="37"/>
      <c r="N842" s="65"/>
      <c r="O842" s="66" t="s">
        <v>39</v>
      </c>
      <c r="P842" s="130" t="s">
        <v>40</v>
      </c>
      <c r="Q842" s="37"/>
      <c r="R842" s="65"/>
      <c r="S842" s="66" t="s">
        <v>39</v>
      </c>
      <c r="T842" s="130" t="s">
        <v>40</v>
      </c>
      <c r="U842" s="37"/>
      <c r="V842" s="65"/>
      <c r="W842" s="66" t="s">
        <v>39</v>
      </c>
      <c r="X842" s="130" t="s">
        <v>40</v>
      </c>
      <c r="Y842" s="37"/>
      <c r="Z842" s="65"/>
      <c r="AA842" s="66" t="s">
        <v>39</v>
      </c>
      <c r="AB842" s="130" t="s">
        <v>40</v>
      </c>
      <c r="AC842" s="37"/>
      <c r="AD842" s="65"/>
      <c r="AE842" s="66" t="s">
        <v>39</v>
      </c>
      <c r="AF842" s="130" t="s">
        <v>40</v>
      </c>
      <c r="AG842" s="37"/>
      <c r="AH842" s="65"/>
      <c r="AI842" s="66" t="s">
        <v>39</v>
      </c>
      <c r="AJ842" s="130" t="s">
        <v>40</v>
      </c>
      <c r="AK842" s="37"/>
      <c r="AL842" s="65"/>
      <c r="AM842" s="66" t="s">
        <v>39</v>
      </c>
      <c r="AN842" s="130" t="s">
        <v>40</v>
      </c>
      <c r="AO842" s="37"/>
      <c r="AP842" s="65"/>
      <c r="AQ842" s="66" t="s">
        <v>39</v>
      </c>
      <c r="AR842" s="130" t="s">
        <v>40</v>
      </c>
      <c r="AS842" s="37"/>
      <c r="AT842" s="65"/>
      <c r="AU842" s="66" t="s">
        <v>39</v>
      </c>
      <c r="AV842" s="130" t="s">
        <v>40</v>
      </c>
      <c r="AW842" s="37"/>
      <c r="AX842" s="65"/>
      <c r="AY842" s="66" t="s">
        <v>39</v>
      </c>
      <c r="AZ842" s="130" t="s">
        <v>40</v>
      </c>
      <c r="BA842" s="37"/>
      <c r="BB842" s="65"/>
      <c r="BC842" s="66" t="s">
        <v>39</v>
      </c>
      <c r="BD842" s="130" t="s">
        <v>40</v>
      </c>
      <c r="BE842" s="37"/>
      <c r="BF842" s="65"/>
      <c r="BG842" s="66" t="s">
        <v>39</v>
      </c>
      <c r="BH842" s="130" t="s">
        <v>40</v>
      </c>
      <c r="BI842" s="37"/>
      <c r="BJ842" s="65"/>
      <c r="BK842" s="66" t="s">
        <v>39</v>
      </c>
      <c r="BL842" s="130" t="s">
        <v>40</v>
      </c>
      <c r="BM842" s="37"/>
      <c r="BN842" s="65"/>
      <c r="BO842" s="66" t="s">
        <v>39</v>
      </c>
      <c r="BP842" s="130" t="s">
        <v>40</v>
      </c>
      <c r="BQ842" s="37"/>
      <c r="BR842" s="65"/>
      <c r="BS842" s="66" t="s">
        <v>39</v>
      </c>
      <c r="BT842" s="130" t="s">
        <v>40</v>
      </c>
      <c r="BU842" s="37"/>
    </row>
    <row r="843" ht="12.75" customHeight="1">
      <c r="A843" s="146"/>
      <c r="B843" s="132" t="s">
        <v>321</v>
      </c>
      <c r="C843" s="69"/>
      <c r="D843" s="134"/>
      <c r="E843" s="59"/>
      <c r="F843" s="65"/>
      <c r="G843" s="70" t="s">
        <v>1021</v>
      </c>
      <c r="H843" s="95"/>
      <c r="I843" s="38"/>
      <c r="J843" s="65"/>
      <c r="K843" s="137" t="s">
        <v>1021</v>
      </c>
      <c r="L843" s="139" t="s">
        <v>321</v>
      </c>
      <c r="M843" s="37"/>
      <c r="N843" s="65"/>
      <c r="O843" s="137" t="s">
        <v>1021</v>
      </c>
      <c r="P843" s="139" t="s">
        <v>321</v>
      </c>
      <c r="Q843" s="37"/>
      <c r="R843" s="65"/>
      <c r="S843" s="137" t="s">
        <v>1021</v>
      </c>
      <c r="T843" s="139" t="s">
        <v>321</v>
      </c>
      <c r="U843" s="37"/>
      <c r="V843" s="65"/>
      <c r="W843" s="137" t="s">
        <v>1021</v>
      </c>
      <c r="X843" s="139" t="s">
        <v>321</v>
      </c>
      <c r="Y843" s="37"/>
      <c r="Z843" s="65"/>
      <c r="AA843" s="137" t="s">
        <v>1021</v>
      </c>
      <c r="AB843" s="139" t="s">
        <v>321</v>
      </c>
      <c r="AC843" s="37"/>
      <c r="AD843" s="65"/>
      <c r="AE843" s="137" t="s">
        <v>1021</v>
      </c>
      <c r="AF843" s="139" t="s">
        <v>321</v>
      </c>
      <c r="AG843" s="37"/>
      <c r="AH843" s="65"/>
      <c r="AI843" s="137" t="s">
        <v>1021</v>
      </c>
      <c r="AJ843" s="139" t="s">
        <v>321</v>
      </c>
      <c r="AK843" s="37"/>
      <c r="AL843" s="65"/>
      <c r="AM843" s="137" t="s">
        <v>1021</v>
      </c>
      <c r="AN843" s="139" t="s">
        <v>321</v>
      </c>
      <c r="AO843" s="37"/>
      <c r="AP843" s="65"/>
      <c r="AQ843" s="137" t="s">
        <v>1021</v>
      </c>
      <c r="AR843" s="139" t="s">
        <v>321</v>
      </c>
      <c r="AS843" s="37"/>
      <c r="AT843" s="65"/>
      <c r="AU843" s="137" t="s">
        <v>1021</v>
      </c>
      <c r="AV843" s="139" t="s">
        <v>321</v>
      </c>
      <c r="AW843" s="37"/>
      <c r="AX843" s="65"/>
      <c r="AY843" s="137" t="s">
        <v>1021</v>
      </c>
      <c r="AZ843" s="139" t="s">
        <v>321</v>
      </c>
      <c r="BA843" s="37"/>
      <c r="BB843" s="65"/>
      <c r="BC843" s="137" t="s">
        <v>1021</v>
      </c>
      <c r="BD843" s="139" t="s">
        <v>321</v>
      </c>
      <c r="BE843" s="37"/>
      <c r="BF843" s="65"/>
      <c r="BG843" s="137" t="s">
        <v>1021</v>
      </c>
      <c r="BH843" s="139" t="s">
        <v>321</v>
      </c>
      <c r="BI843" s="37"/>
      <c r="BJ843" s="65"/>
      <c r="BK843" s="137" t="s">
        <v>1021</v>
      </c>
      <c r="BL843" s="139" t="s">
        <v>321</v>
      </c>
      <c r="BM843" s="37"/>
      <c r="BN843" s="65"/>
      <c r="BO843" s="137" t="s">
        <v>1021</v>
      </c>
      <c r="BP843" s="139" t="s">
        <v>321</v>
      </c>
      <c r="BQ843" s="37"/>
      <c r="BR843" s="65"/>
      <c r="BS843" s="137" t="s">
        <v>1021</v>
      </c>
      <c r="BT843" s="139" t="s">
        <v>321</v>
      </c>
      <c r="BU843" s="37"/>
    </row>
    <row r="844" ht="12.75" customHeight="1">
      <c r="A844" s="93"/>
      <c r="B844" s="94"/>
      <c r="C844" s="94"/>
      <c r="D844" s="87"/>
      <c r="E844" s="57"/>
      <c r="F844" s="65"/>
      <c r="G844" s="76"/>
      <c r="H844" s="95"/>
      <c r="I844" s="38"/>
      <c r="J844" s="65"/>
      <c r="K844" s="109"/>
      <c r="L844" s="139"/>
      <c r="M844" s="37"/>
      <c r="N844" s="65"/>
      <c r="O844" s="109"/>
      <c r="P844" s="139"/>
      <c r="Q844" s="37"/>
      <c r="R844" s="65"/>
      <c r="S844" s="109"/>
      <c r="T844" s="139"/>
      <c r="U844" s="37"/>
      <c r="V844" s="65"/>
      <c r="W844" s="109"/>
      <c r="X844" s="139"/>
      <c r="Y844" s="37"/>
      <c r="Z844" s="65"/>
      <c r="AA844" s="109"/>
      <c r="AB844" s="139"/>
      <c r="AC844" s="37"/>
      <c r="AD844" s="65"/>
      <c r="AE844" s="109"/>
      <c r="AF844" s="139"/>
      <c r="AG844" s="37"/>
      <c r="AH844" s="65"/>
      <c r="AI844" s="109"/>
      <c r="AJ844" s="139"/>
      <c r="AK844" s="37"/>
      <c r="AL844" s="65"/>
      <c r="AM844" s="109"/>
      <c r="AN844" s="139"/>
      <c r="AO844" s="37"/>
      <c r="AP844" s="65"/>
      <c r="AQ844" s="109"/>
      <c r="AR844" s="139"/>
      <c r="AS844" s="37"/>
      <c r="AT844" s="65"/>
      <c r="AU844" s="109"/>
      <c r="AV844" s="139"/>
      <c r="AW844" s="37"/>
      <c r="AX844" s="65"/>
      <c r="AY844" s="109"/>
      <c r="AZ844" s="139"/>
      <c r="BA844" s="37"/>
      <c r="BB844" s="65"/>
      <c r="BC844" s="109"/>
      <c r="BD844" s="139"/>
      <c r="BE844" s="37"/>
      <c r="BF844" s="65"/>
      <c r="BG844" s="109"/>
      <c r="BH844" s="139"/>
      <c r="BI844" s="37"/>
      <c r="BJ844" s="65"/>
      <c r="BK844" s="109"/>
      <c r="BL844" s="139"/>
      <c r="BM844" s="37"/>
      <c r="BN844" s="65"/>
      <c r="BO844" s="109"/>
      <c r="BP844" s="139"/>
      <c r="BQ844" s="37"/>
      <c r="BR844" s="65"/>
      <c r="BS844" s="109"/>
      <c r="BT844" s="139"/>
      <c r="BU844" s="37"/>
    </row>
    <row r="845" ht="12.75" customHeight="1">
      <c r="A845" s="94"/>
      <c r="B845" s="94"/>
      <c r="C845" s="94"/>
      <c r="D845" s="87"/>
      <c r="E845" s="57"/>
      <c r="F845" s="65"/>
      <c r="G845" s="167"/>
      <c r="H845" s="168"/>
      <c r="I845" s="38"/>
      <c r="J845" s="85"/>
      <c r="K845" s="109"/>
      <c r="L845" s="139"/>
      <c r="M845" s="37"/>
      <c r="N845" s="85"/>
      <c r="O845" s="109"/>
      <c r="P845" s="139"/>
      <c r="Q845" s="37"/>
      <c r="R845" s="85"/>
      <c r="S845" s="109"/>
      <c r="T845" s="139"/>
      <c r="U845" s="37"/>
      <c r="V845" s="85"/>
      <c r="W845" s="109"/>
      <c r="X845" s="139"/>
      <c r="Y845" s="37"/>
      <c r="Z845" s="85"/>
      <c r="AA845" s="109"/>
      <c r="AB845" s="139"/>
      <c r="AC845" s="37"/>
      <c r="AD845" s="85"/>
      <c r="AE845" s="109"/>
      <c r="AF845" s="139"/>
      <c r="AG845" s="37"/>
      <c r="AH845" s="85"/>
      <c r="AI845" s="109"/>
      <c r="AJ845" s="139"/>
      <c r="AK845" s="37"/>
      <c r="AL845" s="85"/>
      <c r="AM845" s="109"/>
      <c r="AN845" s="139"/>
      <c r="AO845" s="37"/>
      <c r="AP845" s="85"/>
      <c r="AQ845" s="109"/>
      <c r="AR845" s="139"/>
      <c r="AS845" s="37"/>
      <c r="AT845" s="85"/>
      <c r="AU845" s="109"/>
      <c r="AV845" s="139"/>
      <c r="AW845" s="37"/>
      <c r="AX845" s="85"/>
      <c r="AY845" s="109"/>
      <c r="AZ845" s="139"/>
      <c r="BA845" s="37"/>
      <c r="BB845" s="85"/>
      <c r="BC845" s="109"/>
      <c r="BD845" s="139"/>
      <c r="BE845" s="37"/>
      <c r="BF845" s="85"/>
      <c r="BG845" s="109"/>
      <c r="BH845" s="139"/>
      <c r="BI845" s="37"/>
      <c r="BJ845" s="85"/>
      <c r="BK845" s="109"/>
      <c r="BL845" s="139"/>
      <c r="BM845" s="37"/>
      <c r="BN845" s="85"/>
      <c r="BO845" s="109"/>
      <c r="BP845" s="139"/>
      <c r="BQ845" s="37"/>
      <c r="BR845" s="85"/>
      <c r="BS845" s="109"/>
      <c r="BT845" s="139"/>
      <c r="BU845" s="37"/>
    </row>
    <row r="846" ht="12.75" customHeight="1">
      <c r="A846" s="34"/>
      <c r="B846" s="58"/>
      <c r="C846" s="75"/>
      <c r="D846" s="37"/>
      <c r="E846" s="57"/>
      <c r="F846" s="60" t="s">
        <v>1022</v>
      </c>
      <c r="G846" s="88"/>
      <c r="H846" s="127"/>
      <c r="I846" s="72"/>
      <c r="J846" s="60" t="s">
        <v>1022</v>
      </c>
      <c r="K846" s="88"/>
      <c r="L846" s="128"/>
      <c r="M846" s="37"/>
      <c r="N846" s="60" t="s">
        <v>1022</v>
      </c>
      <c r="O846" s="88"/>
      <c r="P846" s="128"/>
      <c r="Q846" s="37"/>
      <c r="R846" s="60" t="s">
        <v>1022</v>
      </c>
      <c r="S846" s="88"/>
      <c r="T846" s="128"/>
      <c r="U846" s="37"/>
      <c r="V846" s="60" t="s">
        <v>1022</v>
      </c>
      <c r="W846" s="88"/>
      <c r="X846" s="128"/>
      <c r="Y846" s="37"/>
      <c r="Z846" s="60" t="s">
        <v>1022</v>
      </c>
      <c r="AA846" s="88"/>
      <c r="AB846" s="128"/>
      <c r="AC846" s="37"/>
      <c r="AD846" s="60" t="s">
        <v>1022</v>
      </c>
      <c r="AE846" s="88"/>
      <c r="AF846" s="128"/>
      <c r="AG846" s="37"/>
      <c r="AH846" s="60" t="s">
        <v>1022</v>
      </c>
      <c r="AI846" s="88"/>
      <c r="AJ846" s="128"/>
      <c r="AK846" s="37"/>
      <c r="AL846" s="60" t="s">
        <v>1022</v>
      </c>
      <c r="AM846" s="88"/>
      <c r="AN846" s="128"/>
      <c r="AO846" s="37"/>
      <c r="AP846" s="60" t="s">
        <v>1022</v>
      </c>
      <c r="AQ846" s="88"/>
      <c r="AR846" s="128"/>
      <c r="AS846" s="37"/>
      <c r="AT846" s="60" t="s">
        <v>1022</v>
      </c>
      <c r="AU846" s="88"/>
      <c r="AV846" s="128"/>
      <c r="AW846" s="37"/>
      <c r="AX846" s="60" t="s">
        <v>1022</v>
      </c>
      <c r="AY846" s="88"/>
      <c r="AZ846" s="128"/>
      <c r="BA846" s="37"/>
      <c r="BB846" s="60" t="s">
        <v>1022</v>
      </c>
      <c r="BC846" s="88"/>
      <c r="BD846" s="128"/>
      <c r="BE846" s="37"/>
      <c r="BF846" s="60" t="s">
        <v>1022</v>
      </c>
      <c r="BG846" s="88"/>
      <c r="BH846" s="128"/>
      <c r="BI846" s="37"/>
      <c r="BJ846" s="60" t="s">
        <v>1022</v>
      </c>
      <c r="BK846" s="88"/>
      <c r="BL846" s="128"/>
      <c r="BM846" s="37"/>
      <c r="BN846" s="60" t="s">
        <v>1022</v>
      </c>
      <c r="BO846" s="88"/>
      <c r="BP846" s="128"/>
      <c r="BQ846" s="37"/>
      <c r="BR846" s="60" t="s">
        <v>1022</v>
      </c>
      <c r="BS846" s="88"/>
      <c r="BT846" s="128"/>
      <c r="BU846" s="37"/>
    </row>
    <row r="847" ht="12.75" customHeight="1">
      <c r="A847" s="63" t="s">
        <v>36</v>
      </c>
      <c r="B847" s="64" t="s">
        <v>37</v>
      </c>
      <c r="C847" s="64" t="s">
        <v>38</v>
      </c>
      <c r="D847" s="129"/>
      <c r="E847" s="57"/>
      <c r="F847" s="65"/>
      <c r="G847" s="66" t="s">
        <v>39</v>
      </c>
      <c r="H847" s="169" t="s">
        <v>40</v>
      </c>
      <c r="I847" s="72"/>
      <c r="J847" s="65"/>
      <c r="K847" s="66" t="s">
        <v>39</v>
      </c>
      <c r="L847" s="130" t="s">
        <v>40</v>
      </c>
      <c r="M847" s="37"/>
      <c r="N847" s="65"/>
      <c r="O847" s="66" t="s">
        <v>39</v>
      </c>
      <c r="P847" s="130" t="s">
        <v>40</v>
      </c>
      <c r="Q847" s="37"/>
      <c r="R847" s="65"/>
      <c r="S847" s="66" t="s">
        <v>39</v>
      </c>
      <c r="T847" s="130" t="s">
        <v>40</v>
      </c>
      <c r="U847" s="37"/>
      <c r="V847" s="65"/>
      <c r="W847" s="66" t="s">
        <v>39</v>
      </c>
      <c r="X847" s="130" t="s">
        <v>40</v>
      </c>
      <c r="Y847" s="37"/>
      <c r="Z847" s="65"/>
      <c r="AA847" s="66" t="s">
        <v>39</v>
      </c>
      <c r="AB847" s="130" t="s">
        <v>40</v>
      </c>
      <c r="AC847" s="37"/>
      <c r="AD847" s="65"/>
      <c r="AE847" s="66" t="s">
        <v>39</v>
      </c>
      <c r="AF847" s="130" t="s">
        <v>40</v>
      </c>
      <c r="AG847" s="37"/>
      <c r="AH847" s="65"/>
      <c r="AI847" s="66" t="s">
        <v>39</v>
      </c>
      <c r="AJ847" s="130" t="s">
        <v>40</v>
      </c>
      <c r="AK847" s="37"/>
      <c r="AL847" s="65"/>
      <c r="AM847" s="66" t="s">
        <v>39</v>
      </c>
      <c r="AN847" s="130" t="s">
        <v>40</v>
      </c>
      <c r="AO847" s="37"/>
      <c r="AP847" s="65"/>
      <c r="AQ847" s="66" t="s">
        <v>39</v>
      </c>
      <c r="AR847" s="130" t="s">
        <v>40</v>
      </c>
      <c r="AS847" s="37"/>
      <c r="AT847" s="65"/>
      <c r="AU847" s="66" t="s">
        <v>39</v>
      </c>
      <c r="AV847" s="130" t="s">
        <v>40</v>
      </c>
      <c r="AW847" s="37"/>
      <c r="AX847" s="65"/>
      <c r="AY847" s="66" t="s">
        <v>39</v>
      </c>
      <c r="AZ847" s="130" t="s">
        <v>40</v>
      </c>
      <c r="BA847" s="37"/>
      <c r="BB847" s="65"/>
      <c r="BC847" s="66" t="s">
        <v>39</v>
      </c>
      <c r="BD847" s="130" t="s">
        <v>40</v>
      </c>
      <c r="BE847" s="37"/>
      <c r="BF847" s="65"/>
      <c r="BG847" s="66" t="s">
        <v>39</v>
      </c>
      <c r="BH847" s="130" t="s">
        <v>40</v>
      </c>
      <c r="BI847" s="37"/>
      <c r="BJ847" s="65"/>
      <c r="BK847" s="66" t="s">
        <v>39</v>
      </c>
      <c r="BL847" s="130" t="s">
        <v>40</v>
      </c>
      <c r="BM847" s="37"/>
      <c r="BN847" s="65"/>
      <c r="BO847" s="66" t="s">
        <v>39</v>
      </c>
      <c r="BP847" s="130" t="s">
        <v>40</v>
      </c>
      <c r="BQ847" s="37"/>
      <c r="BR847" s="65"/>
      <c r="BS847" s="66" t="s">
        <v>39</v>
      </c>
      <c r="BT847" s="130" t="s">
        <v>40</v>
      </c>
      <c r="BU847" s="37"/>
    </row>
    <row r="848" ht="12.75" customHeight="1">
      <c r="A848" s="146"/>
      <c r="B848" s="132" t="s">
        <v>46</v>
      </c>
      <c r="C848" s="170"/>
      <c r="D848" s="134"/>
      <c r="E848" s="57"/>
      <c r="F848" s="135"/>
      <c r="G848" s="164" t="s">
        <v>810</v>
      </c>
      <c r="H848" s="171"/>
      <c r="I848" s="72"/>
      <c r="J848" s="65"/>
      <c r="K848" s="137" t="s">
        <v>810</v>
      </c>
      <c r="L848" s="138" t="s">
        <v>8</v>
      </c>
      <c r="M848" s="37"/>
      <c r="N848" s="65"/>
      <c r="O848" s="137" t="s">
        <v>810</v>
      </c>
      <c r="P848" s="138" t="s">
        <v>8</v>
      </c>
      <c r="Q848" s="37"/>
      <c r="R848" s="65"/>
      <c r="S848" s="137" t="s">
        <v>810</v>
      </c>
      <c r="T848" s="138" t="s">
        <v>8</v>
      </c>
      <c r="U848" s="37"/>
      <c r="V848" s="65"/>
      <c r="W848" s="137" t="s">
        <v>810</v>
      </c>
      <c r="X848" s="138" t="s">
        <v>8</v>
      </c>
      <c r="Y848" s="37"/>
      <c r="Z848" s="65"/>
      <c r="AA848" s="137" t="s">
        <v>810</v>
      </c>
      <c r="AB848" s="138" t="s">
        <v>8</v>
      </c>
      <c r="AC848" s="37"/>
      <c r="AD848" s="65"/>
      <c r="AE848" s="137" t="s">
        <v>810</v>
      </c>
      <c r="AF848" s="138" t="s">
        <v>8</v>
      </c>
      <c r="AG848" s="37"/>
      <c r="AH848" s="65"/>
      <c r="AI848" s="137" t="s">
        <v>810</v>
      </c>
      <c r="AJ848" s="138" t="s">
        <v>8</v>
      </c>
      <c r="AK848" s="37"/>
      <c r="AL848" s="65"/>
      <c r="AM848" s="137" t="s">
        <v>810</v>
      </c>
      <c r="AN848" s="138" t="s">
        <v>8</v>
      </c>
      <c r="AO848" s="37"/>
      <c r="AP848" s="65"/>
      <c r="AQ848" s="137" t="s">
        <v>810</v>
      </c>
      <c r="AR848" s="138" t="s">
        <v>8</v>
      </c>
      <c r="AS848" s="37"/>
      <c r="AT848" s="65"/>
      <c r="AU848" s="137" t="s">
        <v>810</v>
      </c>
      <c r="AV848" s="139" t="s">
        <v>46</v>
      </c>
      <c r="AW848" s="37"/>
      <c r="AX848" s="65"/>
      <c r="AY848" s="137" t="s">
        <v>810</v>
      </c>
      <c r="AZ848" s="138" t="s">
        <v>8</v>
      </c>
      <c r="BA848" s="37"/>
      <c r="BB848" s="65"/>
      <c r="BC848" s="137" t="s">
        <v>810</v>
      </c>
      <c r="BD848" s="138" t="s">
        <v>8</v>
      </c>
      <c r="BE848" s="37"/>
      <c r="BF848" s="65"/>
      <c r="BG848" s="137" t="s">
        <v>810</v>
      </c>
      <c r="BH848" s="138" t="s">
        <v>8</v>
      </c>
      <c r="BI848" s="37"/>
      <c r="BJ848" s="65"/>
      <c r="BK848" s="137" t="s">
        <v>810</v>
      </c>
      <c r="BL848" s="138" t="s">
        <v>8</v>
      </c>
      <c r="BM848" s="37"/>
      <c r="BN848" s="65"/>
      <c r="BO848" s="137" t="s">
        <v>810</v>
      </c>
      <c r="BP848" s="138" t="s">
        <v>8</v>
      </c>
      <c r="BQ848" s="37"/>
      <c r="BR848" s="65"/>
      <c r="BS848" s="137" t="s">
        <v>810</v>
      </c>
      <c r="BT848" s="138" t="s">
        <v>8</v>
      </c>
      <c r="BU848" s="37"/>
    </row>
    <row r="849" ht="12.75" customHeight="1">
      <c r="A849" s="146"/>
      <c r="B849" s="132" t="s">
        <v>46</v>
      </c>
      <c r="C849" s="170"/>
      <c r="D849" s="134"/>
      <c r="E849" s="57"/>
      <c r="F849" s="135"/>
      <c r="G849" s="164" t="s">
        <v>1023</v>
      </c>
      <c r="H849" s="171"/>
      <c r="I849" s="72"/>
      <c r="J849" s="65"/>
      <c r="K849" s="137" t="s">
        <v>1023</v>
      </c>
      <c r="L849" s="138" t="s">
        <v>8</v>
      </c>
      <c r="M849" s="37"/>
      <c r="N849" s="65"/>
      <c r="O849" s="137" t="s">
        <v>1023</v>
      </c>
      <c r="P849" s="138" t="s">
        <v>8</v>
      </c>
      <c r="Q849" s="37"/>
      <c r="R849" s="65"/>
      <c r="S849" s="137" t="s">
        <v>1023</v>
      </c>
      <c r="T849" s="138" t="s">
        <v>8</v>
      </c>
      <c r="U849" s="37"/>
      <c r="V849" s="65"/>
      <c r="W849" s="137" t="s">
        <v>1023</v>
      </c>
      <c r="X849" s="138" t="s">
        <v>63</v>
      </c>
      <c r="Y849" s="37"/>
      <c r="Z849" s="65"/>
      <c r="AA849" s="137" t="s">
        <v>1023</v>
      </c>
      <c r="AB849" s="138" t="s">
        <v>63</v>
      </c>
      <c r="AC849" s="37"/>
      <c r="AD849" s="65"/>
      <c r="AE849" s="137" t="s">
        <v>1023</v>
      </c>
      <c r="AF849" s="138" t="s">
        <v>8</v>
      </c>
      <c r="AG849" s="37"/>
      <c r="AH849" s="65"/>
      <c r="AI849" s="137" t="s">
        <v>1023</v>
      </c>
      <c r="AJ849" s="138" t="s">
        <v>8</v>
      </c>
      <c r="AK849" s="37"/>
      <c r="AL849" s="65"/>
      <c r="AM849" s="137" t="s">
        <v>1023</v>
      </c>
      <c r="AN849" s="138" t="s">
        <v>8</v>
      </c>
      <c r="AO849" s="37"/>
      <c r="AP849" s="65"/>
      <c r="AQ849" s="137" t="s">
        <v>1023</v>
      </c>
      <c r="AR849" s="138" t="s">
        <v>8</v>
      </c>
      <c r="AS849" s="37"/>
      <c r="AT849" s="65"/>
      <c r="AU849" s="137" t="s">
        <v>1023</v>
      </c>
      <c r="AV849" s="138" t="s">
        <v>8</v>
      </c>
      <c r="AW849" s="37"/>
      <c r="AX849" s="65"/>
      <c r="AY849" s="137" t="s">
        <v>1023</v>
      </c>
      <c r="AZ849" s="138" t="s">
        <v>63</v>
      </c>
      <c r="BA849" s="37"/>
      <c r="BB849" s="65"/>
      <c r="BC849" s="137" t="s">
        <v>1023</v>
      </c>
      <c r="BD849" s="138" t="s">
        <v>63</v>
      </c>
      <c r="BE849" s="37"/>
      <c r="BF849" s="65"/>
      <c r="BG849" s="137" t="s">
        <v>1023</v>
      </c>
      <c r="BH849" s="138" t="s">
        <v>8</v>
      </c>
      <c r="BI849" s="37"/>
      <c r="BJ849" s="65"/>
      <c r="BK849" s="137" t="s">
        <v>1023</v>
      </c>
      <c r="BL849" s="138" t="s">
        <v>8</v>
      </c>
      <c r="BM849" s="37"/>
      <c r="BN849" s="65"/>
      <c r="BO849" s="137" t="s">
        <v>1023</v>
      </c>
      <c r="BP849" s="138" t="s">
        <v>8</v>
      </c>
      <c r="BQ849" s="37"/>
      <c r="BR849" s="65"/>
      <c r="BS849" s="137" t="s">
        <v>1023</v>
      </c>
      <c r="BT849" s="138" t="s">
        <v>8</v>
      </c>
      <c r="BU849" s="37"/>
    </row>
    <row r="850" ht="12.75" customHeight="1">
      <c r="A850" s="146"/>
      <c r="B850" s="132" t="s">
        <v>46</v>
      </c>
      <c r="C850" s="170"/>
      <c r="D850" s="134"/>
      <c r="E850" s="57"/>
      <c r="F850" s="135"/>
      <c r="G850" s="164" t="s">
        <v>1024</v>
      </c>
      <c r="H850" s="171"/>
      <c r="I850" s="72"/>
      <c r="J850" s="65"/>
      <c r="K850" s="137" t="s">
        <v>1024</v>
      </c>
      <c r="L850" s="138" t="s">
        <v>8</v>
      </c>
      <c r="M850" s="37"/>
      <c r="N850" s="65"/>
      <c r="O850" s="137" t="s">
        <v>1024</v>
      </c>
      <c r="P850" s="138" t="s">
        <v>8</v>
      </c>
      <c r="Q850" s="37"/>
      <c r="R850" s="65"/>
      <c r="S850" s="137" t="s">
        <v>1024</v>
      </c>
      <c r="T850" s="138" t="s">
        <v>8</v>
      </c>
      <c r="U850" s="37"/>
      <c r="V850" s="65"/>
      <c r="W850" s="137" t="s">
        <v>1024</v>
      </c>
      <c r="X850" s="138" t="s">
        <v>63</v>
      </c>
      <c r="Y850" s="37"/>
      <c r="Z850" s="65"/>
      <c r="AA850" s="137" t="s">
        <v>1024</v>
      </c>
      <c r="AB850" s="138" t="s">
        <v>63</v>
      </c>
      <c r="AC850" s="37"/>
      <c r="AD850" s="65"/>
      <c r="AE850" s="137" t="s">
        <v>1024</v>
      </c>
      <c r="AF850" s="138" t="s">
        <v>8</v>
      </c>
      <c r="AG850" s="37"/>
      <c r="AH850" s="65"/>
      <c r="AI850" s="137" t="s">
        <v>1024</v>
      </c>
      <c r="AJ850" s="138" t="s">
        <v>8</v>
      </c>
      <c r="AK850" s="37"/>
      <c r="AL850" s="65"/>
      <c r="AM850" s="137" t="s">
        <v>1024</v>
      </c>
      <c r="AN850" s="138" t="s">
        <v>8</v>
      </c>
      <c r="AO850" s="37"/>
      <c r="AP850" s="65"/>
      <c r="AQ850" s="137" t="s">
        <v>1024</v>
      </c>
      <c r="AR850" s="138" t="s">
        <v>8</v>
      </c>
      <c r="AS850" s="37"/>
      <c r="AT850" s="65"/>
      <c r="AU850" s="137" t="s">
        <v>1024</v>
      </c>
      <c r="AV850" s="138" t="s">
        <v>8</v>
      </c>
      <c r="AW850" s="37"/>
      <c r="AX850" s="65"/>
      <c r="AY850" s="137" t="s">
        <v>1024</v>
      </c>
      <c r="AZ850" s="138" t="s">
        <v>63</v>
      </c>
      <c r="BA850" s="37"/>
      <c r="BB850" s="65"/>
      <c r="BC850" s="137" t="s">
        <v>1024</v>
      </c>
      <c r="BD850" s="138" t="s">
        <v>63</v>
      </c>
      <c r="BE850" s="37"/>
      <c r="BF850" s="65"/>
      <c r="BG850" s="137" t="s">
        <v>1024</v>
      </c>
      <c r="BH850" s="138" t="s">
        <v>8</v>
      </c>
      <c r="BI850" s="37"/>
      <c r="BJ850" s="65"/>
      <c r="BK850" s="137" t="s">
        <v>1024</v>
      </c>
      <c r="BL850" s="138" t="s">
        <v>8</v>
      </c>
      <c r="BM850" s="37"/>
      <c r="BN850" s="65"/>
      <c r="BO850" s="137" t="s">
        <v>1024</v>
      </c>
      <c r="BP850" s="138" t="s">
        <v>8</v>
      </c>
      <c r="BQ850" s="37"/>
      <c r="BR850" s="65"/>
      <c r="BS850" s="137" t="s">
        <v>1024</v>
      </c>
      <c r="BT850" s="138" t="s">
        <v>8</v>
      </c>
      <c r="BU850" s="37"/>
    </row>
    <row r="851" ht="12.75" customHeight="1">
      <c r="A851" s="146"/>
      <c r="B851" s="132" t="s">
        <v>46</v>
      </c>
      <c r="C851" s="170"/>
      <c r="D851" s="134"/>
      <c r="E851" s="57"/>
      <c r="F851" s="135"/>
      <c r="G851" s="164" t="s">
        <v>1025</v>
      </c>
      <c r="H851" s="171"/>
      <c r="I851" s="72"/>
      <c r="J851" s="65"/>
      <c r="K851" s="137" t="s">
        <v>1025</v>
      </c>
      <c r="L851" s="138" t="s">
        <v>8</v>
      </c>
      <c r="M851" s="37"/>
      <c r="N851" s="65"/>
      <c r="O851" s="137" t="s">
        <v>1025</v>
      </c>
      <c r="P851" s="138" t="s">
        <v>8</v>
      </c>
      <c r="Q851" s="37"/>
      <c r="R851" s="65"/>
      <c r="S851" s="137" t="s">
        <v>1025</v>
      </c>
      <c r="T851" s="138" t="s">
        <v>8</v>
      </c>
      <c r="U851" s="37"/>
      <c r="V851" s="65"/>
      <c r="W851" s="137" t="s">
        <v>1025</v>
      </c>
      <c r="X851" s="138" t="s">
        <v>63</v>
      </c>
      <c r="Y851" s="37"/>
      <c r="Z851" s="65"/>
      <c r="AA851" s="137" t="s">
        <v>1025</v>
      </c>
      <c r="AB851" s="138" t="s">
        <v>63</v>
      </c>
      <c r="AC851" s="37"/>
      <c r="AD851" s="65"/>
      <c r="AE851" s="137" t="s">
        <v>1025</v>
      </c>
      <c r="AF851" s="138" t="s">
        <v>8</v>
      </c>
      <c r="AG851" s="37"/>
      <c r="AH851" s="65"/>
      <c r="AI851" s="137" t="s">
        <v>1025</v>
      </c>
      <c r="AJ851" s="138" t="s">
        <v>8</v>
      </c>
      <c r="AK851" s="37"/>
      <c r="AL851" s="65"/>
      <c r="AM851" s="137" t="s">
        <v>1025</v>
      </c>
      <c r="AN851" s="138" t="s">
        <v>8</v>
      </c>
      <c r="AO851" s="37"/>
      <c r="AP851" s="65"/>
      <c r="AQ851" s="137" t="s">
        <v>1025</v>
      </c>
      <c r="AR851" s="138" t="s">
        <v>8</v>
      </c>
      <c r="AS851" s="37"/>
      <c r="AT851" s="65"/>
      <c r="AU851" s="137" t="s">
        <v>1025</v>
      </c>
      <c r="AV851" s="138" t="s">
        <v>8</v>
      </c>
      <c r="AW851" s="37"/>
      <c r="AX851" s="65"/>
      <c r="AY851" s="137" t="s">
        <v>1025</v>
      </c>
      <c r="AZ851" s="138" t="s">
        <v>63</v>
      </c>
      <c r="BA851" s="37"/>
      <c r="BB851" s="65"/>
      <c r="BC851" s="137" t="s">
        <v>1025</v>
      </c>
      <c r="BD851" s="138" t="s">
        <v>63</v>
      </c>
      <c r="BE851" s="37"/>
      <c r="BF851" s="65"/>
      <c r="BG851" s="137" t="s">
        <v>1025</v>
      </c>
      <c r="BH851" s="138" t="s">
        <v>8</v>
      </c>
      <c r="BI851" s="37"/>
      <c r="BJ851" s="65"/>
      <c r="BK851" s="137" t="s">
        <v>1025</v>
      </c>
      <c r="BL851" s="138" t="s">
        <v>8</v>
      </c>
      <c r="BM851" s="37"/>
      <c r="BN851" s="65"/>
      <c r="BO851" s="137" t="s">
        <v>1025</v>
      </c>
      <c r="BP851" s="138" t="s">
        <v>8</v>
      </c>
      <c r="BQ851" s="37"/>
      <c r="BR851" s="65"/>
      <c r="BS851" s="137" t="s">
        <v>1025</v>
      </c>
      <c r="BT851" s="138" t="s">
        <v>8</v>
      </c>
      <c r="BU851" s="37"/>
    </row>
    <row r="852" ht="12.75" customHeight="1">
      <c r="A852" s="146"/>
      <c r="B852" s="132" t="s">
        <v>46</v>
      </c>
      <c r="C852" s="170"/>
      <c r="D852" s="134"/>
      <c r="E852" s="57"/>
      <c r="F852" s="135"/>
      <c r="G852" s="164" t="s">
        <v>1026</v>
      </c>
      <c r="H852" s="171"/>
      <c r="I852" s="72"/>
      <c r="J852" s="65"/>
      <c r="K852" s="137" t="s">
        <v>1026</v>
      </c>
      <c r="L852" s="139" t="s">
        <v>46</v>
      </c>
      <c r="M852" s="37"/>
      <c r="N852" s="65"/>
      <c r="O852" s="137" t="s">
        <v>1026</v>
      </c>
      <c r="P852" s="139" t="s">
        <v>46</v>
      </c>
      <c r="Q852" s="37"/>
      <c r="R852" s="65"/>
      <c r="S852" s="137" t="s">
        <v>1026</v>
      </c>
      <c r="T852" s="139" t="s">
        <v>46</v>
      </c>
      <c r="U852" s="37"/>
      <c r="V852" s="65"/>
      <c r="W852" s="137" t="s">
        <v>1026</v>
      </c>
      <c r="X852" s="138" t="s">
        <v>63</v>
      </c>
      <c r="Y852" s="37"/>
      <c r="Z852" s="65"/>
      <c r="AA852" s="137" t="s">
        <v>1026</v>
      </c>
      <c r="AB852" s="139" t="s">
        <v>46</v>
      </c>
      <c r="AC852" s="37"/>
      <c r="AD852" s="65"/>
      <c r="AE852" s="137" t="s">
        <v>1026</v>
      </c>
      <c r="AF852" s="139" t="s">
        <v>46</v>
      </c>
      <c r="AG852" s="37"/>
      <c r="AH852" s="65"/>
      <c r="AI852" s="137" t="s">
        <v>1026</v>
      </c>
      <c r="AJ852" s="139" t="s">
        <v>46</v>
      </c>
      <c r="AK852" s="37"/>
      <c r="AL852" s="65"/>
      <c r="AM852" s="137" t="s">
        <v>1026</v>
      </c>
      <c r="AN852" s="139" t="s">
        <v>46</v>
      </c>
      <c r="AO852" s="37"/>
      <c r="AP852" s="65"/>
      <c r="AQ852" s="137" t="s">
        <v>1026</v>
      </c>
      <c r="AR852" s="139" t="s">
        <v>46</v>
      </c>
      <c r="AS852" s="37"/>
      <c r="AT852" s="65"/>
      <c r="AU852" s="137" t="s">
        <v>1026</v>
      </c>
      <c r="AV852" s="139" t="s">
        <v>46</v>
      </c>
      <c r="AW852" s="37"/>
      <c r="AX852" s="65"/>
      <c r="AY852" s="137" t="s">
        <v>1026</v>
      </c>
      <c r="AZ852" s="138" t="s">
        <v>63</v>
      </c>
      <c r="BA852" s="37"/>
      <c r="BB852" s="65"/>
      <c r="BC852" s="137" t="s">
        <v>1026</v>
      </c>
      <c r="BD852" s="139" t="s">
        <v>46</v>
      </c>
      <c r="BE852" s="37"/>
      <c r="BF852" s="65"/>
      <c r="BG852" s="137" t="s">
        <v>1026</v>
      </c>
      <c r="BH852" s="139" t="s">
        <v>46</v>
      </c>
      <c r="BI852" s="37"/>
      <c r="BJ852" s="65"/>
      <c r="BK852" s="137" t="s">
        <v>1026</v>
      </c>
      <c r="BL852" s="139" t="s">
        <v>46</v>
      </c>
      <c r="BM852" s="37"/>
      <c r="BN852" s="65"/>
      <c r="BO852" s="137" t="s">
        <v>1026</v>
      </c>
      <c r="BP852" s="139" t="s">
        <v>46</v>
      </c>
      <c r="BQ852" s="37"/>
      <c r="BR852" s="65"/>
      <c r="BS852" s="137" t="s">
        <v>1026</v>
      </c>
      <c r="BT852" s="139" t="s">
        <v>46</v>
      </c>
      <c r="BU852" s="37"/>
    </row>
    <row r="853" ht="12.75" customHeight="1">
      <c r="A853" s="146"/>
      <c r="B853" s="132" t="s">
        <v>46</v>
      </c>
      <c r="C853" s="170"/>
      <c r="D853" s="134"/>
      <c r="E853" s="57"/>
      <c r="F853" s="135"/>
      <c r="G853" s="164" t="s">
        <v>1027</v>
      </c>
      <c r="H853" s="171"/>
      <c r="I853" s="72"/>
      <c r="J853" s="65"/>
      <c r="K853" s="137" t="s">
        <v>1027</v>
      </c>
      <c r="L853" s="138" t="s">
        <v>8</v>
      </c>
      <c r="M853" s="37"/>
      <c r="N853" s="65"/>
      <c r="O853" s="137" t="s">
        <v>1027</v>
      </c>
      <c r="P853" s="138" t="s">
        <v>8</v>
      </c>
      <c r="Q853" s="37"/>
      <c r="R853" s="65"/>
      <c r="S853" s="137" t="s">
        <v>1027</v>
      </c>
      <c r="T853" s="138" t="s">
        <v>8</v>
      </c>
      <c r="U853" s="37"/>
      <c r="V853" s="65"/>
      <c r="W853" s="137" t="s">
        <v>1027</v>
      </c>
      <c r="X853" s="138" t="s">
        <v>61</v>
      </c>
      <c r="Y853" s="37"/>
      <c r="Z853" s="65"/>
      <c r="AA853" s="137" t="s">
        <v>1027</v>
      </c>
      <c r="AB853" s="138" t="s">
        <v>8</v>
      </c>
      <c r="AC853" s="37"/>
      <c r="AD853" s="65"/>
      <c r="AE853" s="137" t="s">
        <v>1027</v>
      </c>
      <c r="AF853" s="138" t="s">
        <v>8</v>
      </c>
      <c r="AG853" s="37"/>
      <c r="AH853" s="65"/>
      <c r="AI853" s="137" t="s">
        <v>1027</v>
      </c>
      <c r="AJ853" s="138" t="s">
        <v>8</v>
      </c>
      <c r="AK853" s="37"/>
      <c r="AL853" s="65"/>
      <c r="AM853" s="137" t="s">
        <v>1027</v>
      </c>
      <c r="AN853" s="138" t="s">
        <v>8</v>
      </c>
      <c r="AO853" s="37"/>
      <c r="AP853" s="65"/>
      <c r="AQ853" s="137" t="s">
        <v>1027</v>
      </c>
      <c r="AR853" s="138" t="s">
        <v>8</v>
      </c>
      <c r="AS853" s="37"/>
      <c r="AT853" s="65"/>
      <c r="AU853" s="137" t="s">
        <v>1027</v>
      </c>
      <c r="AV853" s="138" t="s">
        <v>8</v>
      </c>
      <c r="AW853" s="37"/>
      <c r="AX853" s="65"/>
      <c r="AY853" s="137" t="s">
        <v>1027</v>
      </c>
      <c r="AZ853" s="138" t="s">
        <v>61</v>
      </c>
      <c r="BA853" s="37"/>
      <c r="BB853" s="65"/>
      <c r="BC853" s="137" t="s">
        <v>1027</v>
      </c>
      <c r="BD853" s="138" t="s">
        <v>8</v>
      </c>
      <c r="BE853" s="37"/>
      <c r="BF853" s="65"/>
      <c r="BG853" s="137" t="s">
        <v>1027</v>
      </c>
      <c r="BH853" s="138" t="s">
        <v>8</v>
      </c>
      <c r="BI853" s="37"/>
      <c r="BJ853" s="65"/>
      <c r="BK853" s="137" t="s">
        <v>1027</v>
      </c>
      <c r="BL853" s="138" t="s">
        <v>8</v>
      </c>
      <c r="BM853" s="37"/>
      <c r="BN853" s="65"/>
      <c r="BO853" s="137" t="s">
        <v>1027</v>
      </c>
      <c r="BP853" s="138" t="s">
        <v>8</v>
      </c>
      <c r="BQ853" s="37"/>
      <c r="BR853" s="65"/>
      <c r="BS853" s="137" t="s">
        <v>1027</v>
      </c>
      <c r="BT853" s="138" t="s">
        <v>8</v>
      </c>
      <c r="BU853" s="37"/>
    </row>
    <row r="854" ht="12.75" customHeight="1">
      <c r="A854" s="146"/>
      <c r="B854" s="132" t="s">
        <v>46</v>
      </c>
      <c r="C854" s="170"/>
      <c r="D854" s="134"/>
      <c r="E854" s="57"/>
      <c r="F854" s="135"/>
      <c r="G854" s="164" t="s">
        <v>1028</v>
      </c>
      <c r="H854" s="171"/>
      <c r="I854" s="72"/>
      <c r="J854" s="65"/>
      <c r="K854" s="137" t="s">
        <v>1028</v>
      </c>
      <c r="L854" s="138" t="s">
        <v>8</v>
      </c>
      <c r="M854" s="37"/>
      <c r="N854" s="65"/>
      <c r="O854" s="137" t="s">
        <v>1028</v>
      </c>
      <c r="P854" s="138" t="s">
        <v>8</v>
      </c>
      <c r="Q854" s="37"/>
      <c r="R854" s="65"/>
      <c r="S854" s="137" t="s">
        <v>1028</v>
      </c>
      <c r="T854" s="138" t="s">
        <v>8</v>
      </c>
      <c r="U854" s="37"/>
      <c r="V854" s="65"/>
      <c r="W854" s="137" t="s">
        <v>1028</v>
      </c>
      <c r="X854" s="139" t="s">
        <v>46</v>
      </c>
      <c r="Y854" s="37"/>
      <c r="Z854" s="65"/>
      <c r="AA854" s="137" t="s">
        <v>1028</v>
      </c>
      <c r="AB854" s="138" t="s">
        <v>8</v>
      </c>
      <c r="AC854" s="37"/>
      <c r="AD854" s="65"/>
      <c r="AE854" s="137" t="s">
        <v>1028</v>
      </c>
      <c r="AF854" s="138" t="s">
        <v>8</v>
      </c>
      <c r="AG854" s="37"/>
      <c r="AH854" s="65"/>
      <c r="AI854" s="137" t="s">
        <v>1028</v>
      </c>
      <c r="AJ854" s="138" t="s">
        <v>8</v>
      </c>
      <c r="AK854" s="37"/>
      <c r="AL854" s="65"/>
      <c r="AM854" s="137" t="s">
        <v>1028</v>
      </c>
      <c r="AN854" s="138" t="s">
        <v>8</v>
      </c>
      <c r="AO854" s="37"/>
      <c r="AP854" s="65"/>
      <c r="AQ854" s="137" t="s">
        <v>1028</v>
      </c>
      <c r="AR854" s="138" t="s">
        <v>8</v>
      </c>
      <c r="AS854" s="37"/>
      <c r="AT854" s="65"/>
      <c r="AU854" s="137" t="s">
        <v>1028</v>
      </c>
      <c r="AV854" s="138" t="s">
        <v>8</v>
      </c>
      <c r="AW854" s="37"/>
      <c r="AX854" s="65"/>
      <c r="AY854" s="137" t="s">
        <v>1028</v>
      </c>
      <c r="AZ854" s="139" t="s">
        <v>46</v>
      </c>
      <c r="BA854" s="37"/>
      <c r="BB854" s="65"/>
      <c r="BC854" s="137" t="s">
        <v>1028</v>
      </c>
      <c r="BD854" s="138" t="s">
        <v>8</v>
      </c>
      <c r="BE854" s="37"/>
      <c r="BF854" s="65"/>
      <c r="BG854" s="137" t="s">
        <v>1028</v>
      </c>
      <c r="BH854" s="138" t="s">
        <v>8</v>
      </c>
      <c r="BI854" s="37"/>
      <c r="BJ854" s="65"/>
      <c r="BK854" s="137" t="s">
        <v>1028</v>
      </c>
      <c r="BL854" s="138" t="s">
        <v>8</v>
      </c>
      <c r="BM854" s="37"/>
      <c r="BN854" s="65"/>
      <c r="BO854" s="137" t="s">
        <v>1028</v>
      </c>
      <c r="BP854" s="138" t="s">
        <v>8</v>
      </c>
      <c r="BQ854" s="37"/>
      <c r="BR854" s="65"/>
      <c r="BS854" s="137" t="s">
        <v>1028</v>
      </c>
      <c r="BT854" s="138" t="s">
        <v>8</v>
      </c>
      <c r="BU854" s="37"/>
    </row>
    <row r="855" ht="12.75" customHeight="1">
      <c r="A855" s="94"/>
      <c r="B855" s="94"/>
      <c r="C855" s="94"/>
      <c r="D855" s="87"/>
      <c r="E855" s="57"/>
      <c r="F855" s="65"/>
      <c r="G855" s="172"/>
      <c r="H855" s="168"/>
      <c r="I855" s="38"/>
      <c r="J855" s="65"/>
      <c r="K855" s="109"/>
      <c r="L855" s="139"/>
      <c r="M855" s="37"/>
      <c r="N855" s="65"/>
      <c r="O855" s="109"/>
      <c r="P855" s="139"/>
      <c r="Q855" s="37"/>
      <c r="R855" s="65"/>
      <c r="S855" s="109"/>
      <c r="T855" s="139"/>
      <c r="U855" s="37"/>
      <c r="V855" s="65"/>
      <c r="W855" s="109"/>
      <c r="X855" s="139"/>
      <c r="Y855" s="37"/>
      <c r="Z855" s="65"/>
      <c r="AA855" s="109"/>
      <c r="AB855" s="139"/>
      <c r="AC855" s="37"/>
      <c r="AD855" s="65"/>
      <c r="AE855" s="109"/>
      <c r="AF855" s="139"/>
      <c r="AG855" s="37"/>
      <c r="AH855" s="65"/>
      <c r="AI855" s="109"/>
      <c r="AJ855" s="139"/>
      <c r="AK855" s="37"/>
      <c r="AL855" s="65"/>
      <c r="AM855" s="109"/>
      <c r="AN855" s="139"/>
      <c r="AO855" s="37"/>
      <c r="AP855" s="65"/>
      <c r="AQ855" s="109"/>
      <c r="AR855" s="139"/>
      <c r="AS855" s="37"/>
      <c r="AT855" s="65"/>
      <c r="AU855" s="109"/>
      <c r="AV855" s="139"/>
      <c r="AW855" s="37"/>
      <c r="AX855" s="65"/>
      <c r="AY855" s="109"/>
      <c r="AZ855" s="139"/>
      <c r="BA855" s="37"/>
      <c r="BB855" s="65"/>
      <c r="BC855" s="109"/>
      <c r="BD855" s="139"/>
      <c r="BE855" s="37"/>
      <c r="BF855" s="65"/>
      <c r="BG855" s="109"/>
      <c r="BH855" s="139"/>
      <c r="BI855" s="37"/>
      <c r="BJ855" s="65"/>
      <c r="BK855" s="109"/>
      <c r="BL855" s="139"/>
      <c r="BM855" s="37"/>
      <c r="BN855" s="65"/>
      <c r="BO855" s="109"/>
      <c r="BP855" s="139"/>
      <c r="BQ855" s="37"/>
      <c r="BR855" s="65"/>
      <c r="BS855" s="109"/>
      <c r="BT855" s="139"/>
      <c r="BU855" s="37"/>
    </row>
    <row r="856" ht="12.75" customHeight="1">
      <c r="A856" s="94"/>
      <c r="B856" s="94"/>
      <c r="C856" s="94"/>
      <c r="D856" s="87"/>
      <c r="E856" s="57"/>
      <c r="F856" s="85"/>
      <c r="G856" s="172"/>
      <c r="H856" s="95"/>
      <c r="I856" s="38"/>
      <c r="J856" s="85"/>
      <c r="K856" s="109"/>
      <c r="L856" s="139"/>
      <c r="M856" s="37"/>
      <c r="N856" s="85"/>
      <c r="O856" s="109"/>
      <c r="P856" s="139"/>
      <c r="Q856" s="37"/>
      <c r="R856" s="85"/>
      <c r="S856" s="109"/>
      <c r="T856" s="139"/>
      <c r="U856" s="37"/>
      <c r="V856" s="85"/>
      <c r="W856" s="109"/>
      <c r="X856" s="139"/>
      <c r="Y856" s="37"/>
      <c r="Z856" s="85"/>
      <c r="AA856" s="109"/>
      <c r="AB856" s="139"/>
      <c r="AC856" s="37"/>
      <c r="AD856" s="85"/>
      <c r="AE856" s="109"/>
      <c r="AF856" s="139"/>
      <c r="AG856" s="37"/>
      <c r="AH856" s="85"/>
      <c r="AI856" s="109"/>
      <c r="AJ856" s="139"/>
      <c r="AK856" s="37"/>
      <c r="AL856" s="85"/>
      <c r="AM856" s="109"/>
      <c r="AN856" s="139"/>
      <c r="AO856" s="37"/>
      <c r="AP856" s="85"/>
      <c r="AQ856" s="109"/>
      <c r="AR856" s="139"/>
      <c r="AS856" s="37"/>
      <c r="AT856" s="85"/>
      <c r="AU856" s="109"/>
      <c r="AV856" s="139"/>
      <c r="AW856" s="37"/>
      <c r="AX856" s="85"/>
      <c r="AY856" s="109"/>
      <c r="AZ856" s="139"/>
      <c r="BA856" s="37"/>
      <c r="BB856" s="85"/>
      <c r="BC856" s="109"/>
      <c r="BD856" s="139"/>
      <c r="BE856" s="37"/>
      <c r="BF856" s="85"/>
      <c r="BG856" s="109"/>
      <c r="BH856" s="139"/>
      <c r="BI856" s="37"/>
      <c r="BJ856" s="85"/>
      <c r="BK856" s="109"/>
      <c r="BL856" s="139"/>
      <c r="BM856" s="37"/>
      <c r="BN856" s="85"/>
      <c r="BO856" s="109"/>
      <c r="BP856" s="139"/>
      <c r="BQ856" s="37"/>
      <c r="BR856" s="85"/>
      <c r="BS856" s="109"/>
      <c r="BT856" s="139"/>
      <c r="BU856" s="37"/>
    </row>
    <row r="857" ht="12.75" customHeight="1">
      <c r="A857" s="34"/>
      <c r="B857" s="36"/>
      <c r="C857" s="36"/>
      <c r="D857" s="37"/>
      <c r="E857" s="59"/>
      <c r="F857" s="65" t="s">
        <v>1029</v>
      </c>
      <c r="G857" s="36"/>
      <c r="H857" s="173"/>
      <c r="I857" s="38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174"/>
    </row>
    <row r="858" ht="12.75" customHeight="1">
      <c r="A858" s="34"/>
      <c r="B858" s="36"/>
      <c r="C858" s="36"/>
      <c r="D858" s="37"/>
      <c r="E858" s="59"/>
      <c r="F858" s="65"/>
      <c r="G858" s="66" t="s">
        <v>39</v>
      </c>
      <c r="H858" s="67" t="s">
        <v>40</v>
      </c>
      <c r="I858" s="38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</row>
    <row r="859" ht="12.75" customHeight="1">
      <c r="A859" s="34"/>
      <c r="B859" s="36"/>
      <c r="C859" s="36"/>
      <c r="D859" s="37"/>
      <c r="E859" s="59"/>
      <c r="F859" s="85"/>
      <c r="G859" s="175" t="s">
        <v>1030</v>
      </c>
      <c r="H859" s="103" t="s">
        <v>63</v>
      </c>
      <c r="I859" s="38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</row>
    <row r="860" ht="12.75" customHeight="1">
      <c r="A860" s="176"/>
      <c r="B860" s="36"/>
      <c r="C860" s="36"/>
      <c r="D860" s="37"/>
      <c r="E860" s="59"/>
      <c r="F860" s="52" t="s">
        <v>1031</v>
      </c>
      <c r="G860" s="53"/>
      <c r="H860" s="54"/>
      <c r="I860" s="38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</row>
    <row r="861" ht="12.75" customHeight="1">
      <c r="A861" s="34"/>
      <c r="B861" s="36"/>
      <c r="C861" s="36"/>
      <c r="D861" s="37"/>
      <c r="E861" s="59"/>
      <c r="F861" s="177"/>
      <c r="G861" s="178"/>
      <c r="H861" s="179"/>
      <c r="I861" s="38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</row>
    <row r="862" ht="12.75" customHeight="1">
      <c r="A862" s="34"/>
      <c r="B862" s="36"/>
      <c r="C862" s="36"/>
      <c r="D862" s="37"/>
      <c r="E862" s="59"/>
      <c r="F862" s="177" t="s">
        <v>1032</v>
      </c>
      <c r="G862" s="180"/>
      <c r="H862" s="179"/>
      <c r="I862" s="38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</row>
    <row r="863" ht="12.75" customHeight="1">
      <c r="A863" s="34"/>
      <c r="B863" s="36"/>
      <c r="C863" s="36"/>
      <c r="D863" s="37"/>
      <c r="E863" s="59"/>
      <c r="F863" s="181"/>
      <c r="G863" s="182"/>
      <c r="H863" s="183"/>
      <c r="I863" s="38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</row>
    <row r="864" ht="12.75" customHeight="1">
      <c r="A864" s="34"/>
      <c r="B864" s="36"/>
      <c r="C864" s="36"/>
      <c r="D864" s="37"/>
      <c r="E864" s="59"/>
      <c r="F864" s="184" t="s">
        <v>1033</v>
      </c>
      <c r="G864" s="185"/>
      <c r="H864" s="186"/>
      <c r="I864" s="38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</row>
    <row r="865" ht="12.75" customHeight="1">
      <c r="A865" s="34"/>
      <c r="B865" s="36"/>
      <c r="C865" s="36"/>
      <c r="D865" s="37"/>
      <c r="E865" s="59"/>
      <c r="F865" s="135"/>
      <c r="G865" s="66" t="s">
        <v>39</v>
      </c>
      <c r="H865" s="67" t="s">
        <v>40</v>
      </c>
      <c r="I865" s="38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</row>
    <row r="866" ht="12.75" customHeight="1">
      <c r="A866" s="34"/>
      <c r="B866" s="36"/>
      <c r="C866" s="36"/>
      <c r="D866" s="37"/>
      <c r="E866" s="59"/>
      <c r="F866" s="144"/>
      <c r="G866" s="175" t="s">
        <v>1030</v>
      </c>
      <c r="H866" s="187" t="s">
        <v>46</v>
      </c>
      <c r="I866" s="38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</row>
    <row r="867" ht="12.75" customHeight="1">
      <c r="A867" s="34"/>
      <c r="B867" s="36"/>
      <c r="C867" s="36"/>
      <c r="D867" s="37"/>
      <c r="E867" s="188"/>
      <c r="F867" s="189" t="s">
        <v>740</v>
      </c>
      <c r="G867" s="190"/>
      <c r="H867" s="191"/>
      <c r="I867" s="38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</row>
    <row r="868" ht="12.75" customHeight="1">
      <c r="A868" s="34"/>
      <c r="B868" s="36"/>
      <c r="C868" s="36"/>
      <c r="D868" s="37"/>
      <c r="E868" s="188"/>
      <c r="F868" s="189"/>
      <c r="G868" s="66" t="s">
        <v>39</v>
      </c>
      <c r="H868" s="67" t="s">
        <v>40</v>
      </c>
      <c r="I868" s="38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</row>
    <row r="869" ht="12.75" customHeight="1">
      <c r="A869" s="34"/>
      <c r="B869" s="36"/>
      <c r="C869" s="36"/>
      <c r="D869" s="37"/>
      <c r="E869" s="188"/>
      <c r="F869" s="192"/>
      <c r="G869" s="175"/>
      <c r="H869" s="187"/>
      <c r="I869" s="38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</row>
    <row r="870" ht="12.75" customHeight="1">
      <c r="A870" s="34"/>
      <c r="B870" s="36"/>
      <c r="C870" s="36"/>
      <c r="D870" s="37"/>
      <c r="E870" s="188"/>
      <c r="F870" s="189" t="s">
        <v>750</v>
      </c>
      <c r="G870" s="193"/>
      <c r="H870" s="194"/>
      <c r="I870" s="38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</row>
    <row r="871" ht="12.75" customHeight="1">
      <c r="A871" s="34"/>
      <c r="B871" s="36"/>
      <c r="C871" s="36"/>
      <c r="D871" s="37"/>
      <c r="E871" s="188"/>
      <c r="F871" s="189"/>
      <c r="G871" s="66" t="s">
        <v>39</v>
      </c>
      <c r="H871" s="67" t="s">
        <v>40</v>
      </c>
      <c r="I871" s="38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</row>
    <row r="872" ht="12.75" customHeight="1">
      <c r="A872" s="34"/>
      <c r="B872" s="36"/>
      <c r="C872" s="36"/>
      <c r="D872" s="37"/>
      <c r="E872" s="188"/>
      <c r="F872" s="192"/>
      <c r="G872" s="175"/>
      <c r="H872" s="187"/>
      <c r="I872" s="38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</row>
    <row r="873" ht="12.75" customHeight="1">
      <c r="A873" s="34"/>
      <c r="B873" s="36"/>
      <c r="C873" s="36"/>
      <c r="D873" s="37"/>
      <c r="E873" s="188"/>
      <c r="F873" s="189" t="s">
        <v>766</v>
      </c>
      <c r="G873" s="193"/>
      <c r="H873" s="194"/>
      <c r="I873" s="38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</row>
    <row r="874" ht="12.75" customHeight="1">
      <c r="A874" s="34"/>
      <c r="B874" s="36"/>
      <c r="C874" s="36"/>
      <c r="D874" s="37"/>
      <c r="E874" s="188"/>
      <c r="F874" s="189"/>
      <c r="G874" s="66" t="s">
        <v>39</v>
      </c>
      <c r="H874" s="67" t="s">
        <v>40</v>
      </c>
      <c r="I874" s="38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</row>
    <row r="875" ht="12.75" customHeight="1">
      <c r="A875" s="34"/>
      <c r="B875" s="36"/>
      <c r="C875" s="36"/>
      <c r="D875" s="37"/>
      <c r="E875" s="188"/>
      <c r="F875" s="192"/>
      <c r="G875" s="175"/>
      <c r="H875" s="187"/>
      <c r="I875" s="38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</row>
    <row r="876" ht="12.75" customHeight="1">
      <c r="A876" s="34"/>
      <c r="B876" s="36"/>
      <c r="C876" s="36"/>
      <c r="D876" s="37"/>
      <c r="E876" s="188"/>
      <c r="F876" s="189" t="s">
        <v>777</v>
      </c>
      <c r="G876" s="193"/>
      <c r="H876" s="194"/>
      <c r="I876" s="38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</row>
    <row r="877" ht="12.75" customHeight="1">
      <c r="A877" s="34"/>
      <c r="B877" s="36"/>
      <c r="C877" s="36"/>
      <c r="D877" s="37"/>
      <c r="E877" s="188"/>
      <c r="F877" s="189"/>
      <c r="G877" s="66" t="s">
        <v>39</v>
      </c>
      <c r="H877" s="67" t="s">
        <v>40</v>
      </c>
      <c r="I877" s="38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</row>
    <row r="878" ht="12.75" customHeight="1">
      <c r="A878" s="34"/>
      <c r="B878" s="36"/>
      <c r="C878" s="36"/>
      <c r="D878" s="37"/>
      <c r="E878" s="188"/>
      <c r="F878" s="192"/>
      <c r="G878" s="175"/>
      <c r="H878" s="187"/>
      <c r="I878" s="38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</row>
    <row r="879" ht="12.75" customHeight="1">
      <c r="A879" s="34"/>
      <c r="B879" s="36"/>
      <c r="C879" s="36"/>
      <c r="D879" s="37"/>
      <c r="E879" s="188"/>
      <c r="F879" s="189" t="s">
        <v>795</v>
      </c>
      <c r="G879" s="193"/>
      <c r="H879" s="194"/>
      <c r="I879" s="38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</row>
    <row r="880" ht="12.75" customHeight="1">
      <c r="A880" s="34"/>
      <c r="B880" s="36"/>
      <c r="C880" s="36"/>
      <c r="D880" s="37"/>
      <c r="E880" s="188"/>
      <c r="F880" s="189"/>
      <c r="G880" s="66" t="s">
        <v>39</v>
      </c>
      <c r="H880" s="67" t="s">
        <v>40</v>
      </c>
      <c r="I880" s="38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</row>
    <row r="881" ht="12.75" customHeight="1">
      <c r="A881" s="34"/>
      <c r="B881" s="36"/>
      <c r="C881" s="36"/>
      <c r="D881" s="37"/>
      <c r="E881" s="188"/>
      <c r="F881" s="192"/>
      <c r="G881" s="175"/>
      <c r="H881" s="187"/>
      <c r="I881" s="38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</row>
    <row r="882" ht="12.75" customHeight="1">
      <c r="A882" s="34"/>
      <c r="B882" s="36"/>
      <c r="C882" s="36"/>
      <c r="D882" s="37"/>
      <c r="E882" s="188"/>
      <c r="F882" s="189" t="s">
        <v>812</v>
      </c>
      <c r="G882" s="193"/>
      <c r="H882" s="194"/>
      <c r="I882" s="38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</row>
    <row r="883" ht="12.75" customHeight="1">
      <c r="A883" s="34"/>
      <c r="B883" s="36"/>
      <c r="C883" s="36"/>
      <c r="D883" s="37"/>
      <c r="E883" s="188"/>
      <c r="F883" s="189"/>
      <c r="G883" s="66" t="s">
        <v>39</v>
      </c>
      <c r="H883" s="67" t="s">
        <v>40</v>
      </c>
      <c r="I883" s="38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</row>
    <row r="884" ht="12.75" customHeight="1">
      <c r="A884" s="34"/>
      <c r="B884" s="36"/>
      <c r="C884" s="36"/>
      <c r="D884" s="37"/>
      <c r="E884" s="188"/>
      <c r="F884" s="192"/>
      <c r="G884" s="175"/>
      <c r="H884" s="187"/>
      <c r="I884" s="38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</row>
    <row r="885" ht="12.75" customHeight="1">
      <c r="A885" s="34"/>
      <c r="B885" s="36"/>
      <c r="C885" s="36"/>
      <c r="D885" s="37"/>
      <c r="E885" s="188"/>
      <c r="F885" s="189" t="s">
        <v>830</v>
      </c>
      <c r="G885" s="195"/>
      <c r="H885" s="196"/>
      <c r="I885" s="38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</row>
    <row r="886" ht="12.75" customHeight="1">
      <c r="A886" s="34"/>
      <c r="B886" s="36"/>
      <c r="C886" s="36"/>
      <c r="D886" s="37"/>
      <c r="E886" s="188"/>
      <c r="F886" s="189"/>
      <c r="G886" s="66" t="s">
        <v>39</v>
      </c>
      <c r="H886" s="67" t="s">
        <v>40</v>
      </c>
      <c r="I886" s="38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</row>
    <row r="887" ht="12.75" customHeight="1">
      <c r="A887" s="34"/>
      <c r="B887" s="36"/>
      <c r="C887" s="36"/>
      <c r="D887" s="37"/>
      <c r="E887" s="188"/>
      <c r="F887" s="192"/>
      <c r="G887" s="175"/>
      <c r="H887" s="187"/>
      <c r="I887" s="38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</row>
    <row r="888" ht="12.75" customHeight="1">
      <c r="A888" s="34"/>
      <c r="B888" s="36"/>
      <c r="C888" s="36"/>
      <c r="D888" s="37"/>
      <c r="E888" s="188"/>
      <c r="F888" s="189" t="s">
        <v>839</v>
      </c>
      <c r="G888" s="190"/>
      <c r="H888" s="191"/>
      <c r="I888" s="38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</row>
    <row r="889" ht="12.75" customHeight="1">
      <c r="A889" s="34"/>
      <c r="B889" s="36"/>
      <c r="C889" s="36"/>
      <c r="D889" s="37"/>
      <c r="E889" s="188"/>
      <c r="F889" s="189"/>
      <c r="G889" s="66" t="s">
        <v>39</v>
      </c>
      <c r="H889" s="67" t="s">
        <v>40</v>
      </c>
      <c r="I889" s="38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</row>
    <row r="890" ht="12.75" customHeight="1">
      <c r="A890" s="34"/>
      <c r="B890" s="36"/>
      <c r="C890" s="36"/>
      <c r="D890" s="37"/>
      <c r="E890" s="188"/>
      <c r="F890" s="192"/>
      <c r="G890" s="175"/>
      <c r="H890" s="103"/>
      <c r="I890" s="38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</row>
    <row r="891" ht="12.75" customHeight="1">
      <c r="A891" s="34"/>
      <c r="B891" s="36"/>
      <c r="C891" s="36"/>
      <c r="D891" s="37"/>
      <c r="E891" s="188"/>
      <c r="F891" s="189" t="s">
        <v>964</v>
      </c>
      <c r="G891" s="190"/>
      <c r="H891" s="191"/>
      <c r="I891" s="38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</row>
    <row r="892" ht="12.75" customHeight="1">
      <c r="A892" s="34"/>
      <c r="B892" s="36"/>
      <c r="C892" s="36"/>
      <c r="D892" s="37"/>
      <c r="E892" s="188"/>
      <c r="F892" s="189"/>
      <c r="G892" s="66" t="s">
        <v>39</v>
      </c>
      <c r="H892" s="67" t="s">
        <v>40</v>
      </c>
      <c r="I892" s="38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</row>
    <row r="893" ht="12.75" customHeight="1">
      <c r="A893" s="34"/>
      <c r="B893" s="36"/>
      <c r="C893" s="36"/>
      <c r="D893" s="37"/>
      <c r="E893" s="188"/>
      <c r="F893" s="192"/>
      <c r="G893" s="175"/>
      <c r="H893" s="103"/>
      <c r="I893" s="38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</row>
    <row r="894" ht="12.75" customHeight="1">
      <c r="A894" s="34"/>
      <c r="B894" s="36"/>
      <c r="C894" s="36"/>
      <c r="D894" s="37"/>
      <c r="E894" s="188"/>
      <c r="F894" s="189" t="s">
        <v>969</v>
      </c>
      <c r="G894" s="190"/>
      <c r="H894" s="191"/>
      <c r="I894" s="38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</row>
    <row r="895" ht="12.75" customHeight="1">
      <c r="A895" s="34"/>
      <c r="B895" s="36"/>
      <c r="C895" s="36"/>
      <c r="D895" s="37"/>
      <c r="E895" s="188"/>
      <c r="F895" s="189"/>
      <c r="G895" s="66" t="s">
        <v>39</v>
      </c>
      <c r="H895" s="67" t="s">
        <v>40</v>
      </c>
      <c r="I895" s="38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7"/>
      <c r="BU895" s="37"/>
    </row>
    <row r="896" ht="12.75" customHeight="1">
      <c r="A896" s="34"/>
      <c r="B896" s="36"/>
      <c r="C896" s="36"/>
      <c r="D896" s="37"/>
      <c r="E896" s="188"/>
      <c r="F896" s="192"/>
      <c r="G896" s="175"/>
      <c r="H896" s="103"/>
      <c r="I896" s="38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7"/>
      <c r="BU896" s="37"/>
    </row>
    <row r="897" ht="12.75" customHeight="1">
      <c r="A897" s="34"/>
      <c r="B897" s="36"/>
      <c r="C897" s="36"/>
      <c r="D897" s="37"/>
      <c r="E897" s="188"/>
      <c r="F897" s="189" t="s">
        <v>1034</v>
      </c>
      <c r="G897" s="190"/>
      <c r="H897" s="191"/>
      <c r="I897" s="38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7"/>
      <c r="BU897" s="37"/>
    </row>
    <row r="898" ht="12.75" customHeight="1">
      <c r="A898" s="34"/>
      <c r="B898" s="36"/>
      <c r="C898" s="36"/>
      <c r="D898" s="37"/>
      <c r="E898" s="188"/>
      <c r="F898" s="189"/>
      <c r="G898" s="66" t="s">
        <v>39</v>
      </c>
      <c r="H898" s="67" t="s">
        <v>40</v>
      </c>
      <c r="I898" s="38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7"/>
      <c r="BU898" s="37"/>
    </row>
    <row r="899" ht="12.75" customHeight="1">
      <c r="A899" s="34"/>
      <c r="B899" s="36"/>
      <c r="C899" s="36"/>
      <c r="D899" s="37"/>
      <c r="E899" s="188"/>
      <c r="F899" s="192"/>
      <c r="G899" s="175"/>
      <c r="H899" s="103"/>
      <c r="I899" s="38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7"/>
      <c r="BU899" s="37"/>
    </row>
    <row r="900" ht="12.75" customHeight="1">
      <c r="A900" s="34"/>
      <c r="B900" s="36"/>
      <c r="C900" s="36"/>
      <c r="D900" s="37"/>
      <c r="E900" s="188"/>
      <c r="F900" s="189" t="s">
        <v>859</v>
      </c>
      <c r="G900" s="190"/>
      <c r="H900" s="191"/>
      <c r="I900" s="38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7"/>
      <c r="BU900" s="37"/>
    </row>
    <row r="901" ht="12.75" customHeight="1">
      <c r="A901" s="34"/>
      <c r="B901" s="36"/>
      <c r="C901" s="36"/>
      <c r="D901" s="37"/>
      <c r="E901" s="188"/>
      <c r="F901" s="189"/>
      <c r="G901" s="66" t="s">
        <v>39</v>
      </c>
      <c r="H901" s="67" t="s">
        <v>40</v>
      </c>
      <c r="I901" s="38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7"/>
      <c r="BU901" s="37"/>
    </row>
    <row r="902" ht="12.75" customHeight="1">
      <c r="A902" s="34"/>
      <c r="B902" s="36"/>
      <c r="C902" s="36"/>
      <c r="D902" s="37"/>
      <c r="E902" s="188"/>
      <c r="F902" s="192"/>
      <c r="G902" s="175"/>
      <c r="H902" s="103"/>
      <c r="I902" s="38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7"/>
      <c r="BQ902" s="37"/>
      <c r="BR902" s="37"/>
      <c r="BS902" s="37"/>
      <c r="BT902" s="37"/>
      <c r="BU902" s="37"/>
    </row>
    <row r="903" ht="12.75" customHeight="1">
      <c r="A903" s="34"/>
      <c r="B903" s="36"/>
      <c r="C903" s="36"/>
      <c r="D903" s="37"/>
      <c r="E903" s="188"/>
      <c r="F903" s="189" t="s">
        <v>1035</v>
      </c>
      <c r="G903" s="190"/>
      <c r="H903" s="191"/>
      <c r="I903" s="38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7"/>
      <c r="BQ903" s="37"/>
      <c r="BR903" s="37"/>
      <c r="BS903" s="37"/>
      <c r="BT903" s="37"/>
      <c r="BU903" s="37"/>
    </row>
    <row r="904" ht="12.75" customHeight="1">
      <c r="A904" s="34"/>
      <c r="B904" s="36"/>
      <c r="C904" s="36"/>
      <c r="D904" s="37"/>
      <c r="E904" s="188"/>
      <c r="F904" s="189"/>
      <c r="G904" s="66" t="s">
        <v>39</v>
      </c>
      <c r="H904" s="67" t="s">
        <v>40</v>
      </c>
      <c r="I904" s="38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7"/>
      <c r="BQ904" s="37"/>
      <c r="BR904" s="37"/>
      <c r="BS904" s="37"/>
      <c r="BT904" s="37"/>
      <c r="BU904" s="37"/>
    </row>
    <row r="905" ht="12.75" customHeight="1">
      <c r="A905" s="34"/>
      <c r="B905" s="36"/>
      <c r="C905" s="36"/>
      <c r="D905" s="37"/>
      <c r="E905" s="188"/>
      <c r="F905" s="197"/>
      <c r="G905" s="175" t="s">
        <v>1030</v>
      </c>
      <c r="H905" s="103" t="s">
        <v>63</v>
      </c>
      <c r="I905" s="38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7"/>
      <c r="BQ905" s="37"/>
      <c r="BR905" s="37"/>
      <c r="BS905" s="37"/>
      <c r="BT905" s="37"/>
      <c r="BU905" s="37"/>
    </row>
    <row r="906" ht="12.75" customHeight="1">
      <c r="A906" s="34"/>
      <c r="B906" s="36"/>
      <c r="C906" s="36"/>
      <c r="D906" s="37"/>
      <c r="E906" s="198"/>
      <c r="F906" s="199" t="s">
        <v>1031</v>
      </c>
      <c r="G906" s="200"/>
      <c r="H906" s="201"/>
      <c r="I906" s="38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7"/>
      <c r="BQ906" s="37"/>
      <c r="BR906" s="37"/>
      <c r="BS906" s="37"/>
      <c r="BT906" s="37"/>
      <c r="BU906" s="37"/>
    </row>
    <row r="907" ht="12.75" customHeight="1">
      <c r="A907" s="202"/>
      <c r="B907" s="36"/>
      <c r="C907" s="36"/>
      <c r="D907" s="37"/>
      <c r="E907" s="37"/>
      <c r="F907" s="37"/>
      <c r="G907" s="37"/>
      <c r="H907" s="37"/>
      <c r="I907" s="38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  <c r="BM907" s="37"/>
      <c r="BN907" s="37"/>
      <c r="BO907" s="37"/>
      <c r="BP907" s="37"/>
      <c r="BQ907" s="37"/>
      <c r="BR907" s="37"/>
      <c r="BS907" s="37"/>
      <c r="BT907" s="37"/>
      <c r="BU907" s="37"/>
    </row>
  </sheetData>
  <mergeCells count="80">
    <mergeCell ref="V562:X562"/>
    <mergeCell ref="V563:X563"/>
    <mergeCell ref="V564:X564"/>
    <mergeCell ref="Z564:AB564"/>
    <mergeCell ref="AD562:AF562"/>
    <mergeCell ref="AD563:AF563"/>
    <mergeCell ref="AD564:AF564"/>
    <mergeCell ref="AH564:AJ564"/>
    <mergeCell ref="AL564:AN564"/>
    <mergeCell ref="AP564:AR564"/>
    <mergeCell ref="AT564:AV564"/>
    <mergeCell ref="AT565:AV565"/>
    <mergeCell ref="AX565:AZ565"/>
    <mergeCell ref="R565:T565"/>
    <mergeCell ref="V565:X565"/>
    <mergeCell ref="Z565:AB565"/>
    <mergeCell ref="AD565:AF565"/>
    <mergeCell ref="AH565:AJ565"/>
    <mergeCell ref="AL565:AN565"/>
    <mergeCell ref="AP565:AR565"/>
    <mergeCell ref="J566:L566"/>
    <mergeCell ref="N566:P566"/>
    <mergeCell ref="R566:T566"/>
    <mergeCell ref="V566:X566"/>
    <mergeCell ref="Z566:AB566"/>
    <mergeCell ref="AD566:AF566"/>
    <mergeCell ref="AH566:AJ566"/>
    <mergeCell ref="BN566:BP566"/>
    <mergeCell ref="BR566:BT566"/>
    <mergeCell ref="AL566:AN566"/>
    <mergeCell ref="AP566:AR566"/>
    <mergeCell ref="AT566:AV566"/>
    <mergeCell ref="AX566:AZ566"/>
    <mergeCell ref="BB566:BD566"/>
    <mergeCell ref="BF566:BH566"/>
    <mergeCell ref="BJ566:BL566"/>
    <mergeCell ref="BJ564:BL564"/>
    <mergeCell ref="BJ565:BL565"/>
    <mergeCell ref="AX564:AZ564"/>
    <mergeCell ref="BB564:BD564"/>
    <mergeCell ref="BF564:BH564"/>
    <mergeCell ref="BN564:BP564"/>
    <mergeCell ref="BB565:BD565"/>
    <mergeCell ref="BF565:BH565"/>
    <mergeCell ref="BN565:BP565"/>
    <mergeCell ref="BN562:BP562"/>
    <mergeCell ref="BR562:BT562"/>
    <mergeCell ref="AL562:AN562"/>
    <mergeCell ref="AP562:AR562"/>
    <mergeCell ref="AT562:AV562"/>
    <mergeCell ref="AX562:AZ562"/>
    <mergeCell ref="BB562:BD562"/>
    <mergeCell ref="BF562:BH562"/>
    <mergeCell ref="BJ562:BL562"/>
    <mergeCell ref="J562:L562"/>
    <mergeCell ref="R562:T562"/>
    <mergeCell ref="Z562:AB562"/>
    <mergeCell ref="AH562:AJ562"/>
    <mergeCell ref="J563:L563"/>
    <mergeCell ref="R563:T563"/>
    <mergeCell ref="Z563:AB563"/>
    <mergeCell ref="BJ563:BL563"/>
    <mergeCell ref="BN563:BP563"/>
    <mergeCell ref="BR563:BT563"/>
    <mergeCell ref="AH563:AJ563"/>
    <mergeCell ref="AL563:AN563"/>
    <mergeCell ref="AP563:AR563"/>
    <mergeCell ref="AT563:AV563"/>
    <mergeCell ref="AX563:AZ563"/>
    <mergeCell ref="BB563:BD563"/>
    <mergeCell ref="BF563:BH563"/>
    <mergeCell ref="N562:P562"/>
    <mergeCell ref="N563:P563"/>
    <mergeCell ref="J564:L564"/>
    <mergeCell ref="N564:P564"/>
    <mergeCell ref="R564:T564"/>
    <mergeCell ref="J565:L565"/>
    <mergeCell ref="N565:P565"/>
    <mergeCell ref="BR564:BT564"/>
    <mergeCell ref="BR565:BT56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1.43"/>
    <col customWidth="1" min="2" max="2" width="16.43"/>
    <col customWidth="1" min="3" max="3" width="18.57"/>
    <col customWidth="1" min="4" max="4" width="70.57"/>
    <col customWidth="1" min="5" max="6" width="39.43"/>
    <col customWidth="1" min="7" max="8" width="8.0"/>
    <col customWidth="1" min="9" max="9" width="6.29"/>
    <col customWidth="1" min="10" max="10" width="8.0"/>
    <col customWidth="1" min="11" max="11" width="7.57"/>
    <col customWidth="1" min="12" max="12" width="7.43"/>
    <col customWidth="1" min="13" max="13" width="10.0"/>
    <col customWidth="1" min="14" max="14" width="10.14"/>
    <col customWidth="1" min="15" max="15" width="7.43"/>
    <col customWidth="1" min="16" max="16" width="10.0"/>
    <col customWidth="1" min="17" max="17" width="10.71"/>
    <col customWidth="1" min="18" max="18" width="13.29"/>
    <col customWidth="1" min="19" max="19" width="12.57"/>
    <col customWidth="1" min="20" max="20" width="15.71"/>
    <col customWidth="1" min="21" max="22" width="10.0"/>
    <col customWidth="1" min="23" max="24" width="12.43"/>
    <col customWidth="1" min="25" max="25" width="1.0"/>
    <col customWidth="1" min="26" max="26" width="7.43"/>
    <col customWidth="1" min="27" max="27" width="11.29"/>
    <col customWidth="1" hidden="1" min="28" max="28" width="9.14"/>
    <col customWidth="1" min="29" max="29" width="9.14"/>
    <col customWidth="1" hidden="1" min="30" max="35" width="9.14"/>
    <col customWidth="1" min="36" max="39" width="14.43"/>
    <col customWidth="1" min="40" max="40" width="10.14"/>
    <col customWidth="1" min="41" max="41" width="10.0"/>
    <col customWidth="1" min="42" max="42" width="11.29"/>
    <col customWidth="1" min="43" max="46" width="14.43"/>
    <col customWidth="1" min="47" max="48" width="10.0"/>
    <col customWidth="1" min="49" max="49" width="1.0"/>
    <col customWidth="1" min="50" max="53" width="16.57"/>
    <col customWidth="1" min="54" max="54" width="1.0"/>
    <col customWidth="1" min="55" max="55" width="11.43"/>
    <col customWidth="1" min="56" max="56" width="1.0"/>
    <col customWidth="1" min="57" max="62" width="6.71"/>
    <col customWidth="1" min="63" max="63" width="1.0"/>
    <col customWidth="1" min="64" max="65" width="9.29"/>
    <col customWidth="1" min="66" max="66" width="8.14"/>
    <col customWidth="1" min="67" max="67" width="5.43"/>
    <col customWidth="1" min="68" max="68" width="10.0"/>
    <col customWidth="1" min="69" max="69" width="4.43"/>
    <col customWidth="1" min="70" max="70" width="10.0"/>
    <col customWidth="1" min="71" max="71" width="4.43"/>
    <col customWidth="1" min="72" max="72" width="10.0"/>
    <col customWidth="1" min="73" max="73" width="4.86"/>
    <col customWidth="1" min="74" max="74" width="10.0"/>
    <col customWidth="1" min="75" max="75" width="4.43"/>
    <col customWidth="1" min="76" max="76" width="10.0"/>
    <col customWidth="1" hidden="1" min="77" max="77" width="6.86"/>
    <col customWidth="1" hidden="1" min="78" max="78" width="7.14"/>
    <col customWidth="1" min="79" max="79" width="1.0"/>
    <col customWidth="1" min="80" max="80" width="11.29"/>
    <col customWidth="1" min="81" max="81" width="1.0"/>
    <col customWidth="1" min="82" max="82" width="10.86"/>
    <col customWidth="1" min="83" max="83" width="11.57"/>
    <col customWidth="1" min="84" max="84" width="10.86"/>
    <col customWidth="1" min="85" max="85" width="11.57"/>
    <col customWidth="1" min="86" max="86" width="1.0"/>
    <col customWidth="1" min="87" max="88" width="16.0"/>
    <col customWidth="1" min="89" max="89" width="1.0"/>
    <col customWidth="1" min="90" max="90" width="12.14"/>
    <col customWidth="1" min="91" max="91" width="1.0"/>
    <col customWidth="1" min="92" max="92" width="16.0"/>
    <col customWidth="1" min="93" max="112" width="1.57"/>
  </cols>
  <sheetData>
    <row r="1" ht="18.75" customHeight="1">
      <c r="A1" s="203"/>
      <c r="B1" s="1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4"/>
      <c r="AQ1" s="203"/>
      <c r="AR1" s="204"/>
      <c r="AS1" s="204"/>
      <c r="AT1" s="204"/>
      <c r="AU1" s="203"/>
      <c r="AV1" s="203"/>
      <c r="AW1" s="204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ht="18.75" customHeight="1">
      <c r="A2" s="203"/>
      <c r="B2" s="1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03"/>
      <c r="BD2" s="203"/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3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3"/>
      <c r="CJ2" s="203"/>
      <c r="CK2" s="203"/>
      <c r="CL2" s="203"/>
      <c r="CM2" s="203"/>
      <c r="CN2" s="203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ht="18.75" customHeight="1">
      <c r="A3" s="203"/>
      <c r="B3" s="1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203"/>
      <c r="BI3" s="203"/>
      <c r="BJ3" s="203"/>
      <c r="BK3" s="1"/>
      <c r="BL3" s="1"/>
      <c r="BM3" s="1"/>
      <c r="BN3" s="1"/>
      <c r="BO3" s="1"/>
      <c r="BP3" s="1"/>
      <c r="BQ3" s="1"/>
      <c r="BR3" s="1"/>
      <c r="BS3" s="1"/>
      <c r="BT3" s="1"/>
      <c r="BU3" s="33"/>
      <c r="BV3" s="1"/>
      <c r="BW3" s="1"/>
      <c r="BX3" s="203"/>
      <c r="BY3" s="1"/>
      <c r="BZ3" s="203"/>
      <c r="CA3" s="203"/>
      <c r="CB3" s="203"/>
      <c r="CC3" s="203"/>
      <c r="CD3" s="203"/>
      <c r="CE3" s="203"/>
      <c r="CF3" s="203"/>
      <c r="CG3" s="203"/>
      <c r="CH3" s="203"/>
      <c r="CI3" s="203"/>
      <c r="CJ3" s="203"/>
      <c r="CK3" s="203"/>
      <c r="CL3" s="203"/>
      <c r="CM3" s="203"/>
      <c r="CN3" s="203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ht="18.75" customHeight="1">
      <c r="A4" s="203"/>
      <c r="B4" s="1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3"/>
      <c r="BL4" s="203"/>
      <c r="BM4" s="203"/>
      <c r="BN4" s="203"/>
      <c r="BO4" s="203"/>
      <c r="BP4" s="203"/>
      <c r="BQ4" s="203"/>
      <c r="BR4" s="203"/>
      <c r="BS4" s="203"/>
      <c r="BT4" s="203"/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3"/>
      <c r="CJ4" s="203"/>
      <c r="CK4" s="203"/>
      <c r="CL4" s="203"/>
      <c r="CM4" s="203"/>
      <c r="CN4" s="203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ht="18.75" customHeight="1">
      <c r="B5" s="205" t="s">
        <v>1036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ht="18.75" customHeight="1">
      <c r="B6" s="206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8" t="s">
        <v>1037</v>
      </c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10"/>
      <c r="AW6" s="211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12" t="s">
        <v>1038</v>
      </c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10"/>
      <c r="BY6" s="213"/>
      <c r="BZ6" s="214"/>
      <c r="CA6" s="211"/>
      <c r="CB6" s="33"/>
      <c r="CC6" s="211"/>
      <c r="CD6" s="211"/>
      <c r="CE6" s="207"/>
      <c r="CF6" s="207"/>
      <c r="CG6" s="207"/>
      <c r="CH6" s="207"/>
      <c r="CI6" s="211"/>
      <c r="CJ6" s="207"/>
      <c r="CK6" s="207"/>
      <c r="CL6" s="207"/>
      <c r="CM6" s="207"/>
      <c r="CN6" s="207"/>
      <c r="CO6" s="211"/>
      <c r="CP6" s="211"/>
      <c r="CQ6" s="211"/>
      <c r="CR6" s="211"/>
      <c r="CS6" s="211"/>
      <c r="CT6" s="211"/>
      <c r="CU6" s="211"/>
      <c r="CV6" s="211"/>
      <c r="CW6" s="211"/>
      <c r="CX6" s="211"/>
      <c r="CY6" s="211"/>
      <c r="CZ6" s="211"/>
      <c r="DA6" s="211"/>
      <c r="DB6" s="211"/>
      <c r="DC6" s="211"/>
      <c r="DD6" s="211"/>
      <c r="DE6" s="211"/>
      <c r="DF6" s="211"/>
      <c r="DG6" s="211"/>
      <c r="DH6" s="211"/>
    </row>
    <row r="7" ht="16.5" customHeight="1">
      <c r="B7" s="215" t="s">
        <v>1039</v>
      </c>
      <c r="C7" s="215" t="s">
        <v>1040</v>
      </c>
      <c r="D7" s="216" t="s">
        <v>1041</v>
      </c>
      <c r="E7" s="217" t="s">
        <v>1042</v>
      </c>
      <c r="F7" s="210"/>
      <c r="G7" s="217" t="s">
        <v>1043</v>
      </c>
      <c r="H7" s="210"/>
      <c r="I7" s="216" t="s">
        <v>1044</v>
      </c>
      <c r="J7" s="216" t="s">
        <v>1045</v>
      </c>
      <c r="K7" s="216" t="s">
        <v>1046</v>
      </c>
      <c r="L7" s="217" t="s">
        <v>1047</v>
      </c>
      <c r="M7" s="209"/>
      <c r="N7" s="210"/>
      <c r="O7" s="217" t="s">
        <v>1048</v>
      </c>
      <c r="P7" s="209"/>
      <c r="Q7" s="210"/>
      <c r="R7" s="217" t="s">
        <v>1047</v>
      </c>
      <c r="S7" s="218"/>
      <c r="T7" s="219" t="s">
        <v>1048</v>
      </c>
      <c r="U7" s="216" t="s">
        <v>1049</v>
      </c>
      <c r="V7" s="220" t="s">
        <v>1050</v>
      </c>
      <c r="W7" s="216" t="s">
        <v>1051</v>
      </c>
      <c r="X7" s="216" t="s">
        <v>1052</v>
      </c>
      <c r="Y7" s="221"/>
      <c r="Z7" s="222" t="s">
        <v>1053</v>
      </c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10"/>
      <c r="AP7" s="222" t="s">
        <v>1054</v>
      </c>
      <c r="AQ7" s="209"/>
      <c r="AR7" s="209"/>
      <c r="AS7" s="209"/>
      <c r="AT7" s="209"/>
      <c r="AU7" s="209"/>
      <c r="AV7" s="210"/>
      <c r="AW7" s="221"/>
      <c r="AX7" s="221"/>
      <c r="AY7" s="221"/>
      <c r="AZ7" s="221"/>
      <c r="BA7" s="221"/>
      <c r="BB7" s="221"/>
      <c r="BC7" s="221"/>
      <c r="BD7" s="221"/>
      <c r="BE7" s="223" t="s">
        <v>1055</v>
      </c>
      <c r="BF7" s="210"/>
      <c r="BG7" s="217" t="s">
        <v>1056</v>
      </c>
      <c r="BH7" s="210"/>
      <c r="BI7" s="217" t="s">
        <v>1057</v>
      </c>
      <c r="BJ7" s="210"/>
      <c r="BK7" s="221"/>
      <c r="BL7" s="223" t="s">
        <v>1058</v>
      </c>
      <c r="BM7" s="210"/>
      <c r="BN7" s="223" t="s">
        <v>1059</v>
      </c>
      <c r="BO7" s="209"/>
      <c r="BP7" s="210"/>
      <c r="BQ7" s="223" t="s">
        <v>1060</v>
      </c>
      <c r="BR7" s="210"/>
      <c r="BS7" s="223" t="s">
        <v>1061</v>
      </c>
      <c r="BT7" s="210"/>
      <c r="BU7" s="223" t="s">
        <v>1062</v>
      </c>
      <c r="BV7" s="210"/>
      <c r="BW7" s="223" t="s">
        <v>1063</v>
      </c>
      <c r="BX7" s="210"/>
      <c r="BY7" s="223"/>
      <c r="BZ7" s="210"/>
      <c r="CA7" s="33"/>
      <c r="CB7" s="221"/>
      <c r="CC7" s="221"/>
      <c r="CD7" s="221"/>
      <c r="CE7" s="221"/>
      <c r="CF7" s="221"/>
      <c r="CG7" s="221"/>
      <c r="CH7" s="221"/>
      <c r="CI7" s="221"/>
      <c r="CJ7" s="221"/>
      <c r="CK7" s="221"/>
      <c r="CL7" s="221"/>
      <c r="CM7" s="221"/>
      <c r="CN7" s="221"/>
      <c r="CO7" s="221"/>
      <c r="CP7" s="221"/>
      <c r="CQ7" s="221"/>
      <c r="CR7" s="221"/>
      <c r="CS7" s="221"/>
      <c r="CT7" s="221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21"/>
      <c r="DF7" s="221"/>
      <c r="DG7" s="221"/>
      <c r="DH7" s="221"/>
    </row>
    <row r="8" ht="18.75" customHeight="1">
      <c r="A8" s="224"/>
      <c r="B8" s="225"/>
      <c r="C8" s="225"/>
      <c r="D8" s="225"/>
      <c r="E8" s="226" t="s">
        <v>1064</v>
      </c>
      <c r="F8" s="226" t="s">
        <v>1065</v>
      </c>
      <c r="G8" s="226" t="s">
        <v>1066</v>
      </c>
      <c r="H8" s="226" t="s">
        <v>1067</v>
      </c>
      <c r="I8" s="225"/>
      <c r="J8" s="225"/>
      <c r="K8" s="225"/>
      <c r="L8" s="226" t="s">
        <v>1068</v>
      </c>
      <c r="M8" s="226" t="s">
        <v>1069</v>
      </c>
      <c r="N8" s="226" t="s">
        <v>1070</v>
      </c>
      <c r="O8" s="227" t="s">
        <v>1068</v>
      </c>
      <c r="P8" s="227" t="s">
        <v>1069</v>
      </c>
      <c r="Q8" s="227" t="s">
        <v>1070</v>
      </c>
      <c r="R8" s="227" t="s">
        <v>1071</v>
      </c>
      <c r="S8" s="227" t="s">
        <v>1072</v>
      </c>
      <c r="T8" s="228" t="s">
        <v>1071</v>
      </c>
      <c r="U8" s="225"/>
      <c r="V8" s="229"/>
      <c r="W8" s="225"/>
      <c r="X8" s="225"/>
      <c r="Y8" s="221" t="s">
        <v>1073</v>
      </c>
      <c r="Z8" s="230" t="s">
        <v>1074</v>
      </c>
      <c r="AA8" s="226" t="s">
        <v>1075</v>
      </c>
      <c r="AB8" s="231"/>
      <c r="AC8" s="231" t="s">
        <v>1076</v>
      </c>
      <c r="AD8" s="231"/>
      <c r="AE8" s="231"/>
      <c r="AF8" s="226"/>
      <c r="AG8" s="231"/>
      <c r="AH8" s="231"/>
      <c r="AI8" s="226"/>
      <c r="AJ8" s="231" t="s">
        <v>1077</v>
      </c>
      <c r="AK8" s="231" t="s">
        <v>1078</v>
      </c>
      <c r="AL8" s="231" t="s">
        <v>1079</v>
      </c>
      <c r="AM8" s="231" t="s">
        <v>1080</v>
      </c>
      <c r="AN8" s="217" t="s">
        <v>1081</v>
      </c>
      <c r="AO8" s="210"/>
      <c r="AP8" s="226" t="s">
        <v>1075</v>
      </c>
      <c r="AQ8" s="231" t="s">
        <v>1077</v>
      </c>
      <c r="AR8" s="231" t="s">
        <v>1078</v>
      </c>
      <c r="AS8" s="231" t="s">
        <v>1079</v>
      </c>
      <c r="AT8" s="231" t="s">
        <v>1080</v>
      </c>
      <c r="AU8" s="223" t="s">
        <v>1081</v>
      </c>
      <c r="AV8" s="210"/>
      <c r="AW8" s="221" t="s">
        <v>1082</v>
      </c>
      <c r="AX8" s="226" t="s">
        <v>1083</v>
      </c>
      <c r="AY8" s="226" t="s">
        <v>1084</v>
      </c>
      <c r="AZ8" s="226" t="s">
        <v>1085</v>
      </c>
      <c r="BA8" s="226" t="s">
        <v>1086</v>
      </c>
      <c r="BB8" s="221"/>
      <c r="BC8" s="226" t="s">
        <v>1087</v>
      </c>
      <c r="BD8" s="221"/>
      <c r="BE8" s="230" t="s">
        <v>1066</v>
      </c>
      <c r="BF8" s="230" t="s">
        <v>1067</v>
      </c>
      <c r="BG8" s="230" t="s">
        <v>1066</v>
      </c>
      <c r="BH8" s="230" t="s">
        <v>1067</v>
      </c>
      <c r="BI8" s="230" t="s">
        <v>1066</v>
      </c>
      <c r="BJ8" s="230" t="s">
        <v>1067</v>
      </c>
      <c r="BK8" s="232" t="s">
        <v>1088</v>
      </c>
      <c r="BL8" s="233" t="s">
        <v>1089</v>
      </c>
      <c r="BM8" s="226" t="s">
        <v>1090</v>
      </c>
      <c r="BN8" s="233" t="s">
        <v>1089</v>
      </c>
      <c r="BO8" s="233" t="s">
        <v>1091</v>
      </c>
      <c r="BP8" s="226" t="s">
        <v>1092</v>
      </c>
      <c r="BQ8" s="226" t="s">
        <v>1093</v>
      </c>
      <c r="BR8" s="226" t="s">
        <v>1094</v>
      </c>
      <c r="BS8" s="226" t="s">
        <v>1093</v>
      </c>
      <c r="BT8" s="226" t="s">
        <v>1094</v>
      </c>
      <c r="BU8" s="226" t="s">
        <v>1093</v>
      </c>
      <c r="BV8" s="226" t="s">
        <v>1094</v>
      </c>
      <c r="BW8" s="226" t="s">
        <v>1093</v>
      </c>
      <c r="BX8" s="226" t="s">
        <v>1094</v>
      </c>
      <c r="BY8" s="226"/>
      <c r="BZ8" s="226"/>
      <c r="CA8" s="232" t="s">
        <v>1095</v>
      </c>
      <c r="CB8" s="226" t="s">
        <v>1096</v>
      </c>
      <c r="CC8" s="221"/>
      <c r="CD8" s="226" t="s">
        <v>1097</v>
      </c>
      <c r="CE8" s="226" t="s">
        <v>1098</v>
      </c>
      <c r="CF8" s="226" t="s">
        <v>1099</v>
      </c>
      <c r="CG8" s="226" t="s">
        <v>1100</v>
      </c>
      <c r="CH8" s="221"/>
      <c r="CI8" s="234" t="s">
        <v>1101</v>
      </c>
      <c r="CJ8" s="234" t="s">
        <v>1102</v>
      </c>
      <c r="CK8" s="221"/>
      <c r="CL8" s="234" t="s">
        <v>1103</v>
      </c>
      <c r="CM8" s="221"/>
      <c r="CN8" s="234" t="s">
        <v>1104</v>
      </c>
      <c r="CO8" s="221"/>
      <c r="CP8" s="221"/>
      <c r="CQ8" s="221"/>
      <c r="CR8" s="221"/>
      <c r="CS8" s="221"/>
      <c r="CT8" s="221"/>
      <c r="CU8" s="221"/>
      <c r="CV8" s="221"/>
      <c r="CW8" s="221"/>
      <c r="CX8" s="221"/>
      <c r="CY8" s="221"/>
      <c r="CZ8" s="204"/>
      <c r="DA8" s="221"/>
      <c r="DB8" s="221"/>
      <c r="DC8" s="221"/>
      <c r="DD8" s="221"/>
      <c r="DE8" s="221"/>
      <c r="DF8" s="221"/>
      <c r="DG8" s="221"/>
      <c r="DH8" s="221"/>
    </row>
    <row r="9" ht="18.75" customHeight="1">
      <c r="A9" s="224"/>
      <c r="B9" s="235" t="s">
        <v>1105</v>
      </c>
      <c r="C9" s="236" t="s">
        <v>1106</v>
      </c>
      <c r="D9" s="237" t="s">
        <v>722</v>
      </c>
      <c r="E9" s="238" t="s">
        <v>8</v>
      </c>
      <c r="F9" s="238" t="s">
        <v>8</v>
      </c>
      <c r="G9" s="238">
        <v>8192.0</v>
      </c>
      <c r="H9" s="238">
        <v>6144.0</v>
      </c>
      <c r="I9" s="238">
        <v>3.0</v>
      </c>
      <c r="J9" s="238" t="s">
        <v>1107</v>
      </c>
      <c r="K9" s="239">
        <v>24.0</v>
      </c>
      <c r="L9" s="239">
        <v>3.0</v>
      </c>
      <c r="M9" s="239">
        <v>300.0</v>
      </c>
      <c r="N9" s="240">
        <f t="shared" ref="N9:N26" si="1">K9 / L9 * M9</f>
        <v>2400</v>
      </c>
      <c r="O9" s="239">
        <v>3.0</v>
      </c>
      <c r="P9" s="239">
        <v>255.0</v>
      </c>
      <c r="Q9" s="240">
        <f t="shared" ref="Q9:Q26" si="2">IF(CB9="single", "-", K9 / O9 * P9)</f>
        <v>2040</v>
      </c>
      <c r="R9" s="241">
        <f t="shared" ref="R9:R26" si="3">N9 / BL9 * IF(BW9=14, 16 / 7, 1) / IF(J9="RAW12",12, IF(J9="RAW14", 14, 10)) * I9</f>
        <v>1645.714286</v>
      </c>
      <c r="S9" s="241">
        <f t="shared" ref="S9:S26" si="4">ROUNDUP(K9 / L9 * M9 / BL9,2)</f>
        <v>2400</v>
      </c>
      <c r="T9" s="241">
        <f t="shared" ref="T9:T26" si="5">BP9 * 8</f>
        <v>1360</v>
      </c>
      <c r="U9" s="241">
        <f t="shared" ref="U9:U12" si="6">ROUNDDOWN(
IF(BA9="-", BP9* 10^6/ AZ9 * 8,
     K9 * 10^6/ BA9 )
/
(AX9 * IF(AY9="-", 1,IF(RIGHT(C9, 10)="LB-MF_auto", 1, AY9))
+ IF(C9="2exp LB-MF_manual", AX10, 0)
+ IF(C9="3exp LB-MF_manual", AX10 + AX11, 0)),2)</f>
        <v>15</v>
      </c>
      <c r="V9" s="241">
        <f t="shared" ref="V9:V12" si="7">ROUNDDOWN(
IF(BA9="-", BP9* 10^6/ AZ9 * 8,
     K9 * 10^6/ BA9 )
/
(Y9 * IF(AY9="-", 1,IF(RIGHT(C9, 10)="LB-MF_auto", 1, AY9))
+ IF(C9="2exp LB-MF_manual", Y10, 0)
+ IF(C9="3exp LB-MF_manual", Y10 + Y11, 0)),2)</f>
        <v>15.45</v>
      </c>
      <c r="W9" s="242" t="s">
        <v>1108</v>
      </c>
      <c r="X9" s="242" t="s">
        <v>1109</v>
      </c>
      <c r="Y9" s="243">
        <v>6261.0</v>
      </c>
      <c r="Z9" s="238">
        <v>2.0</v>
      </c>
      <c r="AA9" s="238">
        <v>6144.0</v>
      </c>
      <c r="AB9" s="238"/>
      <c r="AC9" s="238" t="s">
        <v>8</v>
      </c>
      <c r="AD9" s="238"/>
      <c r="AE9" s="238"/>
      <c r="AF9" s="238"/>
      <c r="AG9" s="238"/>
      <c r="AH9" s="238"/>
      <c r="AI9" s="238"/>
      <c r="AJ9" s="238">
        <v>0.0</v>
      </c>
      <c r="AK9" s="238" t="s">
        <v>8</v>
      </c>
      <c r="AL9" s="238" t="s">
        <v>8</v>
      </c>
      <c r="AM9" s="238" t="s">
        <v>8</v>
      </c>
      <c r="AN9" s="244">
        <f t="shared" ref="AN9:AN12" si="8">(BK9 - ((CG9 - CF9 + 1) / BH9 / BF9 + Z9 + AW9)) * IF(AY9="-", 1, IF(RIGHT(C9,10)="LB-MF_auto", 1, AY9))
- IF(AND(RIGHT(C9, 3)="DOL", AY9=2), SUM(AB9:AI10),
 IF(AND(RIGHT(C9,3)="DOL", AY9=3), SUM(AB9:AI11), SUM(AB9:AI9)))</f>
        <v>215</v>
      </c>
      <c r="AO9" s="245">
        <f t="shared" ref="AO9:AO12" si="9">ROUNDDOWN(
IF(BA9="-",AZ9 / 8 * (1 / BP9 / 1000) * AN9,
BA9 * (1 / K9 / 1000) * AN9),
2)</f>
        <v>2.22</v>
      </c>
      <c r="AP9" s="238">
        <v>8192.0</v>
      </c>
      <c r="AQ9" s="238">
        <v>0.0</v>
      </c>
      <c r="AR9" s="238" t="s">
        <v>8</v>
      </c>
      <c r="AS9" s="238" t="s">
        <v>8</v>
      </c>
      <c r="AT9" s="238" t="s">
        <v>8</v>
      </c>
      <c r="AU9" s="244">
        <f t="shared" ref="AU9:AU26" si="10">IF(AP9="-", "-",
ROUNDDOWN(
  IF(BA9="-",AZ9/8/BP9, BA9/K9)
  * R9 - AP9 - IF(AQ9="-", 0, AQ9 / 4) * CA9 - 100,
0))</f>
        <v>8713</v>
      </c>
      <c r="AV9" s="246">
        <f t="shared" ref="AV9:AV26" si="11">IF(AP9="-", "-",
ROUNDDOWN(
( IF(BA9="-",AZ9/8/BP9, BA9/K9)
  * R9 - AP9 - IF(AQ9="-", 0, AQ9 / 4) * CA9 - 100)
 / R9, 2))</f>
        <v>5.29</v>
      </c>
      <c r="AW9" s="243">
        <v>90.0</v>
      </c>
      <c r="AX9" s="238">
        <v>6451.0</v>
      </c>
      <c r="AY9" s="238" t="s">
        <v>8</v>
      </c>
      <c r="AZ9" s="238">
        <v>14032.0</v>
      </c>
      <c r="BA9" s="238">
        <v>248.0</v>
      </c>
      <c r="BB9" s="243"/>
      <c r="BC9" s="246">
        <f t="shared" ref="BC9:BC26" si="12">ROUNDDOWN(
IF(BA9="-", AZ9 / 8 / BP9, BA9 / K9), 2)</f>
        <v>10.33</v>
      </c>
      <c r="BD9" s="243"/>
      <c r="BE9" s="238">
        <v>1.0</v>
      </c>
      <c r="BF9" s="238">
        <v>1.0</v>
      </c>
      <c r="BG9" s="238">
        <v>1.0</v>
      </c>
      <c r="BH9" s="238">
        <v>1.0</v>
      </c>
      <c r="BI9" s="247">
        <v>1.0</v>
      </c>
      <c r="BJ9" s="247">
        <v>1.0</v>
      </c>
      <c r="BK9" s="248">
        <v>6451.0</v>
      </c>
      <c r="BL9" s="239">
        <v>1.0</v>
      </c>
      <c r="BM9" s="240">
        <f t="shared" ref="BM9:BM26" si="13">N9 / BL9</f>
        <v>2400</v>
      </c>
      <c r="BN9" s="239">
        <v>2.0</v>
      </c>
      <c r="BO9" s="239">
        <v>6.0</v>
      </c>
      <c r="BP9" s="240">
        <f t="shared" ref="BP9:BP26" si="14">IF(CB9="single", N9, Q9) / BN9 / BO9</f>
        <v>170</v>
      </c>
      <c r="BQ9" s="239">
        <v>2.0</v>
      </c>
      <c r="BR9" s="249">
        <f t="shared" ref="BR9:BR26" si="15">IF(CB9="single", N9, Q9) / BQ9</f>
        <v>1020</v>
      </c>
      <c r="BS9" s="239">
        <v>6.0</v>
      </c>
      <c r="BT9" s="249">
        <f t="shared" ref="BT9:BT26" si="16">BP9 / BS9</f>
        <v>28.33333333</v>
      </c>
      <c r="BU9" s="239">
        <v>2.0</v>
      </c>
      <c r="BV9" s="249">
        <f t="shared" ref="BV9:BV26" si="17">BP9 / BU9</f>
        <v>85</v>
      </c>
      <c r="BW9" s="239">
        <v>14.0</v>
      </c>
      <c r="BX9" s="249">
        <f t="shared" ref="BX9:BX26" si="18">N9 / BL9 / BW9</f>
        <v>171.4285714</v>
      </c>
      <c r="BY9" s="239"/>
      <c r="BZ9" s="249"/>
      <c r="CA9" s="248">
        <v>0.0</v>
      </c>
      <c r="CB9" s="238" t="s">
        <v>1110</v>
      </c>
      <c r="CC9" s="250"/>
      <c r="CD9" s="251">
        <v>0.0</v>
      </c>
      <c r="CE9" s="251">
        <v>8191.0</v>
      </c>
      <c r="CF9" s="251">
        <v>0.0</v>
      </c>
      <c r="CG9" s="251">
        <v>6143.0</v>
      </c>
      <c r="CH9" s="250"/>
      <c r="CI9" s="239">
        <v>8192.0</v>
      </c>
      <c r="CJ9" s="238">
        <v>6144.0</v>
      </c>
      <c r="CK9" s="250"/>
      <c r="CL9" s="238" t="s">
        <v>8</v>
      </c>
      <c r="CM9" s="250"/>
      <c r="CN9" s="238" t="s">
        <v>8</v>
      </c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04"/>
      <c r="DA9" s="250"/>
      <c r="DB9" s="250"/>
      <c r="DC9" s="250"/>
      <c r="DD9" s="250"/>
      <c r="DE9" s="250"/>
      <c r="DF9" s="250"/>
      <c r="DG9" s="250"/>
      <c r="DH9" s="250"/>
    </row>
    <row r="10" ht="18.75" customHeight="1">
      <c r="A10" s="224"/>
      <c r="B10" s="235">
        <v>1.0</v>
      </c>
      <c r="C10" s="236" t="s">
        <v>1106</v>
      </c>
      <c r="D10" s="237" t="s">
        <v>723</v>
      </c>
      <c r="E10" s="238" t="s">
        <v>1111</v>
      </c>
      <c r="F10" s="238" t="s">
        <v>1111</v>
      </c>
      <c r="G10" s="238">
        <v>4096.0</v>
      </c>
      <c r="H10" s="238">
        <v>3072.0</v>
      </c>
      <c r="I10" s="238">
        <v>3.0</v>
      </c>
      <c r="J10" s="238" t="s">
        <v>1107</v>
      </c>
      <c r="K10" s="239">
        <v>24.0</v>
      </c>
      <c r="L10" s="239">
        <v>3.0</v>
      </c>
      <c r="M10" s="239">
        <v>300.0</v>
      </c>
      <c r="N10" s="240">
        <f t="shared" si="1"/>
        <v>2400</v>
      </c>
      <c r="O10" s="239">
        <v>3.0</v>
      </c>
      <c r="P10" s="239">
        <v>255.0</v>
      </c>
      <c r="Q10" s="240">
        <f t="shared" si="2"/>
        <v>2040</v>
      </c>
      <c r="R10" s="241">
        <f t="shared" si="3"/>
        <v>1645.714286</v>
      </c>
      <c r="S10" s="241">
        <f t="shared" si="4"/>
        <v>2400</v>
      </c>
      <c r="T10" s="241">
        <f t="shared" si="5"/>
        <v>1360</v>
      </c>
      <c r="U10" s="241">
        <f t="shared" si="6"/>
        <v>30</v>
      </c>
      <c r="V10" s="241">
        <f t="shared" si="7"/>
        <v>36.27</v>
      </c>
      <c r="W10" s="242" t="s">
        <v>1108</v>
      </c>
      <c r="X10" s="242" t="s">
        <v>1112</v>
      </c>
      <c r="Y10" s="243">
        <v>3136.0</v>
      </c>
      <c r="Z10" s="238">
        <v>2.0</v>
      </c>
      <c r="AA10" s="238">
        <v>3072.0</v>
      </c>
      <c r="AB10" s="238"/>
      <c r="AC10" s="238" t="s">
        <v>8</v>
      </c>
      <c r="AD10" s="238"/>
      <c r="AE10" s="238"/>
      <c r="AF10" s="238"/>
      <c r="AG10" s="238"/>
      <c r="AH10" s="238"/>
      <c r="AI10" s="238"/>
      <c r="AJ10" s="238">
        <v>768.0</v>
      </c>
      <c r="AK10" s="238" t="s">
        <v>8</v>
      </c>
      <c r="AL10" s="238" t="s">
        <v>8</v>
      </c>
      <c r="AM10" s="238" t="s">
        <v>8</v>
      </c>
      <c r="AN10" s="244">
        <f t="shared" si="8"/>
        <v>669</v>
      </c>
      <c r="AO10" s="245">
        <f t="shared" si="9"/>
        <v>5.88</v>
      </c>
      <c r="AP10" s="238">
        <v>4096.0</v>
      </c>
      <c r="AQ10" s="238">
        <v>4096.0</v>
      </c>
      <c r="AR10" s="238" t="s">
        <v>8</v>
      </c>
      <c r="AS10" s="238" t="s">
        <v>8</v>
      </c>
      <c r="AT10" s="238" t="s">
        <v>8</v>
      </c>
      <c r="AU10" s="244">
        <f t="shared" si="10"/>
        <v>9248</v>
      </c>
      <c r="AV10" s="246">
        <f t="shared" si="11"/>
        <v>5.61</v>
      </c>
      <c r="AW10" s="243">
        <v>48.0</v>
      </c>
      <c r="AX10" s="238">
        <v>3791.0</v>
      </c>
      <c r="AY10" s="238" t="s">
        <v>8</v>
      </c>
      <c r="AZ10" s="238">
        <v>11904.0</v>
      </c>
      <c r="BA10" s="238">
        <v>211.0</v>
      </c>
      <c r="BB10" s="243"/>
      <c r="BC10" s="246">
        <f t="shared" si="12"/>
        <v>8.79</v>
      </c>
      <c r="BD10" s="243"/>
      <c r="BE10" s="238">
        <v>1.0</v>
      </c>
      <c r="BF10" s="238">
        <v>1.0</v>
      </c>
      <c r="BG10" s="238">
        <v>2.0</v>
      </c>
      <c r="BH10" s="238">
        <v>2.0</v>
      </c>
      <c r="BI10" s="247">
        <v>1.0</v>
      </c>
      <c r="BJ10" s="247">
        <v>1.0</v>
      </c>
      <c r="BK10" s="248">
        <v>3791.0</v>
      </c>
      <c r="BL10" s="239">
        <v>1.0</v>
      </c>
      <c r="BM10" s="240">
        <f t="shared" si="13"/>
        <v>2400</v>
      </c>
      <c r="BN10" s="239">
        <v>2.0</v>
      </c>
      <c r="BO10" s="239">
        <v>6.0</v>
      </c>
      <c r="BP10" s="240">
        <f t="shared" si="14"/>
        <v>170</v>
      </c>
      <c r="BQ10" s="239">
        <v>2.0</v>
      </c>
      <c r="BR10" s="249">
        <f t="shared" si="15"/>
        <v>1020</v>
      </c>
      <c r="BS10" s="239">
        <v>6.0</v>
      </c>
      <c r="BT10" s="249">
        <f t="shared" si="16"/>
        <v>28.33333333</v>
      </c>
      <c r="BU10" s="239">
        <v>2.0</v>
      </c>
      <c r="BV10" s="249">
        <f t="shared" si="17"/>
        <v>85</v>
      </c>
      <c r="BW10" s="239">
        <v>14.0</v>
      </c>
      <c r="BX10" s="249">
        <f t="shared" si="18"/>
        <v>171.4285714</v>
      </c>
      <c r="BY10" s="239"/>
      <c r="BZ10" s="249"/>
      <c r="CA10" s="248">
        <v>1.0</v>
      </c>
      <c r="CB10" s="238" t="s">
        <v>1110</v>
      </c>
      <c r="CC10" s="250"/>
      <c r="CD10" s="251">
        <v>0.0</v>
      </c>
      <c r="CE10" s="251">
        <v>8191.0</v>
      </c>
      <c r="CF10" s="251">
        <v>0.0</v>
      </c>
      <c r="CG10" s="251">
        <v>6143.0</v>
      </c>
      <c r="CH10" s="250"/>
      <c r="CI10" s="239">
        <v>4096.0</v>
      </c>
      <c r="CJ10" s="238">
        <v>3072.0</v>
      </c>
      <c r="CK10" s="250"/>
      <c r="CL10" s="238" t="s">
        <v>8</v>
      </c>
      <c r="CM10" s="250"/>
      <c r="CN10" s="238" t="s">
        <v>8</v>
      </c>
      <c r="CO10" s="250"/>
      <c r="CP10" s="250"/>
      <c r="CQ10" s="250"/>
      <c r="CR10" s="250"/>
      <c r="CS10" s="250"/>
      <c r="CT10" s="250"/>
      <c r="CU10" s="250"/>
      <c r="CV10" s="250"/>
      <c r="CW10" s="250"/>
      <c r="CX10" s="250"/>
      <c r="CY10" s="250"/>
      <c r="CZ10" s="204"/>
      <c r="DA10" s="250"/>
      <c r="DB10" s="250"/>
      <c r="DC10" s="250"/>
      <c r="DD10" s="250"/>
      <c r="DE10" s="250"/>
      <c r="DF10" s="250"/>
      <c r="DG10" s="250"/>
      <c r="DH10" s="250"/>
    </row>
    <row r="11" ht="18.75" customHeight="1">
      <c r="A11" s="224"/>
      <c r="B11" s="235">
        <v>2.0</v>
      </c>
      <c r="C11" s="236" t="s">
        <v>1106</v>
      </c>
      <c r="D11" s="237" t="s">
        <v>722</v>
      </c>
      <c r="E11" s="238" t="s">
        <v>8</v>
      </c>
      <c r="F11" s="238" t="s">
        <v>8</v>
      </c>
      <c r="G11" s="238">
        <v>4096.0</v>
      </c>
      <c r="H11" s="238">
        <v>3072.0</v>
      </c>
      <c r="I11" s="238">
        <v>3.0</v>
      </c>
      <c r="J11" s="238" t="s">
        <v>1107</v>
      </c>
      <c r="K11" s="239">
        <v>24.0</v>
      </c>
      <c r="L11" s="239">
        <v>3.0</v>
      </c>
      <c r="M11" s="239">
        <v>300.0</v>
      </c>
      <c r="N11" s="240">
        <f t="shared" si="1"/>
        <v>2400</v>
      </c>
      <c r="O11" s="239">
        <v>3.0</v>
      </c>
      <c r="P11" s="239">
        <v>255.0</v>
      </c>
      <c r="Q11" s="240">
        <f t="shared" si="2"/>
        <v>2040</v>
      </c>
      <c r="R11" s="241">
        <f t="shared" si="3"/>
        <v>1645.714286</v>
      </c>
      <c r="S11" s="241">
        <f t="shared" si="4"/>
        <v>2400</v>
      </c>
      <c r="T11" s="241">
        <f t="shared" si="5"/>
        <v>1360</v>
      </c>
      <c r="U11" s="241">
        <f t="shared" si="6"/>
        <v>30</v>
      </c>
      <c r="V11" s="241">
        <f t="shared" si="7"/>
        <v>30.34</v>
      </c>
      <c r="W11" s="242" t="s">
        <v>1108</v>
      </c>
      <c r="X11" s="242" t="s">
        <v>1109</v>
      </c>
      <c r="Y11" s="243">
        <v>3189.0</v>
      </c>
      <c r="Z11" s="238">
        <v>2.0</v>
      </c>
      <c r="AA11" s="238">
        <v>3072.0</v>
      </c>
      <c r="AB11" s="238"/>
      <c r="AC11" s="238" t="s">
        <v>8</v>
      </c>
      <c r="AD11" s="238"/>
      <c r="AE11" s="238"/>
      <c r="AF11" s="238"/>
      <c r="AG11" s="238"/>
      <c r="AH11" s="238"/>
      <c r="AI11" s="238"/>
      <c r="AJ11" s="238">
        <v>1536.0</v>
      </c>
      <c r="AK11" s="238" t="s">
        <v>8</v>
      </c>
      <c r="AL11" s="238" t="s">
        <v>8</v>
      </c>
      <c r="AM11" s="238" t="s">
        <v>8</v>
      </c>
      <c r="AN11" s="244">
        <f t="shared" si="8"/>
        <v>61</v>
      </c>
      <c r="AO11" s="245">
        <f t="shared" si="9"/>
        <v>0.63</v>
      </c>
      <c r="AP11" s="238">
        <v>4096.0</v>
      </c>
      <c r="AQ11" s="238">
        <v>2048.0</v>
      </c>
      <c r="AR11" s="238" t="s">
        <v>8</v>
      </c>
      <c r="AS11" s="238" t="s">
        <v>8</v>
      </c>
      <c r="AT11" s="238" t="s">
        <v>8</v>
      </c>
      <c r="AU11" s="244">
        <f t="shared" si="10"/>
        <v>11785</v>
      </c>
      <c r="AV11" s="246">
        <f t="shared" si="11"/>
        <v>7.16</v>
      </c>
      <c r="AW11" s="243">
        <v>90.0</v>
      </c>
      <c r="AX11" s="238">
        <v>3225.0</v>
      </c>
      <c r="AY11" s="238" t="s">
        <v>8</v>
      </c>
      <c r="AZ11" s="238">
        <v>14032.0</v>
      </c>
      <c r="BA11" s="238">
        <v>248.0</v>
      </c>
      <c r="BB11" s="243"/>
      <c r="BC11" s="246">
        <f t="shared" si="12"/>
        <v>10.33</v>
      </c>
      <c r="BD11" s="243"/>
      <c r="BE11" s="238">
        <v>1.0</v>
      </c>
      <c r="BF11" s="238">
        <v>1.0</v>
      </c>
      <c r="BG11" s="238">
        <v>1.0</v>
      </c>
      <c r="BH11" s="238">
        <v>1.0</v>
      </c>
      <c r="BI11" s="247">
        <v>1.0</v>
      </c>
      <c r="BJ11" s="247">
        <v>1.0</v>
      </c>
      <c r="BK11" s="248">
        <v>3225.0</v>
      </c>
      <c r="BL11" s="239">
        <v>1.0</v>
      </c>
      <c r="BM11" s="240">
        <f t="shared" si="13"/>
        <v>2400</v>
      </c>
      <c r="BN11" s="239">
        <v>2.0</v>
      </c>
      <c r="BO11" s="239">
        <v>6.0</v>
      </c>
      <c r="BP11" s="240">
        <f t="shared" si="14"/>
        <v>170</v>
      </c>
      <c r="BQ11" s="239">
        <v>2.0</v>
      </c>
      <c r="BR11" s="249">
        <f t="shared" si="15"/>
        <v>1020</v>
      </c>
      <c r="BS11" s="239">
        <v>6.0</v>
      </c>
      <c r="BT11" s="249">
        <f t="shared" si="16"/>
        <v>28.33333333</v>
      </c>
      <c r="BU11" s="239">
        <v>2.0</v>
      </c>
      <c r="BV11" s="249">
        <f t="shared" si="17"/>
        <v>85</v>
      </c>
      <c r="BW11" s="239">
        <v>14.0</v>
      </c>
      <c r="BX11" s="249">
        <f t="shared" si="18"/>
        <v>171.4285714</v>
      </c>
      <c r="BY11" s="239"/>
      <c r="BZ11" s="249"/>
      <c r="CA11" s="248">
        <v>2.0</v>
      </c>
      <c r="CB11" s="238" t="s">
        <v>1110</v>
      </c>
      <c r="CC11" s="250"/>
      <c r="CD11" s="251">
        <v>2048.0</v>
      </c>
      <c r="CE11" s="251">
        <v>6143.0</v>
      </c>
      <c r="CF11" s="251">
        <v>1536.0</v>
      </c>
      <c r="CG11" s="251">
        <v>4607.0</v>
      </c>
      <c r="CH11" s="250"/>
      <c r="CI11" s="239">
        <v>4096.0</v>
      </c>
      <c r="CJ11" s="238">
        <v>3072.0</v>
      </c>
      <c r="CK11" s="250"/>
      <c r="CL11" s="238" t="s">
        <v>8</v>
      </c>
      <c r="CM11" s="250"/>
      <c r="CN11" s="238" t="s">
        <v>8</v>
      </c>
      <c r="CO11" s="250"/>
      <c r="CP11" s="250"/>
      <c r="CQ11" s="250"/>
      <c r="CR11" s="250"/>
      <c r="CS11" s="250"/>
      <c r="CT11" s="250"/>
      <c r="CU11" s="250"/>
      <c r="CV11" s="250"/>
      <c r="CW11" s="250"/>
      <c r="CX11" s="250"/>
      <c r="CY11" s="250"/>
      <c r="CZ11" s="204"/>
      <c r="DA11" s="250"/>
      <c r="DB11" s="250"/>
      <c r="DC11" s="250"/>
      <c r="DD11" s="250"/>
      <c r="DE11" s="250"/>
      <c r="DF11" s="250"/>
      <c r="DG11" s="250"/>
      <c r="DH11" s="250"/>
    </row>
    <row r="12" ht="18.75" customHeight="1">
      <c r="A12" s="224"/>
      <c r="B12" s="252">
        <v>3.0</v>
      </c>
      <c r="C12" s="253" t="s">
        <v>1113</v>
      </c>
      <c r="D12" s="237" t="s">
        <v>724</v>
      </c>
      <c r="E12" s="238" t="s">
        <v>1111</v>
      </c>
      <c r="F12" s="238" t="s">
        <v>1111</v>
      </c>
      <c r="G12" s="238">
        <v>4096.0</v>
      </c>
      <c r="H12" s="238">
        <v>3072.0</v>
      </c>
      <c r="I12" s="238">
        <v>3.0</v>
      </c>
      <c r="J12" s="238" t="s">
        <v>1114</v>
      </c>
      <c r="K12" s="239">
        <v>24.0</v>
      </c>
      <c r="L12" s="239">
        <v>3.0</v>
      </c>
      <c r="M12" s="239">
        <v>300.0</v>
      </c>
      <c r="N12" s="240">
        <f t="shared" si="1"/>
        <v>2400</v>
      </c>
      <c r="O12" s="239">
        <v>3.0</v>
      </c>
      <c r="P12" s="239">
        <v>255.0</v>
      </c>
      <c r="Q12" s="240">
        <f t="shared" si="2"/>
        <v>2040</v>
      </c>
      <c r="R12" s="241">
        <f t="shared" si="3"/>
        <v>1371.428571</v>
      </c>
      <c r="S12" s="241">
        <f t="shared" si="4"/>
        <v>2400</v>
      </c>
      <c r="T12" s="241">
        <f t="shared" si="5"/>
        <v>1360</v>
      </c>
      <c r="U12" s="254">
        <f t="shared" si="6"/>
        <v>30</v>
      </c>
      <c r="V12" s="254">
        <f t="shared" si="7"/>
        <v>30.31</v>
      </c>
      <c r="W12" s="242" t="s">
        <v>1115</v>
      </c>
      <c r="X12" s="242" t="s">
        <v>1116</v>
      </c>
      <c r="Y12" s="243">
        <v>3142.0</v>
      </c>
      <c r="Z12" s="238">
        <v>2.0</v>
      </c>
      <c r="AA12" s="238">
        <v>3072.0</v>
      </c>
      <c r="AB12" s="238"/>
      <c r="AC12" s="238">
        <v>0.0</v>
      </c>
      <c r="AD12" s="238"/>
      <c r="AE12" s="238"/>
      <c r="AF12" s="238"/>
      <c r="AG12" s="238"/>
      <c r="AH12" s="238"/>
      <c r="AI12" s="238"/>
      <c r="AJ12" s="238" t="s">
        <v>8</v>
      </c>
      <c r="AK12" s="238" t="s">
        <v>8</v>
      </c>
      <c r="AL12" s="238">
        <v>0.0</v>
      </c>
      <c r="AM12" s="238">
        <v>752.0</v>
      </c>
      <c r="AN12" s="255">
        <f t="shared" si="8"/>
        <v>52</v>
      </c>
      <c r="AO12" s="256">
        <f t="shared" si="9"/>
        <v>0.54</v>
      </c>
      <c r="AP12" s="238">
        <v>4096.0</v>
      </c>
      <c r="AQ12" s="238" t="s">
        <v>8</v>
      </c>
      <c r="AR12" s="238" t="s">
        <v>8</v>
      </c>
      <c r="AS12" s="238">
        <v>0.0</v>
      </c>
      <c r="AT12" s="238">
        <v>508.0</v>
      </c>
      <c r="AU12" s="244">
        <f t="shared" si="10"/>
        <v>10204</v>
      </c>
      <c r="AV12" s="246">
        <f t="shared" si="11"/>
        <v>7.44</v>
      </c>
      <c r="AW12" s="243">
        <v>48.0</v>
      </c>
      <c r="AX12" s="257">
        <v>3174.0</v>
      </c>
      <c r="AY12" s="257">
        <v>1.0</v>
      </c>
      <c r="AZ12" s="238">
        <v>14256.0</v>
      </c>
      <c r="BA12" s="238">
        <v>252.0</v>
      </c>
      <c r="BB12" s="243"/>
      <c r="BC12" s="246">
        <f t="shared" si="12"/>
        <v>10.5</v>
      </c>
      <c r="BD12" s="243"/>
      <c r="BE12" s="238">
        <v>1.0</v>
      </c>
      <c r="BF12" s="238">
        <v>1.0</v>
      </c>
      <c r="BG12" s="238">
        <v>2.0</v>
      </c>
      <c r="BH12" s="238">
        <v>2.0</v>
      </c>
      <c r="BI12" s="247">
        <v>1.0</v>
      </c>
      <c r="BJ12" s="247">
        <v>1.0</v>
      </c>
      <c r="BK12" s="248">
        <v>3174.0</v>
      </c>
      <c r="BL12" s="239">
        <v>1.0</v>
      </c>
      <c r="BM12" s="240">
        <f t="shared" si="13"/>
        <v>2400</v>
      </c>
      <c r="BN12" s="239">
        <v>2.0</v>
      </c>
      <c r="BO12" s="239">
        <v>6.0</v>
      </c>
      <c r="BP12" s="240">
        <f t="shared" si="14"/>
        <v>170</v>
      </c>
      <c r="BQ12" s="239">
        <v>2.0</v>
      </c>
      <c r="BR12" s="249">
        <f t="shared" si="15"/>
        <v>1020</v>
      </c>
      <c r="BS12" s="239">
        <v>6.0</v>
      </c>
      <c r="BT12" s="249">
        <f t="shared" si="16"/>
        <v>28.33333333</v>
      </c>
      <c r="BU12" s="239">
        <v>2.0</v>
      </c>
      <c r="BV12" s="249">
        <f t="shared" si="17"/>
        <v>85</v>
      </c>
      <c r="BW12" s="239">
        <v>14.0</v>
      </c>
      <c r="BX12" s="249">
        <f t="shared" si="18"/>
        <v>171.4285714</v>
      </c>
      <c r="BY12" s="239"/>
      <c r="BZ12" s="249"/>
      <c r="CA12" s="248">
        <v>0.0</v>
      </c>
      <c r="CB12" s="238" t="s">
        <v>1110</v>
      </c>
      <c r="CC12" s="250"/>
      <c r="CD12" s="251">
        <v>0.0</v>
      </c>
      <c r="CE12" s="251">
        <v>8191.0</v>
      </c>
      <c r="CF12" s="251">
        <v>0.0</v>
      </c>
      <c r="CG12" s="251">
        <v>6143.0</v>
      </c>
      <c r="CH12" s="250"/>
      <c r="CI12" s="239">
        <v>4096.0</v>
      </c>
      <c r="CJ12" s="238">
        <v>3072.0</v>
      </c>
      <c r="CK12" s="250"/>
      <c r="CL12" s="238" t="s">
        <v>8</v>
      </c>
      <c r="CM12" s="250"/>
      <c r="CN12" s="238">
        <v>4.0</v>
      </c>
      <c r="CO12" s="250"/>
      <c r="CP12" s="250"/>
      <c r="CQ12" s="250"/>
      <c r="CR12" s="250"/>
      <c r="CS12" s="250"/>
      <c r="CT12" s="250"/>
      <c r="CU12" s="250"/>
      <c r="CV12" s="250"/>
      <c r="CW12" s="250"/>
      <c r="CX12" s="250"/>
      <c r="CY12" s="250"/>
      <c r="CZ12" s="204"/>
      <c r="DA12" s="250"/>
      <c r="DB12" s="250"/>
      <c r="DC12" s="250"/>
      <c r="DD12" s="250"/>
      <c r="DE12" s="250"/>
      <c r="DF12" s="250"/>
      <c r="DG12" s="250"/>
      <c r="DH12" s="250"/>
    </row>
    <row r="13" ht="18.75" customHeight="1">
      <c r="A13" s="224"/>
      <c r="B13" s="225"/>
      <c r="C13" s="225"/>
      <c r="D13" s="237" t="s">
        <v>1117</v>
      </c>
      <c r="E13" s="238" t="s">
        <v>8</v>
      </c>
      <c r="F13" s="238" t="s">
        <v>8</v>
      </c>
      <c r="G13" s="238" t="s">
        <v>8</v>
      </c>
      <c r="H13" s="238" t="s">
        <v>8</v>
      </c>
      <c r="I13" s="238">
        <v>3.0</v>
      </c>
      <c r="J13" s="238" t="s">
        <v>1114</v>
      </c>
      <c r="K13" s="239">
        <v>24.0</v>
      </c>
      <c r="L13" s="239">
        <v>3.0</v>
      </c>
      <c r="M13" s="239">
        <v>300.0</v>
      </c>
      <c r="N13" s="240">
        <f t="shared" si="1"/>
        <v>2400</v>
      </c>
      <c r="O13" s="239">
        <v>3.0</v>
      </c>
      <c r="P13" s="239">
        <v>255.0</v>
      </c>
      <c r="Q13" s="240">
        <f t="shared" si="2"/>
        <v>2040</v>
      </c>
      <c r="R13" s="241">
        <f t="shared" si="3"/>
        <v>1371.428571</v>
      </c>
      <c r="S13" s="241">
        <f t="shared" si="4"/>
        <v>2400</v>
      </c>
      <c r="T13" s="241">
        <f t="shared" si="5"/>
        <v>1360</v>
      </c>
      <c r="U13" s="225"/>
      <c r="V13" s="225"/>
      <c r="W13" s="242" t="s">
        <v>1108</v>
      </c>
      <c r="X13" s="242" t="s">
        <v>1109</v>
      </c>
      <c r="Y13" s="243">
        <v>3142.0</v>
      </c>
      <c r="Z13" s="238" t="s">
        <v>8</v>
      </c>
      <c r="AA13" s="238" t="s">
        <v>8</v>
      </c>
      <c r="AB13" s="238"/>
      <c r="AC13" s="238" t="s">
        <v>8</v>
      </c>
      <c r="AD13" s="238"/>
      <c r="AE13" s="238"/>
      <c r="AF13" s="238"/>
      <c r="AG13" s="238"/>
      <c r="AH13" s="238"/>
      <c r="AI13" s="238"/>
      <c r="AJ13" s="238" t="s">
        <v>8</v>
      </c>
      <c r="AK13" s="238" t="s">
        <v>8</v>
      </c>
      <c r="AL13" s="238" t="s">
        <v>8</v>
      </c>
      <c r="AM13" s="238" t="s">
        <v>8</v>
      </c>
      <c r="AN13" s="225"/>
      <c r="AO13" s="225"/>
      <c r="AP13" s="238" t="s">
        <v>8</v>
      </c>
      <c r="AQ13" s="238" t="s">
        <v>8</v>
      </c>
      <c r="AR13" s="238" t="s">
        <v>8</v>
      </c>
      <c r="AS13" s="238" t="s">
        <v>8</v>
      </c>
      <c r="AT13" s="238" t="s">
        <v>8</v>
      </c>
      <c r="AU13" s="244" t="str">
        <f t="shared" si="10"/>
        <v>-</v>
      </c>
      <c r="AV13" s="246" t="str">
        <f t="shared" si="11"/>
        <v>-</v>
      </c>
      <c r="AW13" s="243">
        <v>48.0</v>
      </c>
      <c r="AX13" s="225"/>
      <c r="AY13" s="225"/>
      <c r="AZ13" s="238">
        <v>14256.0</v>
      </c>
      <c r="BA13" s="238">
        <v>252.0</v>
      </c>
      <c r="BB13" s="243"/>
      <c r="BC13" s="246">
        <f t="shared" si="12"/>
        <v>10.5</v>
      </c>
      <c r="BD13" s="243"/>
      <c r="BE13" s="238" t="s">
        <v>8</v>
      </c>
      <c r="BF13" s="238" t="s">
        <v>8</v>
      </c>
      <c r="BG13" s="238" t="s">
        <v>8</v>
      </c>
      <c r="BH13" s="238" t="s">
        <v>8</v>
      </c>
      <c r="BI13" s="247" t="s">
        <v>8</v>
      </c>
      <c r="BJ13" s="247" t="s">
        <v>8</v>
      </c>
      <c r="BK13" s="248"/>
      <c r="BL13" s="239">
        <v>1.0</v>
      </c>
      <c r="BM13" s="240">
        <f t="shared" si="13"/>
        <v>2400</v>
      </c>
      <c r="BN13" s="239">
        <v>2.0</v>
      </c>
      <c r="BO13" s="239">
        <v>6.0</v>
      </c>
      <c r="BP13" s="240">
        <f t="shared" si="14"/>
        <v>170</v>
      </c>
      <c r="BQ13" s="239">
        <v>2.0</v>
      </c>
      <c r="BR13" s="249">
        <f t="shared" si="15"/>
        <v>1020</v>
      </c>
      <c r="BS13" s="239">
        <v>6.0</v>
      </c>
      <c r="BT13" s="249">
        <f t="shared" si="16"/>
        <v>28.33333333</v>
      </c>
      <c r="BU13" s="239">
        <v>2.0</v>
      </c>
      <c r="BV13" s="249">
        <f t="shared" si="17"/>
        <v>85</v>
      </c>
      <c r="BW13" s="239">
        <v>14.0</v>
      </c>
      <c r="BX13" s="249">
        <f t="shared" si="18"/>
        <v>171.4285714</v>
      </c>
      <c r="BY13" s="239"/>
      <c r="BZ13" s="249"/>
      <c r="CA13" s="248">
        <v>0.0</v>
      </c>
      <c r="CB13" s="238" t="s">
        <v>1110</v>
      </c>
      <c r="CC13" s="250"/>
      <c r="CD13" s="251" t="s">
        <v>8</v>
      </c>
      <c r="CE13" s="251" t="s">
        <v>8</v>
      </c>
      <c r="CF13" s="251" t="s">
        <v>8</v>
      </c>
      <c r="CG13" s="251" t="s">
        <v>8</v>
      </c>
      <c r="CH13" s="250"/>
      <c r="CI13" s="239" t="s">
        <v>8</v>
      </c>
      <c r="CJ13" s="238" t="s">
        <v>8</v>
      </c>
      <c r="CK13" s="250"/>
      <c r="CL13" s="238" t="s">
        <v>8</v>
      </c>
      <c r="CM13" s="250"/>
      <c r="CN13" s="238">
        <v>1.0</v>
      </c>
      <c r="CO13" s="250"/>
      <c r="CP13" s="250"/>
      <c r="CQ13" s="250"/>
      <c r="CR13" s="250"/>
      <c r="CS13" s="250"/>
      <c r="CT13" s="250"/>
      <c r="CU13" s="250"/>
      <c r="CV13" s="250"/>
      <c r="CW13" s="250"/>
      <c r="CX13" s="250"/>
      <c r="CY13" s="250"/>
      <c r="CZ13" s="204"/>
      <c r="DA13" s="250"/>
      <c r="DB13" s="250"/>
      <c r="DC13" s="250"/>
      <c r="DD13" s="250"/>
      <c r="DE13" s="250"/>
      <c r="DF13" s="250"/>
      <c r="DG13" s="250"/>
      <c r="DH13" s="250"/>
    </row>
    <row r="14" ht="18.75" customHeight="1">
      <c r="A14" s="224"/>
      <c r="B14" s="235">
        <v>4.0</v>
      </c>
      <c r="C14" s="236" t="s">
        <v>1106</v>
      </c>
      <c r="D14" s="237" t="s">
        <v>723</v>
      </c>
      <c r="E14" s="238" t="s">
        <v>1111</v>
      </c>
      <c r="F14" s="238" t="s">
        <v>1111</v>
      </c>
      <c r="G14" s="238">
        <v>4096.0</v>
      </c>
      <c r="H14" s="238">
        <v>3072.0</v>
      </c>
      <c r="I14" s="238">
        <v>3.0</v>
      </c>
      <c r="J14" s="238" t="s">
        <v>1114</v>
      </c>
      <c r="K14" s="239">
        <v>24.0</v>
      </c>
      <c r="L14" s="239">
        <v>3.0</v>
      </c>
      <c r="M14" s="239">
        <v>300.0</v>
      </c>
      <c r="N14" s="240">
        <f t="shared" si="1"/>
        <v>2400</v>
      </c>
      <c r="O14" s="239">
        <v>3.0</v>
      </c>
      <c r="P14" s="239">
        <v>255.0</v>
      </c>
      <c r="Q14" s="240">
        <f t="shared" si="2"/>
        <v>2040</v>
      </c>
      <c r="R14" s="241">
        <f t="shared" si="3"/>
        <v>1371.428571</v>
      </c>
      <c r="S14" s="241">
        <f t="shared" si="4"/>
        <v>2400</v>
      </c>
      <c r="T14" s="241">
        <f t="shared" si="5"/>
        <v>1360</v>
      </c>
      <c r="U14" s="241">
        <f t="shared" ref="U14:U20" si="19">ROUNDDOWN(
IF(BA14="-", BP14* 10^6/ AZ14 * 8,
     K14 * 10^6/ BA14 )
/
(AX14 * IF(AY14="-", 1,IF(RIGHT(C14, 10)="LB-MF_auto", 1, AY14))
+ IF(C14="2exp LB-MF_manual", AX15, 0)
+ IF(C14="3exp LB-MF_manual", AX15 + AX16, 0)),2)</f>
        <v>30</v>
      </c>
      <c r="V14" s="241">
        <f t="shared" ref="V14:V20" si="20">ROUNDDOWN(
IF(BA14="-", BP14* 10^6/ AZ14 * 8,
     K14 * 10^6/ BA14 )
/
(Y14 * IF(AY14="-", 1,IF(RIGHT(C14, 10)="LB-MF_auto", 1, AY14))
+ IF(C14="2exp LB-MF_manual", Y15, 0)
+ IF(C14="3exp LB-MF_manual", Y15 + Y16, 0)),2)</f>
        <v>36.27</v>
      </c>
      <c r="W14" s="242" t="s">
        <v>1108</v>
      </c>
      <c r="X14" s="242" t="s">
        <v>1112</v>
      </c>
      <c r="Y14" s="243">
        <v>3136.0</v>
      </c>
      <c r="Z14" s="238">
        <v>2.0</v>
      </c>
      <c r="AA14" s="238">
        <v>3072.0</v>
      </c>
      <c r="AB14" s="238"/>
      <c r="AC14" s="238" t="s">
        <v>8</v>
      </c>
      <c r="AD14" s="238"/>
      <c r="AE14" s="238"/>
      <c r="AF14" s="238"/>
      <c r="AG14" s="238"/>
      <c r="AH14" s="238"/>
      <c r="AI14" s="238"/>
      <c r="AJ14" s="238">
        <v>768.0</v>
      </c>
      <c r="AK14" s="238" t="s">
        <v>8</v>
      </c>
      <c r="AL14" s="238" t="s">
        <v>8</v>
      </c>
      <c r="AM14" s="238" t="s">
        <v>8</v>
      </c>
      <c r="AN14" s="244">
        <f t="shared" ref="AN14:AN20" si="21">(BK14 - ((CG14 - CF14 + 1) / BH14 / BF14 + Z14 + AW14)) * IF(AY14="-", 1, IF(RIGHT(C14,10)="LB-MF_auto", 1, AY14))
- IF(AND(RIGHT(C14, 3)="DOL", AY14=2), SUM(AB14:AI15),
 IF(AND(RIGHT(C14,3)="DOL", AY14=3), SUM(AB14:AI16), SUM(AB14:AI14)))</f>
        <v>669</v>
      </c>
      <c r="AO14" s="245">
        <f t="shared" ref="AO14:AO20" si="22">ROUNDDOWN(
IF(BA14="-",AZ14 / 8 * (1 / BP14 / 1000) * AN14,
BA14 * (1 / K14 / 1000) * AN14),
2)</f>
        <v>5.88</v>
      </c>
      <c r="AP14" s="238">
        <v>4096.0</v>
      </c>
      <c r="AQ14" s="238">
        <v>4096.0</v>
      </c>
      <c r="AR14" s="238" t="s">
        <v>8</v>
      </c>
      <c r="AS14" s="238" t="s">
        <v>8</v>
      </c>
      <c r="AT14" s="238" t="s">
        <v>8</v>
      </c>
      <c r="AU14" s="244">
        <f t="shared" si="10"/>
        <v>6837</v>
      </c>
      <c r="AV14" s="246">
        <f t="shared" si="11"/>
        <v>4.98</v>
      </c>
      <c r="AW14" s="243">
        <v>48.0</v>
      </c>
      <c r="AX14" s="238">
        <v>3791.0</v>
      </c>
      <c r="AY14" s="238" t="s">
        <v>8</v>
      </c>
      <c r="AZ14" s="238">
        <v>11904.0</v>
      </c>
      <c r="BA14" s="238">
        <v>211.0</v>
      </c>
      <c r="BB14" s="243"/>
      <c r="BC14" s="246">
        <f t="shared" si="12"/>
        <v>8.79</v>
      </c>
      <c r="BD14" s="243"/>
      <c r="BE14" s="238">
        <v>1.0</v>
      </c>
      <c r="BF14" s="238">
        <v>1.0</v>
      </c>
      <c r="BG14" s="238">
        <v>2.0</v>
      </c>
      <c r="BH14" s="238">
        <v>2.0</v>
      </c>
      <c r="BI14" s="247">
        <v>1.0</v>
      </c>
      <c r="BJ14" s="247">
        <v>1.0</v>
      </c>
      <c r="BK14" s="248">
        <v>3791.0</v>
      </c>
      <c r="BL14" s="239">
        <v>1.0</v>
      </c>
      <c r="BM14" s="240">
        <f t="shared" si="13"/>
        <v>2400</v>
      </c>
      <c r="BN14" s="239">
        <v>2.0</v>
      </c>
      <c r="BO14" s="239">
        <v>6.0</v>
      </c>
      <c r="BP14" s="240">
        <f t="shared" si="14"/>
        <v>170</v>
      </c>
      <c r="BQ14" s="239">
        <v>2.0</v>
      </c>
      <c r="BR14" s="249">
        <f t="shared" si="15"/>
        <v>1020</v>
      </c>
      <c r="BS14" s="239">
        <v>6.0</v>
      </c>
      <c r="BT14" s="249">
        <f t="shared" si="16"/>
        <v>28.33333333</v>
      </c>
      <c r="BU14" s="239">
        <v>2.0</v>
      </c>
      <c r="BV14" s="249">
        <f t="shared" si="17"/>
        <v>85</v>
      </c>
      <c r="BW14" s="239">
        <v>14.0</v>
      </c>
      <c r="BX14" s="249">
        <f t="shared" si="18"/>
        <v>171.4285714</v>
      </c>
      <c r="BY14" s="239"/>
      <c r="BZ14" s="249"/>
      <c r="CA14" s="248">
        <v>1.0</v>
      </c>
      <c r="CB14" s="238" t="s">
        <v>1110</v>
      </c>
      <c r="CC14" s="250"/>
      <c r="CD14" s="251">
        <v>0.0</v>
      </c>
      <c r="CE14" s="251">
        <v>8191.0</v>
      </c>
      <c r="CF14" s="251">
        <v>0.0</v>
      </c>
      <c r="CG14" s="251">
        <v>6143.0</v>
      </c>
      <c r="CH14" s="250"/>
      <c r="CI14" s="239">
        <v>4096.0</v>
      </c>
      <c r="CJ14" s="238">
        <v>3072.0</v>
      </c>
      <c r="CK14" s="250"/>
      <c r="CL14" s="238" t="s">
        <v>8</v>
      </c>
      <c r="CM14" s="250"/>
      <c r="CN14" s="238" t="s">
        <v>8</v>
      </c>
      <c r="CO14" s="250"/>
      <c r="CP14" s="250"/>
      <c r="CQ14" s="250"/>
      <c r="CR14" s="250"/>
      <c r="CS14" s="250"/>
      <c r="CT14" s="250"/>
      <c r="CU14" s="250"/>
      <c r="CV14" s="250"/>
      <c r="CW14" s="250"/>
      <c r="CX14" s="250"/>
      <c r="CY14" s="250"/>
      <c r="CZ14" s="204"/>
      <c r="DA14" s="250"/>
      <c r="DB14" s="250"/>
      <c r="DC14" s="250"/>
      <c r="DD14" s="250"/>
      <c r="DE14" s="250"/>
      <c r="DF14" s="250"/>
      <c r="DG14" s="250"/>
      <c r="DH14" s="250"/>
    </row>
    <row r="15" ht="18.75" customHeight="1">
      <c r="A15" s="224"/>
      <c r="B15" s="235">
        <v>5.0</v>
      </c>
      <c r="C15" s="236" t="s">
        <v>1106</v>
      </c>
      <c r="D15" s="237" t="s">
        <v>725</v>
      </c>
      <c r="E15" s="238" t="s">
        <v>1111</v>
      </c>
      <c r="F15" s="238" t="s">
        <v>1111</v>
      </c>
      <c r="G15" s="238">
        <v>4096.0</v>
      </c>
      <c r="H15" s="238">
        <v>2304.0</v>
      </c>
      <c r="I15" s="238">
        <v>3.0</v>
      </c>
      <c r="J15" s="238" t="s">
        <v>1107</v>
      </c>
      <c r="K15" s="239">
        <v>24.0</v>
      </c>
      <c r="L15" s="239">
        <v>3.0</v>
      </c>
      <c r="M15" s="239">
        <v>300.0</v>
      </c>
      <c r="N15" s="240">
        <f t="shared" si="1"/>
        <v>2400</v>
      </c>
      <c r="O15" s="239">
        <v>3.0</v>
      </c>
      <c r="P15" s="239">
        <v>255.0</v>
      </c>
      <c r="Q15" s="240">
        <f t="shared" si="2"/>
        <v>2040</v>
      </c>
      <c r="R15" s="241">
        <f t="shared" si="3"/>
        <v>1645.714286</v>
      </c>
      <c r="S15" s="241">
        <f t="shared" si="4"/>
        <v>2400</v>
      </c>
      <c r="T15" s="241">
        <f t="shared" si="5"/>
        <v>1360</v>
      </c>
      <c r="U15" s="241">
        <f t="shared" si="19"/>
        <v>60.01</v>
      </c>
      <c r="V15" s="241">
        <f t="shared" si="20"/>
        <v>80.43</v>
      </c>
      <c r="W15" s="242" t="s">
        <v>1108</v>
      </c>
      <c r="X15" s="242" t="s">
        <v>1112</v>
      </c>
      <c r="Y15" s="243">
        <v>2368.0</v>
      </c>
      <c r="Z15" s="238">
        <v>2.0</v>
      </c>
      <c r="AA15" s="238">
        <v>2304.0</v>
      </c>
      <c r="AB15" s="238"/>
      <c r="AC15" s="238" t="s">
        <v>8</v>
      </c>
      <c r="AD15" s="238"/>
      <c r="AE15" s="238"/>
      <c r="AF15" s="238"/>
      <c r="AG15" s="238"/>
      <c r="AH15" s="238"/>
      <c r="AI15" s="238"/>
      <c r="AJ15" s="238" t="s">
        <v>8</v>
      </c>
      <c r="AK15" s="238">
        <v>576.0</v>
      </c>
      <c r="AL15" s="238" t="s">
        <v>8</v>
      </c>
      <c r="AM15" s="238" t="s">
        <v>8</v>
      </c>
      <c r="AN15" s="244">
        <f t="shared" si="21"/>
        <v>820</v>
      </c>
      <c r="AO15" s="245">
        <f t="shared" si="22"/>
        <v>4.3</v>
      </c>
      <c r="AP15" s="238">
        <v>4096.0</v>
      </c>
      <c r="AQ15" s="238" t="s">
        <v>8</v>
      </c>
      <c r="AR15" s="238">
        <v>508.0</v>
      </c>
      <c r="AS15" s="238" t="s">
        <v>8</v>
      </c>
      <c r="AT15" s="238" t="s">
        <v>8</v>
      </c>
      <c r="AU15" s="244">
        <f t="shared" si="10"/>
        <v>4444</v>
      </c>
      <c r="AV15" s="246">
        <f t="shared" si="11"/>
        <v>2.7</v>
      </c>
      <c r="AW15" s="243">
        <v>48.0</v>
      </c>
      <c r="AX15" s="238">
        <v>3174.0</v>
      </c>
      <c r="AY15" s="238" t="s">
        <v>8</v>
      </c>
      <c r="AZ15" s="238">
        <v>7136.0</v>
      </c>
      <c r="BA15" s="238">
        <v>126.0</v>
      </c>
      <c r="BB15" s="243"/>
      <c r="BC15" s="246">
        <f t="shared" si="12"/>
        <v>5.25</v>
      </c>
      <c r="BD15" s="243"/>
      <c r="BE15" s="238">
        <v>1.0</v>
      </c>
      <c r="BF15" s="238">
        <v>1.0</v>
      </c>
      <c r="BG15" s="238">
        <v>2.0</v>
      </c>
      <c r="BH15" s="238">
        <v>2.0</v>
      </c>
      <c r="BI15" s="247">
        <v>1.0</v>
      </c>
      <c r="BJ15" s="247">
        <v>1.0</v>
      </c>
      <c r="BK15" s="248">
        <v>3174.0</v>
      </c>
      <c r="BL15" s="239">
        <v>1.0</v>
      </c>
      <c r="BM15" s="240">
        <f t="shared" si="13"/>
        <v>2400</v>
      </c>
      <c r="BN15" s="239">
        <v>2.0</v>
      </c>
      <c r="BO15" s="239">
        <v>6.0</v>
      </c>
      <c r="BP15" s="240">
        <f t="shared" si="14"/>
        <v>170</v>
      </c>
      <c r="BQ15" s="239">
        <v>2.0</v>
      </c>
      <c r="BR15" s="249">
        <f t="shared" si="15"/>
        <v>1020</v>
      </c>
      <c r="BS15" s="239">
        <v>6.0</v>
      </c>
      <c r="BT15" s="249">
        <f t="shared" si="16"/>
        <v>28.33333333</v>
      </c>
      <c r="BU15" s="239">
        <v>2.0</v>
      </c>
      <c r="BV15" s="249">
        <f t="shared" si="17"/>
        <v>85</v>
      </c>
      <c r="BW15" s="239">
        <v>14.0</v>
      </c>
      <c r="BX15" s="249">
        <f t="shared" si="18"/>
        <v>171.4285714</v>
      </c>
      <c r="BY15" s="239"/>
      <c r="BZ15" s="249"/>
      <c r="CA15" s="248">
        <v>0.0</v>
      </c>
      <c r="CB15" s="238" t="s">
        <v>1110</v>
      </c>
      <c r="CC15" s="250"/>
      <c r="CD15" s="251">
        <v>0.0</v>
      </c>
      <c r="CE15" s="251">
        <v>8191.0</v>
      </c>
      <c r="CF15" s="251">
        <v>768.0</v>
      </c>
      <c r="CG15" s="251">
        <v>5375.0</v>
      </c>
      <c r="CH15" s="250"/>
      <c r="CI15" s="239">
        <v>4096.0</v>
      </c>
      <c r="CJ15" s="238">
        <v>2304.0</v>
      </c>
      <c r="CK15" s="250"/>
      <c r="CL15" s="238" t="s">
        <v>8</v>
      </c>
      <c r="CM15" s="250"/>
      <c r="CN15" s="238" t="s">
        <v>8</v>
      </c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04"/>
      <c r="DA15" s="250"/>
      <c r="DB15" s="250"/>
      <c r="DC15" s="250"/>
      <c r="DD15" s="250"/>
      <c r="DE15" s="250"/>
      <c r="DF15" s="250"/>
      <c r="DG15" s="250"/>
      <c r="DH15" s="250"/>
    </row>
    <row r="16" ht="18.75" customHeight="1">
      <c r="A16" s="224"/>
      <c r="B16" s="235">
        <v>6.0</v>
      </c>
      <c r="C16" s="236" t="s">
        <v>1106</v>
      </c>
      <c r="D16" s="237" t="s">
        <v>726</v>
      </c>
      <c r="E16" s="238" t="s">
        <v>1111</v>
      </c>
      <c r="F16" s="238" t="s">
        <v>1111</v>
      </c>
      <c r="G16" s="238">
        <v>2048.0</v>
      </c>
      <c r="H16" s="238">
        <v>1152.0</v>
      </c>
      <c r="I16" s="238">
        <v>3.0</v>
      </c>
      <c r="J16" s="238" t="s">
        <v>1107</v>
      </c>
      <c r="K16" s="239">
        <v>24.0</v>
      </c>
      <c r="L16" s="239">
        <v>3.0</v>
      </c>
      <c r="M16" s="239">
        <v>300.0</v>
      </c>
      <c r="N16" s="240">
        <f t="shared" si="1"/>
        <v>2400</v>
      </c>
      <c r="O16" s="239">
        <v>3.0</v>
      </c>
      <c r="P16" s="239">
        <v>255.0</v>
      </c>
      <c r="Q16" s="240">
        <f t="shared" si="2"/>
        <v>2040</v>
      </c>
      <c r="R16" s="241">
        <f t="shared" si="3"/>
        <v>1645.714286</v>
      </c>
      <c r="S16" s="241">
        <f t="shared" si="4"/>
        <v>2400</v>
      </c>
      <c r="T16" s="241">
        <f t="shared" si="5"/>
        <v>1360</v>
      </c>
      <c r="U16" s="241">
        <f t="shared" si="19"/>
        <v>120.07</v>
      </c>
      <c r="V16" s="241">
        <f t="shared" si="20"/>
        <v>262.28</v>
      </c>
      <c r="W16" s="242" t="s">
        <v>1108</v>
      </c>
      <c r="X16" s="242" t="s">
        <v>1112</v>
      </c>
      <c r="Y16" s="243">
        <v>1204.0</v>
      </c>
      <c r="Z16" s="238">
        <v>2.0</v>
      </c>
      <c r="AA16" s="238">
        <v>1152.0</v>
      </c>
      <c r="AB16" s="238"/>
      <c r="AC16" s="238" t="s">
        <v>8</v>
      </c>
      <c r="AD16" s="238"/>
      <c r="AE16" s="238"/>
      <c r="AF16" s="238"/>
      <c r="AG16" s="238"/>
      <c r="AH16" s="238"/>
      <c r="AI16" s="238"/>
      <c r="AJ16" s="238" t="s">
        <v>8</v>
      </c>
      <c r="AK16" s="238" t="s">
        <v>8</v>
      </c>
      <c r="AL16" s="238" t="s">
        <v>8</v>
      </c>
      <c r="AM16" s="238" t="s">
        <v>8</v>
      </c>
      <c r="AN16" s="244">
        <f t="shared" si="21"/>
        <v>1446</v>
      </c>
      <c r="AO16" s="245">
        <f t="shared" si="22"/>
        <v>4.57</v>
      </c>
      <c r="AP16" s="238">
        <v>2048.0</v>
      </c>
      <c r="AQ16" s="238" t="s">
        <v>8</v>
      </c>
      <c r="AR16" s="238" t="s">
        <v>8</v>
      </c>
      <c r="AS16" s="238" t="s">
        <v>8</v>
      </c>
      <c r="AT16" s="238" t="s">
        <v>8</v>
      </c>
      <c r="AU16" s="244">
        <f t="shared" si="10"/>
        <v>3063</v>
      </c>
      <c r="AV16" s="246">
        <f t="shared" si="11"/>
        <v>1.86</v>
      </c>
      <c r="AW16" s="243">
        <v>30.0</v>
      </c>
      <c r="AX16" s="238">
        <v>2630.0</v>
      </c>
      <c r="AY16" s="238" t="s">
        <v>8</v>
      </c>
      <c r="AZ16" s="238">
        <v>4264.0</v>
      </c>
      <c r="BA16" s="238">
        <v>76.0</v>
      </c>
      <c r="BB16" s="243"/>
      <c r="BC16" s="246">
        <f t="shared" si="12"/>
        <v>3.16</v>
      </c>
      <c r="BD16" s="243"/>
      <c r="BE16" s="238">
        <v>1.0</v>
      </c>
      <c r="BF16" s="238">
        <v>1.0</v>
      </c>
      <c r="BG16" s="238">
        <v>4.0</v>
      </c>
      <c r="BH16" s="238">
        <v>4.0</v>
      </c>
      <c r="BI16" s="247">
        <v>1.0</v>
      </c>
      <c r="BJ16" s="247">
        <v>1.0</v>
      </c>
      <c r="BK16" s="248">
        <v>2630.0</v>
      </c>
      <c r="BL16" s="239">
        <v>1.0</v>
      </c>
      <c r="BM16" s="240">
        <f t="shared" si="13"/>
        <v>2400</v>
      </c>
      <c r="BN16" s="239">
        <v>2.0</v>
      </c>
      <c r="BO16" s="239">
        <v>6.0</v>
      </c>
      <c r="BP16" s="240">
        <f t="shared" si="14"/>
        <v>170</v>
      </c>
      <c r="BQ16" s="239">
        <v>2.0</v>
      </c>
      <c r="BR16" s="249">
        <f t="shared" si="15"/>
        <v>1020</v>
      </c>
      <c r="BS16" s="239">
        <v>6.0</v>
      </c>
      <c r="BT16" s="249">
        <f t="shared" si="16"/>
        <v>28.33333333</v>
      </c>
      <c r="BU16" s="239">
        <v>2.0</v>
      </c>
      <c r="BV16" s="249">
        <f t="shared" si="17"/>
        <v>85</v>
      </c>
      <c r="BW16" s="239">
        <v>14.0</v>
      </c>
      <c r="BX16" s="249">
        <f t="shared" si="18"/>
        <v>171.4285714</v>
      </c>
      <c r="BY16" s="239"/>
      <c r="BZ16" s="249"/>
      <c r="CA16" s="248">
        <v>0.0</v>
      </c>
      <c r="CB16" s="238" t="s">
        <v>1110</v>
      </c>
      <c r="CC16" s="250"/>
      <c r="CD16" s="251">
        <v>0.0</v>
      </c>
      <c r="CE16" s="251">
        <v>8191.0</v>
      </c>
      <c r="CF16" s="251">
        <v>768.0</v>
      </c>
      <c r="CG16" s="251">
        <v>5375.0</v>
      </c>
      <c r="CH16" s="250"/>
      <c r="CI16" s="239">
        <v>2048.0</v>
      </c>
      <c r="CJ16" s="238">
        <v>1152.0</v>
      </c>
      <c r="CK16" s="250"/>
      <c r="CL16" s="238" t="s">
        <v>8</v>
      </c>
      <c r="CM16" s="250"/>
      <c r="CN16" s="238" t="s">
        <v>8</v>
      </c>
      <c r="CO16" s="250"/>
      <c r="CP16" s="250"/>
      <c r="CQ16" s="250"/>
      <c r="CR16" s="250"/>
      <c r="CS16" s="250"/>
      <c r="CT16" s="250"/>
      <c r="CU16" s="250"/>
      <c r="CV16" s="250"/>
      <c r="CW16" s="250"/>
      <c r="CX16" s="250"/>
      <c r="CY16" s="250"/>
      <c r="CZ16" s="204"/>
      <c r="DA16" s="250"/>
      <c r="DB16" s="250"/>
      <c r="DC16" s="250"/>
      <c r="DD16" s="250"/>
      <c r="DE16" s="250"/>
      <c r="DF16" s="250"/>
      <c r="DG16" s="250"/>
      <c r="DH16" s="250"/>
    </row>
    <row r="17" ht="18.75" customHeight="1">
      <c r="A17" s="224"/>
      <c r="B17" s="235">
        <v>7.0</v>
      </c>
      <c r="C17" s="236" t="s">
        <v>1106</v>
      </c>
      <c r="D17" s="237" t="s">
        <v>726</v>
      </c>
      <c r="E17" s="238" t="s">
        <v>1111</v>
      </c>
      <c r="F17" s="238" t="s">
        <v>1111</v>
      </c>
      <c r="G17" s="238">
        <v>2048.0</v>
      </c>
      <c r="H17" s="238">
        <v>1152.0</v>
      </c>
      <c r="I17" s="238">
        <v>3.0</v>
      </c>
      <c r="J17" s="238" t="s">
        <v>1107</v>
      </c>
      <c r="K17" s="239">
        <v>24.0</v>
      </c>
      <c r="L17" s="239">
        <v>3.0</v>
      </c>
      <c r="M17" s="239">
        <v>300.0</v>
      </c>
      <c r="N17" s="240">
        <f t="shared" si="1"/>
        <v>2400</v>
      </c>
      <c r="O17" s="239">
        <v>3.0</v>
      </c>
      <c r="P17" s="239">
        <v>255.0</v>
      </c>
      <c r="Q17" s="240">
        <f t="shared" si="2"/>
        <v>2040</v>
      </c>
      <c r="R17" s="241">
        <f t="shared" si="3"/>
        <v>1645.714286</v>
      </c>
      <c r="S17" s="241">
        <f t="shared" si="4"/>
        <v>2400</v>
      </c>
      <c r="T17" s="241">
        <f t="shared" si="5"/>
        <v>1360</v>
      </c>
      <c r="U17" s="241">
        <f t="shared" si="19"/>
        <v>240.32</v>
      </c>
      <c r="V17" s="241">
        <f t="shared" si="20"/>
        <v>262.28</v>
      </c>
      <c r="W17" s="242" t="s">
        <v>1108</v>
      </c>
      <c r="X17" s="242" t="s">
        <v>1112</v>
      </c>
      <c r="Y17" s="243">
        <v>1204.0</v>
      </c>
      <c r="Z17" s="238">
        <v>2.0</v>
      </c>
      <c r="AA17" s="238">
        <v>1152.0</v>
      </c>
      <c r="AB17" s="238"/>
      <c r="AC17" s="238" t="s">
        <v>8</v>
      </c>
      <c r="AD17" s="238"/>
      <c r="AE17" s="238"/>
      <c r="AF17" s="238"/>
      <c r="AG17" s="238"/>
      <c r="AH17" s="238"/>
      <c r="AI17" s="238"/>
      <c r="AJ17" s="238" t="s">
        <v>8</v>
      </c>
      <c r="AK17" s="238" t="s">
        <v>8</v>
      </c>
      <c r="AL17" s="238" t="s">
        <v>8</v>
      </c>
      <c r="AM17" s="238" t="s">
        <v>8</v>
      </c>
      <c r="AN17" s="244">
        <f t="shared" si="21"/>
        <v>130</v>
      </c>
      <c r="AO17" s="245">
        <f t="shared" si="22"/>
        <v>0.41</v>
      </c>
      <c r="AP17" s="238">
        <v>2048.0</v>
      </c>
      <c r="AQ17" s="238" t="s">
        <v>8</v>
      </c>
      <c r="AR17" s="238" t="s">
        <v>8</v>
      </c>
      <c r="AS17" s="238" t="s">
        <v>8</v>
      </c>
      <c r="AT17" s="238" t="s">
        <v>8</v>
      </c>
      <c r="AU17" s="244">
        <f t="shared" si="10"/>
        <v>3063</v>
      </c>
      <c r="AV17" s="246">
        <f t="shared" si="11"/>
        <v>1.86</v>
      </c>
      <c r="AW17" s="243">
        <v>30.0</v>
      </c>
      <c r="AX17" s="238">
        <v>1314.0</v>
      </c>
      <c r="AY17" s="238" t="s">
        <v>8</v>
      </c>
      <c r="AZ17" s="238">
        <v>4264.0</v>
      </c>
      <c r="BA17" s="238">
        <v>76.0</v>
      </c>
      <c r="BB17" s="243"/>
      <c r="BC17" s="246">
        <f t="shared" si="12"/>
        <v>3.16</v>
      </c>
      <c r="BD17" s="243"/>
      <c r="BE17" s="238">
        <v>1.0</v>
      </c>
      <c r="BF17" s="238">
        <v>1.0</v>
      </c>
      <c r="BG17" s="238">
        <v>4.0</v>
      </c>
      <c r="BH17" s="238">
        <v>4.0</v>
      </c>
      <c r="BI17" s="247">
        <v>1.0</v>
      </c>
      <c r="BJ17" s="247">
        <v>1.0</v>
      </c>
      <c r="BK17" s="248">
        <v>1314.0</v>
      </c>
      <c r="BL17" s="239">
        <v>1.0</v>
      </c>
      <c r="BM17" s="240">
        <f t="shared" si="13"/>
        <v>2400</v>
      </c>
      <c r="BN17" s="239">
        <v>2.0</v>
      </c>
      <c r="BO17" s="239">
        <v>6.0</v>
      </c>
      <c r="BP17" s="240">
        <f t="shared" si="14"/>
        <v>170</v>
      </c>
      <c r="BQ17" s="239">
        <v>2.0</v>
      </c>
      <c r="BR17" s="249">
        <f t="shared" si="15"/>
        <v>1020</v>
      </c>
      <c r="BS17" s="239">
        <v>6.0</v>
      </c>
      <c r="BT17" s="249">
        <f t="shared" si="16"/>
        <v>28.33333333</v>
      </c>
      <c r="BU17" s="239">
        <v>2.0</v>
      </c>
      <c r="BV17" s="249">
        <f t="shared" si="17"/>
        <v>85</v>
      </c>
      <c r="BW17" s="239">
        <v>14.0</v>
      </c>
      <c r="BX17" s="249">
        <f t="shared" si="18"/>
        <v>171.4285714</v>
      </c>
      <c r="BY17" s="239"/>
      <c r="BZ17" s="249"/>
      <c r="CA17" s="248">
        <v>0.0</v>
      </c>
      <c r="CB17" s="238" t="s">
        <v>1110</v>
      </c>
      <c r="CC17" s="250"/>
      <c r="CD17" s="251">
        <v>0.0</v>
      </c>
      <c r="CE17" s="251">
        <v>8191.0</v>
      </c>
      <c r="CF17" s="251">
        <v>768.0</v>
      </c>
      <c r="CG17" s="251">
        <v>5375.0</v>
      </c>
      <c r="CH17" s="250"/>
      <c r="CI17" s="239">
        <v>2048.0</v>
      </c>
      <c r="CJ17" s="238">
        <v>1152.0</v>
      </c>
      <c r="CK17" s="250"/>
      <c r="CL17" s="238" t="s">
        <v>8</v>
      </c>
      <c r="CM17" s="250"/>
      <c r="CN17" s="238" t="s">
        <v>8</v>
      </c>
      <c r="CO17" s="250"/>
      <c r="CP17" s="250"/>
      <c r="CQ17" s="250"/>
      <c r="CR17" s="250"/>
      <c r="CS17" s="250"/>
      <c r="CT17" s="250"/>
      <c r="CU17" s="250"/>
      <c r="CV17" s="250"/>
      <c r="CW17" s="250"/>
      <c r="CX17" s="250"/>
      <c r="CY17" s="250"/>
      <c r="CZ17" s="204"/>
      <c r="DA17" s="250"/>
      <c r="DB17" s="250"/>
      <c r="DC17" s="250"/>
      <c r="DD17" s="250"/>
      <c r="DE17" s="250"/>
      <c r="DF17" s="250"/>
      <c r="DG17" s="250"/>
      <c r="DH17" s="250"/>
    </row>
    <row r="18" ht="18.75" customHeight="1">
      <c r="A18" s="224"/>
      <c r="B18" s="235">
        <v>8.0</v>
      </c>
      <c r="C18" s="236" t="s">
        <v>1106</v>
      </c>
      <c r="D18" s="237" t="s">
        <v>727</v>
      </c>
      <c r="E18" s="238" t="s">
        <v>1111</v>
      </c>
      <c r="F18" s="238" t="s">
        <v>1111</v>
      </c>
      <c r="G18" s="238">
        <v>2048.0</v>
      </c>
      <c r="H18" s="238">
        <v>1536.0</v>
      </c>
      <c r="I18" s="238">
        <v>3.0</v>
      </c>
      <c r="J18" s="238" t="s">
        <v>1107</v>
      </c>
      <c r="K18" s="239">
        <v>24.0</v>
      </c>
      <c r="L18" s="239">
        <v>3.0</v>
      </c>
      <c r="M18" s="239">
        <v>300.0</v>
      </c>
      <c r="N18" s="240">
        <f t="shared" si="1"/>
        <v>2400</v>
      </c>
      <c r="O18" s="239">
        <v>3.0</v>
      </c>
      <c r="P18" s="239">
        <v>255.0</v>
      </c>
      <c r="Q18" s="240">
        <f t="shared" si="2"/>
        <v>2040</v>
      </c>
      <c r="R18" s="241">
        <f t="shared" si="3"/>
        <v>1645.714286</v>
      </c>
      <c r="S18" s="241">
        <f t="shared" si="4"/>
        <v>2400</v>
      </c>
      <c r="T18" s="241">
        <f t="shared" si="5"/>
        <v>1360</v>
      </c>
      <c r="U18" s="241">
        <f t="shared" si="19"/>
        <v>30</v>
      </c>
      <c r="V18" s="241">
        <f t="shared" si="20"/>
        <v>127</v>
      </c>
      <c r="W18" s="242" t="s">
        <v>1108</v>
      </c>
      <c r="X18" s="242" t="s">
        <v>1112</v>
      </c>
      <c r="Y18" s="243">
        <v>1588.0</v>
      </c>
      <c r="Z18" s="238">
        <v>2.0</v>
      </c>
      <c r="AA18" s="238">
        <v>1536.0</v>
      </c>
      <c r="AB18" s="238"/>
      <c r="AC18" s="238" t="s">
        <v>8</v>
      </c>
      <c r="AD18" s="238"/>
      <c r="AE18" s="238"/>
      <c r="AF18" s="238"/>
      <c r="AG18" s="238"/>
      <c r="AH18" s="238"/>
      <c r="AI18" s="238"/>
      <c r="AJ18" s="238">
        <v>384.0</v>
      </c>
      <c r="AK18" s="238" t="s">
        <v>8</v>
      </c>
      <c r="AL18" s="238" t="s">
        <v>8</v>
      </c>
      <c r="AM18" s="238" t="s">
        <v>8</v>
      </c>
      <c r="AN18" s="244">
        <f t="shared" si="21"/>
        <v>5154</v>
      </c>
      <c r="AO18" s="245">
        <f t="shared" si="22"/>
        <v>25.55</v>
      </c>
      <c r="AP18" s="238">
        <v>2048.0</v>
      </c>
      <c r="AQ18" s="238">
        <v>2048.0</v>
      </c>
      <c r="AR18" s="238" t="s">
        <v>8</v>
      </c>
      <c r="AS18" s="238" t="s">
        <v>8</v>
      </c>
      <c r="AT18" s="238" t="s">
        <v>8</v>
      </c>
      <c r="AU18" s="244">
        <f t="shared" si="10"/>
        <v>5500</v>
      </c>
      <c r="AV18" s="246">
        <f t="shared" si="11"/>
        <v>3.34</v>
      </c>
      <c r="AW18" s="243">
        <v>30.0</v>
      </c>
      <c r="AX18" s="238">
        <v>6722.0</v>
      </c>
      <c r="AY18" s="238" t="s">
        <v>8</v>
      </c>
      <c r="AZ18" s="238">
        <v>6728.0</v>
      </c>
      <c r="BA18" s="238">
        <v>119.0</v>
      </c>
      <c r="BB18" s="243"/>
      <c r="BC18" s="246">
        <f t="shared" si="12"/>
        <v>4.95</v>
      </c>
      <c r="BD18" s="243"/>
      <c r="BE18" s="238">
        <v>1.0</v>
      </c>
      <c r="BF18" s="238">
        <v>1.0</v>
      </c>
      <c r="BG18" s="238">
        <v>4.0</v>
      </c>
      <c r="BH18" s="238">
        <v>4.0</v>
      </c>
      <c r="BI18" s="247">
        <v>1.0</v>
      </c>
      <c r="BJ18" s="247">
        <v>1.0</v>
      </c>
      <c r="BK18" s="248">
        <v>6722.0</v>
      </c>
      <c r="BL18" s="239">
        <v>1.0</v>
      </c>
      <c r="BM18" s="240">
        <f t="shared" si="13"/>
        <v>2400</v>
      </c>
      <c r="BN18" s="239">
        <v>2.0</v>
      </c>
      <c r="BO18" s="239">
        <v>6.0</v>
      </c>
      <c r="BP18" s="240">
        <f t="shared" si="14"/>
        <v>170</v>
      </c>
      <c r="BQ18" s="239">
        <v>2.0</v>
      </c>
      <c r="BR18" s="249">
        <f t="shared" si="15"/>
        <v>1020</v>
      </c>
      <c r="BS18" s="239">
        <v>6.0</v>
      </c>
      <c r="BT18" s="249">
        <f t="shared" si="16"/>
        <v>28.33333333</v>
      </c>
      <c r="BU18" s="239">
        <v>2.0</v>
      </c>
      <c r="BV18" s="249">
        <f t="shared" si="17"/>
        <v>85</v>
      </c>
      <c r="BW18" s="239">
        <v>14.0</v>
      </c>
      <c r="BX18" s="249">
        <f t="shared" si="18"/>
        <v>171.4285714</v>
      </c>
      <c r="BY18" s="239"/>
      <c r="BZ18" s="249"/>
      <c r="CA18" s="248">
        <v>1.0</v>
      </c>
      <c r="CB18" s="238" t="s">
        <v>1110</v>
      </c>
      <c r="CC18" s="250"/>
      <c r="CD18" s="251">
        <v>0.0</v>
      </c>
      <c r="CE18" s="251">
        <v>8191.0</v>
      </c>
      <c r="CF18" s="251">
        <v>0.0</v>
      </c>
      <c r="CG18" s="251">
        <v>6143.0</v>
      </c>
      <c r="CH18" s="250"/>
      <c r="CI18" s="239">
        <v>2048.0</v>
      </c>
      <c r="CJ18" s="238">
        <v>1536.0</v>
      </c>
      <c r="CK18" s="250"/>
      <c r="CL18" s="238" t="s">
        <v>8</v>
      </c>
      <c r="CM18" s="250"/>
      <c r="CN18" s="238" t="s">
        <v>8</v>
      </c>
      <c r="CO18" s="250"/>
      <c r="CP18" s="250"/>
      <c r="CQ18" s="250"/>
      <c r="CR18" s="250"/>
      <c r="CS18" s="250"/>
      <c r="CT18" s="250"/>
      <c r="CU18" s="250"/>
      <c r="CV18" s="250"/>
      <c r="CW18" s="250"/>
      <c r="CX18" s="250"/>
      <c r="CY18" s="250"/>
      <c r="CZ18" s="204"/>
      <c r="DA18" s="250"/>
      <c r="DB18" s="250"/>
      <c r="DC18" s="250"/>
      <c r="DD18" s="250"/>
      <c r="DE18" s="250"/>
      <c r="DF18" s="250"/>
      <c r="DG18" s="250"/>
      <c r="DH18" s="250"/>
    </row>
    <row r="19" ht="18.75" customHeight="1">
      <c r="A19" s="224"/>
      <c r="B19" s="235">
        <v>9.0</v>
      </c>
      <c r="C19" s="236" t="s">
        <v>1106</v>
      </c>
      <c r="D19" s="237" t="s">
        <v>728</v>
      </c>
      <c r="E19" s="238" t="s">
        <v>8</v>
      </c>
      <c r="F19" s="238" t="s">
        <v>8</v>
      </c>
      <c r="G19" s="238">
        <v>4096.0</v>
      </c>
      <c r="H19" s="238">
        <v>3072.0</v>
      </c>
      <c r="I19" s="238">
        <v>3.0</v>
      </c>
      <c r="J19" s="238" t="s">
        <v>1107</v>
      </c>
      <c r="K19" s="239">
        <v>24.0</v>
      </c>
      <c r="L19" s="239">
        <v>3.0</v>
      </c>
      <c r="M19" s="239">
        <v>300.0</v>
      </c>
      <c r="N19" s="240">
        <f t="shared" si="1"/>
        <v>2400</v>
      </c>
      <c r="O19" s="239">
        <v>3.0</v>
      </c>
      <c r="P19" s="239">
        <v>255.0</v>
      </c>
      <c r="Q19" s="240">
        <f t="shared" si="2"/>
        <v>2040</v>
      </c>
      <c r="R19" s="241">
        <f t="shared" si="3"/>
        <v>1645.714286</v>
      </c>
      <c r="S19" s="241">
        <f t="shared" si="4"/>
        <v>2400</v>
      </c>
      <c r="T19" s="241">
        <f t="shared" si="5"/>
        <v>1360</v>
      </c>
      <c r="U19" s="241">
        <f t="shared" si="19"/>
        <v>30</v>
      </c>
      <c r="V19" s="241">
        <f t="shared" si="20"/>
        <v>30.34</v>
      </c>
      <c r="W19" s="242" t="s">
        <v>1108</v>
      </c>
      <c r="X19" s="242" t="s">
        <v>1109</v>
      </c>
      <c r="Y19" s="243">
        <v>3189.0</v>
      </c>
      <c r="Z19" s="238">
        <v>2.0</v>
      </c>
      <c r="AA19" s="238">
        <v>3072.0</v>
      </c>
      <c r="AB19" s="238"/>
      <c r="AC19" s="238" t="s">
        <v>8</v>
      </c>
      <c r="AD19" s="238"/>
      <c r="AE19" s="238"/>
      <c r="AF19" s="238"/>
      <c r="AG19" s="238"/>
      <c r="AH19" s="238"/>
      <c r="AI19" s="238"/>
      <c r="AJ19" s="238">
        <v>1536.0</v>
      </c>
      <c r="AK19" s="238" t="s">
        <v>8</v>
      </c>
      <c r="AL19" s="238" t="s">
        <v>8</v>
      </c>
      <c r="AM19" s="238" t="s">
        <v>8</v>
      </c>
      <c r="AN19" s="244">
        <f t="shared" si="21"/>
        <v>61</v>
      </c>
      <c r="AO19" s="245">
        <f t="shared" si="22"/>
        <v>0.63</v>
      </c>
      <c r="AP19" s="238">
        <v>4096.0</v>
      </c>
      <c r="AQ19" s="238">
        <v>2048.0</v>
      </c>
      <c r="AR19" s="238" t="s">
        <v>8</v>
      </c>
      <c r="AS19" s="238" t="s">
        <v>8</v>
      </c>
      <c r="AT19" s="238" t="s">
        <v>8</v>
      </c>
      <c r="AU19" s="244">
        <f t="shared" si="10"/>
        <v>11785</v>
      </c>
      <c r="AV19" s="246">
        <f t="shared" si="11"/>
        <v>7.16</v>
      </c>
      <c r="AW19" s="243">
        <v>90.0</v>
      </c>
      <c r="AX19" s="238">
        <v>3225.0</v>
      </c>
      <c r="AY19" s="238" t="s">
        <v>8</v>
      </c>
      <c r="AZ19" s="238">
        <v>14032.0</v>
      </c>
      <c r="BA19" s="238">
        <v>248.0</v>
      </c>
      <c r="BB19" s="243"/>
      <c r="BC19" s="246">
        <f t="shared" si="12"/>
        <v>10.33</v>
      </c>
      <c r="BD19" s="243"/>
      <c r="BE19" s="238">
        <v>1.0</v>
      </c>
      <c r="BF19" s="238">
        <v>1.0</v>
      </c>
      <c r="BG19" s="238">
        <v>1.0</v>
      </c>
      <c r="BH19" s="238">
        <v>1.0</v>
      </c>
      <c r="BI19" s="247">
        <v>1.0</v>
      </c>
      <c r="BJ19" s="247">
        <v>1.0</v>
      </c>
      <c r="BK19" s="248">
        <v>3225.0</v>
      </c>
      <c r="BL19" s="239">
        <v>1.0</v>
      </c>
      <c r="BM19" s="240">
        <f t="shared" si="13"/>
        <v>2400</v>
      </c>
      <c r="BN19" s="239">
        <v>2.0</v>
      </c>
      <c r="BO19" s="239">
        <v>6.0</v>
      </c>
      <c r="BP19" s="240">
        <f t="shared" si="14"/>
        <v>170</v>
      </c>
      <c r="BQ19" s="239">
        <v>2.0</v>
      </c>
      <c r="BR19" s="249">
        <f t="shared" si="15"/>
        <v>1020</v>
      </c>
      <c r="BS19" s="239">
        <v>6.0</v>
      </c>
      <c r="BT19" s="249">
        <f t="shared" si="16"/>
        <v>28.33333333</v>
      </c>
      <c r="BU19" s="239">
        <v>2.0</v>
      </c>
      <c r="BV19" s="249">
        <f t="shared" si="17"/>
        <v>85</v>
      </c>
      <c r="BW19" s="239">
        <v>14.0</v>
      </c>
      <c r="BX19" s="249">
        <f t="shared" si="18"/>
        <v>171.4285714</v>
      </c>
      <c r="BY19" s="239"/>
      <c r="BZ19" s="249"/>
      <c r="CA19" s="248">
        <v>2.0</v>
      </c>
      <c r="CB19" s="238" t="s">
        <v>1110</v>
      </c>
      <c r="CC19" s="250"/>
      <c r="CD19" s="251">
        <v>2048.0</v>
      </c>
      <c r="CE19" s="251">
        <v>6143.0</v>
      </c>
      <c r="CF19" s="251">
        <v>1536.0</v>
      </c>
      <c r="CG19" s="251">
        <v>4607.0</v>
      </c>
      <c r="CH19" s="250"/>
      <c r="CI19" s="239">
        <v>4096.0</v>
      </c>
      <c r="CJ19" s="238">
        <v>3072.0</v>
      </c>
      <c r="CK19" s="250"/>
      <c r="CL19" s="238" t="s">
        <v>8</v>
      </c>
      <c r="CM19" s="250"/>
      <c r="CN19" s="238" t="s">
        <v>8</v>
      </c>
      <c r="CO19" s="250"/>
      <c r="CP19" s="250"/>
      <c r="CQ19" s="250"/>
      <c r="CR19" s="250"/>
      <c r="CS19" s="250"/>
      <c r="CT19" s="250"/>
      <c r="CU19" s="250"/>
      <c r="CV19" s="250"/>
      <c r="CW19" s="250"/>
      <c r="CX19" s="250"/>
      <c r="CY19" s="250"/>
      <c r="CZ19" s="204"/>
      <c r="DA19" s="250"/>
      <c r="DB19" s="250"/>
      <c r="DC19" s="250"/>
      <c r="DD19" s="250"/>
      <c r="DE19" s="250"/>
      <c r="DF19" s="250"/>
      <c r="DG19" s="250"/>
      <c r="DH19" s="250"/>
    </row>
    <row r="20" ht="18.75" customHeight="1">
      <c r="A20" s="224"/>
      <c r="B20" s="252">
        <v>10.0</v>
      </c>
      <c r="C20" s="253" t="s">
        <v>1113</v>
      </c>
      <c r="D20" s="237" t="s">
        <v>729</v>
      </c>
      <c r="E20" s="238" t="s">
        <v>1111</v>
      </c>
      <c r="F20" s="238" t="s">
        <v>1111</v>
      </c>
      <c r="G20" s="238">
        <v>4096.0</v>
      </c>
      <c r="H20" s="238">
        <v>2304.0</v>
      </c>
      <c r="I20" s="238">
        <v>3.0</v>
      </c>
      <c r="J20" s="238" t="s">
        <v>1114</v>
      </c>
      <c r="K20" s="239">
        <v>24.0</v>
      </c>
      <c r="L20" s="239">
        <v>3.0</v>
      </c>
      <c r="M20" s="239">
        <v>300.0</v>
      </c>
      <c r="N20" s="240">
        <f t="shared" si="1"/>
        <v>2400</v>
      </c>
      <c r="O20" s="239">
        <v>3.0</v>
      </c>
      <c r="P20" s="239">
        <v>255.0</v>
      </c>
      <c r="Q20" s="240">
        <f t="shared" si="2"/>
        <v>2040</v>
      </c>
      <c r="R20" s="241">
        <f t="shared" si="3"/>
        <v>1371.428571</v>
      </c>
      <c r="S20" s="241">
        <f t="shared" si="4"/>
        <v>2400</v>
      </c>
      <c r="T20" s="241">
        <f t="shared" si="5"/>
        <v>1360</v>
      </c>
      <c r="U20" s="254">
        <f t="shared" si="19"/>
        <v>30</v>
      </c>
      <c r="V20" s="254">
        <f t="shared" si="20"/>
        <v>40.11</v>
      </c>
      <c r="W20" s="242" t="s">
        <v>1115</v>
      </c>
      <c r="X20" s="242" t="s">
        <v>1116</v>
      </c>
      <c r="Y20" s="243">
        <v>2374.0</v>
      </c>
      <c r="Z20" s="238">
        <v>2.0</v>
      </c>
      <c r="AA20" s="238">
        <v>2304.0</v>
      </c>
      <c r="AB20" s="238"/>
      <c r="AC20" s="238">
        <v>0.0</v>
      </c>
      <c r="AD20" s="238"/>
      <c r="AE20" s="238"/>
      <c r="AF20" s="238"/>
      <c r="AG20" s="238"/>
      <c r="AH20" s="238"/>
      <c r="AI20" s="238"/>
      <c r="AJ20" s="238" t="s">
        <v>8</v>
      </c>
      <c r="AK20" s="238" t="s">
        <v>8</v>
      </c>
      <c r="AL20" s="238">
        <v>0.0</v>
      </c>
      <c r="AM20" s="238">
        <v>576.0</v>
      </c>
      <c r="AN20" s="255">
        <f t="shared" si="21"/>
        <v>820</v>
      </c>
      <c r="AO20" s="256">
        <f t="shared" si="22"/>
        <v>8.61</v>
      </c>
      <c r="AP20" s="238">
        <v>4096.0</v>
      </c>
      <c r="AQ20" s="238" t="s">
        <v>8</v>
      </c>
      <c r="AR20" s="238" t="s">
        <v>8</v>
      </c>
      <c r="AS20" s="238">
        <v>0.0</v>
      </c>
      <c r="AT20" s="238">
        <v>508.0</v>
      </c>
      <c r="AU20" s="244">
        <f t="shared" si="10"/>
        <v>10204</v>
      </c>
      <c r="AV20" s="246">
        <f t="shared" si="11"/>
        <v>7.44</v>
      </c>
      <c r="AW20" s="243">
        <v>48.0</v>
      </c>
      <c r="AX20" s="257">
        <v>3174.0</v>
      </c>
      <c r="AY20" s="257">
        <v>1.0</v>
      </c>
      <c r="AZ20" s="238">
        <v>14256.0</v>
      </c>
      <c r="BA20" s="238">
        <v>252.0</v>
      </c>
      <c r="BB20" s="243"/>
      <c r="BC20" s="246">
        <f t="shared" si="12"/>
        <v>10.5</v>
      </c>
      <c r="BD20" s="243"/>
      <c r="BE20" s="238">
        <v>1.0</v>
      </c>
      <c r="BF20" s="238">
        <v>1.0</v>
      </c>
      <c r="BG20" s="238">
        <v>2.0</v>
      </c>
      <c r="BH20" s="238">
        <v>2.0</v>
      </c>
      <c r="BI20" s="247">
        <v>1.0</v>
      </c>
      <c r="BJ20" s="247">
        <v>1.0</v>
      </c>
      <c r="BK20" s="248">
        <v>3174.0</v>
      </c>
      <c r="BL20" s="239">
        <v>1.0</v>
      </c>
      <c r="BM20" s="240">
        <f t="shared" si="13"/>
        <v>2400</v>
      </c>
      <c r="BN20" s="239">
        <v>2.0</v>
      </c>
      <c r="BO20" s="239">
        <v>6.0</v>
      </c>
      <c r="BP20" s="240">
        <f t="shared" si="14"/>
        <v>170</v>
      </c>
      <c r="BQ20" s="239">
        <v>2.0</v>
      </c>
      <c r="BR20" s="249">
        <f t="shared" si="15"/>
        <v>1020</v>
      </c>
      <c r="BS20" s="239">
        <v>6.0</v>
      </c>
      <c r="BT20" s="249">
        <f t="shared" si="16"/>
        <v>28.33333333</v>
      </c>
      <c r="BU20" s="239">
        <v>2.0</v>
      </c>
      <c r="BV20" s="249">
        <f t="shared" si="17"/>
        <v>85</v>
      </c>
      <c r="BW20" s="239">
        <v>14.0</v>
      </c>
      <c r="BX20" s="249">
        <f t="shared" si="18"/>
        <v>171.4285714</v>
      </c>
      <c r="BY20" s="239"/>
      <c r="BZ20" s="249"/>
      <c r="CA20" s="248">
        <v>0.0</v>
      </c>
      <c r="CB20" s="238" t="s">
        <v>1110</v>
      </c>
      <c r="CC20" s="250"/>
      <c r="CD20" s="251">
        <v>0.0</v>
      </c>
      <c r="CE20" s="251">
        <v>8191.0</v>
      </c>
      <c r="CF20" s="251">
        <v>768.0</v>
      </c>
      <c r="CG20" s="251">
        <v>5375.0</v>
      </c>
      <c r="CH20" s="250"/>
      <c r="CI20" s="239">
        <v>4096.0</v>
      </c>
      <c r="CJ20" s="238">
        <v>2304.0</v>
      </c>
      <c r="CK20" s="250"/>
      <c r="CL20" s="238" t="s">
        <v>8</v>
      </c>
      <c r="CM20" s="250"/>
      <c r="CN20" s="238">
        <v>4.0</v>
      </c>
      <c r="CO20" s="250"/>
      <c r="CP20" s="250"/>
      <c r="CQ20" s="250"/>
      <c r="CR20" s="250"/>
      <c r="CS20" s="250"/>
      <c r="CT20" s="250"/>
      <c r="CU20" s="250"/>
      <c r="CV20" s="250"/>
      <c r="CW20" s="250"/>
      <c r="CX20" s="250"/>
      <c r="CY20" s="250"/>
      <c r="CZ20" s="204"/>
      <c r="DA20" s="250"/>
      <c r="DB20" s="250"/>
      <c r="DC20" s="250"/>
      <c r="DD20" s="250"/>
      <c r="DE20" s="250"/>
      <c r="DF20" s="250"/>
      <c r="DG20" s="250"/>
      <c r="DH20" s="250"/>
    </row>
    <row r="21" ht="18.75" customHeight="1">
      <c r="A21" s="224"/>
      <c r="B21" s="225"/>
      <c r="C21" s="225"/>
      <c r="D21" s="237" t="s">
        <v>1118</v>
      </c>
      <c r="E21" s="238" t="s">
        <v>8</v>
      </c>
      <c r="F21" s="238" t="s">
        <v>8</v>
      </c>
      <c r="G21" s="238" t="s">
        <v>8</v>
      </c>
      <c r="H21" s="238" t="s">
        <v>8</v>
      </c>
      <c r="I21" s="238">
        <v>3.0</v>
      </c>
      <c r="J21" s="238" t="s">
        <v>1114</v>
      </c>
      <c r="K21" s="239">
        <v>24.0</v>
      </c>
      <c r="L21" s="239">
        <v>3.0</v>
      </c>
      <c r="M21" s="239">
        <v>300.0</v>
      </c>
      <c r="N21" s="240">
        <f t="shared" si="1"/>
        <v>2400</v>
      </c>
      <c r="O21" s="239">
        <v>3.0</v>
      </c>
      <c r="P21" s="239">
        <v>255.0</v>
      </c>
      <c r="Q21" s="240">
        <f t="shared" si="2"/>
        <v>2040</v>
      </c>
      <c r="R21" s="241">
        <f t="shared" si="3"/>
        <v>1371.428571</v>
      </c>
      <c r="S21" s="241">
        <f t="shared" si="4"/>
        <v>2400</v>
      </c>
      <c r="T21" s="241">
        <f t="shared" si="5"/>
        <v>1360</v>
      </c>
      <c r="U21" s="225"/>
      <c r="V21" s="225"/>
      <c r="W21" s="242" t="s">
        <v>1108</v>
      </c>
      <c r="X21" s="242" t="s">
        <v>1109</v>
      </c>
      <c r="Y21" s="243">
        <v>2374.0</v>
      </c>
      <c r="Z21" s="238" t="s">
        <v>8</v>
      </c>
      <c r="AA21" s="238" t="s">
        <v>8</v>
      </c>
      <c r="AB21" s="238"/>
      <c r="AC21" s="238" t="s">
        <v>8</v>
      </c>
      <c r="AD21" s="238"/>
      <c r="AE21" s="238"/>
      <c r="AF21" s="238"/>
      <c r="AG21" s="238"/>
      <c r="AH21" s="238"/>
      <c r="AI21" s="238"/>
      <c r="AJ21" s="238" t="s">
        <v>8</v>
      </c>
      <c r="AK21" s="238" t="s">
        <v>8</v>
      </c>
      <c r="AL21" s="238" t="s">
        <v>8</v>
      </c>
      <c r="AM21" s="238" t="s">
        <v>8</v>
      </c>
      <c r="AN21" s="225"/>
      <c r="AO21" s="225"/>
      <c r="AP21" s="238" t="s">
        <v>8</v>
      </c>
      <c r="AQ21" s="238" t="s">
        <v>8</v>
      </c>
      <c r="AR21" s="238" t="s">
        <v>8</v>
      </c>
      <c r="AS21" s="238" t="s">
        <v>8</v>
      </c>
      <c r="AT21" s="238" t="s">
        <v>8</v>
      </c>
      <c r="AU21" s="244" t="str">
        <f t="shared" si="10"/>
        <v>-</v>
      </c>
      <c r="AV21" s="246" t="str">
        <f t="shared" si="11"/>
        <v>-</v>
      </c>
      <c r="AW21" s="243">
        <v>48.0</v>
      </c>
      <c r="AX21" s="225"/>
      <c r="AY21" s="225"/>
      <c r="AZ21" s="238">
        <v>14256.0</v>
      </c>
      <c r="BA21" s="238">
        <v>252.0</v>
      </c>
      <c r="BB21" s="243"/>
      <c r="BC21" s="246">
        <f t="shared" si="12"/>
        <v>10.5</v>
      </c>
      <c r="BD21" s="243"/>
      <c r="BE21" s="238" t="s">
        <v>8</v>
      </c>
      <c r="BF21" s="238" t="s">
        <v>8</v>
      </c>
      <c r="BG21" s="238" t="s">
        <v>8</v>
      </c>
      <c r="BH21" s="238" t="s">
        <v>8</v>
      </c>
      <c r="BI21" s="247" t="s">
        <v>8</v>
      </c>
      <c r="BJ21" s="247" t="s">
        <v>8</v>
      </c>
      <c r="BK21" s="248">
        <v>3174.0</v>
      </c>
      <c r="BL21" s="239">
        <v>1.0</v>
      </c>
      <c r="BM21" s="240">
        <f t="shared" si="13"/>
        <v>2400</v>
      </c>
      <c r="BN21" s="239">
        <v>2.0</v>
      </c>
      <c r="BO21" s="239">
        <v>6.0</v>
      </c>
      <c r="BP21" s="240">
        <f t="shared" si="14"/>
        <v>170</v>
      </c>
      <c r="BQ21" s="239">
        <v>2.0</v>
      </c>
      <c r="BR21" s="249">
        <f t="shared" si="15"/>
        <v>1020</v>
      </c>
      <c r="BS21" s="239">
        <v>6.0</v>
      </c>
      <c r="BT21" s="249">
        <f t="shared" si="16"/>
        <v>28.33333333</v>
      </c>
      <c r="BU21" s="239">
        <v>2.0</v>
      </c>
      <c r="BV21" s="249">
        <f t="shared" si="17"/>
        <v>85</v>
      </c>
      <c r="BW21" s="239">
        <v>14.0</v>
      </c>
      <c r="BX21" s="249">
        <f t="shared" si="18"/>
        <v>171.4285714</v>
      </c>
      <c r="BY21" s="239"/>
      <c r="BZ21" s="249"/>
      <c r="CA21" s="248">
        <v>0.0</v>
      </c>
      <c r="CB21" s="238" t="s">
        <v>1110</v>
      </c>
      <c r="CC21" s="250"/>
      <c r="CD21" s="251" t="s">
        <v>8</v>
      </c>
      <c r="CE21" s="251" t="s">
        <v>8</v>
      </c>
      <c r="CF21" s="251" t="s">
        <v>8</v>
      </c>
      <c r="CG21" s="251" t="s">
        <v>8</v>
      </c>
      <c r="CH21" s="250"/>
      <c r="CI21" s="239" t="s">
        <v>8</v>
      </c>
      <c r="CJ21" s="238" t="s">
        <v>8</v>
      </c>
      <c r="CK21" s="250"/>
      <c r="CL21" s="238" t="s">
        <v>8</v>
      </c>
      <c r="CM21" s="250"/>
      <c r="CN21" s="238">
        <v>1.0</v>
      </c>
      <c r="CO21" s="250"/>
      <c r="CP21" s="250"/>
      <c r="CQ21" s="250"/>
      <c r="CR21" s="250"/>
      <c r="CS21" s="250"/>
      <c r="CT21" s="250"/>
      <c r="CU21" s="250"/>
      <c r="CV21" s="250"/>
      <c r="CW21" s="250"/>
      <c r="CX21" s="250"/>
      <c r="CY21" s="250"/>
      <c r="CZ21" s="204"/>
      <c r="DA21" s="250"/>
      <c r="DB21" s="250"/>
      <c r="DC21" s="250"/>
      <c r="DD21" s="250"/>
      <c r="DE21" s="250"/>
      <c r="DF21" s="250"/>
      <c r="DG21" s="250"/>
      <c r="DH21" s="250"/>
    </row>
    <row r="22" ht="18.75" customHeight="1">
      <c r="A22" s="224"/>
      <c r="B22" s="235">
        <v>11.0</v>
      </c>
      <c r="C22" s="236" t="s">
        <v>1106</v>
      </c>
      <c r="D22" s="237" t="s">
        <v>723</v>
      </c>
      <c r="E22" s="238" t="s">
        <v>1111</v>
      </c>
      <c r="F22" s="238" t="s">
        <v>1111</v>
      </c>
      <c r="G22" s="238">
        <v>4096.0</v>
      </c>
      <c r="H22" s="238">
        <v>2304.0</v>
      </c>
      <c r="I22" s="238">
        <v>3.0</v>
      </c>
      <c r="J22" s="238" t="s">
        <v>1114</v>
      </c>
      <c r="K22" s="239">
        <v>24.0</v>
      </c>
      <c r="L22" s="239">
        <v>3.0</v>
      </c>
      <c r="M22" s="239">
        <v>300.0</v>
      </c>
      <c r="N22" s="240">
        <f t="shared" si="1"/>
        <v>2400</v>
      </c>
      <c r="O22" s="239">
        <v>3.0</v>
      </c>
      <c r="P22" s="239">
        <v>255.0</v>
      </c>
      <c r="Q22" s="240">
        <f t="shared" si="2"/>
        <v>2040</v>
      </c>
      <c r="R22" s="241">
        <f t="shared" si="3"/>
        <v>1371.428571</v>
      </c>
      <c r="S22" s="241">
        <f t="shared" si="4"/>
        <v>2400</v>
      </c>
      <c r="T22" s="241">
        <f t="shared" si="5"/>
        <v>1360</v>
      </c>
      <c r="U22" s="241">
        <f>ROUNDDOWN(
IF(BA22="-", BP22* 10^6/ AZ22 * 8,
     K22 * 10^6/ BA22 )
/
(AX22 * IF(AY22="-", 1,IF(RIGHT(C22, 10)="LB-MF_auto", 1, AY22))
+ IF(C22="2exp LB-MF_manual",#REF!, 0)
+ IF(C22="3exp LB-MF_manual",#REF! + AX23, 0)),2)</f>
        <v>30</v>
      </c>
      <c r="V22" s="241">
        <f>ROUNDDOWN(
IF(BA22="-", BP22* 10^6/ AZ22 * 8,
     K22 * 10^6/ BA22 )
/
(Y22 * IF(AY22="-", 1,IF(RIGHT(C22, 10)="LB-MF_auto", 1, AY22))
+ IF(C22="2exp LB-MF_manual",#REF!, 0)
+ IF(C22="3exp LB-MF_manual",#REF! + Y23, 0)),2)</f>
        <v>48.03</v>
      </c>
      <c r="W22" s="242" t="s">
        <v>1108</v>
      </c>
      <c r="X22" s="242" t="s">
        <v>1112</v>
      </c>
      <c r="Y22" s="243">
        <v>2368.0</v>
      </c>
      <c r="Z22" s="238">
        <v>2.0</v>
      </c>
      <c r="AA22" s="238">
        <v>2304.0</v>
      </c>
      <c r="AB22" s="238"/>
      <c r="AC22" s="238" t="s">
        <v>8</v>
      </c>
      <c r="AD22" s="238"/>
      <c r="AE22" s="238"/>
      <c r="AF22" s="238"/>
      <c r="AG22" s="238"/>
      <c r="AH22" s="238"/>
      <c r="AI22" s="238"/>
      <c r="AJ22" s="238">
        <v>576.0</v>
      </c>
      <c r="AK22" s="238" t="s">
        <v>8</v>
      </c>
      <c r="AL22" s="238" t="s">
        <v>8</v>
      </c>
      <c r="AM22" s="238" t="s">
        <v>8</v>
      </c>
      <c r="AN22" s="244">
        <f>(BK22 - ((CG22 - CF22 + 1) / BH22 / BF22 + Z22 + AW22)) * IF(AY22="-", 1, IF(RIGHT(C22,10)="LB-MF_auto", 1, AY22))
- IF(AND(RIGHT(C22, 3)="DOL", AY22=2), SUM(AB22:AI22),
 IF(AND(RIGHT(C22,3)="DOL", AY22=3), SUM(AB22:AI23), SUM(AB22:AI22)))</f>
        <v>1437</v>
      </c>
      <c r="AO22" s="245">
        <f t="shared" ref="AO22:AO26" si="23">ROUNDDOWN(
IF(BA22="-",AZ22 / 8 * (1 / BP22 / 1000) * AN22,
BA22 * (1 / K22 / 1000) * AN22),
2)</f>
        <v>12.63</v>
      </c>
      <c r="AP22" s="238">
        <v>4096.0</v>
      </c>
      <c r="AQ22" s="238">
        <v>4096.0</v>
      </c>
      <c r="AR22" s="238" t="s">
        <v>8</v>
      </c>
      <c r="AS22" s="238" t="s">
        <v>8</v>
      </c>
      <c r="AT22" s="238" t="s">
        <v>8</v>
      </c>
      <c r="AU22" s="244">
        <f t="shared" si="10"/>
        <v>6837</v>
      </c>
      <c r="AV22" s="246">
        <f t="shared" si="11"/>
        <v>4.98</v>
      </c>
      <c r="AW22" s="243">
        <v>48.0</v>
      </c>
      <c r="AX22" s="238">
        <v>3791.0</v>
      </c>
      <c r="AY22" s="238" t="s">
        <v>8</v>
      </c>
      <c r="AZ22" s="238">
        <v>11904.0</v>
      </c>
      <c r="BA22" s="238">
        <v>211.0</v>
      </c>
      <c r="BB22" s="243"/>
      <c r="BC22" s="246">
        <f t="shared" si="12"/>
        <v>8.79</v>
      </c>
      <c r="BD22" s="243"/>
      <c r="BE22" s="238">
        <v>1.0</v>
      </c>
      <c r="BF22" s="238">
        <v>1.0</v>
      </c>
      <c r="BG22" s="238">
        <v>2.0</v>
      </c>
      <c r="BH22" s="238">
        <v>2.0</v>
      </c>
      <c r="BI22" s="247">
        <v>1.0</v>
      </c>
      <c r="BJ22" s="247">
        <v>1.0</v>
      </c>
      <c r="BK22" s="248">
        <v>3791.0</v>
      </c>
      <c r="BL22" s="239">
        <v>1.0</v>
      </c>
      <c r="BM22" s="240">
        <f t="shared" si="13"/>
        <v>2400</v>
      </c>
      <c r="BN22" s="239">
        <v>2.0</v>
      </c>
      <c r="BO22" s="239">
        <v>6.0</v>
      </c>
      <c r="BP22" s="240">
        <f t="shared" si="14"/>
        <v>170</v>
      </c>
      <c r="BQ22" s="239">
        <v>2.0</v>
      </c>
      <c r="BR22" s="249">
        <f t="shared" si="15"/>
        <v>1020</v>
      </c>
      <c r="BS22" s="239">
        <v>6.0</v>
      </c>
      <c r="BT22" s="249">
        <f t="shared" si="16"/>
        <v>28.33333333</v>
      </c>
      <c r="BU22" s="239">
        <v>2.0</v>
      </c>
      <c r="BV22" s="249">
        <f t="shared" si="17"/>
        <v>85</v>
      </c>
      <c r="BW22" s="239">
        <v>14.0</v>
      </c>
      <c r="BX22" s="249">
        <f t="shared" si="18"/>
        <v>171.4285714</v>
      </c>
      <c r="BY22" s="239"/>
      <c r="BZ22" s="249"/>
      <c r="CA22" s="248">
        <v>1.0</v>
      </c>
      <c r="CB22" s="238" t="s">
        <v>1110</v>
      </c>
      <c r="CC22" s="250"/>
      <c r="CD22" s="251">
        <v>0.0</v>
      </c>
      <c r="CE22" s="251">
        <v>8191.0</v>
      </c>
      <c r="CF22" s="251">
        <v>768.0</v>
      </c>
      <c r="CG22" s="251">
        <v>5375.0</v>
      </c>
      <c r="CH22" s="250"/>
      <c r="CI22" s="239">
        <v>4096.0</v>
      </c>
      <c r="CJ22" s="238">
        <v>2304.0</v>
      </c>
      <c r="CK22" s="250"/>
      <c r="CL22" s="238" t="s">
        <v>8</v>
      </c>
      <c r="CM22" s="250"/>
      <c r="CN22" s="238" t="s">
        <v>8</v>
      </c>
      <c r="CO22" s="250"/>
      <c r="CP22" s="250"/>
      <c r="CQ22" s="250"/>
      <c r="CR22" s="250"/>
      <c r="CS22" s="250"/>
      <c r="CT22" s="250"/>
      <c r="CU22" s="250"/>
      <c r="CV22" s="250"/>
      <c r="CW22" s="250"/>
      <c r="CX22" s="250"/>
      <c r="CY22" s="250"/>
      <c r="CZ22" s="204"/>
      <c r="DA22" s="250"/>
      <c r="DB22" s="250"/>
      <c r="DC22" s="250"/>
      <c r="DD22" s="250"/>
      <c r="DE22" s="250"/>
      <c r="DF22" s="250"/>
      <c r="DG22" s="250"/>
      <c r="DH22" s="250"/>
    </row>
    <row r="23" ht="18.75" customHeight="1">
      <c r="A23" s="224"/>
      <c r="B23" s="235">
        <v>12.0</v>
      </c>
      <c r="C23" s="236" t="s">
        <v>1106</v>
      </c>
      <c r="D23" s="237" t="s">
        <v>727</v>
      </c>
      <c r="E23" s="238" t="s">
        <v>1111</v>
      </c>
      <c r="F23" s="238" t="s">
        <v>1111</v>
      </c>
      <c r="G23" s="238">
        <v>2048.0</v>
      </c>
      <c r="H23" s="238">
        <v>1152.0</v>
      </c>
      <c r="I23" s="238">
        <v>3.0</v>
      </c>
      <c r="J23" s="238" t="s">
        <v>1107</v>
      </c>
      <c r="K23" s="239">
        <v>24.0</v>
      </c>
      <c r="L23" s="239">
        <v>3.0</v>
      </c>
      <c r="M23" s="239">
        <v>300.0</v>
      </c>
      <c r="N23" s="240">
        <f t="shared" si="1"/>
        <v>2400</v>
      </c>
      <c r="O23" s="239">
        <v>3.0</v>
      </c>
      <c r="P23" s="239">
        <v>255.0</v>
      </c>
      <c r="Q23" s="240">
        <f t="shared" si="2"/>
        <v>2040</v>
      </c>
      <c r="R23" s="241">
        <f t="shared" si="3"/>
        <v>1645.714286</v>
      </c>
      <c r="S23" s="241">
        <f t="shared" si="4"/>
        <v>2400</v>
      </c>
      <c r="T23" s="241">
        <f t="shared" si="5"/>
        <v>1360</v>
      </c>
      <c r="U23" s="241">
        <f t="shared" ref="U23:U26" si="24">ROUNDDOWN(
IF(BA23="-", BP23* 10^6/ AZ23 * 8,
     K23 * 10^6/ BA23 )
/
(AX23 * IF(AY23="-", 1,IF(RIGHT(C23, 10)="LB-MF_auto", 1, AY23))
+ IF(C23="2exp LB-MF_manual", AX24, 0)
+ IF(C23="3exp LB-MF_manual", AX24 + AX25, 0)),2)</f>
        <v>120.04</v>
      </c>
      <c r="V23" s="241">
        <f t="shared" ref="V23:V26" si="25">ROUNDDOWN(
IF(BA23="-", BP23* 10^6/ AZ23 * 8,
     K23 * 10^6/ BA23 )
/
(Y23 * IF(AY23="-", 1,IF(RIGHT(C23, 10)="LB-MF_auto", 1, AY23))
+ IF(C23="2exp LB-MF_manual", Y24, 0)
+ IF(C23="3exp LB-MF_manual", Y24 + Y25, 0)),2)</f>
        <v>167.5</v>
      </c>
      <c r="W23" s="242" t="s">
        <v>1108</v>
      </c>
      <c r="X23" s="242" t="s">
        <v>1112</v>
      </c>
      <c r="Y23" s="243">
        <v>1204.0</v>
      </c>
      <c r="Z23" s="238">
        <v>2.0</v>
      </c>
      <c r="AA23" s="238">
        <v>1152.0</v>
      </c>
      <c r="AB23" s="238"/>
      <c r="AC23" s="238" t="s">
        <v>8</v>
      </c>
      <c r="AD23" s="238"/>
      <c r="AE23" s="238"/>
      <c r="AF23" s="238"/>
      <c r="AG23" s="238"/>
      <c r="AH23" s="238"/>
      <c r="AI23" s="238"/>
      <c r="AJ23" s="238">
        <v>288.0</v>
      </c>
      <c r="AK23" s="238" t="s">
        <v>8</v>
      </c>
      <c r="AL23" s="238" t="s">
        <v>8</v>
      </c>
      <c r="AM23" s="238" t="s">
        <v>8</v>
      </c>
      <c r="AN23" s="244">
        <f t="shared" ref="AN23:AN26" si="26">(BK23 - ((CG23 - CF23 + 1) / BH23 / BF23 + Z23 + AW23)) * IF(AY23="-", 1, IF(RIGHT(C23,10)="LB-MF_auto", 1, AY23))
- IF(AND(RIGHT(C23, 3)="DOL", AY23=2), SUM(AB23:AI24),
 IF(AND(RIGHT(C23,3)="DOL", AY23=3), SUM(AB23:AI25), SUM(AB23:AI23)))</f>
        <v>496</v>
      </c>
      <c r="AO23" s="245">
        <f t="shared" si="23"/>
        <v>2.45</v>
      </c>
      <c r="AP23" s="238">
        <v>2048.0</v>
      </c>
      <c r="AQ23" s="238">
        <v>2048.0</v>
      </c>
      <c r="AR23" s="238" t="s">
        <v>8</v>
      </c>
      <c r="AS23" s="238" t="s">
        <v>8</v>
      </c>
      <c r="AT23" s="238" t="s">
        <v>8</v>
      </c>
      <c r="AU23" s="244">
        <f t="shared" si="10"/>
        <v>5500</v>
      </c>
      <c r="AV23" s="246">
        <f t="shared" si="11"/>
        <v>3.34</v>
      </c>
      <c r="AW23" s="243">
        <v>30.0</v>
      </c>
      <c r="AX23" s="238">
        <v>1680.0</v>
      </c>
      <c r="AY23" s="238" t="s">
        <v>8</v>
      </c>
      <c r="AZ23" s="238">
        <v>6728.0</v>
      </c>
      <c r="BA23" s="238">
        <v>119.0</v>
      </c>
      <c r="BB23" s="243"/>
      <c r="BC23" s="246">
        <f t="shared" si="12"/>
        <v>4.95</v>
      </c>
      <c r="BD23" s="243"/>
      <c r="BE23" s="238">
        <v>1.0</v>
      </c>
      <c r="BF23" s="238">
        <v>1.0</v>
      </c>
      <c r="BG23" s="238">
        <v>4.0</v>
      </c>
      <c r="BH23" s="238">
        <v>4.0</v>
      </c>
      <c r="BI23" s="247">
        <v>1.0</v>
      </c>
      <c r="BJ23" s="247">
        <v>1.0</v>
      </c>
      <c r="BK23" s="248">
        <v>1680.0</v>
      </c>
      <c r="BL23" s="239">
        <v>1.0</v>
      </c>
      <c r="BM23" s="240">
        <f t="shared" si="13"/>
        <v>2400</v>
      </c>
      <c r="BN23" s="239">
        <v>2.0</v>
      </c>
      <c r="BO23" s="239">
        <v>6.0</v>
      </c>
      <c r="BP23" s="240">
        <f t="shared" si="14"/>
        <v>170</v>
      </c>
      <c r="BQ23" s="239">
        <v>2.0</v>
      </c>
      <c r="BR23" s="249">
        <f t="shared" si="15"/>
        <v>1020</v>
      </c>
      <c r="BS23" s="239">
        <v>6.0</v>
      </c>
      <c r="BT23" s="249">
        <f t="shared" si="16"/>
        <v>28.33333333</v>
      </c>
      <c r="BU23" s="239">
        <v>2.0</v>
      </c>
      <c r="BV23" s="249">
        <f t="shared" si="17"/>
        <v>85</v>
      </c>
      <c r="BW23" s="239">
        <v>14.0</v>
      </c>
      <c r="BX23" s="249">
        <f t="shared" si="18"/>
        <v>171.4285714</v>
      </c>
      <c r="BY23" s="239"/>
      <c r="BZ23" s="249"/>
      <c r="CA23" s="248">
        <v>1.0</v>
      </c>
      <c r="CB23" s="238" t="s">
        <v>1110</v>
      </c>
      <c r="CC23" s="250"/>
      <c r="CD23" s="251">
        <v>0.0</v>
      </c>
      <c r="CE23" s="251">
        <v>8191.0</v>
      </c>
      <c r="CF23" s="251">
        <v>768.0</v>
      </c>
      <c r="CG23" s="251">
        <v>5375.0</v>
      </c>
      <c r="CH23" s="250"/>
      <c r="CI23" s="239">
        <v>2048.0</v>
      </c>
      <c r="CJ23" s="238">
        <v>1152.0</v>
      </c>
      <c r="CK23" s="250"/>
      <c r="CL23" s="238" t="s">
        <v>8</v>
      </c>
      <c r="CM23" s="250"/>
      <c r="CN23" s="238" t="s">
        <v>8</v>
      </c>
      <c r="CO23" s="250"/>
      <c r="CP23" s="250"/>
      <c r="CQ23" s="250"/>
      <c r="CR23" s="250"/>
      <c r="CS23" s="250"/>
      <c r="CT23" s="250"/>
      <c r="CU23" s="250"/>
      <c r="CV23" s="250"/>
      <c r="CW23" s="250"/>
      <c r="CX23" s="250"/>
      <c r="CY23" s="250"/>
      <c r="CZ23" s="204"/>
      <c r="DA23" s="250"/>
      <c r="DB23" s="250"/>
      <c r="DC23" s="250"/>
      <c r="DD23" s="250"/>
      <c r="DE23" s="250"/>
      <c r="DF23" s="250"/>
      <c r="DG23" s="250"/>
      <c r="DH23" s="250"/>
    </row>
    <row r="24" ht="18.75" customHeight="1">
      <c r="A24" s="224"/>
      <c r="B24" s="235">
        <v>13.0</v>
      </c>
      <c r="C24" s="236" t="s">
        <v>1106</v>
      </c>
      <c r="D24" s="237" t="s">
        <v>725</v>
      </c>
      <c r="E24" s="238" t="s">
        <v>1111</v>
      </c>
      <c r="F24" s="238" t="s">
        <v>1111</v>
      </c>
      <c r="G24" s="238">
        <v>3840.0</v>
      </c>
      <c r="H24" s="238">
        <v>2160.0</v>
      </c>
      <c r="I24" s="238">
        <v>3.0</v>
      </c>
      <c r="J24" s="238" t="s">
        <v>1107</v>
      </c>
      <c r="K24" s="239">
        <v>24.0</v>
      </c>
      <c r="L24" s="239">
        <v>3.0</v>
      </c>
      <c r="M24" s="239">
        <v>300.0</v>
      </c>
      <c r="N24" s="240">
        <f t="shared" si="1"/>
        <v>2400</v>
      </c>
      <c r="O24" s="239">
        <v>3.0</v>
      </c>
      <c r="P24" s="239">
        <v>255.0</v>
      </c>
      <c r="Q24" s="240">
        <f t="shared" si="2"/>
        <v>2040</v>
      </c>
      <c r="R24" s="241">
        <f t="shared" si="3"/>
        <v>1645.714286</v>
      </c>
      <c r="S24" s="241">
        <f t="shared" si="4"/>
        <v>2400</v>
      </c>
      <c r="T24" s="241">
        <f t="shared" si="5"/>
        <v>1360</v>
      </c>
      <c r="U24" s="241">
        <f t="shared" si="24"/>
        <v>60.01</v>
      </c>
      <c r="V24" s="241">
        <f t="shared" si="25"/>
        <v>85.64</v>
      </c>
      <c r="W24" s="242" t="s">
        <v>1108</v>
      </c>
      <c r="X24" s="242" t="s">
        <v>1112</v>
      </c>
      <c r="Y24" s="243">
        <v>2224.0</v>
      </c>
      <c r="Z24" s="238">
        <v>2.0</v>
      </c>
      <c r="AA24" s="238">
        <v>2160.0</v>
      </c>
      <c r="AB24" s="238"/>
      <c r="AC24" s="238" t="s">
        <v>8</v>
      </c>
      <c r="AD24" s="238"/>
      <c r="AE24" s="238"/>
      <c r="AF24" s="238"/>
      <c r="AG24" s="238"/>
      <c r="AH24" s="238"/>
      <c r="AI24" s="238"/>
      <c r="AJ24" s="238" t="s">
        <v>8</v>
      </c>
      <c r="AK24" s="238">
        <v>528.0</v>
      </c>
      <c r="AL24" s="238" t="s">
        <v>8</v>
      </c>
      <c r="AM24" s="238" t="s">
        <v>8</v>
      </c>
      <c r="AN24" s="244">
        <f t="shared" si="26"/>
        <v>964</v>
      </c>
      <c r="AO24" s="245">
        <f t="shared" si="23"/>
        <v>5.06</v>
      </c>
      <c r="AP24" s="238">
        <v>3840.0</v>
      </c>
      <c r="AQ24" s="238" t="s">
        <v>8</v>
      </c>
      <c r="AR24" s="238">
        <v>480.0</v>
      </c>
      <c r="AS24" s="238" t="s">
        <v>8</v>
      </c>
      <c r="AT24" s="238" t="s">
        <v>8</v>
      </c>
      <c r="AU24" s="244">
        <f t="shared" si="10"/>
        <v>4700</v>
      </c>
      <c r="AV24" s="246">
        <f t="shared" si="11"/>
        <v>2.85</v>
      </c>
      <c r="AW24" s="243">
        <v>48.0</v>
      </c>
      <c r="AX24" s="238">
        <v>3174.0</v>
      </c>
      <c r="AY24" s="238" t="s">
        <v>8</v>
      </c>
      <c r="AZ24" s="238">
        <v>7136.0</v>
      </c>
      <c r="BA24" s="238">
        <v>126.0</v>
      </c>
      <c r="BB24" s="243"/>
      <c r="BC24" s="246">
        <f t="shared" si="12"/>
        <v>5.25</v>
      </c>
      <c r="BD24" s="243"/>
      <c r="BE24" s="238">
        <v>1.0</v>
      </c>
      <c r="BF24" s="238">
        <v>1.0</v>
      </c>
      <c r="BG24" s="238">
        <v>2.0</v>
      </c>
      <c r="BH24" s="238">
        <v>2.0</v>
      </c>
      <c r="BI24" s="247">
        <v>1.0</v>
      </c>
      <c r="BJ24" s="247">
        <v>1.0</v>
      </c>
      <c r="BK24" s="248">
        <v>3174.0</v>
      </c>
      <c r="BL24" s="239">
        <v>1.0</v>
      </c>
      <c r="BM24" s="240">
        <f t="shared" si="13"/>
        <v>2400</v>
      </c>
      <c r="BN24" s="239">
        <v>2.0</v>
      </c>
      <c r="BO24" s="239">
        <v>6.0</v>
      </c>
      <c r="BP24" s="240">
        <f t="shared" si="14"/>
        <v>170</v>
      </c>
      <c r="BQ24" s="239">
        <v>2.0</v>
      </c>
      <c r="BR24" s="249">
        <f t="shared" si="15"/>
        <v>1020</v>
      </c>
      <c r="BS24" s="239">
        <v>6.0</v>
      </c>
      <c r="BT24" s="249">
        <f t="shared" si="16"/>
        <v>28.33333333</v>
      </c>
      <c r="BU24" s="239">
        <v>2.0</v>
      </c>
      <c r="BV24" s="249">
        <f t="shared" si="17"/>
        <v>85</v>
      </c>
      <c r="BW24" s="239">
        <v>14.0</v>
      </c>
      <c r="BX24" s="249">
        <f t="shared" si="18"/>
        <v>171.4285714</v>
      </c>
      <c r="BY24" s="239"/>
      <c r="BZ24" s="249"/>
      <c r="CA24" s="248">
        <v>0.0</v>
      </c>
      <c r="CB24" s="238" t="s">
        <v>1110</v>
      </c>
      <c r="CC24" s="250"/>
      <c r="CD24" s="251">
        <v>0.0</v>
      </c>
      <c r="CE24" s="251">
        <v>8191.0</v>
      </c>
      <c r="CF24" s="251">
        <v>912.0</v>
      </c>
      <c r="CG24" s="251">
        <v>5231.0</v>
      </c>
      <c r="CH24" s="250"/>
      <c r="CI24" s="239">
        <v>3840.0</v>
      </c>
      <c r="CJ24" s="238">
        <v>2160.0</v>
      </c>
      <c r="CK24" s="250"/>
      <c r="CL24" s="238" t="s">
        <v>8</v>
      </c>
      <c r="CM24" s="250"/>
      <c r="CN24" s="238" t="s">
        <v>8</v>
      </c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04"/>
      <c r="DA24" s="250"/>
      <c r="DB24" s="250"/>
      <c r="DC24" s="250"/>
      <c r="DD24" s="250"/>
      <c r="DE24" s="250"/>
      <c r="DF24" s="250"/>
      <c r="DG24" s="250"/>
      <c r="DH24" s="250"/>
    </row>
    <row r="25" ht="18.75" customHeight="1">
      <c r="A25" s="224"/>
      <c r="B25" s="235">
        <v>14.0</v>
      </c>
      <c r="C25" s="236" t="s">
        <v>1106</v>
      </c>
      <c r="D25" s="237" t="s">
        <v>727</v>
      </c>
      <c r="E25" s="238" t="s">
        <v>1111</v>
      </c>
      <c r="F25" s="238" t="s">
        <v>1111</v>
      </c>
      <c r="G25" s="238">
        <v>2048.0</v>
      </c>
      <c r="H25" s="238">
        <v>1152.0</v>
      </c>
      <c r="I25" s="238">
        <v>3.0</v>
      </c>
      <c r="J25" s="238" t="s">
        <v>1107</v>
      </c>
      <c r="K25" s="239">
        <v>24.0</v>
      </c>
      <c r="L25" s="239">
        <v>3.0</v>
      </c>
      <c r="M25" s="239">
        <v>300.0</v>
      </c>
      <c r="N25" s="240">
        <f t="shared" si="1"/>
        <v>2400</v>
      </c>
      <c r="O25" s="239">
        <v>3.0</v>
      </c>
      <c r="P25" s="239">
        <v>255.0</v>
      </c>
      <c r="Q25" s="240">
        <f t="shared" si="2"/>
        <v>2040</v>
      </c>
      <c r="R25" s="241">
        <f t="shared" si="3"/>
        <v>1645.714286</v>
      </c>
      <c r="S25" s="241">
        <f t="shared" si="4"/>
        <v>2400</v>
      </c>
      <c r="T25" s="241">
        <f t="shared" si="5"/>
        <v>1360</v>
      </c>
      <c r="U25" s="241">
        <f t="shared" si="24"/>
        <v>30</v>
      </c>
      <c r="V25" s="241">
        <f t="shared" si="25"/>
        <v>167.5</v>
      </c>
      <c r="W25" s="242" t="s">
        <v>1108</v>
      </c>
      <c r="X25" s="242" t="s">
        <v>1112</v>
      </c>
      <c r="Y25" s="243">
        <v>1204.0</v>
      </c>
      <c r="Z25" s="238">
        <v>2.0</v>
      </c>
      <c r="AA25" s="238">
        <v>1152.0</v>
      </c>
      <c r="AB25" s="238"/>
      <c r="AC25" s="238" t="s">
        <v>8</v>
      </c>
      <c r="AD25" s="238"/>
      <c r="AE25" s="238"/>
      <c r="AF25" s="238"/>
      <c r="AG25" s="238"/>
      <c r="AH25" s="238"/>
      <c r="AI25" s="238"/>
      <c r="AJ25" s="238">
        <v>288.0</v>
      </c>
      <c r="AK25" s="238" t="s">
        <v>8</v>
      </c>
      <c r="AL25" s="238" t="s">
        <v>8</v>
      </c>
      <c r="AM25" s="238" t="s">
        <v>8</v>
      </c>
      <c r="AN25" s="244">
        <f t="shared" si="26"/>
        <v>5538</v>
      </c>
      <c r="AO25" s="245">
        <f t="shared" si="23"/>
        <v>27.45</v>
      </c>
      <c r="AP25" s="238">
        <v>2048.0</v>
      </c>
      <c r="AQ25" s="238">
        <v>2048.0</v>
      </c>
      <c r="AR25" s="238" t="s">
        <v>8</v>
      </c>
      <c r="AS25" s="238" t="s">
        <v>8</v>
      </c>
      <c r="AT25" s="238" t="s">
        <v>8</v>
      </c>
      <c r="AU25" s="244">
        <f t="shared" si="10"/>
        <v>5500</v>
      </c>
      <c r="AV25" s="246">
        <f t="shared" si="11"/>
        <v>3.34</v>
      </c>
      <c r="AW25" s="243">
        <v>30.0</v>
      </c>
      <c r="AX25" s="238">
        <v>6722.0</v>
      </c>
      <c r="AY25" s="238" t="s">
        <v>8</v>
      </c>
      <c r="AZ25" s="238">
        <v>6728.0</v>
      </c>
      <c r="BA25" s="238">
        <v>119.0</v>
      </c>
      <c r="BB25" s="243"/>
      <c r="BC25" s="246">
        <f t="shared" si="12"/>
        <v>4.95</v>
      </c>
      <c r="BD25" s="243"/>
      <c r="BE25" s="238">
        <v>1.0</v>
      </c>
      <c r="BF25" s="238">
        <v>1.0</v>
      </c>
      <c r="BG25" s="238">
        <v>4.0</v>
      </c>
      <c r="BH25" s="238">
        <v>4.0</v>
      </c>
      <c r="BI25" s="247">
        <v>1.0</v>
      </c>
      <c r="BJ25" s="247">
        <v>1.0</v>
      </c>
      <c r="BK25" s="248">
        <v>6722.0</v>
      </c>
      <c r="BL25" s="239">
        <v>1.0</v>
      </c>
      <c r="BM25" s="240">
        <f t="shared" si="13"/>
        <v>2400</v>
      </c>
      <c r="BN25" s="239">
        <v>2.0</v>
      </c>
      <c r="BO25" s="239">
        <v>6.0</v>
      </c>
      <c r="BP25" s="240">
        <f t="shared" si="14"/>
        <v>170</v>
      </c>
      <c r="BQ25" s="239">
        <v>2.0</v>
      </c>
      <c r="BR25" s="249">
        <f t="shared" si="15"/>
        <v>1020</v>
      </c>
      <c r="BS25" s="239">
        <v>6.0</v>
      </c>
      <c r="BT25" s="249">
        <f t="shared" si="16"/>
        <v>28.33333333</v>
      </c>
      <c r="BU25" s="239">
        <v>2.0</v>
      </c>
      <c r="BV25" s="249">
        <f t="shared" si="17"/>
        <v>85</v>
      </c>
      <c r="BW25" s="239">
        <v>14.0</v>
      </c>
      <c r="BX25" s="249">
        <f t="shared" si="18"/>
        <v>171.4285714</v>
      </c>
      <c r="BY25" s="239"/>
      <c r="BZ25" s="249"/>
      <c r="CA25" s="248">
        <v>1.0</v>
      </c>
      <c r="CB25" s="238" t="s">
        <v>1110</v>
      </c>
      <c r="CC25" s="250"/>
      <c r="CD25" s="251">
        <v>0.0</v>
      </c>
      <c r="CE25" s="251">
        <v>8191.0</v>
      </c>
      <c r="CF25" s="251">
        <v>768.0</v>
      </c>
      <c r="CG25" s="251">
        <v>5375.0</v>
      </c>
      <c r="CH25" s="250"/>
      <c r="CI25" s="239">
        <v>2048.0</v>
      </c>
      <c r="CJ25" s="238">
        <v>1152.0</v>
      </c>
      <c r="CK25" s="250"/>
      <c r="CL25" s="238" t="s">
        <v>8</v>
      </c>
      <c r="CM25" s="250"/>
      <c r="CN25" s="238" t="s">
        <v>8</v>
      </c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04"/>
      <c r="DA25" s="250"/>
      <c r="DB25" s="250"/>
      <c r="DC25" s="250"/>
      <c r="DD25" s="250"/>
      <c r="DE25" s="250"/>
      <c r="DF25" s="250"/>
      <c r="DG25" s="250"/>
      <c r="DH25" s="250"/>
    </row>
    <row r="26" ht="18.75" customHeight="1">
      <c r="A26" s="224"/>
      <c r="B26" s="235" t="s">
        <v>1119</v>
      </c>
      <c r="C26" s="236" t="s">
        <v>1106</v>
      </c>
      <c r="D26" s="237" t="s">
        <v>723</v>
      </c>
      <c r="E26" s="238" t="s">
        <v>1111</v>
      </c>
      <c r="F26" s="238" t="s">
        <v>1111</v>
      </c>
      <c r="G26" s="238">
        <v>4096.0</v>
      </c>
      <c r="H26" s="238">
        <v>3072.0</v>
      </c>
      <c r="I26" s="238">
        <v>3.0</v>
      </c>
      <c r="J26" s="238" t="s">
        <v>1107</v>
      </c>
      <c r="K26" s="239">
        <v>24.0</v>
      </c>
      <c r="L26" s="239">
        <v>3.0</v>
      </c>
      <c r="M26" s="239">
        <v>300.0</v>
      </c>
      <c r="N26" s="240">
        <f t="shared" si="1"/>
        <v>2400</v>
      </c>
      <c r="O26" s="239">
        <v>3.0</v>
      </c>
      <c r="P26" s="239">
        <v>255.0</v>
      </c>
      <c r="Q26" s="240">
        <f t="shared" si="2"/>
        <v>2040</v>
      </c>
      <c r="R26" s="241">
        <f t="shared" si="3"/>
        <v>1645.714286</v>
      </c>
      <c r="S26" s="241">
        <f t="shared" si="4"/>
        <v>2400</v>
      </c>
      <c r="T26" s="241">
        <f t="shared" si="5"/>
        <v>1360</v>
      </c>
      <c r="U26" s="241">
        <f t="shared" si="24"/>
        <v>30</v>
      </c>
      <c r="V26" s="241">
        <f t="shared" si="25"/>
        <v>36.27</v>
      </c>
      <c r="W26" s="242" t="s">
        <v>1108</v>
      </c>
      <c r="X26" s="242" t="s">
        <v>1112</v>
      </c>
      <c r="Y26" s="243">
        <v>3136.0</v>
      </c>
      <c r="Z26" s="238">
        <v>2.0</v>
      </c>
      <c r="AA26" s="238">
        <v>3072.0</v>
      </c>
      <c r="AB26" s="238"/>
      <c r="AC26" s="238" t="s">
        <v>8</v>
      </c>
      <c r="AD26" s="238"/>
      <c r="AE26" s="238"/>
      <c r="AF26" s="238"/>
      <c r="AG26" s="238"/>
      <c r="AH26" s="238"/>
      <c r="AI26" s="238"/>
      <c r="AJ26" s="238">
        <v>768.0</v>
      </c>
      <c r="AK26" s="238" t="s">
        <v>8</v>
      </c>
      <c r="AL26" s="238" t="s">
        <v>8</v>
      </c>
      <c r="AM26" s="238" t="s">
        <v>8</v>
      </c>
      <c r="AN26" s="244">
        <f t="shared" si="26"/>
        <v>669</v>
      </c>
      <c r="AO26" s="245">
        <f t="shared" si="23"/>
        <v>5.88</v>
      </c>
      <c r="AP26" s="238">
        <v>4096.0</v>
      </c>
      <c r="AQ26" s="238">
        <v>4096.0</v>
      </c>
      <c r="AR26" s="238" t="s">
        <v>8</v>
      </c>
      <c r="AS26" s="238" t="s">
        <v>8</v>
      </c>
      <c r="AT26" s="238" t="s">
        <v>8</v>
      </c>
      <c r="AU26" s="244">
        <f t="shared" si="10"/>
        <v>9248</v>
      </c>
      <c r="AV26" s="246">
        <f t="shared" si="11"/>
        <v>5.61</v>
      </c>
      <c r="AW26" s="243">
        <v>48.0</v>
      </c>
      <c r="AX26" s="238">
        <v>3791.0</v>
      </c>
      <c r="AY26" s="238" t="s">
        <v>8</v>
      </c>
      <c r="AZ26" s="238">
        <v>11904.0</v>
      </c>
      <c r="BA26" s="238">
        <v>211.0</v>
      </c>
      <c r="BB26" s="243"/>
      <c r="BC26" s="246">
        <f t="shared" si="12"/>
        <v>8.79</v>
      </c>
      <c r="BD26" s="243"/>
      <c r="BE26" s="238">
        <v>1.0</v>
      </c>
      <c r="BF26" s="238">
        <v>1.0</v>
      </c>
      <c r="BG26" s="238">
        <v>2.0</v>
      </c>
      <c r="BH26" s="238">
        <v>2.0</v>
      </c>
      <c r="BI26" s="247">
        <v>1.0</v>
      </c>
      <c r="BJ26" s="247">
        <v>1.0</v>
      </c>
      <c r="BK26" s="248">
        <v>3791.0</v>
      </c>
      <c r="BL26" s="239">
        <v>1.0</v>
      </c>
      <c r="BM26" s="240">
        <f t="shared" si="13"/>
        <v>2400</v>
      </c>
      <c r="BN26" s="239">
        <v>2.0</v>
      </c>
      <c r="BO26" s="239">
        <v>6.0</v>
      </c>
      <c r="BP26" s="240">
        <f t="shared" si="14"/>
        <v>170</v>
      </c>
      <c r="BQ26" s="239">
        <v>2.0</v>
      </c>
      <c r="BR26" s="249">
        <f t="shared" si="15"/>
        <v>1020</v>
      </c>
      <c r="BS26" s="239">
        <v>6.0</v>
      </c>
      <c r="BT26" s="249">
        <f t="shared" si="16"/>
        <v>28.33333333</v>
      </c>
      <c r="BU26" s="239">
        <v>2.0</v>
      </c>
      <c r="BV26" s="249">
        <f t="shared" si="17"/>
        <v>85</v>
      </c>
      <c r="BW26" s="239">
        <v>14.0</v>
      </c>
      <c r="BX26" s="249">
        <f t="shared" si="18"/>
        <v>171.4285714</v>
      </c>
      <c r="BY26" s="239"/>
      <c r="BZ26" s="249"/>
      <c r="CA26" s="248">
        <v>1.0</v>
      </c>
      <c r="CB26" s="238" t="s">
        <v>1110</v>
      </c>
      <c r="CC26" s="250"/>
      <c r="CD26" s="251">
        <v>0.0</v>
      </c>
      <c r="CE26" s="251">
        <v>8191.0</v>
      </c>
      <c r="CF26" s="251">
        <v>0.0</v>
      </c>
      <c r="CG26" s="251">
        <v>6143.0</v>
      </c>
      <c r="CH26" s="250"/>
      <c r="CI26" s="239">
        <v>4096.0</v>
      </c>
      <c r="CJ26" s="238">
        <v>3072.0</v>
      </c>
      <c r="CK26" s="250"/>
      <c r="CL26" s="238" t="s">
        <v>8</v>
      </c>
      <c r="CM26" s="250"/>
      <c r="CN26" s="238" t="s">
        <v>8</v>
      </c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04"/>
      <c r="DA26" s="250"/>
      <c r="DB26" s="250"/>
      <c r="DC26" s="250"/>
      <c r="DD26" s="250"/>
      <c r="DE26" s="250"/>
      <c r="DF26" s="250"/>
      <c r="DG26" s="250"/>
      <c r="DH26" s="250"/>
    </row>
    <row r="27" ht="18.75" customHeight="1">
      <c r="A27" s="22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58"/>
      <c r="X27" s="258"/>
      <c r="Y27" s="204"/>
      <c r="Z27" s="259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04"/>
      <c r="BI27" s="204"/>
      <c r="BJ27" s="204"/>
      <c r="BK27" s="204"/>
      <c r="BL27" s="204"/>
      <c r="BM27" s="204"/>
      <c r="BN27" s="204"/>
      <c r="BO27" s="204"/>
      <c r="BP27" s="204"/>
      <c r="BQ27" s="204"/>
      <c r="BR27" s="204"/>
      <c r="BS27" s="204"/>
      <c r="BT27" s="204"/>
      <c r="BU27" s="204"/>
      <c r="BV27" s="204"/>
      <c r="BW27" s="204"/>
      <c r="BX27" s="204"/>
      <c r="BY27" s="204"/>
      <c r="BZ27" s="204"/>
      <c r="CA27" s="204"/>
      <c r="CB27" s="204"/>
      <c r="CC27" s="204"/>
      <c r="CD27" s="204"/>
      <c r="CE27" s="204"/>
      <c r="CF27" s="204"/>
      <c r="CG27" s="204"/>
      <c r="CH27" s="204"/>
      <c r="CI27" s="204"/>
      <c r="CJ27" s="204"/>
      <c r="CK27" s="260"/>
      <c r="CL27" s="260"/>
      <c r="CM27" s="260"/>
      <c r="CN27" s="204"/>
      <c r="CO27" s="261"/>
      <c r="CP27" s="204"/>
      <c r="CQ27" s="204"/>
      <c r="CR27" s="204"/>
      <c r="CS27" s="204"/>
      <c r="CT27" s="204"/>
      <c r="CU27" s="204"/>
      <c r="CV27" s="204"/>
      <c r="CW27" s="204"/>
      <c r="CX27" s="204"/>
      <c r="CY27" s="204"/>
      <c r="CZ27" s="204"/>
      <c r="DA27" s="204"/>
      <c r="DB27" s="204"/>
      <c r="DC27" s="204"/>
      <c r="DD27" s="204"/>
      <c r="DE27" s="204"/>
      <c r="DF27" s="204"/>
      <c r="DG27" s="204"/>
      <c r="DH27" s="204"/>
    </row>
    <row r="28" ht="18.75" customHeight="1">
      <c r="A28" s="203"/>
      <c r="B28" s="203"/>
      <c r="C28" s="262"/>
      <c r="D28" s="203"/>
      <c r="E28" s="203"/>
      <c r="F28" s="203"/>
      <c r="G28" s="262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4"/>
      <c r="W28" s="204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4"/>
      <c r="AJ28" s="203"/>
      <c r="AK28" s="203"/>
      <c r="AL28" s="203"/>
      <c r="AM28" s="203"/>
      <c r="AN28" s="203"/>
      <c r="AO28" s="203"/>
      <c r="AP28" s="203"/>
      <c r="AQ28" s="204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3"/>
      <c r="BH28" s="203"/>
      <c r="BI28" s="203"/>
      <c r="BJ28" s="203"/>
      <c r="BK28" s="203"/>
      <c r="BL28" s="203"/>
      <c r="BM28" s="203"/>
      <c r="BN28" s="203"/>
      <c r="BO28" s="203"/>
      <c r="BP28" s="203"/>
      <c r="BQ28" s="203"/>
      <c r="BR28" s="203"/>
      <c r="BS28" s="203"/>
      <c r="BT28" s="203"/>
      <c r="BU28" s="250"/>
      <c r="BV28" s="203"/>
      <c r="BW28" s="203"/>
      <c r="BX28" s="203"/>
      <c r="BY28" s="203"/>
      <c r="BZ28" s="203"/>
      <c r="CA28" s="203"/>
      <c r="CB28" s="203"/>
      <c r="CC28" s="203"/>
      <c r="CD28" s="203"/>
      <c r="CE28" s="203"/>
      <c r="CF28" s="203"/>
      <c r="CG28" s="203"/>
      <c r="CH28" s="203"/>
      <c r="CI28" s="203"/>
      <c r="CJ28" s="203"/>
      <c r="CK28" s="203"/>
      <c r="CL28" s="203"/>
      <c r="CM28" s="203"/>
      <c r="CN28" s="203"/>
      <c r="CO28" s="203"/>
      <c r="CP28" s="203"/>
      <c r="CQ28" s="203"/>
      <c r="CR28" s="203"/>
      <c r="CS28" s="203"/>
      <c r="CT28" s="203"/>
      <c r="CU28" s="203"/>
      <c r="CV28" s="203"/>
      <c r="CW28" s="203"/>
      <c r="CX28" s="203"/>
      <c r="CY28" s="203"/>
      <c r="CZ28" s="203"/>
      <c r="DA28" s="203"/>
      <c r="DB28" s="203"/>
      <c r="DC28" s="203"/>
      <c r="DD28" s="203"/>
      <c r="DE28" s="203"/>
      <c r="DF28" s="203"/>
      <c r="DG28" s="203"/>
      <c r="DH28" s="203"/>
    </row>
    <row r="29" ht="18.75" customHeight="1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  <c r="BB29" s="204"/>
      <c r="BC29" s="204"/>
      <c r="BD29" s="204"/>
      <c r="BE29" s="204"/>
      <c r="BF29" s="204"/>
      <c r="BG29" s="204"/>
      <c r="BH29" s="204"/>
      <c r="BI29" s="204"/>
      <c r="BJ29" s="204"/>
      <c r="BK29" s="204"/>
      <c r="BL29" s="204"/>
      <c r="BM29" s="204"/>
      <c r="BN29" s="204"/>
      <c r="BO29" s="204"/>
      <c r="BP29" s="204"/>
      <c r="BQ29" s="204"/>
      <c r="BR29" s="204"/>
      <c r="BS29" s="204"/>
      <c r="BT29" s="204"/>
      <c r="BU29" s="204"/>
      <c r="BV29" s="204"/>
      <c r="BW29" s="204"/>
      <c r="BX29" s="204"/>
      <c r="BY29" s="204"/>
      <c r="BZ29" s="204"/>
      <c r="CA29" s="204"/>
      <c r="CB29" s="204"/>
      <c r="CC29" s="204"/>
      <c r="CD29" s="204"/>
      <c r="CE29" s="204"/>
      <c r="CF29" s="204"/>
      <c r="CG29" s="204"/>
      <c r="CH29" s="204"/>
      <c r="CI29" s="204"/>
      <c r="CJ29" s="204"/>
      <c r="CK29" s="204"/>
      <c r="CL29" s="1"/>
      <c r="CM29" s="204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</row>
    <row r="30" ht="18.75" customHeight="1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4"/>
      <c r="BR30" s="204"/>
      <c r="BS30" s="204"/>
      <c r="BT30" s="204"/>
      <c r="BU30" s="204"/>
      <c r="BV30" s="204"/>
      <c r="BW30" s="204"/>
      <c r="BX30" s="204"/>
      <c r="BY30" s="204"/>
      <c r="BZ30" s="204"/>
      <c r="CA30" s="204"/>
      <c r="CB30" s="204"/>
      <c r="CC30" s="204"/>
      <c r="CD30" s="204"/>
      <c r="CE30" s="204"/>
      <c r="CF30" s="204"/>
      <c r="CG30" s="204"/>
      <c r="CH30" s="204"/>
      <c r="CI30" s="204"/>
      <c r="CJ30" s="204"/>
      <c r="CK30" s="204"/>
      <c r="CL30" s="1"/>
      <c r="CM30" s="204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</row>
    <row r="31" ht="18.75" customHeight="1">
      <c r="A31" s="204"/>
      <c r="B31" s="204"/>
      <c r="C31" s="204"/>
      <c r="D31" s="1"/>
      <c r="E31" s="1"/>
      <c r="F31" s="1"/>
      <c r="G31" s="26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64"/>
      <c r="W31" s="264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33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</row>
    <row r="32" ht="18.75" customHeight="1">
      <c r="A32" s="203"/>
      <c r="B32" s="1"/>
      <c r="C32" s="263"/>
      <c r="D32" s="1"/>
      <c r="E32" s="1"/>
      <c r="F32" s="1"/>
      <c r="G32" s="26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64"/>
      <c r="W32" s="26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33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</row>
    <row r="33" ht="18.75" customHeight="1">
      <c r="A33" s="203"/>
      <c r="B33" s="1"/>
      <c r="C33" s="263"/>
      <c r="D33" s="1"/>
      <c r="E33" s="1"/>
      <c r="F33" s="1"/>
      <c r="G33" s="26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265"/>
      <c r="V33" s="264"/>
      <c r="W33" s="264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33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</row>
    <row r="34" ht="18.75" customHeight="1">
      <c r="A34" s="203"/>
      <c r="B34" s="1"/>
      <c r="C34" s="263"/>
      <c r="D34" s="1"/>
      <c r="E34" s="1"/>
      <c r="F34" s="1"/>
      <c r="G34" s="26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64"/>
      <c r="W34" s="26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33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</row>
    <row r="35" ht="18.75" customHeight="1">
      <c r="A35" s="203"/>
      <c r="B35" s="1"/>
      <c r="C35" s="263"/>
      <c r="D35" s="1"/>
      <c r="E35" s="1"/>
      <c r="F35" s="1"/>
      <c r="G35" s="26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64"/>
      <c r="W35" s="264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33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</row>
    <row r="36" ht="18.75" customHeight="1">
      <c r="A36" s="203"/>
      <c r="B36" s="1"/>
      <c r="C36" s="263"/>
      <c r="D36" s="1"/>
      <c r="E36" s="1"/>
      <c r="F36" s="1"/>
      <c r="G36" s="26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64"/>
      <c r="W36" s="264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33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</row>
    <row r="37" ht="18.75" customHeight="1">
      <c r="A37" s="203"/>
      <c r="B37" s="1"/>
      <c r="C37" s="263"/>
      <c r="D37" s="1"/>
      <c r="E37" s="1"/>
      <c r="F37" s="1"/>
      <c r="G37" s="26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64"/>
      <c r="W37" s="264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33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</row>
    <row r="38" ht="18.75" customHeight="1">
      <c r="A38" s="203"/>
      <c r="B38" s="1"/>
      <c r="C38" s="263"/>
      <c r="D38" s="1"/>
      <c r="E38" s="1"/>
      <c r="F38" s="1"/>
      <c r="G38" s="26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64"/>
      <c r="W38" s="264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33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</row>
    <row r="39" ht="18.75" customHeight="1">
      <c r="A39" s="203"/>
      <c r="B39" s="1"/>
      <c r="C39" s="263"/>
      <c r="D39" s="1"/>
      <c r="E39" s="1"/>
      <c r="F39" s="1"/>
      <c r="G39" s="26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64"/>
      <c r="W39" s="264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33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</row>
    <row r="40" ht="18.75" customHeight="1">
      <c r="A40" s="203"/>
      <c r="B40" s="1"/>
      <c r="C40" s="263"/>
      <c r="D40" s="1"/>
      <c r="E40" s="1"/>
      <c r="F40" s="1"/>
      <c r="G40" s="26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64"/>
      <c r="W40" s="264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33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</row>
    <row r="41" ht="18.75" customHeight="1">
      <c r="A41" s="203"/>
      <c r="B41" s="1"/>
      <c r="C41" s="263"/>
      <c r="D41" s="1"/>
      <c r="E41" s="1"/>
      <c r="F41" s="1"/>
      <c r="G41" s="26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64"/>
      <c r="W41" s="264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33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ht="18.75" customHeight="1">
      <c r="A42" s="203"/>
      <c r="B42" s="1"/>
      <c r="C42" s="263"/>
      <c r="D42" s="1"/>
      <c r="E42" s="1"/>
      <c r="F42" s="1"/>
      <c r="G42" s="26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64"/>
      <c r="W42" s="264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33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ht="18.75" customHeight="1">
      <c r="A43" s="203"/>
      <c r="B43" s="1"/>
      <c r="C43" s="263"/>
      <c r="D43" s="1"/>
      <c r="E43" s="1"/>
      <c r="F43" s="1"/>
      <c r="G43" s="26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64"/>
      <c r="W43" s="264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33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ht="18.75" customHeight="1">
      <c r="A44" s="203"/>
      <c r="B44" s="1"/>
      <c r="C44" s="263"/>
      <c r="D44" s="1"/>
      <c r="E44" s="1"/>
      <c r="F44" s="1"/>
      <c r="G44" s="26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64"/>
      <c r="W44" s="264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33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ht="18.75" customHeight="1">
      <c r="A45" s="203"/>
      <c r="B45" s="1"/>
      <c r="C45" s="263"/>
      <c r="D45" s="1"/>
      <c r="E45" s="1"/>
      <c r="F45" s="1"/>
      <c r="G45" s="26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64"/>
      <c r="W45" s="264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33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ht="18.75" customHeight="1">
      <c r="A46" s="203"/>
      <c r="B46" s="1"/>
      <c r="C46" s="263"/>
      <c r="D46" s="1"/>
      <c r="E46" s="1"/>
      <c r="F46" s="1"/>
      <c r="G46" s="26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64"/>
      <c r="W46" s="26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33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ht="18.75" customHeight="1">
      <c r="A47" s="203"/>
      <c r="B47" s="1"/>
      <c r="C47" s="263"/>
      <c r="D47" s="1"/>
      <c r="E47" s="1"/>
      <c r="F47" s="1"/>
      <c r="G47" s="26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64"/>
      <c r="W47" s="264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33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ht="18.75" customHeight="1">
      <c r="A48" s="203"/>
      <c r="B48" s="1"/>
      <c r="C48" s="263"/>
      <c r="D48" s="1"/>
      <c r="E48" s="1"/>
      <c r="F48" s="1"/>
      <c r="G48" s="26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64"/>
      <c r="W48" s="264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33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ht="18.75" customHeight="1">
      <c r="A49" s="203"/>
      <c r="B49" s="1"/>
      <c r="C49" s="263"/>
      <c r="D49" s="1"/>
      <c r="E49" s="1"/>
      <c r="F49" s="1"/>
      <c r="G49" s="26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64"/>
      <c r="W49" s="264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33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ht="18.75" customHeight="1">
      <c r="A50" s="203"/>
      <c r="B50" s="1"/>
      <c r="C50" s="263"/>
      <c r="D50" s="1"/>
      <c r="E50" s="1"/>
      <c r="F50" s="1"/>
      <c r="G50" s="26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64"/>
      <c r="W50" s="264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33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ht="18.75" customHeight="1">
      <c r="A51" s="203"/>
      <c r="B51" s="1"/>
      <c r="C51" s="263"/>
      <c r="D51" s="1"/>
      <c r="E51" s="1"/>
      <c r="F51" s="1"/>
      <c r="G51" s="26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64"/>
      <c r="W51" s="264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33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ht="18.75" customHeight="1">
      <c r="A52" s="203"/>
      <c r="B52" s="1"/>
      <c r="C52" s="263"/>
      <c r="D52" s="1"/>
      <c r="E52" s="1"/>
      <c r="F52" s="1"/>
      <c r="G52" s="26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64"/>
      <c r="W52" s="264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33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ht="18.75" customHeight="1">
      <c r="A53" s="203"/>
      <c r="B53" s="1"/>
      <c r="C53" s="263"/>
      <c r="D53" s="1"/>
      <c r="E53" s="1"/>
      <c r="F53" s="1"/>
      <c r="G53" s="26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64"/>
      <c r="W53" s="264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33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ht="18.75" customHeight="1">
      <c r="A54" s="203"/>
      <c r="B54" s="1"/>
      <c r="C54" s="263"/>
      <c r="D54" s="1"/>
      <c r="E54" s="1"/>
      <c r="F54" s="1"/>
      <c r="G54" s="26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64"/>
      <c r="W54" s="264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33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ht="18.75" customHeight="1">
      <c r="A55" s="203"/>
      <c r="B55" s="1"/>
      <c r="C55" s="263"/>
      <c r="D55" s="1"/>
      <c r="E55" s="1"/>
      <c r="F55" s="1"/>
      <c r="G55" s="26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64"/>
      <c r="W55" s="264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33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ht="18.75" customHeight="1">
      <c r="A56" s="203"/>
      <c r="B56" s="1"/>
      <c r="C56" s="263"/>
      <c r="D56" s="1"/>
      <c r="E56" s="1"/>
      <c r="F56" s="1"/>
      <c r="G56" s="26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64"/>
      <c r="W56" s="264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33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ht="18.75" customHeight="1">
      <c r="A57" s="203"/>
      <c r="B57" s="1"/>
      <c r="C57" s="263"/>
      <c r="D57" s="1"/>
      <c r="E57" s="1"/>
      <c r="F57" s="1"/>
      <c r="G57" s="26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64"/>
      <c r="W57" s="264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33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ht="18.75" customHeight="1">
      <c r="A58" s="203"/>
      <c r="B58" s="1"/>
      <c r="C58" s="263"/>
      <c r="D58" s="1"/>
      <c r="E58" s="1"/>
      <c r="F58" s="1"/>
      <c r="G58" s="26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64"/>
      <c r="W58" s="264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33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ht="18.75" customHeight="1">
      <c r="A59" s="203"/>
      <c r="B59" s="1"/>
      <c r="C59" s="263"/>
      <c r="D59" s="1"/>
      <c r="E59" s="1"/>
      <c r="F59" s="1"/>
      <c r="G59" s="26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64"/>
      <c r="W59" s="264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33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ht="18.75" customHeight="1">
      <c r="A60" s="203"/>
      <c r="B60" s="1"/>
      <c r="C60" s="263"/>
      <c r="D60" s="1"/>
      <c r="E60" s="1"/>
      <c r="F60" s="1"/>
      <c r="G60" s="26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64"/>
      <c r="W60" s="264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33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ht="18.75" customHeight="1">
      <c r="A61" s="203"/>
      <c r="B61" s="1"/>
      <c r="C61" s="263"/>
      <c r="D61" s="1"/>
      <c r="E61" s="1"/>
      <c r="F61" s="1"/>
      <c r="G61" s="26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64"/>
      <c r="W61" s="264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33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ht="18.75" customHeight="1">
      <c r="A62" s="203"/>
      <c r="B62" s="1"/>
      <c r="C62" s="263"/>
      <c r="D62" s="1"/>
      <c r="E62" s="1"/>
      <c r="F62" s="1"/>
      <c r="G62" s="26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64"/>
      <c r="W62" s="264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33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ht="18.75" customHeight="1">
      <c r="A63" s="203"/>
      <c r="B63" s="1"/>
      <c r="C63" s="263"/>
      <c r="D63" s="1"/>
      <c r="E63" s="1"/>
      <c r="F63" s="1"/>
      <c r="G63" s="26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64"/>
      <c r="W63" s="264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33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ht="18.75" customHeight="1">
      <c r="A64" s="203"/>
      <c r="B64" s="1"/>
      <c r="C64" s="263"/>
      <c r="D64" s="1"/>
      <c r="E64" s="1"/>
      <c r="F64" s="1"/>
      <c r="G64" s="26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64"/>
      <c r="W64" s="264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33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ht="18.75" customHeight="1">
      <c r="A65" s="203"/>
      <c r="B65" s="1"/>
      <c r="C65" s="263"/>
      <c r="D65" s="1"/>
      <c r="E65" s="1"/>
      <c r="F65" s="1"/>
      <c r="G65" s="26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64"/>
      <c r="W65" s="26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33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ht="18.75" customHeight="1">
      <c r="A66" s="203"/>
      <c r="B66" s="1"/>
      <c r="C66" s="263"/>
      <c r="D66" s="1"/>
      <c r="E66" s="1"/>
      <c r="F66" s="1"/>
      <c r="G66" s="26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64"/>
      <c r="W66" s="264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33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ht="18.75" customHeight="1">
      <c r="A67" s="203"/>
      <c r="B67" s="1"/>
      <c r="C67" s="263"/>
      <c r="D67" s="1"/>
      <c r="E67" s="1"/>
      <c r="F67" s="1"/>
      <c r="G67" s="26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64"/>
      <c r="W67" s="264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33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ht="18.75" customHeight="1">
      <c r="A68" s="203"/>
      <c r="B68" s="1"/>
      <c r="C68" s="263"/>
      <c r="D68" s="1"/>
      <c r="E68" s="1"/>
      <c r="F68" s="1"/>
      <c r="G68" s="26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64"/>
      <c r="W68" s="264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33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ht="18.75" customHeight="1">
      <c r="A69" s="203"/>
      <c r="B69" s="1"/>
      <c r="C69" s="263"/>
      <c r="D69" s="1"/>
      <c r="E69" s="1"/>
      <c r="F69" s="1"/>
      <c r="G69" s="26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64"/>
      <c r="W69" s="264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33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ht="18.75" customHeight="1">
      <c r="A70" s="203"/>
      <c r="B70" s="1"/>
      <c r="C70" s="263"/>
      <c r="D70" s="1"/>
      <c r="E70" s="1"/>
      <c r="F70" s="1"/>
      <c r="G70" s="26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64"/>
      <c r="W70" s="264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33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ht="18.75" customHeight="1">
      <c r="A71" s="203"/>
      <c r="B71" s="1"/>
      <c r="C71" s="263"/>
      <c r="D71" s="1"/>
      <c r="E71" s="1"/>
      <c r="F71" s="1"/>
      <c r="G71" s="26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64"/>
      <c r="W71" s="264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33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ht="18.75" customHeight="1">
      <c r="A72" s="203"/>
      <c r="B72" s="1"/>
      <c r="C72" s="263"/>
      <c r="D72" s="1"/>
      <c r="E72" s="1"/>
      <c r="F72" s="1"/>
      <c r="G72" s="26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64"/>
      <c r="W72" s="264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33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ht="18.75" customHeight="1">
      <c r="A73" s="203"/>
      <c r="B73" s="1"/>
      <c r="C73" s="263"/>
      <c r="D73" s="1"/>
      <c r="E73" s="1"/>
      <c r="F73" s="1"/>
      <c r="G73" s="26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64"/>
      <c r="W73" s="264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33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ht="18.75" customHeight="1">
      <c r="A74" s="203"/>
      <c r="B74" s="1"/>
      <c r="C74" s="263"/>
      <c r="D74" s="1"/>
      <c r="E74" s="1"/>
      <c r="F74" s="1"/>
      <c r="G74" s="26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64"/>
      <c r="W74" s="264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33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ht="18.75" customHeight="1">
      <c r="A75" s="203"/>
      <c r="B75" s="1"/>
      <c r="C75" s="263"/>
      <c r="D75" s="1"/>
      <c r="E75" s="1"/>
      <c r="F75" s="1"/>
      <c r="G75" s="26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64"/>
      <c r="W75" s="264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33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ht="18.75" customHeight="1">
      <c r="A76" s="203"/>
      <c r="B76" s="1"/>
      <c r="C76" s="263"/>
      <c r="D76" s="1"/>
      <c r="E76" s="1"/>
      <c r="F76" s="1"/>
      <c r="G76" s="26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64"/>
      <c r="W76" s="264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33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ht="18.75" customHeight="1">
      <c r="A77" s="203"/>
      <c r="B77" s="1"/>
      <c r="C77" s="263"/>
      <c r="D77" s="1"/>
      <c r="E77" s="1"/>
      <c r="F77" s="1"/>
      <c r="G77" s="26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64"/>
      <c r="W77" s="264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33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ht="18.75" customHeight="1">
      <c r="A78" s="203"/>
      <c r="B78" s="1"/>
      <c r="C78" s="263"/>
      <c r="D78" s="1"/>
      <c r="E78" s="1"/>
      <c r="F78" s="1"/>
      <c r="G78" s="26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64"/>
      <c r="W78" s="264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33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ht="18.75" customHeight="1">
      <c r="A79" s="203"/>
      <c r="B79" s="1"/>
      <c r="C79" s="263"/>
      <c r="D79" s="1"/>
      <c r="E79" s="1"/>
      <c r="F79" s="1"/>
      <c r="G79" s="26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64"/>
      <c r="W79" s="264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33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ht="18.75" customHeight="1">
      <c r="A80" s="203"/>
      <c r="B80" s="1"/>
      <c r="C80" s="263"/>
      <c r="D80" s="1"/>
      <c r="E80" s="1"/>
      <c r="F80" s="1"/>
      <c r="G80" s="26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64"/>
      <c r="W80" s="264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33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ht="18.75" customHeight="1">
      <c r="A81" s="203"/>
      <c r="B81" s="1"/>
      <c r="C81" s="263"/>
      <c r="D81" s="1"/>
      <c r="E81" s="1"/>
      <c r="F81" s="1"/>
      <c r="G81" s="26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64"/>
      <c r="W81" s="264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33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ht="18.75" customHeight="1">
      <c r="A82" s="203"/>
      <c r="B82" s="1"/>
      <c r="C82" s="263"/>
      <c r="D82" s="1"/>
      <c r="E82" s="1"/>
      <c r="F82" s="1"/>
      <c r="G82" s="26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64"/>
      <c r="W82" s="264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33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ht="18.75" customHeight="1">
      <c r="A83" s="203"/>
      <c r="B83" s="1"/>
      <c r="C83" s="263"/>
      <c r="D83" s="1"/>
      <c r="E83" s="1"/>
      <c r="F83" s="1"/>
      <c r="G83" s="26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64"/>
      <c r="W83" s="264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33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ht="18.75" customHeight="1">
      <c r="A84" s="203"/>
      <c r="B84" s="1"/>
      <c r="C84" s="263"/>
      <c r="D84" s="1"/>
      <c r="E84" s="1"/>
      <c r="F84" s="1"/>
      <c r="G84" s="26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64"/>
      <c r="W84" s="264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33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ht="18.75" customHeight="1">
      <c r="A85" s="203"/>
      <c r="B85" s="1"/>
      <c r="C85" s="263"/>
      <c r="D85" s="1"/>
      <c r="E85" s="1"/>
      <c r="F85" s="1"/>
      <c r="G85" s="26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64"/>
      <c r="W85" s="264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33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ht="18.75" customHeight="1">
      <c r="A86" s="203"/>
      <c r="B86" s="1"/>
      <c r="C86" s="263"/>
      <c r="D86" s="1"/>
      <c r="E86" s="1"/>
      <c r="F86" s="1"/>
      <c r="G86" s="26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64"/>
      <c r="W86" s="264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33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ht="18.75" customHeight="1">
      <c r="A87" s="203"/>
      <c r="B87" s="1"/>
      <c r="C87" s="263"/>
      <c r="D87" s="1"/>
      <c r="E87" s="1"/>
      <c r="F87" s="1"/>
      <c r="G87" s="26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64"/>
      <c r="W87" s="264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33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ht="18.75" customHeight="1">
      <c r="A88" s="203"/>
      <c r="B88" s="1"/>
      <c r="C88" s="263"/>
      <c r="D88" s="1"/>
      <c r="E88" s="1"/>
      <c r="F88" s="1"/>
      <c r="G88" s="26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64"/>
      <c r="W88" s="264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33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ht="18.75" customHeight="1">
      <c r="A89" s="203"/>
      <c r="B89" s="1"/>
      <c r="C89" s="263"/>
      <c r="D89" s="1"/>
      <c r="E89" s="1"/>
      <c r="F89" s="1"/>
      <c r="G89" s="26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64"/>
      <c r="W89" s="26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33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ht="18.75" customHeight="1">
      <c r="A90" s="203"/>
      <c r="B90" s="1"/>
      <c r="C90" s="263"/>
      <c r="D90" s="1"/>
      <c r="E90" s="1"/>
      <c r="F90" s="1"/>
      <c r="G90" s="26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64"/>
      <c r="W90" s="264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33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ht="18.75" customHeight="1">
      <c r="A91" s="203"/>
      <c r="B91" s="1"/>
      <c r="C91" s="263"/>
      <c r="D91" s="1"/>
      <c r="E91" s="1"/>
      <c r="F91" s="1"/>
      <c r="G91" s="26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64"/>
      <c r="W91" s="264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33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ht="18.75" customHeight="1">
      <c r="A92" s="203"/>
      <c r="B92" s="1"/>
      <c r="C92" s="263"/>
      <c r="D92" s="1"/>
      <c r="E92" s="1"/>
      <c r="F92" s="1"/>
      <c r="G92" s="26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64"/>
      <c r="W92" s="264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33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ht="18.75" customHeight="1">
      <c r="A93" s="203"/>
      <c r="B93" s="1"/>
      <c r="C93" s="263"/>
      <c r="D93" s="1"/>
      <c r="E93" s="1"/>
      <c r="F93" s="1"/>
      <c r="G93" s="26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64"/>
      <c r="W93" s="264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33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ht="18.75" customHeight="1">
      <c r="A94" s="203"/>
      <c r="B94" s="1"/>
      <c r="C94" s="263"/>
      <c r="D94" s="1"/>
      <c r="E94" s="1"/>
      <c r="F94" s="1"/>
      <c r="G94" s="26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64"/>
      <c r="W94" s="264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33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ht="18.75" customHeight="1">
      <c r="A95" s="203"/>
      <c r="B95" s="1"/>
      <c r="C95" s="263"/>
      <c r="D95" s="1"/>
      <c r="E95" s="1"/>
      <c r="F95" s="1"/>
      <c r="G95" s="26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64"/>
      <c r="W95" s="264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33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ht="18.75" customHeight="1">
      <c r="A96" s="203"/>
      <c r="B96" s="1"/>
      <c r="C96" s="263"/>
      <c r="D96" s="1"/>
      <c r="E96" s="1"/>
      <c r="F96" s="1"/>
      <c r="G96" s="26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64"/>
      <c r="W96" s="264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33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ht="18.75" customHeight="1">
      <c r="A97" s="203"/>
      <c r="B97" s="1"/>
      <c r="C97" s="263"/>
      <c r="D97" s="1"/>
      <c r="E97" s="1"/>
      <c r="F97" s="1"/>
      <c r="G97" s="26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64"/>
      <c r="W97" s="264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33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ht="18.75" customHeight="1">
      <c r="A98" s="203"/>
      <c r="B98" s="1"/>
      <c r="C98" s="263"/>
      <c r="D98" s="1"/>
      <c r="E98" s="1"/>
      <c r="F98" s="1"/>
      <c r="G98" s="26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64"/>
      <c r="W98" s="264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33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ht="18.75" customHeight="1">
      <c r="A99" s="203"/>
      <c r="B99" s="1"/>
      <c r="C99" s="263"/>
      <c r="D99" s="1"/>
      <c r="E99" s="1"/>
      <c r="F99" s="1"/>
      <c r="G99" s="26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64"/>
      <c r="W99" s="264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33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ht="18.75" customHeight="1">
      <c r="A100" s="203"/>
      <c r="B100" s="1"/>
      <c r="C100" s="263"/>
      <c r="D100" s="1"/>
      <c r="E100" s="1"/>
      <c r="F100" s="1"/>
      <c r="G100" s="26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64"/>
      <c r="W100" s="264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33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ht="18.75" customHeight="1">
      <c r="A101" s="203"/>
      <c r="B101" s="1"/>
      <c r="C101" s="263"/>
      <c r="D101" s="1"/>
      <c r="E101" s="1"/>
      <c r="F101" s="1"/>
      <c r="G101" s="26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64"/>
      <c r="W101" s="264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33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ht="18.75" customHeight="1">
      <c r="A102" s="203"/>
      <c r="B102" s="1"/>
      <c r="C102" s="263"/>
      <c r="D102" s="1"/>
      <c r="E102" s="1"/>
      <c r="F102" s="1"/>
      <c r="G102" s="26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64"/>
      <c r="W102" s="264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33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ht="18.75" customHeight="1">
      <c r="A103" s="203"/>
      <c r="B103" s="1"/>
      <c r="C103" s="263"/>
      <c r="D103" s="1"/>
      <c r="E103" s="1"/>
      <c r="F103" s="1"/>
      <c r="G103" s="26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64"/>
      <c r="W103" s="264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33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ht="18.75" customHeight="1">
      <c r="A104" s="203"/>
      <c r="B104" s="1"/>
      <c r="C104" s="263"/>
      <c r="D104" s="1"/>
      <c r="E104" s="1"/>
      <c r="F104" s="1"/>
      <c r="G104" s="26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64"/>
      <c r="W104" s="264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33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ht="18.75" customHeight="1">
      <c r="A105" s="203"/>
      <c r="B105" s="1"/>
      <c r="C105" s="263"/>
      <c r="D105" s="1"/>
      <c r="E105" s="1"/>
      <c r="F105" s="1"/>
      <c r="G105" s="26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64"/>
      <c r="W105" s="264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33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ht="18.75" customHeight="1">
      <c r="A106" s="203"/>
      <c r="B106" s="1"/>
      <c r="C106" s="263"/>
      <c r="D106" s="1"/>
      <c r="E106" s="1"/>
      <c r="F106" s="1"/>
      <c r="G106" s="26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64"/>
      <c r="W106" s="264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33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ht="18.75" customHeight="1">
      <c r="A107" s="203"/>
      <c r="B107" s="1"/>
      <c r="C107" s="263"/>
      <c r="D107" s="1"/>
      <c r="E107" s="1"/>
      <c r="F107" s="1"/>
      <c r="G107" s="26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64"/>
      <c r="W107" s="264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33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ht="18.75" customHeight="1">
      <c r="A108" s="203"/>
      <c r="B108" s="1"/>
      <c r="C108" s="263"/>
      <c r="D108" s="1"/>
      <c r="E108" s="1"/>
      <c r="F108" s="1"/>
      <c r="G108" s="26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64"/>
      <c r="W108" s="264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33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ht="18.75" customHeight="1">
      <c r="A109" s="203"/>
      <c r="B109" s="1"/>
      <c r="C109" s="263"/>
      <c r="D109" s="1"/>
      <c r="E109" s="1"/>
      <c r="F109" s="1"/>
      <c r="G109" s="26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64"/>
      <c r="W109" s="264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33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ht="18.75" customHeight="1">
      <c r="A110" s="203"/>
      <c r="B110" s="1"/>
      <c r="C110" s="263"/>
      <c r="D110" s="1"/>
      <c r="E110" s="1"/>
      <c r="F110" s="1"/>
      <c r="G110" s="26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64"/>
      <c r="W110" s="264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33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ht="18.75" customHeight="1">
      <c r="A111" s="203"/>
      <c r="B111" s="1"/>
      <c r="C111" s="263"/>
      <c r="D111" s="1"/>
      <c r="E111" s="1"/>
      <c r="F111" s="1"/>
      <c r="G111" s="26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64"/>
      <c r="W111" s="264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33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ht="18.75" customHeight="1">
      <c r="A112" s="203"/>
      <c r="B112" s="1"/>
      <c r="C112" s="263"/>
      <c r="D112" s="1"/>
      <c r="E112" s="1"/>
      <c r="F112" s="1"/>
      <c r="G112" s="26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64"/>
      <c r="W112" s="264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33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ht="18.75" customHeight="1">
      <c r="A113" s="203"/>
      <c r="B113" s="1"/>
      <c r="C113" s="263"/>
      <c r="D113" s="1"/>
      <c r="E113" s="1"/>
      <c r="F113" s="1"/>
      <c r="G113" s="26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64"/>
      <c r="W113" s="264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33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ht="18.75" customHeight="1">
      <c r="A114" s="203"/>
      <c r="B114" s="1"/>
      <c r="C114" s="263"/>
      <c r="D114" s="1"/>
      <c r="E114" s="1"/>
      <c r="F114" s="1"/>
      <c r="G114" s="26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64"/>
      <c r="W114" s="264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33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ht="18.75" customHeight="1">
      <c r="A115" s="203"/>
      <c r="B115" s="1"/>
      <c r="C115" s="263"/>
      <c r="D115" s="1"/>
      <c r="E115" s="1"/>
      <c r="F115" s="1"/>
      <c r="G115" s="26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64"/>
      <c r="W115" s="264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33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ht="18.75" customHeight="1">
      <c r="A116" s="203"/>
      <c r="B116" s="1"/>
      <c r="C116" s="263"/>
      <c r="D116" s="1"/>
      <c r="E116" s="1"/>
      <c r="F116" s="1"/>
      <c r="G116" s="26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64"/>
      <c r="W116" s="264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33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ht="18.75" customHeight="1">
      <c r="A117" s="203"/>
      <c r="B117" s="1"/>
      <c r="C117" s="263"/>
      <c r="D117" s="1"/>
      <c r="E117" s="1"/>
      <c r="F117" s="1"/>
      <c r="G117" s="26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64"/>
      <c r="W117" s="264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33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ht="18.75" customHeight="1">
      <c r="A118" s="203"/>
      <c r="B118" s="1"/>
      <c r="C118" s="263"/>
      <c r="D118" s="1"/>
      <c r="E118" s="1"/>
      <c r="F118" s="1"/>
      <c r="G118" s="26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64"/>
      <c r="W118" s="264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33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ht="18.75" customHeight="1">
      <c r="A119" s="203"/>
      <c r="B119" s="1"/>
      <c r="C119" s="263"/>
      <c r="D119" s="1"/>
      <c r="E119" s="1"/>
      <c r="F119" s="1"/>
      <c r="G119" s="26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64"/>
      <c r="W119" s="264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33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ht="18.75" customHeight="1">
      <c r="A120" s="203"/>
      <c r="B120" s="1"/>
      <c r="C120" s="263"/>
      <c r="D120" s="1"/>
      <c r="E120" s="1"/>
      <c r="F120" s="1"/>
      <c r="G120" s="26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64"/>
      <c r="W120" s="26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33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ht="18.75" customHeight="1">
      <c r="A121" s="203"/>
      <c r="B121" s="1"/>
      <c r="C121" s="263"/>
      <c r="D121" s="1"/>
      <c r="E121" s="1"/>
      <c r="F121" s="1"/>
      <c r="G121" s="26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64"/>
      <c r="W121" s="264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33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ht="18.75" customHeight="1">
      <c r="A122" s="203"/>
      <c r="B122" s="1"/>
      <c r="C122" s="263"/>
      <c r="D122" s="1"/>
      <c r="E122" s="1"/>
      <c r="F122" s="1"/>
      <c r="G122" s="26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64"/>
      <c r="W122" s="264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33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ht="18.75" customHeight="1">
      <c r="A123" s="203"/>
      <c r="B123" s="1"/>
      <c r="C123" s="263"/>
      <c r="D123" s="1"/>
      <c r="E123" s="1"/>
      <c r="F123" s="1"/>
      <c r="G123" s="26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64"/>
      <c r="W123" s="264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33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ht="18.75" customHeight="1">
      <c r="A124" s="203"/>
      <c r="B124" s="1"/>
      <c r="C124" s="263"/>
      <c r="D124" s="1"/>
      <c r="E124" s="1"/>
      <c r="F124" s="1"/>
      <c r="G124" s="26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64"/>
      <c r="W124" s="264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33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ht="18.75" customHeight="1">
      <c r="A125" s="203"/>
      <c r="B125" s="1"/>
      <c r="C125" s="263"/>
      <c r="D125" s="1"/>
      <c r="E125" s="1"/>
      <c r="F125" s="1"/>
      <c r="G125" s="26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64"/>
      <c r="W125" s="264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33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ht="18.75" customHeight="1">
      <c r="A126" s="203"/>
      <c r="B126" s="1"/>
      <c r="C126" s="263"/>
      <c r="D126" s="1"/>
      <c r="E126" s="1"/>
      <c r="F126" s="1"/>
      <c r="G126" s="26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64"/>
      <c r="W126" s="264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33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ht="18.75" customHeight="1">
      <c r="A127" s="203"/>
      <c r="B127" s="1"/>
      <c r="C127" s="263"/>
      <c r="D127" s="1"/>
      <c r="E127" s="1"/>
      <c r="F127" s="1"/>
      <c r="G127" s="26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64"/>
      <c r="W127" s="264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33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ht="18.75" customHeight="1">
      <c r="A128" s="203"/>
      <c r="B128" s="1"/>
      <c r="C128" s="263"/>
      <c r="D128" s="1"/>
      <c r="E128" s="1"/>
      <c r="F128" s="1"/>
      <c r="G128" s="26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64"/>
      <c r="W128" s="264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33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ht="18.75" customHeight="1">
      <c r="A129" s="203"/>
      <c r="B129" s="1"/>
      <c r="C129" s="263"/>
      <c r="D129" s="1"/>
      <c r="E129" s="1"/>
      <c r="F129" s="1"/>
      <c r="G129" s="26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64"/>
      <c r="W129" s="264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33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ht="18.75" customHeight="1">
      <c r="A130" s="203"/>
      <c r="B130" s="1"/>
      <c r="C130" s="263"/>
      <c r="D130" s="1"/>
      <c r="E130" s="1"/>
      <c r="F130" s="1"/>
      <c r="G130" s="26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64"/>
      <c r="W130" s="264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33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ht="18.75" customHeight="1">
      <c r="A131" s="203"/>
      <c r="B131" s="1"/>
      <c r="C131" s="263"/>
      <c r="D131" s="1"/>
      <c r="E131" s="1"/>
      <c r="F131" s="1"/>
      <c r="G131" s="26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64"/>
      <c r="W131" s="264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33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ht="18.75" customHeight="1">
      <c r="A132" s="203"/>
      <c r="B132" s="1"/>
      <c r="C132" s="263"/>
      <c r="D132" s="1"/>
      <c r="E132" s="1"/>
      <c r="F132" s="1"/>
      <c r="G132" s="26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64"/>
      <c r="W132" s="264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33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ht="18.75" customHeight="1">
      <c r="A133" s="203"/>
      <c r="B133" s="1"/>
      <c r="C133" s="263"/>
      <c r="D133" s="1"/>
      <c r="E133" s="1"/>
      <c r="F133" s="1"/>
      <c r="G133" s="26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64"/>
      <c r="W133" s="264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33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ht="18.75" customHeight="1">
      <c r="A134" s="203"/>
      <c r="B134" s="1"/>
      <c r="C134" s="263"/>
      <c r="D134" s="1"/>
      <c r="E134" s="1"/>
      <c r="F134" s="1"/>
      <c r="G134" s="26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64"/>
      <c r="W134" s="264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33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ht="18.75" customHeight="1">
      <c r="A135" s="203"/>
      <c r="B135" s="1"/>
      <c r="C135" s="263"/>
      <c r="D135" s="1"/>
      <c r="E135" s="1"/>
      <c r="F135" s="1"/>
      <c r="G135" s="26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64"/>
      <c r="W135" s="264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33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ht="18.75" customHeight="1">
      <c r="A136" s="203"/>
      <c r="B136" s="1"/>
      <c r="C136" s="263"/>
      <c r="D136" s="1"/>
      <c r="E136" s="1"/>
      <c r="F136" s="1"/>
      <c r="G136" s="26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64"/>
      <c r="W136" s="264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33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ht="18.75" customHeight="1">
      <c r="A137" s="203"/>
      <c r="B137" s="1"/>
      <c r="C137" s="263"/>
      <c r="D137" s="1"/>
      <c r="E137" s="1"/>
      <c r="F137" s="1"/>
      <c r="G137" s="26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64"/>
      <c r="W137" s="264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33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ht="18.75" customHeight="1">
      <c r="A138" s="203"/>
      <c r="B138" s="1"/>
      <c r="C138" s="263"/>
      <c r="D138" s="1"/>
      <c r="E138" s="1"/>
      <c r="F138" s="1"/>
      <c r="G138" s="26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64"/>
      <c r="W138" s="264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33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ht="18.75" customHeight="1">
      <c r="A139" s="203"/>
      <c r="B139" s="1"/>
      <c r="C139" s="263"/>
      <c r="D139" s="1"/>
      <c r="E139" s="1"/>
      <c r="F139" s="1"/>
      <c r="G139" s="26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64"/>
      <c r="W139" s="264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33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ht="18.75" customHeight="1">
      <c r="A140" s="203"/>
      <c r="B140" s="1"/>
      <c r="C140" s="263"/>
      <c r="D140" s="1"/>
      <c r="E140" s="1"/>
      <c r="F140" s="1"/>
      <c r="G140" s="26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64"/>
      <c r="W140" s="264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33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ht="18.75" customHeight="1">
      <c r="A141" s="203"/>
      <c r="B141" s="1"/>
      <c r="C141" s="263"/>
      <c r="D141" s="1"/>
      <c r="E141" s="1"/>
      <c r="F141" s="1"/>
      <c r="G141" s="26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64"/>
      <c r="W141" s="264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33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ht="18.75" customHeight="1">
      <c r="A142" s="203"/>
      <c r="B142" s="1"/>
      <c r="C142" s="263"/>
      <c r="D142" s="1"/>
      <c r="E142" s="1"/>
      <c r="F142" s="1"/>
      <c r="G142" s="26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64"/>
      <c r="W142" s="264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33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ht="18.75" customHeight="1">
      <c r="A143" s="203"/>
      <c r="B143" s="1"/>
      <c r="C143" s="263"/>
      <c r="D143" s="1"/>
      <c r="E143" s="1"/>
      <c r="F143" s="1"/>
      <c r="G143" s="26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64"/>
      <c r="W143" s="264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33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ht="18.75" customHeight="1">
      <c r="A144" s="203"/>
      <c r="B144" s="1"/>
      <c r="C144" s="263"/>
      <c r="D144" s="1"/>
      <c r="E144" s="1"/>
      <c r="F144" s="1"/>
      <c r="G144" s="26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64"/>
      <c r="W144" s="264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33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ht="18.75" customHeight="1">
      <c r="A145" s="203"/>
      <c r="B145" s="1"/>
      <c r="C145" s="263"/>
      <c r="D145" s="1"/>
      <c r="E145" s="1"/>
      <c r="F145" s="1"/>
      <c r="G145" s="26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64"/>
      <c r="W145" s="264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33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ht="18.75" customHeight="1">
      <c r="A146" s="203"/>
      <c r="B146" s="1"/>
      <c r="C146" s="263"/>
      <c r="D146" s="1"/>
      <c r="E146" s="1"/>
      <c r="F146" s="1"/>
      <c r="G146" s="26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64"/>
      <c r="W146" s="264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33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ht="18.75" customHeight="1">
      <c r="A147" s="203"/>
      <c r="B147" s="1"/>
      <c r="C147" s="263"/>
      <c r="D147" s="1"/>
      <c r="E147" s="1"/>
      <c r="F147" s="1"/>
      <c r="G147" s="26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64"/>
      <c r="W147" s="264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33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ht="18.75" customHeight="1">
      <c r="A148" s="203"/>
      <c r="B148" s="1"/>
      <c r="C148" s="263"/>
      <c r="D148" s="1"/>
      <c r="E148" s="1"/>
      <c r="F148" s="1"/>
      <c r="G148" s="26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64"/>
      <c r="W148" s="264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33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ht="18.75" customHeight="1">
      <c r="A149" s="203"/>
      <c r="B149" s="1"/>
      <c r="C149" s="263"/>
      <c r="D149" s="1"/>
      <c r="E149" s="1"/>
      <c r="F149" s="1"/>
      <c r="G149" s="26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64"/>
      <c r="W149" s="264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33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ht="18.75" customHeight="1">
      <c r="A150" s="203"/>
      <c r="B150" s="1"/>
      <c r="C150" s="263"/>
      <c r="D150" s="1"/>
      <c r="E150" s="1"/>
      <c r="F150" s="1"/>
      <c r="G150" s="26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64"/>
      <c r="W150" s="264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33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ht="18.75" customHeight="1">
      <c r="A151" s="203"/>
      <c r="B151" s="1"/>
      <c r="C151" s="263"/>
      <c r="D151" s="1"/>
      <c r="E151" s="1"/>
      <c r="F151" s="1"/>
      <c r="G151" s="26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64"/>
      <c r="W151" s="264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33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ht="18.75" customHeight="1">
      <c r="A152" s="203"/>
      <c r="B152" s="1"/>
      <c r="C152" s="263"/>
      <c r="D152" s="1"/>
      <c r="E152" s="1"/>
      <c r="F152" s="1"/>
      <c r="G152" s="26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64"/>
      <c r="W152" s="264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33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ht="18.75" customHeight="1">
      <c r="A153" s="203"/>
      <c r="B153" s="1"/>
      <c r="C153" s="263"/>
      <c r="D153" s="1"/>
      <c r="E153" s="1"/>
      <c r="F153" s="1"/>
      <c r="G153" s="26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64"/>
      <c r="W153" s="264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33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ht="18.75" customHeight="1">
      <c r="A154" s="203"/>
      <c r="B154" s="1"/>
      <c r="C154" s="263"/>
      <c r="D154" s="1"/>
      <c r="E154" s="1"/>
      <c r="F154" s="1"/>
      <c r="G154" s="26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64"/>
      <c r="W154" s="264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33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ht="18.75" customHeight="1">
      <c r="A155" s="203"/>
      <c r="B155" s="1"/>
      <c r="C155" s="263"/>
      <c r="D155" s="1"/>
      <c r="E155" s="1"/>
      <c r="F155" s="1"/>
      <c r="G155" s="26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64"/>
      <c r="W155" s="264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33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ht="18.75" customHeight="1">
      <c r="A156" s="203"/>
      <c r="B156" s="1"/>
      <c r="C156" s="263"/>
      <c r="D156" s="1"/>
      <c r="E156" s="1"/>
      <c r="F156" s="1"/>
      <c r="G156" s="26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64"/>
      <c r="W156" s="264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33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ht="18.75" customHeight="1">
      <c r="A157" s="203"/>
      <c r="B157" s="1"/>
      <c r="C157" s="263"/>
      <c r="D157" s="1"/>
      <c r="E157" s="1"/>
      <c r="F157" s="1"/>
      <c r="G157" s="26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64"/>
      <c r="W157" s="264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33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ht="18.75" customHeight="1">
      <c r="A158" s="203"/>
      <c r="B158" s="1"/>
      <c r="C158" s="263"/>
      <c r="D158" s="1"/>
      <c r="E158" s="1"/>
      <c r="F158" s="1"/>
      <c r="G158" s="26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64"/>
      <c r="W158" s="264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33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ht="18.75" customHeight="1">
      <c r="A159" s="203"/>
      <c r="B159" s="1"/>
      <c r="C159" s="263"/>
      <c r="D159" s="1"/>
      <c r="E159" s="1"/>
      <c r="F159" s="1"/>
      <c r="G159" s="26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64"/>
      <c r="W159" s="264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33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ht="18.75" customHeight="1">
      <c r="A160" s="203"/>
      <c r="B160" s="1"/>
      <c r="C160" s="263"/>
      <c r="D160" s="1"/>
      <c r="E160" s="1"/>
      <c r="F160" s="1"/>
      <c r="G160" s="26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64"/>
      <c r="W160" s="264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33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ht="18.75" customHeight="1">
      <c r="A161" s="203"/>
      <c r="B161" s="1"/>
      <c r="C161" s="263"/>
      <c r="D161" s="1"/>
      <c r="E161" s="1"/>
      <c r="F161" s="1"/>
      <c r="G161" s="26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64"/>
      <c r="W161" s="264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33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ht="18.75" customHeight="1">
      <c r="A162" s="203"/>
      <c r="B162" s="1"/>
      <c r="C162" s="263"/>
      <c r="D162" s="1"/>
      <c r="E162" s="1"/>
      <c r="F162" s="1"/>
      <c r="G162" s="26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64"/>
      <c r="W162" s="264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33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ht="18.75" customHeight="1">
      <c r="A163" s="203"/>
      <c r="B163" s="1"/>
      <c r="C163" s="263"/>
      <c r="D163" s="1"/>
      <c r="E163" s="1"/>
      <c r="F163" s="1"/>
      <c r="G163" s="26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64"/>
      <c r="W163" s="264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33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ht="18.75" customHeight="1">
      <c r="A164" s="203"/>
      <c r="B164" s="1"/>
      <c r="C164" s="263"/>
      <c r="D164" s="1"/>
      <c r="E164" s="1"/>
      <c r="F164" s="1"/>
      <c r="G164" s="26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64"/>
      <c r="W164" s="264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33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ht="18.75" customHeight="1">
      <c r="A165" s="203"/>
      <c r="B165" s="1"/>
      <c r="C165" s="263"/>
      <c r="D165" s="1"/>
      <c r="E165" s="1"/>
      <c r="F165" s="1"/>
      <c r="G165" s="26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64"/>
      <c r="W165" s="264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33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ht="18.75" customHeight="1">
      <c r="A166" s="203"/>
      <c r="B166" s="1"/>
      <c r="C166" s="263"/>
      <c r="D166" s="1"/>
      <c r="E166" s="1"/>
      <c r="F166" s="1"/>
      <c r="G166" s="26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64"/>
      <c r="W166" s="264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33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ht="18.75" customHeight="1">
      <c r="A167" s="203"/>
      <c r="B167" s="1"/>
      <c r="C167" s="263"/>
      <c r="D167" s="1"/>
      <c r="E167" s="1"/>
      <c r="F167" s="1"/>
      <c r="G167" s="26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64"/>
      <c r="W167" s="264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33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ht="18.75" customHeight="1">
      <c r="A168" s="203"/>
      <c r="B168" s="1"/>
      <c r="C168" s="263"/>
      <c r="D168" s="1"/>
      <c r="E168" s="1"/>
      <c r="F168" s="1"/>
      <c r="G168" s="26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64"/>
      <c r="W168" s="264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33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ht="18.75" customHeight="1">
      <c r="A169" s="203"/>
      <c r="B169" s="1"/>
      <c r="C169" s="263"/>
      <c r="D169" s="1"/>
      <c r="E169" s="1"/>
      <c r="F169" s="1"/>
      <c r="G169" s="26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64"/>
      <c r="W169" s="264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33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ht="18.75" customHeight="1">
      <c r="A170" s="203"/>
      <c r="B170" s="1"/>
      <c r="C170" s="263"/>
      <c r="D170" s="1"/>
      <c r="E170" s="1"/>
      <c r="F170" s="1"/>
      <c r="G170" s="26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64"/>
      <c r="W170" s="264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33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ht="18.75" customHeight="1">
      <c r="A171" s="203"/>
      <c r="B171" s="1"/>
      <c r="C171" s="263"/>
      <c r="D171" s="1"/>
      <c r="E171" s="1"/>
      <c r="F171" s="1"/>
      <c r="G171" s="26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64"/>
      <c r="W171" s="264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33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ht="18.75" customHeight="1">
      <c r="A172" s="203"/>
      <c r="B172" s="1"/>
      <c r="C172" s="263"/>
      <c r="D172" s="1"/>
      <c r="E172" s="1"/>
      <c r="F172" s="1"/>
      <c r="G172" s="26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64"/>
      <c r="W172" s="264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33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ht="18.75" customHeight="1">
      <c r="A173" s="203"/>
      <c r="B173" s="1"/>
      <c r="C173" s="263"/>
      <c r="D173" s="1"/>
      <c r="E173" s="1"/>
      <c r="F173" s="1"/>
      <c r="G173" s="26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64"/>
      <c r="W173" s="264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33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ht="18.75" customHeight="1">
      <c r="A174" s="203"/>
      <c r="B174" s="1"/>
      <c r="C174" s="263"/>
      <c r="D174" s="1"/>
      <c r="E174" s="1"/>
      <c r="F174" s="1"/>
      <c r="G174" s="26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64"/>
      <c r="W174" s="264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33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ht="18.75" customHeight="1">
      <c r="A175" s="203"/>
      <c r="B175" s="1"/>
      <c r="C175" s="263"/>
      <c r="D175" s="1"/>
      <c r="E175" s="1"/>
      <c r="F175" s="1"/>
      <c r="G175" s="26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64"/>
      <c r="W175" s="264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33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ht="18.75" customHeight="1">
      <c r="A176" s="203"/>
      <c r="B176" s="1"/>
      <c r="C176" s="263"/>
      <c r="D176" s="1"/>
      <c r="E176" s="1"/>
      <c r="F176" s="1"/>
      <c r="G176" s="26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64"/>
      <c r="W176" s="264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33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ht="18.75" customHeight="1">
      <c r="A177" s="203"/>
      <c r="B177" s="1"/>
      <c r="C177" s="263"/>
      <c r="D177" s="1"/>
      <c r="E177" s="1"/>
      <c r="F177" s="1"/>
      <c r="G177" s="26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64"/>
      <c r="W177" s="264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33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ht="18.75" customHeight="1">
      <c r="A178" s="203"/>
      <c r="B178" s="1"/>
      <c r="C178" s="263"/>
      <c r="D178" s="1"/>
      <c r="E178" s="1"/>
      <c r="F178" s="1"/>
      <c r="G178" s="26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64"/>
      <c r="W178" s="264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33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ht="18.75" customHeight="1">
      <c r="A179" s="203"/>
      <c r="B179" s="1"/>
      <c r="C179" s="263"/>
      <c r="D179" s="1"/>
      <c r="E179" s="1"/>
      <c r="F179" s="1"/>
      <c r="G179" s="26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64"/>
      <c r="W179" s="264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33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ht="18.75" customHeight="1">
      <c r="A180" s="203"/>
      <c r="B180" s="1"/>
      <c r="C180" s="263"/>
      <c r="D180" s="1"/>
      <c r="E180" s="1"/>
      <c r="F180" s="1"/>
      <c r="G180" s="26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64"/>
      <c r="W180" s="264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33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ht="18.75" customHeight="1">
      <c r="A181" s="203"/>
      <c r="B181" s="1"/>
      <c r="C181" s="263"/>
      <c r="D181" s="1"/>
      <c r="E181" s="1"/>
      <c r="F181" s="1"/>
      <c r="G181" s="26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64"/>
      <c r="W181" s="264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33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ht="18.75" customHeight="1">
      <c r="A182" s="203"/>
      <c r="B182" s="1"/>
      <c r="C182" s="263"/>
      <c r="D182" s="1"/>
      <c r="E182" s="1"/>
      <c r="F182" s="1"/>
      <c r="G182" s="26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64"/>
      <c r="W182" s="264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33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ht="18.75" customHeight="1">
      <c r="A183" s="203"/>
      <c r="B183" s="1"/>
      <c r="C183" s="263"/>
      <c r="D183" s="1"/>
      <c r="E183" s="1"/>
      <c r="F183" s="1"/>
      <c r="G183" s="26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64"/>
      <c r="W183" s="264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33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ht="18.75" customHeight="1">
      <c r="A184" s="203"/>
      <c r="B184" s="1"/>
      <c r="C184" s="263"/>
      <c r="D184" s="1"/>
      <c r="E184" s="1"/>
      <c r="F184" s="1"/>
      <c r="G184" s="26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64"/>
      <c r="W184" s="264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33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ht="18.75" customHeight="1">
      <c r="A185" s="203"/>
      <c r="B185" s="1"/>
      <c r="C185" s="263"/>
      <c r="D185" s="1"/>
      <c r="E185" s="1"/>
      <c r="F185" s="1"/>
      <c r="G185" s="26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64"/>
      <c r="W185" s="264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33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ht="18.75" customHeight="1">
      <c r="A186" s="203"/>
      <c r="B186" s="1"/>
      <c r="C186" s="263"/>
      <c r="D186" s="1"/>
      <c r="E186" s="1"/>
      <c r="F186" s="1"/>
      <c r="G186" s="26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64"/>
      <c r="W186" s="264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33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ht="18.75" customHeight="1">
      <c r="A187" s="203"/>
      <c r="B187" s="1"/>
      <c r="C187" s="263"/>
      <c r="D187" s="1"/>
      <c r="E187" s="1"/>
      <c r="F187" s="1"/>
      <c r="G187" s="26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64"/>
      <c r="W187" s="264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33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ht="18.75" customHeight="1">
      <c r="A188" s="203"/>
      <c r="B188" s="1"/>
      <c r="C188" s="263"/>
      <c r="D188" s="1"/>
      <c r="E188" s="1"/>
      <c r="F188" s="1"/>
      <c r="G188" s="26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64"/>
      <c r="W188" s="264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33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ht="18.75" customHeight="1">
      <c r="A189" s="203"/>
      <c r="B189" s="1"/>
      <c r="C189" s="263"/>
      <c r="D189" s="1"/>
      <c r="E189" s="1"/>
      <c r="F189" s="1"/>
      <c r="G189" s="26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64"/>
      <c r="W189" s="264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33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ht="18.75" customHeight="1">
      <c r="A190" s="203"/>
      <c r="B190" s="1"/>
      <c r="C190" s="263"/>
      <c r="D190" s="1"/>
      <c r="E190" s="1"/>
      <c r="F190" s="1"/>
      <c r="G190" s="26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64"/>
      <c r="W190" s="264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33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ht="18.75" customHeight="1">
      <c r="A191" s="203"/>
      <c r="B191" s="1"/>
      <c r="C191" s="263"/>
      <c r="D191" s="1"/>
      <c r="E191" s="1"/>
      <c r="F191" s="1"/>
      <c r="G191" s="26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64"/>
      <c r="W191" s="264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33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ht="18.75" customHeight="1">
      <c r="A192" s="203"/>
      <c r="B192" s="1"/>
      <c r="C192" s="263"/>
      <c r="D192" s="1"/>
      <c r="E192" s="1"/>
      <c r="F192" s="1"/>
      <c r="G192" s="26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64"/>
      <c r="W192" s="264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33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ht="18.75" customHeight="1">
      <c r="A193" s="203"/>
      <c r="B193" s="1"/>
      <c r="C193" s="263"/>
      <c r="D193" s="1"/>
      <c r="E193" s="1"/>
      <c r="F193" s="1"/>
      <c r="G193" s="26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64"/>
      <c r="W193" s="264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33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ht="18.75" customHeight="1">
      <c r="A194" s="203"/>
      <c r="B194" s="1"/>
      <c r="C194" s="263"/>
      <c r="D194" s="1"/>
      <c r="E194" s="1"/>
      <c r="F194" s="1"/>
      <c r="G194" s="26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64"/>
      <c r="W194" s="264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33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ht="18.75" customHeight="1">
      <c r="A195" s="203"/>
      <c r="B195" s="1"/>
      <c r="C195" s="263"/>
      <c r="D195" s="1"/>
      <c r="E195" s="1"/>
      <c r="F195" s="1"/>
      <c r="G195" s="26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64"/>
      <c r="W195" s="264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33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ht="18.75" customHeight="1">
      <c r="A196" s="203"/>
      <c r="B196" s="1"/>
      <c r="C196" s="263"/>
      <c r="D196" s="1"/>
      <c r="E196" s="1"/>
      <c r="F196" s="1"/>
      <c r="G196" s="26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64"/>
      <c r="W196" s="264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33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ht="18.75" customHeight="1">
      <c r="A197" s="203"/>
      <c r="B197" s="1"/>
      <c r="C197" s="263"/>
      <c r="D197" s="1"/>
      <c r="E197" s="1"/>
      <c r="F197" s="1"/>
      <c r="G197" s="26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64"/>
      <c r="W197" s="264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33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ht="18.75" customHeight="1">
      <c r="A198" s="203"/>
      <c r="B198" s="1"/>
      <c r="C198" s="263"/>
      <c r="D198" s="1"/>
      <c r="E198" s="1"/>
      <c r="F198" s="1"/>
      <c r="G198" s="26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64"/>
      <c r="W198" s="264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33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ht="18.75" customHeight="1">
      <c r="A199" s="203"/>
      <c r="B199" s="1"/>
      <c r="C199" s="263"/>
      <c r="D199" s="1"/>
      <c r="E199" s="1"/>
      <c r="F199" s="1"/>
      <c r="G199" s="26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64"/>
      <c r="W199" s="264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33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ht="18.75" customHeight="1">
      <c r="A200" s="203"/>
      <c r="B200" s="1"/>
      <c r="C200" s="263"/>
      <c r="D200" s="1"/>
      <c r="E200" s="1"/>
      <c r="F200" s="1"/>
      <c r="G200" s="26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64"/>
      <c r="W200" s="264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33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ht="18.75" customHeight="1">
      <c r="A201" s="203"/>
      <c r="B201" s="1"/>
      <c r="C201" s="263"/>
      <c r="D201" s="1"/>
      <c r="E201" s="1"/>
      <c r="F201" s="1"/>
      <c r="G201" s="26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64"/>
      <c r="W201" s="264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33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ht="18.75" customHeight="1">
      <c r="A202" s="203"/>
      <c r="B202" s="1"/>
      <c r="C202" s="263"/>
      <c r="D202" s="1"/>
      <c r="E202" s="1"/>
      <c r="F202" s="1"/>
      <c r="G202" s="26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64"/>
      <c r="W202" s="264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33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ht="18.75" customHeight="1">
      <c r="A203" s="203"/>
      <c r="B203" s="1"/>
      <c r="C203" s="263"/>
      <c r="D203" s="1"/>
      <c r="E203" s="1"/>
      <c r="F203" s="1"/>
      <c r="G203" s="26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64"/>
      <c r="W203" s="264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33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ht="18.75" customHeight="1">
      <c r="A204" s="203"/>
      <c r="B204" s="1"/>
      <c r="C204" s="263"/>
      <c r="D204" s="1"/>
      <c r="E204" s="1"/>
      <c r="F204" s="1"/>
      <c r="G204" s="26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64"/>
      <c r="W204" s="264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33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ht="18.75" customHeight="1">
      <c r="A205" s="203"/>
      <c r="B205" s="1"/>
      <c r="C205" s="263"/>
      <c r="D205" s="1"/>
      <c r="E205" s="1"/>
      <c r="F205" s="1"/>
      <c r="G205" s="26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64"/>
      <c r="W205" s="264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33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ht="18.75" customHeight="1">
      <c r="A206" s="203"/>
      <c r="B206" s="1"/>
      <c r="C206" s="263"/>
      <c r="D206" s="1"/>
      <c r="E206" s="1"/>
      <c r="F206" s="1"/>
      <c r="G206" s="26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64"/>
      <c r="W206" s="264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33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ht="18.75" customHeight="1">
      <c r="A207" s="203"/>
      <c r="B207" s="1"/>
      <c r="C207" s="263"/>
      <c r="D207" s="1"/>
      <c r="E207" s="1"/>
      <c r="F207" s="1"/>
      <c r="G207" s="26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64"/>
      <c r="W207" s="264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33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ht="18.75" customHeight="1">
      <c r="A208" s="203"/>
      <c r="B208" s="1"/>
      <c r="C208" s="263"/>
      <c r="D208" s="1"/>
      <c r="E208" s="1"/>
      <c r="F208" s="1"/>
      <c r="G208" s="26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64"/>
      <c r="W208" s="264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33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ht="18.75" customHeight="1">
      <c r="A209" s="203"/>
      <c r="B209" s="1"/>
      <c r="C209" s="263"/>
      <c r="D209" s="1"/>
      <c r="E209" s="1"/>
      <c r="F209" s="1"/>
      <c r="G209" s="26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64"/>
      <c r="W209" s="264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33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ht="18.75" customHeight="1">
      <c r="A210" s="203"/>
      <c r="B210" s="1"/>
      <c r="C210" s="263"/>
      <c r="D210" s="1"/>
      <c r="E210" s="1"/>
      <c r="F210" s="1"/>
      <c r="G210" s="26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64"/>
      <c r="W210" s="264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33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ht="18.75" customHeight="1">
      <c r="A211" s="203"/>
      <c r="B211" s="1"/>
      <c r="C211" s="263"/>
      <c r="D211" s="1"/>
      <c r="E211" s="1"/>
      <c r="F211" s="1"/>
      <c r="G211" s="26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64"/>
      <c r="W211" s="264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33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ht="18.75" customHeight="1">
      <c r="A212" s="203"/>
      <c r="B212" s="1"/>
      <c r="C212" s="263"/>
      <c r="D212" s="1"/>
      <c r="E212" s="1"/>
      <c r="F212" s="1"/>
      <c r="G212" s="26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64"/>
      <c r="W212" s="264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33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ht="18.75" customHeight="1">
      <c r="A213" s="203"/>
      <c r="B213" s="1"/>
      <c r="C213" s="263"/>
      <c r="D213" s="1"/>
      <c r="E213" s="1"/>
      <c r="F213" s="1"/>
      <c r="G213" s="26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64"/>
      <c r="W213" s="264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33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ht="18.75" customHeight="1">
      <c r="A214" s="203"/>
      <c r="B214" s="1"/>
      <c r="C214" s="263"/>
      <c r="D214" s="1"/>
      <c r="E214" s="1"/>
      <c r="F214" s="1"/>
      <c r="G214" s="26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64"/>
      <c r="W214" s="264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33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ht="18.75" customHeight="1">
      <c r="A215" s="203"/>
      <c r="B215" s="1"/>
      <c r="C215" s="263"/>
      <c r="D215" s="1"/>
      <c r="E215" s="1"/>
      <c r="F215" s="1"/>
      <c r="G215" s="26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64"/>
      <c r="W215" s="264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33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ht="18.75" customHeight="1">
      <c r="A216" s="203"/>
      <c r="B216" s="1"/>
      <c r="C216" s="263"/>
      <c r="D216" s="1"/>
      <c r="E216" s="1"/>
      <c r="F216" s="1"/>
      <c r="G216" s="26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64"/>
      <c r="W216" s="264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33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ht="18.75" customHeight="1">
      <c r="A217" s="203"/>
      <c r="B217" s="1"/>
      <c r="C217" s="263"/>
      <c r="D217" s="1"/>
      <c r="E217" s="1"/>
      <c r="F217" s="1"/>
      <c r="G217" s="26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64"/>
      <c r="W217" s="264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33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ht="18.75" customHeight="1">
      <c r="A218" s="203"/>
      <c r="B218" s="1"/>
      <c r="C218" s="263"/>
      <c r="D218" s="1"/>
      <c r="E218" s="1"/>
      <c r="F218" s="1"/>
      <c r="G218" s="26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64"/>
      <c r="W218" s="264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33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ht="18.75" customHeight="1">
      <c r="A219" s="203"/>
      <c r="B219" s="1"/>
      <c r="C219" s="263"/>
      <c r="D219" s="1"/>
      <c r="E219" s="1"/>
      <c r="F219" s="1"/>
      <c r="G219" s="26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64"/>
      <c r="W219" s="264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33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ht="18.75" customHeight="1">
      <c r="A220" s="203"/>
      <c r="B220" s="1"/>
      <c r="C220" s="263"/>
      <c r="D220" s="1"/>
      <c r="E220" s="1"/>
      <c r="F220" s="1"/>
      <c r="G220" s="26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64"/>
      <c r="W220" s="264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33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ht="18.75" customHeight="1">
      <c r="A221" s="203"/>
      <c r="B221" s="1"/>
      <c r="C221" s="263"/>
      <c r="D221" s="1"/>
      <c r="E221" s="1"/>
      <c r="F221" s="1"/>
      <c r="G221" s="26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64"/>
      <c r="W221" s="264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33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ht="18.75" customHeight="1">
      <c r="A222" s="203"/>
      <c r="B222" s="1"/>
      <c r="C222" s="263"/>
      <c r="D222" s="1"/>
      <c r="E222" s="1"/>
      <c r="F222" s="1"/>
      <c r="G222" s="26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64"/>
      <c r="W222" s="264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33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ht="18.75" customHeight="1">
      <c r="A223" s="203"/>
      <c r="B223" s="1"/>
      <c r="C223" s="263"/>
      <c r="D223" s="1"/>
      <c r="E223" s="1"/>
      <c r="F223" s="1"/>
      <c r="G223" s="26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64"/>
      <c r="W223" s="264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33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ht="18.75" customHeight="1">
      <c r="A224" s="203"/>
      <c r="B224" s="1"/>
      <c r="C224" s="263"/>
      <c r="D224" s="1"/>
      <c r="E224" s="1"/>
      <c r="F224" s="1"/>
      <c r="G224" s="26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64"/>
      <c r="W224" s="264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33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ht="18.75" customHeight="1">
      <c r="A225" s="203"/>
      <c r="B225" s="1"/>
      <c r="C225" s="263"/>
      <c r="D225" s="1"/>
      <c r="E225" s="1"/>
      <c r="F225" s="1"/>
      <c r="G225" s="26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64"/>
      <c r="W225" s="264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33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ht="18.75" customHeight="1">
      <c r="A226" s="203"/>
      <c r="B226" s="1"/>
      <c r="C226" s="263"/>
      <c r="D226" s="1"/>
      <c r="E226" s="1"/>
      <c r="F226" s="1"/>
      <c r="G226" s="26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64"/>
      <c r="W226" s="264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33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ht="18.75" customHeight="1">
      <c r="A227" s="203"/>
      <c r="B227" s="1"/>
      <c r="C227" s="263"/>
      <c r="D227" s="1"/>
      <c r="E227" s="1"/>
      <c r="F227" s="1"/>
      <c r="G227" s="26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64"/>
      <c r="W227" s="264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33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ht="18.75" customHeight="1">
      <c r="A228" s="203"/>
      <c r="B228" s="1"/>
      <c r="C228" s="263"/>
      <c r="D228" s="1"/>
      <c r="E228" s="1"/>
      <c r="F228" s="1"/>
      <c r="G228" s="26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64"/>
      <c r="W228" s="264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33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ht="18.75" customHeight="1">
      <c r="A229" s="203"/>
      <c r="B229" s="1"/>
      <c r="C229" s="263"/>
      <c r="D229" s="1"/>
      <c r="E229" s="1"/>
      <c r="F229" s="1"/>
      <c r="G229" s="26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64"/>
      <c r="W229" s="264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33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ht="18.75" customHeight="1">
      <c r="A230" s="203"/>
      <c r="B230" s="1"/>
      <c r="C230" s="263"/>
      <c r="D230" s="1"/>
      <c r="E230" s="1"/>
      <c r="F230" s="1"/>
      <c r="G230" s="26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64"/>
      <c r="W230" s="264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33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ht="18.75" customHeight="1">
      <c r="A231" s="203"/>
      <c r="B231" s="1"/>
      <c r="C231" s="263"/>
      <c r="D231" s="1"/>
      <c r="E231" s="1"/>
      <c r="F231" s="1"/>
      <c r="G231" s="26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64"/>
      <c r="W231" s="264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33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ht="18.75" customHeight="1">
      <c r="A232" s="203"/>
      <c r="B232" s="1"/>
      <c r="C232" s="263"/>
      <c r="D232" s="1"/>
      <c r="E232" s="1"/>
      <c r="F232" s="1"/>
      <c r="G232" s="26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64"/>
      <c r="W232" s="264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33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ht="18.75" customHeight="1">
      <c r="A233" s="203"/>
      <c r="B233" s="1"/>
      <c r="C233" s="263"/>
      <c r="D233" s="1"/>
      <c r="E233" s="1"/>
      <c r="F233" s="1"/>
      <c r="G233" s="26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64"/>
      <c r="W233" s="264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33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ht="18.75" customHeight="1">
      <c r="A234" s="203"/>
      <c r="B234" s="1"/>
      <c r="C234" s="263"/>
      <c r="D234" s="1"/>
      <c r="E234" s="1"/>
      <c r="F234" s="1"/>
      <c r="G234" s="26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64"/>
      <c r="W234" s="264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33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ht="18.75" customHeight="1">
      <c r="A235" s="203"/>
      <c r="B235" s="1"/>
      <c r="C235" s="263"/>
      <c r="D235" s="1"/>
      <c r="E235" s="1"/>
      <c r="F235" s="1"/>
      <c r="G235" s="26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64"/>
      <c r="W235" s="264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33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ht="18.75" customHeight="1">
      <c r="A236" s="203"/>
      <c r="B236" s="1"/>
      <c r="C236" s="263"/>
      <c r="D236" s="1"/>
      <c r="E236" s="1"/>
      <c r="F236" s="1"/>
      <c r="G236" s="26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64"/>
      <c r="W236" s="264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33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ht="18.75" customHeight="1">
      <c r="A237" s="203"/>
      <c r="B237" s="1"/>
      <c r="C237" s="263"/>
      <c r="D237" s="1"/>
      <c r="E237" s="1"/>
      <c r="F237" s="1"/>
      <c r="G237" s="26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64"/>
      <c r="W237" s="264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33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ht="18.75" customHeight="1">
      <c r="A238" s="203"/>
      <c r="B238" s="1"/>
      <c r="C238" s="263"/>
      <c r="D238" s="1"/>
      <c r="E238" s="1"/>
      <c r="F238" s="1"/>
      <c r="G238" s="26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64"/>
      <c r="W238" s="264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33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ht="18.75" customHeight="1">
      <c r="A239" s="203"/>
      <c r="B239" s="1"/>
      <c r="C239" s="263"/>
      <c r="D239" s="1"/>
      <c r="E239" s="1"/>
      <c r="F239" s="1"/>
      <c r="G239" s="26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64"/>
      <c r="W239" s="264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33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ht="18.75" customHeight="1">
      <c r="A240" s="203"/>
      <c r="B240" s="1"/>
      <c r="C240" s="263"/>
      <c r="D240" s="1"/>
      <c r="E240" s="1"/>
      <c r="F240" s="1"/>
      <c r="G240" s="26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64"/>
      <c r="W240" s="264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33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ht="18.75" customHeight="1">
      <c r="A241" s="203"/>
      <c r="B241" s="1"/>
      <c r="C241" s="263"/>
      <c r="D241" s="1"/>
      <c r="E241" s="1"/>
      <c r="F241" s="1"/>
      <c r="G241" s="26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64"/>
      <c r="W241" s="264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33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ht="18.75" customHeight="1">
      <c r="A242" s="203"/>
      <c r="B242" s="1"/>
      <c r="C242" s="263"/>
      <c r="D242" s="1"/>
      <c r="E242" s="1"/>
      <c r="F242" s="1"/>
      <c r="G242" s="26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64"/>
      <c r="W242" s="264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33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ht="18.75" customHeight="1">
      <c r="A243" s="203"/>
      <c r="B243" s="1"/>
      <c r="C243" s="263"/>
      <c r="D243" s="1"/>
      <c r="E243" s="1"/>
      <c r="F243" s="1"/>
      <c r="G243" s="26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64"/>
      <c r="W243" s="264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33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ht="18.75" customHeight="1">
      <c r="A244" s="203"/>
      <c r="B244" s="1"/>
      <c r="C244" s="263"/>
      <c r="D244" s="1"/>
      <c r="E244" s="1"/>
      <c r="F244" s="1"/>
      <c r="G244" s="26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64"/>
      <c r="W244" s="264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33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ht="18.75" customHeight="1">
      <c r="A245" s="203"/>
      <c r="B245" s="1"/>
      <c r="C245" s="263"/>
      <c r="D245" s="1"/>
      <c r="E245" s="1"/>
      <c r="F245" s="1"/>
      <c r="G245" s="26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64"/>
      <c r="W245" s="264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33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ht="18.75" customHeight="1">
      <c r="A246" s="203"/>
      <c r="B246" s="1"/>
      <c r="C246" s="263"/>
      <c r="D246" s="1"/>
      <c r="E246" s="1"/>
      <c r="F246" s="1"/>
      <c r="G246" s="26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64"/>
      <c r="W246" s="264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33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ht="18.75" customHeight="1">
      <c r="A247" s="203"/>
      <c r="B247" s="1"/>
      <c r="C247" s="263"/>
      <c r="D247" s="1"/>
      <c r="E247" s="1"/>
      <c r="F247" s="1"/>
      <c r="G247" s="26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64"/>
      <c r="W247" s="264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33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ht="18.75" customHeight="1">
      <c r="A248" s="203"/>
      <c r="B248" s="1"/>
      <c r="C248" s="263"/>
      <c r="D248" s="1"/>
      <c r="E248" s="1"/>
      <c r="F248" s="1"/>
      <c r="G248" s="26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64"/>
      <c r="W248" s="264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33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ht="18.75" customHeight="1">
      <c r="A249" s="203"/>
      <c r="B249" s="1"/>
      <c r="C249" s="263"/>
      <c r="D249" s="1"/>
      <c r="E249" s="1"/>
      <c r="F249" s="1"/>
      <c r="G249" s="26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64"/>
      <c r="W249" s="264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33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ht="18.75" customHeight="1">
      <c r="A250" s="203"/>
      <c r="B250" s="1"/>
      <c r="C250" s="263"/>
      <c r="D250" s="1"/>
      <c r="E250" s="1"/>
      <c r="F250" s="1"/>
      <c r="G250" s="26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64"/>
      <c r="W250" s="264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33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ht="18.75" customHeight="1">
      <c r="A251" s="203"/>
      <c r="B251" s="1"/>
      <c r="C251" s="263"/>
      <c r="D251" s="1"/>
      <c r="E251" s="1"/>
      <c r="F251" s="1"/>
      <c r="G251" s="26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64"/>
      <c r="W251" s="264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33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ht="18.75" customHeight="1">
      <c r="A252" s="203"/>
      <c r="B252" s="1"/>
      <c r="C252" s="263"/>
      <c r="D252" s="1"/>
      <c r="E252" s="1"/>
      <c r="F252" s="1"/>
      <c r="G252" s="26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64"/>
      <c r="W252" s="264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33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ht="18.75" customHeight="1">
      <c r="A253" s="203"/>
      <c r="B253" s="1"/>
      <c r="C253" s="263"/>
      <c r="D253" s="1"/>
      <c r="E253" s="1"/>
      <c r="F253" s="1"/>
      <c r="G253" s="26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64"/>
      <c r="W253" s="264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33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ht="18.75" customHeight="1">
      <c r="A254" s="203"/>
      <c r="B254" s="1"/>
      <c r="C254" s="263"/>
      <c r="D254" s="1"/>
      <c r="E254" s="1"/>
      <c r="F254" s="1"/>
      <c r="G254" s="26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64"/>
      <c r="W254" s="264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33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ht="18.75" customHeight="1">
      <c r="A255" s="203"/>
      <c r="B255" s="1"/>
      <c r="C255" s="263"/>
      <c r="D255" s="1"/>
      <c r="E255" s="1"/>
      <c r="F255" s="1"/>
      <c r="G255" s="26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64"/>
      <c r="W255" s="264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33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ht="18.75" customHeight="1">
      <c r="A256" s="203"/>
      <c r="B256" s="1"/>
      <c r="C256" s="263"/>
      <c r="D256" s="1"/>
      <c r="E256" s="1"/>
      <c r="F256" s="1"/>
      <c r="G256" s="26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64"/>
      <c r="W256" s="264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33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ht="18.75" customHeight="1">
      <c r="A257" s="203"/>
      <c r="B257" s="1"/>
      <c r="C257" s="263"/>
      <c r="D257" s="1"/>
      <c r="E257" s="1"/>
      <c r="F257" s="1"/>
      <c r="G257" s="26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64"/>
      <c r="W257" s="264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33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ht="18.75" customHeight="1">
      <c r="A258" s="203"/>
      <c r="B258" s="1"/>
      <c r="C258" s="263"/>
      <c r="D258" s="1"/>
      <c r="E258" s="1"/>
      <c r="F258" s="1"/>
      <c r="G258" s="26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64"/>
      <c r="W258" s="264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33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ht="18.75" customHeight="1">
      <c r="A259" s="203"/>
      <c r="B259" s="1"/>
      <c r="C259" s="263"/>
      <c r="D259" s="1"/>
      <c r="E259" s="1"/>
      <c r="F259" s="1"/>
      <c r="G259" s="26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64"/>
      <c r="W259" s="264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33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ht="18.75" customHeight="1">
      <c r="A260" s="203"/>
      <c r="B260" s="1"/>
      <c r="C260" s="263"/>
      <c r="D260" s="1"/>
      <c r="E260" s="1"/>
      <c r="F260" s="1"/>
      <c r="G260" s="26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64"/>
      <c r="W260" s="264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33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ht="18.75" customHeight="1">
      <c r="A261" s="203"/>
      <c r="B261" s="1"/>
      <c r="C261" s="263"/>
      <c r="D261" s="1"/>
      <c r="E261" s="1"/>
      <c r="F261" s="1"/>
      <c r="G261" s="26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64"/>
      <c r="W261" s="264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33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ht="18.75" customHeight="1">
      <c r="A262" s="203"/>
      <c r="B262" s="1"/>
      <c r="C262" s="263"/>
      <c r="D262" s="1"/>
      <c r="E262" s="1"/>
      <c r="F262" s="1"/>
      <c r="G262" s="26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64"/>
      <c r="W262" s="264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33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ht="18.75" customHeight="1">
      <c r="A263" s="203"/>
      <c r="B263" s="1"/>
      <c r="C263" s="263"/>
      <c r="D263" s="1"/>
      <c r="E263" s="1"/>
      <c r="F263" s="1"/>
      <c r="G263" s="26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64"/>
      <c r="W263" s="264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33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ht="18.75" customHeight="1">
      <c r="A264" s="203"/>
      <c r="B264" s="1"/>
      <c r="C264" s="263"/>
      <c r="D264" s="1"/>
      <c r="E264" s="1"/>
      <c r="F264" s="1"/>
      <c r="G264" s="26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64"/>
      <c r="W264" s="264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33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ht="18.75" customHeight="1">
      <c r="A265" s="203"/>
      <c r="B265" s="1"/>
      <c r="C265" s="263"/>
      <c r="D265" s="1"/>
      <c r="E265" s="1"/>
      <c r="F265" s="1"/>
      <c r="G265" s="26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64"/>
      <c r="W265" s="264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33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ht="18.75" customHeight="1">
      <c r="A266" s="203"/>
      <c r="B266" s="1"/>
      <c r="C266" s="263"/>
      <c r="D266" s="1"/>
      <c r="E266" s="1"/>
      <c r="F266" s="1"/>
      <c r="G266" s="26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64"/>
      <c r="W266" s="264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33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ht="18.75" customHeight="1">
      <c r="A267" s="203"/>
      <c r="B267" s="1"/>
      <c r="C267" s="263"/>
      <c r="D267" s="1"/>
      <c r="E267" s="1"/>
      <c r="F267" s="1"/>
      <c r="G267" s="26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64"/>
      <c r="W267" s="264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33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ht="18.75" customHeight="1">
      <c r="A268" s="203"/>
      <c r="B268" s="1"/>
      <c r="C268" s="263"/>
      <c r="D268" s="1"/>
      <c r="E268" s="1"/>
      <c r="F268" s="1"/>
      <c r="G268" s="26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64"/>
      <c r="W268" s="264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33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ht="18.75" customHeight="1">
      <c r="A269" s="203"/>
      <c r="B269" s="1"/>
      <c r="C269" s="263"/>
      <c r="D269" s="1"/>
      <c r="E269" s="1"/>
      <c r="F269" s="1"/>
      <c r="G269" s="26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64"/>
      <c r="W269" s="264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33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ht="18.75" customHeight="1">
      <c r="A270" s="203"/>
      <c r="B270" s="1"/>
      <c r="C270" s="263"/>
      <c r="D270" s="1"/>
      <c r="E270" s="1"/>
      <c r="F270" s="1"/>
      <c r="G270" s="26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64"/>
      <c r="W270" s="264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33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ht="18.75" customHeight="1">
      <c r="A271" s="203"/>
      <c r="B271" s="1"/>
      <c r="C271" s="263"/>
      <c r="D271" s="1"/>
      <c r="E271" s="1"/>
      <c r="F271" s="1"/>
      <c r="G271" s="26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64"/>
      <c r="W271" s="264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33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ht="18.75" customHeight="1">
      <c r="A272" s="203"/>
      <c r="B272" s="1"/>
      <c r="C272" s="263"/>
      <c r="D272" s="1"/>
      <c r="E272" s="1"/>
      <c r="F272" s="1"/>
      <c r="G272" s="26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64"/>
      <c r="W272" s="264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33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ht="18.75" customHeight="1">
      <c r="A273" s="203"/>
      <c r="B273" s="1"/>
      <c r="C273" s="263"/>
      <c r="D273" s="1"/>
      <c r="E273" s="1"/>
      <c r="F273" s="1"/>
      <c r="G273" s="26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64"/>
      <c r="W273" s="264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33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ht="18.75" customHeight="1">
      <c r="A274" s="203"/>
      <c r="B274" s="1"/>
      <c r="C274" s="263"/>
      <c r="D274" s="1"/>
      <c r="E274" s="1"/>
      <c r="F274" s="1"/>
      <c r="G274" s="26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64"/>
      <c r="W274" s="264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33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ht="18.75" customHeight="1">
      <c r="A275" s="203"/>
      <c r="B275" s="1"/>
      <c r="C275" s="263"/>
      <c r="D275" s="1"/>
      <c r="E275" s="1"/>
      <c r="F275" s="1"/>
      <c r="G275" s="26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64"/>
      <c r="W275" s="264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33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ht="18.75" customHeight="1">
      <c r="A276" s="203"/>
      <c r="B276" s="1"/>
      <c r="C276" s="263"/>
      <c r="D276" s="1"/>
      <c r="E276" s="1"/>
      <c r="F276" s="1"/>
      <c r="G276" s="26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64"/>
      <c r="W276" s="264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33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ht="18.75" customHeight="1">
      <c r="A277" s="203"/>
      <c r="B277" s="1"/>
      <c r="C277" s="263"/>
      <c r="D277" s="1"/>
      <c r="E277" s="1"/>
      <c r="F277" s="1"/>
      <c r="G277" s="26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64"/>
      <c r="W277" s="264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33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ht="18.75" customHeight="1">
      <c r="A278" s="203"/>
      <c r="B278" s="1"/>
      <c r="C278" s="263"/>
      <c r="D278" s="1"/>
      <c r="E278" s="1"/>
      <c r="F278" s="1"/>
      <c r="G278" s="26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64"/>
      <c r="W278" s="264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33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ht="18.75" customHeight="1">
      <c r="A279" s="203"/>
      <c r="B279" s="1"/>
      <c r="C279" s="263"/>
      <c r="D279" s="1"/>
      <c r="E279" s="1"/>
      <c r="F279" s="1"/>
      <c r="G279" s="26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64"/>
      <c r="W279" s="264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33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ht="18.75" customHeight="1">
      <c r="A280" s="203"/>
      <c r="B280" s="1"/>
      <c r="C280" s="263"/>
      <c r="D280" s="1"/>
      <c r="E280" s="1"/>
      <c r="F280" s="1"/>
      <c r="G280" s="26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64"/>
      <c r="W280" s="264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33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ht="18.75" customHeight="1">
      <c r="A281" s="203"/>
      <c r="B281" s="1"/>
      <c r="C281" s="263"/>
      <c r="D281" s="1"/>
      <c r="E281" s="1"/>
      <c r="F281" s="1"/>
      <c r="G281" s="26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64"/>
      <c r="W281" s="264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33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ht="18.75" customHeight="1">
      <c r="A282" s="203"/>
      <c r="B282" s="1"/>
      <c r="C282" s="263"/>
      <c r="D282" s="1"/>
      <c r="E282" s="1"/>
      <c r="F282" s="1"/>
      <c r="G282" s="26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64"/>
      <c r="W282" s="264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33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ht="18.75" customHeight="1">
      <c r="A283" s="203"/>
      <c r="B283" s="1"/>
      <c r="C283" s="263"/>
      <c r="D283" s="1"/>
      <c r="E283" s="1"/>
      <c r="F283" s="1"/>
      <c r="G283" s="26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64"/>
      <c r="W283" s="264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33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ht="18.75" customHeight="1">
      <c r="A284" s="203"/>
      <c r="B284" s="1"/>
      <c r="C284" s="263"/>
      <c r="D284" s="1"/>
      <c r="E284" s="1"/>
      <c r="F284" s="1"/>
      <c r="G284" s="26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64"/>
      <c r="W284" s="264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33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ht="18.75" customHeight="1">
      <c r="A285" s="203"/>
      <c r="B285" s="1"/>
      <c r="C285" s="263"/>
      <c r="D285" s="1"/>
      <c r="E285" s="1"/>
      <c r="F285" s="1"/>
      <c r="G285" s="26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64"/>
      <c r="W285" s="264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33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ht="18.75" customHeight="1">
      <c r="A286" s="203"/>
      <c r="B286" s="1"/>
      <c r="C286" s="263"/>
      <c r="D286" s="1"/>
      <c r="E286" s="1"/>
      <c r="F286" s="1"/>
      <c r="G286" s="26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64"/>
      <c r="W286" s="264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33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ht="18.75" customHeight="1">
      <c r="A287" s="203"/>
      <c r="B287" s="1"/>
      <c r="C287" s="263"/>
      <c r="D287" s="1"/>
      <c r="E287" s="1"/>
      <c r="F287" s="1"/>
      <c r="G287" s="26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64"/>
      <c r="W287" s="264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33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ht="18.75" customHeight="1">
      <c r="A288" s="203"/>
      <c r="B288" s="1"/>
      <c r="C288" s="263"/>
      <c r="D288" s="1"/>
      <c r="E288" s="1"/>
      <c r="F288" s="1"/>
      <c r="G288" s="26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64"/>
      <c r="W288" s="264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33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ht="18.75" customHeight="1">
      <c r="A289" s="203"/>
      <c r="B289" s="1"/>
      <c r="C289" s="263"/>
      <c r="D289" s="1"/>
      <c r="E289" s="1"/>
      <c r="F289" s="1"/>
      <c r="G289" s="26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64"/>
      <c r="W289" s="264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33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ht="18.75" customHeight="1">
      <c r="A290" s="203"/>
      <c r="B290" s="1"/>
      <c r="C290" s="263"/>
      <c r="D290" s="1"/>
      <c r="E290" s="1"/>
      <c r="F290" s="1"/>
      <c r="G290" s="26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64"/>
      <c r="W290" s="264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33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ht="18.75" customHeight="1">
      <c r="A291" s="203"/>
      <c r="B291" s="1"/>
      <c r="C291" s="263"/>
      <c r="D291" s="1"/>
      <c r="E291" s="1"/>
      <c r="F291" s="1"/>
      <c r="G291" s="26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64"/>
      <c r="W291" s="264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33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ht="18.75" customHeight="1">
      <c r="A292" s="203"/>
      <c r="B292" s="1"/>
      <c r="C292" s="263"/>
      <c r="D292" s="1"/>
      <c r="E292" s="1"/>
      <c r="F292" s="1"/>
      <c r="G292" s="26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64"/>
      <c r="W292" s="264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33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ht="18.75" customHeight="1">
      <c r="A293" s="203"/>
      <c r="B293" s="1"/>
      <c r="C293" s="263"/>
      <c r="D293" s="1"/>
      <c r="E293" s="1"/>
      <c r="F293" s="1"/>
      <c r="G293" s="26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64"/>
      <c r="W293" s="264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33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ht="18.75" customHeight="1">
      <c r="A294" s="203"/>
      <c r="B294" s="1"/>
      <c r="C294" s="263"/>
      <c r="D294" s="1"/>
      <c r="E294" s="1"/>
      <c r="F294" s="1"/>
      <c r="G294" s="26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64"/>
      <c r="W294" s="264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33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ht="18.75" customHeight="1">
      <c r="A295" s="203"/>
      <c r="B295" s="1"/>
      <c r="C295" s="263"/>
      <c r="D295" s="1"/>
      <c r="E295" s="1"/>
      <c r="F295" s="1"/>
      <c r="G295" s="26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64"/>
      <c r="W295" s="264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33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ht="18.75" customHeight="1">
      <c r="A296" s="203"/>
      <c r="B296" s="1"/>
      <c r="C296" s="263"/>
      <c r="D296" s="1"/>
      <c r="E296" s="1"/>
      <c r="F296" s="1"/>
      <c r="G296" s="26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64"/>
      <c r="W296" s="264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33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ht="18.75" customHeight="1">
      <c r="A297" s="203"/>
      <c r="B297" s="1"/>
      <c r="C297" s="263"/>
      <c r="D297" s="1"/>
      <c r="E297" s="1"/>
      <c r="F297" s="1"/>
      <c r="G297" s="26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64"/>
      <c r="W297" s="264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33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ht="18.75" customHeight="1">
      <c r="A298" s="203"/>
      <c r="B298" s="1"/>
      <c r="C298" s="263"/>
      <c r="D298" s="1"/>
      <c r="E298" s="1"/>
      <c r="F298" s="1"/>
      <c r="G298" s="26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64"/>
      <c r="W298" s="264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33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ht="18.75" customHeight="1">
      <c r="A299" s="203"/>
      <c r="B299" s="1"/>
      <c r="C299" s="263"/>
      <c r="D299" s="1"/>
      <c r="E299" s="1"/>
      <c r="F299" s="1"/>
      <c r="G299" s="26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64"/>
      <c r="W299" s="264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33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ht="18.75" customHeight="1">
      <c r="A300" s="203"/>
      <c r="B300" s="1"/>
      <c r="C300" s="263"/>
      <c r="D300" s="1"/>
      <c r="E300" s="1"/>
      <c r="F300" s="1"/>
      <c r="G300" s="26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64"/>
      <c r="W300" s="264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33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ht="18.75" customHeight="1">
      <c r="A301" s="203"/>
      <c r="B301" s="1"/>
      <c r="C301" s="263"/>
      <c r="D301" s="1"/>
      <c r="E301" s="1"/>
      <c r="F301" s="1"/>
      <c r="G301" s="26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64"/>
      <c r="W301" s="264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33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ht="18.75" customHeight="1">
      <c r="A302" s="203"/>
      <c r="B302" s="1"/>
      <c r="C302" s="263"/>
      <c r="D302" s="1"/>
      <c r="E302" s="1"/>
      <c r="F302" s="1"/>
      <c r="G302" s="26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64"/>
      <c r="W302" s="264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33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ht="18.75" customHeight="1">
      <c r="A303" s="203"/>
      <c r="B303" s="1"/>
      <c r="C303" s="263"/>
      <c r="D303" s="1"/>
      <c r="E303" s="1"/>
      <c r="F303" s="1"/>
      <c r="G303" s="26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64"/>
      <c r="W303" s="264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33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ht="18.75" customHeight="1">
      <c r="A304" s="203"/>
      <c r="B304" s="1"/>
      <c r="C304" s="263"/>
      <c r="D304" s="1"/>
      <c r="E304" s="1"/>
      <c r="F304" s="1"/>
      <c r="G304" s="26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64"/>
      <c r="W304" s="264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33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ht="18.75" customHeight="1">
      <c r="A305" s="203"/>
      <c r="B305" s="1"/>
      <c r="C305" s="263"/>
      <c r="D305" s="1"/>
      <c r="E305" s="1"/>
      <c r="F305" s="1"/>
      <c r="G305" s="26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64"/>
      <c r="W305" s="264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33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ht="18.75" customHeight="1">
      <c r="A306" s="203"/>
      <c r="B306" s="1"/>
      <c r="C306" s="263"/>
      <c r="D306" s="1"/>
      <c r="E306" s="1"/>
      <c r="F306" s="1"/>
      <c r="G306" s="26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64"/>
      <c r="W306" s="264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33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ht="18.75" customHeight="1">
      <c r="A307" s="203"/>
      <c r="B307" s="1"/>
      <c r="C307" s="263"/>
      <c r="D307" s="1"/>
      <c r="E307" s="1"/>
      <c r="F307" s="1"/>
      <c r="G307" s="26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64"/>
      <c r="W307" s="264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33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ht="18.75" customHeight="1">
      <c r="A308" s="203"/>
      <c r="B308" s="1"/>
      <c r="C308" s="263"/>
      <c r="D308" s="1"/>
      <c r="E308" s="1"/>
      <c r="F308" s="1"/>
      <c r="G308" s="26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64"/>
      <c r="W308" s="264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33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ht="18.75" customHeight="1">
      <c r="A309" s="203"/>
      <c r="B309" s="1"/>
      <c r="C309" s="263"/>
      <c r="D309" s="1"/>
      <c r="E309" s="1"/>
      <c r="F309" s="1"/>
      <c r="G309" s="26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64"/>
      <c r="W309" s="264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33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ht="18.75" customHeight="1">
      <c r="A310" s="203"/>
      <c r="B310" s="1"/>
      <c r="C310" s="263"/>
      <c r="D310" s="1"/>
      <c r="E310" s="1"/>
      <c r="F310" s="1"/>
      <c r="G310" s="26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64"/>
      <c r="W310" s="264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33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ht="18.75" customHeight="1">
      <c r="A311" s="203"/>
      <c r="B311" s="1"/>
      <c r="C311" s="263"/>
      <c r="D311" s="1"/>
      <c r="E311" s="1"/>
      <c r="F311" s="1"/>
      <c r="G311" s="26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64"/>
      <c r="W311" s="264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33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ht="18.75" customHeight="1">
      <c r="A312" s="203"/>
      <c r="B312" s="1"/>
      <c r="C312" s="263"/>
      <c r="D312" s="1"/>
      <c r="E312" s="1"/>
      <c r="F312" s="1"/>
      <c r="G312" s="26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64"/>
      <c r="W312" s="264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33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ht="18.75" customHeight="1">
      <c r="A313" s="203"/>
      <c r="B313" s="1"/>
      <c r="C313" s="263"/>
      <c r="D313" s="1"/>
      <c r="E313" s="1"/>
      <c r="F313" s="1"/>
      <c r="G313" s="26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64"/>
      <c r="W313" s="264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33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ht="18.75" customHeight="1">
      <c r="A314" s="203"/>
      <c r="B314" s="1"/>
      <c r="C314" s="263"/>
      <c r="D314" s="1"/>
      <c r="E314" s="1"/>
      <c r="F314" s="1"/>
      <c r="G314" s="26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64"/>
      <c r="W314" s="264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33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ht="18.75" customHeight="1">
      <c r="A315" s="203"/>
      <c r="B315" s="1"/>
      <c r="C315" s="263"/>
      <c r="D315" s="1"/>
      <c r="E315" s="1"/>
      <c r="F315" s="1"/>
      <c r="G315" s="26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64"/>
      <c r="W315" s="264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33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ht="18.75" customHeight="1">
      <c r="A316" s="203"/>
      <c r="B316" s="1"/>
      <c r="C316" s="263"/>
      <c r="D316" s="1"/>
      <c r="E316" s="1"/>
      <c r="F316" s="1"/>
      <c r="G316" s="26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64"/>
      <c r="W316" s="264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33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ht="18.75" customHeight="1">
      <c r="A317" s="203"/>
      <c r="B317" s="1"/>
      <c r="C317" s="263"/>
      <c r="D317" s="1"/>
      <c r="E317" s="1"/>
      <c r="F317" s="1"/>
      <c r="G317" s="26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64"/>
      <c r="W317" s="264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33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ht="18.75" customHeight="1">
      <c r="A318" s="203"/>
      <c r="B318" s="1"/>
      <c r="C318" s="263"/>
      <c r="D318" s="1"/>
      <c r="E318" s="1"/>
      <c r="F318" s="1"/>
      <c r="G318" s="26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64"/>
      <c r="W318" s="264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33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ht="18.75" customHeight="1">
      <c r="A319" s="203"/>
      <c r="B319" s="1"/>
      <c r="C319" s="263"/>
      <c r="D319" s="1"/>
      <c r="E319" s="1"/>
      <c r="F319" s="1"/>
      <c r="G319" s="26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64"/>
      <c r="W319" s="264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33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ht="18.75" customHeight="1">
      <c r="A320" s="203"/>
      <c r="B320" s="1"/>
      <c r="C320" s="263"/>
      <c r="D320" s="1"/>
      <c r="E320" s="1"/>
      <c r="F320" s="1"/>
      <c r="G320" s="26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64"/>
      <c r="W320" s="264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33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ht="18.75" customHeight="1">
      <c r="A321" s="203"/>
      <c r="B321" s="1"/>
      <c r="C321" s="263"/>
      <c r="D321" s="1"/>
      <c r="E321" s="1"/>
      <c r="F321" s="1"/>
      <c r="G321" s="26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64"/>
      <c r="W321" s="264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33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ht="18.75" customHeight="1">
      <c r="A322" s="203"/>
      <c r="B322" s="1"/>
      <c r="C322" s="263"/>
      <c r="D322" s="1"/>
      <c r="E322" s="1"/>
      <c r="F322" s="1"/>
      <c r="G322" s="26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64"/>
      <c r="W322" s="264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33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ht="18.75" customHeight="1">
      <c r="A323" s="203"/>
      <c r="B323" s="1"/>
      <c r="C323" s="263"/>
      <c r="D323" s="1"/>
      <c r="E323" s="1"/>
      <c r="F323" s="1"/>
      <c r="G323" s="26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64"/>
      <c r="W323" s="264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33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ht="18.75" customHeight="1">
      <c r="A324" s="203"/>
      <c r="B324" s="1"/>
      <c r="C324" s="263"/>
      <c r="D324" s="1"/>
      <c r="E324" s="1"/>
      <c r="F324" s="1"/>
      <c r="G324" s="26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64"/>
      <c r="W324" s="264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33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ht="18.75" customHeight="1">
      <c r="A325" s="203"/>
      <c r="B325" s="1"/>
      <c r="C325" s="263"/>
      <c r="D325" s="1"/>
      <c r="E325" s="1"/>
      <c r="F325" s="1"/>
      <c r="G325" s="26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64"/>
      <c r="W325" s="264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33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ht="18.75" customHeight="1">
      <c r="A326" s="203"/>
      <c r="B326" s="1"/>
      <c r="C326" s="263"/>
      <c r="D326" s="1"/>
      <c r="E326" s="1"/>
      <c r="F326" s="1"/>
      <c r="G326" s="26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64"/>
      <c r="W326" s="264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33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ht="18.75" customHeight="1">
      <c r="A327" s="203"/>
      <c r="B327" s="1"/>
      <c r="C327" s="263"/>
      <c r="D327" s="1"/>
      <c r="E327" s="1"/>
      <c r="F327" s="1"/>
      <c r="G327" s="26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64"/>
      <c r="W327" s="264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33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ht="18.75" customHeight="1">
      <c r="A328" s="203"/>
      <c r="B328" s="1"/>
      <c r="C328" s="263"/>
      <c r="D328" s="1"/>
      <c r="E328" s="1"/>
      <c r="F328" s="1"/>
      <c r="G328" s="26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64"/>
      <c r="W328" s="264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33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ht="18.75" customHeight="1">
      <c r="A329" s="203"/>
      <c r="B329" s="1"/>
      <c r="C329" s="263"/>
      <c r="D329" s="1"/>
      <c r="E329" s="1"/>
      <c r="F329" s="1"/>
      <c r="G329" s="26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64"/>
      <c r="W329" s="264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33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ht="18.75" customHeight="1">
      <c r="A330" s="203"/>
      <c r="B330" s="1"/>
      <c r="C330" s="263"/>
      <c r="D330" s="1"/>
      <c r="E330" s="1"/>
      <c r="F330" s="1"/>
      <c r="G330" s="26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64"/>
      <c r="W330" s="264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33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ht="18.75" customHeight="1">
      <c r="A331" s="203"/>
      <c r="B331" s="1"/>
      <c r="C331" s="263"/>
      <c r="D331" s="1"/>
      <c r="E331" s="1"/>
      <c r="F331" s="1"/>
      <c r="G331" s="26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64"/>
      <c r="W331" s="264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33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ht="18.75" customHeight="1">
      <c r="A332" s="203"/>
      <c r="B332" s="1"/>
      <c r="C332" s="263"/>
      <c r="D332" s="1"/>
      <c r="E332" s="1"/>
      <c r="F332" s="1"/>
      <c r="G332" s="26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64"/>
      <c r="W332" s="264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33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ht="18.75" customHeight="1">
      <c r="A333" s="203"/>
      <c r="B333" s="1"/>
      <c r="C333" s="263"/>
      <c r="D333" s="1"/>
      <c r="E333" s="1"/>
      <c r="F333" s="1"/>
      <c r="G333" s="26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64"/>
      <c r="W333" s="264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33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ht="18.75" customHeight="1">
      <c r="A334" s="203"/>
      <c r="B334" s="1"/>
      <c r="C334" s="263"/>
      <c r="D334" s="1"/>
      <c r="E334" s="1"/>
      <c r="F334" s="1"/>
      <c r="G334" s="26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64"/>
      <c r="W334" s="264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33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ht="18.75" customHeight="1">
      <c r="A335" s="203"/>
      <c r="B335" s="1"/>
      <c r="C335" s="263"/>
      <c r="D335" s="1"/>
      <c r="E335" s="1"/>
      <c r="F335" s="1"/>
      <c r="G335" s="26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64"/>
      <c r="W335" s="264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33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ht="18.75" customHeight="1">
      <c r="A336" s="203"/>
      <c r="B336" s="1"/>
      <c r="C336" s="263"/>
      <c r="D336" s="1"/>
      <c r="E336" s="1"/>
      <c r="F336" s="1"/>
      <c r="G336" s="26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64"/>
      <c r="W336" s="264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33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ht="18.75" customHeight="1">
      <c r="A337" s="203"/>
      <c r="B337" s="1"/>
      <c r="C337" s="263"/>
      <c r="D337" s="1"/>
      <c r="E337" s="1"/>
      <c r="F337" s="1"/>
      <c r="G337" s="26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64"/>
      <c r="W337" s="264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33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ht="18.75" customHeight="1">
      <c r="A338" s="203"/>
      <c r="B338" s="1"/>
      <c r="C338" s="263"/>
      <c r="D338" s="1"/>
      <c r="E338" s="1"/>
      <c r="F338" s="1"/>
      <c r="G338" s="26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64"/>
      <c r="W338" s="264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33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ht="18.75" customHeight="1">
      <c r="A339" s="203"/>
      <c r="B339" s="1"/>
      <c r="C339" s="263"/>
      <c r="D339" s="1"/>
      <c r="E339" s="1"/>
      <c r="F339" s="1"/>
      <c r="G339" s="26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64"/>
      <c r="W339" s="264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33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ht="18.75" customHeight="1">
      <c r="A340" s="203"/>
      <c r="B340" s="1"/>
      <c r="C340" s="263"/>
      <c r="D340" s="1"/>
      <c r="E340" s="1"/>
      <c r="F340" s="1"/>
      <c r="G340" s="26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64"/>
      <c r="W340" s="264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33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ht="18.75" customHeight="1">
      <c r="A341" s="203"/>
      <c r="B341" s="1"/>
      <c r="C341" s="263"/>
      <c r="D341" s="1"/>
      <c r="E341" s="1"/>
      <c r="F341" s="1"/>
      <c r="G341" s="26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64"/>
      <c r="W341" s="264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33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ht="18.75" customHeight="1">
      <c r="A342" s="203"/>
      <c r="B342" s="1"/>
      <c r="C342" s="263"/>
      <c r="D342" s="1"/>
      <c r="E342" s="1"/>
      <c r="F342" s="1"/>
      <c r="G342" s="26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64"/>
      <c r="W342" s="264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33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ht="18.75" customHeight="1">
      <c r="A343" s="203"/>
      <c r="B343" s="1"/>
      <c r="C343" s="263"/>
      <c r="D343" s="1"/>
      <c r="E343" s="1"/>
      <c r="F343" s="1"/>
      <c r="G343" s="26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64"/>
      <c r="W343" s="264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33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ht="18.75" customHeight="1">
      <c r="A344" s="203"/>
      <c r="B344" s="1"/>
      <c r="C344" s="263"/>
      <c r="D344" s="1"/>
      <c r="E344" s="1"/>
      <c r="F344" s="1"/>
      <c r="G344" s="26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64"/>
      <c r="W344" s="264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33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ht="18.75" customHeight="1">
      <c r="A345" s="203"/>
      <c r="B345" s="1"/>
      <c r="C345" s="263"/>
      <c r="D345" s="1"/>
      <c r="E345" s="1"/>
      <c r="F345" s="1"/>
      <c r="G345" s="26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64"/>
      <c r="W345" s="264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33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ht="18.75" customHeight="1">
      <c r="A346" s="203"/>
      <c r="B346" s="1"/>
      <c r="C346" s="263"/>
      <c r="D346" s="1"/>
      <c r="E346" s="1"/>
      <c r="F346" s="1"/>
      <c r="G346" s="26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64"/>
      <c r="W346" s="264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33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ht="18.75" customHeight="1">
      <c r="A347" s="203"/>
      <c r="B347" s="1"/>
      <c r="C347" s="263"/>
      <c r="D347" s="1"/>
      <c r="E347" s="1"/>
      <c r="F347" s="1"/>
      <c r="G347" s="26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64"/>
      <c r="W347" s="264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33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ht="18.75" customHeight="1">
      <c r="A348" s="203"/>
      <c r="B348" s="1"/>
      <c r="C348" s="263"/>
      <c r="D348" s="1"/>
      <c r="E348" s="1"/>
      <c r="F348" s="1"/>
      <c r="G348" s="26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64"/>
      <c r="W348" s="264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33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ht="18.75" customHeight="1">
      <c r="A349" s="203"/>
      <c r="B349" s="1"/>
      <c r="C349" s="263"/>
      <c r="D349" s="1"/>
      <c r="E349" s="1"/>
      <c r="F349" s="1"/>
      <c r="G349" s="26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64"/>
      <c r="W349" s="264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33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ht="18.75" customHeight="1">
      <c r="A350" s="203"/>
      <c r="B350" s="1"/>
      <c r="C350" s="263"/>
      <c r="D350" s="1"/>
      <c r="E350" s="1"/>
      <c r="F350" s="1"/>
      <c r="G350" s="26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64"/>
      <c r="W350" s="264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33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ht="18.75" customHeight="1">
      <c r="A351" s="203"/>
      <c r="B351" s="1"/>
      <c r="C351" s="263"/>
      <c r="D351" s="1"/>
      <c r="E351" s="1"/>
      <c r="F351" s="1"/>
      <c r="G351" s="26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64"/>
      <c r="W351" s="264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33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ht="18.75" customHeight="1">
      <c r="A352" s="203"/>
      <c r="B352" s="1"/>
      <c r="C352" s="263"/>
      <c r="D352" s="1"/>
      <c r="E352" s="1"/>
      <c r="F352" s="1"/>
      <c r="G352" s="26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64"/>
      <c r="W352" s="264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33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ht="18.75" customHeight="1">
      <c r="A353" s="203"/>
      <c r="B353" s="1"/>
      <c r="C353" s="263"/>
      <c r="D353" s="1"/>
      <c r="E353" s="1"/>
      <c r="F353" s="1"/>
      <c r="G353" s="26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64"/>
      <c r="W353" s="264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33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ht="18.75" customHeight="1">
      <c r="A354" s="203"/>
      <c r="B354" s="1"/>
      <c r="C354" s="263"/>
      <c r="D354" s="1"/>
      <c r="E354" s="1"/>
      <c r="F354" s="1"/>
      <c r="G354" s="26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64"/>
      <c r="W354" s="264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33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ht="18.75" customHeight="1">
      <c r="A355" s="203"/>
      <c r="B355" s="1"/>
      <c r="C355" s="263"/>
      <c r="D355" s="1"/>
      <c r="E355" s="1"/>
      <c r="F355" s="1"/>
      <c r="G355" s="26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64"/>
      <c r="W355" s="264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33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ht="18.75" customHeight="1">
      <c r="A356" s="203"/>
      <c r="B356" s="1"/>
      <c r="C356" s="263"/>
      <c r="D356" s="1"/>
      <c r="E356" s="1"/>
      <c r="F356" s="1"/>
      <c r="G356" s="26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64"/>
      <c r="W356" s="264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33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ht="18.75" customHeight="1">
      <c r="A357" s="203"/>
      <c r="B357" s="1"/>
      <c r="C357" s="263"/>
      <c r="D357" s="1"/>
      <c r="E357" s="1"/>
      <c r="F357" s="1"/>
      <c r="G357" s="26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64"/>
      <c r="W357" s="264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33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ht="18.75" customHeight="1">
      <c r="A358" s="203"/>
      <c r="B358" s="1"/>
      <c r="C358" s="263"/>
      <c r="D358" s="1"/>
      <c r="E358" s="1"/>
      <c r="F358" s="1"/>
      <c r="G358" s="26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64"/>
      <c r="W358" s="264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33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ht="18.75" customHeight="1">
      <c r="A359" s="203"/>
      <c r="B359" s="1"/>
      <c r="C359" s="263"/>
      <c r="D359" s="1"/>
      <c r="E359" s="1"/>
      <c r="F359" s="1"/>
      <c r="G359" s="26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64"/>
      <c r="W359" s="264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33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ht="18.75" customHeight="1">
      <c r="A360" s="203"/>
      <c r="B360" s="1"/>
      <c r="C360" s="263"/>
      <c r="D360" s="1"/>
      <c r="E360" s="1"/>
      <c r="F360" s="1"/>
      <c r="G360" s="26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64"/>
      <c r="W360" s="264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33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ht="18.75" customHeight="1">
      <c r="A361" s="203"/>
      <c r="B361" s="1"/>
      <c r="C361" s="263"/>
      <c r="D361" s="1"/>
      <c r="E361" s="1"/>
      <c r="F361" s="1"/>
      <c r="G361" s="26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64"/>
      <c r="W361" s="264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33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ht="18.75" customHeight="1">
      <c r="A362" s="203"/>
      <c r="B362" s="1"/>
      <c r="C362" s="263"/>
      <c r="D362" s="1"/>
      <c r="E362" s="1"/>
      <c r="F362" s="1"/>
      <c r="G362" s="26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64"/>
      <c r="W362" s="264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33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ht="18.75" customHeight="1">
      <c r="A363" s="203"/>
      <c r="B363" s="1"/>
      <c r="C363" s="263"/>
      <c r="D363" s="1"/>
      <c r="E363" s="1"/>
      <c r="F363" s="1"/>
      <c r="G363" s="26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64"/>
      <c r="W363" s="264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33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ht="18.75" customHeight="1">
      <c r="A364" s="203"/>
      <c r="B364" s="1"/>
      <c r="C364" s="263"/>
      <c r="D364" s="1"/>
      <c r="E364" s="1"/>
      <c r="F364" s="1"/>
      <c r="G364" s="26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64"/>
      <c r="W364" s="264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33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ht="18.75" customHeight="1">
      <c r="A365" s="203"/>
      <c r="B365" s="1"/>
      <c r="C365" s="263"/>
      <c r="D365" s="1"/>
      <c r="E365" s="1"/>
      <c r="F365" s="1"/>
      <c r="G365" s="26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64"/>
      <c r="W365" s="264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33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ht="18.75" customHeight="1">
      <c r="A366" s="203"/>
      <c r="B366" s="1"/>
      <c r="C366" s="263"/>
      <c r="D366" s="1"/>
      <c r="E366" s="1"/>
      <c r="F366" s="1"/>
      <c r="G366" s="26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64"/>
      <c r="W366" s="264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33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ht="18.75" customHeight="1">
      <c r="A367" s="203"/>
      <c r="B367" s="1"/>
      <c r="C367" s="263"/>
      <c r="D367" s="1"/>
      <c r="E367" s="1"/>
      <c r="F367" s="1"/>
      <c r="G367" s="26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64"/>
      <c r="W367" s="264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33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ht="18.75" customHeight="1">
      <c r="A368" s="203"/>
      <c r="B368" s="1"/>
      <c r="C368" s="263"/>
      <c r="D368" s="1"/>
      <c r="E368" s="1"/>
      <c r="F368" s="1"/>
      <c r="G368" s="26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64"/>
      <c r="W368" s="264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33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ht="18.75" customHeight="1">
      <c r="A369" s="203"/>
      <c r="B369" s="1"/>
      <c r="C369" s="263"/>
      <c r="D369" s="1"/>
      <c r="E369" s="1"/>
      <c r="F369" s="1"/>
      <c r="G369" s="26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64"/>
      <c r="W369" s="264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33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ht="18.75" customHeight="1">
      <c r="A370" s="203"/>
      <c r="B370" s="1"/>
      <c r="C370" s="263"/>
      <c r="D370" s="1"/>
      <c r="E370" s="1"/>
      <c r="F370" s="1"/>
      <c r="G370" s="26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64"/>
      <c r="W370" s="264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33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ht="18.75" customHeight="1">
      <c r="A371" s="203"/>
      <c r="B371" s="1"/>
      <c r="C371" s="263"/>
      <c r="D371" s="1"/>
      <c r="E371" s="1"/>
      <c r="F371" s="1"/>
      <c r="G371" s="26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64"/>
      <c r="W371" s="264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33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ht="18.75" customHeight="1">
      <c r="A372" s="203"/>
      <c r="B372" s="1"/>
      <c r="C372" s="263"/>
      <c r="D372" s="1"/>
      <c r="E372" s="1"/>
      <c r="F372" s="1"/>
      <c r="G372" s="26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64"/>
      <c r="W372" s="264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33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ht="18.75" customHeight="1">
      <c r="A373" s="203"/>
      <c r="B373" s="1"/>
      <c r="C373" s="263"/>
      <c r="D373" s="1"/>
      <c r="E373" s="1"/>
      <c r="F373" s="1"/>
      <c r="G373" s="26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64"/>
      <c r="W373" s="264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33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ht="18.75" customHeight="1">
      <c r="A374" s="203"/>
      <c r="B374" s="1"/>
      <c r="C374" s="263"/>
      <c r="D374" s="1"/>
      <c r="E374" s="1"/>
      <c r="F374" s="1"/>
      <c r="G374" s="26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64"/>
      <c r="W374" s="264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33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ht="18.75" customHeight="1">
      <c r="A375" s="203"/>
      <c r="B375" s="1"/>
      <c r="C375" s="263"/>
      <c r="D375" s="1"/>
      <c r="E375" s="1"/>
      <c r="F375" s="1"/>
      <c r="G375" s="26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64"/>
      <c r="W375" s="264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33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ht="18.75" customHeight="1">
      <c r="A376" s="203"/>
      <c r="B376" s="1"/>
      <c r="C376" s="263"/>
      <c r="D376" s="1"/>
      <c r="E376" s="1"/>
      <c r="F376" s="1"/>
      <c r="G376" s="26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64"/>
      <c r="W376" s="264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33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ht="18.75" customHeight="1">
      <c r="A377" s="203"/>
      <c r="B377" s="1"/>
      <c r="C377" s="263"/>
      <c r="D377" s="1"/>
      <c r="E377" s="1"/>
      <c r="F377" s="1"/>
      <c r="G377" s="26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64"/>
      <c r="W377" s="264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33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ht="18.75" customHeight="1">
      <c r="A378" s="203"/>
      <c r="B378" s="1"/>
      <c r="C378" s="263"/>
      <c r="D378" s="1"/>
      <c r="E378" s="1"/>
      <c r="F378" s="1"/>
      <c r="G378" s="26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64"/>
      <c r="W378" s="264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33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ht="18.75" customHeight="1">
      <c r="A379" s="203"/>
      <c r="B379" s="1"/>
      <c r="C379" s="263"/>
      <c r="D379" s="1"/>
      <c r="E379" s="1"/>
      <c r="F379" s="1"/>
      <c r="G379" s="26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64"/>
      <c r="W379" s="264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33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ht="18.75" customHeight="1">
      <c r="A380" s="203"/>
      <c r="B380" s="1"/>
      <c r="C380" s="263"/>
      <c r="D380" s="1"/>
      <c r="E380" s="1"/>
      <c r="F380" s="1"/>
      <c r="G380" s="26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64"/>
      <c r="W380" s="264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33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ht="18.75" customHeight="1">
      <c r="A381" s="203"/>
      <c r="B381" s="1"/>
      <c r="C381" s="263"/>
      <c r="D381" s="1"/>
      <c r="E381" s="1"/>
      <c r="F381" s="1"/>
      <c r="G381" s="26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64"/>
      <c r="W381" s="264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33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ht="18.75" customHeight="1">
      <c r="A382" s="203"/>
      <c r="B382" s="1"/>
      <c r="C382" s="263"/>
      <c r="D382" s="1"/>
      <c r="E382" s="1"/>
      <c r="F382" s="1"/>
      <c r="G382" s="26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64"/>
      <c r="W382" s="264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33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ht="18.75" customHeight="1">
      <c r="A383" s="203"/>
      <c r="B383" s="1"/>
      <c r="C383" s="263"/>
      <c r="D383" s="1"/>
      <c r="E383" s="1"/>
      <c r="F383" s="1"/>
      <c r="G383" s="26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64"/>
      <c r="W383" s="264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33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ht="18.75" customHeight="1">
      <c r="A384" s="203"/>
      <c r="B384" s="1"/>
      <c r="C384" s="263"/>
      <c r="D384" s="1"/>
      <c r="E384" s="1"/>
      <c r="F384" s="1"/>
      <c r="G384" s="26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64"/>
      <c r="W384" s="264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33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ht="18.75" customHeight="1">
      <c r="A385" s="203"/>
      <c r="B385" s="1"/>
      <c r="C385" s="263"/>
      <c r="D385" s="1"/>
      <c r="E385" s="1"/>
      <c r="F385" s="1"/>
      <c r="G385" s="26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64"/>
      <c r="W385" s="264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33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ht="18.75" customHeight="1">
      <c r="A386" s="203"/>
      <c r="B386" s="1"/>
      <c r="C386" s="263"/>
      <c r="D386" s="1"/>
      <c r="E386" s="1"/>
      <c r="F386" s="1"/>
      <c r="G386" s="26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64"/>
      <c r="W386" s="264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33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ht="18.75" customHeight="1">
      <c r="A387" s="203"/>
      <c r="B387" s="1"/>
      <c r="C387" s="263"/>
      <c r="D387" s="1"/>
      <c r="E387" s="1"/>
      <c r="F387" s="1"/>
      <c r="G387" s="26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64"/>
      <c r="W387" s="264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33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ht="18.75" customHeight="1">
      <c r="A388" s="203"/>
      <c r="B388" s="1"/>
      <c r="C388" s="263"/>
      <c r="D388" s="1"/>
      <c r="E388" s="1"/>
      <c r="F388" s="1"/>
      <c r="G388" s="26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64"/>
      <c r="W388" s="264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33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ht="18.75" customHeight="1">
      <c r="A389" s="203"/>
      <c r="B389" s="1"/>
      <c r="C389" s="263"/>
      <c r="D389" s="1"/>
      <c r="E389" s="1"/>
      <c r="F389" s="1"/>
      <c r="G389" s="26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64"/>
      <c r="W389" s="264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33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ht="18.75" customHeight="1">
      <c r="A390" s="203"/>
      <c r="B390" s="1"/>
      <c r="C390" s="263"/>
      <c r="D390" s="1"/>
      <c r="E390" s="1"/>
      <c r="F390" s="1"/>
      <c r="G390" s="26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64"/>
      <c r="W390" s="264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33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ht="18.75" customHeight="1">
      <c r="A391" s="203"/>
      <c r="B391" s="1"/>
      <c r="C391" s="263"/>
      <c r="D391" s="1"/>
      <c r="E391" s="1"/>
      <c r="F391" s="1"/>
      <c r="G391" s="26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64"/>
      <c r="W391" s="264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33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ht="18.75" customHeight="1">
      <c r="A392" s="203"/>
      <c r="B392" s="1"/>
      <c r="C392" s="263"/>
      <c r="D392" s="1"/>
      <c r="E392" s="1"/>
      <c r="F392" s="1"/>
      <c r="G392" s="26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64"/>
      <c r="W392" s="264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33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ht="18.75" customHeight="1">
      <c r="A393" s="203"/>
      <c r="B393" s="1"/>
      <c r="C393" s="263"/>
      <c r="D393" s="1"/>
      <c r="E393" s="1"/>
      <c r="F393" s="1"/>
      <c r="G393" s="26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64"/>
      <c r="W393" s="264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33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ht="18.75" customHeight="1">
      <c r="A394" s="203"/>
      <c r="B394" s="1"/>
      <c r="C394" s="263"/>
      <c r="D394" s="1"/>
      <c r="E394" s="1"/>
      <c r="F394" s="1"/>
      <c r="G394" s="26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64"/>
      <c r="W394" s="264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33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ht="18.75" customHeight="1">
      <c r="A395" s="203"/>
      <c r="B395" s="1"/>
      <c r="C395" s="263"/>
      <c r="D395" s="1"/>
      <c r="E395" s="1"/>
      <c r="F395" s="1"/>
      <c r="G395" s="26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64"/>
      <c r="W395" s="264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33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ht="18.75" customHeight="1">
      <c r="A396" s="203"/>
      <c r="B396" s="1"/>
      <c r="C396" s="263"/>
      <c r="D396" s="1"/>
      <c r="E396" s="1"/>
      <c r="F396" s="1"/>
      <c r="G396" s="26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64"/>
      <c r="W396" s="264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33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ht="18.75" customHeight="1">
      <c r="A397" s="203"/>
      <c r="B397" s="1"/>
      <c r="C397" s="263"/>
      <c r="D397" s="1"/>
      <c r="E397" s="1"/>
      <c r="F397" s="1"/>
      <c r="G397" s="26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64"/>
      <c r="W397" s="264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33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ht="18.75" customHeight="1">
      <c r="A398" s="203"/>
      <c r="B398" s="1"/>
      <c r="C398" s="263"/>
      <c r="D398" s="1"/>
      <c r="E398" s="1"/>
      <c r="F398" s="1"/>
      <c r="G398" s="26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64"/>
      <c r="W398" s="264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33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ht="18.75" customHeight="1">
      <c r="A399" s="203"/>
      <c r="B399" s="1"/>
      <c r="C399" s="263"/>
      <c r="D399" s="1"/>
      <c r="E399" s="1"/>
      <c r="F399" s="1"/>
      <c r="G399" s="26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64"/>
      <c r="W399" s="264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33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ht="18.75" customHeight="1">
      <c r="A400" s="203"/>
      <c r="B400" s="1"/>
      <c r="C400" s="263"/>
      <c r="D400" s="1"/>
      <c r="E400" s="1"/>
      <c r="F400" s="1"/>
      <c r="G400" s="26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64"/>
      <c r="W400" s="264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33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ht="18.75" customHeight="1">
      <c r="A401" s="203"/>
      <c r="B401" s="1"/>
      <c r="C401" s="263"/>
      <c r="D401" s="1"/>
      <c r="E401" s="1"/>
      <c r="F401" s="1"/>
      <c r="G401" s="26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64"/>
      <c r="W401" s="264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33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ht="18.75" customHeight="1">
      <c r="A402" s="203"/>
      <c r="B402" s="1"/>
      <c r="C402" s="263"/>
      <c r="D402" s="1"/>
      <c r="E402" s="1"/>
      <c r="F402" s="1"/>
      <c r="G402" s="26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64"/>
      <c r="W402" s="264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33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ht="18.75" customHeight="1">
      <c r="A403" s="203"/>
      <c r="B403" s="1"/>
      <c r="C403" s="263"/>
      <c r="D403" s="1"/>
      <c r="E403" s="1"/>
      <c r="F403" s="1"/>
      <c r="G403" s="26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64"/>
      <c r="W403" s="264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33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ht="18.75" customHeight="1">
      <c r="A404" s="203"/>
      <c r="B404" s="1"/>
      <c r="C404" s="263"/>
      <c r="D404" s="1"/>
      <c r="E404" s="1"/>
      <c r="F404" s="1"/>
      <c r="G404" s="26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64"/>
      <c r="W404" s="264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33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ht="18.75" customHeight="1">
      <c r="A405" s="203"/>
      <c r="B405" s="1"/>
      <c r="C405" s="263"/>
      <c r="D405" s="1"/>
      <c r="E405" s="1"/>
      <c r="F405" s="1"/>
      <c r="G405" s="26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64"/>
      <c r="W405" s="264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33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ht="18.75" customHeight="1">
      <c r="A406" s="203"/>
      <c r="B406" s="1"/>
      <c r="C406" s="263"/>
      <c r="D406" s="1"/>
      <c r="E406" s="1"/>
      <c r="F406" s="1"/>
      <c r="G406" s="26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64"/>
      <c r="W406" s="264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33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ht="18.75" customHeight="1">
      <c r="A407" s="203"/>
      <c r="B407" s="1"/>
      <c r="C407" s="263"/>
      <c r="D407" s="1"/>
      <c r="E407" s="1"/>
      <c r="F407" s="1"/>
      <c r="G407" s="26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64"/>
      <c r="W407" s="264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33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ht="18.75" customHeight="1">
      <c r="A408" s="203"/>
      <c r="B408" s="1"/>
      <c r="C408" s="263"/>
      <c r="D408" s="1"/>
      <c r="E408" s="1"/>
      <c r="F408" s="1"/>
      <c r="G408" s="26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64"/>
      <c r="W408" s="264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33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ht="18.75" customHeight="1">
      <c r="A409" s="203"/>
      <c r="B409" s="1"/>
      <c r="C409" s="263"/>
      <c r="D409" s="1"/>
      <c r="E409" s="1"/>
      <c r="F409" s="1"/>
      <c r="G409" s="26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64"/>
      <c r="W409" s="264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33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ht="18.75" customHeight="1">
      <c r="A410" s="203"/>
      <c r="B410" s="1"/>
      <c r="C410" s="263"/>
      <c r="D410" s="1"/>
      <c r="E410" s="1"/>
      <c r="F410" s="1"/>
      <c r="G410" s="26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64"/>
      <c r="W410" s="264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33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ht="18.75" customHeight="1">
      <c r="A411" s="203"/>
      <c r="B411" s="1"/>
      <c r="C411" s="263"/>
      <c r="D411" s="1"/>
      <c r="E411" s="1"/>
      <c r="F411" s="1"/>
      <c r="G411" s="26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64"/>
      <c r="W411" s="264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33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ht="18.75" customHeight="1">
      <c r="A412" s="203"/>
      <c r="B412" s="1"/>
      <c r="C412" s="263"/>
      <c r="D412" s="1"/>
      <c r="E412" s="1"/>
      <c r="F412" s="1"/>
      <c r="G412" s="26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64"/>
      <c r="W412" s="264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33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ht="18.75" customHeight="1">
      <c r="A413" s="203"/>
      <c r="B413" s="1"/>
      <c r="C413" s="263"/>
      <c r="D413" s="1"/>
      <c r="E413" s="1"/>
      <c r="F413" s="1"/>
      <c r="G413" s="26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64"/>
      <c r="W413" s="264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33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ht="18.75" customHeight="1">
      <c r="A414" s="203"/>
      <c r="B414" s="1"/>
      <c r="C414" s="263"/>
      <c r="D414" s="1"/>
      <c r="E414" s="1"/>
      <c r="F414" s="1"/>
      <c r="G414" s="26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64"/>
      <c r="W414" s="264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33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ht="18.75" customHeight="1">
      <c r="A415" s="203"/>
      <c r="B415" s="1"/>
      <c r="C415" s="263"/>
      <c r="D415" s="1"/>
      <c r="E415" s="1"/>
      <c r="F415" s="1"/>
      <c r="G415" s="26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64"/>
      <c r="W415" s="264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33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ht="18.75" customHeight="1">
      <c r="A416" s="203"/>
      <c r="B416" s="1"/>
      <c r="C416" s="263"/>
      <c r="D416" s="1"/>
      <c r="E416" s="1"/>
      <c r="F416" s="1"/>
      <c r="G416" s="26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64"/>
      <c r="W416" s="264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33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ht="18.75" customHeight="1">
      <c r="A417" s="203"/>
      <c r="B417" s="1"/>
      <c r="C417" s="263"/>
      <c r="D417" s="1"/>
      <c r="E417" s="1"/>
      <c r="F417" s="1"/>
      <c r="G417" s="26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64"/>
      <c r="W417" s="264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33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ht="18.75" customHeight="1">
      <c r="A418" s="203"/>
      <c r="B418" s="1"/>
      <c r="C418" s="263"/>
      <c r="D418" s="1"/>
      <c r="E418" s="1"/>
      <c r="F418" s="1"/>
      <c r="G418" s="26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64"/>
      <c r="W418" s="264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33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ht="18.75" customHeight="1">
      <c r="A419" s="203"/>
      <c r="B419" s="1"/>
      <c r="C419" s="263"/>
      <c r="D419" s="1"/>
      <c r="E419" s="1"/>
      <c r="F419" s="1"/>
      <c r="G419" s="26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64"/>
      <c r="W419" s="264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33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ht="18.75" customHeight="1">
      <c r="A420" s="203"/>
      <c r="B420" s="1"/>
      <c r="C420" s="263"/>
      <c r="D420" s="1"/>
      <c r="E420" s="1"/>
      <c r="F420" s="1"/>
      <c r="G420" s="26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64"/>
      <c r="W420" s="264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33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ht="18.75" customHeight="1">
      <c r="A421" s="203"/>
      <c r="B421" s="1"/>
      <c r="C421" s="263"/>
      <c r="D421" s="1"/>
      <c r="E421" s="1"/>
      <c r="F421" s="1"/>
      <c r="G421" s="26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64"/>
      <c r="W421" s="264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33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ht="18.75" customHeight="1">
      <c r="A422" s="203"/>
      <c r="B422" s="1"/>
      <c r="C422" s="263"/>
      <c r="D422" s="1"/>
      <c r="E422" s="1"/>
      <c r="F422" s="1"/>
      <c r="G422" s="26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64"/>
      <c r="W422" s="264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33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ht="18.75" customHeight="1">
      <c r="A423" s="203"/>
      <c r="B423" s="1"/>
      <c r="C423" s="263"/>
      <c r="D423" s="1"/>
      <c r="E423" s="1"/>
      <c r="F423" s="1"/>
      <c r="G423" s="26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64"/>
      <c r="W423" s="264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33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ht="18.75" customHeight="1">
      <c r="A424" s="203"/>
      <c r="B424" s="1"/>
      <c r="C424" s="263"/>
      <c r="D424" s="1"/>
      <c r="E424" s="1"/>
      <c r="F424" s="1"/>
      <c r="G424" s="26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64"/>
      <c r="W424" s="264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33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ht="18.75" customHeight="1">
      <c r="A425" s="203"/>
      <c r="B425" s="1"/>
      <c r="C425" s="263"/>
      <c r="D425" s="1"/>
      <c r="E425" s="1"/>
      <c r="F425" s="1"/>
      <c r="G425" s="26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64"/>
      <c r="W425" s="264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33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ht="18.75" customHeight="1">
      <c r="A426" s="203"/>
      <c r="B426" s="1"/>
      <c r="C426" s="263"/>
      <c r="D426" s="1"/>
      <c r="E426" s="1"/>
      <c r="F426" s="1"/>
      <c r="G426" s="26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64"/>
      <c r="W426" s="264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33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ht="18.75" customHeight="1">
      <c r="A427" s="203"/>
      <c r="B427" s="1"/>
      <c r="C427" s="263"/>
      <c r="D427" s="1"/>
      <c r="E427" s="1"/>
      <c r="F427" s="1"/>
      <c r="G427" s="26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64"/>
      <c r="W427" s="264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33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ht="18.75" customHeight="1">
      <c r="A428" s="203"/>
      <c r="B428" s="1"/>
      <c r="C428" s="263"/>
      <c r="D428" s="1"/>
      <c r="E428" s="1"/>
      <c r="F428" s="1"/>
      <c r="G428" s="26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64"/>
      <c r="W428" s="264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33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ht="18.75" customHeight="1">
      <c r="A429" s="203"/>
      <c r="B429" s="1"/>
      <c r="C429" s="263"/>
      <c r="D429" s="1"/>
      <c r="E429" s="1"/>
      <c r="F429" s="1"/>
      <c r="G429" s="26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64"/>
      <c r="W429" s="264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33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ht="18.75" customHeight="1">
      <c r="A430" s="203"/>
      <c r="B430" s="1"/>
      <c r="C430" s="263"/>
      <c r="D430" s="1"/>
      <c r="E430" s="1"/>
      <c r="F430" s="1"/>
      <c r="G430" s="26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64"/>
      <c r="W430" s="264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33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ht="18.75" customHeight="1">
      <c r="A431" s="203"/>
      <c r="B431" s="1"/>
      <c r="C431" s="263"/>
      <c r="D431" s="1"/>
      <c r="E431" s="1"/>
      <c r="F431" s="1"/>
      <c r="G431" s="26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64"/>
      <c r="W431" s="264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33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ht="18.75" customHeight="1">
      <c r="A432" s="203"/>
      <c r="B432" s="1"/>
      <c r="C432" s="263"/>
      <c r="D432" s="1"/>
      <c r="E432" s="1"/>
      <c r="F432" s="1"/>
      <c r="G432" s="26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64"/>
      <c r="W432" s="264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33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ht="18.75" customHeight="1">
      <c r="A433" s="203"/>
      <c r="B433" s="1"/>
      <c r="C433" s="263"/>
      <c r="D433" s="1"/>
      <c r="E433" s="1"/>
      <c r="F433" s="1"/>
      <c r="G433" s="26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64"/>
      <c r="W433" s="264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33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ht="18.75" customHeight="1">
      <c r="A434" s="203"/>
      <c r="B434" s="1"/>
      <c r="C434" s="263"/>
      <c r="D434" s="1"/>
      <c r="E434" s="1"/>
      <c r="F434" s="1"/>
      <c r="G434" s="26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64"/>
      <c r="W434" s="264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33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ht="18.75" customHeight="1">
      <c r="A435" s="203"/>
      <c r="B435" s="1"/>
      <c r="C435" s="263"/>
      <c r="D435" s="1"/>
      <c r="E435" s="1"/>
      <c r="F435" s="1"/>
      <c r="G435" s="26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64"/>
      <c r="W435" s="264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33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ht="18.75" customHeight="1">
      <c r="A436" s="203"/>
      <c r="B436" s="1"/>
      <c r="C436" s="263"/>
      <c r="D436" s="1"/>
      <c r="E436" s="1"/>
      <c r="F436" s="1"/>
      <c r="G436" s="26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64"/>
      <c r="W436" s="264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33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ht="18.75" customHeight="1">
      <c r="A437" s="203"/>
      <c r="B437" s="1"/>
      <c r="C437" s="263"/>
      <c r="D437" s="1"/>
      <c r="E437" s="1"/>
      <c r="F437" s="1"/>
      <c r="G437" s="26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64"/>
      <c r="W437" s="264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33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ht="18.75" customHeight="1">
      <c r="A438" s="203"/>
      <c r="B438" s="1"/>
      <c r="C438" s="263"/>
      <c r="D438" s="1"/>
      <c r="E438" s="1"/>
      <c r="F438" s="1"/>
      <c r="G438" s="26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64"/>
      <c r="W438" s="264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33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ht="18.75" customHeight="1">
      <c r="A439" s="203"/>
      <c r="B439" s="1"/>
      <c r="C439" s="263"/>
      <c r="D439" s="1"/>
      <c r="E439" s="1"/>
      <c r="F439" s="1"/>
      <c r="G439" s="26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64"/>
      <c r="W439" s="264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33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ht="18.75" customHeight="1">
      <c r="A440" s="203"/>
      <c r="B440" s="1"/>
      <c r="C440" s="263"/>
      <c r="D440" s="1"/>
      <c r="E440" s="1"/>
      <c r="F440" s="1"/>
      <c r="G440" s="26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64"/>
      <c r="W440" s="264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33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ht="18.75" customHeight="1">
      <c r="A441" s="203"/>
      <c r="B441" s="1"/>
      <c r="C441" s="263"/>
      <c r="D441" s="1"/>
      <c r="E441" s="1"/>
      <c r="F441" s="1"/>
      <c r="G441" s="26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64"/>
      <c r="W441" s="264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33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ht="18.75" customHeight="1">
      <c r="A442" s="203"/>
      <c r="B442" s="1"/>
      <c r="C442" s="263"/>
      <c r="D442" s="1"/>
      <c r="E442" s="1"/>
      <c r="F442" s="1"/>
      <c r="G442" s="26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64"/>
      <c r="W442" s="264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33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ht="18.75" customHeight="1">
      <c r="A443" s="203"/>
      <c r="B443" s="1"/>
      <c r="C443" s="263"/>
      <c r="D443" s="1"/>
      <c r="E443" s="1"/>
      <c r="F443" s="1"/>
      <c r="G443" s="26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64"/>
      <c r="W443" s="264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33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ht="18.75" customHeight="1">
      <c r="A444" s="203"/>
      <c r="B444" s="1"/>
      <c r="C444" s="263"/>
      <c r="D444" s="1"/>
      <c r="E444" s="1"/>
      <c r="F444" s="1"/>
      <c r="G444" s="26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64"/>
      <c r="W444" s="264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33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ht="18.75" customHeight="1">
      <c r="A445" s="203"/>
      <c r="B445" s="1"/>
      <c r="C445" s="263"/>
      <c r="D445" s="1"/>
      <c r="E445" s="1"/>
      <c r="F445" s="1"/>
      <c r="G445" s="26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64"/>
      <c r="W445" s="264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33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ht="18.75" customHeight="1">
      <c r="A446" s="203"/>
      <c r="B446" s="1"/>
      <c r="C446" s="263"/>
      <c r="D446" s="1"/>
      <c r="E446" s="1"/>
      <c r="F446" s="1"/>
      <c r="G446" s="26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64"/>
      <c r="W446" s="264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33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ht="18.75" customHeight="1">
      <c r="A447" s="203"/>
      <c r="B447" s="1"/>
      <c r="C447" s="263"/>
      <c r="D447" s="1"/>
      <c r="E447" s="1"/>
      <c r="F447" s="1"/>
      <c r="G447" s="26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64"/>
      <c r="W447" s="264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33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ht="18.75" customHeight="1">
      <c r="A448" s="203"/>
      <c r="B448" s="1"/>
      <c r="C448" s="263"/>
      <c r="D448" s="1"/>
      <c r="E448" s="1"/>
      <c r="F448" s="1"/>
      <c r="G448" s="26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64"/>
      <c r="W448" s="264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33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ht="18.75" customHeight="1">
      <c r="A449" s="203"/>
      <c r="B449" s="1"/>
      <c r="C449" s="263"/>
      <c r="D449" s="1"/>
      <c r="E449" s="1"/>
      <c r="F449" s="1"/>
      <c r="G449" s="26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64"/>
      <c r="W449" s="264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33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ht="18.75" customHeight="1">
      <c r="A450" s="203"/>
      <c r="B450" s="1"/>
      <c r="C450" s="263"/>
      <c r="D450" s="1"/>
      <c r="E450" s="1"/>
      <c r="F450" s="1"/>
      <c r="G450" s="26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64"/>
      <c r="W450" s="264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33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ht="18.75" customHeight="1">
      <c r="A451" s="203"/>
      <c r="B451" s="1"/>
      <c r="C451" s="263"/>
      <c r="D451" s="1"/>
      <c r="E451" s="1"/>
      <c r="F451" s="1"/>
      <c r="G451" s="26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64"/>
      <c r="W451" s="264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33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ht="18.75" customHeight="1">
      <c r="A452" s="203"/>
      <c r="B452" s="1"/>
      <c r="C452" s="263"/>
      <c r="D452" s="1"/>
      <c r="E452" s="1"/>
      <c r="F452" s="1"/>
      <c r="G452" s="26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64"/>
      <c r="W452" s="264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33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ht="18.75" customHeight="1">
      <c r="A453" s="203"/>
      <c r="B453" s="1"/>
      <c r="C453" s="263"/>
      <c r="D453" s="1"/>
      <c r="E453" s="1"/>
      <c r="F453" s="1"/>
      <c r="G453" s="26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64"/>
      <c r="W453" s="264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33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ht="18.75" customHeight="1">
      <c r="A454" s="203"/>
      <c r="B454" s="1"/>
      <c r="C454" s="263"/>
      <c r="D454" s="1"/>
      <c r="E454" s="1"/>
      <c r="F454" s="1"/>
      <c r="G454" s="26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64"/>
      <c r="W454" s="264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33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ht="18.75" customHeight="1">
      <c r="A455" s="203"/>
      <c r="B455" s="1"/>
      <c r="C455" s="263"/>
      <c r="D455" s="1"/>
      <c r="E455" s="1"/>
      <c r="F455" s="1"/>
      <c r="G455" s="26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64"/>
      <c r="W455" s="264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33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ht="18.75" customHeight="1">
      <c r="A456" s="203"/>
      <c r="B456" s="1"/>
      <c r="C456" s="263"/>
      <c r="D456" s="1"/>
      <c r="E456" s="1"/>
      <c r="F456" s="1"/>
      <c r="G456" s="26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64"/>
      <c r="W456" s="264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33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ht="18.75" customHeight="1">
      <c r="A457" s="203"/>
      <c r="B457" s="1"/>
      <c r="C457" s="263"/>
      <c r="D457" s="1"/>
      <c r="E457" s="1"/>
      <c r="F457" s="1"/>
      <c r="G457" s="26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64"/>
      <c r="W457" s="264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33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ht="18.75" customHeight="1">
      <c r="A458" s="203"/>
      <c r="B458" s="1"/>
      <c r="C458" s="263"/>
      <c r="D458" s="1"/>
      <c r="E458" s="1"/>
      <c r="F458" s="1"/>
      <c r="G458" s="26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64"/>
      <c r="W458" s="264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33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ht="18.75" customHeight="1">
      <c r="A459" s="203"/>
      <c r="B459" s="1"/>
      <c r="C459" s="263"/>
      <c r="D459" s="1"/>
      <c r="E459" s="1"/>
      <c r="F459" s="1"/>
      <c r="G459" s="26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64"/>
      <c r="W459" s="264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33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ht="18.75" customHeight="1">
      <c r="A460" s="203"/>
      <c r="B460" s="1"/>
      <c r="C460" s="263"/>
      <c r="D460" s="1"/>
      <c r="E460" s="1"/>
      <c r="F460" s="1"/>
      <c r="G460" s="26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64"/>
      <c r="W460" s="264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33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ht="18.75" customHeight="1">
      <c r="A461" s="203"/>
      <c r="B461" s="1"/>
      <c r="C461" s="263"/>
      <c r="D461" s="1"/>
      <c r="E461" s="1"/>
      <c r="F461" s="1"/>
      <c r="G461" s="26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64"/>
      <c r="W461" s="264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33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ht="18.75" customHeight="1">
      <c r="A462" s="203"/>
      <c r="B462" s="1"/>
      <c r="C462" s="263"/>
      <c r="D462" s="1"/>
      <c r="E462" s="1"/>
      <c r="F462" s="1"/>
      <c r="G462" s="26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64"/>
      <c r="W462" s="264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33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ht="18.75" customHeight="1">
      <c r="A463" s="203"/>
      <c r="B463" s="1"/>
      <c r="C463" s="263"/>
      <c r="D463" s="1"/>
      <c r="E463" s="1"/>
      <c r="F463" s="1"/>
      <c r="G463" s="26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64"/>
      <c r="W463" s="264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33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ht="18.75" customHeight="1">
      <c r="A464" s="203"/>
      <c r="B464" s="1"/>
      <c r="C464" s="263"/>
      <c r="D464" s="1"/>
      <c r="E464" s="1"/>
      <c r="F464" s="1"/>
      <c r="G464" s="26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64"/>
      <c r="W464" s="264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33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ht="18.75" customHeight="1">
      <c r="A465" s="203"/>
      <c r="B465" s="1"/>
      <c r="C465" s="263"/>
      <c r="D465" s="1"/>
      <c r="E465" s="1"/>
      <c r="F465" s="1"/>
      <c r="G465" s="26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64"/>
      <c r="W465" s="264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33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ht="18.75" customHeight="1">
      <c r="A466" s="203"/>
      <c r="B466" s="1"/>
      <c r="C466" s="263"/>
      <c r="D466" s="1"/>
      <c r="E466" s="1"/>
      <c r="F466" s="1"/>
      <c r="G466" s="26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64"/>
      <c r="W466" s="264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33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ht="18.75" customHeight="1">
      <c r="A467" s="203"/>
      <c r="B467" s="1"/>
      <c r="C467" s="263"/>
      <c r="D467" s="1"/>
      <c r="E467" s="1"/>
      <c r="F467" s="1"/>
      <c r="G467" s="26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64"/>
      <c r="W467" s="264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33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ht="18.75" customHeight="1">
      <c r="A468" s="203"/>
      <c r="B468" s="1"/>
      <c r="C468" s="263"/>
      <c r="D468" s="1"/>
      <c r="E468" s="1"/>
      <c r="F468" s="1"/>
      <c r="G468" s="26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64"/>
      <c r="W468" s="264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33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ht="18.75" customHeight="1">
      <c r="A469" s="203"/>
      <c r="B469" s="1"/>
      <c r="C469" s="263"/>
      <c r="D469" s="1"/>
      <c r="E469" s="1"/>
      <c r="F469" s="1"/>
      <c r="G469" s="26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64"/>
      <c r="W469" s="264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33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ht="18.75" customHeight="1">
      <c r="A470" s="203"/>
      <c r="B470" s="1"/>
      <c r="C470" s="263"/>
      <c r="D470" s="1"/>
      <c r="E470" s="1"/>
      <c r="F470" s="1"/>
      <c r="G470" s="26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64"/>
      <c r="W470" s="264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33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ht="18.75" customHeight="1">
      <c r="A471" s="203"/>
      <c r="B471" s="1"/>
      <c r="C471" s="263"/>
      <c r="D471" s="1"/>
      <c r="E471" s="1"/>
      <c r="F471" s="1"/>
      <c r="G471" s="26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64"/>
      <c r="W471" s="264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33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ht="18.75" customHeight="1">
      <c r="A472" s="203"/>
      <c r="B472" s="1"/>
      <c r="C472" s="263"/>
      <c r="D472" s="1"/>
      <c r="E472" s="1"/>
      <c r="F472" s="1"/>
      <c r="G472" s="26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64"/>
      <c r="W472" s="264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33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ht="18.75" customHeight="1">
      <c r="A473" s="203"/>
      <c r="B473" s="1"/>
      <c r="C473" s="263"/>
      <c r="D473" s="1"/>
      <c r="E473" s="1"/>
      <c r="F473" s="1"/>
      <c r="G473" s="26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64"/>
      <c r="W473" s="264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33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ht="18.75" customHeight="1">
      <c r="A474" s="203"/>
      <c r="B474" s="1"/>
      <c r="C474" s="263"/>
      <c r="D474" s="1"/>
      <c r="E474" s="1"/>
      <c r="F474" s="1"/>
      <c r="G474" s="26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64"/>
      <c r="W474" s="264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33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ht="18.75" customHeight="1">
      <c r="A475" s="203"/>
      <c r="B475" s="1"/>
      <c r="C475" s="263"/>
      <c r="D475" s="1"/>
      <c r="E475" s="1"/>
      <c r="F475" s="1"/>
      <c r="G475" s="26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64"/>
      <c r="W475" s="264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33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ht="18.75" customHeight="1">
      <c r="A476" s="203"/>
      <c r="B476" s="1"/>
      <c r="C476" s="263"/>
      <c r="D476" s="1"/>
      <c r="E476" s="1"/>
      <c r="F476" s="1"/>
      <c r="G476" s="26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64"/>
      <c r="W476" s="264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33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ht="18.75" customHeight="1">
      <c r="A477" s="203"/>
      <c r="B477" s="1"/>
      <c r="C477" s="263"/>
      <c r="D477" s="1"/>
      <c r="E477" s="1"/>
      <c r="F477" s="1"/>
      <c r="G477" s="26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64"/>
      <c r="W477" s="264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33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ht="18.75" customHeight="1">
      <c r="A478" s="203"/>
      <c r="B478" s="1"/>
      <c r="C478" s="263"/>
      <c r="D478" s="1"/>
      <c r="E478" s="1"/>
      <c r="F478" s="1"/>
      <c r="G478" s="26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64"/>
      <c r="W478" s="264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33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ht="18.75" customHeight="1">
      <c r="A479" s="203"/>
      <c r="B479" s="1"/>
      <c r="C479" s="263"/>
      <c r="D479" s="1"/>
      <c r="E479" s="1"/>
      <c r="F479" s="1"/>
      <c r="G479" s="26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64"/>
      <c r="W479" s="264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33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ht="18.75" customHeight="1">
      <c r="A480" s="203"/>
      <c r="B480" s="1"/>
      <c r="C480" s="263"/>
      <c r="D480" s="1"/>
      <c r="E480" s="1"/>
      <c r="F480" s="1"/>
      <c r="G480" s="26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64"/>
      <c r="W480" s="264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33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ht="18.75" customHeight="1">
      <c r="A481" s="203"/>
      <c r="B481" s="1"/>
      <c r="C481" s="263"/>
      <c r="D481" s="1"/>
      <c r="E481" s="1"/>
      <c r="F481" s="1"/>
      <c r="G481" s="26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64"/>
      <c r="W481" s="264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33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ht="18.75" customHeight="1">
      <c r="A482" s="203"/>
      <c r="B482" s="1"/>
      <c r="C482" s="263"/>
      <c r="D482" s="1"/>
      <c r="E482" s="1"/>
      <c r="F482" s="1"/>
      <c r="G482" s="26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64"/>
      <c r="W482" s="264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33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ht="18.75" customHeight="1">
      <c r="A483" s="203"/>
      <c r="B483" s="1"/>
      <c r="C483" s="263"/>
      <c r="D483" s="1"/>
      <c r="E483" s="1"/>
      <c r="F483" s="1"/>
      <c r="G483" s="26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64"/>
      <c r="W483" s="264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33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ht="18.75" customHeight="1">
      <c r="A484" s="203"/>
      <c r="B484" s="1"/>
      <c r="C484" s="263"/>
      <c r="D484" s="1"/>
      <c r="E484" s="1"/>
      <c r="F484" s="1"/>
      <c r="G484" s="26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64"/>
      <c r="W484" s="264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33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ht="18.75" customHeight="1">
      <c r="A485" s="203"/>
      <c r="B485" s="1"/>
      <c r="C485" s="263"/>
      <c r="D485" s="1"/>
      <c r="E485" s="1"/>
      <c r="F485" s="1"/>
      <c r="G485" s="26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64"/>
      <c r="W485" s="264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33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ht="18.75" customHeight="1">
      <c r="A486" s="203"/>
      <c r="B486" s="1"/>
      <c r="C486" s="263"/>
      <c r="D486" s="1"/>
      <c r="E486" s="1"/>
      <c r="F486" s="1"/>
      <c r="G486" s="26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64"/>
      <c r="W486" s="264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33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ht="18.75" customHeight="1">
      <c r="A487" s="203"/>
      <c r="B487" s="1"/>
      <c r="C487" s="263"/>
      <c r="D487" s="1"/>
      <c r="E487" s="1"/>
      <c r="F487" s="1"/>
      <c r="G487" s="26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64"/>
      <c r="W487" s="264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33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ht="18.75" customHeight="1">
      <c r="A488" s="203"/>
      <c r="B488" s="1"/>
      <c r="C488" s="263"/>
      <c r="D488" s="1"/>
      <c r="E488" s="1"/>
      <c r="F488" s="1"/>
      <c r="G488" s="26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64"/>
      <c r="W488" s="264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33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ht="18.75" customHeight="1">
      <c r="A489" s="203"/>
      <c r="B489" s="1"/>
      <c r="C489" s="263"/>
      <c r="D489" s="1"/>
      <c r="E489" s="1"/>
      <c r="F489" s="1"/>
      <c r="G489" s="26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64"/>
      <c r="W489" s="264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33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ht="18.75" customHeight="1">
      <c r="A490" s="203"/>
      <c r="B490" s="1"/>
      <c r="C490" s="263"/>
      <c r="D490" s="1"/>
      <c r="E490" s="1"/>
      <c r="F490" s="1"/>
      <c r="G490" s="26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64"/>
      <c r="W490" s="264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33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ht="18.75" customHeight="1">
      <c r="A491" s="203"/>
      <c r="B491" s="1"/>
      <c r="C491" s="263"/>
      <c r="D491" s="1"/>
      <c r="E491" s="1"/>
      <c r="F491" s="1"/>
      <c r="G491" s="26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64"/>
      <c r="W491" s="264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33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ht="18.75" customHeight="1">
      <c r="A492" s="203"/>
      <c r="B492" s="1"/>
      <c r="C492" s="263"/>
      <c r="D492" s="1"/>
      <c r="E492" s="1"/>
      <c r="F492" s="1"/>
      <c r="G492" s="26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64"/>
      <c r="W492" s="264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33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ht="18.75" customHeight="1">
      <c r="A493" s="203"/>
      <c r="B493" s="1"/>
      <c r="C493" s="263"/>
      <c r="D493" s="1"/>
      <c r="E493" s="1"/>
      <c r="F493" s="1"/>
      <c r="G493" s="26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64"/>
      <c r="W493" s="264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33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ht="18.75" customHeight="1">
      <c r="A494" s="203"/>
      <c r="B494" s="1"/>
      <c r="C494" s="263"/>
      <c r="D494" s="1"/>
      <c r="E494" s="1"/>
      <c r="F494" s="1"/>
      <c r="G494" s="26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64"/>
      <c r="W494" s="264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33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ht="18.75" customHeight="1">
      <c r="A495" s="203"/>
      <c r="B495" s="1"/>
      <c r="C495" s="263"/>
      <c r="D495" s="1"/>
      <c r="E495" s="1"/>
      <c r="F495" s="1"/>
      <c r="G495" s="26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64"/>
      <c r="W495" s="264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33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ht="18.75" customHeight="1">
      <c r="A496" s="203"/>
      <c r="B496" s="1"/>
      <c r="C496" s="263"/>
      <c r="D496" s="1"/>
      <c r="E496" s="1"/>
      <c r="F496" s="1"/>
      <c r="G496" s="26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64"/>
      <c r="W496" s="264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33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ht="18.75" customHeight="1">
      <c r="A497" s="203"/>
      <c r="B497" s="1"/>
      <c r="C497" s="263"/>
      <c r="D497" s="1"/>
      <c r="E497" s="1"/>
      <c r="F497" s="1"/>
      <c r="G497" s="26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64"/>
      <c r="W497" s="264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33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ht="18.75" customHeight="1">
      <c r="A498" s="203"/>
      <c r="B498" s="1"/>
      <c r="C498" s="263"/>
      <c r="D498" s="1"/>
      <c r="E498" s="1"/>
      <c r="F498" s="1"/>
      <c r="G498" s="26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64"/>
      <c r="W498" s="264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33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ht="18.75" customHeight="1">
      <c r="A499" s="203"/>
      <c r="B499" s="1"/>
      <c r="C499" s="263"/>
      <c r="D499" s="1"/>
      <c r="E499" s="1"/>
      <c r="F499" s="1"/>
      <c r="G499" s="26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64"/>
      <c r="W499" s="264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33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ht="18.75" customHeight="1">
      <c r="A500" s="203"/>
      <c r="B500" s="1"/>
      <c r="C500" s="263"/>
      <c r="D500" s="1"/>
      <c r="E500" s="1"/>
      <c r="F500" s="1"/>
      <c r="G500" s="26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64"/>
      <c r="W500" s="264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33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ht="18.75" customHeight="1">
      <c r="A501" s="203"/>
      <c r="B501" s="1"/>
      <c r="C501" s="263"/>
      <c r="D501" s="1"/>
      <c r="E501" s="1"/>
      <c r="F501" s="1"/>
      <c r="G501" s="26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64"/>
      <c r="W501" s="264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33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ht="18.75" customHeight="1">
      <c r="A502" s="203"/>
      <c r="B502" s="1"/>
      <c r="C502" s="263"/>
      <c r="D502" s="1"/>
      <c r="E502" s="1"/>
      <c r="F502" s="1"/>
      <c r="G502" s="26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64"/>
      <c r="W502" s="264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33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ht="18.75" customHeight="1">
      <c r="A503" s="203"/>
      <c r="B503" s="1"/>
      <c r="C503" s="263"/>
      <c r="D503" s="1"/>
      <c r="E503" s="1"/>
      <c r="F503" s="1"/>
      <c r="G503" s="26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64"/>
      <c r="W503" s="264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33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ht="18.75" customHeight="1">
      <c r="A504" s="203"/>
      <c r="B504" s="1"/>
      <c r="C504" s="263"/>
      <c r="D504" s="1"/>
      <c r="E504" s="1"/>
      <c r="F504" s="1"/>
      <c r="G504" s="26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64"/>
      <c r="W504" s="264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33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ht="18.75" customHeight="1">
      <c r="A505" s="203"/>
      <c r="B505" s="1"/>
      <c r="C505" s="263"/>
      <c r="D505" s="1"/>
      <c r="E505" s="1"/>
      <c r="F505" s="1"/>
      <c r="G505" s="26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64"/>
      <c r="W505" s="264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33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ht="18.75" customHeight="1">
      <c r="A506" s="203"/>
      <c r="B506" s="1"/>
      <c r="C506" s="263"/>
      <c r="D506" s="1"/>
      <c r="E506" s="1"/>
      <c r="F506" s="1"/>
      <c r="G506" s="26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64"/>
      <c r="W506" s="264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33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ht="18.75" customHeight="1">
      <c r="A507" s="203"/>
      <c r="B507" s="1"/>
      <c r="C507" s="263"/>
      <c r="D507" s="1"/>
      <c r="E507" s="1"/>
      <c r="F507" s="1"/>
      <c r="G507" s="26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64"/>
      <c r="W507" s="264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33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ht="18.75" customHeight="1">
      <c r="A508" s="203"/>
      <c r="B508" s="1"/>
      <c r="C508" s="263"/>
      <c r="D508" s="1"/>
      <c r="E508" s="1"/>
      <c r="F508" s="1"/>
      <c r="G508" s="26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64"/>
      <c r="W508" s="264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33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ht="18.75" customHeight="1">
      <c r="A509" s="203"/>
      <c r="B509" s="1"/>
      <c r="C509" s="263"/>
      <c r="D509" s="1"/>
      <c r="E509" s="1"/>
      <c r="F509" s="1"/>
      <c r="G509" s="26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64"/>
      <c r="W509" s="264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33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ht="18.75" customHeight="1">
      <c r="A510" s="203"/>
      <c r="B510" s="1"/>
      <c r="C510" s="263"/>
      <c r="D510" s="1"/>
      <c r="E510" s="1"/>
      <c r="F510" s="1"/>
      <c r="G510" s="26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64"/>
      <c r="W510" s="264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33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ht="18.75" customHeight="1">
      <c r="A511" s="203"/>
      <c r="B511" s="1"/>
      <c r="C511" s="263"/>
      <c r="D511" s="1"/>
      <c r="E511" s="1"/>
      <c r="F511" s="1"/>
      <c r="G511" s="26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64"/>
      <c r="W511" s="264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33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ht="18.75" customHeight="1">
      <c r="A512" s="203"/>
      <c r="B512" s="1"/>
      <c r="C512" s="263"/>
      <c r="D512" s="1"/>
      <c r="E512" s="1"/>
      <c r="F512" s="1"/>
      <c r="G512" s="26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64"/>
      <c r="W512" s="264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33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ht="18.75" customHeight="1">
      <c r="A513" s="203"/>
      <c r="B513" s="1"/>
      <c r="C513" s="263"/>
      <c r="D513" s="1"/>
      <c r="E513" s="1"/>
      <c r="F513" s="1"/>
      <c r="G513" s="26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64"/>
      <c r="W513" s="264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33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ht="18.75" customHeight="1">
      <c r="A514" s="203"/>
      <c r="B514" s="1"/>
      <c r="C514" s="263"/>
      <c r="D514" s="1"/>
      <c r="E514" s="1"/>
      <c r="F514" s="1"/>
      <c r="G514" s="26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64"/>
      <c r="W514" s="264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33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ht="18.75" customHeight="1">
      <c r="A515" s="203"/>
      <c r="B515" s="1"/>
      <c r="C515" s="263"/>
      <c r="D515" s="1"/>
      <c r="E515" s="1"/>
      <c r="F515" s="1"/>
      <c r="G515" s="26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64"/>
      <c r="W515" s="264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33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ht="18.75" customHeight="1">
      <c r="A516" s="203"/>
      <c r="B516" s="1"/>
      <c r="C516" s="263"/>
      <c r="D516" s="1"/>
      <c r="E516" s="1"/>
      <c r="F516" s="1"/>
      <c r="G516" s="26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64"/>
      <c r="W516" s="264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33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ht="18.75" customHeight="1">
      <c r="A517" s="203"/>
      <c r="B517" s="1"/>
      <c r="C517" s="263"/>
      <c r="D517" s="1"/>
      <c r="E517" s="1"/>
      <c r="F517" s="1"/>
      <c r="G517" s="26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64"/>
      <c r="W517" s="264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33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ht="18.75" customHeight="1">
      <c r="A518" s="203"/>
      <c r="B518" s="1"/>
      <c r="C518" s="263"/>
      <c r="D518" s="1"/>
      <c r="E518" s="1"/>
      <c r="F518" s="1"/>
      <c r="G518" s="26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64"/>
      <c r="W518" s="264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33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ht="18.75" customHeight="1">
      <c r="A519" s="203"/>
      <c r="B519" s="1"/>
      <c r="C519" s="263"/>
      <c r="D519" s="1"/>
      <c r="E519" s="1"/>
      <c r="F519" s="1"/>
      <c r="G519" s="26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64"/>
      <c r="W519" s="264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33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ht="18.75" customHeight="1">
      <c r="A520" s="203"/>
      <c r="B520" s="1"/>
      <c r="C520" s="263"/>
      <c r="D520" s="1"/>
      <c r="E520" s="1"/>
      <c r="F520" s="1"/>
      <c r="G520" s="26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64"/>
      <c r="W520" s="264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33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ht="18.75" customHeight="1">
      <c r="A521" s="203"/>
      <c r="B521" s="1"/>
      <c r="C521" s="263"/>
      <c r="D521" s="1"/>
      <c r="E521" s="1"/>
      <c r="F521" s="1"/>
      <c r="G521" s="26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64"/>
      <c r="W521" s="264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33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ht="18.75" customHeight="1">
      <c r="A522" s="203"/>
      <c r="B522" s="1"/>
      <c r="C522" s="263"/>
      <c r="D522" s="1"/>
      <c r="E522" s="1"/>
      <c r="F522" s="1"/>
      <c r="G522" s="26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64"/>
      <c r="W522" s="264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33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ht="18.75" customHeight="1">
      <c r="A523" s="203"/>
      <c r="B523" s="1"/>
      <c r="C523" s="263"/>
      <c r="D523" s="1"/>
      <c r="E523" s="1"/>
      <c r="F523" s="1"/>
      <c r="G523" s="26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64"/>
      <c r="W523" s="264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33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ht="18.75" customHeight="1">
      <c r="A524" s="203"/>
      <c r="B524" s="1"/>
      <c r="C524" s="263"/>
      <c r="D524" s="1"/>
      <c r="E524" s="1"/>
      <c r="F524" s="1"/>
      <c r="G524" s="26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64"/>
      <c r="W524" s="264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33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ht="18.75" customHeight="1">
      <c r="A525" s="203"/>
      <c r="B525" s="1"/>
      <c r="C525" s="263"/>
      <c r="D525" s="1"/>
      <c r="E525" s="1"/>
      <c r="F525" s="1"/>
      <c r="G525" s="26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64"/>
      <c r="W525" s="264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33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ht="18.75" customHeight="1">
      <c r="A526" s="203"/>
      <c r="B526" s="1"/>
      <c r="C526" s="263"/>
      <c r="D526" s="1"/>
      <c r="E526" s="1"/>
      <c r="F526" s="1"/>
      <c r="G526" s="26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64"/>
      <c r="W526" s="264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33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ht="18.75" customHeight="1">
      <c r="A527" s="203"/>
      <c r="B527" s="1"/>
      <c r="C527" s="263"/>
      <c r="D527" s="1"/>
      <c r="E527" s="1"/>
      <c r="F527" s="1"/>
      <c r="G527" s="26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64"/>
      <c r="W527" s="264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33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ht="18.75" customHeight="1">
      <c r="A528" s="203"/>
      <c r="B528" s="1"/>
      <c r="C528" s="263"/>
      <c r="D528" s="1"/>
      <c r="E528" s="1"/>
      <c r="F528" s="1"/>
      <c r="G528" s="26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64"/>
      <c r="W528" s="264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33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ht="18.75" customHeight="1">
      <c r="A529" s="203"/>
      <c r="B529" s="1"/>
      <c r="C529" s="263"/>
      <c r="D529" s="1"/>
      <c r="E529" s="1"/>
      <c r="F529" s="1"/>
      <c r="G529" s="26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64"/>
      <c r="W529" s="264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33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ht="18.75" customHeight="1">
      <c r="A530" s="203"/>
      <c r="B530" s="1"/>
      <c r="C530" s="263"/>
      <c r="D530" s="1"/>
      <c r="E530" s="1"/>
      <c r="F530" s="1"/>
      <c r="G530" s="26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64"/>
      <c r="W530" s="264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33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ht="18.75" customHeight="1">
      <c r="A531" s="203"/>
      <c r="B531" s="1"/>
      <c r="C531" s="263"/>
      <c r="D531" s="1"/>
      <c r="E531" s="1"/>
      <c r="F531" s="1"/>
      <c r="G531" s="26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64"/>
      <c r="W531" s="264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33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ht="18.75" customHeight="1">
      <c r="A532" s="203"/>
      <c r="B532" s="1"/>
      <c r="C532" s="263"/>
      <c r="D532" s="1"/>
      <c r="E532" s="1"/>
      <c r="F532" s="1"/>
      <c r="G532" s="26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64"/>
      <c r="W532" s="264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33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ht="18.75" customHeight="1">
      <c r="A533" s="203"/>
      <c r="B533" s="1"/>
      <c r="C533" s="263"/>
      <c r="D533" s="1"/>
      <c r="E533" s="1"/>
      <c r="F533" s="1"/>
      <c r="G533" s="26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64"/>
      <c r="W533" s="264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33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ht="18.75" customHeight="1">
      <c r="A534" s="203"/>
      <c r="B534" s="1"/>
      <c r="C534" s="263"/>
      <c r="D534" s="1"/>
      <c r="E534" s="1"/>
      <c r="F534" s="1"/>
      <c r="G534" s="26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64"/>
      <c r="W534" s="264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33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ht="18.75" customHeight="1">
      <c r="A535" s="203"/>
      <c r="B535" s="1"/>
      <c r="C535" s="263"/>
      <c r="D535" s="1"/>
      <c r="E535" s="1"/>
      <c r="F535" s="1"/>
      <c r="G535" s="26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64"/>
      <c r="W535" s="264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33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ht="18.75" customHeight="1">
      <c r="A536" s="203"/>
      <c r="B536" s="1"/>
      <c r="C536" s="263"/>
      <c r="D536" s="1"/>
      <c r="E536" s="1"/>
      <c r="F536" s="1"/>
      <c r="G536" s="26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64"/>
      <c r="W536" s="264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33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ht="18.75" customHeight="1">
      <c r="A537" s="203"/>
      <c r="B537" s="1"/>
      <c r="C537" s="263"/>
      <c r="D537" s="1"/>
      <c r="E537" s="1"/>
      <c r="F537" s="1"/>
      <c r="G537" s="26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64"/>
      <c r="W537" s="264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33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ht="18.75" customHeight="1">
      <c r="A538" s="203"/>
      <c r="B538" s="1"/>
      <c r="C538" s="263"/>
      <c r="D538" s="1"/>
      <c r="E538" s="1"/>
      <c r="F538" s="1"/>
      <c r="G538" s="26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64"/>
      <c r="W538" s="264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33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ht="18.75" customHeight="1">
      <c r="A539" s="203"/>
      <c r="B539" s="1"/>
      <c r="C539" s="263"/>
      <c r="D539" s="1"/>
      <c r="E539" s="1"/>
      <c r="F539" s="1"/>
      <c r="G539" s="26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64"/>
      <c r="W539" s="264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33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ht="18.75" customHeight="1">
      <c r="A540" s="203"/>
      <c r="B540" s="1"/>
      <c r="C540" s="263"/>
      <c r="D540" s="1"/>
      <c r="E540" s="1"/>
      <c r="F540" s="1"/>
      <c r="G540" s="26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64"/>
      <c r="W540" s="264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33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ht="18.75" customHeight="1">
      <c r="A541" s="203"/>
      <c r="B541" s="1"/>
      <c r="C541" s="263"/>
      <c r="D541" s="1"/>
      <c r="E541" s="1"/>
      <c r="F541" s="1"/>
      <c r="G541" s="26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64"/>
      <c r="W541" s="264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33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ht="18.75" customHeight="1">
      <c r="A542" s="203"/>
      <c r="B542" s="1"/>
      <c r="C542" s="263"/>
      <c r="D542" s="1"/>
      <c r="E542" s="1"/>
      <c r="F542" s="1"/>
      <c r="G542" s="26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64"/>
      <c r="W542" s="264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33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ht="18.75" customHeight="1">
      <c r="A543" s="203"/>
      <c r="B543" s="1"/>
      <c r="C543" s="263"/>
      <c r="D543" s="1"/>
      <c r="E543" s="1"/>
      <c r="F543" s="1"/>
      <c r="G543" s="26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64"/>
      <c r="W543" s="264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33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ht="18.75" customHeight="1">
      <c r="A544" s="203"/>
      <c r="B544" s="1"/>
      <c r="C544" s="263"/>
      <c r="D544" s="1"/>
      <c r="E544" s="1"/>
      <c r="F544" s="1"/>
      <c r="G544" s="26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64"/>
      <c r="W544" s="264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33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ht="18.75" customHeight="1">
      <c r="A545" s="203"/>
      <c r="B545" s="1"/>
      <c r="C545" s="263"/>
      <c r="D545" s="1"/>
      <c r="E545" s="1"/>
      <c r="F545" s="1"/>
      <c r="G545" s="26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64"/>
      <c r="W545" s="264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33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ht="18.75" customHeight="1">
      <c r="A546" s="203"/>
      <c r="B546" s="1"/>
      <c r="C546" s="263"/>
      <c r="D546" s="1"/>
      <c r="E546" s="1"/>
      <c r="F546" s="1"/>
      <c r="G546" s="26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64"/>
      <c r="W546" s="264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33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ht="18.75" customHeight="1">
      <c r="A547" s="203"/>
      <c r="B547" s="1"/>
      <c r="C547" s="263"/>
      <c r="D547" s="1"/>
      <c r="E547" s="1"/>
      <c r="F547" s="1"/>
      <c r="G547" s="26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64"/>
      <c r="W547" s="264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33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ht="18.75" customHeight="1">
      <c r="A548" s="203"/>
      <c r="B548" s="1"/>
      <c r="C548" s="263"/>
      <c r="D548" s="1"/>
      <c r="E548" s="1"/>
      <c r="F548" s="1"/>
      <c r="G548" s="26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64"/>
      <c r="W548" s="264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33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ht="18.75" customHeight="1">
      <c r="A549" s="203"/>
      <c r="B549" s="1"/>
      <c r="C549" s="263"/>
      <c r="D549" s="1"/>
      <c r="E549" s="1"/>
      <c r="F549" s="1"/>
      <c r="G549" s="26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64"/>
      <c r="W549" s="264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33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ht="18.75" customHeight="1">
      <c r="A550" s="203"/>
      <c r="B550" s="1"/>
      <c r="C550" s="263"/>
      <c r="D550" s="1"/>
      <c r="E550" s="1"/>
      <c r="F550" s="1"/>
      <c r="G550" s="26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64"/>
      <c r="W550" s="264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33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ht="18.75" customHeight="1">
      <c r="A551" s="203"/>
      <c r="B551" s="1"/>
      <c r="C551" s="263"/>
      <c r="D551" s="1"/>
      <c r="E551" s="1"/>
      <c r="F551" s="1"/>
      <c r="G551" s="26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64"/>
      <c r="W551" s="264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33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ht="18.75" customHeight="1">
      <c r="A552" s="203"/>
      <c r="B552" s="1"/>
      <c r="C552" s="263"/>
      <c r="D552" s="1"/>
      <c r="E552" s="1"/>
      <c r="F552" s="1"/>
      <c r="G552" s="26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64"/>
      <c r="W552" s="264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33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ht="18.75" customHeight="1">
      <c r="A553" s="203"/>
      <c r="B553" s="1"/>
      <c r="C553" s="263"/>
      <c r="D553" s="1"/>
      <c r="E553" s="1"/>
      <c r="F553" s="1"/>
      <c r="G553" s="26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64"/>
      <c r="W553" s="264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33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ht="18.75" customHeight="1">
      <c r="A554" s="203"/>
      <c r="B554" s="1"/>
      <c r="C554" s="263"/>
      <c r="D554" s="1"/>
      <c r="E554" s="1"/>
      <c r="F554" s="1"/>
      <c r="G554" s="26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64"/>
      <c r="W554" s="264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33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ht="18.75" customHeight="1">
      <c r="A555" s="203"/>
      <c r="B555" s="1"/>
      <c r="C555" s="263"/>
      <c r="D555" s="1"/>
      <c r="E555" s="1"/>
      <c r="F555" s="1"/>
      <c r="G555" s="26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64"/>
      <c r="W555" s="264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33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ht="18.75" customHeight="1">
      <c r="A556" s="203"/>
      <c r="B556" s="1"/>
      <c r="C556" s="263"/>
      <c r="D556" s="1"/>
      <c r="E556" s="1"/>
      <c r="F556" s="1"/>
      <c r="G556" s="26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64"/>
      <c r="W556" s="264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33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ht="18.75" customHeight="1">
      <c r="A557" s="203"/>
      <c r="B557" s="1"/>
      <c r="C557" s="263"/>
      <c r="D557" s="1"/>
      <c r="E557" s="1"/>
      <c r="F557" s="1"/>
      <c r="G557" s="26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64"/>
      <c r="W557" s="264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33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ht="18.75" customHeight="1">
      <c r="A558" s="203"/>
      <c r="B558" s="1"/>
      <c r="C558" s="263"/>
      <c r="D558" s="1"/>
      <c r="E558" s="1"/>
      <c r="F558" s="1"/>
      <c r="G558" s="26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64"/>
      <c r="W558" s="264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33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ht="18.75" customHeight="1">
      <c r="A559" s="203"/>
      <c r="B559" s="1"/>
      <c r="C559" s="263"/>
      <c r="D559" s="1"/>
      <c r="E559" s="1"/>
      <c r="F559" s="1"/>
      <c r="G559" s="26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64"/>
      <c r="W559" s="264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33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ht="18.75" customHeight="1">
      <c r="A560" s="203"/>
      <c r="B560" s="1"/>
      <c r="C560" s="263"/>
      <c r="D560" s="1"/>
      <c r="E560" s="1"/>
      <c r="F560" s="1"/>
      <c r="G560" s="26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64"/>
      <c r="W560" s="264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33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ht="18.75" customHeight="1">
      <c r="A561" s="203"/>
      <c r="B561" s="1"/>
      <c r="C561" s="263"/>
      <c r="D561" s="1"/>
      <c r="E561" s="1"/>
      <c r="F561" s="1"/>
      <c r="G561" s="26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64"/>
      <c r="W561" s="264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33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ht="18.75" customHeight="1">
      <c r="A562" s="203"/>
      <c r="B562" s="1"/>
      <c r="C562" s="263"/>
      <c r="D562" s="1"/>
      <c r="E562" s="1"/>
      <c r="F562" s="1"/>
      <c r="G562" s="26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64"/>
      <c r="W562" s="264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33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ht="18.75" customHeight="1">
      <c r="A563" s="203"/>
      <c r="B563" s="1"/>
      <c r="C563" s="263"/>
      <c r="D563" s="1"/>
      <c r="E563" s="1"/>
      <c r="F563" s="1"/>
      <c r="G563" s="26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64"/>
      <c r="W563" s="264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33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ht="18.75" customHeight="1">
      <c r="A564" s="203"/>
      <c r="B564" s="1"/>
      <c r="C564" s="263"/>
      <c r="D564" s="1"/>
      <c r="E564" s="1"/>
      <c r="F564" s="1"/>
      <c r="G564" s="26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64"/>
      <c r="W564" s="264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33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ht="18.75" customHeight="1">
      <c r="A565" s="203"/>
      <c r="B565" s="1"/>
      <c r="C565" s="263"/>
      <c r="D565" s="1"/>
      <c r="E565" s="1"/>
      <c r="F565" s="1"/>
      <c r="G565" s="26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64"/>
      <c r="W565" s="264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33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ht="18.75" customHeight="1">
      <c r="A566" s="203"/>
      <c r="B566" s="1"/>
      <c r="C566" s="263"/>
      <c r="D566" s="1"/>
      <c r="E566" s="1"/>
      <c r="F566" s="1"/>
      <c r="G566" s="26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64"/>
      <c r="W566" s="264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33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ht="18.75" customHeight="1">
      <c r="A567" s="203"/>
      <c r="B567" s="1"/>
      <c r="C567" s="263"/>
      <c r="D567" s="1"/>
      <c r="E567" s="1"/>
      <c r="F567" s="1"/>
      <c r="G567" s="26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64"/>
      <c r="W567" s="264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33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ht="18.75" customHeight="1">
      <c r="A568" s="203"/>
      <c r="B568" s="1"/>
      <c r="C568" s="263"/>
      <c r="D568" s="1"/>
      <c r="E568" s="1"/>
      <c r="F568" s="1"/>
      <c r="G568" s="26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64"/>
      <c r="W568" s="264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33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ht="18.75" customHeight="1">
      <c r="A569" s="203"/>
      <c r="B569" s="1"/>
      <c r="C569" s="263"/>
      <c r="D569" s="1"/>
      <c r="E569" s="1"/>
      <c r="F569" s="1"/>
      <c r="G569" s="26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64"/>
      <c r="W569" s="264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33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ht="18.75" customHeight="1">
      <c r="A570" s="203"/>
      <c r="B570" s="1"/>
      <c r="C570" s="263"/>
      <c r="D570" s="1"/>
      <c r="E570" s="1"/>
      <c r="F570" s="1"/>
      <c r="G570" s="26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64"/>
      <c r="W570" s="264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33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ht="18.75" customHeight="1">
      <c r="A571" s="203"/>
      <c r="B571" s="1"/>
      <c r="C571" s="263"/>
      <c r="D571" s="1"/>
      <c r="E571" s="1"/>
      <c r="F571" s="1"/>
      <c r="G571" s="26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64"/>
      <c r="W571" s="264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33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ht="18.75" customHeight="1">
      <c r="A572" s="203"/>
      <c r="B572" s="1"/>
      <c r="C572" s="263"/>
      <c r="D572" s="1"/>
      <c r="E572" s="1"/>
      <c r="F572" s="1"/>
      <c r="G572" s="26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64"/>
      <c r="W572" s="264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33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ht="18.75" customHeight="1">
      <c r="A573" s="203"/>
      <c r="B573" s="1"/>
      <c r="C573" s="263"/>
      <c r="D573" s="1"/>
      <c r="E573" s="1"/>
      <c r="F573" s="1"/>
      <c r="G573" s="26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64"/>
      <c r="W573" s="264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33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ht="18.75" customHeight="1">
      <c r="A574" s="203"/>
      <c r="B574" s="1"/>
      <c r="C574" s="263"/>
      <c r="D574" s="1"/>
      <c r="E574" s="1"/>
      <c r="F574" s="1"/>
      <c r="G574" s="26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64"/>
      <c r="W574" s="264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33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ht="18.75" customHeight="1">
      <c r="A575" s="203"/>
      <c r="B575" s="1"/>
      <c r="C575" s="263"/>
      <c r="D575" s="1"/>
      <c r="E575" s="1"/>
      <c r="F575" s="1"/>
      <c r="G575" s="26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64"/>
      <c r="W575" s="264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33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ht="18.75" customHeight="1">
      <c r="A576" s="203"/>
      <c r="B576" s="1"/>
      <c r="C576" s="263"/>
      <c r="D576" s="1"/>
      <c r="E576" s="1"/>
      <c r="F576" s="1"/>
      <c r="G576" s="26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64"/>
      <c r="W576" s="264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33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ht="18.75" customHeight="1">
      <c r="A577" s="203"/>
      <c r="B577" s="1"/>
      <c r="C577" s="263"/>
      <c r="D577" s="1"/>
      <c r="E577" s="1"/>
      <c r="F577" s="1"/>
      <c r="G577" s="26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64"/>
      <c r="W577" s="264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33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ht="18.75" customHeight="1">
      <c r="A578" s="203"/>
      <c r="B578" s="1"/>
      <c r="C578" s="263"/>
      <c r="D578" s="1"/>
      <c r="E578" s="1"/>
      <c r="F578" s="1"/>
      <c r="G578" s="26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64"/>
      <c r="W578" s="264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33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ht="18.75" customHeight="1">
      <c r="A579" s="203"/>
      <c r="B579" s="1"/>
      <c r="C579" s="263"/>
      <c r="D579" s="1"/>
      <c r="E579" s="1"/>
      <c r="F579" s="1"/>
      <c r="G579" s="26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64"/>
      <c r="W579" s="264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33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ht="18.75" customHeight="1">
      <c r="A580" s="203"/>
      <c r="B580" s="1"/>
      <c r="C580" s="263"/>
      <c r="D580" s="1"/>
      <c r="E580" s="1"/>
      <c r="F580" s="1"/>
      <c r="G580" s="26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64"/>
      <c r="W580" s="264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33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ht="18.75" customHeight="1">
      <c r="A581" s="203"/>
      <c r="B581" s="1"/>
      <c r="C581" s="263"/>
      <c r="D581" s="1"/>
      <c r="E581" s="1"/>
      <c r="F581" s="1"/>
      <c r="G581" s="26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64"/>
      <c r="W581" s="264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33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ht="18.75" customHeight="1">
      <c r="A582" s="203"/>
      <c r="B582" s="1"/>
      <c r="C582" s="263"/>
      <c r="D582" s="1"/>
      <c r="E582" s="1"/>
      <c r="F582" s="1"/>
      <c r="G582" s="26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64"/>
      <c r="W582" s="264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33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ht="18.75" customHeight="1">
      <c r="A583" s="203"/>
      <c r="B583" s="1"/>
      <c r="C583" s="263"/>
      <c r="D583" s="1"/>
      <c r="E583" s="1"/>
      <c r="F583" s="1"/>
      <c r="G583" s="26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64"/>
      <c r="W583" s="264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33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ht="18.75" customHeight="1">
      <c r="A584" s="203"/>
      <c r="B584" s="1"/>
      <c r="C584" s="263"/>
      <c r="D584" s="1"/>
      <c r="E584" s="1"/>
      <c r="F584" s="1"/>
      <c r="G584" s="26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64"/>
      <c r="W584" s="264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33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ht="18.75" customHeight="1">
      <c r="A585" s="203"/>
      <c r="B585" s="1"/>
      <c r="C585" s="263"/>
      <c r="D585" s="1"/>
      <c r="E585" s="1"/>
      <c r="F585" s="1"/>
      <c r="G585" s="26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64"/>
      <c r="W585" s="264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33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ht="18.75" customHeight="1">
      <c r="A586" s="203"/>
      <c r="B586" s="1"/>
      <c r="C586" s="263"/>
      <c r="D586" s="1"/>
      <c r="E586" s="1"/>
      <c r="F586" s="1"/>
      <c r="G586" s="26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64"/>
      <c r="W586" s="264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33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ht="18.75" customHeight="1">
      <c r="A587" s="203"/>
      <c r="B587" s="1"/>
      <c r="C587" s="263"/>
      <c r="D587" s="1"/>
      <c r="E587" s="1"/>
      <c r="F587" s="1"/>
      <c r="G587" s="26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64"/>
      <c r="W587" s="264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33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ht="18.75" customHeight="1">
      <c r="A588" s="203"/>
      <c r="B588" s="1"/>
      <c r="C588" s="263"/>
      <c r="D588" s="1"/>
      <c r="E588" s="1"/>
      <c r="F588" s="1"/>
      <c r="G588" s="26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64"/>
      <c r="W588" s="264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33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ht="18.75" customHeight="1">
      <c r="A589" s="203"/>
      <c r="B589" s="1"/>
      <c r="C589" s="263"/>
      <c r="D589" s="1"/>
      <c r="E589" s="1"/>
      <c r="F589" s="1"/>
      <c r="G589" s="26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64"/>
      <c r="W589" s="264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33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ht="18.75" customHeight="1">
      <c r="A590" s="203"/>
      <c r="B590" s="1"/>
      <c r="C590" s="263"/>
      <c r="D590" s="1"/>
      <c r="E590" s="1"/>
      <c r="F590" s="1"/>
      <c r="G590" s="26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64"/>
      <c r="W590" s="264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33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ht="18.75" customHeight="1">
      <c r="A591" s="203"/>
      <c r="B591" s="1"/>
      <c r="C591" s="263"/>
      <c r="D591" s="1"/>
      <c r="E591" s="1"/>
      <c r="F591" s="1"/>
      <c r="G591" s="26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64"/>
      <c r="W591" s="264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33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ht="18.75" customHeight="1">
      <c r="A592" s="203"/>
      <c r="B592" s="1"/>
      <c r="C592" s="263"/>
      <c r="D592" s="1"/>
      <c r="E592" s="1"/>
      <c r="F592" s="1"/>
      <c r="G592" s="26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64"/>
      <c r="W592" s="264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33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ht="18.75" customHeight="1">
      <c r="A593" s="203"/>
      <c r="B593" s="1"/>
      <c r="C593" s="263"/>
      <c r="D593" s="1"/>
      <c r="E593" s="1"/>
      <c r="F593" s="1"/>
      <c r="G593" s="26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64"/>
      <c r="W593" s="264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33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ht="18.75" customHeight="1">
      <c r="A594" s="203"/>
      <c r="B594" s="1"/>
      <c r="C594" s="263"/>
      <c r="D594" s="1"/>
      <c r="E594" s="1"/>
      <c r="F594" s="1"/>
      <c r="G594" s="26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64"/>
      <c r="W594" s="264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33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ht="18.75" customHeight="1">
      <c r="A595" s="203"/>
      <c r="B595" s="1"/>
      <c r="C595" s="263"/>
      <c r="D595" s="1"/>
      <c r="E595" s="1"/>
      <c r="F595" s="1"/>
      <c r="G595" s="26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64"/>
      <c r="W595" s="264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33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ht="18.75" customHeight="1">
      <c r="A596" s="203"/>
      <c r="B596" s="1"/>
      <c r="C596" s="263"/>
      <c r="D596" s="1"/>
      <c r="E596" s="1"/>
      <c r="F596" s="1"/>
      <c r="G596" s="26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64"/>
      <c r="W596" s="264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33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ht="18.75" customHeight="1">
      <c r="A597" s="203"/>
      <c r="B597" s="1"/>
      <c r="C597" s="263"/>
      <c r="D597" s="1"/>
      <c r="E597" s="1"/>
      <c r="F597" s="1"/>
      <c r="G597" s="26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64"/>
      <c r="W597" s="264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33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ht="18.75" customHeight="1">
      <c r="A598" s="203"/>
      <c r="B598" s="1"/>
      <c r="C598" s="263"/>
      <c r="D598" s="1"/>
      <c r="E598" s="1"/>
      <c r="F598" s="1"/>
      <c r="G598" s="26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64"/>
      <c r="W598" s="264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33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ht="18.75" customHeight="1">
      <c r="A599" s="203"/>
      <c r="B599" s="1"/>
      <c r="C599" s="263"/>
      <c r="D599" s="1"/>
      <c r="E599" s="1"/>
      <c r="F599" s="1"/>
      <c r="G599" s="26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64"/>
      <c r="W599" s="264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33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ht="18.75" customHeight="1">
      <c r="A600" s="203"/>
      <c r="B600" s="1"/>
      <c r="C600" s="263"/>
      <c r="D600" s="1"/>
      <c r="E600" s="1"/>
      <c r="F600" s="1"/>
      <c r="G600" s="26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64"/>
      <c r="W600" s="264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33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ht="18.75" customHeight="1">
      <c r="A601" s="203"/>
      <c r="B601" s="1"/>
      <c r="C601" s="263"/>
      <c r="D601" s="1"/>
      <c r="E601" s="1"/>
      <c r="F601" s="1"/>
      <c r="G601" s="26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64"/>
      <c r="W601" s="264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33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ht="18.75" customHeight="1">
      <c r="A602" s="203"/>
      <c r="B602" s="1"/>
      <c r="C602" s="263"/>
      <c r="D602" s="1"/>
      <c r="E602" s="1"/>
      <c r="F602" s="1"/>
      <c r="G602" s="26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64"/>
      <c r="W602" s="264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33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ht="18.75" customHeight="1">
      <c r="A603" s="203"/>
      <c r="B603" s="1"/>
      <c r="C603" s="263"/>
      <c r="D603" s="1"/>
      <c r="E603" s="1"/>
      <c r="F603" s="1"/>
      <c r="G603" s="26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64"/>
      <c r="W603" s="264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33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ht="18.75" customHeight="1">
      <c r="A604" s="203"/>
      <c r="B604" s="1"/>
      <c r="C604" s="263"/>
      <c r="D604" s="1"/>
      <c r="E604" s="1"/>
      <c r="F604" s="1"/>
      <c r="G604" s="26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64"/>
      <c r="W604" s="264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33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ht="18.75" customHeight="1">
      <c r="A605" s="203"/>
      <c r="B605" s="1"/>
      <c r="C605" s="263"/>
      <c r="D605" s="1"/>
      <c r="E605" s="1"/>
      <c r="F605" s="1"/>
      <c r="G605" s="26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64"/>
      <c r="W605" s="264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33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ht="18.75" customHeight="1">
      <c r="A606" s="203"/>
      <c r="B606" s="1"/>
      <c r="C606" s="263"/>
      <c r="D606" s="1"/>
      <c r="E606" s="1"/>
      <c r="F606" s="1"/>
      <c r="G606" s="26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64"/>
      <c r="W606" s="264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33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ht="18.75" customHeight="1">
      <c r="A607" s="203"/>
      <c r="B607" s="1"/>
      <c r="C607" s="263"/>
      <c r="D607" s="1"/>
      <c r="E607" s="1"/>
      <c r="F607" s="1"/>
      <c r="G607" s="26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64"/>
      <c r="W607" s="264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33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ht="18.75" customHeight="1">
      <c r="A608" s="203"/>
      <c r="B608" s="1"/>
      <c r="C608" s="263"/>
      <c r="D608" s="1"/>
      <c r="E608" s="1"/>
      <c r="F608" s="1"/>
      <c r="G608" s="26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64"/>
      <c r="W608" s="264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33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ht="18.75" customHeight="1">
      <c r="A609" s="203"/>
      <c r="B609" s="1"/>
      <c r="C609" s="263"/>
      <c r="D609" s="1"/>
      <c r="E609" s="1"/>
      <c r="F609" s="1"/>
      <c r="G609" s="26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64"/>
      <c r="W609" s="264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33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ht="18.75" customHeight="1">
      <c r="A610" s="203"/>
      <c r="B610" s="1"/>
      <c r="C610" s="263"/>
      <c r="D610" s="1"/>
      <c r="E610" s="1"/>
      <c r="F610" s="1"/>
      <c r="G610" s="26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64"/>
      <c r="W610" s="264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33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ht="18.75" customHeight="1">
      <c r="A611" s="203"/>
      <c r="B611" s="1"/>
      <c r="C611" s="263"/>
      <c r="D611" s="1"/>
      <c r="E611" s="1"/>
      <c r="F611" s="1"/>
      <c r="G611" s="26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64"/>
      <c r="W611" s="264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33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ht="18.75" customHeight="1">
      <c r="A612" s="203"/>
      <c r="B612" s="1"/>
      <c r="C612" s="263"/>
      <c r="D612" s="1"/>
      <c r="E612" s="1"/>
      <c r="F612" s="1"/>
      <c r="G612" s="26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64"/>
      <c r="W612" s="264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33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ht="18.75" customHeight="1">
      <c r="A613" s="203"/>
      <c r="B613" s="1"/>
      <c r="C613" s="263"/>
      <c r="D613" s="1"/>
      <c r="E613" s="1"/>
      <c r="F613" s="1"/>
      <c r="G613" s="26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64"/>
      <c r="W613" s="264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33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ht="18.75" customHeight="1">
      <c r="A614" s="203"/>
      <c r="B614" s="1"/>
      <c r="C614" s="263"/>
      <c r="D614" s="1"/>
      <c r="E614" s="1"/>
      <c r="F614" s="1"/>
      <c r="G614" s="26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64"/>
      <c r="W614" s="264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33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ht="18.75" customHeight="1">
      <c r="A615" s="203"/>
      <c r="B615" s="1"/>
      <c r="C615" s="263"/>
      <c r="D615" s="1"/>
      <c r="E615" s="1"/>
      <c r="F615" s="1"/>
      <c r="G615" s="26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64"/>
      <c r="W615" s="264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33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ht="18.75" customHeight="1">
      <c r="A616" s="203"/>
      <c r="B616" s="1"/>
      <c r="C616" s="263"/>
      <c r="D616" s="1"/>
      <c r="E616" s="1"/>
      <c r="F616" s="1"/>
      <c r="G616" s="26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64"/>
      <c r="W616" s="264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33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ht="18.75" customHeight="1">
      <c r="A617" s="203"/>
      <c r="B617" s="1"/>
      <c r="C617" s="263"/>
      <c r="D617" s="1"/>
      <c r="E617" s="1"/>
      <c r="F617" s="1"/>
      <c r="G617" s="26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64"/>
      <c r="W617" s="264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33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ht="18.75" customHeight="1">
      <c r="A618" s="203"/>
      <c r="B618" s="1"/>
      <c r="C618" s="263"/>
      <c r="D618" s="1"/>
      <c r="E618" s="1"/>
      <c r="F618" s="1"/>
      <c r="G618" s="26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64"/>
      <c r="W618" s="264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33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ht="18.75" customHeight="1">
      <c r="A619" s="203"/>
      <c r="B619" s="1"/>
      <c r="C619" s="263"/>
      <c r="D619" s="1"/>
      <c r="E619" s="1"/>
      <c r="F619" s="1"/>
      <c r="G619" s="26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64"/>
      <c r="W619" s="264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33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ht="18.75" customHeight="1">
      <c r="A620" s="203"/>
      <c r="B620" s="1"/>
      <c r="C620" s="263"/>
      <c r="D620" s="1"/>
      <c r="E620" s="1"/>
      <c r="F620" s="1"/>
      <c r="G620" s="26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64"/>
      <c r="W620" s="264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33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ht="18.75" customHeight="1">
      <c r="A621" s="203"/>
      <c r="B621" s="1"/>
      <c r="C621" s="263"/>
      <c r="D621" s="1"/>
      <c r="E621" s="1"/>
      <c r="F621" s="1"/>
      <c r="G621" s="26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64"/>
      <c r="W621" s="264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33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ht="18.75" customHeight="1">
      <c r="A622" s="203"/>
      <c r="B622" s="1"/>
      <c r="C622" s="263"/>
      <c r="D622" s="1"/>
      <c r="E622" s="1"/>
      <c r="F622" s="1"/>
      <c r="G622" s="26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64"/>
      <c r="W622" s="264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33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ht="18.75" customHeight="1">
      <c r="A623" s="203"/>
      <c r="B623" s="1"/>
      <c r="C623" s="263"/>
      <c r="D623" s="1"/>
      <c r="E623" s="1"/>
      <c r="F623" s="1"/>
      <c r="G623" s="26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64"/>
      <c r="W623" s="264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33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ht="18.75" customHeight="1">
      <c r="A624" s="203"/>
      <c r="B624" s="1"/>
      <c r="C624" s="263"/>
      <c r="D624" s="1"/>
      <c r="E624" s="1"/>
      <c r="F624" s="1"/>
      <c r="G624" s="26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64"/>
      <c r="W624" s="264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33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ht="18.75" customHeight="1">
      <c r="A625" s="203"/>
      <c r="B625" s="1"/>
      <c r="C625" s="263"/>
      <c r="D625" s="1"/>
      <c r="E625" s="1"/>
      <c r="F625" s="1"/>
      <c r="G625" s="26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64"/>
      <c r="W625" s="264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33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ht="18.75" customHeight="1">
      <c r="A626" s="203"/>
      <c r="B626" s="1"/>
      <c r="C626" s="263"/>
      <c r="D626" s="1"/>
      <c r="E626" s="1"/>
      <c r="F626" s="1"/>
      <c r="G626" s="26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64"/>
      <c r="W626" s="264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33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ht="18.75" customHeight="1">
      <c r="A627" s="203"/>
      <c r="B627" s="1"/>
      <c r="C627" s="263"/>
      <c r="D627" s="1"/>
      <c r="E627" s="1"/>
      <c r="F627" s="1"/>
      <c r="G627" s="26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64"/>
      <c r="W627" s="264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33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ht="18.75" customHeight="1">
      <c r="A628" s="203"/>
      <c r="B628" s="1"/>
      <c r="C628" s="263"/>
      <c r="D628" s="1"/>
      <c r="E628" s="1"/>
      <c r="F628" s="1"/>
      <c r="G628" s="26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64"/>
      <c r="W628" s="264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33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ht="18.75" customHeight="1">
      <c r="A629" s="203"/>
      <c r="B629" s="1"/>
      <c r="C629" s="263"/>
      <c r="D629" s="1"/>
      <c r="E629" s="1"/>
      <c r="F629" s="1"/>
      <c r="G629" s="26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64"/>
      <c r="W629" s="264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33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ht="18.75" customHeight="1">
      <c r="A630" s="203"/>
      <c r="B630" s="1"/>
      <c r="C630" s="263"/>
      <c r="D630" s="1"/>
      <c r="E630" s="1"/>
      <c r="F630" s="1"/>
      <c r="G630" s="26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64"/>
      <c r="W630" s="264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33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ht="18.75" customHeight="1">
      <c r="A631" s="203"/>
      <c r="B631" s="1"/>
      <c r="C631" s="263"/>
      <c r="D631" s="1"/>
      <c r="E631" s="1"/>
      <c r="F631" s="1"/>
      <c r="G631" s="26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64"/>
      <c r="W631" s="264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33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ht="18.75" customHeight="1">
      <c r="A632" s="203"/>
      <c r="B632" s="1"/>
      <c r="C632" s="263"/>
      <c r="D632" s="1"/>
      <c r="E632" s="1"/>
      <c r="F632" s="1"/>
      <c r="G632" s="26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64"/>
      <c r="W632" s="264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33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ht="18.75" customHeight="1">
      <c r="A633" s="203"/>
      <c r="B633" s="1"/>
      <c r="C633" s="263"/>
      <c r="D633" s="1"/>
      <c r="E633" s="1"/>
      <c r="F633" s="1"/>
      <c r="G633" s="26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64"/>
      <c r="W633" s="264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33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ht="18.75" customHeight="1">
      <c r="A634" s="203"/>
      <c r="B634" s="1"/>
      <c r="C634" s="263"/>
      <c r="D634" s="1"/>
      <c r="E634" s="1"/>
      <c r="F634" s="1"/>
      <c r="G634" s="26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64"/>
      <c r="W634" s="264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33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ht="18.75" customHeight="1">
      <c r="A635" s="203"/>
      <c r="B635" s="1"/>
      <c r="C635" s="263"/>
      <c r="D635" s="1"/>
      <c r="E635" s="1"/>
      <c r="F635" s="1"/>
      <c r="G635" s="26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64"/>
      <c r="W635" s="264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33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ht="18.75" customHeight="1">
      <c r="A636" s="203"/>
      <c r="B636" s="1"/>
      <c r="C636" s="263"/>
      <c r="D636" s="1"/>
      <c r="E636" s="1"/>
      <c r="F636" s="1"/>
      <c r="G636" s="26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64"/>
      <c r="W636" s="264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33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ht="18.75" customHeight="1">
      <c r="A637" s="203"/>
      <c r="B637" s="1"/>
      <c r="C637" s="263"/>
      <c r="D637" s="1"/>
      <c r="E637" s="1"/>
      <c r="F637" s="1"/>
      <c r="G637" s="26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64"/>
      <c r="W637" s="264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33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ht="18.75" customHeight="1">
      <c r="A638" s="203"/>
      <c r="B638" s="1"/>
      <c r="C638" s="263"/>
      <c r="D638" s="1"/>
      <c r="E638" s="1"/>
      <c r="F638" s="1"/>
      <c r="G638" s="26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64"/>
      <c r="W638" s="264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33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ht="18.75" customHeight="1">
      <c r="A639" s="203"/>
      <c r="B639" s="1"/>
      <c r="C639" s="263"/>
      <c r="D639" s="1"/>
      <c r="E639" s="1"/>
      <c r="F639" s="1"/>
      <c r="G639" s="26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64"/>
      <c r="W639" s="264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33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ht="18.75" customHeight="1">
      <c r="A640" s="203"/>
      <c r="B640" s="1"/>
      <c r="C640" s="263"/>
      <c r="D640" s="1"/>
      <c r="E640" s="1"/>
      <c r="F640" s="1"/>
      <c r="G640" s="26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64"/>
      <c r="W640" s="264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33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ht="18.75" customHeight="1">
      <c r="A641" s="203"/>
      <c r="B641" s="1"/>
      <c r="C641" s="263"/>
      <c r="D641" s="1"/>
      <c r="E641" s="1"/>
      <c r="F641" s="1"/>
      <c r="G641" s="26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64"/>
      <c r="W641" s="264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33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ht="18.75" customHeight="1">
      <c r="A642" s="203"/>
      <c r="B642" s="1"/>
      <c r="C642" s="263"/>
      <c r="D642" s="1"/>
      <c r="E642" s="1"/>
      <c r="F642" s="1"/>
      <c r="G642" s="26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64"/>
      <c r="W642" s="264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33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ht="18.75" customHeight="1">
      <c r="A643" s="203"/>
      <c r="B643" s="1"/>
      <c r="C643" s="263"/>
      <c r="D643" s="1"/>
      <c r="E643" s="1"/>
      <c r="F643" s="1"/>
      <c r="G643" s="26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64"/>
      <c r="W643" s="264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33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ht="18.75" customHeight="1">
      <c r="A644" s="203"/>
      <c r="B644" s="1"/>
      <c r="C644" s="263"/>
      <c r="D644" s="1"/>
      <c r="E644" s="1"/>
      <c r="F644" s="1"/>
      <c r="G644" s="26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64"/>
      <c r="W644" s="264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33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ht="18.75" customHeight="1">
      <c r="A645" s="203"/>
      <c r="B645" s="1"/>
      <c r="C645" s="263"/>
      <c r="D645" s="1"/>
      <c r="E645" s="1"/>
      <c r="F645" s="1"/>
      <c r="G645" s="26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64"/>
      <c r="W645" s="264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33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ht="18.75" customHeight="1">
      <c r="A646" s="203"/>
      <c r="B646" s="1"/>
      <c r="C646" s="263"/>
      <c r="D646" s="1"/>
      <c r="E646" s="1"/>
      <c r="F646" s="1"/>
      <c r="G646" s="26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64"/>
      <c r="W646" s="264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33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ht="18.75" customHeight="1">
      <c r="A647" s="203"/>
      <c r="B647" s="1"/>
      <c r="C647" s="263"/>
      <c r="D647" s="1"/>
      <c r="E647" s="1"/>
      <c r="F647" s="1"/>
      <c r="G647" s="26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64"/>
      <c r="W647" s="264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33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ht="18.75" customHeight="1">
      <c r="A648" s="203"/>
      <c r="B648" s="1"/>
      <c r="C648" s="263"/>
      <c r="D648" s="1"/>
      <c r="E648" s="1"/>
      <c r="F648" s="1"/>
      <c r="G648" s="26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64"/>
      <c r="W648" s="264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33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ht="18.75" customHeight="1">
      <c r="A649" s="203"/>
      <c r="B649" s="1"/>
      <c r="C649" s="263"/>
      <c r="D649" s="1"/>
      <c r="E649" s="1"/>
      <c r="F649" s="1"/>
      <c r="G649" s="26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64"/>
      <c r="W649" s="264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33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ht="18.75" customHeight="1">
      <c r="A650" s="203"/>
      <c r="B650" s="1"/>
      <c r="C650" s="263"/>
      <c r="D650" s="1"/>
      <c r="E650" s="1"/>
      <c r="F650" s="1"/>
      <c r="G650" s="26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64"/>
      <c r="W650" s="264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33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ht="18.75" customHeight="1">
      <c r="A651" s="203"/>
      <c r="B651" s="1"/>
      <c r="C651" s="263"/>
      <c r="D651" s="1"/>
      <c r="E651" s="1"/>
      <c r="F651" s="1"/>
      <c r="G651" s="26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64"/>
      <c r="W651" s="264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33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ht="18.75" customHeight="1">
      <c r="A652" s="203"/>
      <c r="B652" s="1"/>
      <c r="C652" s="263"/>
      <c r="D652" s="1"/>
      <c r="E652" s="1"/>
      <c r="F652" s="1"/>
      <c r="G652" s="26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64"/>
      <c r="W652" s="264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33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ht="18.75" customHeight="1">
      <c r="A653" s="203"/>
      <c r="B653" s="1"/>
      <c r="C653" s="263"/>
      <c r="D653" s="1"/>
      <c r="E653" s="1"/>
      <c r="F653" s="1"/>
      <c r="G653" s="26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64"/>
      <c r="W653" s="264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33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ht="18.75" customHeight="1">
      <c r="A654" s="203"/>
      <c r="B654" s="1"/>
      <c r="C654" s="263"/>
      <c r="D654" s="1"/>
      <c r="E654" s="1"/>
      <c r="F654" s="1"/>
      <c r="G654" s="26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64"/>
      <c r="W654" s="264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33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ht="18.75" customHeight="1">
      <c r="A655" s="203"/>
      <c r="B655" s="1"/>
      <c r="C655" s="263"/>
      <c r="D655" s="1"/>
      <c r="E655" s="1"/>
      <c r="F655" s="1"/>
      <c r="G655" s="26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64"/>
      <c r="W655" s="264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33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ht="18.75" customHeight="1">
      <c r="A656" s="203"/>
      <c r="B656" s="1"/>
      <c r="C656" s="263"/>
      <c r="D656" s="1"/>
      <c r="E656" s="1"/>
      <c r="F656" s="1"/>
      <c r="G656" s="26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64"/>
      <c r="W656" s="264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33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ht="18.75" customHeight="1">
      <c r="A657" s="203"/>
      <c r="B657" s="1"/>
      <c r="C657" s="263"/>
      <c r="D657" s="1"/>
      <c r="E657" s="1"/>
      <c r="F657" s="1"/>
      <c r="G657" s="26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64"/>
      <c r="W657" s="264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33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ht="18.75" customHeight="1">
      <c r="A658" s="203"/>
      <c r="B658" s="1"/>
      <c r="C658" s="263"/>
      <c r="D658" s="1"/>
      <c r="E658" s="1"/>
      <c r="F658" s="1"/>
      <c r="G658" s="26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64"/>
      <c r="W658" s="264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33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ht="18.75" customHeight="1">
      <c r="A659" s="203"/>
      <c r="B659" s="1"/>
      <c r="C659" s="263"/>
      <c r="D659" s="1"/>
      <c r="E659" s="1"/>
      <c r="F659" s="1"/>
      <c r="G659" s="26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64"/>
      <c r="W659" s="264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33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ht="18.75" customHeight="1">
      <c r="A660" s="203"/>
      <c r="B660" s="1"/>
      <c r="C660" s="263"/>
      <c r="D660" s="1"/>
      <c r="E660" s="1"/>
      <c r="F660" s="1"/>
      <c r="G660" s="26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64"/>
      <c r="W660" s="264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33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ht="18.75" customHeight="1">
      <c r="A661" s="203"/>
      <c r="B661" s="1"/>
      <c r="C661" s="263"/>
      <c r="D661" s="1"/>
      <c r="E661" s="1"/>
      <c r="F661" s="1"/>
      <c r="G661" s="26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64"/>
      <c r="W661" s="264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33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ht="18.75" customHeight="1">
      <c r="A662" s="203"/>
      <c r="B662" s="1"/>
      <c r="C662" s="263"/>
      <c r="D662" s="1"/>
      <c r="E662" s="1"/>
      <c r="F662" s="1"/>
      <c r="G662" s="26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64"/>
      <c r="W662" s="264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33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ht="18.75" customHeight="1">
      <c r="A663" s="203"/>
      <c r="B663" s="1"/>
      <c r="C663" s="263"/>
      <c r="D663" s="1"/>
      <c r="E663" s="1"/>
      <c r="F663" s="1"/>
      <c r="G663" s="26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64"/>
      <c r="W663" s="264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33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ht="18.75" customHeight="1">
      <c r="A664" s="203"/>
      <c r="B664" s="1"/>
      <c r="C664" s="263"/>
      <c r="D664" s="1"/>
      <c r="E664" s="1"/>
      <c r="F664" s="1"/>
      <c r="G664" s="26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64"/>
      <c r="W664" s="264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33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ht="18.75" customHeight="1">
      <c r="A665" s="203"/>
      <c r="B665" s="1"/>
      <c r="C665" s="263"/>
      <c r="D665" s="1"/>
      <c r="E665" s="1"/>
      <c r="F665" s="1"/>
      <c r="G665" s="26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64"/>
      <c r="W665" s="264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33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ht="18.75" customHeight="1">
      <c r="A666" s="203"/>
      <c r="B666" s="1"/>
      <c r="C666" s="263"/>
      <c r="D666" s="1"/>
      <c r="E666" s="1"/>
      <c r="F666" s="1"/>
      <c r="G666" s="26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64"/>
      <c r="W666" s="264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33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ht="18.75" customHeight="1">
      <c r="A667" s="203"/>
      <c r="B667" s="1"/>
      <c r="C667" s="263"/>
      <c r="D667" s="1"/>
      <c r="E667" s="1"/>
      <c r="F667" s="1"/>
      <c r="G667" s="26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64"/>
      <c r="W667" s="264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33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ht="18.75" customHeight="1">
      <c r="A668" s="203"/>
      <c r="B668" s="1"/>
      <c r="C668" s="263"/>
      <c r="D668" s="1"/>
      <c r="E668" s="1"/>
      <c r="F668" s="1"/>
      <c r="G668" s="26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64"/>
      <c r="W668" s="264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33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ht="18.75" customHeight="1">
      <c r="A669" s="203"/>
      <c r="B669" s="1"/>
      <c r="C669" s="263"/>
      <c r="D669" s="1"/>
      <c r="E669" s="1"/>
      <c r="F669" s="1"/>
      <c r="G669" s="26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64"/>
      <c r="W669" s="264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33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ht="18.75" customHeight="1">
      <c r="A670" s="203"/>
      <c r="B670" s="1"/>
      <c r="C670" s="263"/>
      <c r="D670" s="1"/>
      <c r="E670" s="1"/>
      <c r="F670" s="1"/>
      <c r="G670" s="26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64"/>
      <c r="W670" s="264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33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ht="18.75" customHeight="1">
      <c r="A671" s="203"/>
      <c r="B671" s="1"/>
      <c r="C671" s="263"/>
      <c r="D671" s="1"/>
      <c r="E671" s="1"/>
      <c r="F671" s="1"/>
      <c r="G671" s="26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64"/>
      <c r="W671" s="264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33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ht="18.75" customHeight="1">
      <c r="A672" s="203"/>
      <c r="B672" s="1"/>
      <c r="C672" s="263"/>
      <c r="D672" s="1"/>
      <c r="E672" s="1"/>
      <c r="F672" s="1"/>
      <c r="G672" s="26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64"/>
      <c r="W672" s="264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33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ht="18.75" customHeight="1">
      <c r="A673" s="203"/>
      <c r="B673" s="1"/>
      <c r="C673" s="263"/>
      <c r="D673" s="1"/>
      <c r="E673" s="1"/>
      <c r="F673" s="1"/>
      <c r="G673" s="26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64"/>
      <c r="W673" s="264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33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ht="18.75" customHeight="1">
      <c r="A674" s="203"/>
      <c r="B674" s="1"/>
      <c r="C674" s="263"/>
      <c r="D674" s="1"/>
      <c r="E674" s="1"/>
      <c r="F674" s="1"/>
      <c r="G674" s="26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64"/>
      <c r="W674" s="264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33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ht="18.75" customHeight="1">
      <c r="A675" s="203"/>
      <c r="B675" s="1"/>
      <c r="C675" s="263"/>
      <c r="D675" s="1"/>
      <c r="E675" s="1"/>
      <c r="F675" s="1"/>
      <c r="G675" s="26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64"/>
      <c r="W675" s="264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33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ht="18.75" customHeight="1">
      <c r="A676" s="203"/>
      <c r="B676" s="1"/>
      <c r="C676" s="263"/>
      <c r="D676" s="1"/>
      <c r="E676" s="1"/>
      <c r="F676" s="1"/>
      <c r="G676" s="26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64"/>
      <c r="W676" s="264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33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ht="18.75" customHeight="1">
      <c r="A677" s="203"/>
      <c r="B677" s="1"/>
      <c r="C677" s="263"/>
      <c r="D677" s="1"/>
      <c r="E677" s="1"/>
      <c r="F677" s="1"/>
      <c r="G677" s="26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64"/>
      <c r="W677" s="264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33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ht="18.75" customHeight="1">
      <c r="A678" s="203"/>
      <c r="B678" s="1"/>
      <c r="C678" s="263"/>
      <c r="D678" s="1"/>
      <c r="E678" s="1"/>
      <c r="F678" s="1"/>
      <c r="G678" s="26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64"/>
      <c r="W678" s="264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33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ht="18.75" customHeight="1">
      <c r="A679" s="203"/>
      <c r="B679" s="1"/>
      <c r="C679" s="263"/>
      <c r="D679" s="1"/>
      <c r="E679" s="1"/>
      <c r="F679" s="1"/>
      <c r="G679" s="26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64"/>
      <c r="W679" s="264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33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ht="18.75" customHeight="1">
      <c r="A680" s="203"/>
      <c r="B680" s="1"/>
      <c r="C680" s="263"/>
      <c r="D680" s="1"/>
      <c r="E680" s="1"/>
      <c r="F680" s="1"/>
      <c r="G680" s="26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64"/>
      <c r="W680" s="264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33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ht="18.75" customHeight="1">
      <c r="A681" s="203"/>
      <c r="B681" s="1"/>
      <c r="C681" s="263"/>
      <c r="D681" s="1"/>
      <c r="E681" s="1"/>
      <c r="F681" s="1"/>
      <c r="G681" s="26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64"/>
      <c r="W681" s="264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33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ht="18.75" customHeight="1">
      <c r="A682" s="203"/>
      <c r="B682" s="1"/>
      <c r="C682" s="263"/>
      <c r="D682" s="1"/>
      <c r="E682" s="1"/>
      <c r="F682" s="1"/>
      <c r="G682" s="26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64"/>
      <c r="W682" s="264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33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ht="18.75" customHeight="1">
      <c r="A683" s="203"/>
      <c r="B683" s="1"/>
      <c r="C683" s="263"/>
      <c r="D683" s="1"/>
      <c r="E683" s="1"/>
      <c r="F683" s="1"/>
      <c r="G683" s="26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64"/>
      <c r="W683" s="264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33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ht="18.75" customHeight="1">
      <c r="A684" s="203"/>
      <c r="B684" s="1"/>
      <c r="C684" s="263"/>
      <c r="D684" s="1"/>
      <c r="E684" s="1"/>
      <c r="F684" s="1"/>
      <c r="G684" s="26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64"/>
      <c r="W684" s="264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33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ht="18.75" customHeight="1">
      <c r="A685" s="203"/>
      <c r="B685" s="1"/>
      <c r="C685" s="263"/>
      <c r="D685" s="1"/>
      <c r="E685" s="1"/>
      <c r="F685" s="1"/>
      <c r="G685" s="26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64"/>
      <c r="W685" s="264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33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ht="18.75" customHeight="1">
      <c r="A686" s="203"/>
      <c r="B686" s="1"/>
      <c r="C686" s="263"/>
      <c r="D686" s="1"/>
      <c r="E686" s="1"/>
      <c r="F686" s="1"/>
      <c r="G686" s="26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64"/>
      <c r="W686" s="264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33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ht="18.75" customHeight="1">
      <c r="A687" s="203"/>
      <c r="B687" s="1"/>
      <c r="C687" s="263"/>
      <c r="D687" s="1"/>
      <c r="E687" s="1"/>
      <c r="F687" s="1"/>
      <c r="G687" s="26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64"/>
      <c r="W687" s="264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33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ht="18.75" customHeight="1">
      <c r="A688" s="203"/>
      <c r="B688" s="1"/>
      <c r="C688" s="263"/>
      <c r="D688" s="1"/>
      <c r="E688" s="1"/>
      <c r="F688" s="1"/>
      <c r="G688" s="26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64"/>
      <c r="W688" s="264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33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ht="18.75" customHeight="1">
      <c r="A689" s="203"/>
      <c r="B689" s="1"/>
      <c r="C689" s="263"/>
      <c r="D689" s="1"/>
      <c r="E689" s="1"/>
      <c r="F689" s="1"/>
      <c r="G689" s="26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64"/>
      <c r="W689" s="264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33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ht="18.75" customHeight="1">
      <c r="A690" s="203"/>
      <c r="B690" s="1"/>
      <c r="C690" s="263"/>
      <c r="D690" s="1"/>
      <c r="E690" s="1"/>
      <c r="F690" s="1"/>
      <c r="G690" s="26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64"/>
      <c r="W690" s="264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33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ht="18.75" customHeight="1">
      <c r="A691" s="203"/>
      <c r="B691" s="1"/>
      <c r="C691" s="263"/>
      <c r="D691" s="1"/>
      <c r="E691" s="1"/>
      <c r="F691" s="1"/>
      <c r="G691" s="26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64"/>
      <c r="W691" s="264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33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ht="18.75" customHeight="1">
      <c r="A692" s="203"/>
      <c r="B692" s="1"/>
      <c r="C692" s="263"/>
      <c r="D692" s="1"/>
      <c r="E692" s="1"/>
      <c r="F692" s="1"/>
      <c r="G692" s="26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64"/>
      <c r="W692" s="264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33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ht="18.75" customHeight="1">
      <c r="A693" s="203"/>
      <c r="B693" s="1"/>
      <c r="C693" s="263"/>
      <c r="D693" s="1"/>
      <c r="E693" s="1"/>
      <c r="F693" s="1"/>
      <c r="G693" s="26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64"/>
      <c r="W693" s="264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33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ht="18.75" customHeight="1">
      <c r="A694" s="203"/>
      <c r="B694" s="1"/>
      <c r="C694" s="263"/>
      <c r="D694" s="1"/>
      <c r="E694" s="1"/>
      <c r="F694" s="1"/>
      <c r="G694" s="26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64"/>
      <c r="W694" s="264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33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ht="18.75" customHeight="1">
      <c r="A695" s="203"/>
      <c r="B695" s="1"/>
      <c r="C695" s="263"/>
      <c r="D695" s="1"/>
      <c r="E695" s="1"/>
      <c r="F695" s="1"/>
      <c r="G695" s="26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64"/>
      <c r="W695" s="264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33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ht="18.75" customHeight="1">
      <c r="A696" s="203"/>
      <c r="B696" s="1"/>
      <c r="C696" s="263"/>
      <c r="D696" s="1"/>
      <c r="E696" s="1"/>
      <c r="F696" s="1"/>
      <c r="G696" s="26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64"/>
      <c r="W696" s="264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33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ht="18.75" customHeight="1">
      <c r="A697" s="203"/>
      <c r="B697" s="1"/>
      <c r="C697" s="263"/>
      <c r="D697" s="1"/>
      <c r="E697" s="1"/>
      <c r="F697" s="1"/>
      <c r="G697" s="26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64"/>
      <c r="W697" s="264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33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ht="18.75" customHeight="1">
      <c r="A698" s="203"/>
      <c r="B698" s="1"/>
      <c r="C698" s="263"/>
      <c r="D698" s="1"/>
      <c r="E698" s="1"/>
      <c r="F698" s="1"/>
      <c r="G698" s="26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64"/>
      <c r="W698" s="264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33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ht="18.75" customHeight="1">
      <c r="A699" s="203"/>
      <c r="B699" s="1"/>
      <c r="C699" s="263"/>
      <c r="D699" s="1"/>
      <c r="E699" s="1"/>
      <c r="F699" s="1"/>
      <c r="G699" s="26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64"/>
      <c r="W699" s="264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33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ht="18.75" customHeight="1">
      <c r="A700" s="203"/>
      <c r="B700" s="1"/>
      <c r="C700" s="263"/>
      <c r="D700" s="1"/>
      <c r="E700" s="1"/>
      <c r="F700" s="1"/>
      <c r="G700" s="26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64"/>
      <c r="W700" s="264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33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ht="18.75" customHeight="1">
      <c r="A701" s="203"/>
      <c r="B701" s="1"/>
      <c r="C701" s="263"/>
      <c r="D701" s="1"/>
      <c r="E701" s="1"/>
      <c r="F701" s="1"/>
      <c r="G701" s="26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64"/>
      <c r="W701" s="264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33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ht="18.75" customHeight="1">
      <c r="A702" s="203"/>
      <c r="B702" s="1"/>
      <c r="C702" s="263"/>
      <c r="D702" s="1"/>
      <c r="E702" s="1"/>
      <c r="F702" s="1"/>
      <c r="G702" s="26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64"/>
      <c r="W702" s="264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33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ht="18.75" customHeight="1">
      <c r="A703" s="203"/>
      <c r="B703" s="1"/>
      <c r="C703" s="263"/>
      <c r="D703" s="1"/>
      <c r="E703" s="1"/>
      <c r="F703" s="1"/>
      <c r="G703" s="26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64"/>
      <c r="W703" s="264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33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ht="18.75" customHeight="1">
      <c r="A704" s="203"/>
      <c r="B704" s="1"/>
      <c r="C704" s="263"/>
      <c r="D704" s="1"/>
      <c r="E704" s="1"/>
      <c r="F704" s="1"/>
      <c r="G704" s="26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64"/>
      <c r="W704" s="264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33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ht="18.75" customHeight="1">
      <c r="A705" s="203"/>
      <c r="B705" s="1"/>
      <c r="C705" s="263"/>
      <c r="D705" s="1"/>
      <c r="E705" s="1"/>
      <c r="F705" s="1"/>
      <c r="G705" s="26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64"/>
      <c r="W705" s="264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33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ht="18.75" customHeight="1">
      <c r="A706" s="203"/>
      <c r="B706" s="1"/>
      <c r="C706" s="263"/>
      <c r="D706" s="1"/>
      <c r="E706" s="1"/>
      <c r="F706" s="1"/>
      <c r="G706" s="26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64"/>
      <c r="W706" s="264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33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ht="18.75" customHeight="1">
      <c r="A707" s="203"/>
      <c r="B707" s="1"/>
      <c r="C707" s="263"/>
      <c r="D707" s="1"/>
      <c r="E707" s="1"/>
      <c r="F707" s="1"/>
      <c r="G707" s="26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64"/>
      <c r="W707" s="264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33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ht="18.75" customHeight="1">
      <c r="A708" s="203"/>
      <c r="B708" s="1"/>
      <c r="C708" s="263"/>
      <c r="D708" s="1"/>
      <c r="E708" s="1"/>
      <c r="F708" s="1"/>
      <c r="G708" s="26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64"/>
      <c r="W708" s="264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33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ht="18.75" customHeight="1">
      <c r="A709" s="203"/>
      <c r="B709" s="1"/>
      <c r="C709" s="263"/>
      <c r="D709" s="1"/>
      <c r="E709" s="1"/>
      <c r="F709" s="1"/>
      <c r="G709" s="26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64"/>
      <c r="W709" s="264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33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ht="18.75" customHeight="1">
      <c r="A710" s="203"/>
      <c r="B710" s="1"/>
      <c r="C710" s="263"/>
      <c r="D710" s="1"/>
      <c r="E710" s="1"/>
      <c r="F710" s="1"/>
      <c r="G710" s="26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64"/>
      <c r="W710" s="264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33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ht="18.75" customHeight="1">
      <c r="A711" s="203"/>
      <c r="B711" s="1"/>
      <c r="C711" s="263"/>
      <c r="D711" s="1"/>
      <c r="E711" s="1"/>
      <c r="F711" s="1"/>
      <c r="G711" s="26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64"/>
      <c r="W711" s="264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33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ht="18.75" customHeight="1">
      <c r="A712" s="203"/>
      <c r="B712" s="1"/>
      <c r="C712" s="263"/>
      <c r="D712" s="1"/>
      <c r="E712" s="1"/>
      <c r="F712" s="1"/>
      <c r="G712" s="26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64"/>
      <c r="W712" s="264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33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ht="18.75" customHeight="1">
      <c r="A713" s="203"/>
      <c r="B713" s="1"/>
      <c r="C713" s="263"/>
      <c r="D713" s="1"/>
      <c r="E713" s="1"/>
      <c r="F713" s="1"/>
      <c r="G713" s="26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64"/>
      <c r="W713" s="264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33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ht="18.75" customHeight="1">
      <c r="A714" s="203"/>
      <c r="B714" s="1"/>
      <c r="C714" s="263"/>
      <c r="D714" s="1"/>
      <c r="E714" s="1"/>
      <c r="F714" s="1"/>
      <c r="G714" s="26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64"/>
      <c r="W714" s="264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33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ht="18.75" customHeight="1">
      <c r="A715" s="203"/>
      <c r="B715" s="1"/>
      <c r="C715" s="263"/>
      <c r="D715" s="1"/>
      <c r="E715" s="1"/>
      <c r="F715" s="1"/>
      <c r="G715" s="26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64"/>
      <c r="W715" s="264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33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ht="18.75" customHeight="1">
      <c r="A716" s="203"/>
      <c r="B716" s="1"/>
      <c r="C716" s="263"/>
      <c r="D716" s="1"/>
      <c r="E716" s="1"/>
      <c r="F716" s="1"/>
      <c r="G716" s="26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64"/>
      <c r="W716" s="264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33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ht="18.75" customHeight="1">
      <c r="A717" s="203"/>
      <c r="B717" s="1"/>
      <c r="C717" s="263"/>
      <c r="D717" s="1"/>
      <c r="E717" s="1"/>
      <c r="F717" s="1"/>
      <c r="G717" s="26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64"/>
      <c r="W717" s="264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33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ht="18.75" customHeight="1">
      <c r="A718" s="203"/>
      <c r="B718" s="1"/>
      <c r="C718" s="263"/>
      <c r="D718" s="1"/>
      <c r="E718" s="1"/>
      <c r="F718" s="1"/>
      <c r="G718" s="26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64"/>
      <c r="W718" s="264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33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ht="18.75" customHeight="1">
      <c r="A719" s="203"/>
      <c r="B719" s="1"/>
      <c r="C719" s="263"/>
      <c r="D719" s="1"/>
      <c r="E719" s="1"/>
      <c r="F719" s="1"/>
      <c r="G719" s="26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64"/>
      <c r="W719" s="264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33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ht="18.75" customHeight="1">
      <c r="A720" s="203"/>
      <c r="B720" s="1"/>
      <c r="C720" s="263"/>
      <c r="D720" s="1"/>
      <c r="E720" s="1"/>
      <c r="F720" s="1"/>
      <c r="G720" s="26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64"/>
      <c r="W720" s="264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33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ht="18.75" customHeight="1">
      <c r="A721" s="203"/>
      <c r="B721" s="1"/>
      <c r="C721" s="263"/>
      <c r="D721" s="1"/>
      <c r="E721" s="1"/>
      <c r="F721" s="1"/>
      <c r="G721" s="26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64"/>
      <c r="W721" s="264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33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ht="18.75" customHeight="1">
      <c r="A722" s="203"/>
      <c r="B722" s="1"/>
      <c r="C722" s="263"/>
      <c r="D722" s="1"/>
      <c r="E722" s="1"/>
      <c r="F722" s="1"/>
      <c r="G722" s="26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64"/>
      <c r="W722" s="264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33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ht="18.75" customHeight="1">
      <c r="A723" s="203"/>
      <c r="B723" s="1"/>
      <c r="C723" s="263"/>
      <c r="D723" s="1"/>
      <c r="E723" s="1"/>
      <c r="F723" s="1"/>
      <c r="G723" s="26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64"/>
      <c r="W723" s="264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33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ht="18.75" customHeight="1">
      <c r="A724" s="203"/>
      <c r="B724" s="1"/>
      <c r="C724" s="263"/>
      <c r="D724" s="1"/>
      <c r="E724" s="1"/>
      <c r="F724" s="1"/>
      <c r="G724" s="26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64"/>
      <c r="W724" s="264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33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ht="18.75" customHeight="1">
      <c r="A725" s="203"/>
      <c r="B725" s="1"/>
      <c r="C725" s="263"/>
      <c r="D725" s="1"/>
      <c r="E725" s="1"/>
      <c r="F725" s="1"/>
      <c r="G725" s="26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64"/>
      <c r="W725" s="264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33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ht="18.75" customHeight="1">
      <c r="A726" s="203"/>
      <c r="B726" s="1"/>
      <c r="C726" s="263"/>
      <c r="D726" s="1"/>
      <c r="E726" s="1"/>
      <c r="F726" s="1"/>
      <c r="G726" s="26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64"/>
      <c r="W726" s="264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33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ht="18.75" customHeight="1">
      <c r="A727" s="203"/>
      <c r="B727" s="1"/>
      <c r="C727" s="263"/>
      <c r="D727" s="1"/>
      <c r="E727" s="1"/>
      <c r="F727" s="1"/>
      <c r="G727" s="26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64"/>
      <c r="W727" s="264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33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ht="18.75" customHeight="1">
      <c r="A728" s="203"/>
      <c r="B728" s="1"/>
      <c r="C728" s="263"/>
      <c r="D728" s="1"/>
      <c r="E728" s="1"/>
      <c r="F728" s="1"/>
      <c r="G728" s="26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64"/>
      <c r="W728" s="264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33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ht="18.75" customHeight="1">
      <c r="A729" s="203"/>
      <c r="B729" s="1"/>
      <c r="C729" s="263"/>
      <c r="D729" s="1"/>
      <c r="E729" s="1"/>
      <c r="F729" s="1"/>
      <c r="G729" s="26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64"/>
      <c r="W729" s="264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33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ht="18.75" customHeight="1">
      <c r="A730" s="203"/>
      <c r="B730" s="1"/>
      <c r="C730" s="263"/>
      <c r="D730" s="1"/>
      <c r="E730" s="1"/>
      <c r="F730" s="1"/>
      <c r="G730" s="26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64"/>
      <c r="W730" s="264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33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ht="18.75" customHeight="1">
      <c r="A731" s="203"/>
      <c r="B731" s="1"/>
      <c r="C731" s="263"/>
      <c r="D731" s="1"/>
      <c r="E731" s="1"/>
      <c r="F731" s="1"/>
      <c r="G731" s="26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64"/>
      <c r="W731" s="264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33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ht="18.75" customHeight="1">
      <c r="A732" s="203"/>
      <c r="B732" s="1"/>
      <c r="C732" s="263"/>
      <c r="D732" s="1"/>
      <c r="E732" s="1"/>
      <c r="F732" s="1"/>
      <c r="G732" s="26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64"/>
      <c r="W732" s="264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33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ht="18.75" customHeight="1">
      <c r="A733" s="203"/>
      <c r="B733" s="1"/>
      <c r="C733" s="263"/>
      <c r="D733" s="1"/>
      <c r="E733" s="1"/>
      <c r="F733" s="1"/>
      <c r="G733" s="26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64"/>
      <c r="W733" s="264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33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ht="18.75" customHeight="1">
      <c r="A734" s="203"/>
      <c r="B734" s="1"/>
      <c r="C734" s="263"/>
      <c r="D734" s="1"/>
      <c r="E734" s="1"/>
      <c r="F734" s="1"/>
      <c r="G734" s="26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64"/>
      <c r="W734" s="264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33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ht="18.75" customHeight="1">
      <c r="A735" s="203"/>
      <c r="B735" s="1"/>
      <c r="C735" s="263"/>
      <c r="D735" s="1"/>
      <c r="E735" s="1"/>
      <c r="F735" s="1"/>
      <c r="G735" s="26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64"/>
      <c r="W735" s="264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33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ht="18.75" customHeight="1">
      <c r="A736" s="203"/>
      <c r="B736" s="1"/>
      <c r="C736" s="263"/>
      <c r="D736" s="1"/>
      <c r="E736" s="1"/>
      <c r="F736" s="1"/>
      <c r="G736" s="26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64"/>
      <c r="W736" s="264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33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ht="18.75" customHeight="1">
      <c r="A737" s="203"/>
      <c r="B737" s="1"/>
      <c r="C737" s="263"/>
      <c r="D737" s="1"/>
      <c r="E737" s="1"/>
      <c r="F737" s="1"/>
      <c r="G737" s="26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64"/>
      <c r="W737" s="264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33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ht="18.75" customHeight="1">
      <c r="A738" s="203"/>
      <c r="B738" s="1"/>
      <c r="C738" s="263"/>
      <c r="D738" s="1"/>
      <c r="E738" s="1"/>
      <c r="F738" s="1"/>
      <c r="G738" s="26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64"/>
      <c r="W738" s="264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33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ht="18.75" customHeight="1">
      <c r="A739" s="203"/>
      <c r="B739" s="1"/>
      <c r="C739" s="263"/>
      <c r="D739" s="1"/>
      <c r="E739" s="1"/>
      <c r="F739" s="1"/>
      <c r="G739" s="26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64"/>
      <c r="W739" s="264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33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ht="18.75" customHeight="1">
      <c r="A740" s="203"/>
      <c r="B740" s="1"/>
      <c r="C740" s="263"/>
      <c r="D740" s="1"/>
      <c r="E740" s="1"/>
      <c r="F740" s="1"/>
      <c r="G740" s="26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64"/>
      <c r="W740" s="264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33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ht="18.75" customHeight="1">
      <c r="A741" s="203"/>
      <c r="B741" s="1"/>
      <c r="C741" s="263"/>
      <c r="D741" s="1"/>
      <c r="E741" s="1"/>
      <c r="F741" s="1"/>
      <c r="G741" s="26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64"/>
      <c r="W741" s="264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33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ht="18.75" customHeight="1">
      <c r="A742" s="203"/>
      <c r="B742" s="1"/>
      <c r="C742" s="263"/>
      <c r="D742" s="1"/>
      <c r="E742" s="1"/>
      <c r="F742" s="1"/>
      <c r="G742" s="26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64"/>
      <c r="W742" s="264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33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ht="18.75" customHeight="1">
      <c r="A743" s="203"/>
      <c r="B743" s="1"/>
      <c r="C743" s="263"/>
      <c r="D743" s="1"/>
      <c r="E743" s="1"/>
      <c r="F743" s="1"/>
      <c r="G743" s="26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64"/>
      <c r="W743" s="264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33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ht="18.75" customHeight="1">
      <c r="A744" s="203"/>
      <c r="B744" s="1"/>
      <c r="C744" s="263"/>
      <c r="D744" s="1"/>
      <c r="E744" s="1"/>
      <c r="F744" s="1"/>
      <c r="G744" s="26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64"/>
      <c r="W744" s="264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33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ht="18.75" customHeight="1">
      <c r="A745" s="203"/>
      <c r="B745" s="1"/>
      <c r="C745" s="263"/>
      <c r="D745" s="1"/>
      <c r="E745" s="1"/>
      <c r="F745" s="1"/>
      <c r="G745" s="26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64"/>
      <c r="W745" s="264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33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ht="18.75" customHeight="1">
      <c r="A746" s="203"/>
      <c r="B746" s="1"/>
      <c r="C746" s="263"/>
      <c r="D746" s="1"/>
      <c r="E746" s="1"/>
      <c r="F746" s="1"/>
      <c r="G746" s="26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64"/>
      <c r="W746" s="264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33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ht="18.75" customHeight="1">
      <c r="A747" s="203"/>
      <c r="B747" s="1"/>
      <c r="C747" s="263"/>
      <c r="D747" s="1"/>
      <c r="E747" s="1"/>
      <c r="F747" s="1"/>
      <c r="G747" s="26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64"/>
      <c r="W747" s="264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33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ht="18.75" customHeight="1">
      <c r="A748" s="203"/>
      <c r="B748" s="1"/>
      <c r="C748" s="263"/>
      <c r="D748" s="1"/>
      <c r="E748" s="1"/>
      <c r="F748" s="1"/>
      <c r="G748" s="26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64"/>
      <c r="W748" s="264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33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ht="18.75" customHeight="1">
      <c r="A749" s="203"/>
      <c r="B749" s="1"/>
      <c r="C749" s="263"/>
      <c r="D749" s="1"/>
      <c r="E749" s="1"/>
      <c r="F749" s="1"/>
      <c r="G749" s="26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64"/>
      <c r="W749" s="264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33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ht="18.75" customHeight="1">
      <c r="A750" s="203"/>
      <c r="B750" s="1"/>
      <c r="C750" s="263"/>
      <c r="D750" s="1"/>
      <c r="E750" s="1"/>
      <c r="F750" s="1"/>
      <c r="G750" s="26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64"/>
      <c r="W750" s="264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33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ht="18.75" customHeight="1">
      <c r="A751" s="203"/>
      <c r="B751" s="1"/>
      <c r="C751" s="263"/>
      <c r="D751" s="1"/>
      <c r="E751" s="1"/>
      <c r="F751" s="1"/>
      <c r="G751" s="26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64"/>
      <c r="W751" s="264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33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ht="18.75" customHeight="1">
      <c r="A752" s="203"/>
      <c r="B752" s="1"/>
      <c r="C752" s="263"/>
      <c r="D752" s="1"/>
      <c r="E752" s="1"/>
      <c r="F752" s="1"/>
      <c r="G752" s="26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64"/>
      <c r="W752" s="264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33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ht="18.75" customHeight="1">
      <c r="A753" s="203"/>
      <c r="B753" s="1"/>
      <c r="C753" s="263"/>
      <c r="D753" s="1"/>
      <c r="E753" s="1"/>
      <c r="F753" s="1"/>
      <c r="G753" s="26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64"/>
      <c r="W753" s="264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33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ht="18.75" customHeight="1">
      <c r="A754" s="203"/>
      <c r="B754" s="1"/>
      <c r="C754" s="263"/>
      <c r="D754" s="1"/>
      <c r="E754" s="1"/>
      <c r="F754" s="1"/>
      <c r="G754" s="26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64"/>
      <c r="W754" s="264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33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ht="18.75" customHeight="1">
      <c r="A755" s="203"/>
      <c r="B755" s="1"/>
      <c r="C755" s="263"/>
      <c r="D755" s="1"/>
      <c r="E755" s="1"/>
      <c r="F755" s="1"/>
      <c r="G755" s="26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64"/>
      <c r="W755" s="264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33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ht="18.75" customHeight="1">
      <c r="A756" s="203"/>
      <c r="B756" s="1"/>
      <c r="C756" s="263"/>
      <c r="D756" s="1"/>
      <c r="E756" s="1"/>
      <c r="F756" s="1"/>
      <c r="G756" s="26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64"/>
      <c r="W756" s="264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33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ht="18.75" customHeight="1">
      <c r="A757" s="203"/>
      <c r="B757" s="1"/>
      <c r="C757" s="263"/>
      <c r="D757" s="1"/>
      <c r="E757" s="1"/>
      <c r="F757" s="1"/>
      <c r="G757" s="26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64"/>
      <c r="W757" s="264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33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ht="18.75" customHeight="1">
      <c r="A758" s="203"/>
      <c r="B758" s="1"/>
      <c r="C758" s="263"/>
      <c r="D758" s="1"/>
      <c r="E758" s="1"/>
      <c r="F758" s="1"/>
      <c r="G758" s="26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64"/>
      <c r="W758" s="264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33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ht="18.75" customHeight="1">
      <c r="A759" s="203"/>
      <c r="B759" s="1"/>
      <c r="C759" s="263"/>
      <c r="D759" s="1"/>
      <c r="E759" s="1"/>
      <c r="F759" s="1"/>
      <c r="G759" s="26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64"/>
      <c r="W759" s="264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33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ht="18.75" customHeight="1">
      <c r="A760" s="203"/>
      <c r="B760" s="1"/>
      <c r="C760" s="263"/>
      <c r="D760" s="1"/>
      <c r="E760" s="1"/>
      <c r="F760" s="1"/>
      <c r="G760" s="26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64"/>
      <c r="W760" s="264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33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ht="18.75" customHeight="1">
      <c r="A761" s="203"/>
      <c r="B761" s="1"/>
      <c r="C761" s="263"/>
      <c r="D761" s="1"/>
      <c r="E761" s="1"/>
      <c r="F761" s="1"/>
      <c r="G761" s="26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64"/>
      <c r="W761" s="264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33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ht="18.75" customHeight="1">
      <c r="A762" s="203"/>
      <c r="B762" s="1"/>
      <c r="C762" s="263"/>
      <c r="D762" s="1"/>
      <c r="E762" s="1"/>
      <c r="F762" s="1"/>
      <c r="G762" s="26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64"/>
      <c r="W762" s="264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33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ht="18.75" customHeight="1">
      <c r="A763" s="203"/>
      <c r="B763" s="1"/>
      <c r="C763" s="263"/>
      <c r="D763" s="1"/>
      <c r="E763" s="1"/>
      <c r="F763" s="1"/>
      <c r="G763" s="26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64"/>
      <c r="W763" s="264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33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ht="18.75" customHeight="1">
      <c r="A764" s="203"/>
      <c r="B764" s="1"/>
      <c r="C764" s="263"/>
      <c r="D764" s="1"/>
      <c r="E764" s="1"/>
      <c r="F764" s="1"/>
      <c r="G764" s="26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64"/>
      <c r="W764" s="264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33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ht="18.75" customHeight="1">
      <c r="A765" s="203"/>
      <c r="B765" s="1"/>
      <c r="C765" s="263"/>
      <c r="D765" s="1"/>
      <c r="E765" s="1"/>
      <c r="F765" s="1"/>
      <c r="G765" s="26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64"/>
      <c r="W765" s="264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33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ht="18.75" customHeight="1">
      <c r="A766" s="203"/>
      <c r="B766" s="1"/>
      <c r="C766" s="263"/>
      <c r="D766" s="1"/>
      <c r="E766" s="1"/>
      <c r="F766" s="1"/>
      <c r="G766" s="26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64"/>
      <c r="W766" s="264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33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ht="18.75" customHeight="1">
      <c r="A767" s="203"/>
      <c r="B767" s="1"/>
      <c r="C767" s="263"/>
      <c r="D767" s="1"/>
      <c r="E767" s="1"/>
      <c r="F767" s="1"/>
      <c r="G767" s="26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64"/>
      <c r="W767" s="264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33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ht="18.75" customHeight="1">
      <c r="A768" s="203"/>
      <c r="B768" s="1"/>
      <c r="C768" s="263"/>
      <c r="D768" s="1"/>
      <c r="E768" s="1"/>
      <c r="F768" s="1"/>
      <c r="G768" s="26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64"/>
      <c r="W768" s="264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33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ht="18.75" customHeight="1">
      <c r="A769" s="203"/>
      <c r="B769" s="1"/>
      <c r="C769" s="263"/>
      <c r="D769" s="1"/>
      <c r="E769" s="1"/>
      <c r="F769" s="1"/>
      <c r="G769" s="26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64"/>
      <c r="W769" s="264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33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ht="18.75" customHeight="1">
      <c r="A770" s="203"/>
      <c r="B770" s="1"/>
      <c r="C770" s="263"/>
      <c r="D770" s="1"/>
      <c r="E770" s="1"/>
      <c r="F770" s="1"/>
      <c r="G770" s="26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64"/>
      <c r="W770" s="264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33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ht="18.75" customHeight="1">
      <c r="A771" s="203"/>
      <c r="B771" s="1"/>
      <c r="C771" s="263"/>
      <c r="D771" s="1"/>
      <c r="E771" s="1"/>
      <c r="F771" s="1"/>
      <c r="G771" s="26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64"/>
      <c r="W771" s="264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33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ht="18.75" customHeight="1">
      <c r="A772" s="203"/>
      <c r="B772" s="1"/>
      <c r="C772" s="263"/>
      <c r="D772" s="1"/>
      <c r="E772" s="1"/>
      <c r="F772" s="1"/>
      <c r="G772" s="26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64"/>
      <c r="W772" s="264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33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ht="18.75" customHeight="1">
      <c r="A773" s="203"/>
      <c r="B773" s="1"/>
      <c r="C773" s="263"/>
      <c r="D773" s="1"/>
      <c r="E773" s="1"/>
      <c r="F773" s="1"/>
      <c r="G773" s="26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64"/>
      <c r="W773" s="264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33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ht="18.75" customHeight="1">
      <c r="A774" s="203"/>
      <c r="B774" s="1"/>
      <c r="C774" s="263"/>
      <c r="D774" s="1"/>
      <c r="E774" s="1"/>
      <c r="F774" s="1"/>
      <c r="G774" s="26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64"/>
      <c r="W774" s="264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33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ht="18.75" customHeight="1">
      <c r="A775" s="203"/>
      <c r="B775" s="1"/>
      <c r="C775" s="263"/>
      <c r="D775" s="1"/>
      <c r="E775" s="1"/>
      <c r="F775" s="1"/>
      <c r="G775" s="26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64"/>
      <c r="W775" s="264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33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ht="18.75" customHeight="1">
      <c r="A776" s="203"/>
      <c r="B776" s="1"/>
      <c r="C776" s="263"/>
      <c r="D776" s="1"/>
      <c r="E776" s="1"/>
      <c r="F776" s="1"/>
      <c r="G776" s="26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64"/>
      <c r="W776" s="264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33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ht="18.75" customHeight="1">
      <c r="A777" s="203"/>
      <c r="B777" s="1"/>
      <c r="C777" s="263"/>
      <c r="D777" s="1"/>
      <c r="E777" s="1"/>
      <c r="F777" s="1"/>
      <c r="G777" s="26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64"/>
      <c r="W777" s="264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33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ht="18.75" customHeight="1">
      <c r="A778" s="203"/>
      <c r="B778" s="1"/>
      <c r="C778" s="263"/>
      <c r="D778" s="1"/>
      <c r="E778" s="1"/>
      <c r="F778" s="1"/>
      <c r="G778" s="26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64"/>
      <c r="W778" s="264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33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ht="18.75" customHeight="1">
      <c r="A779" s="203"/>
      <c r="B779" s="1"/>
      <c r="C779" s="263"/>
      <c r="D779" s="1"/>
      <c r="E779" s="1"/>
      <c r="F779" s="1"/>
      <c r="G779" s="26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64"/>
      <c r="W779" s="264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33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ht="18.75" customHeight="1">
      <c r="A780" s="203"/>
      <c r="B780" s="1"/>
      <c r="C780" s="263"/>
      <c r="D780" s="1"/>
      <c r="E780" s="1"/>
      <c r="F780" s="1"/>
      <c r="G780" s="26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64"/>
      <c r="W780" s="264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33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ht="18.75" customHeight="1">
      <c r="A781" s="203"/>
      <c r="B781" s="1"/>
      <c r="C781" s="263"/>
      <c r="D781" s="1"/>
      <c r="E781" s="1"/>
      <c r="F781" s="1"/>
      <c r="G781" s="26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64"/>
      <c r="W781" s="264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33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ht="18.75" customHeight="1">
      <c r="A782" s="203"/>
      <c r="B782" s="1"/>
      <c r="C782" s="263"/>
      <c r="D782" s="1"/>
      <c r="E782" s="1"/>
      <c r="F782" s="1"/>
      <c r="G782" s="26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64"/>
      <c r="W782" s="264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33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ht="18.75" customHeight="1">
      <c r="A783" s="203"/>
      <c r="B783" s="1"/>
      <c r="C783" s="263"/>
      <c r="D783" s="1"/>
      <c r="E783" s="1"/>
      <c r="F783" s="1"/>
      <c r="G783" s="26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64"/>
      <c r="W783" s="264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33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ht="18.75" customHeight="1">
      <c r="A784" s="203"/>
      <c r="B784" s="1"/>
      <c r="C784" s="263"/>
      <c r="D784" s="1"/>
      <c r="E784" s="1"/>
      <c r="F784" s="1"/>
      <c r="G784" s="26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64"/>
      <c r="W784" s="264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33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ht="18.75" customHeight="1">
      <c r="A785" s="203"/>
      <c r="B785" s="1"/>
      <c r="C785" s="263"/>
      <c r="D785" s="1"/>
      <c r="E785" s="1"/>
      <c r="F785" s="1"/>
      <c r="G785" s="26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64"/>
      <c r="W785" s="264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33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ht="18.75" customHeight="1">
      <c r="A786" s="203"/>
      <c r="B786" s="1"/>
      <c r="C786" s="263"/>
      <c r="D786" s="1"/>
      <c r="E786" s="1"/>
      <c r="F786" s="1"/>
      <c r="G786" s="26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64"/>
      <c r="W786" s="264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33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ht="18.75" customHeight="1">
      <c r="A787" s="203"/>
      <c r="B787" s="1"/>
      <c r="C787" s="263"/>
      <c r="D787" s="1"/>
      <c r="E787" s="1"/>
      <c r="F787" s="1"/>
      <c r="G787" s="26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64"/>
      <c r="W787" s="264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33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ht="18.75" customHeight="1">
      <c r="A788" s="203"/>
      <c r="B788" s="1"/>
      <c r="C788" s="263"/>
      <c r="D788" s="1"/>
      <c r="E788" s="1"/>
      <c r="F788" s="1"/>
      <c r="G788" s="26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64"/>
      <c r="W788" s="264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33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ht="18.75" customHeight="1">
      <c r="A789" s="203"/>
      <c r="B789" s="1"/>
      <c r="C789" s="263"/>
      <c r="D789" s="1"/>
      <c r="E789" s="1"/>
      <c r="F789" s="1"/>
      <c r="G789" s="26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64"/>
      <c r="W789" s="264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33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ht="18.75" customHeight="1">
      <c r="A790" s="203"/>
      <c r="B790" s="1"/>
      <c r="C790" s="263"/>
      <c r="D790" s="1"/>
      <c r="E790" s="1"/>
      <c r="F790" s="1"/>
      <c r="G790" s="26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64"/>
      <c r="W790" s="264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33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ht="18.75" customHeight="1">
      <c r="A791" s="203"/>
      <c r="B791" s="1"/>
      <c r="C791" s="263"/>
      <c r="D791" s="1"/>
      <c r="E791" s="1"/>
      <c r="F791" s="1"/>
      <c r="G791" s="26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64"/>
      <c r="W791" s="264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33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ht="18.75" customHeight="1">
      <c r="A792" s="203"/>
      <c r="B792" s="1"/>
      <c r="C792" s="263"/>
      <c r="D792" s="1"/>
      <c r="E792" s="1"/>
      <c r="F792" s="1"/>
      <c r="G792" s="26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64"/>
      <c r="W792" s="264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33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ht="18.75" customHeight="1">
      <c r="A793" s="203"/>
      <c r="B793" s="1"/>
      <c r="C793" s="263"/>
      <c r="D793" s="1"/>
      <c r="E793" s="1"/>
      <c r="F793" s="1"/>
      <c r="G793" s="26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64"/>
      <c r="W793" s="264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33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ht="18.75" customHeight="1">
      <c r="A794" s="203"/>
      <c r="B794" s="1"/>
      <c r="C794" s="263"/>
      <c r="D794" s="1"/>
      <c r="E794" s="1"/>
      <c r="F794" s="1"/>
      <c r="G794" s="26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64"/>
      <c r="W794" s="264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33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ht="18.75" customHeight="1">
      <c r="A795" s="203"/>
      <c r="B795" s="1"/>
      <c r="C795" s="263"/>
      <c r="D795" s="1"/>
      <c r="E795" s="1"/>
      <c r="F795" s="1"/>
      <c r="G795" s="26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64"/>
      <c r="W795" s="264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33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ht="18.75" customHeight="1">
      <c r="A796" s="203"/>
      <c r="B796" s="1"/>
      <c r="C796" s="263"/>
      <c r="D796" s="1"/>
      <c r="E796" s="1"/>
      <c r="F796" s="1"/>
      <c r="G796" s="26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64"/>
      <c r="W796" s="264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33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ht="18.75" customHeight="1">
      <c r="A797" s="203"/>
      <c r="B797" s="1"/>
      <c r="C797" s="263"/>
      <c r="D797" s="1"/>
      <c r="E797" s="1"/>
      <c r="F797" s="1"/>
      <c r="G797" s="26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64"/>
      <c r="W797" s="264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33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ht="18.75" customHeight="1">
      <c r="A798" s="203"/>
      <c r="B798" s="1"/>
      <c r="C798" s="263"/>
      <c r="D798" s="1"/>
      <c r="E798" s="1"/>
      <c r="F798" s="1"/>
      <c r="G798" s="26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64"/>
      <c r="W798" s="264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33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ht="18.75" customHeight="1">
      <c r="A799" s="203"/>
      <c r="B799" s="1"/>
      <c r="C799" s="263"/>
      <c r="D799" s="1"/>
      <c r="E799" s="1"/>
      <c r="F799" s="1"/>
      <c r="G799" s="26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64"/>
      <c r="W799" s="264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33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ht="18.75" customHeight="1">
      <c r="A800" s="203"/>
      <c r="B800" s="1"/>
      <c r="C800" s="263"/>
      <c r="D800" s="1"/>
      <c r="E800" s="1"/>
      <c r="F800" s="1"/>
      <c r="G800" s="26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64"/>
      <c r="W800" s="264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33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ht="18.75" customHeight="1">
      <c r="A801" s="203"/>
      <c r="B801" s="1"/>
      <c r="C801" s="263"/>
      <c r="D801" s="1"/>
      <c r="E801" s="1"/>
      <c r="F801" s="1"/>
      <c r="G801" s="26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64"/>
      <c r="W801" s="264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33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ht="18.75" customHeight="1">
      <c r="A802" s="203"/>
      <c r="B802" s="1"/>
      <c r="C802" s="263"/>
      <c r="D802" s="1"/>
      <c r="E802" s="1"/>
      <c r="F802" s="1"/>
      <c r="G802" s="26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64"/>
      <c r="W802" s="264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33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ht="18.75" customHeight="1">
      <c r="A803" s="203"/>
      <c r="B803" s="1"/>
      <c r="C803" s="263"/>
      <c r="D803" s="1"/>
      <c r="E803" s="1"/>
      <c r="F803" s="1"/>
      <c r="G803" s="26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64"/>
      <c r="W803" s="264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33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ht="18.75" customHeight="1">
      <c r="A804" s="203"/>
      <c r="B804" s="1"/>
      <c r="C804" s="263"/>
      <c r="D804" s="1"/>
      <c r="E804" s="1"/>
      <c r="F804" s="1"/>
      <c r="G804" s="26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64"/>
      <c r="W804" s="264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33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ht="18.75" customHeight="1">
      <c r="A805" s="203"/>
      <c r="B805" s="1"/>
      <c r="C805" s="263"/>
      <c r="D805" s="1"/>
      <c r="E805" s="1"/>
      <c r="F805" s="1"/>
      <c r="G805" s="26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64"/>
      <c r="W805" s="264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33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ht="18.75" customHeight="1">
      <c r="A806" s="203"/>
      <c r="B806" s="1"/>
      <c r="C806" s="263"/>
      <c r="D806" s="1"/>
      <c r="E806" s="1"/>
      <c r="F806" s="1"/>
      <c r="G806" s="26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64"/>
      <c r="W806" s="264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33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ht="18.75" customHeight="1">
      <c r="A807" s="203"/>
      <c r="B807" s="1"/>
      <c r="C807" s="263"/>
      <c r="D807" s="1"/>
      <c r="E807" s="1"/>
      <c r="F807" s="1"/>
      <c r="G807" s="26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64"/>
      <c r="W807" s="264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33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ht="18.75" customHeight="1">
      <c r="A808" s="203"/>
      <c r="B808" s="1"/>
      <c r="C808" s="263"/>
      <c r="D808" s="1"/>
      <c r="E808" s="1"/>
      <c r="F808" s="1"/>
      <c r="G808" s="26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64"/>
      <c r="W808" s="264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33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ht="18.75" customHeight="1">
      <c r="A809" s="203"/>
      <c r="B809" s="1"/>
      <c r="C809" s="263"/>
      <c r="D809" s="1"/>
      <c r="E809" s="1"/>
      <c r="F809" s="1"/>
      <c r="G809" s="26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64"/>
      <c r="W809" s="264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33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ht="18.75" customHeight="1">
      <c r="A810" s="203"/>
      <c r="B810" s="1"/>
      <c r="C810" s="263"/>
      <c r="D810" s="1"/>
      <c r="E810" s="1"/>
      <c r="F810" s="1"/>
      <c r="G810" s="26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64"/>
      <c r="W810" s="264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33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ht="18.75" customHeight="1">
      <c r="A811" s="203"/>
      <c r="B811" s="1"/>
      <c r="C811" s="263"/>
      <c r="D811" s="1"/>
      <c r="E811" s="1"/>
      <c r="F811" s="1"/>
      <c r="G811" s="26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64"/>
      <c r="W811" s="264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33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ht="18.75" customHeight="1">
      <c r="A812" s="203"/>
      <c r="B812" s="1"/>
      <c r="C812" s="263"/>
      <c r="D812" s="1"/>
      <c r="E812" s="1"/>
      <c r="F812" s="1"/>
      <c r="G812" s="26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64"/>
      <c r="W812" s="264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33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ht="18.75" customHeight="1">
      <c r="A813" s="203"/>
      <c r="B813" s="1"/>
      <c r="C813" s="263"/>
      <c r="D813" s="1"/>
      <c r="E813" s="1"/>
      <c r="F813" s="1"/>
      <c r="G813" s="26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64"/>
      <c r="W813" s="264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33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ht="18.75" customHeight="1">
      <c r="A814" s="203"/>
      <c r="B814" s="1"/>
      <c r="C814" s="263"/>
      <c r="D814" s="1"/>
      <c r="E814" s="1"/>
      <c r="F814" s="1"/>
      <c r="G814" s="26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64"/>
      <c r="W814" s="264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33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ht="18.75" customHeight="1">
      <c r="A815" s="203"/>
      <c r="B815" s="1"/>
      <c r="C815" s="263"/>
      <c r="D815" s="1"/>
      <c r="E815" s="1"/>
      <c r="F815" s="1"/>
      <c r="G815" s="26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64"/>
      <c r="W815" s="264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33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ht="18.75" customHeight="1">
      <c r="A816" s="203"/>
      <c r="B816" s="1"/>
      <c r="C816" s="263"/>
      <c r="D816" s="1"/>
      <c r="E816" s="1"/>
      <c r="F816" s="1"/>
      <c r="G816" s="26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64"/>
      <c r="W816" s="264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33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ht="18.75" customHeight="1">
      <c r="A817" s="203"/>
      <c r="B817" s="1"/>
      <c r="C817" s="263"/>
      <c r="D817" s="1"/>
      <c r="E817" s="1"/>
      <c r="F817" s="1"/>
      <c r="G817" s="26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64"/>
      <c r="W817" s="264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33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ht="18.75" customHeight="1">
      <c r="A818" s="203"/>
      <c r="B818" s="1"/>
      <c r="C818" s="263"/>
      <c r="D818" s="1"/>
      <c r="E818" s="1"/>
      <c r="F818" s="1"/>
      <c r="G818" s="26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64"/>
      <c r="W818" s="264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33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ht="18.75" customHeight="1">
      <c r="A819" s="203"/>
      <c r="B819" s="1"/>
      <c r="C819" s="263"/>
      <c r="D819" s="1"/>
      <c r="E819" s="1"/>
      <c r="F819" s="1"/>
      <c r="G819" s="26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64"/>
      <c r="W819" s="264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33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ht="18.75" customHeight="1">
      <c r="A820" s="203"/>
      <c r="B820" s="1"/>
      <c r="C820" s="263"/>
      <c r="D820" s="1"/>
      <c r="E820" s="1"/>
      <c r="F820" s="1"/>
      <c r="G820" s="26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64"/>
      <c r="W820" s="264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33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ht="18.75" customHeight="1">
      <c r="A821" s="203"/>
      <c r="B821" s="1"/>
      <c r="C821" s="263"/>
      <c r="D821" s="1"/>
      <c r="E821" s="1"/>
      <c r="F821" s="1"/>
      <c r="G821" s="26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64"/>
      <c r="W821" s="264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33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ht="18.75" customHeight="1">
      <c r="A822" s="203"/>
      <c r="B822" s="1"/>
      <c r="C822" s="263"/>
      <c r="D822" s="1"/>
      <c r="E822" s="1"/>
      <c r="F822" s="1"/>
      <c r="G822" s="26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64"/>
      <c r="W822" s="264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33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ht="18.75" customHeight="1">
      <c r="A823" s="203"/>
      <c r="B823" s="1"/>
      <c r="C823" s="263"/>
      <c r="D823" s="1"/>
      <c r="E823" s="1"/>
      <c r="F823" s="1"/>
      <c r="G823" s="26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64"/>
      <c r="W823" s="264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33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ht="18.75" customHeight="1">
      <c r="A824" s="203"/>
      <c r="B824" s="1"/>
      <c r="C824" s="263"/>
      <c r="D824" s="1"/>
      <c r="E824" s="1"/>
      <c r="F824" s="1"/>
      <c r="G824" s="26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64"/>
      <c r="W824" s="264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33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ht="18.75" customHeight="1">
      <c r="A825" s="203"/>
      <c r="B825" s="1"/>
      <c r="C825" s="263"/>
      <c r="D825" s="1"/>
      <c r="E825" s="1"/>
      <c r="F825" s="1"/>
      <c r="G825" s="26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64"/>
      <c r="W825" s="264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33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ht="18.75" customHeight="1">
      <c r="A826" s="203"/>
      <c r="B826" s="1"/>
      <c r="C826" s="263"/>
      <c r="D826" s="1"/>
      <c r="E826" s="1"/>
      <c r="F826" s="1"/>
      <c r="G826" s="26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64"/>
      <c r="W826" s="264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33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ht="18.75" customHeight="1">
      <c r="A827" s="203"/>
      <c r="B827" s="1"/>
      <c r="C827" s="263"/>
      <c r="D827" s="1"/>
      <c r="E827" s="1"/>
      <c r="F827" s="1"/>
      <c r="G827" s="26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64"/>
      <c r="W827" s="264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33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ht="18.75" customHeight="1">
      <c r="A828" s="203"/>
      <c r="B828" s="1"/>
      <c r="C828" s="263"/>
      <c r="D828" s="1"/>
      <c r="E828" s="1"/>
      <c r="F828" s="1"/>
      <c r="G828" s="26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64"/>
      <c r="W828" s="264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33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ht="18.75" customHeight="1">
      <c r="A829" s="203"/>
      <c r="B829" s="1"/>
      <c r="C829" s="263"/>
      <c r="D829" s="1"/>
      <c r="E829" s="1"/>
      <c r="F829" s="1"/>
      <c r="G829" s="26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64"/>
      <c r="W829" s="264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33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ht="18.75" customHeight="1">
      <c r="A830" s="203"/>
      <c r="B830" s="1"/>
      <c r="C830" s="263"/>
      <c r="D830" s="1"/>
      <c r="E830" s="1"/>
      <c r="F830" s="1"/>
      <c r="G830" s="26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64"/>
      <c r="W830" s="264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33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ht="18.75" customHeight="1">
      <c r="A831" s="203"/>
      <c r="B831" s="1"/>
      <c r="C831" s="263"/>
      <c r="D831" s="1"/>
      <c r="E831" s="1"/>
      <c r="F831" s="1"/>
      <c r="G831" s="26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64"/>
      <c r="W831" s="264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33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ht="18.75" customHeight="1">
      <c r="A832" s="203"/>
      <c r="B832" s="1"/>
      <c r="C832" s="263"/>
      <c r="D832" s="1"/>
      <c r="E832" s="1"/>
      <c r="F832" s="1"/>
      <c r="G832" s="26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64"/>
      <c r="W832" s="264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33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ht="18.75" customHeight="1">
      <c r="A833" s="203"/>
      <c r="B833" s="1"/>
      <c r="C833" s="263"/>
      <c r="D833" s="1"/>
      <c r="E833" s="1"/>
      <c r="F833" s="1"/>
      <c r="G833" s="26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64"/>
      <c r="W833" s="264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33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ht="18.75" customHeight="1">
      <c r="A834" s="203"/>
      <c r="B834" s="1"/>
      <c r="C834" s="263"/>
      <c r="D834" s="1"/>
      <c r="E834" s="1"/>
      <c r="F834" s="1"/>
      <c r="G834" s="26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64"/>
      <c r="W834" s="264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33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ht="18.75" customHeight="1">
      <c r="A835" s="203"/>
      <c r="B835" s="1"/>
      <c r="C835" s="263"/>
      <c r="D835" s="1"/>
      <c r="E835" s="1"/>
      <c r="F835" s="1"/>
      <c r="G835" s="26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64"/>
      <c r="W835" s="264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33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ht="18.75" customHeight="1">
      <c r="A836" s="203"/>
      <c r="B836" s="1"/>
      <c r="C836" s="263"/>
      <c r="D836" s="1"/>
      <c r="E836" s="1"/>
      <c r="F836" s="1"/>
      <c r="G836" s="26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64"/>
      <c r="W836" s="264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33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ht="18.75" customHeight="1">
      <c r="A837" s="203"/>
      <c r="B837" s="1"/>
      <c r="C837" s="263"/>
      <c r="D837" s="1"/>
      <c r="E837" s="1"/>
      <c r="F837" s="1"/>
      <c r="G837" s="26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64"/>
      <c r="W837" s="264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33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ht="18.75" customHeight="1">
      <c r="A838" s="203"/>
      <c r="B838" s="1"/>
      <c r="C838" s="263"/>
      <c r="D838" s="1"/>
      <c r="E838" s="1"/>
      <c r="F838" s="1"/>
      <c r="G838" s="26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64"/>
      <c r="W838" s="264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33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ht="18.75" customHeight="1">
      <c r="A839" s="203"/>
      <c r="B839" s="1"/>
      <c r="C839" s="263"/>
      <c r="D839" s="1"/>
      <c r="E839" s="1"/>
      <c r="F839" s="1"/>
      <c r="G839" s="26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64"/>
      <c r="W839" s="264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33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ht="18.75" customHeight="1">
      <c r="A840" s="203"/>
      <c r="B840" s="1"/>
      <c r="C840" s="263"/>
      <c r="D840" s="1"/>
      <c r="E840" s="1"/>
      <c r="F840" s="1"/>
      <c r="G840" s="26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64"/>
      <c r="W840" s="264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33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ht="18.75" customHeight="1">
      <c r="A841" s="203"/>
      <c r="B841" s="1"/>
      <c r="C841" s="263"/>
      <c r="D841" s="1"/>
      <c r="E841" s="1"/>
      <c r="F841" s="1"/>
      <c r="G841" s="26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64"/>
      <c r="W841" s="264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33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ht="18.75" customHeight="1">
      <c r="A842" s="203"/>
      <c r="B842" s="1"/>
      <c r="C842" s="263"/>
      <c r="D842" s="1"/>
      <c r="E842" s="1"/>
      <c r="F842" s="1"/>
      <c r="G842" s="26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64"/>
      <c r="W842" s="264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33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ht="18.75" customHeight="1">
      <c r="A843" s="203"/>
      <c r="B843" s="1"/>
      <c r="C843" s="263"/>
      <c r="D843" s="1"/>
      <c r="E843" s="1"/>
      <c r="F843" s="1"/>
      <c r="G843" s="26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64"/>
      <c r="W843" s="264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33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ht="18.75" customHeight="1">
      <c r="A844" s="203"/>
      <c r="B844" s="1"/>
      <c r="C844" s="263"/>
      <c r="D844" s="1"/>
      <c r="E844" s="1"/>
      <c r="F844" s="1"/>
      <c r="G844" s="26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64"/>
      <c r="W844" s="264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33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ht="18.75" customHeight="1">
      <c r="A845" s="203"/>
      <c r="B845" s="1"/>
      <c r="C845" s="263"/>
      <c r="D845" s="1"/>
      <c r="E845" s="1"/>
      <c r="F845" s="1"/>
      <c r="G845" s="26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64"/>
      <c r="W845" s="264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33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ht="18.75" customHeight="1">
      <c r="A846" s="203"/>
      <c r="B846" s="1"/>
      <c r="C846" s="263"/>
      <c r="D846" s="1"/>
      <c r="E846" s="1"/>
      <c r="F846" s="1"/>
      <c r="G846" s="26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64"/>
      <c r="W846" s="264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33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ht="18.75" customHeight="1">
      <c r="A847" s="203"/>
      <c r="B847" s="1"/>
      <c r="C847" s="263"/>
      <c r="D847" s="1"/>
      <c r="E847" s="1"/>
      <c r="F847" s="1"/>
      <c r="G847" s="26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64"/>
      <c r="W847" s="264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33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ht="18.75" customHeight="1">
      <c r="A848" s="203"/>
      <c r="B848" s="1"/>
      <c r="C848" s="263"/>
      <c r="D848" s="1"/>
      <c r="E848" s="1"/>
      <c r="F848" s="1"/>
      <c r="G848" s="26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64"/>
      <c r="W848" s="264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33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ht="18.75" customHeight="1">
      <c r="A849" s="203"/>
      <c r="B849" s="1"/>
      <c r="C849" s="263"/>
      <c r="D849" s="1"/>
      <c r="E849" s="1"/>
      <c r="F849" s="1"/>
      <c r="G849" s="26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64"/>
      <c r="W849" s="264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33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ht="18.75" customHeight="1">
      <c r="A850" s="203"/>
      <c r="B850" s="1"/>
      <c r="C850" s="263"/>
      <c r="D850" s="1"/>
      <c r="E850" s="1"/>
      <c r="F850" s="1"/>
      <c r="G850" s="26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64"/>
      <c r="W850" s="264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33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ht="18.75" customHeight="1">
      <c r="A851" s="203"/>
      <c r="B851" s="1"/>
      <c r="C851" s="263"/>
      <c r="D851" s="1"/>
      <c r="E851" s="1"/>
      <c r="F851" s="1"/>
      <c r="G851" s="26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64"/>
      <c r="W851" s="264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33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ht="18.75" customHeight="1">
      <c r="A852" s="203"/>
      <c r="B852" s="1"/>
      <c r="C852" s="263"/>
      <c r="D852" s="1"/>
      <c r="E852" s="1"/>
      <c r="F852" s="1"/>
      <c r="G852" s="26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64"/>
      <c r="W852" s="264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33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ht="18.75" customHeight="1">
      <c r="A853" s="203"/>
      <c r="B853" s="1"/>
      <c r="C853" s="263"/>
      <c r="D853" s="1"/>
      <c r="E853" s="1"/>
      <c r="F853" s="1"/>
      <c r="G853" s="26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64"/>
      <c r="W853" s="264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33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ht="18.75" customHeight="1">
      <c r="A854" s="203"/>
      <c r="B854" s="1"/>
      <c r="C854" s="263"/>
      <c r="D854" s="1"/>
      <c r="E854" s="1"/>
      <c r="F854" s="1"/>
      <c r="G854" s="26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64"/>
      <c r="W854" s="264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33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ht="18.75" customHeight="1">
      <c r="A855" s="203"/>
      <c r="B855" s="1"/>
      <c r="C855" s="263"/>
      <c r="D855" s="1"/>
      <c r="E855" s="1"/>
      <c r="F855" s="1"/>
      <c r="G855" s="26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64"/>
      <c r="W855" s="264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33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ht="18.75" customHeight="1">
      <c r="A856" s="203"/>
      <c r="B856" s="1"/>
      <c r="C856" s="263"/>
      <c r="D856" s="1"/>
      <c r="E856" s="1"/>
      <c r="F856" s="1"/>
      <c r="G856" s="26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64"/>
      <c r="W856" s="264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33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ht="18.75" customHeight="1">
      <c r="A857" s="203"/>
      <c r="B857" s="1"/>
      <c r="C857" s="263"/>
      <c r="D857" s="1"/>
      <c r="E857" s="1"/>
      <c r="F857" s="1"/>
      <c r="G857" s="26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64"/>
      <c r="W857" s="264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33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ht="18.75" customHeight="1">
      <c r="A858" s="203"/>
      <c r="B858" s="1"/>
      <c r="C858" s="263"/>
      <c r="D858" s="1"/>
      <c r="E858" s="1"/>
      <c r="F858" s="1"/>
      <c r="G858" s="26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64"/>
      <c r="W858" s="264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33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ht="18.75" customHeight="1">
      <c r="A859" s="203"/>
      <c r="B859" s="1"/>
      <c r="C859" s="263"/>
      <c r="D859" s="1"/>
      <c r="E859" s="1"/>
      <c r="F859" s="1"/>
      <c r="G859" s="26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64"/>
      <c r="W859" s="264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33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ht="18.75" customHeight="1">
      <c r="A860" s="203"/>
      <c r="B860" s="1"/>
      <c r="C860" s="263"/>
      <c r="D860" s="1"/>
      <c r="E860" s="1"/>
      <c r="F860" s="1"/>
      <c r="G860" s="26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64"/>
      <c r="W860" s="264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33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ht="18.75" customHeight="1">
      <c r="A861" s="203"/>
      <c r="B861" s="1"/>
      <c r="C861" s="263"/>
      <c r="D861" s="1"/>
      <c r="E861" s="1"/>
      <c r="F861" s="1"/>
      <c r="G861" s="26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64"/>
      <c r="W861" s="264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33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ht="18.75" customHeight="1">
      <c r="A862" s="203"/>
      <c r="B862" s="1"/>
      <c r="C862" s="263"/>
      <c r="D862" s="1"/>
      <c r="E862" s="1"/>
      <c r="F862" s="1"/>
      <c r="G862" s="26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64"/>
      <c r="W862" s="264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33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ht="18.75" customHeight="1">
      <c r="A863" s="203"/>
      <c r="B863" s="1"/>
      <c r="C863" s="263"/>
      <c r="D863" s="1"/>
      <c r="E863" s="1"/>
      <c r="F863" s="1"/>
      <c r="G863" s="26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64"/>
      <c r="W863" s="264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33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ht="18.75" customHeight="1">
      <c r="A864" s="203"/>
      <c r="B864" s="1"/>
      <c r="C864" s="263"/>
      <c r="D864" s="1"/>
      <c r="E864" s="1"/>
      <c r="F864" s="1"/>
      <c r="G864" s="26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64"/>
      <c r="W864" s="264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33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ht="18.75" customHeight="1">
      <c r="A865" s="203"/>
      <c r="B865" s="1"/>
      <c r="C865" s="263"/>
      <c r="D865" s="1"/>
      <c r="E865" s="1"/>
      <c r="F865" s="1"/>
      <c r="G865" s="26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64"/>
      <c r="W865" s="264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33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ht="18.75" customHeight="1">
      <c r="A866" s="203"/>
      <c r="B866" s="1"/>
      <c r="C866" s="263"/>
      <c r="D866" s="1"/>
      <c r="E866" s="1"/>
      <c r="F866" s="1"/>
      <c r="G866" s="26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64"/>
      <c r="W866" s="264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33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ht="18.75" customHeight="1">
      <c r="A867" s="203"/>
      <c r="B867" s="1"/>
      <c r="C867" s="263"/>
      <c r="D867" s="1"/>
      <c r="E867" s="1"/>
      <c r="F867" s="1"/>
      <c r="G867" s="26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64"/>
      <c r="W867" s="264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33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ht="18.75" customHeight="1">
      <c r="A868" s="203"/>
      <c r="B868" s="1"/>
      <c r="C868" s="263"/>
      <c r="D868" s="1"/>
      <c r="E868" s="1"/>
      <c r="F868" s="1"/>
      <c r="G868" s="26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64"/>
      <c r="W868" s="264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33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ht="18.75" customHeight="1">
      <c r="A869" s="203"/>
      <c r="B869" s="1"/>
      <c r="C869" s="263"/>
      <c r="D869" s="1"/>
      <c r="E869" s="1"/>
      <c r="F869" s="1"/>
      <c r="G869" s="26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64"/>
      <c r="W869" s="264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33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ht="18.75" customHeight="1">
      <c r="A870" s="203"/>
      <c r="B870" s="1"/>
      <c r="C870" s="263"/>
      <c r="D870" s="1"/>
      <c r="E870" s="1"/>
      <c r="F870" s="1"/>
      <c r="G870" s="26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64"/>
      <c r="W870" s="264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33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ht="18.75" customHeight="1">
      <c r="A871" s="203"/>
      <c r="B871" s="1"/>
      <c r="C871" s="263"/>
      <c r="D871" s="1"/>
      <c r="E871" s="1"/>
      <c r="F871" s="1"/>
      <c r="G871" s="26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64"/>
      <c r="W871" s="264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33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ht="18.75" customHeight="1">
      <c r="A872" s="203"/>
      <c r="B872" s="1"/>
      <c r="C872" s="263"/>
      <c r="D872" s="1"/>
      <c r="E872" s="1"/>
      <c r="F872" s="1"/>
      <c r="G872" s="26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64"/>
      <c r="W872" s="264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33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ht="18.75" customHeight="1">
      <c r="A873" s="203"/>
      <c r="B873" s="1"/>
      <c r="C873" s="263"/>
      <c r="D873" s="1"/>
      <c r="E873" s="1"/>
      <c r="F873" s="1"/>
      <c r="G873" s="26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64"/>
      <c r="W873" s="264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33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ht="18.75" customHeight="1">
      <c r="A874" s="203"/>
      <c r="B874" s="1"/>
      <c r="C874" s="263"/>
      <c r="D874" s="1"/>
      <c r="E874" s="1"/>
      <c r="F874" s="1"/>
      <c r="G874" s="26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64"/>
      <c r="W874" s="264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33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ht="18.75" customHeight="1">
      <c r="A875" s="203"/>
      <c r="B875" s="1"/>
      <c r="C875" s="263"/>
      <c r="D875" s="1"/>
      <c r="E875" s="1"/>
      <c r="F875" s="1"/>
      <c r="G875" s="26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64"/>
      <c r="W875" s="264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33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ht="18.75" customHeight="1">
      <c r="A876" s="203"/>
      <c r="B876" s="1"/>
      <c r="C876" s="263"/>
      <c r="D876" s="1"/>
      <c r="E876" s="1"/>
      <c r="F876" s="1"/>
      <c r="G876" s="26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64"/>
      <c r="W876" s="264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33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ht="18.75" customHeight="1">
      <c r="A877" s="203"/>
      <c r="B877" s="1"/>
      <c r="C877" s="263"/>
      <c r="D877" s="1"/>
      <c r="E877" s="1"/>
      <c r="F877" s="1"/>
      <c r="G877" s="26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64"/>
      <c r="W877" s="264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33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ht="18.75" customHeight="1">
      <c r="A878" s="203"/>
      <c r="B878" s="1"/>
      <c r="C878" s="263"/>
      <c r="D878" s="1"/>
      <c r="E878" s="1"/>
      <c r="F878" s="1"/>
      <c r="G878" s="26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64"/>
      <c r="W878" s="264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33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ht="18.75" customHeight="1">
      <c r="A879" s="203"/>
      <c r="B879" s="1"/>
      <c r="C879" s="263"/>
      <c r="D879" s="1"/>
      <c r="E879" s="1"/>
      <c r="F879" s="1"/>
      <c r="G879" s="26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64"/>
      <c r="W879" s="264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33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ht="18.75" customHeight="1">
      <c r="A880" s="203"/>
      <c r="B880" s="1"/>
      <c r="C880" s="263"/>
      <c r="D880" s="1"/>
      <c r="E880" s="1"/>
      <c r="F880" s="1"/>
      <c r="G880" s="26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64"/>
      <c r="W880" s="264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33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ht="18.75" customHeight="1">
      <c r="A881" s="203"/>
      <c r="B881" s="1"/>
      <c r="C881" s="263"/>
      <c r="D881" s="1"/>
      <c r="E881" s="1"/>
      <c r="F881" s="1"/>
      <c r="G881" s="26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64"/>
      <c r="W881" s="264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33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ht="18.75" customHeight="1">
      <c r="A882" s="203"/>
      <c r="B882" s="1"/>
      <c r="C882" s="263"/>
      <c r="D882" s="1"/>
      <c r="E882" s="1"/>
      <c r="F882" s="1"/>
      <c r="G882" s="26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64"/>
      <c r="W882" s="264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33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ht="18.75" customHeight="1">
      <c r="A883" s="203"/>
      <c r="B883" s="1"/>
      <c r="C883" s="263"/>
      <c r="D883" s="1"/>
      <c r="E883" s="1"/>
      <c r="F883" s="1"/>
      <c r="G883" s="26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64"/>
      <c r="W883" s="264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33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ht="18.75" customHeight="1">
      <c r="A884" s="203"/>
      <c r="B884" s="1"/>
      <c r="C884" s="263"/>
      <c r="D884" s="1"/>
      <c r="E884" s="1"/>
      <c r="F884" s="1"/>
      <c r="G884" s="26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64"/>
      <c r="W884" s="264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33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ht="18.75" customHeight="1">
      <c r="A885" s="203"/>
      <c r="B885" s="1"/>
      <c r="C885" s="263"/>
      <c r="D885" s="1"/>
      <c r="E885" s="1"/>
      <c r="F885" s="1"/>
      <c r="G885" s="26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64"/>
      <c r="W885" s="264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33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ht="18.75" customHeight="1">
      <c r="A886" s="203"/>
      <c r="B886" s="1"/>
      <c r="C886" s="263"/>
      <c r="D886" s="1"/>
      <c r="E886" s="1"/>
      <c r="F886" s="1"/>
      <c r="G886" s="26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64"/>
      <c r="W886" s="264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33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ht="18.75" customHeight="1">
      <c r="A887" s="203"/>
      <c r="B887" s="1"/>
      <c r="C887" s="263"/>
      <c r="D887" s="1"/>
      <c r="E887" s="1"/>
      <c r="F887" s="1"/>
      <c r="G887" s="26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64"/>
      <c r="W887" s="264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33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ht="18.75" customHeight="1">
      <c r="A888" s="203"/>
      <c r="B888" s="1"/>
      <c r="C888" s="263"/>
      <c r="D888" s="1"/>
      <c r="E888" s="1"/>
      <c r="F888" s="1"/>
      <c r="G888" s="26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64"/>
      <c r="W888" s="264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33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ht="18.75" customHeight="1">
      <c r="A889" s="203"/>
      <c r="B889" s="1"/>
      <c r="C889" s="263"/>
      <c r="D889" s="1"/>
      <c r="E889" s="1"/>
      <c r="F889" s="1"/>
      <c r="G889" s="26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64"/>
      <c r="W889" s="264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33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ht="18.75" customHeight="1">
      <c r="A890" s="203"/>
      <c r="B890" s="1"/>
      <c r="C890" s="263"/>
      <c r="D890" s="1"/>
      <c r="E890" s="1"/>
      <c r="F890" s="1"/>
      <c r="G890" s="26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64"/>
      <c r="W890" s="264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33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ht="18.75" customHeight="1">
      <c r="A891" s="203"/>
      <c r="B891" s="1"/>
      <c r="C891" s="263"/>
      <c r="D891" s="1"/>
      <c r="E891" s="1"/>
      <c r="F891" s="1"/>
      <c r="G891" s="26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64"/>
      <c r="W891" s="264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33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ht="18.75" customHeight="1">
      <c r="A892" s="203"/>
      <c r="B892" s="1"/>
      <c r="C892" s="263"/>
      <c r="D892" s="1"/>
      <c r="E892" s="1"/>
      <c r="F892" s="1"/>
      <c r="G892" s="26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64"/>
      <c r="W892" s="264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33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ht="18.75" customHeight="1">
      <c r="A893" s="203"/>
      <c r="B893" s="1"/>
      <c r="C893" s="263"/>
      <c r="D893" s="1"/>
      <c r="E893" s="1"/>
      <c r="F893" s="1"/>
      <c r="G893" s="26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64"/>
      <c r="W893" s="264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33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ht="18.75" customHeight="1">
      <c r="A894" s="203"/>
      <c r="B894" s="1"/>
      <c r="C894" s="263"/>
      <c r="D894" s="1"/>
      <c r="E894" s="1"/>
      <c r="F894" s="1"/>
      <c r="G894" s="26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64"/>
      <c r="W894" s="264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33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ht="18.75" customHeight="1">
      <c r="A895" s="203"/>
      <c r="B895" s="1"/>
      <c r="C895" s="263"/>
      <c r="D895" s="1"/>
      <c r="E895" s="1"/>
      <c r="F895" s="1"/>
      <c r="G895" s="26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64"/>
      <c r="W895" s="264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33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ht="18.75" customHeight="1">
      <c r="A896" s="203"/>
      <c r="B896" s="1"/>
      <c r="C896" s="263"/>
      <c r="D896" s="1"/>
      <c r="E896" s="1"/>
      <c r="F896" s="1"/>
      <c r="G896" s="26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64"/>
      <c r="W896" s="264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33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ht="18.75" customHeight="1">
      <c r="A897" s="203"/>
      <c r="B897" s="1"/>
      <c r="C897" s="263"/>
      <c r="D897" s="1"/>
      <c r="E897" s="1"/>
      <c r="F897" s="1"/>
      <c r="G897" s="26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64"/>
      <c r="W897" s="264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33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ht="18.75" customHeight="1">
      <c r="A898" s="203"/>
      <c r="B898" s="1"/>
      <c r="C898" s="263"/>
      <c r="D898" s="1"/>
      <c r="E898" s="1"/>
      <c r="F898" s="1"/>
      <c r="G898" s="26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64"/>
      <c r="W898" s="264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33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ht="18.75" customHeight="1">
      <c r="A899" s="203"/>
      <c r="B899" s="1"/>
      <c r="C899" s="263"/>
      <c r="D899" s="1"/>
      <c r="E899" s="1"/>
      <c r="F899" s="1"/>
      <c r="G899" s="26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64"/>
      <c r="W899" s="264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33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ht="18.75" customHeight="1">
      <c r="A900" s="203"/>
      <c r="B900" s="1"/>
      <c r="C900" s="263"/>
      <c r="D900" s="1"/>
      <c r="E900" s="1"/>
      <c r="F900" s="1"/>
      <c r="G900" s="26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64"/>
      <c r="W900" s="264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33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ht="18.75" customHeight="1">
      <c r="A901" s="203"/>
      <c r="B901" s="1"/>
      <c r="C901" s="263"/>
      <c r="D901" s="1"/>
      <c r="E901" s="1"/>
      <c r="F901" s="1"/>
      <c r="G901" s="26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64"/>
      <c r="W901" s="264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33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ht="18.75" customHeight="1">
      <c r="A902" s="203"/>
      <c r="B902" s="1"/>
      <c r="C902" s="263"/>
      <c r="D902" s="1"/>
      <c r="E902" s="1"/>
      <c r="F902" s="1"/>
      <c r="G902" s="26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64"/>
      <c r="W902" s="264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33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ht="18.75" customHeight="1">
      <c r="A903" s="203"/>
      <c r="B903" s="1"/>
      <c r="C903" s="263"/>
      <c r="D903" s="1"/>
      <c r="E903" s="1"/>
      <c r="F903" s="1"/>
      <c r="G903" s="26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64"/>
      <c r="W903" s="264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33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ht="18.75" customHeight="1">
      <c r="A904" s="203"/>
      <c r="B904" s="1"/>
      <c r="C904" s="263"/>
      <c r="D904" s="1"/>
      <c r="E904" s="1"/>
      <c r="F904" s="1"/>
      <c r="G904" s="26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64"/>
      <c r="W904" s="264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33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ht="18.75" customHeight="1">
      <c r="A905" s="203"/>
      <c r="B905" s="1"/>
      <c r="C905" s="263"/>
      <c r="D905" s="1"/>
      <c r="E905" s="1"/>
      <c r="F905" s="1"/>
      <c r="G905" s="26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64"/>
      <c r="W905" s="264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33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ht="18.75" customHeight="1">
      <c r="A906" s="203"/>
      <c r="B906" s="1"/>
      <c r="C906" s="263"/>
      <c r="D906" s="1"/>
      <c r="E906" s="1"/>
      <c r="F906" s="1"/>
      <c r="G906" s="26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64"/>
      <c r="W906" s="264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33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ht="18.75" customHeight="1">
      <c r="A907" s="203"/>
      <c r="B907" s="1"/>
      <c r="C907" s="263"/>
      <c r="D907" s="1"/>
      <c r="E907" s="1"/>
      <c r="F907" s="1"/>
      <c r="G907" s="26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64"/>
      <c r="W907" s="264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33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ht="18.75" customHeight="1">
      <c r="A908" s="203"/>
      <c r="B908" s="1"/>
      <c r="C908" s="263"/>
      <c r="D908" s="1"/>
      <c r="E908" s="1"/>
      <c r="F908" s="1"/>
      <c r="G908" s="26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64"/>
      <c r="W908" s="264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33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ht="18.75" customHeight="1">
      <c r="A909" s="203"/>
      <c r="B909" s="1"/>
      <c r="C909" s="263"/>
      <c r="D909" s="1"/>
      <c r="E909" s="1"/>
      <c r="F909" s="1"/>
      <c r="G909" s="26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64"/>
      <c r="W909" s="264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33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ht="18.75" customHeight="1">
      <c r="A910" s="203"/>
      <c r="B910" s="1"/>
      <c r="C910" s="263"/>
      <c r="D910" s="1"/>
      <c r="E910" s="1"/>
      <c r="F910" s="1"/>
      <c r="G910" s="26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64"/>
      <c r="W910" s="264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33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ht="18.75" customHeight="1">
      <c r="A911" s="203"/>
      <c r="B911" s="1"/>
      <c r="C911" s="263"/>
      <c r="D911" s="1"/>
      <c r="E911" s="1"/>
      <c r="F911" s="1"/>
      <c r="G911" s="26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64"/>
      <c r="W911" s="264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33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ht="18.75" customHeight="1">
      <c r="A912" s="203"/>
      <c r="B912" s="1"/>
      <c r="C912" s="263"/>
      <c r="D912" s="1"/>
      <c r="E912" s="1"/>
      <c r="F912" s="1"/>
      <c r="G912" s="26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64"/>
      <c r="W912" s="264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33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ht="18.75" customHeight="1">
      <c r="A913" s="203"/>
      <c r="B913" s="1"/>
      <c r="C913" s="263"/>
      <c r="D913" s="1"/>
      <c r="E913" s="1"/>
      <c r="F913" s="1"/>
      <c r="G913" s="26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64"/>
      <c r="W913" s="264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33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ht="18.75" customHeight="1">
      <c r="A914" s="203"/>
      <c r="B914" s="1"/>
      <c r="C914" s="263"/>
      <c r="D914" s="1"/>
      <c r="E914" s="1"/>
      <c r="F914" s="1"/>
      <c r="G914" s="26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64"/>
      <c r="W914" s="264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33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ht="18.75" customHeight="1">
      <c r="A915" s="203"/>
      <c r="B915" s="1"/>
      <c r="C915" s="263"/>
      <c r="D915" s="1"/>
      <c r="E915" s="1"/>
      <c r="F915" s="1"/>
      <c r="G915" s="26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64"/>
      <c r="W915" s="264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33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ht="18.75" customHeight="1">
      <c r="A916" s="203"/>
      <c r="B916" s="1"/>
      <c r="C916" s="263"/>
      <c r="D916" s="1"/>
      <c r="E916" s="1"/>
      <c r="F916" s="1"/>
      <c r="G916" s="26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64"/>
      <c r="W916" s="264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33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ht="18.75" customHeight="1">
      <c r="A917" s="203"/>
      <c r="B917" s="1"/>
      <c r="C917" s="263"/>
      <c r="D917" s="1"/>
      <c r="E917" s="1"/>
      <c r="F917" s="1"/>
      <c r="G917" s="26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64"/>
      <c r="W917" s="264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33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ht="18.75" customHeight="1">
      <c r="A918" s="203"/>
      <c r="B918" s="1"/>
      <c r="C918" s="263"/>
      <c r="D918" s="1"/>
      <c r="E918" s="1"/>
      <c r="F918" s="1"/>
      <c r="G918" s="26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64"/>
      <c r="W918" s="264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33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ht="18.75" customHeight="1">
      <c r="A919" s="203"/>
      <c r="B919" s="1"/>
      <c r="C919" s="263"/>
      <c r="D919" s="1"/>
      <c r="E919" s="1"/>
      <c r="F919" s="1"/>
      <c r="G919" s="26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64"/>
      <c r="W919" s="264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33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ht="18.75" customHeight="1">
      <c r="A920" s="203"/>
      <c r="B920" s="1"/>
      <c r="C920" s="263"/>
      <c r="D920" s="1"/>
      <c r="E920" s="1"/>
      <c r="F920" s="1"/>
      <c r="G920" s="26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64"/>
      <c r="W920" s="264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33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ht="18.75" customHeight="1">
      <c r="A921" s="203"/>
      <c r="B921" s="1"/>
      <c r="C921" s="263"/>
      <c r="D921" s="1"/>
      <c r="E921" s="1"/>
      <c r="F921" s="1"/>
      <c r="G921" s="26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64"/>
      <c r="W921" s="264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33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ht="18.75" customHeight="1">
      <c r="A922" s="203"/>
      <c r="B922" s="1"/>
      <c r="C922" s="263"/>
      <c r="D922" s="1"/>
      <c r="E922" s="1"/>
      <c r="F922" s="1"/>
      <c r="G922" s="26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64"/>
      <c r="W922" s="264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33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ht="18.75" customHeight="1">
      <c r="A923" s="203"/>
      <c r="B923" s="1"/>
      <c r="C923" s="263"/>
      <c r="D923" s="1"/>
      <c r="E923" s="1"/>
      <c r="F923" s="1"/>
      <c r="G923" s="26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64"/>
      <c r="W923" s="264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33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ht="18.75" customHeight="1">
      <c r="A924" s="203"/>
      <c r="B924" s="1"/>
      <c r="C924" s="263"/>
      <c r="D924" s="1"/>
      <c r="E924" s="1"/>
      <c r="F924" s="1"/>
      <c r="G924" s="26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64"/>
      <c r="W924" s="264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33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ht="18.75" customHeight="1">
      <c r="A925" s="203"/>
      <c r="B925" s="1"/>
      <c r="C925" s="263"/>
      <c r="D925" s="1"/>
      <c r="E925" s="1"/>
      <c r="F925" s="1"/>
      <c r="G925" s="26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64"/>
      <c r="W925" s="264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33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ht="18.75" customHeight="1">
      <c r="A926" s="203"/>
      <c r="B926" s="1"/>
      <c r="C926" s="263"/>
      <c r="D926" s="1"/>
      <c r="E926" s="1"/>
      <c r="F926" s="1"/>
      <c r="G926" s="26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64"/>
      <c r="W926" s="264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33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ht="18.75" customHeight="1">
      <c r="A927" s="203"/>
      <c r="B927" s="1"/>
      <c r="C927" s="263"/>
      <c r="D927" s="1"/>
      <c r="E927" s="1"/>
      <c r="F927" s="1"/>
      <c r="G927" s="26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64"/>
      <c r="W927" s="264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33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ht="18.75" customHeight="1">
      <c r="A928" s="203"/>
      <c r="B928" s="1"/>
      <c r="C928" s="263"/>
      <c r="D928" s="1"/>
      <c r="E928" s="1"/>
      <c r="F928" s="1"/>
      <c r="G928" s="26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64"/>
      <c r="W928" s="264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33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ht="18.75" customHeight="1">
      <c r="A929" s="203"/>
      <c r="B929" s="1"/>
      <c r="C929" s="263"/>
      <c r="D929" s="1"/>
      <c r="E929" s="1"/>
      <c r="F929" s="1"/>
      <c r="G929" s="26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64"/>
      <c r="W929" s="264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33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ht="18.75" customHeight="1">
      <c r="A930" s="203"/>
      <c r="B930" s="1"/>
      <c r="C930" s="263"/>
      <c r="D930" s="1"/>
      <c r="E930" s="1"/>
      <c r="F930" s="1"/>
      <c r="G930" s="26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64"/>
      <c r="W930" s="264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33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ht="18.75" customHeight="1">
      <c r="A931" s="203"/>
      <c r="B931" s="1"/>
      <c r="C931" s="263"/>
      <c r="D931" s="1"/>
      <c r="E931" s="1"/>
      <c r="F931" s="1"/>
      <c r="G931" s="26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64"/>
      <c r="W931" s="264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33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ht="18.75" customHeight="1">
      <c r="A932" s="203"/>
      <c r="B932" s="1"/>
      <c r="C932" s="263"/>
      <c r="D932" s="1"/>
      <c r="E932" s="1"/>
      <c r="F932" s="1"/>
      <c r="G932" s="26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64"/>
      <c r="W932" s="264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33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ht="18.75" customHeight="1">
      <c r="A933" s="203"/>
      <c r="B933" s="1"/>
      <c r="C933" s="263"/>
      <c r="D933" s="1"/>
      <c r="E933" s="1"/>
      <c r="F933" s="1"/>
      <c r="G933" s="26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64"/>
      <c r="W933" s="264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33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ht="18.75" customHeight="1">
      <c r="A934" s="203"/>
      <c r="B934" s="1"/>
      <c r="C934" s="263"/>
      <c r="D934" s="1"/>
      <c r="E934" s="1"/>
      <c r="F934" s="1"/>
      <c r="G934" s="26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64"/>
      <c r="W934" s="264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33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ht="18.75" customHeight="1">
      <c r="A935" s="203"/>
      <c r="B935" s="1"/>
      <c r="C935" s="263"/>
      <c r="D935" s="1"/>
      <c r="E935" s="1"/>
      <c r="F935" s="1"/>
      <c r="G935" s="26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64"/>
      <c r="W935" s="264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33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ht="18.75" customHeight="1">
      <c r="A936" s="203"/>
      <c r="B936" s="1"/>
      <c r="C936" s="263"/>
      <c r="D936" s="1"/>
      <c r="E936" s="1"/>
      <c r="F936" s="1"/>
      <c r="G936" s="26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64"/>
      <c r="W936" s="264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33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ht="18.75" customHeight="1">
      <c r="A937" s="203"/>
      <c r="B937" s="1"/>
      <c r="C937" s="263"/>
      <c r="D937" s="1"/>
      <c r="E937" s="1"/>
      <c r="F937" s="1"/>
      <c r="G937" s="26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64"/>
      <c r="W937" s="264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33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ht="18.75" customHeight="1">
      <c r="A938" s="203"/>
      <c r="B938" s="1"/>
      <c r="C938" s="263"/>
      <c r="D938" s="1"/>
      <c r="E938" s="1"/>
      <c r="F938" s="1"/>
      <c r="G938" s="26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64"/>
      <c r="W938" s="264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33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ht="18.75" customHeight="1">
      <c r="A939" s="203"/>
      <c r="B939" s="1"/>
      <c r="C939" s="263"/>
      <c r="D939" s="1"/>
      <c r="E939" s="1"/>
      <c r="F939" s="1"/>
      <c r="G939" s="26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64"/>
      <c r="W939" s="264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33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ht="18.75" customHeight="1">
      <c r="A940" s="203"/>
      <c r="B940" s="1"/>
      <c r="C940" s="263"/>
      <c r="D940" s="1"/>
      <c r="E940" s="1"/>
      <c r="F940" s="1"/>
      <c r="G940" s="26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64"/>
      <c r="W940" s="264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33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ht="18.75" customHeight="1">
      <c r="A941" s="203"/>
      <c r="B941" s="1"/>
      <c r="C941" s="263"/>
      <c r="D941" s="1"/>
      <c r="E941" s="1"/>
      <c r="F941" s="1"/>
      <c r="G941" s="26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64"/>
      <c r="W941" s="264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33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ht="18.75" customHeight="1">
      <c r="A942" s="203"/>
      <c r="B942" s="1"/>
      <c r="C942" s="263"/>
      <c r="D942" s="1"/>
      <c r="E942" s="1"/>
      <c r="F942" s="1"/>
      <c r="G942" s="26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64"/>
      <c r="W942" s="264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33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ht="18.75" customHeight="1">
      <c r="A943" s="203"/>
      <c r="B943" s="1"/>
      <c r="C943" s="263"/>
      <c r="D943" s="1"/>
      <c r="E943" s="1"/>
      <c r="F943" s="1"/>
      <c r="G943" s="26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64"/>
      <c r="W943" s="264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33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ht="18.75" customHeight="1">
      <c r="A944" s="203"/>
      <c r="B944" s="1"/>
      <c r="C944" s="263"/>
      <c r="D944" s="1"/>
      <c r="E944" s="1"/>
      <c r="F944" s="1"/>
      <c r="G944" s="26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64"/>
      <c r="W944" s="264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33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ht="18.75" customHeight="1">
      <c r="A945" s="203"/>
      <c r="B945" s="1"/>
      <c r="C945" s="263"/>
      <c r="D945" s="1"/>
      <c r="E945" s="1"/>
      <c r="F945" s="1"/>
      <c r="G945" s="26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64"/>
      <c r="W945" s="264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33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ht="18.75" customHeight="1">
      <c r="A946" s="203"/>
      <c r="B946" s="1"/>
      <c r="C946" s="263"/>
      <c r="D946" s="1"/>
      <c r="E946" s="1"/>
      <c r="F946" s="1"/>
      <c r="G946" s="26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64"/>
      <c r="W946" s="264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33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ht="18.75" customHeight="1">
      <c r="A947" s="203"/>
      <c r="B947" s="1"/>
      <c r="C947" s="263"/>
      <c r="D947" s="1"/>
      <c r="E947" s="1"/>
      <c r="F947" s="1"/>
      <c r="G947" s="26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64"/>
      <c r="W947" s="264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33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ht="18.75" customHeight="1">
      <c r="A948" s="203"/>
      <c r="B948" s="1"/>
      <c r="C948" s="263"/>
      <c r="D948" s="1"/>
      <c r="E948" s="1"/>
      <c r="F948" s="1"/>
      <c r="G948" s="26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64"/>
      <c r="W948" s="264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33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ht="18.75" customHeight="1">
      <c r="A949" s="203"/>
      <c r="B949" s="1"/>
      <c r="C949" s="263"/>
      <c r="D949" s="1"/>
      <c r="E949" s="1"/>
      <c r="F949" s="1"/>
      <c r="G949" s="26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64"/>
      <c r="W949" s="264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33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ht="18.75" customHeight="1">
      <c r="A950" s="203"/>
      <c r="B950" s="1"/>
      <c r="C950" s="263"/>
      <c r="D950" s="1"/>
      <c r="E950" s="1"/>
      <c r="F950" s="1"/>
      <c r="G950" s="26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64"/>
      <c r="W950" s="264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33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ht="18.75" customHeight="1">
      <c r="A951" s="203"/>
      <c r="B951" s="1"/>
      <c r="C951" s="263"/>
      <c r="D951" s="1"/>
      <c r="E951" s="1"/>
      <c r="F951" s="1"/>
      <c r="G951" s="26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64"/>
      <c r="W951" s="264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33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ht="18.75" customHeight="1">
      <c r="A952" s="203"/>
      <c r="B952" s="1"/>
      <c r="C952" s="263"/>
      <c r="D952" s="1"/>
      <c r="E952" s="1"/>
      <c r="F952" s="1"/>
      <c r="G952" s="26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64"/>
      <c r="W952" s="264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33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ht="18.75" customHeight="1">
      <c r="A953" s="203"/>
      <c r="B953" s="1"/>
      <c r="C953" s="263"/>
      <c r="D953" s="1"/>
      <c r="E953" s="1"/>
      <c r="F953" s="1"/>
      <c r="G953" s="26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64"/>
      <c r="W953" s="264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33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ht="18.75" customHeight="1">
      <c r="A954" s="203"/>
      <c r="B954" s="1"/>
      <c r="C954" s="263"/>
      <c r="D954" s="1"/>
      <c r="E954" s="1"/>
      <c r="F954" s="1"/>
      <c r="G954" s="26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64"/>
      <c r="W954" s="264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33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ht="18.75" customHeight="1">
      <c r="A955" s="203"/>
      <c r="B955" s="1"/>
      <c r="C955" s="263"/>
      <c r="D955" s="1"/>
      <c r="E955" s="1"/>
      <c r="F955" s="1"/>
      <c r="G955" s="26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64"/>
      <c r="W955" s="264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33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ht="18.75" customHeight="1">
      <c r="A956" s="203"/>
      <c r="B956" s="1"/>
      <c r="C956" s="263"/>
      <c r="D956" s="1"/>
      <c r="E956" s="1"/>
      <c r="F956" s="1"/>
      <c r="G956" s="26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64"/>
      <c r="W956" s="264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33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ht="18.75" customHeight="1">
      <c r="A957" s="203"/>
      <c r="B957" s="1"/>
      <c r="C957" s="263"/>
      <c r="D957" s="1"/>
      <c r="E957" s="1"/>
      <c r="F957" s="1"/>
      <c r="G957" s="26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64"/>
      <c r="W957" s="264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33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ht="18.75" customHeight="1">
      <c r="A958" s="203"/>
      <c r="B958" s="1"/>
      <c r="C958" s="263"/>
      <c r="D958" s="1"/>
      <c r="E958" s="1"/>
      <c r="F958" s="1"/>
      <c r="G958" s="26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64"/>
      <c r="W958" s="264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33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ht="18.75" customHeight="1">
      <c r="A959" s="203"/>
      <c r="B959" s="1"/>
      <c r="C959" s="263"/>
      <c r="D959" s="1"/>
      <c r="E959" s="1"/>
      <c r="F959" s="1"/>
      <c r="G959" s="26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64"/>
      <c r="W959" s="264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33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ht="18.75" customHeight="1">
      <c r="A960" s="203"/>
      <c r="B960" s="1"/>
      <c r="C960" s="263"/>
      <c r="D960" s="1"/>
      <c r="E960" s="1"/>
      <c r="F960" s="1"/>
      <c r="G960" s="26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64"/>
      <c r="W960" s="264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33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ht="18.75" customHeight="1">
      <c r="A961" s="203"/>
      <c r="B961" s="1"/>
      <c r="C961" s="263"/>
      <c r="D961" s="1"/>
      <c r="E961" s="1"/>
      <c r="F961" s="1"/>
      <c r="G961" s="26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64"/>
      <c r="W961" s="264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33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ht="18.75" customHeight="1">
      <c r="A962" s="203"/>
      <c r="B962" s="1"/>
      <c r="C962" s="263"/>
      <c r="D962" s="1"/>
      <c r="E962" s="1"/>
      <c r="F962" s="1"/>
      <c r="G962" s="26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64"/>
      <c r="W962" s="264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33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ht="18.75" customHeight="1">
      <c r="A963" s="203"/>
      <c r="B963" s="1"/>
      <c r="C963" s="263"/>
      <c r="D963" s="1"/>
      <c r="E963" s="1"/>
      <c r="F963" s="1"/>
      <c r="G963" s="26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64"/>
      <c r="W963" s="264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33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ht="18.75" customHeight="1">
      <c r="A964" s="203"/>
      <c r="B964" s="1"/>
      <c r="C964" s="263"/>
      <c r="D964" s="1"/>
      <c r="E964" s="1"/>
      <c r="F964" s="1"/>
      <c r="G964" s="26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64"/>
      <c r="W964" s="264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33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ht="18.75" customHeight="1">
      <c r="A965" s="203"/>
      <c r="B965" s="1"/>
      <c r="C965" s="263"/>
      <c r="D965" s="1"/>
      <c r="E965" s="1"/>
      <c r="F965" s="1"/>
      <c r="G965" s="26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64"/>
      <c r="W965" s="264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33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ht="18.75" customHeight="1">
      <c r="A966" s="203"/>
      <c r="B966" s="1"/>
      <c r="C966" s="263"/>
      <c r="D966" s="1"/>
      <c r="E966" s="1"/>
      <c r="F966" s="1"/>
      <c r="G966" s="26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64"/>
      <c r="W966" s="264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33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ht="18.75" customHeight="1">
      <c r="A967" s="203"/>
      <c r="B967" s="1"/>
      <c r="C967" s="263"/>
      <c r="D967" s="1"/>
      <c r="E967" s="1"/>
      <c r="F967" s="1"/>
      <c r="G967" s="26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64"/>
      <c r="W967" s="264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33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ht="18.75" customHeight="1">
      <c r="A968" s="203"/>
      <c r="B968" s="1"/>
      <c r="C968" s="263"/>
      <c r="D968" s="1"/>
      <c r="E968" s="1"/>
      <c r="F968" s="1"/>
      <c r="G968" s="26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64"/>
      <c r="W968" s="264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33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ht="18.75" customHeight="1">
      <c r="A969" s="203"/>
      <c r="B969" s="1"/>
      <c r="C969" s="263"/>
      <c r="D969" s="1"/>
      <c r="E969" s="1"/>
      <c r="F969" s="1"/>
      <c r="G969" s="26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64"/>
      <c r="W969" s="264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33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ht="18.75" customHeight="1">
      <c r="A970" s="203"/>
      <c r="B970" s="1"/>
      <c r="C970" s="263"/>
      <c r="D970" s="1"/>
      <c r="E970" s="1"/>
      <c r="F970" s="1"/>
      <c r="G970" s="26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64"/>
      <c r="W970" s="264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33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ht="18.75" customHeight="1">
      <c r="A971" s="203"/>
      <c r="B971" s="1"/>
      <c r="C971" s="263"/>
      <c r="D971" s="1"/>
      <c r="E971" s="1"/>
      <c r="F971" s="1"/>
      <c r="G971" s="26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64"/>
      <c r="W971" s="264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33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ht="18.75" customHeight="1">
      <c r="A972" s="203"/>
      <c r="B972" s="1"/>
      <c r="C972" s="263"/>
      <c r="D972" s="1"/>
      <c r="E972" s="1"/>
      <c r="F972" s="1"/>
      <c r="G972" s="26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64"/>
      <c r="W972" s="264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33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ht="18.75" customHeight="1">
      <c r="A973" s="203"/>
      <c r="B973" s="1"/>
      <c r="C973" s="263"/>
      <c r="D973" s="1"/>
      <c r="E973" s="1"/>
      <c r="F973" s="1"/>
      <c r="G973" s="26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64"/>
      <c r="W973" s="264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33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ht="18.75" customHeight="1">
      <c r="A974" s="203"/>
      <c r="B974" s="1"/>
      <c r="C974" s="263"/>
      <c r="D974" s="1"/>
      <c r="E974" s="1"/>
      <c r="F974" s="1"/>
      <c r="G974" s="26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64"/>
      <c r="W974" s="264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33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ht="18.75" customHeight="1">
      <c r="A975" s="203"/>
      <c r="B975" s="1"/>
      <c r="C975" s="263"/>
      <c r="D975" s="1"/>
      <c r="E975" s="1"/>
      <c r="F975" s="1"/>
      <c r="G975" s="26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64"/>
      <c r="W975" s="264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33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ht="18.75" customHeight="1">
      <c r="A976" s="203"/>
      <c r="B976" s="1"/>
      <c r="C976" s="263"/>
      <c r="D976" s="1"/>
      <c r="E976" s="1"/>
      <c r="F976" s="1"/>
      <c r="G976" s="26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64"/>
      <c r="W976" s="264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33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ht="18.75" customHeight="1">
      <c r="A977" s="203"/>
      <c r="B977" s="1"/>
      <c r="C977" s="263"/>
      <c r="D977" s="1"/>
      <c r="E977" s="1"/>
      <c r="F977" s="1"/>
      <c r="G977" s="26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64"/>
      <c r="W977" s="264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33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ht="18.75" customHeight="1">
      <c r="A978" s="203"/>
      <c r="B978" s="1"/>
      <c r="C978" s="263"/>
      <c r="D978" s="1"/>
      <c r="E978" s="1"/>
      <c r="F978" s="1"/>
      <c r="G978" s="26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64"/>
      <c r="W978" s="264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33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ht="18.75" customHeight="1">
      <c r="A979" s="203"/>
      <c r="B979" s="1"/>
      <c r="C979" s="263"/>
      <c r="D979" s="1"/>
      <c r="E979" s="1"/>
      <c r="F979" s="1"/>
      <c r="G979" s="26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64"/>
      <c r="W979" s="264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33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ht="18.75" customHeight="1">
      <c r="A980" s="203"/>
      <c r="B980" s="1"/>
      <c r="C980" s="263"/>
      <c r="D980" s="1"/>
      <c r="E980" s="1"/>
      <c r="F980" s="1"/>
      <c r="G980" s="26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64"/>
      <c r="W980" s="264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33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ht="18.75" customHeight="1">
      <c r="A981" s="203"/>
      <c r="B981" s="1"/>
      <c r="C981" s="263"/>
      <c r="D981" s="1"/>
      <c r="E981" s="1"/>
      <c r="F981" s="1"/>
      <c r="G981" s="26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64"/>
      <c r="W981" s="264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33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ht="18.75" customHeight="1">
      <c r="A982" s="203"/>
      <c r="B982" s="1"/>
      <c r="C982" s="263"/>
      <c r="D982" s="1"/>
      <c r="E982" s="1"/>
      <c r="F982" s="1"/>
      <c r="G982" s="26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64"/>
      <c r="W982" s="264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33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ht="18.75" customHeight="1">
      <c r="A983" s="203"/>
      <c r="B983" s="1"/>
      <c r="C983" s="263"/>
      <c r="D983" s="1"/>
      <c r="E983" s="1"/>
      <c r="F983" s="1"/>
      <c r="G983" s="26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64"/>
      <c r="W983" s="264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33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ht="18.75" customHeight="1">
      <c r="A984" s="203"/>
      <c r="B984" s="1"/>
      <c r="C984" s="263"/>
      <c r="D984" s="1"/>
      <c r="E984" s="1"/>
      <c r="F984" s="1"/>
      <c r="G984" s="26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64"/>
      <c r="W984" s="264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33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ht="18.75" customHeight="1">
      <c r="A985" s="203"/>
      <c r="B985" s="1"/>
      <c r="C985" s="263"/>
      <c r="D985" s="1"/>
      <c r="E985" s="1"/>
      <c r="F985" s="1"/>
      <c r="G985" s="26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64"/>
      <c r="W985" s="264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33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ht="18.75" customHeight="1">
      <c r="A986" s="203"/>
      <c r="B986" s="1"/>
      <c r="C986" s="263"/>
      <c r="D986" s="1"/>
      <c r="E986" s="1"/>
      <c r="F986" s="1"/>
      <c r="G986" s="26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64"/>
      <c r="W986" s="264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33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ht="18.75" customHeight="1">
      <c r="A987" s="203"/>
      <c r="B987" s="1"/>
      <c r="C987" s="263"/>
      <c r="D987" s="1"/>
      <c r="E987" s="1"/>
      <c r="F987" s="1"/>
      <c r="G987" s="26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64"/>
      <c r="W987" s="264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33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ht="18.75" customHeight="1">
      <c r="A988" s="203"/>
      <c r="B988" s="1"/>
      <c r="C988" s="263"/>
      <c r="D988" s="1"/>
      <c r="E988" s="1"/>
      <c r="F988" s="1"/>
      <c r="G988" s="26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64"/>
      <c r="W988" s="264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33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ht="18.75" customHeight="1">
      <c r="A989" s="203"/>
      <c r="B989" s="1"/>
      <c r="C989" s="263"/>
      <c r="D989" s="1"/>
      <c r="E989" s="1"/>
      <c r="F989" s="1"/>
      <c r="G989" s="26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64"/>
      <c r="W989" s="264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33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ht="18.75" customHeight="1">
      <c r="A990" s="203"/>
      <c r="B990" s="1"/>
      <c r="C990" s="263"/>
      <c r="D990" s="1"/>
      <c r="E990" s="1"/>
      <c r="F990" s="1"/>
      <c r="G990" s="26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64"/>
      <c r="W990" s="264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33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ht="18.75" customHeight="1">
      <c r="A991" s="203"/>
      <c r="B991" s="1"/>
      <c r="C991" s="263"/>
      <c r="D991" s="1"/>
      <c r="E991" s="1"/>
      <c r="F991" s="1"/>
      <c r="G991" s="26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64"/>
      <c r="W991" s="264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33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ht="18.75" customHeight="1">
      <c r="A992" s="203"/>
      <c r="B992" s="1"/>
      <c r="C992" s="263"/>
      <c r="D992" s="1"/>
      <c r="E992" s="1"/>
      <c r="F992" s="1"/>
      <c r="G992" s="26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64"/>
      <c r="W992" s="264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33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ht="18.75" customHeight="1">
      <c r="A993" s="203"/>
      <c r="B993" s="1"/>
      <c r="C993" s="263"/>
      <c r="D993" s="1"/>
      <c r="E993" s="1"/>
      <c r="F993" s="1"/>
      <c r="G993" s="26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64"/>
      <c r="W993" s="264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33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ht="18.75" customHeight="1">
      <c r="A994" s="203"/>
      <c r="B994" s="1"/>
      <c r="C994" s="263"/>
      <c r="D994" s="1"/>
      <c r="E994" s="1"/>
      <c r="F994" s="1"/>
      <c r="G994" s="26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64"/>
      <c r="W994" s="264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33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ht="18.75" customHeight="1">
      <c r="A995" s="203"/>
      <c r="B995" s="1"/>
      <c r="C995" s="263"/>
      <c r="D995" s="1"/>
      <c r="E995" s="1"/>
      <c r="F995" s="1"/>
      <c r="G995" s="26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64"/>
      <c r="W995" s="264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33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ht="18.75" customHeight="1">
      <c r="A996" s="203"/>
      <c r="B996" s="1"/>
      <c r="C996" s="263"/>
      <c r="D996" s="1"/>
      <c r="E996" s="1"/>
      <c r="F996" s="1"/>
      <c r="G996" s="26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64"/>
      <c r="W996" s="264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33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ht="18.75" customHeight="1">
      <c r="A997" s="203"/>
      <c r="B997" s="1"/>
      <c r="C997" s="263"/>
      <c r="D997" s="1"/>
      <c r="E997" s="1"/>
      <c r="F997" s="1"/>
      <c r="G997" s="26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64"/>
      <c r="W997" s="264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33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ht="18.75" customHeight="1">
      <c r="A998" s="203"/>
      <c r="B998" s="1"/>
      <c r="C998" s="263"/>
      <c r="D998" s="1"/>
      <c r="E998" s="1"/>
      <c r="F998" s="1"/>
      <c r="G998" s="26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64"/>
      <c r="W998" s="264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33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ht="18.75" customHeight="1">
      <c r="A999" s="203"/>
      <c r="B999" s="1"/>
      <c r="C999" s="263"/>
      <c r="D999" s="1"/>
      <c r="E999" s="1"/>
      <c r="F999" s="1"/>
      <c r="G999" s="26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64"/>
      <c r="W999" s="264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33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ht="18.75" customHeight="1">
      <c r="A1000" s="203"/>
      <c r="B1000" s="1"/>
      <c r="C1000" s="263"/>
      <c r="D1000" s="1"/>
      <c r="E1000" s="1"/>
      <c r="F1000" s="1"/>
      <c r="G1000" s="26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64"/>
      <c r="W1000" s="264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33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</sheetData>
  <mergeCells count="47">
    <mergeCell ref="Z7:AO7"/>
    <mergeCell ref="AP7:AV7"/>
    <mergeCell ref="BN7:BP7"/>
    <mergeCell ref="BQ7:BR7"/>
    <mergeCell ref="BS7:BT7"/>
    <mergeCell ref="BU7:BV7"/>
    <mergeCell ref="BY7:BZ7"/>
    <mergeCell ref="Z6:AV6"/>
    <mergeCell ref="AN8:AO8"/>
    <mergeCell ref="AU8:AV8"/>
    <mergeCell ref="BL6:BX6"/>
    <mergeCell ref="B7:B8"/>
    <mergeCell ref="C7:C8"/>
    <mergeCell ref="D7:D8"/>
    <mergeCell ref="E7:F7"/>
    <mergeCell ref="G7:H7"/>
    <mergeCell ref="BW7:BX7"/>
    <mergeCell ref="I7:I8"/>
    <mergeCell ref="J7:J8"/>
    <mergeCell ref="B12:B13"/>
    <mergeCell ref="C12:C13"/>
    <mergeCell ref="B20:B21"/>
    <mergeCell ref="C20:C21"/>
    <mergeCell ref="K7:K8"/>
    <mergeCell ref="L7:N7"/>
    <mergeCell ref="O7:Q7"/>
    <mergeCell ref="R7:S7"/>
    <mergeCell ref="U7:U8"/>
    <mergeCell ref="V7:V8"/>
    <mergeCell ref="U12:U13"/>
    <mergeCell ref="V12:V13"/>
    <mergeCell ref="U20:U21"/>
    <mergeCell ref="V20:V21"/>
    <mergeCell ref="BE7:BF7"/>
    <mergeCell ref="BG7:BH7"/>
    <mergeCell ref="BI7:BJ7"/>
    <mergeCell ref="BL7:BM7"/>
    <mergeCell ref="AX12:AX13"/>
    <mergeCell ref="AX20:AX21"/>
    <mergeCell ref="W7:W8"/>
    <mergeCell ref="X7:X8"/>
    <mergeCell ref="AN12:AN13"/>
    <mergeCell ref="AO12:AO13"/>
    <mergeCell ref="AY12:AY13"/>
    <mergeCell ref="AN20:AN21"/>
    <mergeCell ref="AO20:AO21"/>
    <mergeCell ref="AY20:AY2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9.0"/>
    <col customWidth="1" min="2" max="2" width="25.57"/>
    <col customWidth="1" min="3" max="4" width="28.14"/>
    <col customWidth="1" min="5" max="8" width="9.0"/>
  </cols>
  <sheetData>
    <row r="1" ht="13.5" customHeight="1"/>
    <row r="2" ht="13.5" customHeight="1"/>
    <row r="3" ht="13.5" customHeight="1">
      <c r="B3" s="266" t="s">
        <v>1120</v>
      </c>
      <c r="C3" s="266"/>
      <c r="G3" s="266"/>
    </row>
    <row r="4" ht="13.5" customHeight="1">
      <c r="C4" s="266"/>
    </row>
    <row r="5" ht="13.5" customHeight="1">
      <c r="C5" s="266"/>
    </row>
    <row r="6" ht="13.5" customHeight="1">
      <c r="C6" s="266"/>
    </row>
    <row r="7" ht="13.5" customHeight="1"/>
    <row r="8" ht="13.5" customHeight="1"/>
    <row r="9" ht="13.5" customHeight="1"/>
    <row r="10" ht="13.5" customHeight="1"/>
    <row r="11" ht="13.5" customHeight="1">
      <c r="B11" s="267" t="s">
        <v>1121</v>
      </c>
      <c r="C11" s="267" t="s">
        <v>1122</v>
      </c>
      <c r="D11" s="267" t="s">
        <v>1123</v>
      </c>
    </row>
    <row r="12" ht="13.5" customHeight="1">
      <c r="B12" s="268">
        <v>0.0</v>
      </c>
      <c r="C12" s="268">
        <f t="shared" ref="C12:C4044" si="1">20*LOG(D12)</f>
        <v>0</v>
      </c>
      <c r="D12" s="268">
        <f t="shared" ref="D12:D4044" si="2">16384/(16384-B12)</f>
        <v>1</v>
      </c>
    </row>
    <row r="13" ht="13.5" customHeight="1">
      <c r="B13" s="268">
        <v>4.0</v>
      </c>
      <c r="C13" s="268">
        <f t="shared" si="1"/>
        <v>0.002120837427</v>
      </c>
      <c r="D13" s="268">
        <f t="shared" si="2"/>
        <v>1.0002442</v>
      </c>
    </row>
    <row r="14" ht="13.5" customHeight="1">
      <c r="B14" s="268">
        <v>8.0</v>
      </c>
      <c r="C14" s="268">
        <f t="shared" si="1"/>
        <v>0.004242192826</v>
      </c>
      <c r="D14" s="268">
        <f t="shared" si="2"/>
        <v>1.00048852</v>
      </c>
    </row>
    <row r="15" ht="13.5" customHeight="1">
      <c r="B15" s="268">
        <v>12.0</v>
      </c>
      <c r="C15" s="268">
        <f t="shared" si="1"/>
        <v>0.00636406645</v>
      </c>
      <c r="D15" s="268">
        <f t="shared" si="2"/>
        <v>1.000732959</v>
      </c>
    </row>
    <row r="16" ht="13.5" customHeight="1">
      <c r="B16" s="268">
        <v>16.0</v>
      </c>
      <c r="C16" s="268">
        <f t="shared" si="1"/>
        <v>0.008486458553</v>
      </c>
      <c r="D16" s="268">
        <f t="shared" si="2"/>
        <v>1.000977517</v>
      </c>
    </row>
    <row r="17" ht="13.5" customHeight="1">
      <c r="B17" s="268">
        <v>20.0</v>
      </c>
      <c r="C17" s="268">
        <f t="shared" si="1"/>
        <v>0.01060936939</v>
      </c>
      <c r="D17" s="268">
        <f t="shared" si="2"/>
        <v>1.001222195</v>
      </c>
    </row>
    <row r="18" ht="13.5" customHeight="1">
      <c r="B18" s="268">
        <v>24.0</v>
      </c>
      <c r="C18" s="268">
        <f t="shared" si="1"/>
        <v>0.01273279921</v>
      </c>
      <c r="D18" s="268">
        <f t="shared" si="2"/>
        <v>1.001466993</v>
      </c>
    </row>
    <row r="19" ht="13.5" customHeight="1">
      <c r="B19" s="268">
        <v>28.0</v>
      </c>
      <c r="C19" s="268">
        <f t="shared" si="1"/>
        <v>0.01485674827</v>
      </c>
      <c r="D19" s="268">
        <f t="shared" si="2"/>
        <v>1.00171191</v>
      </c>
    </row>
    <row r="20" ht="13.5" customHeight="1">
      <c r="B20" s="268">
        <v>32.0</v>
      </c>
      <c r="C20" s="268">
        <f t="shared" si="1"/>
        <v>0.01698121682</v>
      </c>
      <c r="D20" s="268">
        <f t="shared" si="2"/>
        <v>1.001956947</v>
      </c>
    </row>
    <row r="21" ht="13.5" customHeight="1">
      <c r="B21" s="268">
        <v>36.0</v>
      </c>
      <c r="C21" s="268">
        <f t="shared" si="1"/>
        <v>0.01910620512</v>
      </c>
      <c r="D21" s="268">
        <f t="shared" si="2"/>
        <v>1.002202104</v>
      </c>
    </row>
    <row r="22" ht="13.5" customHeight="1">
      <c r="B22" s="268">
        <v>40.0</v>
      </c>
      <c r="C22" s="268">
        <f t="shared" si="1"/>
        <v>0.02123171343</v>
      </c>
      <c r="D22" s="268">
        <f t="shared" si="2"/>
        <v>1.002447381</v>
      </c>
    </row>
    <row r="23" ht="13.5" customHeight="1">
      <c r="B23" s="268">
        <v>44.0</v>
      </c>
      <c r="C23" s="268">
        <f t="shared" si="1"/>
        <v>0.02335774199</v>
      </c>
      <c r="D23" s="268">
        <f t="shared" si="2"/>
        <v>1.002692778</v>
      </c>
    </row>
    <row r="24" ht="13.5" customHeight="1">
      <c r="B24" s="268">
        <v>48.0</v>
      </c>
      <c r="C24" s="268">
        <f t="shared" si="1"/>
        <v>0.02548429106</v>
      </c>
      <c r="D24" s="268">
        <f t="shared" si="2"/>
        <v>1.002938296</v>
      </c>
    </row>
    <row r="25" ht="13.5" customHeight="1">
      <c r="B25" s="268">
        <v>52.0</v>
      </c>
      <c r="C25" s="268">
        <f t="shared" si="1"/>
        <v>0.0276113609</v>
      </c>
      <c r="D25" s="268">
        <f t="shared" si="2"/>
        <v>1.003183933</v>
      </c>
    </row>
    <row r="26" ht="13.5" customHeight="1">
      <c r="B26" s="268">
        <v>56.0</v>
      </c>
      <c r="C26" s="268">
        <f t="shared" si="1"/>
        <v>0.02973895175</v>
      </c>
      <c r="D26" s="268">
        <f t="shared" si="2"/>
        <v>1.003429691</v>
      </c>
    </row>
    <row r="27" ht="13.5" customHeight="1">
      <c r="B27" s="268">
        <v>60.0</v>
      </c>
      <c r="C27" s="268">
        <f t="shared" si="1"/>
        <v>0.03186706389</v>
      </c>
      <c r="D27" s="268">
        <f t="shared" si="2"/>
        <v>1.00367557</v>
      </c>
    </row>
    <row r="28" ht="13.5" customHeight="1">
      <c r="B28" s="268">
        <v>64.0</v>
      </c>
      <c r="C28" s="268">
        <f t="shared" si="1"/>
        <v>0.03399569756</v>
      </c>
      <c r="D28" s="268">
        <f t="shared" si="2"/>
        <v>1.003921569</v>
      </c>
    </row>
    <row r="29" ht="13.5" customHeight="1">
      <c r="B29" s="268">
        <v>68.0</v>
      </c>
      <c r="C29" s="268">
        <f t="shared" si="1"/>
        <v>0.03612485301</v>
      </c>
      <c r="D29" s="268">
        <f t="shared" si="2"/>
        <v>1.004167688</v>
      </c>
    </row>
    <row r="30" ht="13.5" customHeight="1">
      <c r="B30" s="268">
        <v>72.0</v>
      </c>
      <c r="C30" s="268">
        <f t="shared" si="1"/>
        <v>0.03825453051</v>
      </c>
      <c r="D30" s="268">
        <f t="shared" si="2"/>
        <v>1.004413928</v>
      </c>
    </row>
    <row r="31" ht="13.5" customHeight="1">
      <c r="B31" s="268">
        <v>76.0</v>
      </c>
      <c r="C31" s="268">
        <f t="shared" si="1"/>
        <v>0.04038473031</v>
      </c>
      <c r="D31" s="268">
        <f t="shared" si="2"/>
        <v>1.004660289</v>
      </c>
    </row>
    <row r="32" ht="13.5" customHeight="1">
      <c r="B32" s="268">
        <v>80.0</v>
      </c>
      <c r="C32" s="268">
        <f t="shared" si="1"/>
        <v>0.04251545267</v>
      </c>
      <c r="D32" s="268">
        <f t="shared" si="2"/>
        <v>1.004906771</v>
      </c>
    </row>
    <row r="33" ht="13.5" customHeight="1">
      <c r="B33" s="268">
        <v>84.0</v>
      </c>
      <c r="C33" s="268">
        <f t="shared" si="1"/>
        <v>0.04464669784</v>
      </c>
      <c r="D33" s="268">
        <f t="shared" si="2"/>
        <v>1.005153374</v>
      </c>
    </row>
    <row r="34" ht="13.5" customHeight="1">
      <c r="B34" s="268">
        <v>88.0</v>
      </c>
      <c r="C34" s="268">
        <f t="shared" si="1"/>
        <v>0.04677846607</v>
      </c>
      <c r="D34" s="268">
        <f t="shared" si="2"/>
        <v>1.005400098</v>
      </c>
    </row>
    <row r="35" ht="13.5" customHeight="1">
      <c r="B35" s="268">
        <v>92.0</v>
      </c>
      <c r="C35" s="268">
        <f t="shared" si="1"/>
        <v>0.04891075764</v>
      </c>
      <c r="D35" s="268">
        <f t="shared" si="2"/>
        <v>1.005646943</v>
      </c>
    </row>
    <row r="36" ht="13.5" customHeight="1">
      <c r="B36" s="268">
        <v>96.0</v>
      </c>
      <c r="C36" s="268">
        <f t="shared" si="1"/>
        <v>0.05104357278</v>
      </c>
      <c r="D36" s="268">
        <f t="shared" si="2"/>
        <v>1.00589391</v>
      </c>
    </row>
    <row r="37" ht="13.5" customHeight="1">
      <c r="B37" s="268">
        <v>100.0</v>
      </c>
      <c r="C37" s="268">
        <f t="shared" si="1"/>
        <v>0.05317691177</v>
      </c>
      <c r="D37" s="268">
        <f t="shared" si="2"/>
        <v>1.006140997</v>
      </c>
    </row>
    <row r="38" ht="13.5" customHeight="1">
      <c r="B38" s="268">
        <v>104.0</v>
      </c>
      <c r="C38" s="268">
        <f t="shared" si="1"/>
        <v>0.05531077485</v>
      </c>
      <c r="D38" s="268">
        <f t="shared" si="2"/>
        <v>1.006388206</v>
      </c>
    </row>
    <row r="39" ht="13.5" customHeight="1">
      <c r="B39" s="268">
        <v>108.0</v>
      </c>
      <c r="C39" s="268">
        <f t="shared" si="1"/>
        <v>0.05744516229</v>
      </c>
      <c r="D39" s="268">
        <f t="shared" si="2"/>
        <v>1.006635537</v>
      </c>
    </row>
    <row r="40" ht="13.5" customHeight="1">
      <c r="B40" s="268">
        <v>112.0</v>
      </c>
      <c r="C40" s="268">
        <f t="shared" si="1"/>
        <v>0.05958007434</v>
      </c>
      <c r="D40" s="268">
        <f t="shared" si="2"/>
        <v>1.006882989</v>
      </c>
    </row>
    <row r="41" ht="13.5" customHeight="1">
      <c r="B41" s="268">
        <v>116.0</v>
      </c>
      <c r="C41" s="268">
        <f t="shared" si="1"/>
        <v>0.06171551126</v>
      </c>
      <c r="D41" s="268">
        <f t="shared" si="2"/>
        <v>1.007130563</v>
      </c>
    </row>
    <row r="42" ht="13.5" customHeight="1">
      <c r="B42" s="268">
        <v>120.0</v>
      </c>
      <c r="C42" s="268">
        <f t="shared" si="1"/>
        <v>0.06385147332</v>
      </c>
      <c r="D42" s="268">
        <f t="shared" si="2"/>
        <v>1.007378259</v>
      </c>
    </row>
    <row r="43" ht="13.5" customHeight="1">
      <c r="B43" s="268">
        <v>124.0</v>
      </c>
      <c r="C43" s="268">
        <f t="shared" si="1"/>
        <v>0.06598796075</v>
      </c>
      <c r="D43" s="268">
        <f t="shared" si="2"/>
        <v>1.007626076</v>
      </c>
    </row>
    <row r="44" ht="13.5" customHeight="1">
      <c r="B44" s="268">
        <v>128.0</v>
      </c>
      <c r="C44" s="268">
        <f t="shared" si="1"/>
        <v>0.06812497384</v>
      </c>
      <c r="D44" s="268">
        <f t="shared" si="2"/>
        <v>1.007874016</v>
      </c>
    </row>
    <row r="45" ht="13.5" customHeight="1">
      <c r="B45" s="268">
        <v>132.0</v>
      </c>
      <c r="C45" s="268">
        <f t="shared" si="1"/>
        <v>0.07026251283</v>
      </c>
      <c r="D45" s="268">
        <f t="shared" si="2"/>
        <v>1.008122077</v>
      </c>
    </row>
    <row r="46" ht="13.5" customHeight="1">
      <c r="B46" s="268">
        <v>136.0</v>
      </c>
      <c r="C46" s="268">
        <f t="shared" si="1"/>
        <v>0.07240057798</v>
      </c>
      <c r="D46" s="268">
        <f t="shared" si="2"/>
        <v>1.008370261</v>
      </c>
    </row>
    <row r="47" ht="13.5" customHeight="1">
      <c r="B47" s="268">
        <v>140.0</v>
      </c>
      <c r="C47" s="268">
        <f t="shared" si="1"/>
        <v>0.07453916955</v>
      </c>
      <c r="D47" s="268">
        <f t="shared" si="2"/>
        <v>1.008618567</v>
      </c>
    </row>
    <row r="48" ht="13.5" customHeight="1">
      <c r="B48" s="268">
        <v>144.0</v>
      </c>
      <c r="C48" s="268">
        <f t="shared" si="1"/>
        <v>0.07667828781</v>
      </c>
      <c r="D48" s="268">
        <f t="shared" si="2"/>
        <v>1.008866995</v>
      </c>
    </row>
    <row r="49" ht="13.5" customHeight="1">
      <c r="B49" s="268">
        <v>148.0</v>
      </c>
      <c r="C49" s="268">
        <f t="shared" si="1"/>
        <v>0.07881793301</v>
      </c>
      <c r="D49" s="268">
        <f t="shared" si="2"/>
        <v>1.009115546</v>
      </c>
    </row>
    <row r="50" ht="13.5" customHeight="1">
      <c r="B50" s="268">
        <v>152.0</v>
      </c>
      <c r="C50" s="268">
        <f t="shared" si="1"/>
        <v>0.08095810541</v>
      </c>
      <c r="D50" s="268">
        <f t="shared" si="2"/>
        <v>1.009364219</v>
      </c>
    </row>
    <row r="51" ht="13.5" customHeight="1">
      <c r="B51" s="268">
        <v>156.0</v>
      </c>
      <c r="C51" s="268">
        <f t="shared" si="1"/>
        <v>0.08309880527</v>
      </c>
      <c r="D51" s="268">
        <f t="shared" si="2"/>
        <v>1.009613015</v>
      </c>
    </row>
    <row r="52" ht="13.5" customHeight="1">
      <c r="B52" s="268">
        <v>160.0</v>
      </c>
      <c r="C52" s="268">
        <f t="shared" si="1"/>
        <v>0.08524003285</v>
      </c>
      <c r="D52" s="268">
        <f t="shared" si="2"/>
        <v>1.009861933</v>
      </c>
    </row>
    <row r="53" ht="13.5" customHeight="1">
      <c r="B53" s="268">
        <v>164.0</v>
      </c>
      <c r="C53" s="268">
        <f t="shared" si="1"/>
        <v>0.08738178841</v>
      </c>
      <c r="D53" s="268">
        <f t="shared" si="2"/>
        <v>1.010110974</v>
      </c>
    </row>
    <row r="54" ht="13.5" customHeight="1">
      <c r="B54" s="268">
        <v>168.0</v>
      </c>
      <c r="C54" s="268">
        <f t="shared" si="1"/>
        <v>0.08952407222</v>
      </c>
      <c r="D54" s="268">
        <f t="shared" si="2"/>
        <v>1.010360138</v>
      </c>
    </row>
    <row r="55" ht="13.5" customHeight="1">
      <c r="B55" s="268">
        <v>172.0</v>
      </c>
      <c r="C55" s="268">
        <f t="shared" si="1"/>
        <v>0.09166688452</v>
      </c>
      <c r="D55" s="268">
        <f t="shared" si="2"/>
        <v>1.010609425</v>
      </c>
    </row>
    <row r="56" ht="13.5" customHeight="1">
      <c r="B56" s="268">
        <v>176.0</v>
      </c>
      <c r="C56" s="268">
        <f t="shared" si="1"/>
        <v>0.09381022559</v>
      </c>
      <c r="D56" s="268">
        <f t="shared" si="2"/>
        <v>1.010858835</v>
      </c>
    </row>
    <row r="57" ht="13.5" customHeight="1">
      <c r="B57" s="268">
        <v>180.0</v>
      </c>
      <c r="C57" s="268">
        <f t="shared" si="1"/>
        <v>0.09595409568</v>
      </c>
      <c r="D57" s="268">
        <f t="shared" si="2"/>
        <v>1.011108368</v>
      </c>
    </row>
    <row r="58" ht="13.5" customHeight="1">
      <c r="B58" s="268">
        <v>184.0</v>
      </c>
      <c r="C58" s="268">
        <f t="shared" si="1"/>
        <v>0.09809849506</v>
      </c>
      <c r="D58" s="268">
        <f t="shared" si="2"/>
        <v>1.011358025</v>
      </c>
    </row>
    <row r="59" ht="13.5" customHeight="1">
      <c r="B59" s="268">
        <v>188.0</v>
      </c>
      <c r="C59" s="268">
        <f t="shared" si="1"/>
        <v>0.100243424</v>
      </c>
      <c r="D59" s="268">
        <f t="shared" si="2"/>
        <v>1.011607804</v>
      </c>
    </row>
    <row r="60" ht="13.5" customHeight="1">
      <c r="B60" s="268">
        <v>192.0</v>
      </c>
      <c r="C60" s="268">
        <f t="shared" si="1"/>
        <v>0.1023888827</v>
      </c>
      <c r="D60" s="268">
        <f t="shared" si="2"/>
        <v>1.011857708</v>
      </c>
    </row>
    <row r="61" ht="13.5" customHeight="1">
      <c r="B61" s="268">
        <v>196.0</v>
      </c>
      <c r="C61" s="268">
        <f t="shared" si="1"/>
        <v>0.1045348715</v>
      </c>
      <c r="D61" s="268">
        <f t="shared" si="2"/>
        <v>1.012107734</v>
      </c>
    </row>
    <row r="62" ht="13.5" customHeight="1">
      <c r="B62" s="268">
        <v>200.0</v>
      </c>
      <c r="C62" s="268">
        <f t="shared" si="1"/>
        <v>0.1066813907</v>
      </c>
      <c r="D62" s="268">
        <f t="shared" si="2"/>
        <v>1.012357884</v>
      </c>
    </row>
    <row r="63" ht="13.5" customHeight="1">
      <c r="B63" s="268">
        <v>204.0</v>
      </c>
      <c r="C63" s="268">
        <f t="shared" si="1"/>
        <v>0.1088284404</v>
      </c>
      <c r="D63" s="268">
        <f t="shared" si="2"/>
        <v>1.012608158</v>
      </c>
    </row>
    <row r="64" ht="13.5" customHeight="1">
      <c r="B64" s="268">
        <v>208.0</v>
      </c>
      <c r="C64" s="268">
        <f t="shared" si="1"/>
        <v>0.110976021</v>
      </c>
      <c r="D64" s="268">
        <f t="shared" si="2"/>
        <v>1.012858556</v>
      </c>
    </row>
    <row r="65" ht="13.5" customHeight="1">
      <c r="B65" s="268">
        <v>212.0</v>
      </c>
      <c r="C65" s="268">
        <f t="shared" si="1"/>
        <v>0.1131241327</v>
      </c>
      <c r="D65" s="268">
        <f t="shared" si="2"/>
        <v>1.013109077</v>
      </c>
    </row>
    <row r="66" ht="13.5" customHeight="1">
      <c r="B66" s="268">
        <v>216.0</v>
      </c>
      <c r="C66" s="268">
        <f t="shared" si="1"/>
        <v>0.1152727758</v>
      </c>
      <c r="D66" s="268">
        <f t="shared" si="2"/>
        <v>1.013359723</v>
      </c>
    </row>
    <row r="67" ht="13.5" customHeight="1">
      <c r="B67" s="268">
        <v>220.0</v>
      </c>
      <c r="C67" s="268">
        <f t="shared" si="1"/>
        <v>0.1174219505</v>
      </c>
      <c r="D67" s="268">
        <f t="shared" si="2"/>
        <v>1.013610492</v>
      </c>
    </row>
    <row r="68" ht="13.5" customHeight="1">
      <c r="B68" s="268">
        <v>224.0</v>
      </c>
      <c r="C68" s="268">
        <f t="shared" si="1"/>
        <v>0.1195716571</v>
      </c>
      <c r="D68" s="268">
        <f t="shared" si="2"/>
        <v>1.013861386</v>
      </c>
    </row>
    <row r="69" ht="13.5" customHeight="1">
      <c r="B69" s="268">
        <v>228.0</v>
      </c>
      <c r="C69" s="268">
        <f t="shared" si="1"/>
        <v>0.121721896</v>
      </c>
      <c r="D69" s="268">
        <f t="shared" si="2"/>
        <v>1.014112404</v>
      </c>
    </row>
    <row r="70" ht="13.5" customHeight="1">
      <c r="B70" s="268">
        <v>232.0</v>
      </c>
      <c r="C70" s="268">
        <f t="shared" si="1"/>
        <v>0.1238726672</v>
      </c>
      <c r="D70" s="268">
        <f t="shared" si="2"/>
        <v>1.014363546</v>
      </c>
    </row>
    <row r="71" ht="13.5" customHeight="1">
      <c r="B71" s="268">
        <v>236.0</v>
      </c>
      <c r="C71" s="268">
        <f t="shared" si="1"/>
        <v>0.1260239711</v>
      </c>
      <c r="D71" s="268">
        <f t="shared" si="2"/>
        <v>1.014614813</v>
      </c>
    </row>
    <row r="72" ht="13.5" customHeight="1">
      <c r="B72" s="268">
        <v>240.0</v>
      </c>
      <c r="C72" s="268">
        <f t="shared" si="1"/>
        <v>0.1281758081</v>
      </c>
      <c r="D72" s="268">
        <f t="shared" si="2"/>
        <v>1.014866204</v>
      </c>
    </row>
    <row r="73" ht="13.5" customHeight="1">
      <c r="B73" s="268">
        <v>244.0</v>
      </c>
      <c r="C73" s="268">
        <f t="shared" si="1"/>
        <v>0.1303281782</v>
      </c>
      <c r="D73" s="268">
        <f t="shared" si="2"/>
        <v>1.01511772</v>
      </c>
    </row>
    <row r="74" ht="13.5" customHeight="1">
      <c r="B74" s="268">
        <v>248.0</v>
      </c>
      <c r="C74" s="268">
        <f t="shared" si="1"/>
        <v>0.1324810818</v>
      </c>
      <c r="D74" s="268">
        <f t="shared" si="2"/>
        <v>1.01536936</v>
      </c>
    </row>
    <row r="75" ht="13.5" customHeight="1">
      <c r="B75" s="268">
        <v>252.0</v>
      </c>
      <c r="C75" s="268">
        <f t="shared" si="1"/>
        <v>0.1346345192</v>
      </c>
      <c r="D75" s="268">
        <f t="shared" si="2"/>
        <v>1.015621126</v>
      </c>
    </row>
    <row r="76" ht="13.5" customHeight="1">
      <c r="B76" s="268">
        <v>256.0</v>
      </c>
      <c r="C76" s="268">
        <f t="shared" si="1"/>
        <v>0.1367884906</v>
      </c>
      <c r="D76" s="268">
        <f t="shared" si="2"/>
        <v>1.015873016</v>
      </c>
    </row>
    <row r="77" ht="13.5" customHeight="1">
      <c r="B77" s="268">
        <v>260.0</v>
      </c>
      <c r="C77" s="268">
        <f t="shared" si="1"/>
        <v>0.1389429963</v>
      </c>
      <c r="D77" s="268">
        <f t="shared" si="2"/>
        <v>1.016125031</v>
      </c>
    </row>
    <row r="78" ht="13.5" customHeight="1">
      <c r="B78" s="268">
        <v>264.0</v>
      </c>
      <c r="C78" s="268">
        <f t="shared" si="1"/>
        <v>0.1410980365</v>
      </c>
      <c r="D78" s="268">
        <f t="shared" si="2"/>
        <v>1.016377171</v>
      </c>
    </row>
    <row r="79" ht="13.5" customHeight="1">
      <c r="B79" s="268">
        <v>268.0</v>
      </c>
      <c r="C79" s="268">
        <f t="shared" si="1"/>
        <v>0.1432536116</v>
      </c>
      <c r="D79" s="268">
        <f t="shared" si="2"/>
        <v>1.016629437</v>
      </c>
    </row>
    <row r="80" ht="13.5" customHeight="1">
      <c r="B80" s="268">
        <v>272.0</v>
      </c>
      <c r="C80" s="268">
        <f t="shared" si="1"/>
        <v>0.1454097217</v>
      </c>
      <c r="D80" s="268">
        <f t="shared" si="2"/>
        <v>1.016881827</v>
      </c>
    </row>
    <row r="81" ht="13.5" customHeight="1">
      <c r="B81" s="268">
        <v>276.0</v>
      </c>
      <c r="C81" s="268">
        <f t="shared" si="1"/>
        <v>0.1475663672</v>
      </c>
      <c r="D81" s="268">
        <f t="shared" si="2"/>
        <v>1.017134343</v>
      </c>
    </row>
    <row r="82" ht="13.5" customHeight="1">
      <c r="B82" s="268">
        <v>280.0</v>
      </c>
      <c r="C82" s="268">
        <f t="shared" si="1"/>
        <v>0.1497235483</v>
      </c>
      <c r="D82" s="268">
        <f t="shared" si="2"/>
        <v>1.017386985</v>
      </c>
    </row>
    <row r="83" ht="13.5" customHeight="1">
      <c r="B83" s="268">
        <v>284.0</v>
      </c>
      <c r="C83" s="268">
        <f t="shared" si="1"/>
        <v>0.1518812653</v>
      </c>
      <c r="D83" s="268">
        <f t="shared" si="2"/>
        <v>1.017639752</v>
      </c>
    </row>
    <row r="84" ht="13.5" customHeight="1">
      <c r="B84" s="268">
        <v>288.0</v>
      </c>
      <c r="C84" s="268">
        <f t="shared" si="1"/>
        <v>0.1540395184</v>
      </c>
      <c r="D84" s="268">
        <f t="shared" si="2"/>
        <v>1.017892644</v>
      </c>
    </row>
    <row r="85" ht="13.5" customHeight="1">
      <c r="B85" s="268">
        <v>292.0</v>
      </c>
      <c r="C85" s="268">
        <f t="shared" si="1"/>
        <v>0.1561983079</v>
      </c>
      <c r="D85" s="268">
        <f t="shared" si="2"/>
        <v>1.018145662</v>
      </c>
    </row>
    <row r="86" ht="13.5" customHeight="1">
      <c r="B86" s="268">
        <v>296.0</v>
      </c>
      <c r="C86" s="268">
        <f t="shared" si="1"/>
        <v>0.1583576341</v>
      </c>
      <c r="D86" s="268">
        <f t="shared" si="2"/>
        <v>1.018398807</v>
      </c>
    </row>
    <row r="87" ht="13.5" customHeight="1">
      <c r="B87" s="268">
        <v>300.0</v>
      </c>
      <c r="C87" s="268">
        <f t="shared" si="1"/>
        <v>0.1605174973</v>
      </c>
      <c r="D87" s="268">
        <f t="shared" si="2"/>
        <v>1.018652077</v>
      </c>
    </row>
    <row r="88" ht="13.5" customHeight="1">
      <c r="B88" s="268">
        <v>304.0</v>
      </c>
      <c r="C88" s="268">
        <f t="shared" si="1"/>
        <v>0.1626778977</v>
      </c>
      <c r="D88" s="268">
        <f t="shared" si="2"/>
        <v>1.018905473</v>
      </c>
    </row>
    <row r="89" ht="13.5" customHeight="1">
      <c r="B89" s="268">
        <v>308.0</v>
      </c>
      <c r="C89" s="268">
        <f t="shared" si="1"/>
        <v>0.1648388355</v>
      </c>
      <c r="D89" s="268">
        <f t="shared" si="2"/>
        <v>1.019158995</v>
      </c>
    </row>
    <row r="90" ht="13.5" customHeight="1">
      <c r="B90" s="268">
        <v>312.0</v>
      </c>
      <c r="C90" s="268">
        <f t="shared" si="1"/>
        <v>0.1670003111</v>
      </c>
      <c r="D90" s="268">
        <f t="shared" si="2"/>
        <v>1.019412643</v>
      </c>
    </row>
    <row r="91" ht="13.5" customHeight="1">
      <c r="B91" s="268">
        <v>316.0</v>
      </c>
      <c r="C91" s="268">
        <f t="shared" si="1"/>
        <v>0.1691623247</v>
      </c>
      <c r="D91" s="268">
        <f t="shared" si="2"/>
        <v>1.019666418</v>
      </c>
    </row>
    <row r="92" ht="13.5" customHeight="1">
      <c r="B92" s="268">
        <v>320.0</v>
      </c>
      <c r="C92" s="268">
        <f t="shared" si="1"/>
        <v>0.1713248766</v>
      </c>
      <c r="D92" s="268">
        <f t="shared" si="2"/>
        <v>1.019920319</v>
      </c>
    </row>
    <row r="93" ht="13.5" customHeight="1">
      <c r="B93" s="268">
        <v>324.0</v>
      </c>
      <c r="C93" s="268">
        <f t="shared" si="1"/>
        <v>0.1734879671</v>
      </c>
      <c r="D93" s="268">
        <f t="shared" si="2"/>
        <v>1.020174346</v>
      </c>
    </row>
    <row r="94" ht="13.5" customHeight="1">
      <c r="B94" s="268">
        <v>328.0</v>
      </c>
      <c r="C94" s="268">
        <f t="shared" si="1"/>
        <v>0.1756515963</v>
      </c>
      <c r="D94" s="268">
        <f t="shared" si="2"/>
        <v>1.0204285</v>
      </c>
    </row>
    <row r="95" ht="13.5" customHeight="1">
      <c r="B95" s="268">
        <v>332.0</v>
      </c>
      <c r="C95" s="268">
        <f t="shared" si="1"/>
        <v>0.1778157647</v>
      </c>
      <c r="D95" s="268">
        <f t="shared" si="2"/>
        <v>1.020682781</v>
      </c>
    </row>
    <row r="96" ht="13.5" customHeight="1">
      <c r="B96" s="268">
        <v>336.0</v>
      </c>
      <c r="C96" s="268">
        <f t="shared" si="1"/>
        <v>0.1799804724</v>
      </c>
      <c r="D96" s="268">
        <f t="shared" si="2"/>
        <v>1.020937188</v>
      </c>
    </row>
    <row r="97" ht="13.5" customHeight="1">
      <c r="B97" s="268">
        <v>340.0</v>
      </c>
      <c r="C97" s="268">
        <f t="shared" si="1"/>
        <v>0.1821457197</v>
      </c>
      <c r="D97" s="268">
        <f t="shared" si="2"/>
        <v>1.021191723</v>
      </c>
    </row>
    <row r="98" ht="13.5" customHeight="1">
      <c r="B98" s="268">
        <v>344.0</v>
      </c>
      <c r="C98" s="268">
        <f t="shared" si="1"/>
        <v>0.184311507</v>
      </c>
      <c r="D98" s="268">
        <f t="shared" si="2"/>
        <v>1.021446384</v>
      </c>
    </row>
    <row r="99" ht="13.5" customHeight="1">
      <c r="B99" s="268">
        <v>348.0</v>
      </c>
      <c r="C99" s="268">
        <f t="shared" si="1"/>
        <v>0.1864778343</v>
      </c>
      <c r="D99" s="268">
        <f t="shared" si="2"/>
        <v>1.021701172</v>
      </c>
    </row>
    <row r="100" ht="13.5" customHeight="1">
      <c r="B100" s="268">
        <v>352.0</v>
      </c>
      <c r="C100" s="268">
        <f t="shared" si="1"/>
        <v>0.1886447022</v>
      </c>
      <c r="D100" s="268">
        <f t="shared" si="2"/>
        <v>1.021956088</v>
      </c>
    </row>
    <row r="101" ht="13.5" customHeight="1">
      <c r="B101" s="268">
        <v>356.0</v>
      </c>
      <c r="C101" s="268">
        <f t="shared" si="1"/>
        <v>0.1908121107</v>
      </c>
      <c r="D101" s="268">
        <f t="shared" si="2"/>
        <v>1.022211131</v>
      </c>
    </row>
    <row r="102" ht="13.5" customHeight="1">
      <c r="B102" s="268">
        <v>360.0</v>
      </c>
      <c r="C102" s="268">
        <f t="shared" si="1"/>
        <v>0.1929800602</v>
      </c>
      <c r="D102" s="268">
        <f t="shared" si="2"/>
        <v>1.022466301</v>
      </c>
    </row>
    <row r="103" ht="13.5" customHeight="1">
      <c r="B103" s="268">
        <v>364.0</v>
      </c>
      <c r="C103" s="268">
        <f t="shared" si="1"/>
        <v>0.195148551</v>
      </c>
      <c r="D103" s="268">
        <f t="shared" si="2"/>
        <v>1.022721598</v>
      </c>
    </row>
    <row r="104" ht="13.5" customHeight="1">
      <c r="B104" s="268">
        <v>368.0</v>
      </c>
      <c r="C104" s="268">
        <f t="shared" si="1"/>
        <v>0.1973175832</v>
      </c>
      <c r="D104" s="268">
        <f t="shared" si="2"/>
        <v>1.022977023</v>
      </c>
    </row>
    <row r="105" ht="13.5" customHeight="1">
      <c r="B105" s="268">
        <v>372.0</v>
      </c>
      <c r="C105" s="268">
        <f t="shared" si="1"/>
        <v>0.1994871573</v>
      </c>
      <c r="D105" s="268">
        <f t="shared" si="2"/>
        <v>1.023232576</v>
      </c>
    </row>
    <row r="106" ht="13.5" customHeight="1">
      <c r="B106" s="268">
        <v>376.0</v>
      </c>
      <c r="C106" s="268">
        <f t="shared" si="1"/>
        <v>0.2016572734</v>
      </c>
      <c r="D106" s="268">
        <f t="shared" si="2"/>
        <v>1.023488256</v>
      </c>
    </row>
    <row r="107" ht="13.5" customHeight="1">
      <c r="B107" s="268">
        <v>380.0</v>
      </c>
      <c r="C107" s="268">
        <f t="shared" si="1"/>
        <v>0.2038279318</v>
      </c>
      <c r="D107" s="268">
        <f t="shared" si="2"/>
        <v>1.023744064</v>
      </c>
    </row>
    <row r="108" ht="13.5" customHeight="1">
      <c r="B108" s="268">
        <v>384.0</v>
      </c>
      <c r="C108" s="268">
        <f t="shared" si="1"/>
        <v>0.2059991328</v>
      </c>
      <c r="D108" s="268">
        <f t="shared" si="2"/>
        <v>1.024</v>
      </c>
    </row>
    <row r="109" ht="13.5" customHeight="1">
      <c r="B109" s="268">
        <v>388.0</v>
      </c>
      <c r="C109" s="268">
        <f t="shared" si="1"/>
        <v>0.2081708767</v>
      </c>
      <c r="D109" s="268">
        <f t="shared" si="2"/>
        <v>1.024256064</v>
      </c>
    </row>
    <row r="110" ht="13.5" customHeight="1">
      <c r="B110" s="268">
        <v>392.0</v>
      </c>
      <c r="C110" s="268">
        <f t="shared" si="1"/>
        <v>0.2103431637</v>
      </c>
      <c r="D110" s="268">
        <f t="shared" si="2"/>
        <v>1.024512256</v>
      </c>
    </row>
    <row r="111" ht="13.5" customHeight="1">
      <c r="B111" s="268">
        <v>396.0</v>
      </c>
      <c r="C111" s="268">
        <f t="shared" si="1"/>
        <v>0.2125159942</v>
      </c>
      <c r="D111" s="268">
        <f t="shared" si="2"/>
        <v>1.024768576</v>
      </c>
    </row>
    <row r="112" ht="13.5" customHeight="1">
      <c r="B112" s="268">
        <v>400.0</v>
      </c>
      <c r="C112" s="268">
        <f t="shared" si="1"/>
        <v>0.2146893683</v>
      </c>
      <c r="D112" s="268">
        <f t="shared" si="2"/>
        <v>1.025025025</v>
      </c>
    </row>
    <row r="113" ht="13.5" customHeight="1">
      <c r="B113" s="268">
        <v>404.0</v>
      </c>
      <c r="C113" s="268">
        <f t="shared" si="1"/>
        <v>0.2168632864</v>
      </c>
      <c r="D113" s="268">
        <f t="shared" si="2"/>
        <v>1.025281602</v>
      </c>
    </row>
    <row r="114" ht="13.5" customHeight="1">
      <c r="B114" s="268">
        <v>408.0</v>
      </c>
      <c r="C114" s="268">
        <f t="shared" si="1"/>
        <v>0.2190377487</v>
      </c>
      <c r="D114" s="268">
        <f t="shared" si="2"/>
        <v>1.025538307</v>
      </c>
    </row>
    <row r="115" ht="13.5" customHeight="1">
      <c r="B115" s="268">
        <v>412.0</v>
      </c>
      <c r="C115" s="268">
        <f t="shared" si="1"/>
        <v>0.2212127555</v>
      </c>
      <c r="D115" s="268">
        <f t="shared" si="2"/>
        <v>1.025795141</v>
      </c>
    </row>
    <row r="116" ht="13.5" customHeight="1">
      <c r="B116" s="268">
        <v>416.0</v>
      </c>
      <c r="C116" s="268">
        <f t="shared" si="1"/>
        <v>0.223388307</v>
      </c>
      <c r="D116" s="268">
        <f t="shared" si="2"/>
        <v>1.026052104</v>
      </c>
    </row>
    <row r="117" ht="13.5" customHeight="1">
      <c r="B117" s="268">
        <v>420.0</v>
      </c>
      <c r="C117" s="268">
        <f t="shared" si="1"/>
        <v>0.2255644037</v>
      </c>
      <c r="D117" s="268">
        <f t="shared" si="2"/>
        <v>1.026309196</v>
      </c>
    </row>
    <row r="118" ht="13.5" customHeight="1">
      <c r="B118" s="268">
        <v>424.0</v>
      </c>
      <c r="C118" s="268">
        <f t="shared" si="1"/>
        <v>0.2277410456</v>
      </c>
      <c r="D118" s="268">
        <f t="shared" si="2"/>
        <v>1.026566416</v>
      </c>
    </row>
    <row r="119" ht="13.5" customHeight="1">
      <c r="B119" s="268">
        <v>428.0</v>
      </c>
      <c r="C119" s="268">
        <f t="shared" si="1"/>
        <v>0.2299182332</v>
      </c>
      <c r="D119" s="268">
        <f t="shared" si="2"/>
        <v>1.026823765</v>
      </c>
    </row>
    <row r="120" ht="13.5" customHeight="1">
      <c r="B120" s="268">
        <v>432.0</v>
      </c>
      <c r="C120" s="268">
        <f t="shared" si="1"/>
        <v>0.2320959666</v>
      </c>
      <c r="D120" s="268">
        <f t="shared" si="2"/>
        <v>1.027081244</v>
      </c>
    </row>
    <row r="121" ht="13.5" customHeight="1">
      <c r="B121" s="268">
        <v>436.0</v>
      </c>
      <c r="C121" s="268">
        <f t="shared" si="1"/>
        <v>0.2342742461</v>
      </c>
      <c r="D121" s="268">
        <f t="shared" si="2"/>
        <v>1.027338851</v>
      </c>
    </row>
    <row r="122" ht="13.5" customHeight="1">
      <c r="B122" s="268">
        <v>440.0</v>
      </c>
      <c r="C122" s="268">
        <f t="shared" si="1"/>
        <v>0.2364530721</v>
      </c>
      <c r="D122" s="268">
        <f t="shared" si="2"/>
        <v>1.027596588</v>
      </c>
    </row>
    <row r="123" ht="13.5" customHeight="1">
      <c r="B123" s="268">
        <v>444.0</v>
      </c>
      <c r="C123" s="268">
        <f t="shared" si="1"/>
        <v>0.2386324447</v>
      </c>
      <c r="D123" s="268">
        <f t="shared" si="2"/>
        <v>1.027854454</v>
      </c>
    </row>
    <row r="124" ht="13.5" customHeight="1">
      <c r="B124" s="268">
        <v>448.0</v>
      </c>
      <c r="C124" s="268">
        <f t="shared" si="1"/>
        <v>0.2408123643</v>
      </c>
      <c r="D124" s="268">
        <f t="shared" si="2"/>
        <v>1.02811245</v>
      </c>
    </row>
    <row r="125" ht="13.5" customHeight="1">
      <c r="B125" s="268">
        <v>452.0</v>
      </c>
      <c r="C125" s="268">
        <f t="shared" si="1"/>
        <v>0.2429928312</v>
      </c>
      <c r="D125" s="268">
        <f t="shared" si="2"/>
        <v>1.028370575</v>
      </c>
    </row>
    <row r="126" ht="13.5" customHeight="1">
      <c r="B126" s="268">
        <v>456.0</v>
      </c>
      <c r="C126" s="268">
        <f t="shared" si="1"/>
        <v>0.2451738455</v>
      </c>
      <c r="D126" s="268">
        <f t="shared" si="2"/>
        <v>1.02862883</v>
      </c>
    </row>
    <row r="127" ht="13.5" customHeight="1">
      <c r="B127" s="268">
        <v>460.0</v>
      </c>
      <c r="C127" s="268">
        <f t="shared" si="1"/>
        <v>0.2473554077</v>
      </c>
      <c r="D127" s="268">
        <f t="shared" si="2"/>
        <v>1.028887214</v>
      </c>
    </row>
    <row r="128" ht="13.5" customHeight="1">
      <c r="B128" s="268">
        <v>464.0</v>
      </c>
      <c r="C128" s="268">
        <f t="shared" si="1"/>
        <v>0.2495375179</v>
      </c>
      <c r="D128" s="268">
        <f t="shared" si="2"/>
        <v>1.029145729</v>
      </c>
    </row>
    <row r="129" ht="13.5" customHeight="1">
      <c r="B129" s="268">
        <v>468.0</v>
      </c>
      <c r="C129" s="268">
        <f t="shared" si="1"/>
        <v>0.2517201764</v>
      </c>
      <c r="D129" s="268">
        <f t="shared" si="2"/>
        <v>1.029404373</v>
      </c>
    </row>
    <row r="130" ht="13.5" customHeight="1">
      <c r="B130" s="268">
        <v>472.0</v>
      </c>
      <c r="C130" s="268">
        <f t="shared" si="1"/>
        <v>0.2539033836</v>
      </c>
      <c r="D130" s="268">
        <f t="shared" si="2"/>
        <v>1.029663147</v>
      </c>
    </row>
    <row r="131" ht="13.5" customHeight="1">
      <c r="B131" s="268">
        <v>476.0</v>
      </c>
      <c r="C131" s="268">
        <f t="shared" si="1"/>
        <v>0.2560871396</v>
      </c>
      <c r="D131" s="268">
        <f t="shared" si="2"/>
        <v>1.029922052</v>
      </c>
    </row>
    <row r="132" ht="13.5" customHeight="1">
      <c r="B132" s="268">
        <v>480.0</v>
      </c>
      <c r="C132" s="268">
        <f t="shared" si="1"/>
        <v>0.2582714448</v>
      </c>
      <c r="D132" s="268">
        <f t="shared" si="2"/>
        <v>1.030181087</v>
      </c>
    </row>
    <row r="133" ht="13.5" customHeight="1">
      <c r="B133" s="268">
        <v>484.0</v>
      </c>
      <c r="C133" s="268">
        <f t="shared" si="1"/>
        <v>0.2604562995</v>
      </c>
      <c r="D133" s="268">
        <f t="shared" si="2"/>
        <v>1.030440252</v>
      </c>
    </row>
    <row r="134" ht="13.5" customHeight="1">
      <c r="B134" s="268">
        <v>488.0</v>
      </c>
      <c r="C134" s="268">
        <f t="shared" si="1"/>
        <v>0.2626417039</v>
      </c>
      <c r="D134" s="268">
        <f t="shared" si="2"/>
        <v>1.030699547</v>
      </c>
    </row>
    <row r="135" ht="13.5" customHeight="1">
      <c r="B135" s="268">
        <v>492.0</v>
      </c>
      <c r="C135" s="268">
        <f t="shared" si="1"/>
        <v>0.2648276582</v>
      </c>
      <c r="D135" s="268">
        <f t="shared" si="2"/>
        <v>1.030958973</v>
      </c>
    </row>
    <row r="136" ht="13.5" customHeight="1">
      <c r="B136" s="268">
        <v>496.0</v>
      </c>
      <c r="C136" s="268">
        <f t="shared" si="1"/>
        <v>0.2670141629</v>
      </c>
      <c r="D136" s="268">
        <f t="shared" si="2"/>
        <v>1.03121853</v>
      </c>
    </row>
    <row r="137" ht="13.5" customHeight="1">
      <c r="B137" s="268">
        <v>500.0</v>
      </c>
      <c r="C137" s="268">
        <f t="shared" si="1"/>
        <v>0.2692012181</v>
      </c>
      <c r="D137" s="268">
        <f t="shared" si="2"/>
        <v>1.031478217</v>
      </c>
    </row>
    <row r="138" ht="13.5" customHeight="1">
      <c r="B138" s="268">
        <v>504.0</v>
      </c>
      <c r="C138" s="268">
        <f t="shared" si="1"/>
        <v>0.2713888241</v>
      </c>
      <c r="D138" s="268">
        <f t="shared" si="2"/>
        <v>1.031738035</v>
      </c>
    </row>
    <row r="139" ht="13.5" customHeight="1">
      <c r="B139" s="268">
        <v>508.0</v>
      </c>
      <c r="C139" s="268">
        <f t="shared" si="1"/>
        <v>0.2735769812</v>
      </c>
      <c r="D139" s="268">
        <f t="shared" si="2"/>
        <v>1.031997984</v>
      </c>
    </row>
    <row r="140" ht="13.5" customHeight="1">
      <c r="B140" s="268">
        <v>512.0</v>
      </c>
      <c r="C140" s="268">
        <f t="shared" si="1"/>
        <v>0.2757656897</v>
      </c>
      <c r="D140" s="268">
        <f t="shared" si="2"/>
        <v>1.032258065</v>
      </c>
    </row>
    <row r="141" ht="13.5" customHeight="1">
      <c r="B141" s="268">
        <v>516.0</v>
      </c>
      <c r="C141" s="268">
        <f t="shared" si="1"/>
        <v>0.2779549499</v>
      </c>
      <c r="D141" s="268">
        <f t="shared" si="2"/>
        <v>1.032518276</v>
      </c>
    </row>
    <row r="142" ht="13.5" customHeight="1">
      <c r="B142" s="268">
        <v>520.0</v>
      </c>
      <c r="C142" s="268">
        <f t="shared" si="1"/>
        <v>0.280144762</v>
      </c>
      <c r="D142" s="268">
        <f t="shared" si="2"/>
        <v>1.032778618</v>
      </c>
    </row>
    <row r="143" ht="13.5" customHeight="1">
      <c r="B143" s="268">
        <v>524.0</v>
      </c>
      <c r="C143" s="268">
        <f t="shared" si="1"/>
        <v>0.2823351263</v>
      </c>
      <c r="D143" s="268">
        <f t="shared" si="2"/>
        <v>1.033039092</v>
      </c>
    </row>
    <row r="144" ht="13.5" customHeight="1">
      <c r="B144" s="268">
        <v>528.0</v>
      </c>
      <c r="C144" s="268">
        <f t="shared" si="1"/>
        <v>0.2845260431</v>
      </c>
      <c r="D144" s="268">
        <f t="shared" si="2"/>
        <v>1.033299697</v>
      </c>
    </row>
    <row r="145" ht="13.5" customHeight="1">
      <c r="B145" s="268">
        <v>532.0</v>
      </c>
      <c r="C145" s="268">
        <f t="shared" si="1"/>
        <v>0.2867175127</v>
      </c>
      <c r="D145" s="268">
        <f t="shared" si="2"/>
        <v>1.033560434</v>
      </c>
    </row>
    <row r="146" ht="13.5" customHeight="1">
      <c r="B146" s="268">
        <v>536.0</v>
      </c>
      <c r="C146" s="268">
        <f t="shared" si="1"/>
        <v>0.2889095353</v>
      </c>
      <c r="D146" s="268">
        <f t="shared" si="2"/>
        <v>1.033821302</v>
      </c>
    </row>
    <row r="147" ht="13.5" customHeight="1">
      <c r="B147" s="268">
        <v>540.0</v>
      </c>
      <c r="C147" s="268">
        <f t="shared" si="1"/>
        <v>0.2911021113</v>
      </c>
      <c r="D147" s="268">
        <f t="shared" si="2"/>
        <v>1.034082302</v>
      </c>
    </row>
    <row r="148" ht="13.5" customHeight="1">
      <c r="B148" s="268">
        <v>544.0</v>
      </c>
      <c r="C148" s="268">
        <f t="shared" si="1"/>
        <v>0.2932952408</v>
      </c>
      <c r="D148" s="268">
        <f t="shared" si="2"/>
        <v>1.034343434</v>
      </c>
    </row>
    <row r="149" ht="13.5" customHeight="1">
      <c r="B149" s="268">
        <v>548.0</v>
      </c>
      <c r="C149" s="268">
        <f t="shared" si="1"/>
        <v>0.2954889243</v>
      </c>
      <c r="D149" s="268">
        <f t="shared" si="2"/>
        <v>1.034604698</v>
      </c>
    </row>
    <row r="150" ht="13.5" customHeight="1">
      <c r="B150" s="268">
        <v>552.0</v>
      </c>
      <c r="C150" s="268">
        <f t="shared" si="1"/>
        <v>0.2976831619</v>
      </c>
      <c r="D150" s="268">
        <f t="shared" si="2"/>
        <v>1.034866094</v>
      </c>
    </row>
    <row r="151" ht="13.5" customHeight="1">
      <c r="B151" s="268">
        <v>556.0</v>
      </c>
      <c r="C151" s="268">
        <f t="shared" si="1"/>
        <v>0.299877954</v>
      </c>
      <c r="D151" s="268">
        <f t="shared" si="2"/>
        <v>1.035127622</v>
      </c>
    </row>
    <row r="152" ht="13.5" customHeight="1">
      <c r="B152" s="268">
        <v>560.0</v>
      </c>
      <c r="C152" s="268">
        <f t="shared" si="1"/>
        <v>0.3020733009</v>
      </c>
      <c r="D152" s="268">
        <f t="shared" si="2"/>
        <v>1.035389282</v>
      </c>
    </row>
    <row r="153" ht="13.5" customHeight="1">
      <c r="B153" s="268">
        <v>564.0</v>
      </c>
      <c r="C153" s="268">
        <f t="shared" si="1"/>
        <v>0.3042692027</v>
      </c>
      <c r="D153" s="268">
        <f t="shared" si="2"/>
        <v>1.035651075</v>
      </c>
    </row>
    <row r="154" ht="13.5" customHeight="1">
      <c r="B154" s="268">
        <v>568.0</v>
      </c>
      <c r="C154" s="268">
        <f t="shared" si="1"/>
        <v>0.3064656598</v>
      </c>
      <c r="D154" s="268">
        <f t="shared" si="2"/>
        <v>1.035912999</v>
      </c>
    </row>
    <row r="155" ht="13.5" customHeight="1">
      <c r="B155" s="268">
        <v>572.0</v>
      </c>
      <c r="C155" s="268">
        <f t="shared" si="1"/>
        <v>0.3086626725</v>
      </c>
      <c r="D155" s="268">
        <f t="shared" si="2"/>
        <v>1.036175057</v>
      </c>
    </row>
    <row r="156" ht="13.5" customHeight="1">
      <c r="B156" s="268">
        <v>576.0</v>
      </c>
      <c r="C156" s="268">
        <f t="shared" si="1"/>
        <v>0.310860241</v>
      </c>
      <c r="D156" s="268">
        <f t="shared" si="2"/>
        <v>1.036437247</v>
      </c>
    </row>
    <row r="157" ht="13.5" customHeight="1">
      <c r="B157" s="268">
        <v>580.0</v>
      </c>
      <c r="C157" s="268">
        <f t="shared" si="1"/>
        <v>0.3130583657</v>
      </c>
      <c r="D157" s="268">
        <f t="shared" si="2"/>
        <v>1.03669957</v>
      </c>
    </row>
    <row r="158" ht="13.5" customHeight="1">
      <c r="B158" s="268">
        <v>584.0</v>
      </c>
      <c r="C158" s="268">
        <f t="shared" si="1"/>
        <v>0.3152570468</v>
      </c>
      <c r="D158" s="268">
        <f t="shared" si="2"/>
        <v>1.036962025</v>
      </c>
    </row>
    <row r="159" ht="13.5" customHeight="1">
      <c r="B159" s="268">
        <v>588.0</v>
      </c>
      <c r="C159" s="268">
        <f t="shared" si="1"/>
        <v>0.3174562846</v>
      </c>
      <c r="D159" s="268">
        <f t="shared" si="2"/>
        <v>1.037224614</v>
      </c>
    </row>
    <row r="160" ht="13.5" customHeight="1">
      <c r="B160" s="268">
        <v>592.0</v>
      </c>
      <c r="C160" s="268">
        <f t="shared" si="1"/>
        <v>0.3196560794</v>
      </c>
      <c r="D160" s="268">
        <f t="shared" si="2"/>
        <v>1.037487335</v>
      </c>
    </row>
    <row r="161" ht="13.5" customHeight="1">
      <c r="B161" s="268">
        <v>596.0</v>
      </c>
      <c r="C161" s="268">
        <f t="shared" si="1"/>
        <v>0.3218564314</v>
      </c>
      <c r="D161" s="268">
        <f t="shared" si="2"/>
        <v>1.03775019</v>
      </c>
    </row>
    <row r="162" ht="13.5" customHeight="1">
      <c r="B162" s="268">
        <v>600.0</v>
      </c>
      <c r="C162" s="268">
        <f t="shared" si="1"/>
        <v>0.324057341</v>
      </c>
      <c r="D162" s="268">
        <f t="shared" si="2"/>
        <v>1.038013178</v>
      </c>
    </row>
    <row r="163" ht="13.5" customHeight="1">
      <c r="B163" s="268">
        <v>604.0</v>
      </c>
      <c r="C163" s="268">
        <f t="shared" si="1"/>
        <v>0.3262588084</v>
      </c>
      <c r="D163" s="268">
        <f t="shared" si="2"/>
        <v>1.038276299</v>
      </c>
    </row>
    <row r="164" ht="13.5" customHeight="1">
      <c r="B164" s="268">
        <v>608.0</v>
      </c>
      <c r="C164" s="268">
        <f t="shared" si="1"/>
        <v>0.328460834</v>
      </c>
      <c r="D164" s="268">
        <f t="shared" si="2"/>
        <v>1.038539554</v>
      </c>
    </row>
    <row r="165" ht="13.5" customHeight="1">
      <c r="B165" s="268">
        <v>612.0</v>
      </c>
      <c r="C165" s="268">
        <f t="shared" si="1"/>
        <v>0.3306634179</v>
      </c>
      <c r="D165" s="268">
        <f t="shared" si="2"/>
        <v>1.038802942</v>
      </c>
    </row>
    <row r="166" ht="13.5" customHeight="1">
      <c r="B166" s="268">
        <v>616.0</v>
      </c>
      <c r="C166" s="268">
        <f t="shared" si="1"/>
        <v>0.3328665605</v>
      </c>
      <c r="D166" s="268">
        <f t="shared" si="2"/>
        <v>1.039066464</v>
      </c>
    </row>
    <row r="167" ht="13.5" customHeight="1">
      <c r="B167" s="268">
        <v>620.0</v>
      </c>
      <c r="C167" s="268">
        <f t="shared" si="1"/>
        <v>0.335070262</v>
      </c>
      <c r="D167" s="268">
        <f t="shared" si="2"/>
        <v>1.039330119</v>
      </c>
    </row>
    <row r="168" ht="13.5" customHeight="1">
      <c r="B168" s="268">
        <v>624.0</v>
      </c>
      <c r="C168" s="268">
        <f t="shared" si="1"/>
        <v>0.3372745228</v>
      </c>
      <c r="D168" s="268">
        <f t="shared" si="2"/>
        <v>1.039593909</v>
      </c>
    </row>
    <row r="169" ht="13.5" customHeight="1">
      <c r="B169" s="268">
        <v>628.0</v>
      </c>
      <c r="C169" s="268">
        <f t="shared" si="1"/>
        <v>0.3394793432</v>
      </c>
      <c r="D169" s="268">
        <f t="shared" si="2"/>
        <v>1.039857832</v>
      </c>
    </row>
    <row r="170" ht="13.5" customHeight="1">
      <c r="B170" s="268">
        <v>632.0</v>
      </c>
      <c r="C170" s="268">
        <f t="shared" si="1"/>
        <v>0.3416847233</v>
      </c>
      <c r="D170" s="268">
        <f t="shared" si="2"/>
        <v>1.040121889</v>
      </c>
    </row>
    <row r="171" ht="13.5" customHeight="1">
      <c r="B171" s="268">
        <v>636.0</v>
      </c>
      <c r="C171" s="268">
        <f t="shared" si="1"/>
        <v>0.3438906636</v>
      </c>
      <c r="D171" s="268">
        <f t="shared" si="2"/>
        <v>1.040386081</v>
      </c>
    </row>
    <row r="172" ht="13.5" customHeight="1">
      <c r="B172" s="268">
        <v>640.0</v>
      </c>
      <c r="C172" s="268">
        <f t="shared" si="1"/>
        <v>0.3460971642</v>
      </c>
      <c r="D172" s="268">
        <f t="shared" si="2"/>
        <v>1.040650407</v>
      </c>
    </row>
    <row r="173" ht="13.5" customHeight="1">
      <c r="B173" s="268">
        <v>644.0</v>
      </c>
      <c r="C173" s="268">
        <f t="shared" si="1"/>
        <v>0.3483042255</v>
      </c>
      <c r="D173" s="268">
        <f t="shared" si="2"/>
        <v>1.040914867</v>
      </c>
    </row>
    <row r="174" ht="13.5" customHeight="1">
      <c r="B174" s="268">
        <v>648.0</v>
      </c>
      <c r="C174" s="268">
        <f t="shared" si="1"/>
        <v>0.3505118477</v>
      </c>
      <c r="D174" s="268">
        <f t="shared" si="2"/>
        <v>1.041179461</v>
      </c>
    </row>
    <row r="175" ht="13.5" customHeight="1">
      <c r="B175" s="268">
        <v>652.0</v>
      </c>
      <c r="C175" s="268">
        <f t="shared" si="1"/>
        <v>0.3527200312</v>
      </c>
      <c r="D175" s="268">
        <f t="shared" si="2"/>
        <v>1.04144419</v>
      </c>
    </row>
    <row r="176" ht="13.5" customHeight="1">
      <c r="B176" s="268">
        <v>656.0</v>
      </c>
      <c r="C176" s="268">
        <f t="shared" si="1"/>
        <v>0.3549287762</v>
      </c>
      <c r="D176" s="268">
        <f t="shared" si="2"/>
        <v>1.041709054</v>
      </c>
    </row>
    <row r="177" ht="13.5" customHeight="1">
      <c r="B177" s="268">
        <v>660.0</v>
      </c>
      <c r="C177" s="268">
        <f t="shared" si="1"/>
        <v>0.357138083</v>
      </c>
      <c r="D177" s="268">
        <f t="shared" si="2"/>
        <v>1.041974052</v>
      </c>
    </row>
    <row r="178" ht="13.5" customHeight="1">
      <c r="B178" s="268">
        <v>664.0</v>
      </c>
      <c r="C178" s="268">
        <f t="shared" si="1"/>
        <v>0.3593479518</v>
      </c>
      <c r="D178" s="268">
        <f t="shared" si="2"/>
        <v>1.042239186</v>
      </c>
    </row>
    <row r="179" ht="13.5" customHeight="1">
      <c r="B179" s="268">
        <v>668.0</v>
      </c>
      <c r="C179" s="268">
        <f t="shared" si="1"/>
        <v>0.3615583831</v>
      </c>
      <c r="D179" s="268">
        <f t="shared" si="2"/>
        <v>1.042504454</v>
      </c>
    </row>
    <row r="180" ht="13.5" customHeight="1">
      <c r="B180" s="268">
        <v>672.0</v>
      </c>
      <c r="C180" s="268">
        <f t="shared" si="1"/>
        <v>0.3637693771</v>
      </c>
      <c r="D180" s="268">
        <f t="shared" si="2"/>
        <v>1.042769857</v>
      </c>
    </row>
    <row r="181" ht="13.5" customHeight="1">
      <c r="B181" s="268">
        <v>676.0</v>
      </c>
      <c r="C181" s="268">
        <f t="shared" si="1"/>
        <v>0.3659809339</v>
      </c>
      <c r="D181" s="268">
        <f t="shared" si="2"/>
        <v>1.043035396</v>
      </c>
    </row>
    <row r="182" ht="13.5" customHeight="1">
      <c r="B182" s="268">
        <v>680.0</v>
      </c>
      <c r="C182" s="268">
        <f t="shared" si="1"/>
        <v>0.3681930541</v>
      </c>
      <c r="D182" s="268">
        <f t="shared" si="2"/>
        <v>1.04330107</v>
      </c>
    </row>
    <row r="183" ht="13.5" customHeight="1">
      <c r="B183" s="268">
        <v>684.0</v>
      </c>
      <c r="C183" s="268">
        <f t="shared" si="1"/>
        <v>0.3704057377</v>
      </c>
      <c r="D183" s="268">
        <f t="shared" si="2"/>
        <v>1.043566879</v>
      </c>
    </row>
    <row r="184" ht="13.5" customHeight="1">
      <c r="B184" s="268">
        <v>688.0</v>
      </c>
      <c r="C184" s="268">
        <f t="shared" si="1"/>
        <v>0.3726189852</v>
      </c>
      <c r="D184" s="268">
        <f t="shared" si="2"/>
        <v>1.043832824</v>
      </c>
    </row>
    <row r="185" ht="13.5" customHeight="1">
      <c r="B185" s="268">
        <v>692.0</v>
      </c>
      <c r="C185" s="268">
        <f t="shared" si="1"/>
        <v>0.3748327968</v>
      </c>
      <c r="D185" s="268">
        <f t="shared" si="2"/>
        <v>1.044098904</v>
      </c>
    </row>
    <row r="186" ht="13.5" customHeight="1">
      <c r="B186" s="268">
        <v>696.0</v>
      </c>
      <c r="C186" s="268">
        <f t="shared" si="1"/>
        <v>0.3770471727</v>
      </c>
      <c r="D186" s="268">
        <f t="shared" si="2"/>
        <v>1.04436512</v>
      </c>
    </row>
    <row r="187" ht="13.5" customHeight="1">
      <c r="B187" s="268">
        <v>700.0</v>
      </c>
      <c r="C187" s="268">
        <f t="shared" si="1"/>
        <v>0.3792621134</v>
      </c>
      <c r="D187" s="268">
        <f t="shared" si="2"/>
        <v>1.044631472</v>
      </c>
    </row>
    <row r="188" ht="13.5" customHeight="1">
      <c r="B188" s="268">
        <v>704.0</v>
      </c>
      <c r="C188" s="268">
        <f t="shared" si="1"/>
        <v>0.3814776189</v>
      </c>
      <c r="D188" s="268">
        <f t="shared" si="2"/>
        <v>1.044897959</v>
      </c>
    </row>
    <row r="189" ht="13.5" customHeight="1">
      <c r="B189" s="268">
        <v>708.0</v>
      </c>
      <c r="C189" s="268">
        <f t="shared" si="1"/>
        <v>0.3836936898</v>
      </c>
      <c r="D189" s="268">
        <f t="shared" si="2"/>
        <v>1.045164583</v>
      </c>
    </row>
    <row r="190" ht="13.5" customHeight="1">
      <c r="B190" s="268">
        <v>712.0</v>
      </c>
      <c r="C190" s="268">
        <f t="shared" si="1"/>
        <v>0.3859103262</v>
      </c>
      <c r="D190" s="268">
        <f t="shared" si="2"/>
        <v>1.045431343</v>
      </c>
    </row>
    <row r="191" ht="13.5" customHeight="1">
      <c r="B191" s="268">
        <v>716.0</v>
      </c>
      <c r="C191" s="268">
        <f t="shared" si="1"/>
        <v>0.3881275284</v>
      </c>
      <c r="D191" s="268">
        <f t="shared" si="2"/>
        <v>1.045698238</v>
      </c>
    </row>
    <row r="192" ht="13.5" customHeight="1">
      <c r="A192" s="269"/>
      <c r="B192" s="268">
        <v>720.0</v>
      </c>
      <c r="C192" s="268">
        <f t="shared" si="1"/>
        <v>0.3903452967</v>
      </c>
      <c r="D192" s="268">
        <f t="shared" si="2"/>
        <v>1.045965271</v>
      </c>
    </row>
    <row r="193" ht="13.5" customHeight="1">
      <c r="B193" s="268">
        <v>724.0</v>
      </c>
      <c r="C193" s="268">
        <f t="shared" si="1"/>
        <v>0.3925636315</v>
      </c>
      <c r="D193" s="268">
        <f t="shared" si="2"/>
        <v>1.046232439</v>
      </c>
    </row>
    <row r="194" ht="13.5" customHeight="1">
      <c r="B194" s="268">
        <v>728.0</v>
      </c>
      <c r="C194" s="268">
        <f t="shared" si="1"/>
        <v>0.3947825329</v>
      </c>
      <c r="D194" s="268">
        <f t="shared" si="2"/>
        <v>1.046499745</v>
      </c>
    </row>
    <row r="195" ht="13.5" customHeight="1">
      <c r="B195" s="268">
        <v>732.0</v>
      </c>
      <c r="C195" s="268">
        <f t="shared" si="1"/>
        <v>0.3970020013</v>
      </c>
      <c r="D195" s="268">
        <f t="shared" si="2"/>
        <v>1.046767186</v>
      </c>
    </row>
    <row r="196" ht="13.5" customHeight="1">
      <c r="B196" s="268">
        <v>736.0</v>
      </c>
      <c r="C196" s="268">
        <f t="shared" si="1"/>
        <v>0.399222037</v>
      </c>
      <c r="D196" s="268">
        <f t="shared" si="2"/>
        <v>1.047034765</v>
      </c>
    </row>
    <row r="197" ht="13.5" customHeight="1">
      <c r="B197" s="268">
        <v>740.0</v>
      </c>
      <c r="C197" s="268">
        <f t="shared" si="1"/>
        <v>0.4014426403</v>
      </c>
      <c r="D197" s="268">
        <f t="shared" si="2"/>
        <v>1.04730248</v>
      </c>
    </row>
    <row r="198" ht="13.5" customHeight="1">
      <c r="B198" s="268">
        <v>744.0</v>
      </c>
      <c r="C198" s="268">
        <f t="shared" si="1"/>
        <v>0.4036638114</v>
      </c>
      <c r="D198" s="268">
        <f t="shared" si="2"/>
        <v>1.047570332</v>
      </c>
    </row>
    <row r="199" ht="13.5" customHeight="1">
      <c r="B199" s="268">
        <v>748.0</v>
      </c>
      <c r="C199" s="268">
        <f t="shared" si="1"/>
        <v>0.4058855507</v>
      </c>
      <c r="D199" s="268">
        <f t="shared" si="2"/>
        <v>1.047838322</v>
      </c>
    </row>
    <row r="200" ht="13.5" customHeight="1">
      <c r="B200" s="268">
        <v>752.0</v>
      </c>
      <c r="C200" s="268">
        <f t="shared" si="1"/>
        <v>0.4081078584</v>
      </c>
      <c r="D200" s="268">
        <f t="shared" si="2"/>
        <v>1.048106448</v>
      </c>
    </row>
    <row r="201" ht="13.5" customHeight="1">
      <c r="B201" s="268">
        <v>756.0</v>
      </c>
      <c r="C201" s="268">
        <f t="shared" si="1"/>
        <v>0.4103307349</v>
      </c>
      <c r="D201" s="268">
        <f t="shared" si="2"/>
        <v>1.048374712</v>
      </c>
    </row>
    <row r="202" ht="13.5" customHeight="1">
      <c r="B202" s="268">
        <v>760.0</v>
      </c>
      <c r="C202" s="268">
        <f t="shared" si="1"/>
        <v>0.4125541803</v>
      </c>
      <c r="D202" s="268">
        <f t="shared" si="2"/>
        <v>1.048643113</v>
      </c>
    </row>
    <row r="203" ht="13.5" customHeight="1">
      <c r="B203" s="268">
        <v>764.0</v>
      </c>
      <c r="C203" s="268">
        <f t="shared" si="1"/>
        <v>0.4147781951</v>
      </c>
      <c r="D203" s="268">
        <f t="shared" si="2"/>
        <v>1.048911652</v>
      </c>
    </row>
    <row r="204" ht="13.5" customHeight="1">
      <c r="B204" s="268">
        <v>768.0</v>
      </c>
      <c r="C204" s="268">
        <f t="shared" si="1"/>
        <v>0.4170027795</v>
      </c>
      <c r="D204" s="268">
        <f t="shared" si="2"/>
        <v>1.049180328</v>
      </c>
    </row>
    <row r="205" ht="13.5" customHeight="1">
      <c r="B205" s="268">
        <v>772.0</v>
      </c>
      <c r="C205" s="268">
        <f t="shared" si="1"/>
        <v>0.4192279337</v>
      </c>
      <c r="D205" s="268">
        <f t="shared" si="2"/>
        <v>1.049449142</v>
      </c>
    </row>
    <row r="206" ht="13.5" customHeight="1">
      <c r="B206" s="268">
        <v>776.0</v>
      </c>
      <c r="C206" s="268">
        <f t="shared" si="1"/>
        <v>0.4214536582</v>
      </c>
      <c r="D206" s="268">
        <f t="shared" si="2"/>
        <v>1.049718093</v>
      </c>
    </row>
    <row r="207" ht="13.5" customHeight="1">
      <c r="B207" s="268">
        <v>780.0</v>
      </c>
      <c r="C207" s="268">
        <f t="shared" si="1"/>
        <v>0.4236799531</v>
      </c>
      <c r="D207" s="268">
        <f t="shared" si="2"/>
        <v>1.049987183</v>
      </c>
    </row>
    <row r="208" ht="13.5" customHeight="1">
      <c r="B208" s="268">
        <v>784.0</v>
      </c>
      <c r="C208" s="268">
        <f t="shared" si="1"/>
        <v>0.4259068188</v>
      </c>
      <c r="D208" s="268">
        <f t="shared" si="2"/>
        <v>1.05025641</v>
      </c>
    </row>
    <row r="209" ht="13.5" customHeight="1">
      <c r="B209" s="268">
        <v>788.0</v>
      </c>
      <c r="C209" s="268">
        <f t="shared" si="1"/>
        <v>0.4281342556</v>
      </c>
      <c r="D209" s="268">
        <f t="shared" si="2"/>
        <v>1.050525776</v>
      </c>
    </row>
    <row r="210" ht="13.5" customHeight="1">
      <c r="B210" s="268">
        <v>792.0</v>
      </c>
      <c r="C210" s="268">
        <f t="shared" si="1"/>
        <v>0.4303622637</v>
      </c>
      <c r="D210" s="268">
        <f t="shared" si="2"/>
        <v>1.05079528</v>
      </c>
    </row>
    <row r="211" ht="13.5" customHeight="1">
      <c r="B211" s="268">
        <v>796.0</v>
      </c>
      <c r="C211" s="268">
        <f t="shared" si="1"/>
        <v>0.4325908435</v>
      </c>
      <c r="D211" s="268">
        <f t="shared" si="2"/>
        <v>1.051064922</v>
      </c>
    </row>
    <row r="212" ht="13.5" customHeight="1">
      <c r="B212" s="268">
        <v>800.0</v>
      </c>
      <c r="C212" s="268">
        <f t="shared" si="1"/>
        <v>0.4348199952</v>
      </c>
      <c r="D212" s="268">
        <f t="shared" si="2"/>
        <v>1.051334702</v>
      </c>
    </row>
    <row r="213" ht="13.5" customHeight="1">
      <c r="B213" s="268">
        <v>804.0</v>
      </c>
      <c r="C213" s="268">
        <f t="shared" si="1"/>
        <v>0.4370497192</v>
      </c>
      <c r="D213" s="268">
        <f t="shared" si="2"/>
        <v>1.051604621</v>
      </c>
    </row>
    <row r="214" ht="13.5" customHeight="1">
      <c r="B214" s="268">
        <v>808.0</v>
      </c>
      <c r="C214" s="268">
        <f t="shared" si="1"/>
        <v>0.4392800157</v>
      </c>
      <c r="D214" s="268">
        <f t="shared" si="2"/>
        <v>1.051874679</v>
      </c>
    </row>
    <row r="215" ht="13.5" customHeight="1">
      <c r="B215" s="268">
        <v>812.0</v>
      </c>
      <c r="C215" s="268">
        <f t="shared" si="1"/>
        <v>0.441510885</v>
      </c>
      <c r="D215" s="268">
        <f t="shared" si="2"/>
        <v>1.052144875</v>
      </c>
    </row>
    <row r="216" ht="13.5" customHeight="1">
      <c r="B216" s="268">
        <v>816.0</v>
      </c>
      <c r="C216" s="268">
        <f t="shared" si="1"/>
        <v>0.4437423274</v>
      </c>
      <c r="D216" s="268">
        <f t="shared" si="2"/>
        <v>1.052415211</v>
      </c>
    </row>
    <row r="217" ht="13.5" customHeight="1">
      <c r="B217" s="268">
        <v>820.0</v>
      </c>
      <c r="C217" s="268">
        <f t="shared" si="1"/>
        <v>0.4459743433</v>
      </c>
      <c r="D217" s="268">
        <f t="shared" si="2"/>
        <v>1.052685685</v>
      </c>
    </row>
    <row r="218" ht="13.5" customHeight="1">
      <c r="B218" s="268">
        <v>824.0</v>
      </c>
      <c r="C218" s="268">
        <f t="shared" si="1"/>
        <v>0.4482069328</v>
      </c>
      <c r="D218" s="268">
        <f t="shared" si="2"/>
        <v>1.052956298</v>
      </c>
    </row>
    <row r="219" ht="13.5" customHeight="1">
      <c r="B219" s="268">
        <v>828.0</v>
      </c>
      <c r="C219" s="268">
        <f t="shared" si="1"/>
        <v>0.4504400964</v>
      </c>
      <c r="D219" s="268">
        <f t="shared" si="2"/>
        <v>1.053227051</v>
      </c>
    </row>
    <row r="220" ht="13.5" customHeight="1">
      <c r="B220" s="268">
        <v>832.0</v>
      </c>
      <c r="C220" s="268">
        <f t="shared" si="1"/>
        <v>0.4526738343</v>
      </c>
      <c r="D220" s="268">
        <f t="shared" si="2"/>
        <v>1.053497942</v>
      </c>
    </row>
    <row r="221" ht="13.5" customHeight="1">
      <c r="B221" s="268">
        <v>836.0</v>
      </c>
      <c r="C221" s="268">
        <f t="shared" si="1"/>
        <v>0.4549081467</v>
      </c>
      <c r="D221" s="268">
        <f t="shared" si="2"/>
        <v>1.053768974</v>
      </c>
    </row>
    <row r="222" ht="13.5" customHeight="1">
      <c r="B222" s="268">
        <v>840.0</v>
      </c>
      <c r="C222" s="268">
        <f t="shared" si="1"/>
        <v>0.4571430341</v>
      </c>
      <c r="D222" s="268">
        <f t="shared" si="2"/>
        <v>1.054040144</v>
      </c>
    </row>
    <row r="223" ht="13.5" customHeight="1">
      <c r="B223" s="268">
        <v>844.0</v>
      </c>
      <c r="C223" s="268">
        <f t="shared" si="1"/>
        <v>0.4593784966</v>
      </c>
      <c r="D223" s="268">
        <f t="shared" si="2"/>
        <v>1.054311454</v>
      </c>
    </row>
    <row r="224" ht="13.5" customHeight="1">
      <c r="B224" s="268">
        <v>848.0</v>
      </c>
      <c r="C224" s="268">
        <f t="shared" si="1"/>
        <v>0.4616145346</v>
      </c>
      <c r="D224" s="268">
        <f t="shared" si="2"/>
        <v>1.054582904</v>
      </c>
    </row>
    <row r="225" ht="13.5" customHeight="1">
      <c r="B225" s="268">
        <v>852.0</v>
      </c>
      <c r="C225" s="268">
        <f t="shared" si="1"/>
        <v>0.4638511484</v>
      </c>
      <c r="D225" s="268">
        <f t="shared" si="2"/>
        <v>1.054854494</v>
      </c>
    </row>
    <row r="226" ht="13.5" customHeight="1">
      <c r="B226" s="268">
        <v>856.0</v>
      </c>
      <c r="C226" s="268">
        <f t="shared" si="1"/>
        <v>0.4660883383</v>
      </c>
      <c r="D226" s="268">
        <f t="shared" si="2"/>
        <v>1.055126224</v>
      </c>
    </row>
    <row r="227" ht="13.5" customHeight="1">
      <c r="B227" s="268">
        <v>860.0</v>
      </c>
      <c r="C227" s="268">
        <f t="shared" si="1"/>
        <v>0.4683261046</v>
      </c>
      <c r="D227" s="268">
        <f t="shared" si="2"/>
        <v>1.055398093</v>
      </c>
    </row>
    <row r="228" ht="13.5" customHeight="1">
      <c r="B228" s="268">
        <v>864.0</v>
      </c>
      <c r="C228" s="268">
        <f t="shared" si="1"/>
        <v>0.4705644475</v>
      </c>
      <c r="D228" s="268">
        <f t="shared" si="2"/>
        <v>1.055670103</v>
      </c>
    </row>
    <row r="229" ht="13.5" customHeight="1">
      <c r="B229" s="268">
        <v>868.0</v>
      </c>
      <c r="C229" s="268">
        <f t="shared" si="1"/>
        <v>0.4728033674</v>
      </c>
      <c r="D229" s="268">
        <f t="shared" si="2"/>
        <v>1.055942253</v>
      </c>
    </row>
    <row r="230" ht="13.5" customHeight="1">
      <c r="B230" s="268">
        <v>872.0</v>
      </c>
      <c r="C230" s="268">
        <f t="shared" si="1"/>
        <v>0.4750428645</v>
      </c>
      <c r="D230" s="268">
        <f t="shared" si="2"/>
        <v>1.056214544</v>
      </c>
    </row>
    <row r="231" ht="13.5" customHeight="1">
      <c r="B231" s="268">
        <v>876.0</v>
      </c>
      <c r="C231" s="268">
        <f t="shared" si="1"/>
        <v>0.4772829392</v>
      </c>
      <c r="D231" s="268">
        <f t="shared" si="2"/>
        <v>1.056486974</v>
      </c>
    </row>
    <row r="232" ht="13.5" customHeight="1">
      <c r="B232" s="268">
        <v>880.0</v>
      </c>
      <c r="C232" s="268">
        <f t="shared" si="1"/>
        <v>0.4795235918</v>
      </c>
      <c r="D232" s="268">
        <f t="shared" si="2"/>
        <v>1.056759546</v>
      </c>
    </row>
    <row r="233" ht="13.5" customHeight="1">
      <c r="B233" s="268">
        <v>884.0</v>
      </c>
      <c r="C233" s="268">
        <f t="shared" si="1"/>
        <v>0.4817648225</v>
      </c>
      <c r="D233" s="268">
        <f t="shared" si="2"/>
        <v>1.057032258</v>
      </c>
    </row>
    <row r="234" ht="13.5" customHeight="1">
      <c r="B234" s="268">
        <v>888.0</v>
      </c>
      <c r="C234" s="268">
        <f t="shared" si="1"/>
        <v>0.4840066317</v>
      </c>
      <c r="D234" s="268">
        <f t="shared" si="2"/>
        <v>1.057305111</v>
      </c>
    </row>
    <row r="235" ht="13.5" customHeight="1">
      <c r="B235" s="268">
        <v>892.0</v>
      </c>
      <c r="C235" s="268">
        <f t="shared" si="1"/>
        <v>0.4862490196</v>
      </c>
      <c r="D235" s="268">
        <f t="shared" si="2"/>
        <v>1.057578105</v>
      </c>
    </row>
    <row r="236" ht="13.5" customHeight="1">
      <c r="B236" s="268">
        <v>896.0</v>
      </c>
      <c r="C236" s="268">
        <f t="shared" si="1"/>
        <v>0.4884919866</v>
      </c>
      <c r="D236" s="268">
        <f t="shared" si="2"/>
        <v>1.05785124</v>
      </c>
    </row>
    <row r="237" ht="13.5" customHeight="1">
      <c r="B237" s="268">
        <v>900.0</v>
      </c>
      <c r="C237" s="268">
        <f t="shared" si="1"/>
        <v>0.490735533</v>
      </c>
      <c r="D237" s="268">
        <f t="shared" si="2"/>
        <v>1.058124516</v>
      </c>
    </row>
    <row r="238" ht="13.5" customHeight="1">
      <c r="B238" s="268">
        <v>904.0</v>
      </c>
      <c r="C238" s="268">
        <f t="shared" si="1"/>
        <v>0.492979659</v>
      </c>
      <c r="D238" s="268">
        <f t="shared" si="2"/>
        <v>1.058397933</v>
      </c>
    </row>
    <row r="239" ht="13.5" customHeight="1">
      <c r="B239" s="268">
        <v>908.0</v>
      </c>
      <c r="C239" s="268">
        <f t="shared" si="1"/>
        <v>0.4952243649</v>
      </c>
      <c r="D239" s="268">
        <f t="shared" si="2"/>
        <v>1.058671491</v>
      </c>
    </row>
    <row r="240" ht="13.5" customHeight="1">
      <c r="B240" s="268">
        <v>912.0</v>
      </c>
      <c r="C240" s="268">
        <f t="shared" si="1"/>
        <v>0.4974696511</v>
      </c>
      <c r="D240" s="268">
        <f t="shared" si="2"/>
        <v>1.058945191</v>
      </c>
    </row>
    <row r="241" ht="13.5" customHeight="1">
      <c r="B241" s="268">
        <v>916.0</v>
      </c>
      <c r="C241" s="268">
        <f t="shared" si="1"/>
        <v>0.4997155179</v>
      </c>
      <c r="D241" s="268">
        <f t="shared" si="2"/>
        <v>1.059219033</v>
      </c>
    </row>
    <row r="242" ht="13.5" customHeight="1">
      <c r="B242" s="268">
        <v>920.0</v>
      </c>
      <c r="C242" s="268">
        <f t="shared" si="1"/>
        <v>0.5019619655</v>
      </c>
      <c r="D242" s="268">
        <f t="shared" si="2"/>
        <v>1.059493016</v>
      </c>
    </row>
    <row r="243" ht="13.5" customHeight="1">
      <c r="B243" s="268">
        <v>924.0</v>
      </c>
      <c r="C243" s="268">
        <f t="shared" si="1"/>
        <v>0.5042089943</v>
      </c>
      <c r="D243" s="268">
        <f t="shared" si="2"/>
        <v>1.059767141</v>
      </c>
    </row>
    <row r="244" ht="13.5" customHeight="1">
      <c r="B244" s="268">
        <v>928.0</v>
      </c>
      <c r="C244" s="268">
        <f t="shared" si="1"/>
        <v>0.5064566045</v>
      </c>
      <c r="D244" s="268">
        <f t="shared" si="2"/>
        <v>1.060041408</v>
      </c>
    </row>
    <row r="245" ht="13.5" customHeight="1">
      <c r="B245" s="268">
        <v>932.0</v>
      </c>
      <c r="C245" s="268">
        <f t="shared" si="1"/>
        <v>0.5087047965</v>
      </c>
      <c r="D245" s="268">
        <f t="shared" si="2"/>
        <v>1.060315817</v>
      </c>
    </row>
    <row r="246" ht="13.5" customHeight="1">
      <c r="B246" s="268">
        <v>936.0</v>
      </c>
      <c r="C246" s="268">
        <f t="shared" si="1"/>
        <v>0.5109535705</v>
      </c>
      <c r="D246" s="268">
        <f t="shared" si="2"/>
        <v>1.060590368</v>
      </c>
    </row>
    <row r="247" ht="13.5" customHeight="1">
      <c r="B247" s="268">
        <v>940.0</v>
      </c>
      <c r="C247" s="268">
        <f t="shared" si="1"/>
        <v>0.5132029269</v>
      </c>
      <c r="D247" s="268">
        <f t="shared" si="2"/>
        <v>1.060865061</v>
      </c>
    </row>
    <row r="248" ht="13.5" customHeight="1">
      <c r="B248" s="268">
        <v>944.0</v>
      </c>
      <c r="C248" s="268">
        <f t="shared" si="1"/>
        <v>0.5154528659</v>
      </c>
      <c r="D248" s="268">
        <f t="shared" si="2"/>
        <v>1.061139896</v>
      </c>
    </row>
    <row r="249" ht="13.5" customHeight="1">
      <c r="B249" s="268">
        <v>948.0</v>
      </c>
      <c r="C249" s="268">
        <f t="shared" si="1"/>
        <v>0.5177033879</v>
      </c>
      <c r="D249" s="268">
        <f t="shared" si="2"/>
        <v>1.061414874</v>
      </c>
    </row>
    <row r="250" ht="13.5" customHeight="1">
      <c r="B250" s="268">
        <v>952.0</v>
      </c>
      <c r="C250" s="268">
        <f t="shared" si="1"/>
        <v>0.5199544932</v>
      </c>
      <c r="D250" s="268">
        <f t="shared" si="2"/>
        <v>1.061689995</v>
      </c>
    </row>
    <row r="251" ht="13.5" customHeight="1">
      <c r="B251" s="268">
        <v>956.0</v>
      </c>
      <c r="C251" s="268">
        <f t="shared" si="1"/>
        <v>0.522206182</v>
      </c>
      <c r="D251" s="268">
        <f t="shared" si="2"/>
        <v>1.061965258</v>
      </c>
    </row>
    <row r="252" ht="13.5" customHeight="1">
      <c r="B252" s="268">
        <v>960.0</v>
      </c>
      <c r="C252" s="268">
        <f t="shared" si="1"/>
        <v>0.5244584547</v>
      </c>
      <c r="D252" s="268">
        <f t="shared" si="2"/>
        <v>1.062240664</v>
      </c>
    </row>
    <row r="253" ht="13.5" customHeight="1">
      <c r="B253" s="268">
        <v>964.0</v>
      </c>
      <c r="C253" s="268">
        <f t="shared" si="1"/>
        <v>0.5267113116</v>
      </c>
      <c r="D253" s="268">
        <f t="shared" si="2"/>
        <v>1.062516213</v>
      </c>
    </row>
    <row r="254" ht="13.5" customHeight="1">
      <c r="B254" s="268">
        <v>968.0</v>
      </c>
      <c r="C254" s="268">
        <f t="shared" si="1"/>
        <v>0.528964753</v>
      </c>
      <c r="D254" s="268">
        <f t="shared" si="2"/>
        <v>1.062791905</v>
      </c>
    </row>
    <row r="255" ht="13.5" customHeight="1">
      <c r="B255" s="268">
        <v>972.0</v>
      </c>
      <c r="C255" s="268">
        <f t="shared" si="1"/>
        <v>0.5312187791</v>
      </c>
      <c r="D255" s="268">
        <f t="shared" si="2"/>
        <v>1.063067739</v>
      </c>
    </row>
    <row r="256" ht="13.5" customHeight="1">
      <c r="B256" s="268">
        <v>976.0</v>
      </c>
      <c r="C256" s="268">
        <f t="shared" si="1"/>
        <v>0.5334733903</v>
      </c>
      <c r="D256" s="268">
        <f t="shared" si="2"/>
        <v>1.063343718</v>
      </c>
    </row>
    <row r="257" ht="13.5" customHeight="1">
      <c r="B257" s="268">
        <v>980.0</v>
      </c>
      <c r="C257" s="268">
        <f t="shared" si="1"/>
        <v>0.5357285869</v>
      </c>
      <c r="D257" s="268">
        <f t="shared" si="2"/>
        <v>1.063619839</v>
      </c>
    </row>
    <row r="258" ht="13.5" customHeight="1">
      <c r="B258" s="268">
        <v>984.0</v>
      </c>
      <c r="C258" s="268">
        <f t="shared" si="1"/>
        <v>0.5379843692</v>
      </c>
      <c r="D258" s="268">
        <f t="shared" si="2"/>
        <v>1.063896104</v>
      </c>
    </row>
    <row r="259" ht="13.5" customHeight="1">
      <c r="B259" s="268">
        <v>988.0</v>
      </c>
      <c r="C259" s="268">
        <f t="shared" si="1"/>
        <v>0.5402407375</v>
      </c>
      <c r="D259" s="268">
        <f t="shared" si="2"/>
        <v>1.064172512</v>
      </c>
    </row>
    <row r="260" ht="13.5" customHeight="1">
      <c r="B260" s="268">
        <v>992.0</v>
      </c>
      <c r="C260" s="268">
        <f t="shared" si="1"/>
        <v>0.542497692</v>
      </c>
      <c r="D260" s="268">
        <f t="shared" si="2"/>
        <v>1.064449064</v>
      </c>
    </row>
    <row r="261" ht="13.5" customHeight="1">
      <c r="B261" s="268">
        <v>996.0</v>
      </c>
      <c r="C261" s="268">
        <f t="shared" si="1"/>
        <v>0.5447552332</v>
      </c>
      <c r="D261" s="268">
        <f t="shared" si="2"/>
        <v>1.06472576</v>
      </c>
    </row>
    <row r="262" ht="13.5" customHeight="1">
      <c r="B262" s="268">
        <v>1000.0</v>
      </c>
      <c r="C262" s="268">
        <f t="shared" si="1"/>
        <v>0.5470133613</v>
      </c>
      <c r="D262" s="268">
        <f t="shared" si="2"/>
        <v>1.0650026</v>
      </c>
    </row>
    <row r="263" ht="13.5" customHeight="1">
      <c r="B263" s="268">
        <v>1004.0</v>
      </c>
      <c r="C263" s="268">
        <f t="shared" si="1"/>
        <v>0.5492720766</v>
      </c>
      <c r="D263" s="268">
        <f t="shared" si="2"/>
        <v>1.065279584</v>
      </c>
    </row>
    <row r="264" ht="13.5" customHeight="1">
      <c r="B264" s="268">
        <v>1008.0</v>
      </c>
      <c r="C264" s="268">
        <f t="shared" si="1"/>
        <v>0.5515313794</v>
      </c>
      <c r="D264" s="268">
        <f t="shared" si="2"/>
        <v>1.065556712</v>
      </c>
    </row>
    <row r="265" ht="13.5" customHeight="1">
      <c r="B265" s="268">
        <v>1012.0</v>
      </c>
      <c r="C265" s="268">
        <f t="shared" si="1"/>
        <v>0.5537912701</v>
      </c>
      <c r="D265" s="268">
        <f t="shared" si="2"/>
        <v>1.065833984</v>
      </c>
    </row>
    <row r="266" ht="13.5" customHeight="1">
      <c r="B266" s="268">
        <v>1016.0</v>
      </c>
      <c r="C266" s="268">
        <f t="shared" si="1"/>
        <v>0.5560517488</v>
      </c>
      <c r="D266" s="268">
        <f t="shared" si="2"/>
        <v>1.0661114</v>
      </c>
    </row>
    <row r="267" ht="13.5" customHeight="1">
      <c r="B267" s="268">
        <v>1020.0</v>
      </c>
      <c r="C267" s="268">
        <f t="shared" si="1"/>
        <v>0.5583128161</v>
      </c>
      <c r="D267" s="268">
        <f t="shared" si="2"/>
        <v>1.066388961</v>
      </c>
    </row>
    <row r="268" ht="13.5" customHeight="1">
      <c r="B268" s="268">
        <v>1024.0</v>
      </c>
      <c r="C268" s="268">
        <f t="shared" si="1"/>
        <v>0.560574472</v>
      </c>
      <c r="D268" s="268">
        <f t="shared" si="2"/>
        <v>1.066666667</v>
      </c>
    </row>
    <row r="269" ht="13.5" customHeight="1">
      <c r="B269" s="268">
        <v>1028.0</v>
      </c>
      <c r="C269" s="268">
        <f t="shared" si="1"/>
        <v>0.562836717</v>
      </c>
      <c r="D269" s="268">
        <f t="shared" si="2"/>
        <v>1.066944517</v>
      </c>
    </row>
    <row r="270" ht="13.5" customHeight="1">
      <c r="B270" s="268">
        <v>1032.0</v>
      </c>
      <c r="C270" s="268">
        <f t="shared" si="1"/>
        <v>0.5650995514</v>
      </c>
      <c r="D270" s="268">
        <f t="shared" si="2"/>
        <v>1.067222512</v>
      </c>
    </row>
    <row r="271" ht="13.5" customHeight="1">
      <c r="B271" s="268">
        <v>1036.0</v>
      </c>
      <c r="C271" s="268">
        <f t="shared" si="1"/>
        <v>0.5673629754</v>
      </c>
      <c r="D271" s="268">
        <f t="shared" si="2"/>
        <v>1.067500652</v>
      </c>
    </row>
    <row r="272" ht="13.5" customHeight="1">
      <c r="B272" s="268">
        <v>1040.0</v>
      </c>
      <c r="C272" s="268">
        <f t="shared" si="1"/>
        <v>0.5696269894</v>
      </c>
      <c r="D272" s="268">
        <f t="shared" si="2"/>
        <v>1.067778936</v>
      </c>
    </row>
    <row r="273" ht="13.5" customHeight="1">
      <c r="B273" s="268">
        <v>1044.0</v>
      </c>
      <c r="C273" s="268">
        <f t="shared" si="1"/>
        <v>0.5718915937</v>
      </c>
      <c r="D273" s="268">
        <f t="shared" si="2"/>
        <v>1.068057366</v>
      </c>
    </row>
    <row r="274" ht="13.5" customHeight="1">
      <c r="B274" s="268">
        <v>1048.0</v>
      </c>
      <c r="C274" s="268">
        <f t="shared" si="1"/>
        <v>0.5741567885</v>
      </c>
      <c r="D274" s="268">
        <f t="shared" si="2"/>
        <v>1.068335942</v>
      </c>
    </row>
    <row r="275" ht="13.5" customHeight="1">
      <c r="B275" s="268">
        <v>1052.0</v>
      </c>
      <c r="C275" s="268">
        <f t="shared" si="1"/>
        <v>0.5764225743</v>
      </c>
      <c r="D275" s="268">
        <f t="shared" si="2"/>
        <v>1.068614662</v>
      </c>
    </row>
    <row r="276" ht="13.5" customHeight="1">
      <c r="B276" s="268">
        <v>1056.0</v>
      </c>
      <c r="C276" s="268">
        <f t="shared" si="1"/>
        <v>0.5786889512</v>
      </c>
      <c r="D276" s="268">
        <f t="shared" si="2"/>
        <v>1.068893528</v>
      </c>
    </row>
    <row r="277" ht="13.5" customHeight="1">
      <c r="B277" s="268">
        <v>1060.0</v>
      </c>
      <c r="C277" s="268">
        <f t="shared" si="1"/>
        <v>0.5809559197</v>
      </c>
      <c r="D277" s="268">
        <f t="shared" si="2"/>
        <v>1.06917254</v>
      </c>
    </row>
    <row r="278" ht="13.5" customHeight="1">
      <c r="B278" s="268">
        <v>1064.0</v>
      </c>
      <c r="C278" s="268">
        <f t="shared" si="1"/>
        <v>0.58322348</v>
      </c>
      <c r="D278" s="268">
        <f t="shared" si="2"/>
        <v>1.069451697</v>
      </c>
    </row>
    <row r="279" ht="13.5" customHeight="1">
      <c r="B279" s="268">
        <v>1068.0</v>
      </c>
      <c r="C279" s="268">
        <f t="shared" si="1"/>
        <v>0.5854916324</v>
      </c>
      <c r="D279" s="268">
        <f t="shared" si="2"/>
        <v>1.069731</v>
      </c>
    </row>
    <row r="280" ht="13.5" customHeight="1">
      <c r="B280" s="268">
        <v>1072.0</v>
      </c>
      <c r="C280" s="268">
        <f t="shared" si="1"/>
        <v>0.5877603773</v>
      </c>
      <c r="D280" s="268">
        <f t="shared" si="2"/>
        <v>1.070010449</v>
      </c>
    </row>
    <row r="281" ht="13.5" customHeight="1">
      <c r="B281" s="268">
        <v>1076.0</v>
      </c>
      <c r="C281" s="268">
        <f t="shared" si="1"/>
        <v>0.5900297149</v>
      </c>
      <c r="D281" s="268">
        <f t="shared" si="2"/>
        <v>1.070290044</v>
      </c>
    </row>
    <row r="282" ht="13.5" customHeight="1">
      <c r="B282" s="268">
        <v>1080.0</v>
      </c>
      <c r="C282" s="268">
        <f t="shared" si="1"/>
        <v>0.5922996455</v>
      </c>
      <c r="D282" s="268">
        <f t="shared" si="2"/>
        <v>1.070569786</v>
      </c>
    </row>
    <row r="283" ht="13.5" customHeight="1">
      <c r="B283" s="268">
        <v>1084.0</v>
      </c>
      <c r="C283" s="268">
        <f t="shared" si="1"/>
        <v>0.5945701696</v>
      </c>
      <c r="D283" s="268">
        <f t="shared" si="2"/>
        <v>1.070849673</v>
      </c>
    </row>
    <row r="284" ht="13.5" customHeight="1">
      <c r="B284" s="268">
        <v>1088.0</v>
      </c>
      <c r="C284" s="268">
        <f t="shared" si="1"/>
        <v>0.5968412873</v>
      </c>
      <c r="D284" s="268">
        <f t="shared" si="2"/>
        <v>1.071129707</v>
      </c>
    </row>
    <row r="285" ht="13.5" customHeight="1">
      <c r="B285" s="268">
        <v>1092.0</v>
      </c>
      <c r="C285" s="268">
        <f t="shared" si="1"/>
        <v>0.599112999</v>
      </c>
      <c r="D285" s="268">
        <f t="shared" si="2"/>
        <v>1.071409888</v>
      </c>
    </row>
    <row r="286" ht="13.5" customHeight="1">
      <c r="B286" s="268">
        <v>1096.0</v>
      </c>
      <c r="C286" s="268">
        <f t="shared" si="1"/>
        <v>0.601385305</v>
      </c>
      <c r="D286" s="268">
        <f t="shared" si="2"/>
        <v>1.071690215</v>
      </c>
    </row>
    <row r="287" ht="13.5" customHeight="1">
      <c r="B287" s="268">
        <v>1100.0</v>
      </c>
      <c r="C287" s="268">
        <f t="shared" si="1"/>
        <v>0.6036582056</v>
      </c>
      <c r="D287" s="268">
        <f t="shared" si="2"/>
        <v>1.071970688</v>
      </c>
    </row>
    <row r="288" ht="13.5" customHeight="1">
      <c r="B288" s="268">
        <v>1104.0</v>
      </c>
      <c r="C288" s="268">
        <f t="shared" si="1"/>
        <v>0.6059317011</v>
      </c>
      <c r="D288" s="268">
        <f t="shared" si="2"/>
        <v>1.072251309</v>
      </c>
    </row>
    <row r="289" ht="13.5" customHeight="1">
      <c r="B289" s="268">
        <v>1108.0</v>
      </c>
      <c r="C289" s="268">
        <f t="shared" si="1"/>
        <v>0.6082057919</v>
      </c>
      <c r="D289" s="268">
        <f t="shared" si="2"/>
        <v>1.072532076</v>
      </c>
    </row>
    <row r="290" ht="13.5" customHeight="1">
      <c r="B290" s="268">
        <v>1112.0</v>
      </c>
      <c r="C290" s="268">
        <f t="shared" si="1"/>
        <v>0.6104804782</v>
      </c>
      <c r="D290" s="268">
        <f t="shared" si="2"/>
        <v>1.072812991</v>
      </c>
    </row>
    <row r="291" ht="13.5" customHeight="1">
      <c r="B291" s="268">
        <v>1116.0</v>
      </c>
      <c r="C291" s="268">
        <f t="shared" si="1"/>
        <v>0.6127557604</v>
      </c>
      <c r="D291" s="268">
        <f t="shared" si="2"/>
        <v>1.073094053</v>
      </c>
    </row>
    <row r="292" ht="13.5" customHeight="1">
      <c r="B292" s="268">
        <v>1120.0</v>
      </c>
      <c r="C292" s="268">
        <f t="shared" si="1"/>
        <v>0.6150316387</v>
      </c>
      <c r="D292" s="268">
        <f t="shared" si="2"/>
        <v>1.073375262</v>
      </c>
    </row>
    <row r="293" ht="13.5" customHeight="1">
      <c r="B293" s="268">
        <v>1124.0</v>
      </c>
      <c r="C293" s="268">
        <f t="shared" si="1"/>
        <v>0.6173081135</v>
      </c>
      <c r="D293" s="268">
        <f t="shared" si="2"/>
        <v>1.073656619</v>
      </c>
    </row>
    <row r="294" ht="13.5" customHeight="1">
      <c r="B294" s="268">
        <v>1128.0</v>
      </c>
      <c r="C294" s="268">
        <f t="shared" si="1"/>
        <v>0.6195851852</v>
      </c>
      <c r="D294" s="268">
        <f t="shared" si="2"/>
        <v>1.073938123</v>
      </c>
    </row>
    <row r="295" ht="13.5" customHeight="1">
      <c r="B295" s="268">
        <v>1132.0</v>
      </c>
      <c r="C295" s="268">
        <f t="shared" si="1"/>
        <v>0.6218628539</v>
      </c>
      <c r="D295" s="268">
        <f t="shared" si="2"/>
        <v>1.074219774</v>
      </c>
    </row>
    <row r="296" ht="13.5" customHeight="1">
      <c r="B296" s="268">
        <v>1136.0</v>
      </c>
      <c r="C296" s="268">
        <f t="shared" si="1"/>
        <v>0.62414112</v>
      </c>
      <c r="D296" s="268">
        <f t="shared" si="2"/>
        <v>1.074501574</v>
      </c>
    </row>
    <row r="297" ht="13.5" customHeight="1">
      <c r="B297" s="268">
        <v>1140.0</v>
      </c>
      <c r="C297" s="268">
        <f t="shared" si="1"/>
        <v>0.6264199839</v>
      </c>
      <c r="D297" s="268">
        <f t="shared" si="2"/>
        <v>1.074783521</v>
      </c>
    </row>
    <row r="298" ht="13.5" customHeight="1">
      <c r="B298" s="268">
        <v>1144.0</v>
      </c>
      <c r="C298" s="268">
        <f t="shared" si="1"/>
        <v>0.6286994458</v>
      </c>
      <c r="D298" s="268">
        <f t="shared" si="2"/>
        <v>1.075065617</v>
      </c>
    </row>
    <row r="299" ht="13.5" customHeight="1">
      <c r="B299" s="268">
        <v>1148.0</v>
      </c>
      <c r="C299" s="268">
        <f t="shared" si="1"/>
        <v>0.6309795061</v>
      </c>
      <c r="D299" s="268">
        <f t="shared" si="2"/>
        <v>1.07534786</v>
      </c>
    </row>
    <row r="300" ht="13.5" customHeight="1">
      <c r="B300" s="268">
        <v>1152.0</v>
      </c>
      <c r="C300" s="268">
        <f t="shared" si="1"/>
        <v>0.6332601651</v>
      </c>
      <c r="D300" s="268">
        <f t="shared" si="2"/>
        <v>1.075630252</v>
      </c>
    </row>
    <row r="301" ht="13.5" customHeight="1">
      <c r="B301" s="268">
        <v>1156.0</v>
      </c>
      <c r="C301" s="268">
        <f t="shared" si="1"/>
        <v>0.6355414231</v>
      </c>
      <c r="D301" s="268">
        <f t="shared" si="2"/>
        <v>1.075912792</v>
      </c>
    </row>
    <row r="302" ht="13.5" customHeight="1">
      <c r="B302" s="268">
        <v>1160.0</v>
      </c>
      <c r="C302" s="268">
        <f t="shared" si="1"/>
        <v>0.6378232803</v>
      </c>
      <c r="D302" s="268">
        <f t="shared" si="2"/>
        <v>1.076195481</v>
      </c>
    </row>
    <row r="303" ht="13.5" customHeight="1">
      <c r="B303" s="268">
        <v>1164.0</v>
      </c>
      <c r="C303" s="268">
        <f t="shared" si="1"/>
        <v>0.6401057372</v>
      </c>
      <c r="D303" s="268">
        <f t="shared" si="2"/>
        <v>1.076478318</v>
      </c>
    </row>
    <row r="304" ht="13.5" customHeight="1">
      <c r="B304" s="268">
        <v>1168.0</v>
      </c>
      <c r="C304" s="268">
        <f t="shared" si="1"/>
        <v>0.642388794</v>
      </c>
      <c r="D304" s="268">
        <f t="shared" si="2"/>
        <v>1.076761304</v>
      </c>
    </row>
    <row r="305" ht="13.5" customHeight="1">
      <c r="B305" s="268">
        <v>1172.0</v>
      </c>
      <c r="C305" s="268">
        <f t="shared" si="1"/>
        <v>0.6446724511</v>
      </c>
      <c r="D305" s="268">
        <f t="shared" si="2"/>
        <v>1.077044439</v>
      </c>
    </row>
    <row r="306" ht="13.5" customHeight="1">
      <c r="B306" s="268">
        <v>1176.0</v>
      </c>
      <c r="C306" s="268">
        <f t="shared" si="1"/>
        <v>0.6469567088</v>
      </c>
      <c r="D306" s="268">
        <f t="shared" si="2"/>
        <v>1.077327722</v>
      </c>
    </row>
    <row r="307" ht="13.5" customHeight="1">
      <c r="B307" s="268">
        <v>1180.0</v>
      </c>
      <c r="C307" s="268">
        <f t="shared" si="1"/>
        <v>0.6492415673</v>
      </c>
      <c r="D307" s="268">
        <f t="shared" si="2"/>
        <v>1.077611155</v>
      </c>
    </row>
    <row r="308" ht="13.5" customHeight="1">
      <c r="B308" s="268">
        <v>1184.0</v>
      </c>
      <c r="C308" s="268">
        <f t="shared" si="1"/>
        <v>0.651527027</v>
      </c>
      <c r="D308" s="268">
        <f t="shared" si="2"/>
        <v>1.077894737</v>
      </c>
    </row>
    <row r="309" ht="13.5" customHeight="1">
      <c r="B309" s="268">
        <v>1188.0</v>
      </c>
      <c r="C309" s="268">
        <f t="shared" si="1"/>
        <v>0.6538130883</v>
      </c>
      <c r="D309" s="268">
        <f t="shared" si="2"/>
        <v>1.078178468</v>
      </c>
    </row>
    <row r="310" ht="13.5" customHeight="1">
      <c r="B310" s="268">
        <v>1192.0</v>
      </c>
      <c r="C310" s="268">
        <f t="shared" si="1"/>
        <v>0.6560997513</v>
      </c>
      <c r="D310" s="268">
        <f t="shared" si="2"/>
        <v>1.078462349</v>
      </c>
    </row>
    <row r="311" ht="13.5" customHeight="1">
      <c r="B311" s="268">
        <v>1196.0</v>
      </c>
      <c r="C311" s="268">
        <f t="shared" si="1"/>
        <v>0.6583870166</v>
      </c>
      <c r="D311" s="268">
        <f t="shared" si="2"/>
        <v>1.078746379</v>
      </c>
    </row>
    <row r="312" ht="13.5" customHeight="1">
      <c r="B312" s="268">
        <v>1200.0</v>
      </c>
      <c r="C312" s="268">
        <f t="shared" si="1"/>
        <v>0.6606748843</v>
      </c>
      <c r="D312" s="268">
        <f t="shared" si="2"/>
        <v>1.079030558</v>
      </c>
    </row>
    <row r="313" ht="13.5" customHeight="1">
      <c r="B313" s="268">
        <v>1204.0</v>
      </c>
      <c r="C313" s="268">
        <f t="shared" si="1"/>
        <v>0.6629633547</v>
      </c>
      <c r="D313" s="268">
        <f t="shared" si="2"/>
        <v>1.079314888</v>
      </c>
    </row>
    <row r="314" ht="13.5" customHeight="1">
      <c r="B314" s="268">
        <v>1208.0</v>
      </c>
      <c r="C314" s="268">
        <f t="shared" si="1"/>
        <v>0.6652524283</v>
      </c>
      <c r="D314" s="268">
        <f t="shared" si="2"/>
        <v>1.079599367</v>
      </c>
    </row>
    <row r="315" ht="13.5" customHeight="1">
      <c r="B315" s="268">
        <v>1212.0</v>
      </c>
      <c r="C315" s="268">
        <f t="shared" si="1"/>
        <v>0.6675421053</v>
      </c>
      <c r="D315" s="268">
        <f t="shared" si="2"/>
        <v>1.079883997</v>
      </c>
    </row>
    <row r="316" ht="13.5" customHeight="1">
      <c r="B316" s="268">
        <v>1216.0</v>
      </c>
      <c r="C316" s="268">
        <f t="shared" si="1"/>
        <v>0.669832386</v>
      </c>
      <c r="D316" s="268">
        <f t="shared" si="2"/>
        <v>1.080168776</v>
      </c>
    </row>
    <row r="317" ht="13.5" customHeight="1">
      <c r="B317" s="268">
        <v>1220.0</v>
      </c>
      <c r="C317" s="268">
        <f t="shared" si="1"/>
        <v>0.6721232708</v>
      </c>
      <c r="D317" s="268">
        <f t="shared" si="2"/>
        <v>1.080453706</v>
      </c>
    </row>
    <row r="318" ht="13.5" customHeight="1">
      <c r="B318" s="268">
        <v>1224.0</v>
      </c>
      <c r="C318" s="268">
        <f t="shared" si="1"/>
        <v>0.67441476</v>
      </c>
      <c r="D318" s="268">
        <f t="shared" si="2"/>
        <v>1.080738786</v>
      </c>
    </row>
    <row r="319" ht="13.5" customHeight="1">
      <c r="B319" s="268">
        <v>1228.0</v>
      </c>
      <c r="C319" s="268">
        <f t="shared" si="1"/>
        <v>0.6767068539</v>
      </c>
      <c r="D319" s="268">
        <f t="shared" si="2"/>
        <v>1.081024017</v>
      </c>
    </row>
    <row r="320" ht="13.5" customHeight="1">
      <c r="B320" s="268">
        <v>1232.0</v>
      </c>
      <c r="C320" s="268">
        <f t="shared" si="1"/>
        <v>0.6789995527</v>
      </c>
      <c r="D320" s="268">
        <f t="shared" si="2"/>
        <v>1.081309398</v>
      </c>
    </row>
    <row r="321" ht="13.5" customHeight="1">
      <c r="B321" s="268">
        <v>1236.0</v>
      </c>
      <c r="C321" s="268">
        <f t="shared" si="1"/>
        <v>0.6812928569</v>
      </c>
      <c r="D321" s="268">
        <f t="shared" si="2"/>
        <v>1.08159493</v>
      </c>
    </row>
    <row r="322" ht="13.5" customHeight="1">
      <c r="B322" s="268">
        <v>1240.0</v>
      </c>
      <c r="C322" s="268">
        <f t="shared" si="1"/>
        <v>0.6835867668</v>
      </c>
      <c r="D322" s="268">
        <f t="shared" si="2"/>
        <v>1.081880613</v>
      </c>
    </row>
    <row r="323" ht="13.5" customHeight="1">
      <c r="B323" s="268">
        <v>1244.0</v>
      </c>
      <c r="C323" s="268">
        <f t="shared" si="1"/>
        <v>0.6858812826</v>
      </c>
      <c r="D323" s="268">
        <f t="shared" si="2"/>
        <v>1.082166446</v>
      </c>
    </row>
    <row r="324" ht="13.5" customHeight="1">
      <c r="B324" s="268">
        <v>1248.0</v>
      </c>
      <c r="C324" s="268">
        <f t="shared" si="1"/>
        <v>0.6881764048</v>
      </c>
      <c r="D324" s="268">
        <f t="shared" si="2"/>
        <v>1.082452431</v>
      </c>
    </row>
    <row r="325" ht="13.5" customHeight="1">
      <c r="B325" s="268">
        <v>1252.0</v>
      </c>
      <c r="C325" s="268">
        <f t="shared" si="1"/>
        <v>0.6904721335</v>
      </c>
      <c r="D325" s="268">
        <f t="shared" si="2"/>
        <v>1.082738567</v>
      </c>
    </row>
    <row r="326" ht="13.5" customHeight="1">
      <c r="B326" s="268">
        <v>1256.0</v>
      </c>
      <c r="C326" s="268">
        <f t="shared" si="1"/>
        <v>0.6927684692</v>
      </c>
      <c r="D326" s="268">
        <f t="shared" si="2"/>
        <v>1.083024855</v>
      </c>
    </row>
    <row r="327" ht="13.5" customHeight="1">
      <c r="B327" s="268">
        <v>1260.0</v>
      </c>
      <c r="C327" s="268">
        <f t="shared" si="1"/>
        <v>0.6950654121</v>
      </c>
      <c r="D327" s="268">
        <f t="shared" si="2"/>
        <v>1.083311293</v>
      </c>
    </row>
    <row r="328" ht="13.5" customHeight="1">
      <c r="B328" s="268">
        <v>1264.0</v>
      </c>
      <c r="C328" s="268">
        <f t="shared" si="1"/>
        <v>0.6973629626</v>
      </c>
      <c r="D328" s="268">
        <f t="shared" si="2"/>
        <v>1.083597884</v>
      </c>
    </row>
    <row r="329" ht="13.5" customHeight="1">
      <c r="B329" s="268">
        <v>1268.0</v>
      </c>
      <c r="C329" s="268">
        <f t="shared" si="1"/>
        <v>0.699661121</v>
      </c>
      <c r="D329" s="268">
        <f t="shared" si="2"/>
        <v>1.083884626</v>
      </c>
    </row>
    <row r="330" ht="13.5" customHeight="1">
      <c r="B330" s="268">
        <v>1272.0</v>
      </c>
      <c r="C330" s="268">
        <f t="shared" si="1"/>
        <v>0.7019598876</v>
      </c>
      <c r="D330" s="268">
        <f t="shared" si="2"/>
        <v>1.084171519</v>
      </c>
    </row>
    <row r="331" ht="13.5" customHeight="1">
      <c r="B331" s="268">
        <v>1276.0</v>
      </c>
      <c r="C331" s="268">
        <f t="shared" si="1"/>
        <v>0.7042592628</v>
      </c>
      <c r="D331" s="268">
        <f t="shared" si="2"/>
        <v>1.084458565</v>
      </c>
    </row>
    <row r="332" ht="13.5" customHeight="1">
      <c r="B332" s="268">
        <v>1280.0</v>
      </c>
      <c r="C332" s="268">
        <f t="shared" si="1"/>
        <v>0.7065592468</v>
      </c>
      <c r="D332" s="268">
        <f t="shared" si="2"/>
        <v>1.084745763</v>
      </c>
    </row>
    <row r="333" ht="13.5" customHeight="1">
      <c r="B333" s="268">
        <v>1284.0</v>
      </c>
      <c r="C333" s="268">
        <f t="shared" si="1"/>
        <v>0.7088598401</v>
      </c>
      <c r="D333" s="268">
        <f t="shared" si="2"/>
        <v>1.085033113</v>
      </c>
    </row>
    <row r="334" ht="13.5" customHeight="1">
      <c r="B334" s="268">
        <v>1288.0</v>
      </c>
      <c r="C334" s="268">
        <f t="shared" si="1"/>
        <v>0.7111610428</v>
      </c>
      <c r="D334" s="268">
        <f t="shared" si="2"/>
        <v>1.085320615</v>
      </c>
    </row>
    <row r="335" ht="13.5" customHeight="1">
      <c r="B335" s="268">
        <v>1292.0</v>
      </c>
      <c r="C335" s="268">
        <f t="shared" si="1"/>
        <v>0.7134628553</v>
      </c>
      <c r="D335" s="268">
        <f t="shared" si="2"/>
        <v>1.085608269</v>
      </c>
    </row>
    <row r="336" ht="13.5" customHeight="1">
      <c r="B336" s="268">
        <v>1296.0</v>
      </c>
      <c r="C336" s="268">
        <f t="shared" si="1"/>
        <v>0.715765278</v>
      </c>
      <c r="D336" s="268">
        <f t="shared" si="2"/>
        <v>1.085896076</v>
      </c>
    </row>
    <row r="337" ht="13.5" customHeight="1">
      <c r="B337" s="268">
        <v>1300.0</v>
      </c>
      <c r="C337" s="268">
        <f t="shared" si="1"/>
        <v>0.7180683112</v>
      </c>
      <c r="D337" s="268">
        <f t="shared" si="2"/>
        <v>1.086184036</v>
      </c>
    </row>
    <row r="338" ht="13.5" customHeight="1">
      <c r="B338" s="268">
        <v>1304.0</v>
      </c>
      <c r="C338" s="268">
        <f t="shared" si="1"/>
        <v>0.7203719552</v>
      </c>
      <c r="D338" s="268">
        <f t="shared" si="2"/>
        <v>1.086472149</v>
      </c>
    </row>
    <row r="339" ht="13.5" customHeight="1">
      <c r="B339" s="268">
        <v>1308.0</v>
      </c>
      <c r="C339" s="268">
        <f t="shared" si="1"/>
        <v>0.7226762104</v>
      </c>
      <c r="D339" s="268">
        <f t="shared" si="2"/>
        <v>1.086760414</v>
      </c>
    </row>
    <row r="340" ht="13.5" customHeight="1">
      <c r="B340" s="268">
        <v>1312.0</v>
      </c>
      <c r="C340" s="268">
        <f t="shared" si="1"/>
        <v>0.7249810769</v>
      </c>
      <c r="D340" s="268">
        <f t="shared" si="2"/>
        <v>1.087048832</v>
      </c>
    </row>
    <row r="341" ht="13.5" customHeight="1">
      <c r="B341" s="268">
        <v>1316.0</v>
      </c>
      <c r="C341" s="268">
        <f t="shared" si="1"/>
        <v>0.7272865553</v>
      </c>
      <c r="D341" s="268">
        <f t="shared" si="2"/>
        <v>1.087337404</v>
      </c>
    </row>
    <row r="342" ht="13.5" customHeight="1">
      <c r="B342" s="268">
        <v>1320.0</v>
      </c>
      <c r="C342" s="268">
        <f t="shared" si="1"/>
        <v>0.7295926457</v>
      </c>
      <c r="D342" s="268">
        <f t="shared" si="2"/>
        <v>1.087626129</v>
      </c>
    </row>
    <row r="343" ht="13.5" customHeight="1">
      <c r="B343" s="268">
        <v>1324.0</v>
      </c>
      <c r="C343" s="268">
        <f t="shared" si="1"/>
        <v>0.7318993486</v>
      </c>
      <c r="D343" s="268">
        <f t="shared" si="2"/>
        <v>1.087915007</v>
      </c>
    </row>
    <row r="344" ht="13.5" customHeight="1">
      <c r="B344" s="268">
        <v>1328.0</v>
      </c>
      <c r="C344" s="268">
        <f t="shared" si="1"/>
        <v>0.7342066643</v>
      </c>
      <c r="D344" s="268">
        <f t="shared" si="2"/>
        <v>1.088204038</v>
      </c>
    </row>
    <row r="345" ht="13.5" customHeight="1">
      <c r="B345" s="268">
        <v>1332.0</v>
      </c>
      <c r="C345" s="268">
        <f t="shared" si="1"/>
        <v>0.736514593</v>
      </c>
      <c r="D345" s="268">
        <f t="shared" si="2"/>
        <v>1.088493223</v>
      </c>
    </row>
    <row r="346" ht="13.5" customHeight="1">
      <c r="B346" s="268">
        <v>1336.0</v>
      </c>
      <c r="C346" s="268">
        <f t="shared" si="1"/>
        <v>0.7388231351</v>
      </c>
      <c r="D346" s="268">
        <f t="shared" si="2"/>
        <v>1.088782562</v>
      </c>
    </row>
    <row r="347" ht="13.5" customHeight="1">
      <c r="B347" s="268">
        <v>1340.0</v>
      </c>
      <c r="C347" s="268">
        <f t="shared" si="1"/>
        <v>0.7411322909</v>
      </c>
      <c r="D347" s="268">
        <f t="shared" si="2"/>
        <v>1.089072055</v>
      </c>
    </row>
    <row r="348" ht="13.5" customHeight="1">
      <c r="B348" s="268">
        <v>1344.0</v>
      </c>
      <c r="C348" s="268">
        <f t="shared" si="1"/>
        <v>0.7434420608</v>
      </c>
      <c r="D348" s="268">
        <f t="shared" si="2"/>
        <v>1.089361702</v>
      </c>
    </row>
    <row r="349" ht="13.5" customHeight="1">
      <c r="B349" s="268">
        <v>1348.0</v>
      </c>
      <c r="C349" s="268">
        <f t="shared" si="1"/>
        <v>0.7457524451</v>
      </c>
      <c r="D349" s="268">
        <f t="shared" si="2"/>
        <v>1.089651503</v>
      </c>
    </row>
    <row r="350" ht="13.5" customHeight="1">
      <c r="B350" s="268">
        <v>1352.0</v>
      </c>
      <c r="C350" s="268">
        <f t="shared" si="1"/>
        <v>0.7480634441</v>
      </c>
      <c r="D350" s="268">
        <f t="shared" si="2"/>
        <v>1.089941458</v>
      </c>
    </row>
    <row r="351" ht="13.5" customHeight="1">
      <c r="B351" s="268">
        <v>1356.0</v>
      </c>
      <c r="C351" s="268">
        <f t="shared" si="1"/>
        <v>0.7503750581</v>
      </c>
      <c r="D351" s="268">
        <f t="shared" si="2"/>
        <v>1.090231568</v>
      </c>
    </row>
    <row r="352" ht="13.5" customHeight="1">
      <c r="B352" s="268">
        <v>1360.0</v>
      </c>
      <c r="C352" s="268">
        <f t="shared" si="1"/>
        <v>0.7526872875</v>
      </c>
      <c r="D352" s="268">
        <f t="shared" si="2"/>
        <v>1.090521832</v>
      </c>
    </row>
    <row r="353" ht="13.5" customHeight="1">
      <c r="B353" s="268">
        <v>1364.0</v>
      </c>
      <c r="C353" s="268">
        <f t="shared" si="1"/>
        <v>0.7550001326</v>
      </c>
      <c r="D353" s="268">
        <f t="shared" si="2"/>
        <v>1.09081225</v>
      </c>
    </row>
    <row r="354" ht="13.5" customHeight="1">
      <c r="B354" s="268">
        <v>1368.0</v>
      </c>
      <c r="C354" s="268">
        <f t="shared" si="1"/>
        <v>0.7573135936</v>
      </c>
      <c r="D354" s="268">
        <f t="shared" si="2"/>
        <v>1.091102824</v>
      </c>
    </row>
    <row r="355" ht="13.5" customHeight="1">
      <c r="B355" s="268">
        <v>1372.0</v>
      </c>
      <c r="C355" s="268">
        <f t="shared" si="1"/>
        <v>0.7596276711</v>
      </c>
      <c r="D355" s="268">
        <f t="shared" si="2"/>
        <v>1.091393552</v>
      </c>
    </row>
    <row r="356" ht="13.5" customHeight="1">
      <c r="B356" s="268">
        <v>1376.0</v>
      </c>
      <c r="C356" s="268">
        <f t="shared" si="1"/>
        <v>0.7619423652</v>
      </c>
      <c r="D356" s="268">
        <f t="shared" si="2"/>
        <v>1.091684435</v>
      </c>
    </row>
    <row r="357" ht="13.5" customHeight="1">
      <c r="B357" s="268">
        <v>1380.0</v>
      </c>
      <c r="C357" s="268">
        <f t="shared" si="1"/>
        <v>0.7642576763</v>
      </c>
      <c r="D357" s="268">
        <f t="shared" si="2"/>
        <v>1.091975473</v>
      </c>
    </row>
    <row r="358" ht="13.5" customHeight="1">
      <c r="B358" s="268">
        <v>1384.0</v>
      </c>
      <c r="C358" s="268">
        <f t="shared" si="1"/>
        <v>0.7665736048</v>
      </c>
      <c r="D358" s="268">
        <f t="shared" si="2"/>
        <v>1.092266667</v>
      </c>
    </row>
    <row r="359" ht="13.5" customHeight="1">
      <c r="B359" s="268">
        <v>1388.0</v>
      </c>
      <c r="C359" s="268">
        <f t="shared" si="1"/>
        <v>0.7688901509</v>
      </c>
      <c r="D359" s="268">
        <f t="shared" si="2"/>
        <v>1.092558015</v>
      </c>
    </row>
    <row r="360" ht="13.5" customHeight="1">
      <c r="B360" s="268">
        <v>1392.0</v>
      </c>
      <c r="C360" s="268">
        <f t="shared" si="1"/>
        <v>0.771207315</v>
      </c>
      <c r="D360" s="268">
        <f t="shared" si="2"/>
        <v>1.09284952</v>
      </c>
    </row>
    <row r="361" ht="13.5" customHeight="1">
      <c r="B361" s="268">
        <v>1396.0</v>
      </c>
      <c r="C361" s="268">
        <f t="shared" si="1"/>
        <v>0.7735250975</v>
      </c>
      <c r="D361" s="268">
        <f t="shared" si="2"/>
        <v>1.09314118</v>
      </c>
    </row>
    <row r="362" ht="13.5" customHeight="1">
      <c r="B362" s="268">
        <v>1400.0</v>
      </c>
      <c r="C362" s="268">
        <f t="shared" si="1"/>
        <v>0.7758434986</v>
      </c>
      <c r="D362" s="268">
        <f t="shared" si="2"/>
        <v>1.093432995</v>
      </c>
    </row>
    <row r="363" ht="13.5" customHeight="1">
      <c r="B363" s="268">
        <v>1404.0</v>
      </c>
      <c r="C363" s="268">
        <f t="shared" si="1"/>
        <v>0.7781625186</v>
      </c>
      <c r="D363" s="268">
        <f t="shared" si="2"/>
        <v>1.093724967</v>
      </c>
    </row>
    <row r="364" ht="13.5" customHeight="1">
      <c r="B364" s="268">
        <v>1408.0</v>
      </c>
      <c r="C364" s="268">
        <f t="shared" si="1"/>
        <v>0.780482158</v>
      </c>
      <c r="D364" s="268">
        <f t="shared" si="2"/>
        <v>1.094017094</v>
      </c>
    </row>
    <row r="365" ht="13.5" customHeight="1">
      <c r="B365" s="268">
        <v>1412.0</v>
      </c>
      <c r="C365" s="268">
        <f t="shared" si="1"/>
        <v>0.7828024171</v>
      </c>
      <c r="D365" s="268">
        <f t="shared" si="2"/>
        <v>1.094309378</v>
      </c>
    </row>
    <row r="366" ht="13.5" customHeight="1">
      <c r="B366" s="268">
        <v>1416.0</v>
      </c>
      <c r="C366" s="268">
        <f t="shared" si="1"/>
        <v>0.7851232961</v>
      </c>
      <c r="D366" s="268">
        <f t="shared" si="2"/>
        <v>1.094601817</v>
      </c>
    </row>
    <row r="367" ht="13.5" customHeight="1">
      <c r="B367" s="268">
        <v>1420.0</v>
      </c>
      <c r="C367" s="268">
        <f t="shared" si="1"/>
        <v>0.7874447954</v>
      </c>
      <c r="D367" s="268">
        <f t="shared" si="2"/>
        <v>1.094894413</v>
      </c>
    </row>
    <row r="368" ht="13.5" customHeight="1">
      <c r="B368" s="268">
        <v>1424.0</v>
      </c>
      <c r="C368" s="268">
        <f t="shared" si="1"/>
        <v>0.7897669153</v>
      </c>
      <c r="D368" s="268">
        <f t="shared" si="2"/>
        <v>1.095187166</v>
      </c>
    </row>
    <row r="369" ht="13.5" customHeight="1">
      <c r="B369" s="268">
        <v>1428.0</v>
      </c>
      <c r="C369" s="268">
        <f t="shared" si="1"/>
        <v>0.7920896563</v>
      </c>
      <c r="D369" s="268">
        <f t="shared" si="2"/>
        <v>1.095480075</v>
      </c>
    </row>
    <row r="370" ht="13.5" customHeight="1">
      <c r="B370" s="268">
        <v>1432.0</v>
      </c>
      <c r="C370" s="268">
        <f t="shared" si="1"/>
        <v>0.7944130185</v>
      </c>
      <c r="D370" s="268">
        <f t="shared" si="2"/>
        <v>1.095773141</v>
      </c>
    </row>
    <row r="371" ht="13.5" customHeight="1">
      <c r="B371" s="268">
        <v>1436.0</v>
      </c>
      <c r="C371" s="268">
        <f t="shared" si="1"/>
        <v>0.7967370024</v>
      </c>
      <c r="D371" s="268">
        <f t="shared" si="2"/>
        <v>1.096066363</v>
      </c>
    </row>
    <row r="372" ht="13.5" customHeight="1">
      <c r="B372" s="268">
        <v>1440.0</v>
      </c>
      <c r="C372" s="268">
        <f t="shared" si="1"/>
        <v>0.7990616082</v>
      </c>
      <c r="D372" s="268">
        <f t="shared" si="2"/>
        <v>1.096359743</v>
      </c>
    </row>
    <row r="373" ht="13.5" customHeight="1">
      <c r="B373" s="268">
        <v>1444.0</v>
      </c>
      <c r="C373" s="268">
        <f t="shared" si="1"/>
        <v>0.8013868363</v>
      </c>
      <c r="D373" s="268">
        <f t="shared" si="2"/>
        <v>1.09665328</v>
      </c>
    </row>
    <row r="374" ht="13.5" customHeight="1">
      <c r="B374" s="268">
        <v>1448.0</v>
      </c>
      <c r="C374" s="268">
        <f t="shared" si="1"/>
        <v>0.8037126871</v>
      </c>
      <c r="D374" s="268">
        <f t="shared" si="2"/>
        <v>1.096946974</v>
      </c>
    </row>
    <row r="375" ht="13.5" customHeight="1">
      <c r="B375" s="268">
        <v>1452.0</v>
      </c>
      <c r="C375" s="268">
        <f t="shared" si="1"/>
        <v>0.8060391608</v>
      </c>
      <c r="D375" s="268">
        <f t="shared" si="2"/>
        <v>1.097240825</v>
      </c>
    </row>
    <row r="376" ht="13.5" customHeight="1">
      <c r="B376" s="268">
        <v>1456.0</v>
      </c>
      <c r="C376" s="268">
        <f t="shared" si="1"/>
        <v>0.8083662579</v>
      </c>
      <c r="D376" s="268">
        <f t="shared" si="2"/>
        <v>1.097534834</v>
      </c>
    </row>
    <row r="377" ht="13.5" customHeight="1">
      <c r="B377" s="268">
        <v>1460.0</v>
      </c>
      <c r="C377" s="268">
        <f t="shared" si="1"/>
        <v>0.8106939785</v>
      </c>
      <c r="D377" s="268">
        <f t="shared" si="2"/>
        <v>1.097829</v>
      </c>
    </row>
    <row r="378" ht="13.5" customHeight="1">
      <c r="B378" s="268">
        <v>1464.0</v>
      </c>
      <c r="C378" s="268">
        <f t="shared" si="1"/>
        <v>0.8130223232</v>
      </c>
      <c r="D378" s="268">
        <f t="shared" si="2"/>
        <v>1.098123324</v>
      </c>
    </row>
    <row r="379" ht="13.5" customHeight="1">
      <c r="B379" s="268">
        <v>1468.0</v>
      </c>
      <c r="C379" s="268">
        <f t="shared" si="1"/>
        <v>0.8153512921</v>
      </c>
      <c r="D379" s="268">
        <f t="shared" si="2"/>
        <v>1.098417806</v>
      </c>
    </row>
    <row r="380" ht="13.5" customHeight="1">
      <c r="B380" s="268">
        <v>1472.0</v>
      </c>
      <c r="C380" s="268">
        <f t="shared" si="1"/>
        <v>0.8176808857</v>
      </c>
      <c r="D380" s="268">
        <f t="shared" si="2"/>
        <v>1.098712446</v>
      </c>
    </row>
    <row r="381" ht="13.5" customHeight="1">
      <c r="B381" s="268">
        <v>1476.0</v>
      </c>
      <c r="C381" s="268">
        <f t="shared" si="1"/>
        <v>0.8200111043</v>
      </c>
      <c r="D381" s="268">
        <f t="shared" si="2"/>
        <v>1.099007244</v>
      </c>
    </row>
    <row r="382" ht="13.5" customHeight="1">
      <c r="B382" s="268">
        <v>1480.0</v>
      </c>
      <c r="C382" s="268">
        <f t="shared" si="1"/>
        <v>0.8223419482</v>
      </c>
      <c r="D382" s="268">
        <f t="shared" si="2"/>
        <v>1.099302201</v>
      </c>
    </row>
    <row r="383" ht="13.5" customHeight="1">
      <c r="B383" s="268">
        <v>1484.0</v>
      </c>
      <c r="C383" s="268">
        <f t="shared" si="1"/>
        <v>0.8246734177</v>
      </c>
      <c r="D383" s="268">
        <f t="shared" si="2"/>
        <v>1.099597315</v>
      </c>
    </row>
    <row r="384" ht="13.5" customHeight="1">
      <c r="B384" s="268">
        <v>1488.0</v>
      </c>
      <c r="C384" s="268">
        <f t="shared" si="1"/>
        <v>0.8270055132</v>
      </c>
      <c r="D384" s="268">
        <f t="shared" si="2"/>
        <v>1.099892589</v>
      </c>
    </row>
    <row r="385" ht="13.5" customHeight="1">
      <c r="B385" s="268">
        <v>1492.0</v>
      </c>
      <c r="C385" s="268">
        <f t="shared" si="1"/>
        <v>0.829338235</v>
      </c>
      <c r="D385" s="268">
        <f t="shared" si="2"/>
        <v>1.10018802</v>
      </c>
    </row>
    <row r="386" ht="13.5" customHeight="1">
      <c r="B386" s="268">
        <v>1496.0</v>
      </c>
      <c r="C386" s="268">
        <f t="shared" si="1"/>
        <v>0.8316715835</v>
      </c>
      <c r="D386" s="268">
        <f t="shared" si="2"/>
        <v>1.100483611</v>
      </c>
    </row>
    <row r="387" ht="13.5" customHeight="1">
      <c r="B387" s="268">
        <v>1500.0</v>
      </c>
      <c r="C387" s="268">
        <f t="shared" si="1"/>
        <v>0.8340055589</v>
      </c>
      <c r="D387" s="268">
        <f t="shared" si="2"/>
        <v>1.10077936</v>
      </c>
    </row>
    <row r="388" ht="13.5" customHeight="1">
      <c r="B388" s="268">
        <v>1504.0</v>
      </c>
      <c r="C388" s="268">
        <f t="shared" si="1"/>
        <v>0.8363401617</v>
      </c>
      <c r="D388" s="268">
        <f t="shared" si="2"/>
        <v>1.101075269</v>
      </c>
    </row>
    <row r="389" ht="13.5" customHeight="1">
      <c r="B389" s="268">
        <v>1508.0</v>
      </c>
      <c r="C389" s="268">
        <f t="shared" si="1"/>
        <v>0.8386753922</v>
      </c>
      <c r="D389" s="268">
        <f t="shared" si="2"/>
        <v>1.101371336</v>
      </c>
    </row>
    <row r="390" ht="13.5" customHeight="1">
      <c r="B390" s="268">
        <v>1512.0</v>
      </c>
      <c r="C390" s="268">
        <f t="shared" si="1"/>
        <v>0.8410112506</v>
      </c>
      <c r="D390" s="268">
        <f t="shared" si="2"/>
        <v>1.101667563</v>
      </c>
    </row>
    <row r="391" ht="13.5" customHeight="1">
      <c r="B391" s="268">
        <v>1516.0</v>
      </c>
      <c r="C391" s="268">
        <f t="shared" si="1"/>
        <v>0.8433477374</v>
      </c>
      <c r="D391" s="268">
        <f t="shared" si="2"/>
        <v>1.101963949</v>
      </c>
    </row>
    <row r="392" ht="13.5" customHeight="1">
      <c r="B392" s="268">
        <v>1520.0</v>
      </c>
      <c r="C392" s="268">
        <f t="shared" si="1"/>
        <v>0.8456848529</v>
      </c>
      <c r="D392" s="268">
        <f t="shared" si="2"/>
        <v>1.102260495</v>
      </c>
    </row>
    <row r="393" ht="13.5" customHeight="1">
      <c r="B393" s="268">
        <v>1524.0</v>
      </c>
      <c r="C393" s="268">
        <f t="shared" si="1"/>
        <v>0.8480225974</v>
      </c>
      <c r="D393" s="268">
        <f t="shared" si="2"/>
        <v>1.102557201</v>
      </c>
    </row>
    <row r="394" ht="13.5" customHeight="1">
      <c r="B394" s="268">
        <v>1528.0</v>
      </c>
      <c r="C394" s="268">
        <f t="shared" si="1"/>
        <v>0.8503609713</v>
      </c>
      <c r="D394" s="268">
        <f t="shared" si="2"/>
        <v>1.102854066</v>
      </c>
    </row>
    <row r="395" ht="13.5" customHeight="1">
      <c r="B395" s="268">
        <v>1532.0</v>
      </c>
      <c r="C395" s="268">
        <f t="shared" si="1"/>
        <v>0.8526999748</v>
      </c>
      <c r="D395" s="268">
        <f t="shared" si="2"/>
        <v>1.103151091</v>
      </c>
    </row>
    <row r="396" ht="13.5" customHeight="1">
      <c r="B396" s="268">
        <v>1536.0</v>
      </c>
      <c r="C396" s="268">
        <f t="shared" si="1"/>
        <v>0.8550396084</v>
      </c>
      <c r="D396" s="268">
        <f t="shared" si="2"/>
        <v>1.103448276</v>
      </c>
    </row>
    <row r="397" ht="13.5" customHeight="1">
      <c r="B397" s="268">
        <v>1540.0</v>
      </c>
      <c r="C397" s="268">
        <f t="shared" si="1"/>
        <v>0.8573798724</v>
      </c>
      <c r="D397" s="268">
        <f t="shared" si="2"/>
        <v>1.103745621</v>
      </c>
    </row>
    <row r="398" ht="13.5" customHeight="1">
      <c r="B398" s="268">
        <v>1544.0</v>
      </c>
      <c r="C398" s="268">
        <f t="shared" si="1"/>
        <v>0.8597207671</v>
      </c>
      <c r="D398" s="268">
        <f t="shared" si="2"/>
        <v>1.104043127</v>
      </c>
    </row>
    <row r="399" ht="13.5" customHeight="1">
      <c r="B399" s="268">
        <v>1548.0</v>
      </c>
      <c r="C399" s="268">
        <f t="shared" si="1"/>
        <v>0.8620622928</v>
      </c>
      <c r="D399" s="268">
        <f t="shared" si="2"/>
        <v>1.104340793</v>
      </c>
    </row>
    <row r="400" ht="13.5" customHeight="1">
      <c r="B400" s="268">
        <v>1552.0</v>
      </c>
      <c r="C400" s="268">
        <f t="shared" si="1"/>
        <v>0.8644044499</v>
      </c>
      <c r="D400" s="268">
        <f t="shared" si="2"/>
        <v>1.104638619</v>
      </c>
    </row>
    <row r="401" ht="13.5" customHeight="1">
      <c r="B401" s="268">
        <v>1556.0</v>
      </c>
      <c r="C401" s="268">
        <f t="shared" si="1"/>
        <v>0.8667472388</v>
      </c>
      <c r="D401" s="268">
        <f t="shared" si="2"/>
        <v>1.104936606</v>
      </c>
    </row>
    <row r="402" ht="13.5" customHeight="1">
      <c r="B402" s="268">
        <v>1560.0</v>
      </c>
      <c r="C402" s="268">
        <f t="shared" si="1"/>
        <v>0.8690906597</v>
      </c>
      <c r="D402" s="268">
        <f t="shared" si="2"/>
        <v>1.105234754</v>
      </c>
    </row>
    <row r="403" ht="13.5" customHeight="1">
      <c r="B403" s="268">
        <v>1564.0</v>
      </c>
      <c r="C403" s="268">
        <f t="shared" si="1"/>
        <v>0.871434713</v>
      </c>
      <c r="D403" s="268">
        <f t="shared" si="2"/>
        <v>1.105533063</v>
      </c>
    </row>
    <row r="404" ht="13.5" customHeight="1">
      <c r="B404" s="268">
        <v>1568.0</v>
      </c>
      <c r="C404" s="268">
        <f t="shared" si="1"/>
        <v>0.8737793992</v>
      </c>
      <c r="D404" s="268">
        <f t="shared" si="2"/>
        <v>1.105831533</v>
      </c>
    </row>
    <row r="405" ht="13.5" customHeight="1">
      <c r="B405" s="268">
        <v>1572.0</v>
      </c>
      <c r="C405" s="268">
        <f t="shared" si="1"/>
        <v>0.8761247184</v>
      </c>
      <c r="D405" s="268">
        <f t="shared" si="2"/>
        <v>1.106130165</v>
      </c>
    </row>
    <row r="406" ht="13.5" customHeight="1">
      <c r="B406" s="268">
        <v>1576.0</v>
      </c>
      <c r="C406" s="268">
        <f t="shared" si="1"/>
        <v>0.878470671</v>
      </c>
      <c r="D406" s="268">
        <f t="shared" si="2"/>
        <v>1.106428957</v>
      </c>
    </row>
    <row r="407" ht="13.5" customHeight="1">
      <c r="B407" s="268">
        <v>1580.0</v>
      </c>
      <c r="C407" s="268">
        <f t="shared" si="1"/>
        <v>0.8808172575</v>
      </c>
      <c r="D407" s="268">
        <f t="shared" si="2"/>
        <v>1.106727911</v>
      </c>
    </row>
    <row r="408" ht="13.5" customHeight="1">
      <c r="B408" s="268">
        <v>1584.0</v>
      </c>
      <c r="C408" s="268">
        <f t="shared" si="1"/>
        <v>0.883164478</v>
      </c>
      <c r="D408" s="268">
        <f t="shared" si="2"/>
        <v>1.107027027</v>
      </c>
    </row>
    <row r="409" ht="13.5" customHeight="1">
      <c r="B409" s="268">
        <v>1588.0</v>
      </c>
      <c r="C409" s="268">
        <f t="shared" si="1"/>
        <v>0.885512333</v>
      </c>
      <c r="D409" s="268">
        <f t="shared" si="2"/>
        <v>1.107326304</v>
      </c>
    </row>
    <row r="410" ht="13.5" customHeight="1">
      <c r="B410" s="268">
        <v>1592.0</v>
      </c>
      <c r="C410" s="268">
        <f t="shared" si="1"/>
        <v>0.8878608229</v>
      </c>
      <c r="D410" s="268">
        <f t="shared" si="2"/>
        <v>1.107625744</v>
      </c>
    </row>
    <row r="411" ht="13.5" customHeight="1">
      <c r="B411" s="268">
        <v>1596.0</v>
      </c>
      <c r="C411" s="268">
        <f t="shared" si="1"/>
        <v>0.8902099479</v>
      </c>
      <c r="D411" s="268">
        <f t="shared" si="2"/>
        <v>1.107925345</v>
      </c>
    </row>
    <row r="412" ht="13.5" customHeight="1">
      <c r="B412" s="268">
        <v>1600.0</v>
      </c>
      <c r="C412" s="268">
        <f t="shared" si="1"/>
        <v>0.8925597084</v>
      </c>
      <c r="D412" s="268">
        <f t="shared" si="2"/>
        <v>1.108225108</v>
      </c>
    </row>
    <row r="413" ht="13.5" customHeight="1">
      <c r="B413" s="268">
        <v>1604.0</v>
      </c>
      <c r="C413" s="268">
        <f t="shared" si="1"/>
        <v>0.8949101047</v>
      </c>
      <c r="D413" s="268">
        <f t="shared" si="2"/>
        <v>1.108525034</v>
      </c>
    </row>
    <row r="414" ht="13.5" customHeight="1">
      <c r="B414" s="268">
        <v>1608.0</v>
      </c>
      <c r="C414" s="268">
        <f t="shared" si="1"/>
        <v>0.8972611373</v>
      </c>
      <c r="D414" s="268">
        <f t="shared" si="2"/>
        <v>1.108825122</v>
      </c>
    </row>
    <row r="415" ht="13.5" customHeight="1">
      <c r="B415" s="268">
        <v>1612.0</v>
      </c>
      <c r="C415" s="268">
        <f t="shared" si="1"/>
        <v>0.8996128063</v>
      </c>
      <c r="D415" s="268">
        <f t="shared" si="2"/>
        <v>1.109125372</v>
      </c>
    </row>
    <row r="416" ht="13.5" customHeight="1">
      <c r="B416" s="268">
        <v>1616.0</v>
      </c>
      <c r="C416" s="268">
        <f t="shared" si="1"/>
        <v>0.9019651123</v>
      </c>
      <c r="D416" s="268">
        <f t="shared" si="2"/>
        <v>1.109425785</v>
      </c>
    </row>
    <row r="417" ht="13.5" customHeight="1">
      <c r="B417" s="268">
        <v>1620.0</v>
      </c>
      <c r="C417" s="268">
        <f t="shared" si="1"/>
        <v>0.9043180554</v>
      </c>
      <c r="D417" s="268">
        <f t="shared" si="2"/>
        <v>1.109726361</v>
      </c>
    </row>
    <row r="418" ht="13.5" customHeight="1">
      <c r="B418" s="268">
        <v>1624.0</v>
      </c>
      <c r="C418" s="268">
        <f t="shared" si="1"/>
        <v>0.9066716362</v>
      </c>
      <c r="D418" s="268">
        <f t="shared" si="2"/>
        <v>1.1100271</v>
      </c>
    </row>
    <row r="419" ht="13.5" customHeight="1">
      <c r="B419" s="268">
        <v>1628.0</v>
      </c>
      <c r="C419" s="268">
        <f t="shared" si="1"/>
        <v>0.9090258548</v>
      </c>
      <c r="D419" s="268">
        <f t="shared" si="2"/>
        <v>1.110328002</v>
      </c>
    </row>
    <row r="420" ht="13.5" customHeight="1">
      <c r="B420" s="268">
        <v>1632.0</v>
      </c>
      <c r="C420" s="268">
        <f t="shared" si="1"/>
        <v>0.9113807117</v>
      </c>
      <c r="D420" s="268">
        <f t="shared" si="2"/>
        <v>1.110629067</v>
      </c>
    </row>
    <row r="421" ht="13.5" customHeight="1">
      <c r="B421" s="268">
        <v>1636.0</v>
      </c>
      <c r="C421" s="268">
        <f t="shared" si="1"/>
        <v>0.9137362072</v>
      </c>
      <c r="D421" s="268">
        <f t="shared" si="2"/>
        <v>1.110930296</v>
      </c>
    </row>
    <row r="422" ht="13.5" customHeight="1">
      <c r="B422" s="268">
        <v>1640.0</v>
      </c>
      <c r="C422" s="268">
        <f t="shared" si="1"/>
        <v>0.9160923417</v>
      </c>
      <c r="D422" s="268">
        <f t="shared" si="2"/>
        <v>1.111231687</v>
      </c>
    </row>
    <row r="423" ht="13.5" customHeight="1">
      <c r="B423" s="268">
        <v>1644.0</v>
      </c>
      <c r="C423" s="268">
        <f t="shared" si="1"/>
        <v>0.9184491155</v>
      </c>
      <c r="D423" s="268">
        <f t="shared" si="2"/>
        <v>1.111533243</v>
      </c>
    </row>
    <row r="424" ht="13.5" customHeight="1">
      <c r="B424" s="268">
        <v>1648.0</v>
      </c>
      <c r="C424" s="268">
        <f t="shared" si="1"/>
        <v>0.9208065289</v>
      </c>
      <c r="D424" s="268">
        <f t="shared" si="2"/>
        <v>1.111834962</v>
      </c>
    </row>
    <row r="425" ht="13.5" customHeight="1">
      <c r="B425" s="268">
        <v>1652.0</v>
      </c>
      <c r="C425" s="268">
        <f t="shared" si="1"/>
        <v>0.9231645823</v>
      </c>
      <c r="D425" s="268">
        <f t="shared" si="2"/>
        <v>1.112136845</v>
      </c>
    </row>
    <row r="426" ht="13.5" customHeight="1">
      <c r="B426" s="268">
        <v>1656.0</v>
      </c>
      <c r="C426" s="268">
        <f t="shared" si="1"/>
        <v>0.925523276</v>
      </c>
      <c r="D426" s="268">
        <f t="shared" si="2"/>
        <v>1.112438892</v>
      </c>
    </row>
    <row r="427" ht="13.5" customHeight="1">
      <c r="B427" s="268">
        <v>1660.0</v>
      </c>
      <c r="C427" s="268">
        <f t="shared" si="1"/>
        <v>0.9278826104</v>
      </c>
      <c r="D427" s="268">
        <f t="shared" si="2"/>
        <v>1.112741103</v>
      </c>
    </row>
    <row r="428" ht="13.5" customHeight="1">
      <c r="B428" s="268">
        <v>1664.0</v>
      </c>
      <c r="C428" s="268">
        <f t="shared" si="1"/>
        <v>0.9302425859</v>
      </c>
      <c r="D428" s="268">
        <f t="shared" si="2"/>
        <v>1.113043478</v>
      </c>
    </row>
    <row r="429" ht="13.5" customHeight="1">
      <c r="B429" s="268">
        <v>1668.0</v>
      </c>
      <c r="C429" s="268">
        <f t="shared" si="1"/>
        <v>0.9326032027</v>
      </c>
      <c r="D429" s="268">
        <f t="shared" si="2"/>
        <v>1.113346018</v>
      </c>
    </row>
    <row r="430" ht="13.5" customHeight="1">
      <c r="B430" s="268">
        <v>1672.0</v>
      </c>
      <c r="C430" s="268">
        <f t="shared" si="1"/>
        <v>0.9349644613</v>
      </c>
      <c r="D430" s="268">
        <f t="shared" si="2"/>
        <v>1.113648722</v>
      </c>
    </row>
    <row r="431" ht="13.5" customHeight="1">
      <c r="B431" s="268">
        <v>1676.0</v>
      </c>
      <c r="C431" s="268">
        <f t="shared" si="1"/>
        <v>0.937326362</v>
      </c>
      <c r="D431" s="268">
        <f t="shared" si="2"/>
        <v>1.113951591</v>
      </c>
    </row>
    <row r="432" ht="13.5" customHeight="1">
      <c r="B432" s="268">
        <v>1680.0</v>
      </c>
      <c r="C432" s="268">
        <f t="shared" si="1"/>
        <v>0.9396889051</v>
      </c>
      <c r="D432" s="268">
        <f t="shared" si="2"/>
        <v>1.114254625</v>
      </c>
    </row>
    <row r="433" ht="13.5" customHeight="1">
      <c r="B433" s="268">
        <v>1684.0</v>
      </c>
      <c r="C433" s="268">
        <f t="shared" si="1"/>
        <v>0.942052091</v>
      </c>
      <c r="D433" s="268">
        <f t="shared" si="2"/>
        <v>1.114557823</v>
      </c>
    </row>
    <row r="434" ht="13.5" customHeight="1">
      <c r="B434" s="268">
        <v>1688.0</v>
      </c>
      <c r="C434" s="268">
        <f t="shared" si="1"/>
        <v>0.94441592</v>
      </c>
      <c r="D434" s="268">
        <f t="shared" si="2"/>
        <v>1.114861187</v>
      </c>
    </row>
    <row r="435" ht="13.5" customHeight="1">
      <c r="B435" s="268">
        <v>1692.0</v>
      </c>
      <c r="C435" s="268">
        <f t="shared" si="1"/>
        <v>0.9467803924</v>
      </c>
      <c r="D435" s="268">
        <f t="shared" si="2"/>
        <v>1.115164715</v>
      </c>
    </row>
    <row r="436" ht="13.5" customHeight="1">
      <c r="B436" s="268">
        <v>1696.0</v>
      </c>
      <c r="C436" s="268">
        <f t="shared" si="1"/>
        <v>0.9491455088</v>
      </c>
      <c r="D436" s="268">
        <f t="shared" si="2"/>
        <v>1.11546841</v>
      </c>
    </row>
    <row r="437" ht="13.5" customHeight="1">
      <c r="B437" s="268">
        <v>1700.0</v>
      </c>
      <c r="C437" s="268">
        <f t="shared" si="1"/>
        <v>0.9515112693</v>
      </c>
      <c r="D437" s="268">
        <f t="shared" si="2"/>
        <v>1.115772269</v>
      </c>
    </row>
    <row r="438" ht="13.5" customHeight="1">
      <c r="B438" s="268">
        <v>1704.0</v>
      </c>
      <c r="C438" s="268">
        <f t="shared" si="1"/>
        <v>0.9538776743</v>
      </c>
      <c r="D438" s="268">
        <f t="shared" si="2"/>
        <v>1.116076294</v>
      </c>
    </row>
    <row r="439" ht="13.5" customHeight="1">
      <c r="B439" s="268">
        <v>1708.0</v>
      </c>
      <c r="C439" s="268">
        <f t="shared" si="1"/>
        <v>0.9562447242</v>
      </c>
      <c r="D439" s="268">
        <f t="shared" si="2"/>
        <v>1.116380485</v>
      </c>
    </row>
    <row r="440" ht="13.5" customHeight="1">
      <c r="B440" s="268">
        <v>1712.0</v>
      </c>
      <c r="C440" s="268">
        <f t="shared" si="1"/>
        <v>0.9586124194</v>
      </c>
      <c r="D440" s="268">
        <f t="shared" si="2"/>
        <v>1.116684842</v>
      </c>
    </row>
    <row r="441" ht="13.5" customHeight="1">
      <c r="B441" s="268">
        <v>1716.0</v>
      </c>
      <c r="C441" s="268">
        <f t="shared" si="1"/>
        <v>0.9609807601</v>
      </c>
      <c r="D441" s="268">
        <f t="shared" si="2"/>
        <v>1.116989365</v>
      </c>
    </row>
    <row r="442" ht="13.5" customHeight="1">
      <c r="B442" s="268">
        <v>1720.0</v>
      </c>
      <c r="C442" s="268">
        <f t="shared" si="1"/>
        <v>0.9633497468</v>
      </c>
      <c r="D442" s="268">
        <f t="shared" si="2"/>
        <v>1.117294053</v>
      </c>
    </row>
    <row r="443" ht="13.5" customHeight="1">
      <c r="B443" s="268">
        <v>1724.0</v>
      </c>
      <c r="C443" s="268">
        <f t="shared" si="1"/>
        <v>0.9657193798</v>
      </c>
      <c r="D443" s="268">
        <f t="shared" si="2"/>
        <v>1.117598909</v>
      </c>
    </row>
    <row r="444" ht="13.5" customHeight="1">
      <c r="B444" s="268">
        <v>1728.0</v>
      </c>
      <c r="C444" s="268">
        <f t="shared" si="1"/>
        <v>0.9680896594</v>
      </c>
      <c r="D444" s="268">
        <f t="shared" si="2"/>
        <v>1.11790393</v>
      </c>
    </row>
    <row r="445" ht="13.5" customHeight="1">
      <c r="B445" s="268">
        <v>1732.0</v>
      </c>
      <c r="C445" s="268">
        <f t="shared" si="1"/>
        <v>0.9704605861</v>
      </c>
      <c r="D445" s="268">
        <f t="shared" si="2"/>
        <v>1.118209118</v>
      </c>
    </row>
    <row r="446" ht="13.5" customHeight="1">
      <c r="B446" s="268">
        <v>1736.0</v>
      </c>
      <c r="C446" s="268">
        <f t="shared" si="1"/>
        <v>0.97283216</v>
      </c>
      <c r="D446" s="268">
        <f t="shared" si="2"/>
        <v>1.118514473</v>
      </c>
    </row>
    <row r="447" ht="13.5" customHeight="1">
      <c r="B447" s="268">
        <v>1740.0</v>
      </c>
      <c r="C447" s="268">
        <f t="shared" si="1"/>
        <v>0.9752043817</v>
      </c>
      <c r="D447" s="268">
        <f t="shared" si="2"/>
        <v>1.118819995</v>
      </c>
    </row>
    <row r="448" ht="13.5" customHeight="1">
      <c r="B448" s="268">
        <v>1744.0</v>
      </c>
      <c r="C448" s="268">
        <f t="shared" si="1"/>
        <v>0.9775772515</v>
      </c>
      <c r="D448" s="268">
        <f t="shared" si="2"/>
        <v>1.119125683</v>
      </c>
    </row>
    <row r="449" ht="13.5" customHeight="1">
      <c r="B449" s="268">
        <v>1748.0</v>
      </c>
      <c r="C449" s="268">
        <f t="shared" si="1"/>
        <v>0.9799507696</v>
      </c>
      <c r="D449" s="268">
        <f t="shared" si="2"/>
        <v>1.119431539</v>
      </c>
    </row>
    <row r="450" ht="13.5" customHeight="1">
      <c r="B450" s="268">
        <v>1752.0</v>
      </c>
      <c r="C450" s="268">
        <f t="shared" si="1"/>
        <v>0.9823249365</v>
      </c>
      <c r="D450" s="268">
        <f t="shared" si="2"/>
        <v>1.119737562</v>
      </c>
    </row>
    <row r="451" ht="13.5" customHeight="1">
      <c r="B451" s="268">
        <v>1756.0</v>
      </c>
      <c r="C451" s="268">
        <f t="shared" si="1"/>
        <v>0.9846997526</v>
      </c>
      <c r="D451" s="268">
        <f t="shared" si="2"/>
        <v>1.120043752</v>
      </c>
    </row>
    <row r="452" ht="13.5" customHeight="1">
      <c r="B452" s="268">
        <v>1760.0</v>
      </c>
      <c r="C452" s="268">
        <f t="shared" si="1"/>
        <v>0.9870752181</v>
      </c>
      <c r="D452" s="268">
        <f t="shared" si="2"/>
        <v>1.120350109</v>
      </c>
    </row>
    <row r="453" ht="13.5" customHeight="1">
      <c r="B453" s="268">
        <v>1764.0</v>
      </c>
      <c r="C453" s="268">
        <f t="shared" si="1"/>
        <v>0.9894513335</v>
      </c>
      <c r="D453" s="268">
        <f t="shared" si="2"/>
        <v>1.120656635</v>
      </c>
      <c r="G453" s="270"/>
    </row>
    <row r="454" ht="13.5" customHeight="1">
      <c r="B454" s="268">
        <v>1768.0</v>
      </c>
      <c r="C454" s="268">
        <f t="shared" si="1"/>
        <v>0.991828099</v>
      </c>
      <c r="D454" s="268">
        <f t="shared" si="2"/>
        <v>1.120963328</v>
      </c>
      <c r="G454" s="271"/>
    </row>
    <row r="455" ht="13.5" customHeight="1">
      <c r="B455" s="268">
        <v>1772.0</v>
      </c>
      <c r="C455" s="268">
        <f t="shared" si="1"/>
        <v>0.9942055151</v>
      </c>
      <c r="D455" s="268">
        <f t="shared" si="2"/>
        <v>1.121270189</v>
      </c>
      <c r="G455" s="270"/>
    </row>
    <row r="456" ht="13.5" customHeight="1">
      <c r="B456" s="268">
        <v>1776.0</v>
      </c>
      <c r="C456" s="268">
        <f t="shared" si="1"/>
        <v>0.9965835821</v>
      </c>
      <c r="D456" s="268">
        <f t="shared" si="2"/>
        <v>1.121577218</v>
      </c>
      <c r="G456" s="270"/>
    </row>
    <row r="457" ht="13.5" customHeight="1">
      <c r="B457" s="268">
        <v>1780.0</v>
      </c>
      <c r="C457" s="268">
        <f t="shared" si="1"/>
        <v>0.9989623004</v>
      </c>
      <c r="D457" s="268">
        <f t="shared" si="2"/>
        <v>1.121884415</v>
      </c>
      <c r="G457" s="270"/>
    </row>
    <row r="458" ht="13.5" customHeight="1">
      <c r="B458" s="268">
        <v>1784.0</v>
      </c>
      <c r="C458" s="268">
        <f t="shared" si="1"/>
        <v>1.00134167</v>
      </c>
      <c r="D458" s="268">
        <f t="shared" si="2"/>
        <v>1.122191781</v>
      </c>
      <c r="G458" s="270"/>
    </row>
    <row r="459" ht="13.5" customHeight="1">
      <c r="B459" s="268">
        <v>1788.0</v>
      </c>
      <c r="C459" s="268">
        <f t="shared" si="1"/>
        <v>1.003721692</v>
      </c>
      <c r="D459" s="268">
        <f t="shared" si="2"/>
        <v>1.122499315</v>
      </c>
      <c r="G459" s="271"/>
    </row>
    <row r="460" ht="13.5" customHeight="1">
      <c r="B460" s="268">
        <v>1792.0</v>
      </c>
      <c r="C460" s="268">
        <f t="shared" si="1"/>
        <v>1.006102366</v>
      </c>
      <c r="D460" s="268">
        <f t="shared" si="2"/>
        <v>1.122807018</v>
      </c>
      <c r="G460" s="271"/>
    </row>
    <row r="461" ht="13.5" customHeight="1">
      <c r="B461" s="268">
        <v>1796.0</v>
      </c>
      <c r="C461" s="268">
        <f t="shared" si="1"/>
        <v>1.008483693</v>
      </c>
      <c r="D461" s="268">
        <f t="shared" si="2"/>
        <v>1.123114889</v>
      </c>
    </row>
    <row r="462" ht="13.5" customHeight="1">
      <c r="B462" s="268">
        <v>1800.0</v>
      </c>
      <c r="C462" s="268">
        <f t="shared" si="1"/>
        <v>1.010865673</v>
      </c>
      <c r="D462" s="268">
        <f t="shared" si="2"/>
        <v>1.123422929</v>
      </c>
    </row>
    <row r="463" ht="13.5" customHeight="1">
      <c r="B463" s="268">
        <v>1804.0</v>
      </c>
      <c r="C463" s="268">
        <f t="shared" si="1"/>
        <v>1.013248306</v>
      </c>
      <c r="D463" s="268">
        <f t="shared" si="2"/>
        <v>1.123731139</v>
      </c>
    </row>
    <row r="464" ht="13.5" customHeight="1">
      <c r="B464" s="268">
        <v>1808.0</v>
      </c>
      <c r="C464" s="268">
        <f t="shared" si="1"/>
        <v>1.015631593</v>
      </c>
      <c r="D464" s="268">
        <f t="shared" si="2"/>
        <v>1.124039517</v>
      </c>
    </row>
    <row r="465" ht="13.5" customHeight="1">
      <c r="B465" s="268">
        <v>1812.0</v>
      </c>
      <c r="C465" s="268">
        <f t="shared" si="1"/>
        <v>1.018015535</v>
      </c>
      <c r="D465" s="268">
        <f t="shared" si="2"/>
        <v>1.124348065</v>
      </c>
    </row>
    <row r="466" ht="13.5" customHeight="1">
      <c r="B466" s="268">
        <v>1816.0</v>
      </c>
      <c r="C466" s="268">
        <f t="shared" si="1"/>
        <v>1.02040013</v>
      </c>
      <c r="D466" s="268">
        <f t="shared" si="2"/>
        <v>1.124656782</v>
      </c>
    </row>
    <row r="467" ht="13.5" customHeight="1">
      <c r="B467" s="268">
        <v>1820.0</v>
      </c>
      <c r="C467" s="268">
        <f t="shared" si="1"/>
        <v>1.022785381</v>
      </c>
      <c r="D467" s="268">
        <f t="shared" si="2"/>
        <v>1.124965669</v>
      </c>
    </row>
    <row r="468" ht="13.5" customHeight="1">
      <c r="B468" s="268">
        <v>1824.0</v>
      </c>
      <c r="C468" s="268">
        <f t="shared" si="1"/>
        <v>1.025171286</v>
      </c>
      <c r="D468" s="268">
        <f t="shared" si="2"/>
        <v>1.125274725</v>
      </c>
    </row>
    <row r="469" ht="13.5" customHeight="1">
      <c r="B469" s="268">
        <v>1828.0</v>
      </c>
      <c r="C469" s="268">
        <f t="shared" si="1"/>
        <v>1.027557848</v>
      </c>
      <c r="D469" s="268">
        <f t="shared" si="2"/>
        <v>1.125583952</v>
      </c>
    </row>
    <row r="470" ht="13.5" customHeight="1">
      <c r="B470" s="268">
        <v>1832.0</v>
      </c>
      <c r="C470" s="268">
        <f t="shared" si="1"/>
        <v>1.029945065</v>
      </c>
      <c r="D470" s="268">
        <f t="shared" si="2"/>
        <v>1.125893348</v>
      </c>
    </row>
    <row r="471" ht="13.5" customHeight="1">
      <c r="B471" s="268">
        <v>1836.0</v>
      </c>
      <c r="C471" s="268">
        <f t="shared" si="1"/>
        <v>1.032332938</v>
      </c>
      <c r="D471" s="268">
        <f t="shared" si="2"/>
        <v>1.126202914</v>
      </c>
    </row>
    <row r="472" ht="13.5" customHeight="1">
      <c r="B472" s="268">
        <v>1840.0</v>
      </c>
      <c r="C472" s="268">
        <f t="shared" si="1"/>
        <v>1.034721468</v>
      </c>
      <c r="D472" s="268">
        <f t="shared" si="2"/>
        <v>1.126512651</v>
      </c>
    </row>
    <row r="473" ht="13.5" customHeight="1">
      <c r="B473" s="268">
        <v>1844.0</v>
      </c>
      <c r="C473" s="268">
        <f t="shared" si="1"/>
        <v>1.037110655</v>
      </c>
      <c r="D473" s="268">
        <f t="shared" si="2"/>
        <v>1.126822558</v>
      </c>
    </row>
    <row r="474" ht="13.5" customHeight="1">
      <c r="B474" s="268">
        <v>1848.0</v>
      </c>
      <c r="C474" s="268">
        <f t="shared" si="1"/>
        <v>1.0395005</v>
      </c>
      <c r="D474" s="268">
        <f t="shared" si="2"/>
        <v>1.127132636</v>
      </c>
    </row>
    <row r="475" ht="13.5" customHeight="1">
      <c r="B475" s="268">
        <v>1852.0</v>
      </c>
      <c r="C475" s="268">
        <f t="shared" si="1"/>
        <v>1.041891002</v>
      </c>
      <c r="D475" s="268">
        <f t="shared" si="2"/>
        <v>1.127442885</v>
      </c>
    </row>
    <row r="476" ht="13.5" customHeight="1">
      <c r="B476" s="268">
        <v>1856.0</v>
      </c>
      <c r="C476" s="268">
        <f t="shared" si="1"/>
        <v>1.044282162</v>
      </c>
      <c r="D476" s="268">
        <f t="shared" si="2"/>
        <v>1.127753304</v>
      </c>
    </row>
    <row r="477" ht="13.5" customHeight="1">
      <c r="B477" s="268">
        <v>1860.0</v>
      </c>
      <c r="C477" s="268">
        <f t="shared" si="1"/>
        <v>1.046673981</v>
      </c>
      <c r="D477" s="268">
        <f t="shared" si="2"/>
        <v>1.128063894</v>
      </c>
    </row>
    <row r="478" ht="13.5" customHeight="1">
      <c r="B478" s="268">
        <v>1864.0</v>
      </c>
      <c r="C478" s="268">
        <f t="shared" si="1"/>
        <v>1.049066459</v>
      </c>
      <c r="D478" s="268">
        <f t="shared" si="2"/>
        <v>1.128374656</v>
      </c>
    </row>
    <row r="479" ht="13.5" customHeight="1">
      <c r="B479" s="268">
        <v>1868.0</v>
      </c>
      <c r="C479" s="268">
        <f t="shared" si="1"/>
        <v>1.051459595</v>
      </c>
      <c r="D479" s="268">
        <f t="shared" si="2"/>
        <v>1.128685588</v>
      </c>
    </row>
    <row r="480" ht="13.5" customHeight="1">
      <c r="B480" s="268">
        <v>1872.0</v>
      </c>
      <c r="C480" s="268">
        <f t="shared" si="1"/>
        <v>1.053853392</v>
      </c>
      <c r="D480" s="268">
        <f t="shared" si="2"/>
        <v>1.128996692</v>
      </c>
    </row>
    <row r="481" ht="13.5" customHeight="1">
      <c r="B481" s="268">
        <v>1876.0</v>
      </c>
      <c r="C481" s="268">
        <f t="shared" si="1"/>
        <v>1.056247848</v>
      </c>
      <c r="D481" s="268">
        <f t="shared" si="2"/>
        <v>1.129307968</v>
      </c>
    </row>
    <row r="482" ht="13.5" customHeight="1">
      <c r="B482" s="268">
        <v>1880.0</v>
      </c>
      <c r="C482" s="268">
        <f t="shared" si="1"/>
        <v>1.058642964</v>
      </c>
      <c r="D482" s="268">
        <f t="shared" si="2"/>
        <v>1.129619415</v>
      </c>
    </row>
    <row r="483" ht="13.5" customHeight="1">
      <c r="B483" s="268">
        <v>1884.0</v>
      </c>
      <c r="C483" s="268">
        <f t="shared" si="1"/>
        <v>1.061038741</v>
      </c>
      <c r="D483" s="268">
        <f t="shared" si="2"/>
        <v>1.129931034</v>
      </c>
    </row>
    <row r="484" ht="13.5" customHeight="1">
      <c r="B484" s="268">
        <v>1888.0</v>
      </c>
      <c r="C484" s="268">
        <f t="shared" si="1"/>
        <v>1.063435179</v>
      </c>
      <c r="D484" s="268">
        <f t="shared" si="2"/>
        <v>1.130242826</v>
      </c>
    </row>
    <row r="485" ht="13.5" customHeight="1">
      <c r="B485" s="268">
        <v>1892.0</v>
      </c>
      <c r="C485" s="268">
        <f t="shared" si="1"/>
        <v>1.065832279</v>
      </c>
      <c r="D485" s="268">
        <f t="shared" si="2"/>
        <v>1.130554789</v>
      </c>
    </row>
    <row r="486" ht="13.5" customHeight="1">
      <c r="B486" s="268">
        <v>1896.0</v>
      </c>
      <c r="C486" s="268">
        <f t="shared" si="1"/>
        <v>1.06823004</v>
      </c>
      <c r="D486" s="268">
        <f t="shared" si="2"/>
        <v>1.130866924</v>
      </c>
    </row>
    <row r="487" ht="13.5" customHeight="1">
      <c r="B487" s="268">
        <v>1900.0</v>
      </c>
      <c r="C487" s="268">
        <f t="shared" si="1"/>
        <v>1.070628463</v>
      </c>
      <c r="D487" s="268">
        <f t="shared" si="2"/>
        <v>1.131179232</v>
      </c>
    </row>
    <row r="488" ht="13.5" customHeight="1">
      <c r="B488" s="268">
        <v>1904.0</v>
      </c>
      <c r="C488" s="268">
        <f t="shared" si="1"/>
        <v>1.073027549</v>
      </c>
      <c r="D488" s="268">
        <f t="shared" si="2"/>
        <v>1.131491713</v>
      </c>
    </row>
    <row r="489" ht="13.5" customHeight="1">
      <c r="B489" s="268">
        <v>1908.0</v>
      </c>
      <c r="C489" s="268">
        <f t="shared" si="1"/>
        <v>1.075427297</v>
      </c>
      <c r="D489" s="268">
        <f t="shared" si="2"/>
        <v>1.131804366</v>
      </c>
    </row>
    <row r="490" ht="13.5" customHeight="1">
      <c r="B490" s="268">
        <v>1912.0</v>
      </c>
      <c r="C490" s="268">
        <f t="shared" si="1"/>
        <v>1.077827709</v>
      </c>
      <c r="D490" s="268">
        <f t="shared" si="2"/>
        <v>1.132117192</v>
      </c>
    </row>
    <row r="491" ht="13.5" customHeight="1">
      <c r="B491" s="268">
        <v>1916.0</v>
      </c>
      <c r="C491" s="268">
        <f t="shared" si="1"/>
        <v>1.080228784</v>
      </c>
      <c r="D491" s="268">
        <f t="shared" si="2"/>
        <v>1.132430191</v>
      </c>
    </row>
    <row r="492" ht="13.5" customHeight="1">
      <c r="B492" s="268">
        <v>1920.0</v>
      </c>
      <c r="C492" s="268">
        <f t="shared" si="1"/>
        <v>1.082630523</v>
      </c>
      <c r="D492" s="268">
        <f t="shared" si="2"/>
        <v>1.132743363</v>
      </c>
    </row>
    <row r="493" ht="13.5" customHeight="1">
      <c r="B493" s="268">
        <v>1924.0</v>
      </c>
      <c r="C493" s="268">
        <f t="shared" si="1"/>
        <v>1.085032927</v>
      </c>
      <c r="D493" s="268">
        <f t="shared" si="2"/>
        <v>1.133056708</v>
      </c>
    </row>
    <row r="494" ht="13.5" customHeight="1">
      <c r="B494" s="268">
        <v>1928.0</v>
      </c>
      <c r="C494" s="268">
        <f t="shared" si="1"/>
        <v>1.087435995</v>
      </c>
      <c r="D494" s="268">
        <f t="shared" si="2"/>
        <v>1.133370227</v>
      </c>
    </row>
    <row r="495" ht="13.5" customHeight="1">
      <c r="B495" s="268">
        <v>1932.0</v>
      </c>
      <c r="C495" s="268">
        <f t="shared" si="1"/>
        <v>1.089839728</v>
      </c>
      <c r="D495" s="268">
        <f t="shared" si="2"/>
        <v>1.133683919</v>
      </c>
    </row>
    <row r="496" ht="13.5" customHeight="1">
      <c r="B496" s="268">
        <v>1936.0</v>
      </c>
      <c r="C496" s="268">
        <f t="shared" si="1"/>
        <v>1.092244127</v>
      </c>
      <c r="D496" s="268">
        <f t="shared" si="2"/>
        <v>1.133997785</v>
      </c>
    </row>
    <row r="497" ht="13.5" customHeight="1">
      <c r="B497" s="268">
        <v>1940.0</v>
      </c>
      <c r="C497" s="268">
        <f t="shared" si="1"/>
        <v>1.094649191</v>
      </c>
      <c r="D497" s="268">
        <f t="shared" si="2"/>
        <v>1.134311825</v>
      </c>
    </row>
    <row r="498" ht="13.5" customHeight="1">
      <c r="B498" s="268">
        <v>1944.0</v>
      </c>
      <c r="C498" s="268">
        <f t="shared" si="1"/>
        <v>1.097054921</v>
      </c>
      <c r="D498" s="268">
        <f t="shared" si="2"/>
        <v>1.134626039</v>
      </c>
    </row>
    <row r="499" ht="13.5" customHeight="1">
      <c r="B499" s="268">
        <v>1948.0</v>
      </c>
      <c r="C499" s="268">
        <f t="shared" si="1"/>
        <v>1.099461318</v>
      </c>
      <c r="D499" s="268">
        <f t="shared" si="2"/>
        <v>1.134940427</v>
      </c>
    </row>
    <row r="500" ht="13.5" customHeight="1">
      <c r="B500" s="268">
        <v>1952.0</v>
      </c>
      <c r="C500" s="268">
        <f t="shared" si="1"/>
        <v>1.101868382</v>
      </c>
      <c r="D500" s="268">
        <f t="shared" si="2"/>
        <v>1.135254989</v>
      </c>
    </row>
    <row r="501" ht="13.5" customHeight="1">
      <c r="B501" s="268">
        <v>1956.0</v>
      </c>
      <c r="C501" s="268">
        <f t="shared" si="1"/>
        <v>1.104276113</v>
      </c>
      <c r="D501" s="268">
        <f t="shared" si="2"/>
        <v>1.135569726</v>
      </c>
    </row>
    <row r="502" ht="13.5" customHeight="1">
      <c r="B502" s="268">
        <v>1960.0</v>
      </c>
      <c r="C502" s="268">
        <f t="shared" si="1"/>
        <v>1.106684512</v>
      </c>
      <c r="D502" s="268">
        <f t="shared" si="2"/>
        <v>1.135884637</v>
      </c>
    </row>
    <row r="503" ht="13.5" customHeight="1">
      <c r="B503" s="268">
        <v>1964.0</v>
      </c>
      <c r="C503" s="268">
        <f t="shared" si="1"/>
        <v>1.109093578</v>
      </c>
      <c r="D503" s="268">
        <f t="shared" si="2"/>
        <v>1.136199723</v>
      </c>
    </row>
    <row r="504" ht="13.5" customHeight="1">
      <c r="B504" s="268">
        <v>1968.0</v>
      </c>
      <c r="C504" s="268">
        <f t="shared" si="1"/>
        <v>1.111503313</v>
      </c>
      <c r="D504" s="268">
        <f t="shared" si="2"/>
        <v>1.136514983</v>
      </c>
    </row>
    <row r="505" ht="13.5" customHeight="1">
      <c r="B505" s="268">
        <v>1972.0</v>
      </c>
      <c r="C505" s="268">
        <f t="shared" si="1"/>
        <v>1.113913717</v>
      </c>
      <c r="D505" s="268">
        <f t="shared" si="2"/>
        <v>1.136830419</v>
      </c>
    </row>
    <row r="506" ht="13.5" customHeight="1">
      <c r="B506" s="268">
        <v>1976.0</v>
      </c>
      <c r="C506" s="268">
        <f t="shared" si="1"/>
        <v>1.11632479</v>
      </c>
      <c r="D506" s="268">
        <f t="shared" si="2"/>
        <v>1.13714603</v>
      </c>
    </row>
    <row r="507" ht="13.5" customHeight="1">
      <c r="B507" s="268">
        <v>1980.0</v>
      </c>
      <c r="C507" s="268">
        <f t="shared" si="1"/>
        <v>1.118736532</v>
      </c>
      <c r="D507" s="268">
        <f t="shared" si="2"/>
        <v>1.137461816</v>
      </c>
    </row>
    <row r="508" ht="13.5" customHeight="1">
      <c r="B508" s="268">
        <v>1984.0</v>
      </c>
      <c r="C508" s="268">
        <f t="shared" si="1"/>
        <v>1.121148944</v>
      </c>
      <c r="D508" s="268">
        <f t="shared" si="2"/>
        <v>1.137777778</v>
      </c>
    </row>
    <row r="509" ht="13.5" customHeight="1">
      <c r="B509" s="268">
        <v>1988.0</v>
      </c>
      <c r="C509" s="268">
        <f t="shared" si="1"/>
        <v>1.123562026</v>
      </c>
      <c r="D509" s="268">
        <f t="shared" si="2"/>
        <v>1.138093915</v>
      </c>
    </row>
    <row r="510" ht="13.5" customHeight="1">
      <c r="B510" s="268">
        <v>1992.0</v>
      </c>
      <c r="C510" s="268">
        <f t="shared" si="1"/>
        <v>1.125975779</v>
      </c>
      <c r="D510" s="268">
        <f t="shared" si="2"/>
        <v>1.138410228</v>
      </c>
    </row>
    <row r="511" ht="13.5" customHeight="1">
      <c r="B511" s="268">
        <v>1996.0</v>
      </c>
      <c r="C511" s="268">
        <f t="shared" si="1"/>
        <v>1.128390203</v>
      </c>
      <c r="D511" s="268">
        <f t="shared" si="2"/>
        <v>1.138726717</v>
      </c>
    </row>
    <row r="512" ht="13.5" customHeight="1">
      <c r="B512" s="268">
        <v>2000.0</v>
      </c>
      <c r="C512" s="268">
        <f t="shared" si="1"/>
        <v>1.130805298</v>
      </c>
      <c r="D512" s="268">
        <f t="shared" si="2"/>
        <v>1.139043382</v>
      </c>
    </row>
    <row r="513" ht="13.5" customHeight="1">
      <c r="B513" s="268">
        <v>2004.0</v>
      </c>
      <c r="C513" s="268">
        <f t="shared" si="1"/>
        <v>1.133221065</v>
      </c>
      <c r="D513" s="268">
        <f t="shared" si="2"/>
        <v>1.139360223</v>
      </c>
    </row>
    <row r="514" ht="13.5" customHeight="1">
      <c r="B514" s="268">
        <v>2008.0</v>
      </c>
      <c r="C514" s="268">
        <f t="shared" si="1"/>
        <v>1.135637504</v>
      </c>
      <c r="D514" s="268">
        <f t="shared" si="2"/>
        <v>1.13967724</v>
      </c>
    </row>
    <row r="515" ht="13.5" customHeight="1">
      <c r="B515" s="268">
        <v>2012.0</v>
      </c>
      <c r="C515" s="268">
        <f t="shared" si="1"/>
        <v>1.138054615</v>
      </c>
      <c r="D515" s="268">
        <f t="shared" si="2"/>
        <v>1.139994434</v>
      </c>
    </row>
    <row r="516" ht="13.5" customHeight="1">
      <c r="B516" s="268">
        <v>2016.0</v>
      </c>
      <c r="C516" s="268">
        <f t="shared" si="1"/>
        <v>1.140472399</v>
      </c>
      <c r="D516" s="268">
        <f t="shared" si="2"/>
        <v>1.140311804</v>
      </c>
    </row>
    <row r="517" ht="13.5" customHeight="1">
      <c r="B517" s="268">
        <v>2020.0</v>
      </c>
      <c r="C517" s="268">
        <f t="shared" si="1"/>
        <v>1.142890857</v>
      </c>
      <c r="D517" s="268">
        <f t="shared" si="2"/>
        <v>1.140629351</v>
      </c>
    </row>
    <row r="518" ht="13.5" customHeight="1">
      <c r="B518" s="268">
        <v>2024.0</v>
      </c>
      <c r="C518" s="268">
        <f t="shared" si="1"/>
        <v>1.145309988</v>
      </c>
      <c r="D518" s="268">
        <f t="shared" si="2"/>
        <v>1.140947075</v>
      </c>
    </row>
    <row r="519" ht="13.5" customHeight="1">
      <c r="B519" s="268">
        <v>2028.0</v>
      </c>
      <c r="C519" s="268">
        <f t="shared" si="1"/>
        <v>1.147729793</v>
      </c>
      <c r="D519" s="268">
        <f t="shared" si="2"/>
        <v>1.141264976</v>
      </c>
    </row>
    <row r="520" ht="13.5" customHeight="1">
      <c r="B520" s="268">
        <v>2032.0</v>
      </c>
      <c r="C520" s="268">
        <f t="shared" si="1"/>
        <v>1.150150272</v>
      </c>
      <c r="D520" s="268">
        <f t="shared" si="2"/>
        <v>1.141583055</v>
      </c>
    </row>
    <row r="521" ht="13.5" customHeight="1">
      <c r="B521" s="268">
        <v>2036.0</v>
      </c>
      <c r="C521" s="268">
        <f t="shared" si="1"/>
        <v>1.152571426</v>
      </c>
      <c r="D521" s="268">
        <f t="shared" si="2"/>
        <v>1.14190131</v>
      </c>
    </row>
    <row r="522" ht="13.5" customHeight="1">
      <c r="B522" s="268">
        <v>2040.0</v>
      </c>
      <c r="C522" s="268">
        <f t="shared" si="1"/>
        <v>1.154993255</v>
      </c>
      <c r="D522" s="268">
        <f t="shared" si="2"/>
        <v>1.142219743</v>
      </c>
    </row>
    <row r="523" ht="13.5" customHeight="1">
      <c r="B523" s="268">
        <v>2044.0</v>
      </c>
      <c r="C523" s="268">
        <f t="shared" si="1"/>
        <v>1.157415759</v>
      </c>
      <c r="D523" s="268">
        <f t="shared" si="2"/>
        <v>1.142538354</v>
      </c>
    </row>
    <row r="524" ht="13.5" customHeight="1">
      <c r="B524" s="268">
        <v>2048.0</v>
      </c>
      <c r="C524" s="268">
        <f t="shared" si="1"/>
        <v>1.15983894</v>
      </c>
      <c r="D524" s="268">
        <f t="shared" si="2"/>
        <v>1.142857143</v>
      </c>
    </row>
    <row r="525" ht="13.5" customHeight="1">
      <c r="B525" s="268">
        <v>2052.0</v>
      </c>
      <c r="C525" s="268">
        <f t="shared" si="1"/>
        <v>1.162262796</v>
      </c>
      <c r="D525" s="268">
        <f t="shared" si="2"/>
        <v>1.143176109</v>
      </c>
    </row>
    <row r="526" ht="13.5" customHeight="1">
      <c r="B526" s="268">
        <v>2056.0</v>
      </c>
      <c r="C526" s="268">
        <f t="shared" si="1"/>
        <v>1.164687329</v>
      </c>
      <c r="D526" s="268">
        <f t="shared" si="2"/>
        <v>1.143495254</v>
      </c>
    </row>
    <row r="527" ht="13.5" customHeight="1">
      <c r="B527" s="268">
        <v>2060.0</v>
      </c>
      <c r="C527" s="268">
        <f t="shared" si="1"/>
        <v>1.167112539</v>
      </c>
      <c r="D527" s="268">
        <f t="shared" si="2"/>
        <v>1.143814577</v>
      </c>
    </row>
    <row r="528" ht="13.5" customHeight="1">
      <c r="B528" s="268">
        <v>2064.0</v>
      </c>
      <c r="C528" s="268">
        <f t="shared" si="1"/>
        <v>1.169538426</v>
      </c>
      <c r="D528" s="268">
        <f t="shared" si="2"/>
        <v>1.144134078</v>
      </c>
    </row>
    <row r="529" ht="13.5" customHeight="1">
      <c r="B529" s="268">
        <v>2068.0</v>
      </c>
      <c r="C529" s="268">
        <f t="shared" si="1"/>
        <v>1.171964992</v>
      </c>
      <c r="D529" s="268">
        <f t="shared" si="2"/>
        <v>1.144453758</v>
      </c>
    </row>
    <row r="530" ht="13.5" customHeight="1">
      <c r="B530" s="268">
        <v>2072.0</v>
      </c>
      <c r="C530" s="268">
        <f t="shared" si="1"/>
        <v>1.174392235</v>
      </c>
      <c r="D530" s="268">
        <f t="shared" si="2"/>
        <v>1.144773617</v>
      </c>
    </row>
    <row r="531" ht="13.5" customHeight="1">
      <c r="B531" s="268">
        <v>2076.0</v>
      </c>
      <c r="C531" s="268">
        <f t="shared" si="1"/>
        <v>1.176820156</v>
      </c>
      <c r="D531" s="268">
        <f t="shared" si="2"/>
        <v>1.145093654</v>
      </c>
    </row>
    <row r="532" ht="13.5" customHeight="1">
      <c r="B532" s="268">
        <v>2080.0</v>
      </c>
      <c r="C532" s="268">
        <f t="shared" si="1"/>
        <v>1.179248757</v>
      </c>
      <c r="D532" s="268">
        <f t="shared" si="2"/>
        <v>1.14541387</v>
      </c>
    </row>
    <row r="533" ht="13.5" customHeight="1">
      <c r="B533" s="268">
        <v>2084.0</v>
      </c>
      <c r="C533" s="268">
        <f t="shared" si="1"/>
        <v>1.181678037</v>
      </c>
      <c r="D533" s="268">
        <f t="shared" si="2"/>
        <v>1.145734266</v>
      </c>
    </row>
    <row r="534" ht="13.5" customHeight="1">
      <c r="B534" s="268">
        <v>2088.0</v>
      </c>
      <c r="C534" s="268">
        <f t="shared" si="1"/>
        <v>1.184107996</v>
      </c>
      <c r="D534" s="268">
        <f t="shared" si="2"/>
        <v>1.146054841</v>
      </c>
    </row>
    <row r="535" ht="13.5" customHeight="1">
      <c r="B535" s="268">
        <v>2092.0</v>
      </c>
      <c r="C535" s="268">
        <f t="shared" si="1"/>
        <v>1.186538635</v>
      </c>
      <c r="D535" s="268">
        <f t="shared" si="2"/>
        <v>1.146375595</v>
      </c>
    </row>
    <row r="536" ht="13.5" customHeight="1">
      <c r="B536" s="268">
        <v>2096.0</v>
      </c>
      <c r="C536" s="268">
        <f t="shared" si="1"/>
        <v>1.188969955</v>
      </c>
      <c r="D536" s="268">
        <f t="shared" si="2"/>
        <v>1.146696529</v>
      </c>
    </row>
    <row r="537" ht="13.5" customHeight="1">
      <c r="B537" s="268">
        <v>2100.0</v>
      </c>
      <c r="C537" s="268">
        <f t="shared" si="1"/>
        <v>1.191401955</v>
      </c>
      <c r="D537" s="268">
        <f t="shared" si="2"/>
        <v>1.147017642</v>
      </c>
    </row>
    <row r="538" ht="13.5" customHeight="1">
      <c r="B538" s="268">
        <v>2104.0</v>
      </c>
      <c r="C538" s="268">
        <f t="shared" si="1"/>
        <v>1.193834637</v>
      </c>
      <c r="D538" s="268">
        <f t="shared" si="2"/>
        <v>1.147338936</v>
      </c>
    </row>
    <row r="539" ht="13.5" customHeight="1">
      <c r="B539" s="268">
        <v>2108.0</v>
      </c>
      <c r="C539" s="268">
        <f t="shared" si="1"/>
        <v>1.196268</v>
      </c>
      <c r="D539" s="268">
        <f t="shared" si="2"/>
        <v>1.147660409</v>
      </c>
    </row>
    <row r="540" ht="13.5" customHeight="1">
      <c r="B540" s="268">
        <v>2112.0</v>
      </c>
      <c r="C540" s="268">
        <f t="shared" si="1"/>
        <v>1.198702045</v>
      </c>
      <c r="D540" s="268">
        <f t="shared" si="2"/>
        <v>1.147982063</v>
      </c>
    </row>
    <row r="541" ht="13.5" customHeight="1">
      <c r="B541" s="268">
        <v>2116.0</v>
      </c>
      <c r="C541" s="268">
        <f t="shared" si="1"/>
        <v>1.201136773</v>
      </c>
      <c r="D541" s="268">
        <f t="shared" si="2"/>
        <v>1.148303897</v>
      </c>
    </row>
    <row r="542" ht="13.5" customHeight="1">
      <c r="B542" s="268">
        <v>2120.0</v>
      </c>
      <c r="C542" s="268">
        <f t="shared" si="1"/>
        <v>1.203572183</v>
      </c>
      <c r="D542" s="268">
        <f t="shared" si="2"/>
        <v>1.148625911</v>
      </c>
    </row>
    <row r="543" ht="13.5" customHeight="1">
      <c r="B543" s="268">
        <v>2124.0</v>
      </c>
      <c r="C543" s="268">
        <f t="shared" si="1"/>
        <v>1.206008276</v>
      </c>
      <c r="D543" s="268">
        <f t="shared" si="2"/>
        <v>1.148948107</v>
      </c>
    </row>
    <row r="544" ht="13.5" customHeight="1">
      <c r="B544" s="268">
        <v>2128.0</v>
      </c>
      <c r="C544" s="268">
        <f t="shared" si="1"/>
        <v>1.208445052</v>
      </c>
      <c r="D544" s="268">
        <f t="shared" si="2"/>
        <v>1.149270483</v>
      </c>
    </row>
    <row r="545" ht="13.5" customHeight="1">
      <c r="B545" s="268">
        <v>2132.0</v>
      </c>
      <c r="C545" s="268">
        <f t="shared" si="1"/>
        <v>1.210882512</v>
      </c>
      <c r="D545" s="268">
        <f t="shared" si="2"/>
        <v>1.14959304</v>
      </c>
    </row>
    <row r="546" ht="13.5" customHeight="1">
      <c r="B546" s="268">
        <v>2136.0</v>
      </c>
      <c r="C546" s="268">
        <f t="shared" si="1"/>
        <v>1.213320657</v>
      </c>
      <c r="D546" s="268">
        <f t="shared" si="2"/>
        <v>1.149915778</v>
      </c>
    </row>
    <row r="547" ht="13.5" customHeight="1">
      <c r="B547" s="268">
        <v>2140.0</v>
      </c>
      <c r="C547" s="268">
        <f t="shared" si="1"/>
        <v>1.215759486</v>
      </c>
      <c r="D547" s="268">
        <f t="shared" si="2"/>
        <v>1.150238697</v>
      </c>
    </row>
    <row r="548" ht="13.5" customHeight="1">
      <c r="B548" s="268">
        <v>2144.0</v>
      </c>
      <c r="C548" s="268">
        <f t="shared" si="1"/>
        <v>1.218199</v>
      </c>
      <c r="D548" s="268">
        <f t="shared" si="2"/>
        <v>1.150561798</v>
      </c>
    </row>
    <row r="549" ht="13.5" customHeight="1">
      <c r="B549" s="268">
        <v>2148.0</v>
      </c>
      <c r="C549" s="268">
        <f t="shared" si="1"/>
        <v>1.220639199</v>
      </c>
      <c r="D549" s="268">
        <f t="shared" si="2"/>
        <v>1.15088508</v>
      </c>
    </row>
    <row r="550" ht="13.5" customHeight="1">
      <c r="B550" s="268">
        <v>2152.0</v>
      </c>
      <c r="C550" s="268">
        <f t="shared" si="1"/>
        <v>1.223080084</v>
      </c>
      <c r="D550" s="268">
        <f t="shared" si="2"/>
        <v>1.151208544</v>
      </c>
    </row>
    <row r="551" ht="13.5" customHeight="1">
      <c r="B551" s="268">
        <v>2156.0</v>
      </c>
      <c r="C551" s="268">
        <f t="shared" si="1"/>
        <v>1.225521656</v>
      </c>
      <c r="D551" s="268">
        <f t="shared" si="2"/>
        <v>1.15153219</v>
      </c>
    </row>
    <row r="552" ht="13.5" customHeight="1">
      <c r="B552" s="268">
        <v>2160.0</v>
      </c>
      <c r="C552" s="268">
        <f t="shared" si="1"/>
        <v>1.227963913</v>
      </c>
      <c r="D552" s="268">
        <f t="shared" si="2"/>
        <v>1.151856018</v>
      </c>
    </row>
    <row r="553" ht="13.5" customHeight="1">
      <c r="B553" s="268">
        <v>2164.0</v>
      </c>
      <c r="C553" s="268">
        <f t="shared" si="1"/>
        <v>1.230406858</v>
      </c>
      <c r="D553" s="268">
        <f t="shared" si="2"/>
        <v>1.152180028</v>
      </c>
    </row>
    <row r="554" ht="13.5" customHeight="1">
      <c r="B554" s="268">
        <v>2168.0</v>
      </c>
      <c r="C554" s="268">
        <f t="shared" si="1"/>
        <v>1.23285049</v>
      </c>
      <c r="D554" s="268">
        <f t="shared" si="2"/>
        <v>1.152504221</v>
      </c>
    </row>
    <row r="555" ht="13.5" customHeight="1">
      <c r="B555" s="268">
        <v>2172.0</v>
      </c>
      <c r="C555" s="268">
        <f t="shared" si="1"/>
        <v>1.23529481</v>
      </c>
      <c r="D555" s="268">
        <f t="shared" si="2"/>
        <v>1.152828596</v>
      </c>
    </row>
    <row r="556" ht="13.5" customHeight="1">
      <c r="B556" s="268">
        <v>2176.0</v>
      </c>
      <c r="C556" s="268">
        <f t="shared" si="1"/>
        <v>1.237739817</v>
      </c>
      <c r="D556" s="268">
        <f t="shared" si="2"/>
        <v>1.153153153</v>
      </c>
    </row>
    <row r="557" ht="13.5" customHeight="1">
      <c r="B557" s="268">
        <v>2180.0</v>
      </c>
      <c r="C557" s="268">
        <f t="shared" si="1"/>
        <v>1.240185513</v>
      </c>
      <c r="D557" s="268">
        <f t="shared" si="2"/>
        <v>1.153477894</v>
      </c>
    </row>
    <row r="558" ht="13.5" customHeight="1">
      <c r="B558" s="268">
        <v>2184.0</v>
      </c>
      <c r="C558" s="268">
        <f t="shared" si="1"/>
        <v>1.242631898</v>
      </c>
      <c r="D558" s="268">
        <f t="shared" si="2"/>
        <v>1.153802817</v>
      </c>
    </row>
    <row r="559" ht="13.5" customHeight="1">
      <c r="B559" s="268">
        <v>2188.0</v>
      </c>
      <c r="C559" s="268">
        <f t="shared" si="1"/>
        <v>1.245078972</v>
      </c>
      <c r="D559" s="268">
        <f t="shared" si="2"/>
        <v>1.154127923</v>
      </c>
    </row>
    <row r="560" ht="13.5" customHeight="1">
      <c r="B560" s="268">
        <v>2192.0</v>
      </c>
      <c r="C560" s="268">
        <f t="shared" si="1"/>
        <v>1.247526736</v>
      </c>
      <c r="D560" s="268">
        <f t="shared" si="2"/>
        <v>1.154453213</v>
      </c>
    </row>
    <row r="561" ht="13.5" customHeight="1">
      <c r="B561" s="268">
        <v>2196.0</v>
      </c>
      <c r="C561" s="268">
        <f t="shared" si="1"/>
        <v>1.24997519</v>
      </c>
      <c r="D561" s="268">
        <f t="shared" si="2"/>
        <v>1.154778686</v>
      </c>
    </row>
    <row r="562" ht="13.5" customHeight="1">
      <c r="B562" s="268">
        <v>2200.0</v>
      </c>
      <c r="C562" s="268">
        <f t="shared" si="1"/>
        <v>1.252424334</v>
      </c>
      <c r="D562" s="268">
        <f t="shared" si="2"/>
        <v>1.155104343</v>
      </c>
    </row>
    <row r="563" ht="13.5" customHeight="1">
      <c r="B563" s="268">
        <v>2204.0</v>
      </c>
      <c r="C563" s="268">
        <f t="shared" si="1"/>
        <v>1.254874169</v>
      </c>
      <c r="D563" s="268">
        <f t="shared" si="2"/>
        <v>1.155430183</v>
      </c>
    </row>
    <row r="564" ht="13.5" customHeight="1">
      <c r="B564" s="268">
        <v>2208.0</v>
      </c>
      <c r="C564" s="268">
        <f t="shared" si="1"/>
        <v>1.257324695</v>
      </c>
      <c r="D564" s="268">
        <f t="shared" si="2"/>
        <v>1.155756208</v>
      </c>
    </row>
    <row r="565" ht="13.5" customHeight="1">
      <c r="B565" s="268">
        <v>2212.0</v>
      </c>
      <c r="C565" s="268">
        <f t="shared" si="1"/>
        <v>1.259775913</v>
      </c>
      <c r="D565" s="268">
        <f t="shared" si="2"/>
        <v>1.156082416</v>
      </c>
    </row>
    <row r="566" ht="13.5" customHeight="1">
      <c r="B566" s="268">
        <v>2216.0</v>
      </c>
      <c r="C566" s="268">
        <f t="shared" si="1"/>
        <v>1.262227822</v>
      </c>
      <c r="D566" s="268">
        <f t="shared" si="2"/>
        <v>1.156408809</v>
      </c>
    </row>
    <row r="567" ht="13.5" customHeight="1">
      <c r="B567" s="268">
        <v>2220.0</v>
      </c>
      <c r="C567" s="268">
        <f t="shared" si="1"/>
        <v>1.264680424</v>
      </c>
      <c r="D567" s="268">
        <f t="shared" si="2"/>
        <v>1.156735385</v>
      </c>
    </row>
    <row r="568" ht="13.5" customHeight="1">
      <c r="B568" s="268">
        <v>2224.0</v>
      </c>
      <c r="C568" s="268">
        <f t="shared" si="1"/>
        <v>1.267133719</v>
      </c>
      <c r="D568" s="268">
        <f t="shared" si="2"/>
        <v>1.157062147</v>
      </c>
    </row>
    <row r="569" ht="13.5" customHeight="1">
      <c r="B569" s="268">
        <v>2228.0</v>
      </c>
      <c r="C569" s="268">
        <f t="shared" si="1"/>
        <v>1.269587707</v>
      </c>
      <c r="D569" s="268">
        <f t="shared" si="2"/>
        <v>1.157389093</v>
      </c>
    </row>
    <row r="570" ht="13.5" customHeight="1">
      <c r="B570" s="268">
        <v>2232.0</v>
      </c>
      <c r="C570" s="268">
        <f t="shared" si="1"/>
        <v>1.272042388</v>
      </c>
      <c r="D570" s="268">
        <f t="shared" si="2"/>
        <v>1.157716224</v>
      </c>
    </row>
    <row r="571" ht="13.5" customHeight="1">
      <c r="B571" s="268">
        <v>2236.0</v>
      </c>
      <c r="C571" s="268">
        <f t="shared" si="1"/>
        <v>1.274497763</v>
      </c>
      <c r="D571" s="268">
        <f t="shared" si="2"/>
        <v>1.15804354</v>
      </c>
    </row>
    <row r="572" ht="13.5" customHeight="1">
      <c r="B572" s="268">
        <v>2240.0</v>
      </c>
      <c r="C572" s="268">
        <f t="shared" si="1"/>
        <v>1.276953833</v>
      </c>
      <c r="D572" s="268">
        <f t="shared" si="2"/>
        <v>1.158371041</v>
      </c>
    </row>
    <row r="573" ht="13.5" customHeight="1">
      <c r="B573" s="268">
        <v>2244.0</v>
      </c>
      <c r="C573" s="268">
        <f t="shared" si="1"/>
        <v>1.279410597</v>
      </c>
      <c r="D573" s="268">
        <f t="shared" si="2"/>
        <v>1.158698727</v>
      </c>
    </row>
    <row r="574" ht="13.5" customHeight="1">
      <c r="B574" s="268">
        <v>2248.0</v>
      </c>
      <c r="C574" s="268">
        <f t="shared" si="1"/>
        <v>1.281868056</v>
      </c>
      <c r="D574" s="268">
        <f t="shared" si="2"/>
        <v>1.159026599</v>
      </c>
    </row>
    <row r="575" ht="13.5" customHeight="1">
      <c r="B575" s="268">
        <v>2252.0</v>
      </c>
      <c r="C575" s="268">
        <f t="shared" si="1"/>
        <v>1.284326211</v>
      </c>
      <c r="D575" s="268">
        <f t="shared" si="2"/>
        <v>1.159354656</v>
      </c>
    </row>
    <row r="576" ht="13.5" customHeight="1">
      <c r="B576" s="268">
        <v>2256.0</v>
      </c>
      <c r="C576" s="268">
        <f t="shared" si="1"/>
        <v>1.286785061</v>
      </c>
      <c r="D576" s="268">
        <f t="shared" si="2"/>
        <v>1.159682899</v>
      </c>
    </row>
    <row r="577" ht="13.5" customHeight="1">
      <c r="B577" s="268">
        <v>2260.0</v>
      </c>
      <c r="C577" s="268">
        <f t="shared" si="1"/>
        <v>1.289244608</v>
      </c>
      <c r="D577" s="268">
        <f t="shared" si="2"/>
        <v>1.160011328</v>
      </c>
    </row>
    <row r="578" ht="13.5" customHeight="1">
      <c r="B578" s="268">
        <v>2264.0</v>
      </c>
      <c r="C578" s="268">
        <f t="shared" si="1"/>
        <v>1.291704852</v>
      </c>
      <c r="D578" s="268">
        <f t="shared" si="2"/>
        <v>1.160339943</v>
      </c>
    </row>
    <row r="579" ht="13.5" customHeight="1">
      <c r="B579" s="268">
        <v>2268.0</v>
      </c>
      <c r="C579" s="268">
        <f t="shared" si="1"/>
        <v>1.294165792</v>
      </c>
      <c r="D579" s="268">
        <f t="shared" si="2"/>
        <v>1.160668745</v>
      </c>
    </row>
    <row r="580" ht="13.5" customHeight="1">
      <c r="B580" s="268">
        <v>2272.0</v>
      </c>
      <c r="C580" s="268">
        <f t="shared" si="1"/>
        <v>1.29662743</v>
      </c>
      <c r="D580" s="268">
        <f t="shared" si="2"/>
        <v>1.160997732</v>
      </c>
    </row>
    <row r="581" ht="13.5" customHeight="1">
      <c r="B581" s="268">
        <v>2276.0</v>
      </c>
      <c r="C581" s="268">
        <f t="shared" si="1"/>
        <v>1.299089766</v>
      </c>
      <c r="D581" s="268">
        <f t="shared" si="2"/>
        <v>1.161326907</v>
      </c>
    </row>
    <row r="582" ht="13.5" customHeight="1">
      <c r="B582" s="268">
        <v>2280.0</v>
      </c>
      <c r="C582" s="268">
        <f t="shared" si="1"/>
        <v>1.3015528</v>
      </c>
      <c r="D582" s="268">
        <f t="shared" si="2"/>
        <v>1.161656268</v>
      </c>
    </row>
    <row r="583" ht="13.5" customHeight="1">
      <c r="B583" s="268">
        <v>2284.0</v>
      </c>
      <c r="C583" s="268">
        <f t="shared" si="1"/>
        <v>1.304016533</v>
      </c>
      <c r="D583" s="268">
        <f t="shared" si="2"/>
        <v>1.161985816</v>
      </c>
    </row>
    <row r="584" ht="13.5" customHeight="1">
      <c r="B584" s="268">
        <v>2288.0</v>
      </c>
      <c r="C584" s="268">
        <f t="shared" si="1"/>
        <v>1.306480965</v>
      </c>
      <c r="D584" s="268">
        <f t="shared" si="2"/>
        <v>1.162315551</v>
      </c>
    </row>
    <row r="585" ht="13.5" customHeight="1">
      <c r="B585" s="268">
        <v>2292.0</v>
      </c>
      <c r="C585" s="268">
        <f t="shared" si="1"/>
        <v>1.308946096</v>
      </c>
      <c r="D585" s="268">
        <f t="shared" si="2"/>
        <v>1.162645473</v>
      </c>
    </row>
    <row r="586" ht="13.5" customHeight="1">
      <c r="B586" s="268">
        <v>2296.0</v>
      </c>
      <c r="C586" s="268">
        <f t="shared" si="1"/>
        <v>1.311411927</v>
      </c>
      <c r="D586" s="268">
        <f t="shared" si="2"/>
        <v>1.162975582</v>
      </c>
    </row>
    <row r="587" ht="13.5" customHeight="1">
      <c r="B587" s="268">
        <v>2300.0</v>
      </c>
      <c r="C587" s="268">
        <f t="shared" si="1"/>
        <v>1.313878458</v>
      </c>
      <c r="D587" s="268">
        <f t="shared" si="2"/>
        <v>1.163305879</v>
      </c>
    </row>
    <row r="588" ht="13.5" customHeight="1">
      <c r="B588" s="268">
        <v>2304.0</v>
      </c>
      <c r="C588" s="268">
        <f t="shared" si="1"/>
        <v>1.31634569</v>
      </c>
      <c r="D588" s="268">
        <f t="shared" si="2"/>
        <v>1.163636364</v>
      </c>
    </row>
    <row r="589" ht="13.5" customHeight="1">
      <c r="B589" s="268">
        <v>2308.0</v>
      </c>
      <c r="C589" s="268">
        <f t="shared" si="1"/>
        <v>1.318813623</v>
      </c>
      <c r="D589" s="268">
        <f t="shared" si="2"/>
        <v>1.163967036</v>
      </c>
    </row>
    <row r="590" ht="13.5" customHeight="1">
      <c r="B590" s="268">
        <v>2312.0</v>
      </c>
      <c r="C590" s="268">
        <f t="shared" si="1"/>
        <v>1.321282257</v>
      </c>
      <c r="D590" s="268">
        <f t="shared" si="2"/>
        <v>1.164297897</v>
      </c>
    </row>
    <row r="591" ht="13.5" customHeight="1">
      <c r="B591" s="268">
        <v>2316.0</v>
      </c>
      <c r="C591" s="268">
        <f t="shared" si="1"/>
        <v>1.323751593</v>
      </c>
      <c r="D591" s="268">
        <f t="shared" si="2"/>
        <v>1.164628945</v>
      </c>
    </row>
    <row r="592" ht="13.5" customHeight="1">
      <c r="B592" s="268">
        <v>2320.0</v>
      </c>
      <c r="C592" s="268">
        <f t="shared" si="1"/>
        <v>1.326221631</v>
      </c>
      <c r="D592" s="268">
        <f t="shared" si="2"/>
        <v>1.164960182</v>
      </c>
    </row>
    <row r="593" ht="13.5" customHeight="1">
      <c r="B593" s="268">
        <v>2324.0</v>
      </c>
      <c r="C593" s="268">
        <f t="shared" si="1"/>
        <v>1.328692372</v>
      </c>
      <c r="D593" s="268">
        <f t="shared" si="2"/>
        <v>1.165291607</v>
      </c>
    </row>
    <row r="594" ht="13.5" customHeight="1">
      <c r="B594" s="268">
        <v>2328.0</v>
      </c>
      <c r="C594" s="268">
        <f t="shared" si="1"/>
        <v>1.331163816</v>
      </c>
      <c r="D594" s="268">
        <f t="shared" si="2"/>
        <v>1.165623221</v>
      </c>
    </row>
    <row r="595" ht="13.5" customHeight="1">
      <c r="B595" s="268">
        <v>2332.0</v>
      </c>
      <c r="C595" s="268">
        <f t="shared" si="1"/>
        <v>1.333635964</v>
      </c>
      <c r="D595" s="268">
        <f t="shared" si="2"/>
        <v>1.165955024</v>
      </c>
    </row>
    <row r="596" ht="13.5" customHeight="1">
      <c r="B596" s="268">
        <v>2336.0</v>
      </c>
      <c r="C596" s="268">
        <f t="shared" si="1"/>
        <v>1.336108815</v>
      </c>
      <c r="D596" s="268">
        <f t="shared" si="2"/>
        <v>1.166287016</v>
      </c>
    </row>
    <row r="597" ht="13.5" customHeight="1">
      <c r="B597" s="268">
        <v>2340.0</v>
      </c>
      <c r="C597" s="268">
        <f t="shared" si="1"/>
        <v>1.33858237</v>
      </c>
      <c r="D597" s="268">
        <f t="shared" si="2"/>
        <v>1.166619197</v>
      </c>
    </row>
    <row r="598" ht="13.5" customHeight="1">
      <c r="B598" s="268">
        <v>2344.0</v>
      </c>
      <c r="C598" s="268">
        <f t="shared" si="1"/>
        <v>1.34105663</v>
      </c>
      <c r="D598" s="268">
        <f t="shared" si="2"/>
        <v>1.166951567</v>
      </c>
    </row>
    <row r="599" ht="13.5" customHeight="1">
      <c r="B599" s="268">
        <v>2348.0</v>
      </c>
      <c r="C599" s="268">
        <f t="shared" si="1"/>
        <v>1.343531595</v>
      </c>
      <c r="D599" s="268">
        <f t="shared" si="2"/>
        <v>1.167284127</v>
      </c>
    </row>
    <row r="600" ht="13.5" customHeight="1">
      <c r="B600" s="268">
        <v>2352.0</v>
      </c>
      <c r="C600" s="268">
        <f t="shared" si="1"/>
        <v>1.346007265</v>
      </c>
      <c r="D600" s="268">
        <f t="shared" si="2"/>
        <v>1.167616876</v>
      </c>
    </row>
    <row r="601" ht="13.5" customHeight="1">
      <c r="B601" s="268">
        <v>2356.0</v>
      </c>
      <c r="C601" s="268">
        <f t="shared" si="1"/>
        <v>1.348483642</v>
      </c>
      <c r="D601" s="268">
        <f t="shared" si="2"/>
        <v>1.167949815</v>
      </c>
    </row>
    <row r="602" ht="13.5" customHeight="1">
      <c r="B602" s="268">
        <v>2360.0</v>
      </c>
      <c r="C602" s="268">
        <f t="shared" si="1"/>
        <v>1.350960724</v>
      </c>
      <c r="D602" s="268">
        <f t="shared" si="2"/>
        <v>1.168282944</v>
      </c>
    </row>
    <row r="603" ht="13.5" customHeight="1">
      <c r="B603" s="268">
        <v>2364.0</v>
      </c>
      <c r="C603" s="268">
        <f t="shared" si="1"/>
        <v>1.353438513</v>
      </c>
      <c r="D603" s="268">
        <f t="shared" si="2"/>
        <v>1.168616262</v>
      </c>
    </row>
    <row r="604" ht="13.5" customHeight="1">
      <c r="B604" s="268">
        <v>2368.0</v>
      </c>
      <c r="C604" s="268">
        <f t="shared" si="1"/>
        <v>1.355917009</v>
      </c>
      <c r="D604" s="268">
        <f t="shared" si="2"/>
        <v>1.168949772</v>
      </c>
    </row>
    <row r="605" ht="13.5" customHeight="1">
      <c r="B605" s="268">
        <v>2372.0</v>
      </c>
      <c r="C605" s="268">
        <f t="shared" si="1"/>
        <v>1.358396213</v>
      </c>
      <c r="D605" s="268">
        <f t="shared" si="2"/>
        <v>1.169283471</v>
      </c>
    </row>
    <row r="606" ht="13.5" customHeight="1">
      <c r="B606" s="268">
        <v>2376.0</v>
      </c>
      <c r="C606" s="268">
        <f t="shared" si="1"/>
        <v>1.360876124</v>
      </c>
      <c r="D606" s="268">
        <f t="shared" si="2"/>
        <v>1.169617362</v>
      </c>
    </row>
    <row r="607" ht="13.5" customHeight="1">
      <c r="B607" s="268">
        <v>2380.0</v>
      </c>
      <c r="C607" s="268">
        <f t="shared" si="1"/>
        <v>1.363356744</v>
      </c>
      <c r="D607" s="268">
        <f t="shared" si="2"/>
        <v>1.169951442</v>
      </c>
    </row>
    <row r="608" ht="13.5" customHeight="1">
      <c r="B608" s="268">
        <v>2384.0</v>
      </c>
      <c r="C608" s="268">
        <f t="shared" si="1"/>
        <v>1.365838072</v>
      </c>
      <c r="D608" s="268">
        <f t="shared" si="2"/>
        <v>1.170285714</v>
      </c>
    </row>
    <row r="609" ht="13.5" customHeight="1">
      <c r="B609" s="268">
        <v>2388.0</v>
      </c>
      <c r="C609" s="268">
        <f t="shared" si="1"/>
        <v>1.36832011</v>
      </c>
      <c r="D609" s="268">
        <f t="shared" si="2"/>
        <v>1.170620177</v>
      </c>
    </row>
    <row r="610" ht="13.5" customHeight="1">
      <c r="B610" s="268">
        <v>2392.0</v>
      </c>
      <c r="C610" s="268">
        <f t="shared" si="1"/>
        <v>1.370802857</v>
      </c>
      <c r="D610" s="268">
        <f t="shared" si="2"/>
        <v>1.170954831</v>
      </c>
    </row>
    <row r="611" ht="13.5" customHeight="1">
      <c r="B611" s="268">
        <v>2396.0</v>
      </c>
      <c r="C611" s="268">
        <f t="shared" si="1"/>
        <v>1.373286313</v>
      </c>
      <c r="D611" s="268">
        <f t="shared" si="2"/>
        <v>1.171289677</v>
      </c>
    </row>
    <row r="612" ht="13.5" customHeight="1">
      <c r="B612" s="268">
        <v>2400.0</v>
      </c>
      <c r="C612" s="268">
        <f t="shared" si="1"/>
        <v>1.37577048</v>
      </c>
      <c r="D612" s="268">
        <f t="shared" si="2"/>
        <v>1.171624714</v>
      </c>
    </row>
    <row r="613" ht="13.5" customHeight="1">
      <c r="B613" s="268">
        <v>2404.0</v>
      </c>
      <c r="C613" s="268">
        <f t="shared" si="1"/>
        <v>1.378255358</v>
      </c>
      <c r="D613" s="268">
        <f t="shared" si="2"/>
        <v>1.171959943</v>
      </c>
    </row>
    <row r="614" ht="13.5" customHeight="1">
      <c r="B614" s="268">
        <v>2408.0</v>
      </c>
      <c r="C614" s="268">
        <f t="shared" si="1"/>
        <v>1.380740946</v>
      </c>
      <c r="D614" s="268">
        <f t="shared" si="2"/>
        <v>1.172295363</v>
      </c>
    </row>
    <row r="615" ht="13.5" customHeight="1">
      <c r="B615" s="268">
        <v>2412.0</v>
      </c>
      <c r="C615" s="268">
        <f t="shared" si="1"/>
        <v>1.383227247</v>
      </c>
      <c r="D615" s="268">
        <f t="shared" si="2"/>
        <v>1.172630976</v>
      </c>
    </row>
    <row r="616" ht="13.5" customHeight="1">
      <c r="B616" s="268">
        <v>2416.0</v>
      </c>
      <c r="C616" s="268">
        <f t="shared" si="1"/>
        <v>1.385714259</v>
      </c>
      <c r="D616" s="268">
        <f t="shared" si="2"/>
        <v>1.172966781</v>
      </c>
    </row>
    <row r="617" ht="13.5" customHeight="1">
      <c r="B617" s="268">
        <v>2420.0</v>
      </c>
      <c r="C617" s="268">
        <f t="shared" si="1"/>
        <v>1.388201983</v>
      </c>
      <c r="D617" s="268">
        <f t="shared" si="2"/>
        <v>1.173302779</v>
      </c>
    </row>
    <row r="618" ht="13.5" customHeight="1">
      <c r="B618" s="268">
        <v>2424.0</v>
      </c>
      <c r="C618" s="268">
        <f t="shared" si="1"/>
        <v>1.39069042</v>
      </c>
      <c r="D618" s="268">
        <f t="shared" si="2"/>
        <v>1.173638968</v>
      </c>
    </row>
    <row r="619" ht="13.5" customHeight="1">
      <c r="B619" s="268">
        <v>2428.0</v>
      </c>
      <c r="C619" s="268">
        <f t="shared" si="1"/>
        <v>1.39317957</v>
      </c>
      <c r="D619" s="268">
        <f t="shared" si="2"/>
        <v>1.173975351</v>
      </c>
    </row>
    <row r="620" ht="13.5" customHeight="1">
      <c r="B620" s="268">
        <v>2432.0</v>
      </c>
      <c r="C620" s="268">
        <f t="shared" si="1"/>
        <v>1.395669434</v>
      </c>
      <c r="D620" s="268">
        <f t="shared" si="2"/>
        <v>1.174311927</v>
      </c>
    </row>
    <row r="621" ht="13.5" customHeight="1">
      <c r="B621" s="268">
        <v>2436.0</v>
      </c>
      <c r="C621" s="268">
        <f t="shared" si="1"/>
        <v>1.398160012</v>
      </c>
      <c r="D621" s="268">
        <f t="shared" si="2"/>
        <v>1.174648695</v>
      </c>
    </row>
    <row r="622" ht="13.5" customHeight="1">
      <c r="B622" s="268">
        <v>2440.0</v>
      </c>
      <c r="C622" s="268">
        <f t="shared" si="1"/>
        <v>1.400651304</v>
      </c>
      <c r="D622" s="268">
        <f t="shared" si="2"/>
        <v>1.174985657</v>
      </c>
    </row>
    <row r="623" ht="13.5" customHeight="1">
      <c r="B623" s="268">
        <v>2444.0</v>
      </c>
      <c r="C623" s="268">
        <f t="shared" si="1"/>
        <v>1.403143311</v>
      </c>
      <c r="D623" s="268">
        <f t="shared" si="2"/>
        <v>1.175322812</v>
      </c>
    </row>
    <row r="624" ht="13.5" customHeight="1">
      <c r="B624" s="268">
        <v>2448.0</v>
      </c>
      <c r="C624" s="268">
        <f t="shared" si="1"/>
        <v>1.405636033</v>
      </c>
      <c r="D624" s="268">
        <f t="shared" si="2"/>
        <v>1.175660161</v>
      </c>
    </row>
    <row r="625" ht="13.5" customHeight="1">
      <c r="B625" s="268">
        <v>2452.0</v>
      </c>
      <c r="C625" s="268">
        <f t="shared" si="1"/>
        <v>1.40812947</v>
      </c>
      <c r="D625" s="268">
        <f t="shared" si="2"/>
        <v>1.175997703</v>
      </c>
    </row>
    <row r="626" ht="13.5" customHeight="1">
      <c r="B626" s="268">
        <v>2456.0</v>
      </c>
      <c r="C626" s="268">
        <f t="shared" si="1"/>
        <v>1.410623624</v>
      </c>
      <c r="D626" s="268">
        <f t="shared" si="2"/>
        <v>1.176335439</v>
      </c>
    </row>
    <row r="627" ht="13.5" customHeight="1">
      <c r="B627" s="268">
        <v>2460.0</v>
      </c>
      <c r="C627" s="268">
        <f t="shared" si="1"/>
        <v>1.413118494</v>
      </c>
      <c r="D627" s="268">
        <f t="shared" si="2"/>
        <v>1.17667337</v>
      </c>
    </row>
    <row r="628" ht="13.5" customHeight="1">
      <c r="B628" s="268">
        <v>2464.0</v>
      </c>
      <c r="C628" s="268">
        <f t="shared" si="1"/>
        <v>1.41561408</v>
      </c>
      <c r="D628" s="268">
        <f t="shared" si="2"/>
        <v>1.177011494</v>
      </c>
    </row>
    <row r="629" ht="13.5" customHeight="1">
      <c r="B629" s="268">
        <v>2468.0</v>
      </c>
      <c r="C629" s="268">
        <f t="shared" si="1"/>
        <v>1.418110384</v>
      </c>
      <c r="D629" s="268">
        <f t="shared" si="2"/>
        <v>1.177349813</v>
      </c>
    </row>
    <row r="630" ht="13.5" customHeight="1">
      <c r="B630" s="268">
        <v>2472.0</v>
      </c>
      <c r="C630" s="268">
        <f t="shared" si="1"/>
        <v>1.420607406</v>
      </c>
      <c r="D630" s="268">
        <f t="shared" si="2"/>
        <v>1.177688327</v>
      </c>
    </row>
    <row r="631" ht="13.5" customHeight="1">
      <c r="B631" s="268">
        <v>2476.0</v>
      </c>
      <c r="C631" s="268">
        <f t="shared" si="1"/>
        <v>1.423105146</v>
      </c>
      <c r="D631" s="268">
        <f t="shared" si="2"/>
        <v>1.178027035</v>
      </c>
    </row>
    <row r="632" ht="13.5" customHeight="1">
      <c r="B632" s="268">
        <v>2480.0</v>
      </c>
      <c r="C632" s="268">
        <f t="shared" si="1"/>
        <v>1.425603604</v>
      </c>
      <c r="D632" s="268">
        <f t="shared" si="2"/>
        <v>1.178365938</v>
      </c>
    </row>
    <row r="633" ht="13.5" customHeight="1">
      <c r="B633" s="268">
        <v>2484.0</v>
      </c>
      <c r="C633" s="268">
        <f t="shared" si="1"/>
        <v>1.428102781</v>
      </c>
      <c r="D633" s="268">
        <f t="shared" si="2"/>
        <v>1.178705036</v>
      </c>
    </row>
    <row r="634" ht="13.5" customHeight="1">
      <c r="B634" s="268">
        <v>2488.0</v>
      </c>
      <c r="C634" s="268">
        <f t="shared" si="1"/>
        <v>1.430602677</v>
      </c>
      <c r="D634" s="268">
        <f t="shared" si="2"/>
        <v>1.179044329</v>
      </c>
    </row>
    <row r="635" ht="13.5" customHeight="1">
      <c r="B635" s="268">
        <v>2492.0</v>
      </c>
      <c r="C635" s="268">
        <f t="shared" si="1"/>
        <v>1.433103293</v>
      </c>
      <c r="D635" s="268">
        <f t="shared" si="2"/>
        <v>1.179383818</v>
      </c>
    </row>
    <row r="636" ht="13.5" customHeight="1">
      <c r="B636" s="268">
        <v>2496.0</v>
      </c>
      <c r="C636" s="268">
        <f t="shared" si="1"/>
        <v>1.435604629</v>
      </c>
      <c r="D636" s="268">
        <f t="shared" si="2"/>
        <v>1.179723502</v>
      </c>
    </row>
    <row r="637" ht="13.5" customHeight="1">
      <c r="B637" s="268">
        <v>2500.0</v>
      </c>
      <c r="C637" s="268">
        <f t="shared" si="1"/>
        <v>1.438106686</v>
      </c>
      <c r="D637" s="268">
        <f t="shared" si="2"/>
        <v>1.180063382</v>
      </c>
    </row>
    <row r="638" ht="13.5" customHeight="1">
      <c r="B638" s="268">
        <v>2504.0</v>
      </c>
      <c r="C638" s="268">
        <f t="shared" si="1"/>
        <v>1.440609464</v>
      </c>
      <c r="D638" s="268">
        <f t="shared" si="2"/>
        <v>1.180403458</v>
      </c>
    </row>
    <row r="639" ht="13.5" customHeight="1">
      <c r="B639" s="268">
        <v>2508.0</v>
      </c>
      <c r="C639" s="268">
        <f t="shared" si="1"/>
        <v>1.443112963</v>
      </c>
      <c r="D639" s="268">
        <f t="shared" si="2"/>
        <v>1.18074373</v>
      </c>
    </row>
    <row r="640" ht="13.5" customHeight="1">
      <c r="B640" s="268">
        <v>2512.0</v>
      </c>
      <c r="C640" s="268">
        <f t="shared" si="1"/>
        <v>1.445617183</v>
      </c>
      <c r="D640" s="268">
        <f t="shared" si="2"/>
        <v>1.181084198</v>
      </c>
    </row>
    <row r="641" ht="13.5" customHeight="1">
      <c r="B641" s="268">
        <v>2516.0</v>
      </c>
      <c r="C641" s="268">
        <f t="shared" si="1"/>
        <v>1.448122126</v>
      </c>
      <c r="D641" s="268">
        <f t="shared" si="2"/>
        <v>1.181424863</v>
      </c>
    </row>
    <row r="642" ht="13.5" customHeight="1">
      <c r="B642" s="268">
        <v>2520.0</v>
      </c>
      <c r="C642" s="268">
        <f t="shared" si="1"/>
        <v>1.450627792</v>
      </c>
      <c r="D642" s="268">
        <f t="shared" si="2"/>
        <v>1.181765724</v>
      </c>
    </row>
    <row r="643" ht="13.5" customHeight="1">
      <c r="B643" s="268">
        <v>2524.0</v>
      </c>
      <c r="C643" s="268">
        <f t="shared" si="1"/>
        <v>1.45313418</v>
      </c>
      <c r="D643" s="268">
        <f t="shared" si="2"/>
        <v>1.182106782</v>
      </c>
    </row>
    <row r="644" ht="13.5" customHeight="1">
      <c r="B644" s="268">
        <v>2528.0</v>
      </c>
      <c r="C644" s="268">
        <f t="shared" si="1"/>
        <v>1.455641292</v>
      </c>
      <c r="D644" s="268">
        <f t="shared" si="2"/>
        <v>1.182448037</v>
      </c>
    </row>
    <row r="645" ht="13.5" customHeight="1">
      <c r="B645" s="268">
        <v>2532.0</v>
      </c>
      <c r="C645" s="268">
        <f t="shared" si="1"/>
        <v>1.458149128</v>
      </c>
      <c r="D645" s="268">
        <f t="shared" si="2"/>
        <v>1.182789489</v>
      </c>
    </row>
    <row r="646" ht="13.5" customHeight="1">
      <c r="B646" s="268">
        <v>2536.0</v>
      </c>
      <c r="C646" s="268">
        <f t="shared" si="1"/>
        <v>1.460657689</v>
      </c>
      <c r="D646" s="268">
        <f t="shared" si="2"/>
        <v>1.183131138</v>
      </c>
    </row>
    <row r="647" ht="13.5" customHeight="1">
      <c r="B647" s="268">
        <v>2540.0</v>
      </c>
      <c r="C647" s="268">
        <f t="shared" si="1"/>
        <v>1.463166973</v>
      </c>
      <c r="D647" s="268">
        <f t="shared" si="2"/>
        <v>1.183472985</v>
      </c>
    </row>
    <row r="648" ht="13.5" customHeight="1">
      <c r="B648" s="268">
        <v>2544.0</v>
      </c>
      <c r="C648" s="268">
        <f t="shared" si="1"/>
        <v>1.465676983</v>
      </c>
      <c r="D648" s="268">
        <f t="shared" si="2"/>
        <v>1.183815029</v>
      </c>
    </row>
    <row r="649" ht="13.5" customHeight="1">
      <c r="B649" s="268">
        <v>2548.0</v>
      </c>
      <c r="C649" s="268">
        <f t="shared" si="1"/>
        <v>1.468187719</v>
      </c>
      <c r="D649" s="268">
        <f t="shared" si="2"/>
        <v>1.184157271</v>
      </c>
    </row>
    <row r="650" ht="13.5" customHeight="1">
      <c r="B650" s="268">
        <v>2552.0</v>
      </c>
      <c r="C650" s="268">
        <f t="shared" si="1"/>
        <v>1.470699181</v>
      </c>
      <c r="D650" s="268">
        <f t="shared" si="2"/>
        <v>1.184499711</v>
      </c>
    </row>
    <row r="651" ht="13.5" customHeight="1">
      <c r="B651" s="268">
        <v>2556.0</v>
      </c>
      <c r="C651" s="268">
        <f t="shared" si="1"/>
        <v>1.473211369</v>
      </c>
      <c r="D651" s="268">
        <f t="shared" si="2"/>
        <v>1.184842349</v>
      </c>
    </row>
    <row r="652" ht="13.5" customHeight="1">
      <c r="B652" s="268">
        <v>2560.0</v>
      </c>
      <c r="C652" s="268">
        <f t="shared" si="1"/>
        <v>1.475724283</v>
      </c>
      <c r="D652" s="268">
        <f t="shared" si="2"/>
        <v>1.185185185</v>
      </c>
    </row>
    <row r="653" ht="13.5" customHeight="1">
      <c r="B653" s="268">
        <v>2564.0</v>
      </c>
      <c r="C653" s="268">
        <f t="shared" si="1"/>
        <v>1.478237925</v>
      </c>
      <c r="D653" s="268">
        <f t="shared" si="2"/>
        <v>1.18552822</v>
      </c>
    </row>
    <row r="654" ht="13.5" customHeight="1">
      <c r="B654" s="268">
        <v>2568.0</v>
      </c>
      <c r="C654" s="268">
        <f t="shared" si="1"/>
        <v>1.480752295</v>
      </c>
      <c r="D654" s="268">
        <f t="shared" si="2"/>
        <v>1.185871453</v>
      </c>
    </row>
    <row r="655" ht="13.5" customHeight="1">
      <c r="B655" s="268">
        <v>2572.0</v>
      </c>
      <c r="C655" s="268">
        <f t="shared" si="1"/>
        <v>1.483267392</v>
      </c>
      <c r="D655" s="268">
        <f t="shared" si="2"/>
        <v>1.186214886</v>
      </c>
    </row>
    <row r="656" ht="13.5" customHeight="1">
      <c r="B656" s="268">
        <v>2576.0</v>
      </c>
      <c r="C656" s="268">
        <f t="shared" si="1"/>
        <v>1.485783218</v>
      </c>
      <c r="D656" s="268">
        <f t="shared" si="2"/>
        <v>1.186558517</v>
      </c>
    </row>
    <row r="657" ht="13.5" customHeight="1">
      <c r="B657" s="268">
        <v>2580.0</v>
      </c>
      <c r="C657" s="268">
        <f t="shared" si="1"/>
        <v>1.488299774</v>
      </c>
      <c r="D657" s="268">
        <f t="shared" si="2"/>
        <v>1.186902347</v>
      </c>
    </row>
    <row r="658" ht="13.5" customHeight="1">
      <c r="B658" s="268">
        <v>2584.0</v>
      </c>
      <c r="C658" s="268">
        <f t="shared" si="1"/>
        <v>1.490817058</v>
      </c>
      <c r="D658" s="268">
        <f t="shared" si="2"/>
        <v>1.187246377</v>
      </c>
    </row>
    <row r="659" ht="13.5" customHeight="1">
      <c r="B659" s="268">
        <v>2588.0</v>
      </c>
      <c r="C659" s="268">
        <f t="shared" si="1"/>
        <v>1.493335072</v>
      </c>
      <c r="D659" s="268">
        <f t="shared" si="2"/>
        <v>1.187590606</v>
      </c>
    </row>
    <row r="660" ht="13.5" customHeight="1">
      <c r="B660" s="268">
        <v>2592.0</v>
      </c>
      <c r="C660" s="268">
        <f t="shared" si="1"/>
        <v>1.495853816</v>
      </c>
      <c r="D660" s="268">
        <f t="shared" si="2"/>
        <v>1.187935035</v>
      </c>
    </row>
    <row r="661" ht="13.5" customHeight="1">
      <c r="B661" s="268">
        <v>2596.0</v>
      </c>
      <c r="C661" s="268">
        <f t="shared" si="1"/>
        <v>1.498373291</v>
      </c>
      <c r="D661" s="268">
        <f t="shared" si="2"/>
        <v>1.188279663</v>
      </c>
    </row>
    <row r="662" ht="13.5" customHeight="1">
      <c r="B662" s="268">
        <v>2600.0</v>
      </c>
      <c r="C662" s="268">
        <f t="shared" si="1"/>
        <v>1.500893497</v>
      </c>
      <c r="D662" s="268">
        <f t="shared" si="2"/>
        <v>1.188624492</v>
      </c>
    </row>
    <row r="663" ht="13.5" customHeight="1">
      <c r="B663" s="268">
        <v>2604.0</v>
      </c>
      <c r="C663" s="268">
        <f t="shared" si="1"/>
        <v>1.503414434</v>
      </c>
      <c r="D663" s="268">
        <f t="shared" si="2"/>
        <v>1.188969521</v>
      </c>
    </row>
    <row r="664" ht="13.5" customHeight="1">
      <c r="B664" s="268">
        <v>2608.0</v>
      </c>
      <c r="C664" s="268">
        <f t="shared" si="1"/>
        <v>1.505936104</v>
      </c>
      <c r="D664" s="268">
        <f t="shared" si="2"/>
        <v>1.18931475</v>
      </c>
    </row>
    <row r="665" ht="13.5" customHeight="1">
      <c r="B665" s="268">
        <v>2612.0</v>
      </c>
      <c r="C665" s="268">
        <f t="shared" si="1"/>
        <v>1.508458505</v>
      </c>
      <c r="D665" s="268">
        <f t="shared" si="2"/>
        <v>1.18966018</v>
      </c>
    </row>
    <row r="666" ht="13.5" customHeight="1">
      <c r="B666" s="268">
        <v>2616.0</v>
      </c>
      <c r="C666" s="268">
        <f t="shared" si="1"/>
        <v>1.51098164</v>
      </c>
      <c r="D666" s="268">
        <f t="shared" si="2"/>
        <v>1.190005811</v>
      </c>
    </row>
    <row r="667" ht="13.5" customHeight="1">
      <c r="B667" s="268">
        <v>2620.0</v>
      </c>
      <c r="C667" s="268">
        <f t="shared" si="1"/>
        <v>1.513505507</v>
      </c>
      <c r="D667" s="268">
        <f t="shared" si="2"/>
        <v>1.190351642</v>
      </c>
    </row>
    <row r="668" ht="13.5" customHeight="1">
      <c r="B668" s="268">
        <v>2624.0</v>
      </c>
      <c r="C668" s="268">
        <f t="shared" si="1"/>
        <v>1.516030108</v>
      </c>
      <c r="D668" s="268">
        <f t="shared" si="2"/>
        <v>1.190697674</v>
      </c>
    </row>
    <row r="669" ht="13.5" customHeight="1">
      <c r="B669" s="268">
        <v>2628.0</v>
      </c>
      <c r="C669" s="268">
        <f t="shared" si="1"/>
        <v>1.518555443</v>
      </c>
      <c r="D669" s="268">
        <f t="shared" si="2"/>
        <v>1.191043908</v>
      </c>
    </row>
    <row r="670" ht="13.5" customHeight="1">
      <c r="B670" s="268">
        <v>2632.0</v>
      </c>
      <c r="C670" s="268">
        <f t="shared" si="1"/>
        <v>1.521081512</v>
      </c>
      <c r="D670" s="268">
        <f t="shared" si="2"/>
        <v>1.191390343</v>
      </c>
    </row>
    <row r="671" ht="13.5" customHeight="1">
      <c r="B671" s="268">
        <v>2636.0</v>
      </c>
      <c r="C671" s="268">
        <f t="shared" si="1"/>
        <v>1.523608317</v>
      </c>
      <c r="D671" s="268">
        <f t="shared" si="2"/>
        <v>1.19173698</v>
      </c>
    </row>
    <row r="672" ht="13.5" customHeight="1">
      <c r="B672" s="268">
        <v>2640.0</v>
      </c>
      <c r="C672" s="268">
        <f t="shared" si="1"/>
        <v>1.526135856</v>
      </c>
      <c r="D672" s="268">
        <f t="shared" si="2"/>
        <v>1.192083818</v>
      </c>
    </row>
    <row r="673" ht="13.5" customHeight="1">
      <c r="B673" s="268">
        <v>2644.0</v>
      </c>
      <c r="C673" s="268">
        <f t="shared" si="1"/>
        <v>1.528664131</v>
      </c>
      <c r="D673" s="268">
        <f t="shared" si="2"/>
        <v>1.192430859</v>
      </c>
    </row>
    <row r="674" ht="13.5" customHeight="1">
      <c r="B674" s="268">
        <v>2648.0</v>
      </c>
      <c r="C674" s="268">
        <f t="shared" si="1"/>
        <v>1.531193143</v>
      </c>
      <c r="D674" s="268">
        <f t="shared" si="2"/>
        <v>1.192778101</v>
      </c>
    </row>
    <row r="675" ht="13.5" customHeight="1">
      <c r="B675" s="268">
        <v>2652.0</v>
      </c>
      <c r="C675" s="268">
        <f t="shared" si="1"/>
        <v>1.533722891</v>
      </c>
      <c r="D675" s="268">
        <f t="shared" si="2"/>
        <v>1.193125546</v>
      </c>
    </row>
    <row r="676" ht="13.5" customHeight="1">
      <c r="B676" s="268">
        <v>2656.0</v>
      </c>
      <c r="C676" s="268">
        <f t="shared" si="1"/>
        <v>1.536253376</v>
      </c>
      <c r="D676" s="268">
        <f t="shared" si="2"/>
        <v>1.193473193</v>
      </c>
    </row>
    <row r="677" ht="13.5" customHeight="1">
      <c r="B677" s="268">
        <v>2660.0</v>
      </c>
      <c r="C677" s="268">
        <f t="shared" si="1"/>
        <v>1.538784598</v>
      </c>
      <c r="D677" s="268">
        <f t="shared" si="2"/>
        <v>1.193821043</v>
      </c>
    </row>
    <row r="678" ht="13.5" customHeight="1">
      <c r="B678" s="268">
        <v>2664.0</v>
      </c>
      <c r="C678" s="268">
        <f t="shared" si="1"/>
        <v>1.541316559</v>
      </c>
      <c r="D678" s="268">
        <f t="shared" si="2"/>
        <v>1.194169096</v>
      </c>
    </row>
    <row r="679" ht="13.5" customHeight="1">
      <c r="B679" s="268">
        <v>2668.0</v>
      </c>
      <c r="C679" s="268">
        <f t="shared" si="1"/>
        <v>1.543849257</v>
      </c>
      <c r="D679" s="268">
        <f t="shared" si="2"/>
        <v>1.194517352</v>
      </c>
    </row>
    <row r="680" ht="13.5" customHeight="1">
      <c r="B680" s="268">
        <v>2672.0</v>
      </c>
      <c r="C680" s="268">
        <f t="shared" si="1"/>
        <v>1.546382694</v>
      </c>
      <c r="D680" s="268">
        <f t="shared" si="2"/>
        <v>1.194865811</v>
      </c>
    </row>
    <row r="681" ht="13.5" customHeight="1">
      <c r="B681" s="268">
        <v>2676.0</v>
      </c>
      <c r="C681" s="268">
        <f t="shared" si="1"/>
        <v>1.548916871</v>
      </c>
      <c r="D681" s="268">
        <f t="shared" si="2"/>
        <v>1.195214473</v>
      </c>
    </row>
    <row r="682" ht="13.5" customHeight="1">
      <c r="B682" s="268">
        <v>2680.0</v>
      </c>
      <c r="C682" s="268">
        <f t="shared" si="1"/>
        <v>1.551451787</v>
      </c>
      <c r="D682" s="268">
        <f t="shared" si="2"/>
        <v>1.195563339</v>
      </c>
    </row>
    <row r="683" ht="13.5" customHeight="1">
      <c r="B683" s="268">
        <v>2684.0</v>
      </c>
      <c r="C683" s="268">
        <f t="shared" si="1"/>
        <v>1.553987443</v>
      </c>
      <c r="D683" s="268">
        <f t="shared" si="2"/>
        <v>1.195912409</v>
      </c>
    </row>
    <row r="684" ht="13.5" customHeight="1">
      <c r="B684" s="268">
        <v>2688.0</v>
      </c>
      <c r="C684" s="268">
        <f t="shared" si="1"/>
        <v>1.556523839</v>
      </c>
      <c r="D684" s="268">
        <f t="shared" si="2"/>
        <v>1.196261682</v>
      </c>
    </row>
    <row r="685" ht="13.5" customHeight="1">
      <c r="B685" s="268">
        <v>2692.0</v>
      </c>
      <c r="C685" s="268">
        <f t="shared" si="1"/>
        <v>1.559060977</v>
      </c>
      <c r="D685" s="268">
        <f t="shared" si="2"/>
        <v>1.19661116</v>
      </c>
    </row>
    <row r="686" ht="13.5" customHeight="1">
      <c r="B686" s="268">
        <v>2696.0</v>
      </c>
      <c r="C686" s="268">
        <f t="shared" si="1"/>
        <v>1.561598855</v>
      </c>
      <c r="D686" s="268">
        <f t="shared" si="2"/>
        <v>1.196960842</v>
      </c>
    </row>
    <row r="687" ht="13.5" customHeight="1">
      <c r="B687" s="268">
        <v>2700.0</v>
      </c>
      <c r="C687" s="268">
        <f t="shared" si="1"/>
        <v>1.564137476</v>
      </c>
      <c r="D687" s="268">
        <f t="shared" si="2"/>
        <v>1.197310728</v>
      </c>
    </row>
    <row r="688" ht="13.5" customHeight="1">
      <c r="B688" s="268">
        <v>2704.0</v>
      </c>
      <c r="C688" s="268">
        <f t="shared" si="1"/>
        <v>1.566676838</v>
      </c>
      <c r="D688" s="268">
        <f t="shared" si="2"/>
        <v>1.197660819</v>
      </c>
    </row>
    <row r="689" ht="13.5" customHeight="1">
      <c r="B689" s="268">
        <v>2708.0</v>
      </c>
      <c r="C689" s="268">
        <f t="shared" si="1"/>
        <v>1.569216943</v>
      </c>
      <c r="D689" s="268">
        <f t="shared" si="2"/>
        <v>1.198011114</v>
      </c>
    </row>
    <row r="690" ht="13.5" customHeight="1">
      <c r="B690" s="268">
        <v>2712.0</v>
      </c>
      <c r="C690" s="268">
        <f t="shared" si="1"/>
        <v>1.571757792</v>
      </c>
      <c r="D690" s="268">
        <f t="shared" si="2"/>
        <v>1.198361615</v>
      </c>
    </row>
    <row r="691" ht="13.5" customHeight="1">
      <c r="B691" s="268">
        <v>2716.0</v>
      </c>
      <c r="C691" s="268">
        <f t="shared" si="1"/>
        <v>1.574299383</v>
      </c>
      <c r="D691" s="268">
        <f t="shared" si="2"/>
        <v>1.198712321</v>
      </c>
    </row>
    <row r="692" ht="13.5" customHeight="1">
      <c r="B692" s="268">
        <v>2720.0</v>
      </c>
      <c r="C692" s="268">
        <f t="shared" si="1"/>
        <v>1.576841719</v>
      </c>
      <c r="D692" s="268">
        <f t="shared" si="2"/>
        <v>1.199063232</v>
      </c>
    </row>
    <row r="693" ht="13.5" customHeight="1">
      <c r="B693" s="268">
        <v>2724.0</v>
      </c>
      <c r="C693" s="268">
        <f t="shared" si="1"/>
        <v>1.579384799</v>
      </c>
      <c r="D693" s="268">
        <f t="shared" si="2"/>
        <v>1.199414348</v>
      </c>
    </row>
    <row r="694" ht="13.5" customHeight="1">
      <c r="B694" s="268">
        <v>2728.0</v>
      </c>
      <c r="C694" s="268">
        <f t="shared" si="1"/>
        <v>1.581928624</v>
      </c>
      <c r="D694" s="268">
        <f t="shared" si="2"/>
        <v>1.199765671</v>
      </c>
    </row>
    <row r="695" ht="13.5" customHeight="1">
      <c r="B695" s="268">
        <v>2732.0</v>
      </c>
      <c r="C695" s="268">
        <f t="shared" si="1"/>
        <v>1.584473194</v>
      </c>
      <c r="D695" s="268">
        <f t="shared" si="2"/>
        <v>1.200117199</v>
      </c>
    </row>
    <row r="696" ht="13.5" customHeight="1">
      <c r="B696" s="268">
        <v>2736.0</v>
      </c>
      <c r="C696" s="268">
        <f t="shared" si="1"/>
        <v>1.587018509</v>
      </c>
      <c r="D696" s="268">
        <f t="shared" si="2"/>
        <v>1.200468933</v>
      </c>
    </row>
    <row r="697" ht="13.5" customHeight="1">
      <c r="B697" s="268">
        <v>2740.0</v>
      </c>
      <c r="C697" s="268">
        <f t="shared" si="1"/>
        <v>1.589564571</v>
      </c>
      <c r="D697" s="268">
        <f t="shared" si="2"/>
        <v>1.200820874</v>
      </c>
    </row>
    <row r="698" ht="13.5" customHeight="1">
      <c r="B698" s="268">
        <v>2744.0</v>
      </c>
      <c r="C698" s="268">
        <f t="shared" si="1"/>
        <v>1.59211138</v>
      </c>
      <c r="D698" s="268">
        <f t="shared" si="2"/>
        <v>1.201173021</v>
      </c>
    </row>
    <row r="699" ht="13.5" customHeight="1">
      <c r="B699" s="268">
        <v>2748.0</v>
      </c>
      <c r="C699" s="268">
        <f t="shared" si="1"/>
        <v>1.594658935</v>
      </c>
      <c r="D699" s="268">
        <f t="shared" si="2"/>
        <v>1.201525374</v>
      </c>
    </row>
    <row r="700" ht="13.5" customHeight="1">
      <c r="B700" s="268">
        <v>2752.0</v>
      </c>
      <c r="C700" s="268">
        <f t="shared" si="1"/>
        <v>1.597207237</v>
      </c>
      <c r="D700" s="268">
        <f t="shared" si="2"/>
        <v>1.201877934</v>
      </c>
    </row>
    <row r="701" ht="13.5" customHeight="1">
      <c r="B701" s="268">
        <v>2756.0</v>
      </c>
      <c r="C701" s="268">
        <f t="shared" si="1"/>
        <v>1.599756288</v>
      </c>
      <c r="D701" s="268">
        <f t="shared" si="2"/>
        <v>1.202230701</v>
      </c>
    </row>
    <row r="702" ht="13.5" customHeight="1">
      <c r="B702" s="268">
        <v>2760.0</v>
      </c>
      <c r="C702" s="268">
        <f t="shared" si="1"/>
        <v>1.602306087</v>
      </c>
      <c r="D702" s="268">
        <f t="shared" si="2"/>
        <v>1.202583676</v>
      </c>
    </row>
    <row r="703" ht="13.5" customHeight="1">
      <c r="B703" s="268">
        <v>2764.0</v>
      </c>
      <c r="C703" s="268">
        <f t="shared" si="1"/>
        <v>1.604856634</v>
      </c>
      <c r="D703" s="268">
        <f t="shared" si="2"/>
        <v>1.202936858</v>
      </c>
    </row>
    <row r="704" ht="13.5" customHeight="1">
      <c r="B704" s="268">
        <v>2768.0</v>
      </c>
      <c r="C704" s="268">
        <f t="shared" si="1"/>
        <v>1.607407931</v>
      </c>
      <c r="D704" s="268">
        <f t="shared" si="2"/>
        <v>1.203290247</v>
      </c>
    </row>
    <row r="705" ht="13.5" customHeight="1">
      <c r="B705" s="268">
        <v>2772.0</v>
      </c>
      <c r="C705" s="268">
        <f t="shared" si="1"/>
        <v>1.609959977</v>
      </c>
      <c r="D705" s="268">
        <f t="shared" si="2"/>
        <v>1.203643844</v>
      </c>
    </row>
    <row r="706" ht="13.5" customHeight="1">
      <c r="B706" s="268">
        <v>2776.0</v>
      </c>
      <c r="C706" s="268">
        <f t="shared" si="1"/>
        <v>1.612512774</v>
      </c>
      <c r="D706" s="268">
        <f t="shared" si="2"/>
        <v>1.203997648</v>
      </c>
    </row>
    <row r="707" ht="13.5" customHeight="1">
      <c r="B707" s="268">
        <v>2780.0</v>
      </c>
      <c r="C707" s="268">
        <f t="shared" si="1"/>
        <v>1.615066321</v>
      </c>
      <c r="D707" s="268">
        <f t="shared" si="2"/>
        <v>1.204351661</v>
      </c>
    </row>
    <row r="708" ht="13.5" customHeight="1">
      <c r="B708" s="268">
        <v>2784.0</v>
      </c>
      <c r="C708" s="268">
        <f t="shared" si="1"/>
        <v>1.617620619</v>
      </c>
      <c r="D708" s="268">
        <f t="shared" si="2"/>
        <v>1.204705882</v>
      </c>
    </row>
    <row r="709" ht="13.5" customHeight="1">
      <c r="B709" s="268">
        <v>2788.0</v>
      </c>
      <c r="C709" s="268">
        <f t="shared" si="1"/>
        <v>1.620175668</v>
      </c>
      <c r="D709" s="268">
        <f t="shared" si="2"/>
        <v>1.205060312</v>
      </c>
    </row>
    <row r="710" ht="13.5" customHeight="1">
      <c r="B710" s="268">
        <v>2792.0</v>
      </c>
      <c r="C710" s="268">
        <f t="shared" si="1"/>
        <v>1.622731469</v>
      </c>
      <c r="D710" s="268">
        <f t="shared" si="2"/>
        <v>1.20541495</v>
      </c>
    </row>
    <row r="711" ht="13.5" customHeight="1">
      <c r="B711" s="268">
        <v>2796.0</v>
      </c>
      <c r="C711" s="268">
        <f t="shared" si="1"/>
        <v>1.625288022</v>
      </c>
      <c r="D711" s="268">
        <f t="shared" si="2"/>
        <v>1.205769797</v>
      </c>
    </row>
    <row r="712" ht="13.5" customHeight="1">
      <c r="B712" s="268">
        <v>2800.0</v>
      </c>
      <c r="C712" s="268">
        <f t="shared" si="1"/>
        <v>1.627845328</v>
      </c>
      <c r="D712" s="268">
        <f t="shared" si="2"/>
        <v>1.206124853</v>
      </c>
    </row>
    <row r="713" ht="13.5" customHeight="1">
      <c r="B713" s="268">
        <v>2804.0</v>
      </c>
      <c r="C713" s="268">
        <f t="shared" si="1"/>
        <v>1.630403387</v>
      </c>
      <c r="D713" s="268">
        <f t="shared" si="2"/>
        <v>1.206480118</v>
      </c>
    </row>
    <row r="714" ht="13.5" customHeight="1">
      <c r="B714" s="268">
        <v>2808.0</v>
      </c>
      <c r="C714" s="268">
        <f t="shared" si="1"/>
        <v>1.6329622</v>
      </c>
      <c r="D714" s="268">
        <f t="shared" si="2"/>
        <v>1.206835592</v>
      </c>
    </row>
    <row r="715" ht="13.5" customHeight="1">
      <c r="B715" s="268">
        <v>2812.0</v>
      </c>
      <c r="C715" s="268">
        <f t="shared" si="1"/>
        <v>1.635521766</v>
      </c>
      <c r="D715" s="268">
        <f t="shared" si="2"/>
        <v>1.207191276</v>
      </c>
    </row>
    <row r="716" ht="13.5" customHeight="1">
      <c r="B716" s="268">
        <v>2816.0</v>
      </c>
      <c r="C716" s="268">
        <f t="shared" si="1"/>
        <v>1.638082088</v>
      </c>
      <c r="D716" s="268">
        <f t="shared" si="2"/>
        <v>1.20754717</v>
      </c>
    </row>
    <row r="717" ht="13.5" customHeight="1">
      <c r="B717" s="268">
        <v>2820.0</v>
      </c>
      <c r="C717" s="268">
        <f t="shared" si="1"/>
        <v>1.640643164</v>
      </c>
      <c r="D717" s="268">
        <f t="shared" si="2"/>
        <v>1.207903273</v>
      </c>
    </row>
    <row r="718" ht="13.5" customHeight="1">
      <c r="B718" s="268">
        <v>2824.0</v>
      </c>
      <c r="C718" s="268">
        <f t="shared" si="1"/>
        <v>1.643204995</v>
      </c>
      <c r="D718" s="268">
        <f t="shared" si="2"/>
        <v>1.208259587</v>
      </c>
    </row>
    <row r="719" ht="13.5" customHeight="1">
      <c r="B719" s="268">
        <v>2828.0</v>
      </c>
      <c r="C719" s="268">
        <f t="shared" si="1"/>
        <v>1.645767583</v>
      </c>
      <c r="D719" s="268">
        <f t="shared" si="2"/>
        <v>1.208616111</v>
      </c>
    </row>
    <row r="720" ht="13.5" customHeight="1">
      <c r="B720" s="268">
        <v>2832.0</v>
      </c>
      <c r="C720" s="268">
        <f t="shared" si="1"/>
        <v>1.648330926</v>
      </c>
      <c r="D720" s="268">
        <f t="shared" si="2"/>
        <v>1.208972845</v>
      </c>
    </row>
    <row r="721" ht="13.5" customHeight="1">
      <c r="B721" s="268">
        <v>2836.0</v>
      </c>
      <c r="C721" s="268">
        <f t="shared" si="1"/>
        <v>1.650895026</v>
      </c>
      <c r="D721" s="268">
        <f t="shared" si="2"/>
        <v>1.20932979</v>
      </c>
    </row>
    <row r="722" ht="13.5" customHeight="1">
      <c r="B722" s="268">
        <v>2840.0</v>
      </c>
      <c r="C722" s="268">
        <f t="shared" si="1"/>
        <v>1.653459884</v>
      </c>
      <c r="D722" s="268">
        <f t="shared" si="2"/>
        <v>1.209686946</v>
      </c>
    </row>
    <row r="723" ht="13.5" customHeight="1">
      <c r="B723" s="268">
        <v>2844.0</v>
      </c>
      <c r="C723" s="268">
        <f t="shared" si="1"/>
        <v>1.656025499</v>
      </c>
      <c r="D723" s="268">
        <f t="shared" si="2"/>
        <v>1.210044313</v>
      </c>
    </row>
    <row r="724" ht="13.5" customHeight="1">
      <c r="B724" s="268">
        <v>2848.0</v>
      </c>
      <c r="C724" s="268">
        <f t="shared" si="1"/>
        <v>1.658591872</v>
      </c>
      <c r="D724" s="268">
        <f t="shared" si="2"/>
        <v>1.210401891</v>
      </c>
    </row>
    <row r="725" ht="13.5" customHeight="1">
      <c r="B725" s="268">
        <v>2852.0</v>
      </c>
      <c r="C725" s="268">
        <f t="shared" si="1"/>
        <v>1.661159004</v>
      </c>
      <c r="D725" s="268">
        <f t="shared" si="2"/>
        <v>1.210759681</v>
      </c>
    </row>
    <row r="726" ht="13.5" customHeight="1">
      <c r="B726" s="268">
        <v>2856.0</v>
      </c>
      <c r="C726" s="268">
        <f t="shared" si="1"/>
        <v>1.663726894</v>
      </c>
      <c r="D726" s="268">
        <f t="shared" si="2"/>
        <v>1.211117682</v>
      </c>
    </row>
    <row r="727" ht="13.5" customHeight="1">
      <c r="B727" s="268">
        <v>2860.0</v>
      </c>
      <c r="C727" s="268">
        <f t="shared" si="1"/>
        <v>1.666295544</v>
      </c>
      <c r="D727" s="268">
        <f t="shared" si="2"/>
        <v>1.211475895</v>
      </c>
    </row>
    <row r="728" ht="13.5" customHeight="1">
      <c r="B728" s="268">
        <v>2864.0</v>
      </c>
      <c r="C728" s="268">
        <f t="shared" si="1"/>
        <v>1.668864954</v>
      </c>
      <c r="D728" s="268">
        <f t="shared" si="2"/>
        <v>1.21183432</v>
      </c>
    </row>
    <row r="729" ht="13.5" customHeight="1">
      <c r="B729" s="268">
        <v>2868.0</v>
      </c>
      <c r="C729" s="268">
        <f t="shared" si="1"/>
        <v>1.671435124</v>
      </c>
      <c r="D729" s="268">
        <f t="shared" si="2"/>
        <v>1.212192956</v>
      </c>
    </row>
    <row r="730" ht="13.5" customHeight="1">
      <c r="B730" s="268">
        <v>2872.0</v>
      </c>
      <c r="C730" s="268">
        <f t="shared" si="1"/>
        <v>1.674006055</v>
      </c>
      <c r="D730" s="268">
        <f t="shared" si="2"/>
        <v>1.212551806</v>
      </c>
    </row>
    <row r="731" ht="13.5" customHeight="1">
      <c r="B731" s="268">
        <v>2876.0</v>
      </c>
      <c r="C731" s="268">
        <f t="shared" si="1"/>
        <v>1.676577747</v>
      </c>
      <c r="D731" s="268">
        <f t="shared" si="2"/>
        <v>1.212910868</v>
      </c>
    </row>
    <row r="732" ht="13.5" customHeight="1">
      <c r="B732" s="268">
        <v>2880.0</v>
      </c>
      <c r="C732" s="268">
        <f t="shared" si="1"/>
        <v>1.6791502</v>
      </c>
      <c r="D732" s="268">
        <f t="shared" si="2"/>
        <v>1.213270142</v>
      </c>
    </row>
    <row r="733" ht="13.5" customHeight="1">
      <c r="B733" s="268">
        <v>2884.0</v>
      </c>
      <c r="C733" s="268">
        <f t="shared" si="1"/>
        <v>1.681723416</v>
      </c>
      <c r="D733" s="268">
        <f t="shared" si="2"/>
        <v>1.21362963</v>
      </c>
    </row>
    <row r="734" ht="13.5" customHeight="1">
      <c r="B734" s="268">
        <v>2888.0</v>
      </c>
      <c r="C734" s="268">
        <f t="shared" si="1"/>
        <v>1.684297394</v>
      </c>
      <c r="D734" s="268">
        <f t="shared" si="2"/>
        <v>1.21398933</v>
      </c>
    </row>
    <row r="735" ht="13.5" customHeight="1">
      <c r="B735" s="268">
        <v>2892.0</v>
      </c>
      <c r="C735" s="268">
        <f t="shared" si="1"/>
        <v>1.686872136</v>
      </c>
      <c r="D735" s="268">
        <f t="shared" si="2"/>
        <v>1.214349244</v>
      </c>
    </row>
    <row r="736" ht="13.5" customHeight="1">
      <c r="B736" s="268">
        <v>2896.0</v>
      </c>
      <c r="C736" s="268">
        <f t="shared" si="1"/>
        <v>1.68944764</v>
      </c>
      <c r="D736" s="268">
        <f t="shared" si="2"/>
        <v>1.214709371</v>
      </c>
    </row>
    <row r="737" ht="13.5" customHeight="1">
      <c r="B737" s="268">
        <v>2900.0</v>
      </c>
      <c r="C737" s="268">
        <f t="shared" si="1"/>
        <v>1.692023909</v>
      </c>
      <c r="D737" s="268">
        <f t="shared" si="2"/>
        <v>1.215069712</v>
      </c>
    </row>
    <row r="738" ht="13.5" customHeight="1">
      <c r="B738" s="268">
        <v>2904.0</v>
      </c>
      <c r="C738" s="268">
        <f t="shared" si="1"/>
        <v>1.694600942</v>
      </c>
      <c r="D738" s="268">
        <f t="shared" si="2"/>
        <v>1.215430267</v>
      </c>
    </row>
    <row r="739" ht="13.5" customHeight="1">
      <c r="B739" s="268">
        <v>2908.0</v>
      </c>
      <c r="C739" s="268">
        <f t="shared" si="1"/>
        <v>1.69717874</v>
      </c>
      <c r="D739" s="268">
        <f t="shared" si="2"/>
        <v>1.215791036</v>
      </c>
    </row>
    <row r="740" ht="13.5" customHeight="1">
      <c r="B740" s="268">
        <v>2912.0</v>
      </c>
      <c r="C740" s="268">
        <f t="shared" si="1"/>
        <v>1.699757303</v>
      </c>
      <c r="D740" s="268">
        <f t="shared" si="2"/>
        <v>1.216152019</v>
      </c>
    </row>
    <row r="741" ht="13.5" customHeight="1">
      <c r="B741" s="268">
        <v>2916.0</v>
      </c>
      <c r="C741" s="268">
        <f t="shared" si="1"/>
        <v>1.702336632</v>
      </c>
      <c r="D741" s="268">
        <f t="shared" si="2"/>
        <v>1.216513217</v>
      </c>
    </row>
    <row r="742" ht="13.5" customHeight="1">
      <c r="B742" s="268">
        <v>2920.0</v>
      </c>
      <c r="C742" s="268">
        <f t="shared" si="1"/>
        <v>1.704916727</v>
      </c>
      <c r="D742" s="268">
        <f t="shared" si="2"/>
        <v>1.216874629</v>
      </c>
    </row>
    <row r="743" ht="13.5" customHeight="1">
      <c r="B743" s="268">
        <v>2924.0</v>
      </c>
      <c r="C743" s="268">
        <f t="shared" si="1"/>
        <v>1.707497588</v>
      </c>
      <c r="D743" s="268">
        <f t="shared" si="2"/>
        <v>1.217236256</v>
      </c>
    </row>
    <row r="744" ht="13.5" customHeight="1">
      <c r="B744" s="268">
        <v>2928.0</v>
      </c>
      <c r="C744" s="268">
        <f t="shared" si="1"/>
        <v>1.710079217</v>
      </c>
      <c r="D744" s="268">
        <f t="shared" si="2"/>
        <v>1.217598098</v>
      </c>
    </row>
    <row r="745" ht="13.5" customHeight="1">
      <c r="B745" s="268">
        <v>2932.0</v>
      </c>
      <c r="C745" s="268">
        <f t="shared" si="1"/>
        <v>1.712661613</v>
      </c>
      <c r="D745" s="268">
        <f t="shared" si="2"/>
        <v>1.217960155</v>
      </c>
    </row>
    <row r="746" ht="13.5" customHeight="1">
      <c r="B746" s="268">
        <v>2936.0</v>
      </c>
      <c r="C746" s="268">
        <f t="shared" si="1"/>
        <v>1.715244777</v>
      </c>
      <c r="D746" s="268">
        <f t="shared" si="2"/>
        <v>1.218322427</v>
      </c>
    </row>
    <row r="747" ht="13.5" customHeight="1">
      <c r="B747" s="268">
        <v>2940.0</v>
      </c>
      <c r="C747" s="268">
        <f t="shared" si="1"/>
        <v>1.71782871</v>
      </c>
      <c r="D747" s="268">
        <f t="shared" si="2"/>
        <v>1.218684915</v>
      </c>
    </row>
    <row r="748" ht="13.5" customHeight="1">
      <c r="B748" s="268">
        <v>2944.0</v>
      </c>
      <c r="C748" s="268">
        <f t="shared" si="1"/>
        <v>1.720413412</v>
      </c>
      <c r="D748" s="268">
        <f t="shared" si="2"/>
        <v>1.219047619</v>
      </c>
    </row>
    <row r="749" ht="13.5" customHeight="1">
      <c r="B749" s="268">
        <v>2948.0</v>
      </c>
      <c r="C749" s="268">
        <f t="shared" si="1"/>
        <v>1.722998883</v>
      </c>
      <c r="D749" s="268">
        <f t="shared" si="2"/>
        <v>1.219410539</v>
      </c>
    </row>
    <row r="750" ht="13.5" customHeight="1">
      <c r="B750" s="268">
        <v>2952.0</v>
      </c>
      <c r="C750" s="268">
        <f t="shared" si="1"/>
        <v>1.725585123</v>
      </c>
      <c r="D750" s="268">
        <f t="shared" si="2"/>
        <v>1.219773675</v>
      </c>
    </row>
    <row r="751" ht="13.5" customHeight="1">
      <c r="B751" s="268">
        <v>2956.0</v>
      </c>
      <c r="C751" s="268">
        <f t="shared" si="1"/>
        <v>1.728172134</v>
      </c>
      <c r="D751" s="268">
        <f t="shared" si="2"/>
        <v>1.220137027</v>
      </c>
    </row>
    <row r="752" ht="13.5" customHeight="1">
      <c r="B752" s="268">
        <v>2960.0</v>
      </c>
      <c r="C752" s="268">
        <f t="shared" si="1"/>
        <v>1.730759916</v>
      </c>
      <c r="D752" s="268">
        <f t="shared" si="2"/>
        <v>1.220500596</v>
      </c>
    </row>
    <row r="753" ht="13.5" customHeight="1">
      <c r="B753" s="268">
        <v>2964.0</v>
      </c>
      <c r="C753" s="268">
        <f t="shared" si="1"/>
        <v>1.733348469</v>
      </c>
      <c r="D753" s="268">
        <f t="shared" si="2"/>
        <v>1.220864382</v>
      </c>
    </row>
    <row r="754" ht="13.5" customHeight="1">
      <c r="B754" s="268">
        <v>2968.0</v>
      </c>
      <c r="C754" s="268">
        <f t="shared" si="1"/>
        <v>1.735937794</v>
      </c>
      <c r="D754" s="268">
        <f t="shared" si="2"/>
        <v>1.221228384</v>
      </c>
    </row>
    <row r="755" ht="13.5" customHeight="1">
      <c r="B755" s="268">
        <v>2972.0</v>
      </c>
      <c r="C755" s="268">
        <f t="shared" si="1"/>
        <v>1.738527891</v>
      </c>
      <c r="D755" s="268">
        <f t="shared" si="2"/>
        <v>1.221592604</v>
      </c>
    </row>
    <row r="756" ht="13.5" customHeight="1">
      <c r="B756" s="268">
        <v>2976.0</v>
      </c>
      <c r="C756" s="268">
        <f t="shared" si="1"/>
        <v>1.74111876</v>
      </c>
      <c r="D756" s="268">
        <f t="shared" si="2"/>
        <v>1.221957041</v>
      </c>
    </row>
    <row r="757" ht="13.5" customHeight="1">
      <c r="B757" s="268">
        <v>2980.0</v>
      </c>
      <c r="C757" s="268">
        <f t="shared" si="1"/>
        <v>1.743710403</v>
      </c>
      <c r="D757" s="268">
        <f t="shared" si="2"/>
        <v>1.222321695</v>
      </c>
    </row>
    <row r="758" ht="13.5" customHeight="1">
      <c r="B758" s="268">
        <v>2984.0</v>
      </c>
      <c r="C758" s="268">
        <f t="shared" si="1"/>
        <v>1.746302819</v>
      </c>
      <c r="D758" s="268">
        <f t="shared" si="2"/>
        <v>1.222686567</v>
      </c>
    </row>
    <row r="759" ht="13.5" customHeight="1">
      <c r="B759" s="268">
        <v>2988.0</v>
      </c>
      <c r="C759" s="268">
        <f t="shared" si="1"/>
        <v>1.748896009</v>
      </c>
      <c r="D759" s="268">
        <f t="shared" si="2"/>
        <v>1.223051657</v>
      </c>
    </row>
    <row r="760" ht="13.5" customHeight="1">
      <c r="B760" s="268">
        <v>2992.0</v>
      </c>
      <c r="C760" s="268">
        <f t="shared" si="1"/>
        <v>1.751489973</v>
      </c>
      <c r="D760" s="268">
        <f t="shared" si="2"/>
        <v>1.223416965</v>
      </c>
    </row>
    <row r="761" ht="13.5" customHeight="1">
      <c r="B761" s="268">
        <v>2996.0</v>
      </c>
      <c r="C761" s="268">
        <f t="shared" si="1"/>
        <v>1.754084712</v>
      </c>
      <c r="D761" s="268">
        <f t="shared" si="2"/>
        <v>1.223782492</v>
      </c>
    </row>
    <row r="762" ht="13.5" customHeight="1">
      <c r="B762" s="268">
        <v>3000.0</v>
      </c>
      <c r="C762" s="268">
        <f t="shared" si="1"/>
        <v>1.756680227</v>
      </c>
      <c r="D762" s="268">
        <f t="shared" si="2"/>
        <v>1.224148237</v>
      </c>
    </row>
    <row r="763" ht="13.5" customHeight="1">
      <c r="B763" s="268">
        <v>3004.0</v>
      </c>
      <c r="C763" s="268">
        <f t="shared" si="1"/>
        <v>1.759276517</v>
      </c>
      <c r="D763" s="268">
        <f t="shared" si="2"/>
        <v>1.2245142</v>
      </c>
    </row>
    <row r="764" ht="13.5" customHeight="1">
      <c r="B764" s="268">
        <v>3008.0</v>
      </c>
      <c r="C764" s="268">
        <f t="shared" si="1"/>
        <v>1.761873584</v>
      </c>
      <c r="D764" s="268">
        <f t="shared" si="2"/>
        <v>1.224880383</v>
      </c>
    </row>
    <row r="765" ht="13.5" customHeight="1">
      <c r="B765" s="268">
        <v>3012.0</v>
      </c>
      <c r="C765" s="268">
        <f t="shared" si="1"/>
        <v>1.764471428</v>
      </c>
      <c r="D765" s="268">
        <f t="shared" si="2"/>
        <v>1.225246784</v>
      </c>
    </row>
    <row r="766" ht="13.5" customHeight="1">
      <c r="B766" s="268">
        <v>3016.0</v>
      </c>
      <c r="C766" s="268">
        <f t="shared" si="1"/>
        <v>1.767070048</v>
      </c>
      <c r="D766" s="268">
        <f t="shared" si="2"/>
        <v>1.225613405</v>
      </c>
    </row>
    <row r="767" ht="13.5" customHeight="1">
      <c r="B767" s="268">
        <v>3020.0</v>
      </c>
      <c r="C767" s="268">
        <f t="shared" si="1"/>
        <v>1.769669447</v>
      </c>
      <c r="D767" s="268">
        <f t="shared" si="2"/>
        <v>1.225980245</v>
      </c>
    </row>
    <row r="768" ht="13.5" customHeight="1">
      <c r="B768" s="268">
        <v>3024.0</v>
      </c>
      <c r="C768" s="268">
        <f t="shared" si="1"/>
        <v>1.772269623</v>
      </c>
      <c r="D768" s="268">
        <f t="shared" si="2"/>
        <v>1.226347305</v>
      </c>
    </row>
    <row r="769" ht="13.5" customHeight="1">
      <c r="B769" s="268">
        <v>3028.0</v>
      </c>
      <c r="C769" s="268">
        <f t="shared" si="1"/>
        <v>1.774870578</v>
      </c>
      <c r="D769" s="268">
        <f t="shared" si="2"/>
        <v>1.226714585</v>
      </c>
    </row>
    <row r="770" ht="13.5" customHeight="1">
      <c r="B770" s="268">
        <v>3032.0</v>
      </c>
      <c r="C770" s="268">
        <f t="shared" si="1"/>
        <v>1.777472312</v>
      </c>
      <c r="D770" s="268">
        <f t="shared" si="2"/>
        <v>1.227082085</v>
      </c>
    </row>
    <row r="771" ht="13.5" customHeight="1">
      <c r="B771" s="268">
        <v>3036.0</v>
      </c>
      <c r="C771" s="268">
        <f t="shared" si="1"/>
        <v>1.780074826</v>
      </c>
      <c r="D771" s="268">
        <f t="shared" si="2"/>
        <v>1.227449805</v>
      </c>
    </row>
    <row r="772" ht="13.5" customHeight="1">
      <c r="B772" s="268">
        <v>3040.0</v>
      </c>
      <c r="C772" s="268">
        <f t="shared" si="1"/>
        <v>1.78267812</v>
      </c>
      <c r="D772" s="268">
        <f t="shared" si="2"/>
        <v>1.227817746</v>
      </c>
    </row>
    <row r="773" ht="13.5" customHeight="1">
      <c r="B773" s="268">
        <v>3044.0</v>
      </c>
      <c r="C773" s="268">
        <f t="shared" si="1"/>
        <v>1.785282194</v>
      </c>
      <c r="D773" s="268">
        <f t="shared" si="2"/>
        <v>1.228185907</v>
      </c>
    </row>
    <row r="774" ht="13.5" customHeight="1">
      <c r="B774" s="268">
        <v>3048.0</v>
      </c>
      <c r="C774" s="268">
        <f t="shared" si="1"/>
        <v>1.78788705</v>
      </c>
      <c r="D774" s="268">
        <f t="shared" si="2"/>
        <v>1.228554289</v>
      </c>
    </row>
    <row r="775" ht="13.5" customHeight="1">
      <c r="B775" s="268">
        <v>3052.0</v>
      </c>
      <c r="C775" s="268">
        <f t="shared" si="1"/>
        <v>1.790492686</v>
      </c>
      <c r="D775" s="268">
        <f t="shared" si="2"/>
        <v>1.228922892</v>
      </c>
    </row>
    <row r="776" ht="13.5" customHeight="1">
      <c r="B776" s="268">
        <v>3056.0</v>
      </c>
      <c r="C776" s="268">
        <f t="shared" si="1"/>
        <v>1.793099105</v>
      </c>
      <c r="D776" s="268">
        <f t="shared" si="2"/>
        <v>1.229291717</v>
      </c>
    </row>
    <row r="777" ht="13.5" customHeight="1">
      <c r="B777" s="268">
        <v>3060.0</v>
      </c>
      <c r="C777" s="268">
        <f t="shared" si="1"/>
        <v>1.795706306</v>
      </c>
      <c r="D777" s="268">
        <f t="shared" si="2"/>
        <v>1.229660763</v>
      </c>
    </row>
    <row r="778" ht="13.5" customHeight="1">
      <c r="B778" s="268">
        <v>3064.0</v>
      </c>
      <c r="C778" s="268">
        <f t="shared" si="1"/>
        <v>1.798314289</v>
      </c>
      <c r="D778" s="268">
        <f t="shared" si="2"/>
        <v>1.23003003</v>
      </c>
    </row>
    <row r="779" ht="13.5" customHeight="1">
      <c r="B779" s="268">
        <v>3068.0</v>
      </c>
      <c r="C779" s="268">
        <f t="shared" si="1"/>
        <v>1.800923056</v>
      </c>
      <c r="D779" s="268">
        <f t="shared" si="2"/>
        <v>1.230399519</v>
      </c>
    </row>
    <row r="780" ht="13.5" customHeight="1">
      <c r="B780" s="268">
        <v>3072.0</v>
      </c>
      <c r="C780" s="268">
        <f t="shared" si="1"/>
        <v>1.803532607</v>
      </c>
      <c r="D780" s="268">
        <f t="shared" si="2"/>
        <v>1.230769231</v>
      </c>
    </row>
    <row r="781" ht="13.5" customHeight="1">
      <c r="B781" s="268">
        <v>3076.0</v>
      </c>
      <c r="C781" s="268">
        <f t="shared" si="1"/>
        <v>1.806142942</v>
      </c>
      <c r="D781" s="268">
        <f t="shared" si="2"/>
        <v>1.231139164</v>
      </c>
    </row>
    <row r="782" ht="13.5" customHeight="1">
      <c r="B782" s="268">
        <v>3080.0</v>
      </c>
      <c r="C782" s="268">
        <f t="shared" si="1"/>
        <v>1.808754062</v>
      </c>
      <c r="D782" s="268">
        <f t="shared" si="2"/>
        <v>1.231509321</v>
      </c>
    </row>
    <row r="783" ht="13.5" customHeight="1">
      <c r="B783" s="268">
        <v>3084.0</v>
      </c>
      <c r="C783" s="268">
        <f t="shared" si="1"/>
        <v>1.811365967</v>
      </c>
      <c r="D783" s="268">
        <f t="shared" si="2"/>
        <v>1.231879699</v>
      </c>
    </row>
    <row r="784" ht="13.5" customHeight="1">
      <c r="B784" s="268">
        <v>3088.0</v>
      </c>
      <c r="C784" s="268">
        <f t="shared" si="1"/>
        <v>1.813978657</v>
      </c>
      <c r="D784" s="268">
        <f t="shared" si="2"/>
        <v>1.232250301</v>
      </c>
    </row>
    <row r="785" ht="13.5" customHeight="1">
      <c r="B785" s="268">
        <v>3092.0</v>
      </c>
      <c r="C785" s="268">
        <f t="shared" si="1"/>
        <v>1.816592134</v>
      </c>
      <c r="D785" s="268">
        <f t="shared" si="2"/>
        <v>1.232621125</v>
      </c>
    </row>
    <row r="786" ht="13.5" customHeight="1">
      <c r="B786" s="268">
        <v>3096.0</v>
      </c>
      <c r="C786" s="268">
        <f t="shared" si="1"/>
        <v>1.819206397</v>
      </c>
      <c r="D786" s="268">
        <f t="shared" si="2"/>
        <v>1.232992173</v>
      </c>
    </row>
    <row r="787" ht="13.5" customHeight="1">
      <c r="B787" s="268">
        <v>3100.0</v>
      </c>
      <c r="C787" s="268">
        <f t="shared" si="1"/>
        <v>1.821821447</v>
      </c>
      <c r="D787" s="268">
        <f t="shared" si="2"/>
        <v>1.233363445</v>
      </c>
    </row>
    <row r="788" ht="13.5" customHeight="1">
      <c r="B788" s="268">
        <v>3104.0</v>
      </c>
      <c r="C788" s="268">
        <f t="shared" si="1"/>
        <v>1.824437285</v>
      </c>
      <c r="D788" s="268">
        <f t="shared" si="2"/>
        <v>1.23373494</v>
      </c>
    </row>
    <row r="789" ht="13.5" customHeight="1">
      <c r="B789" s="268">
        <v>3108.0</v>
      </c>
      <c r="C789" s="268">
        <f t="shared" si="1"/>
        <v>1.827053911</v>
      </c>
      <c r="D789" s="268">
        <f t="shared" si="2"/>
        <v>1.234106659</v>
      </c>
    </row>
    <row r="790" ht="13.5" customHeight="1">
      <c r="B790" s="268">
        <v>3112.0</v>
      </c>
      <c r="C790" s="268">
        <f t="shared" si="1"/>
        <v>1.829671326</v>
      </c>
      <c r="D790" s="268">
        <f t="shared" si="2"/>
        <v>1.234478602</v>
      </c>
    </row>
    <row r="791" ht="13.5" customHeight="1">
      <c r="B791" s="268">
        <v>3116.0</v>
      </c>
      <c r="C791" s="268">
        <f t="shared" si="1"/>
        <v>1.832289529</v>
      </c>
      <c r="D791" s="268">
        <f t="shared" si="2"/>
        <v>1.234850769</v>
      </c>
    </row>
    <row r="792" ht="13.5" customHeight="1">
      <c r="B792" s="268">
        <v>3120.0</v>
      </c>
      <c r="C792" s="268">
        <f t="shared" si="1"/>
        <v>1.834908522</v>
      </c>
      <c r="D792" s="268">
        <f t="shared" si="2"/>
        <v>1.23522316</v>
      </c>
    </row>
    <row r="793" ht="13.5" customHeight="1">
      <c r="B793" s="268">
        <v>3124.0</v>
      </c>
      <c r="C793" s="268">
        <f t="shared" si="1"/>
        <v>1.837528305</v>
      </c>
      <c r="D793" s="268">
        <f t="shared" si="2"/>
        <v>1.235595777</v>
      </c>
    </row>
    <row r="794" ht="13.5" customHeight="1">
      <c r="B794" s="268">
        <v>3128.0</v>
      </c>
      <c r="C794" s="268">
        <f t="shared" si="1"/>
        <v>1.840148878</v>
      </c>
      <c r="D794" s="268">
        <f t="shared" si="2"/>
        <v>1.235968618</v>
      </c>
    </row>
    <row r="795" ht="13.5" customHeight="1">
      <c r="B795" s="268">
        <v>3132.0</v>
      </c>
      <c r="C795" s="268">
        <f t="shared" si="1"/>
        <v>1.842770242</v>
      </c>
      <c r="D795" s="268">
        <f t="shared" si="2"/>
        <v>1.236341684</v>
      </c>
    </row>
    <row r="796" ht="13.5" customHeight="1">
      <c r="B796" s="268">
        <v>3136.0</v>
      </c>
      <c r="C796" s="268">
        <f t="shared" si="1"/>
        <v>1.845392397</v>
      </c>
      <c r="D796" s="268">
        <f t="shared" si="2"/>
        <v>1.236714976</v>
      </c>
    </row>
    <row r="797" ht="13.5" customHeight="1">
      <c r="B797" s="268">
        <v>3140.0</v>
      </c>
      <c r="C797" s="268">
        <f t="shared" si="1"/>
        <v>1.848015344</v>
      </c>
      <c r="D797" s="268">
        <f t="shared" si="2"/>
        <v>1.237088493</v>
      </c>
    </row>
    <row r="798" ht="13.5" customHeight="1">
      <c r="B798" s="268">
        <v>3144.0</v>
      </c>
      <c r="C798" s="268">
        <f t="shared" si="1"/>
        <v>1.850639084</v>
      </c>
      <c r="D798" s="268">
        <f t="shared" si="2"/>
        <v>1.237462236</v>
      </c>
    </row>
    <row r="799" ht="13.5" customHeight="1">
      <c r="B799" s="268">
        <v>3148.0</v>
      </c>
      <c r="C799" s="268">
        <f t="shared" si="1"/>
        <v>1.853263616</v>
      </c>
      <c r="D799" s="268">
        <f t="shared" si="2"/>
        <v>1.237836204</v>
      </c>
    </row>
    <row r="800" ht="13.5" customHeight="1">
      <c r="B800" s="268">
        <v>3152.0</v>
      </c>
      <c r="C800" s="268">
        <f t="shared" si="1"/>
        <v>1.855888942</v>
      </c>
      <c r="D800" s="268">
        <f t="shared" si="2"/>
        <v>1.238210399</v>
      </c>
    </row>
    <row r="801" ht="13.5" customHeight="1">
      <c r="B801" s="268">
        <v>3156.0</v>
      </c>
      <c r="C801" s="268">
        <f t="shared" si="1"/>
        <v>1.858515061</v>
      </c>
      <c r="D801" s="268">
        <f t="shared" si="2"/>
        <v>1.23858482</v>
      </c>
    </row>
    <row r="802" ht="13.5" customHeight="1">
      <c r="B802" s="268">
        <v>3160.0</v>
      </c>
      <c r="C802" s="268">
        <f t="shared" si="1"/>
        <v>1.861141975</v>
      </c>
      <c r="D802" s="268">
        <f t="shared" si="2"/>
        <v>1.238959468</v>
      </c>
    </row>
    <row r="803" ht="13.5" customHeight="1">
      <c r="B803" s="268">
        <v>3164.0</v>
      </c>
      <c r="C803" s="268">
        <f t="shared" si="1"/>
        <v>1.863769683</v>
      </c>
      <c r="D803" s="268">
        <f t="shared" si="2"/>
        <v>1.239334342</v>
      </c>
    </row>
    <row r="804" ht="13.5" customHeight="1">
      <c r="B804" s="268">
        <v>3168.0</v>
      </c>
      <c r="C804" s="268">
        <f t="shared" si="1"/>
        <v>1.866398186</v>
      </c>
      <c r="D804" s="268">
        <f t="shared" si="2"/>
        <v>1.239709443</v>
      </c>
    </row>
    <row r="805" ht="13.5" customHeight="1">
      <c r="B805" s="268">
        <v>3172.0</v>
      </c>
      <c r="C805" s="268">
        <f t="shared" si="1"/>
        <v>1.869027486</v>
      </c>
      <c r="D805" s="268">
        <f t="shared" si="2"/>
        <v>1.240084771</v>
      </c>
    </row>
    <row r="806" ht="13.5" customHeight="1">
      <c r="B806" s="268">
        <v>3176.0</v>
      </c>
      <c r="C806" s="268">
        <f t="shared" si="1"/>
        <v>1.871657581</v>
      </c>
      <c r="D806" s="268">
        <f t="shared" si="2"/>
        <v>1.240460327</v>
      </c>
    </row>
    <row r="807" ht="13.5" customHeight="1">
      <c r="B807" s="268">
        <v>3180.0</v>
      </c>
      <c r="C807" s="268">
        <f t="shared" si="1"/>
        <v>1.874288473</v>
      </c>
      <c r="D807" s="268">
        <f t="shared" si="2"/>
        <v>1.24083611</v>
      </c>
    </row>
    <row r="808" ht="13.5" customHeight="1">
      <c r="B808" s="268">
        <v>3184.0</v>
      </c>
      <c r="C808" s="268">
        <f t="shared" si="1"/>
        <v>1.876920162</v>
      </c>
      <c r="D808" s="268">
        <f t="shared" si="2"/>
        <v>1.241212121</v>
      </c>
    </row>
    <row r="809" ht="13.5" customHeight="1">
      <c r="B809" s="268">
        <v>3188.0</v>
      </c>
      <c r="C809" s="268">
        <f t="shared" si="1"/>
        <v>1.879552648</v>
      </c>
      <c r="D809" s="268">
        <f t="shared" si="2"/>
        <v>1.24158836</v>
      </c>
    </row>
    <row r="810" ht="13.5" customHeight="1">
      <c r="B810" s="268">
        <v>3192.0</v>
      </c>
      <c r="C810" s="268">
        <f t="shared" si="1"/>
        <v>1.882185933</v>
      </c>
      <c r="D810" s="268">
        <f t="shared" si="2"/>
        <v>1.241964827</v>
      </c>
    </row>
    <row r="811" ht="13.5" customHeight="1">
      <c r="B811" s="268">
        <v>3196.0</v>
      </c>
      <c r="C811" s="268">
        <f t="shared" si="1"/>
        <v>1.884820016</v>
      </c>
      <c r="D811" s="268">
        <f t="shared" si="2"/>
        <v>1.242341523</v>
      </c>
    </row>
    <row r="812" ht="13.5" customHeight="1">
      <c r="B812" s="268">
        <v>3200.0</v>
      </c>
      <c r="C812" s="268">
        <f t="shared" si="1"/>
        <v>1.887454899</v>
      </c>
      <c r="D812" s="268">
        <f t="shared" si="2"/>
        <v>1.242718447</v>
      </c>
    </row>
    <row r="813" ht="13.5" customHeight="1">
      <c r="B813" s="268">
        <v>3204.0</v>
      </c>
      <c r="C813" s="268">
        <f t="shared" si="1"/>
        <v>1.890090581</v>
      </c>
      <c r="D813" s="268">
        <f t="shared" si="2"/>
        <v>1.243095599</v>
      </c>
    </row>
    <row r="814" ht="13.5" customHeight="1">
      <c r="B814" s="268">
        <v>3208.0</v>
      </c>
      <c r="C814" s="268">
        <f t="shared" si="1"/>
        <v>1.892727063</v>
      </c>
      <c r="D814" s="268">
        <f t="shared" si="2"/>
        <v>1.243472981</v>
      </c>
    </row>
    <row r="815" ht="13.5" customHeight="1">
      <c r="B815" s="268">
        <v>3212.0</v>
      </c>
      <c r="C815" s="268">
        <f t="shared" si="1"/>
        <v>1.895364345</v>
      </c>
      <c r="D815" s="268">
        <f t="shared" si="2"/>
        <v>1.243850592</v>
      </c>
    </row>
    <row r="816" ht="13.5" customHeight="1">
      <c r="B816" s="268">
        <v>3216.0</v>
      </c>
      <c r="C816" s="268">
        <f t="shared" si="1"/>
        <v>1.898002429</v>
      </c>
      <c r="D816" s="268">
        <f t="shared" si="2"/>
        <v>1.244228433</v>
      </c>
    </row>
    <row r="817" ht="13.5" customHeight="1">
      <c r="B817" s="268">
        <v>3220.0</v>
      </c>
      <c r="C817" s="268">
        <f t="shared" si="1"/>
        <v>1.900641313</v>
      </c>
      <c r="D817" s="268">
        <f t="shared" si="2"/>
        <v>1.244606503</v>
      </c>
    </row>
    <row r="818" ht="13.5" customHeight="1">
      <c r="B818" s="268">
        <v>3224.0</v>
      </c>
      <c r="C818" s="268">
        <f t="shared" si="1"/>
        <v>1.903281</v>
      </c>
      <c r="D818" s="268">
        <f t="shared" si="2"/>
        <v>1.244984802</v>
      </c>
    </row>
    <row r="819" ht="13.5" customHeight="1">
      <c r="B819" s="268">
        <v>3228.0</v>
      </c>
      <c r="C819" s="268">
        <f t="shared" si="1"/>
        <v>1.90592149</v>
      </c>
      <c r="D819" s="268">
        <f t="shared" si="2"/>
        <v>1.245363332</v>
      </c>
    </row>
    <row r="820" ht="13.5" customHeight="1">
      <c r="B820" s="268">
        <v>3232.0</v>
      </c>
      <c r="C820" s="268">
        <f t="shared" si="1"/>
        <v>1.908562782</v>
      </c>
      <c r="D820" s="268">
        <f t="shared" si="2"/>
        <v>1.245742092</v>
      </c>
    </row>
    <row r="821" ht="13.5" customHeight="1">
      <c r="B821" s="268">
        <v>3236.0</v>
      </c>
      <c r="C821" s="268">
        <f t="shared" si="1"/>
        <v>1.911204878</v>
      </c>
      <c r="D821" s="268">
        <f t="shared" si="2"/>
        <v>1.246121083</v>
      </c>
    </row>
    <row r="822" ht="13.5" customHeight="1">
      <c r="B822" s="268">
        <v>3240.0</v>
      </c>
      <c r="C822" s="268">
        <f t="shared" si="1"/>
        <v>1.913847777</v>
      </c>
      <c r="D822" s="268">
        <f t="shared" si="2"/>
        <v>1.246500304</v>
      </c>
    </row>
    <row r="823" ht="13.5" customHeight="1">
      <c r="B823" s="268">
        <v>3244.0</v>
      </c>
      <c r="C823" s="268">
        <f t="shared" si="1"/>
        <v>1.916491481</v>
      </c>
      <c r="D823" s="268">
        <f t="shared" si="2"/>
        <v>1.246879756</v>
      </c>
    </row>
    <row r="824" ht="13.5" customHeight="1">
      <c r="B824" s="268">
        <v>3248.0</v>
      </c>
      <c r="C824" s="268">
        <f t="shared" si="1"/>
        <v>1.91913599</v>
      </c>
      <c r="D824" s="268">
        <f t="shared" si="2"/>
        <v>1.24725944</v>
      </c>
    </row>
    <row r="825" ht="13.5" customHeight="1">
      <c r="B825" s="268">
        <v>3252.0</v>
      </c>
      <c r="C825" s="268">
        <f t="shared" si="1"/>
        <v>1.921781305</v>
      </c>
      <c r="D825" s="268">
        <f t="shared" si="2"/>
        <v>1.247639354</v>
      </c>
    </row>
    <row r="826" ht="13.5" customHeight="1">
      <c r="B826" s="268">
        <v>3256.0</v>
      </c>
      <c r="C826" s="268">
        <f t="shared" si="1"/>
        <v>1.924427425</v>
      </c>
      <c r="D826" s="268">
        <f t="shared" si="2"/>
        <v>1.2480195</v>
      </c>
    </row>
    <row r="827" ht="13.5" customHeight="1">
      <c r="B827" s="268">
        <v>3260.0</v>
      </c>
      <c r="C827" s="268">
        <f t="shared" si="1"/>
        <v>1.927074352</v>
      </c>
      <c r="D827" s="268">
        <f t="shared" si="2"/>
        <v>1.248399878</v>
      </c>
    </row>
    <row r="828" ht="13.5" customHeight="1">
      <c r="B828" s="268">
        <v>3264.0</v>
      </c>
      <c r="C828" s="268">
        <f t="shared" si="1"/>
        <v>1.929722085</v>
      </c>
      <c r="D828" s="268">
        <f t="shared" si="2"/>
        <v>1.248780488</v>
      </c>
    </row>
    <row r="829" ht="13.5" customHeight="1">
      <c r="B829" s="268">
        <v>3268.0</v>
      </c>
      <c r="C829" s="268">
        <f t="shared" si="1"/>
        <v>1.932370626</v>
      </c>
      <c r="D829" s="268">
        <f t="shared" si="2"/>
        <v>1.24916133</v>
      </c>
    </row>
    <row r="830" ht="13.5" customHeight="1">
      <c r="B830" s="268">
        <v>3272.0</v>
      </c>
      <c r="C830" s="268">
        <f t="shared" si="1"/>
        <v>1.935019975</v>
      </c>
      <c r="D830" s="268">
        <f t="shared" si="2"/>
        <v>1.249542404</v>
      </c>
    </row>
    <row r="831" ht="13.5" customHeight="1">
      <c r="B831" s="268">
        <v>3276.0</v>
      </c>
      <c r="C831" s="268">
        <f t="shared" si="1"/>
        <v>1.937670132</v>
      </c>
      <c r="D831" s="268">
        <f t="shared" si="2"/>
        <v>1.249923711</v>
      </c>
    </row>
    <row r="832" ht="13.5" customHeight="1">
      <c r="B832" s="268">
        <v>3280.0</v>
      </c>
      <c r="C832" s="268">
        <f t="shared" si="1"/>
        <v>1.940321098</v>
      </c>
      <c r="D832" s="268">
        <f t="shared" si="2"/>
        <v>1.25030525</v>
      </c>
    </row>
    <row r="833" ht="13.5" customHeight="1">
      <c r="B833" s="268">
        <v>3284.0</v>
      </c>
      <c r="C833" s="268">
        <f t="shared" si="1"/>
        <v>1.942972873</v>
      </c>
      <c r="D833" s="268">
        <f t="shared" si="2"/>
        <v>1.250687023</v>
      </c>
    </row>
    <row r="834" ht="13.5" customHeight="1">
      <c r="B834" s="268">
        <v>3288.0</v>
      </c>
      <c r="C834" s="268">
        <f t="shared" si="1"/>
        <v>1.945625458</v>
      </c>
      <c r="D834" s="268">
        <f t="shared" si="2"/>
        <v>1.251069029</v>
      </c>
    </row>
    <row r="835" ht="13.5" customHeight="1">
      <c r="B835" s="268">
        <v>3292.0</v>
      </c>
      <c r="C835" s="268">
        <f t="shared" si="1"/>
        <v>1.948278853</v>
      </c>
      <c r="D835" s="268">
        <f t="shared" si="2"/>
        <v>1.251451268</v>
      </c>
    </row>
    <row r="836" ht="13.5" customHeight="1">
      <c r="B836" s="268">
        <v>3296.0</v>
      </c>
      <c r="C836" s="268">
        <f t="shared" si="1"/>
        <v>1.950933059</v>
      </c>
      <c r="D836" s="268">
        <f t="shared" si="2"/>
        <v>1.251833741</v>
      </c>
    </row>
    <row r="837" ht="13.5" customHeight="1">
      <c r="B837" s="268">
        <v>3300.0</v>
      </c>
      <c r="C837" s="268">
        <f t="shared" si="1"/>
        <v>1.953588077</v>
      </c>
      <c r="D837" s="268">
        <f t="shared" si="2"/>
        <v>1.252216448</v>
      </c>
    </row>
    <row r="838" ht="13.5" customHeight="1">
      <c r="B838" s="268">
        <v>3304.0</v>
      </c>
      <c r="C838" s="268">
        <f t="shared" si="1"/>
        <v>1.956243906</v>
      </c>
      <c r="D838" s="268">
        <f t="shared" si="2"/>
        <v>1.252599388</v>
      </c>
    </row>
    <row r="839" ht="13.5" customHeight="1">
      <c r="B839" s="268">
        <v>3308.0</v>
      </c>
      <c r="C839" s="268">
        <f t="shared" si="1"/>
        <v>1.958900548</v>
      </c>
      <c r="D839" s="268">
        <f t="shared" si="2"/>
        <v>1.252982563</v>
      </c>
    </row>
    <row r="840" ht="13.5" customHeight="1">
      <c r="B840" s="268">
        <v>3312.0</v>
      </c>
      <c r="C840" s="268">
        <f t="shared" si="1"/>
        <v>1.961558002</v>
      </c>
      <c r="D840" s="268">
        <f t="shared" si="2"/>
        <v>1.253365973</v>
      </c>
    </row>
    <row r="841" ht="13.5" customHeight="1">
      <c r="B841" s="268">
        <v>3316.0</v>
      </c>
      <c r="C841" s="268">
        <f t="shared" si="1"/>
        <v>1.96421627</v>
      </c>
      <c r="D841" s="268">
        <f t="shared" si="2"/>
        <v>1.253749617</v>
      </c>
    </row>
    <row r="842" ht="13.5" customHeight="1">
      <c r="B842" s="268">
        <v>3320.0</v>
      </c>
      <c r="C842" s="268">
        <f t="shared" si="1"/>
        <v>1.966875351</v>
      </c>
      <c r="D842" s="268">
        <f t="shared" si="2"/>
        <v>1.254133497</v>
      </c>
    </row>
    <row r="843" ht="13.5" customHeight="1">
      <c r="B843" s="268">
        <v>3324.0</v>
      </c>
      <c r="C843" s="268">
        <f t="shared" si="1"/>
        <v>1.969535247</v>
      </c>
      <c r="D843" s="268">
        <f t="shared" si="2"/>
        <v>1.254517611</v>
      </c>
    </row>
    <row r="844" ht="13.5" customHeight="1">
      <c r="B844" s="268">
        <v>3328.0</v>
      </c>
      <c r="C844" s="268">
        <f t="shared" si="1"/>
        <v>1.972195958</v>
      </c>
      <c r="D844" s="268">
        <f t="shared" si="2"/>
        <v>1.254901961</v>
      </c>
    </row>
    <row r="845" ht="13.5" customHeight="1">
      <c r="B845" s="268">
        <v>3332.0</v>
      </c>
      <c r="C845" s="268">
        <f t="shared" si="1"/>
        <v>1.974857484</v>
      </c>
      <c r="D845" s="268">
        <f t="shared" si="2"/>
        <v>1.255286546</v>
      </c>
    </row>
    <row r="846" ht="13.5" customHeight="1">
      <c r="B846" s="268">
        <v>3336.0</v>
      </c>
      <c r="C846" s="268">
        <f t="shared" si="1"/>
        <v>1.977519825</v>
      </c>
      <c r="D846" s="268">
        <f t="shared" si="2"/>
        <v>1.255671367</v>
      </c>
    </row>
    <row r="847" ht="13.5" customHeight="1">
      <c r="B847" s="268">
        <v>3340.0</v>
      </c>
      <c r="C847" s="268">
        <f t="shared" si="1"/>
        <v>1.980182983</v>
      </c>
      <c r="D847" s="268">
        <f t="shared" si="2"/>
        <v>1.256056424</v>
      </c>
    </row>
    <row r="848" ht="13.5" customHeight="1">
      <c r="B848" s="268">
        <v>3344.0</v>
      </c>
      <c r="C848" s="268">
        <f t="shared" si="1"/>
        <v>1.982846958</v>
      </c>
      <c r="D848" s="268">
        <f t="shared" si="2"/>
        <v>1.256441718</v>
      </c>
    </row>
    <row r="849" ht="13.5" customHeight="1">
      <c r="B849" s="268">
        <v>3348.0</v>
      </c>
      <c r="C849" s="268">
        <f t="shared" si="1"/>
        <v>1.98551175</v>
      </c>
      <c r="D849" s="268">
        <f t="shared" si="2"/>
        <v>1.256827248</v>
      </c>
    </row>
    <row r="850" ht="13.5" customHeight="1">
      <c r="B850" s="268">
        <v>3352.0</v>
      </c>
      <c r="C850" s="268">
        <f t="shared" si="1"/>
        <v>1.98817736</v>
      </c>
      <c r="D850" s="268">
        <f t="shared" si="2"/>
        <v>1.257213014</v>
      </c>
    </row>
    <row r="851" ht="13.5" customHeight="1">
      <c r="B851" s="268">
        <v>3356.0</v>
      </c>
      <c r="C851" s="268">
        <f t="shared" si="1"/>
        <v>1.990843788</v>
      </c>
      <c r="D851" s="268">
        <f t="shared" si="2"/>
        <v>1.257599018</v>
      </c>
    </row>
    <row r="852" ht="13.5" customHeight="1">
      <c r="B852" s="268">
        <v>3360.0</v>
      </c>
      <c r="C852" s="268">
        <f t="shared" si="1"/>
        <v>1.993511035</v>
      </c>
      <c r="D852" s="268">
        <f t="shared" si="2"/>
        <v>1.257985258</v>
      </c>
    </row>
    <row r="853" ht="13.5" customHeight="1">
      <c r="B853" s="268">
        <v>3364.0</v>
      </c>
      <c r="C853" s="268">
        <f t="shared" si="1"/>
        <v>1.996179101</v>
      </c>
      <c r="D853" s="268">
        <f t="shared" si="2"/>
        <v>1.258371736</v>
      </c>
    </row>
    <row r="854" ht="13.5" customHeight="1">
      <c r="B854" s="268">
        <v>3368.0</v>
      </c>
      <c r="C854" s="268">
        <f t="shared" si="1"/>
        <v>1.998847987</v>
      </c>
      <c r="D854" s="268">
        <f t="shared" si="2"/>
        <v>1.258758451</v>
      </c>
    </row>
    <row r="855" ht="13.5" customHeight="1">
      <c r="B855" s="268">
        <v>3372.0</v>
      </c>
      <c r="C855" s="268">
        <f t="shared" si="1"/>
        <v>2.001517694</v>
      </c>
      <c r="D855" s="268">
        <f t="shared" si="2"/>
        <v>1.259145404</v>
      </c>
    </row>
    <row r="856" ht="13.5" customHeight="1">
      <c r="B856" s="268">
        <v>3376.0</v>
      </c>
      <c r="C856" s="268">
        <f t="shared" si="1"/>
        <v>2.004188221</v>
      </c>
      <c r="D856" s="268">
        <f t="shared" si="2"/>
        <v>1.259532595</v>
      </c>
    </row>
    <row r="857" ht="13.5" customHeight="1">
      <c r="B857" s="268">
        <v>3380.0</v>
      </c>
      <c r="C857" s="268">
        <f t="shared" si="1"/>
        <v>2.006859569</v>
      </c>
      <c r="D857" s="268">
        <f t="shared" si="2"/>
        <v>1.259920025</v>
      </c>
    </row>
    <row r="858" ht="13.5" customHeight="1">
      <c r="B858" s="268">
        <v>3384.0</v>
      </c>
      <c r="C858" s="268">
        <f t="shared" si="1"/>
        <v>2.00953174</v>
      </c>
      <c r="D858" s="268">
        <f t="shared" si="2"/>
        <v>1.260307692</v>
      </c>
    </row>
    <row r="859" ht="13.5" customHeight="1">
      <c r="B859" s="268">
        <v>3388.0</v>
      </c>
      <c r="C859" s="268">
        <f t="shared" si="1"/>
        <v>2.012204732</v>
      </c>
      <c r="D859" s="268">
        <f t="shared" si="2"/>
        <v>1.260695599</v>
      </c>
    </row>
    <row r="860" ht="13.5" customHeight="1">
      <c r="B860" s="268">
        <v>3392.0</v>
      </c>
      <c r="C860" s="268">
        <f t="shared" si="1"/>
        <v>2.014878548</v>
      </c>
      <c r="D860" s="268">
        <f t="shared" si="2"/>
        <v>1.261083744</v>
      </c>
    </row>
    <row r="861" ht="13.5" customHeight="1">
      <c r="B861" s="268">
        <v>3396.0</v>
      </c>
      <c r="C861" s="268">
        <f t="shared" si="1"/>
        <v>2.017553187</v>
      </c>
      <c r="D861" s="268">
        <f t="shared" si="2"/>
        <v>1.261472128</v>
      </c>
    </row>
    <row r="862" ht="13.5" customHeight="1">
      <c r="B862" s="268">
        <v>3400.0</v>
      </c>
      <c r="C862" s="268">
        <f t="shared" si="1"/>
        <v>2.02022865</v>
      </c>
      <c r="D862" s="268">
        <f t="shared" si="2"/>
        <v>1.261860752</v>
      </c>
    </row>
    <row r="863" ht="13.5" customHeight="1">
      <c r="B863" s="268">
        <v>3404.0</v>
      </c>
      <c r="C863" s="268">
        <f t="shared" si="1"/>
        <v>2.022904937</v>
      </c>
      <c r="D863" s="268">
        <f t="shared" si="2"/>
        <v>1.262249615</v>
      </c>
    </row>
    <row r="864" ht="13.5" customHeight="1">
      <c r="B864" s="268">
        <v>3408.0</v>
      </c>
      <c r="C864" s="268">
        <f t="shared" si="1"/>
        <v>2.025582049</v>
      </c>
      <c r="D864" s="268">
        <f t="shared" si="2"/>
        <v>1.262638718</v>
      </c>
    </row>
    <row r="865" ht="13.5" customHeight="1">
      <c r="B865" s="268">
        <v>3412.0</v>
      </c>
      <c r="C865" s="268">
        <f t="shared" si="1"/>
        <v>2.028259986</v>
      </c>
      <c r="D865" s="268">
        <f t="shared" si="2"/>
        <v>1.26302806</v>
      </c>
    </row>
    <row r="866" ht="13.5" customHeight="1">
      <c r="B866" s="268">
        <v>3416.0</v>
      </c>
      <c r="C866" s="268">
        <f t="shared" si="1"/>
        <v>2.030938749</v>
      </c>
      <c r="D866" s="268">
        <f t="shared" si="2"/>
        <v>1.263417643</v>
      </c>
    </row>
    <row r="867" ht="13.5" customHeight="1">
      <c r="B867" s="268">
        <v>3420.0</v>
      </c>
      <c r="C867" s="268">
        <f t="shared" si="1"/>
        <v>2.033618339</v>
      </c>
      <c r="D867" s="268">
        <f t="shared" si="2"/>
        <v>1.263807467</v>
      </c>
    </row>
    <row r="868" ht="13.5" customHeight="1">
      <c r="B868" s="268">
        <v>3424.0</v>
      </c>
      <c r="C868" s="268">
        <f t="shared" si="1"/>
        <v>2.036298755</v>
      </c>
      <c r="D868" s="268">
        <f t="shared" si="2"/>
        <v>1.264197531</v>
      </c>
    </row>
    <row r="869" ht="13.5" customHeight="1">
      <c r="B869" s="268">
        <v>3428.0</v>
      </c>
      <c r="C869" s="268">
        <f t="shared" si="1"/>
        <v>2.038979999</v>
      </c>
      <c r="D869" s="268">
        <f t="shared" si="2"/>
        <v>1.264587836</v>
      </c>
    </row>
    <row r="870" ht="13.5" customHeight="1">
      <c r="B870" s="268">
        <v>3432.0</v>
      </c>
      <c r="C870" s="268">
        <f t="shared" si="1"/>
        <v>2.041662071</v>
      </c>
      <c r="D870" s="268">
        <f t="shared" si="2"/>
        <v>1.264978382</v>
      </c>
    </row>
    <row r="871" ht="13.5" customHeight="1">
      <c r="B871" s="268">
        <v>3436.0</v>
      </c>
      <c r="C871" s="268">
        <f t="shared" si="1"/>
        <v>2.044344971</v>
      </c>
      <c r="D871" s="268">
        <f t="shared" si="2"/>
        <v>1.265369169</v>
      </c>
    </row>
    <row r="872" ht="13.5" customHeight="1">
      <c r="B872" s="268">
        <v>3440.0</v>
      </c>
      <c r="C872" s="268">
        <f t="shared" si="1"/>
        <v>2.047028701</v>
      </c>
      <c r="D872" s="268">
        <f t="shared" si="2"/>
        <v>1.265760198</v>
      </c>
    </row>
    <row r="873" ht="13.5" customHeight="1">
      <c r="B873" s="268">
        <v>3444.0</v>
      </c>
      <c r="C873" s="268">
        <f t="shared" si="1"/>
        <v>2.049713259</v>
      </c>
      <c r="D873" s="268">
        <f t="shared" si="2"/>
        <v>1.266151468</v>
      </c>
    </row>
    <row r="874" ht="13.5" customHeight="1">
      <c r="B874" s="268">
        <v>3448.0</v>
      </c>
      <c r="C874" s="268">
        <f t="shared" si="1"/>
        <v>2.052398648</v>
      </c>
      <c r="D874" s="268">
        <f t="shared" si="2"/>
        <v>1.266542981</v>
      </c>
    </row>
    <row r="875" ht="13.5" customHeight="1">
      <c r="B875" s="268">
        <v>3452.0</v>
      </c>
      <c r="C875" s="268">
        <f t="shared" si="1"/>
        <v>2.055084867</v>
      </c>
      <c r="D875" s="268">
        <f t="shared" si="2"/>
        <v>1.266934736</v>
      </c>
    </row>
    <row r="876" ht="13.5" customHeight="1">
      <c r="B876" s="268">
        <v>3456.0</v>
      </c>
      <c r="C876" s="268">
        <f t="shared" si="1"/>
        <v>2.057771917</v>
      </c>
      <c r="D876" s="268">
        <f t="shared" si="2"/>
        <v>1.267326733</v>
      </c>
    </row>
    <row r="877" ht="13.5" customHeight="1">
      <c r="B877" s="268">
        <v>3460.0</v>
      </c>
      <c r="C877" s="268">
        <f t="shared" si="1"/>
        <v>2.060459799</v>
      </c>
      <c r="D877" s="268">
        <f t="shared" si="2"/>
        <v>1.267718972</v>
      </c>
    </row>
    <row r="878" ht="13.5" customHeight="1">
      <c r="B878" s="268">
        <v>3464.0</v>
      </c>
      <c r="C878" s="268">
        <f t="shared" si="1"/>
        <v>2.063148513</v>
      </c>
      <c r="D878" s="268">
        <f t="shared" si="2"/>
        <v>1.268111455</v>
      </c>
    </row>
    <row r="879" ht="13.5" customHeight="1">
      <c r="B879" s="268">
        <v>3468.0</v>
      </c>
      <c r="C879" s="268">
        <f t="shared" si="1"/>
        <v>2.065838059</v>
      </c>
      <c r="D879" s="268">
        <f t="shared" si="2"/>
        <v>1.268504181</v>
      </c>
    </row>
    <row r="880" ht="13.5" customHeight="1">
      <c r="B880" s="268">
        <v>3472.0</v>
      </c>
      <c r="C880" s="268">
        <f t="shared" si="1"/>
        <v>2.068528438</v>
      </c>
      <c r="D880" s="268">
        <f t="shared" si="2"/>
        <v>1.26889715</v>
      </c>
    </row>
    <row r="881" ht="13.5" customHeight="1">
      <c r="B881" s="268">
        <v>3476.0</v>
      </c>
      <c r="C881" s="268">
        <f t="shared" si="1"/>
        <v>2.071219651</v>
      </c>
      <c r="D881" s="268">
        <f t="shared" si="2"/>
        <v>1.269290363</v>
      </c>
    </row>
    <row r="882" ht="13.5" customHeight="1">
      <c r="B882" s="268">
        <v>3480.0</v>
      </c>
      <c r="C882" s="268">
        <f t="shared" si="1"/>
        <v>2.073911698</v>
      </c>
      <c r="D882" s="268">
        <f t="shared" si="2"/>
        <v>1.269683819</v>
      </c>
    </row>
    <row r="883" ht="13.5" customHeight="1">
      <c r="B883" s="268">
        <v>3484.0</v>
      </c>
      <c r="C883" s="268">
        <f t="shared" si="1"/>
        <v>2.07660458</v>
      </c>
      <c r="D883" s="268">
        <f t="shared" si="2"/>
        <v>1.270077519</v>
      </c>
    </row>
    <row r="884" ht="13.5" customHeight="1">
      <c r="B884" s="268">
        <v>3488.0</v>
      </c>
      <c r="C884" s="268">
        <f t="shared" si="1"/>
        <v>2.079298297</v>
      </c>
      <c r="D884" s="268">
        <f t="shared" si="2"/>
        <v>1.270471464</v>
      </c>
    </row>
    <row r="885" ht="13.5" customHeight="1">
      <c r="B885" s="268">
        <v>3492.0</v>
      </c>
      <c r="C885" s="268">
        <f t="shared" si="1"/>
        <v>2.081992849</v>
      </c>
      <c r="D885" s="268">
        <f t="shared" si="2"/>
        <v>1.270865653</v>
      </c>
    </row>
    <row r="886" ht="13.5" customHeight="1">
      <c r="B886" s="268">
        <v>3496.0</v>
      </c>
      <c r="C886" s="268">
        <f t="shared" si="1"/>
        <v>2.084688238</v>
      </c>
      <c r="D886" s="268">
        <f t="shared" si="2"/>
        <v>1.271260087</v>
      </c>
    </row>
    <row r="887" ht="13.5" customHeight="1">
      <c r="B887" s="268">
        <v>3500.0</v>
      </c>
      <c r="C887" s="268">
        <f t="shared" si="1"/>
        <v>2.087384463</v>
      </c>
      <c r="D887" s="268">
        <f t="shared" si="2"/>
        <v>1.271654766</v>
      </c>
    </row>
    <row r="888" ht="13.5" customHeight="1">
      <c r="B888" s="268">
        <v>3504.0</v>
      </c>
      <c r="C888" s="268">
        <f t="shared" si="1"/>
        <v>2.090081525</v>
      </c>
      <c r="D888" s="268">
        <f t="shared" si="2"/>
        <v>1.272049689</v>
      </c>
    </row>
    <row r="889" ht="13.5" customHeight="1">
      <c r="B889" s="268">
        <v>3508.0</v>
      </c>
      <c r="C889" s="268">
        <f t="shared" si="1"/>
        <v>2.092779426</v>
      </c>
      <c r="D889" s="268">
        <f t="shared" si="2"/>
        <v>1.272444859</v>
      </c>
    </row>
    <row r="890" ht="13.5" customHeight="1">
      <c r="B890" s="268">
        <v>3512.0</v>
      </c>
      <c r="C890" s="268">
        <f t="shared" si="1"/>
        <v>2.095478164</v>
      </c>
      <c r="D890" s="268">
        <f t="shared" si="2"/>
        <v>1.272840273</v>
      </c>
    </row>
    <row r="891" ht="13.5" customHeight="1">
      <c r="B891" s="268">
        <v>3516.0</v>
      </c>
      <c r="C891" s="268">
        <f t="shared" si="1"/>
        <v>2.098177741</v>
      </c>
      <c r="D891" s="268">
        <f t="shared" si="2"/>
        <v>1.273235934</v>
      </c>
    </row>
    <row r="892" ht="13.5" customHeight="1">
      <c r="B892" s="268">
        <v>3520.0</v>
      </c>
      <c r="C892" s="268">
        <f t="shared" si="1"/>
        <v>2.100878158</v>
      </c>
      <c r="D892" s="268">
        <f t="shared" si="2"/>
        <v>1.273631841</v>
      </c>
    </row>
    <row r="893" ht="13.5" customHeight="1">
      <c r="B893" s="268">
        <v>3524.0</v>
      </c>
      <c r="C893" s="268">
        <f t="shared" si="1"/>
        <v>2.103579414</v>
      </c>
      <c r="D893" s="268">
        <f t="shared" si="2"/>
        <v>1.274027994</v>
      </c>
    </row>
    <row r="894" ht="13.5" customHeight="1">
      <c r="B894" s="268">
        <v>3528.0</v>
      </c>
      <c r="C894" s="268">
        <f t="shared" si="1"/>
        <v>2.106281511</v>
      </c>
      <c r="D894" s="268">
        <f t="shared" si="2"/>
        <v>1.274424393</v>
      </c>
    </row>
    <row r="895" ht="13.5" customHeight="1">
      <c r="B895" s="268">
        <v>3532.0</v>
      </c>
      <c r="C895" s="268">
        <f t="shared" si="1"/>
        <v>2.108984448</v>
      </c>
      <c r="D895" s="268">
        <f t="shared" si="2"/>
        <v>1.27482104</v>
      </c>
    </row>
    <row r="896" ht="13.5" customHeight="1">
      <c r="B896" s="268">
        <v>3536.0</v>
      </c>
      <c r="C896" s="268">
        <f t="shared" si="1"/>
        <v>2.111688227</v>
      </c>
      <c r="D896" s="268">
        <f t="shared" si="2"/>
        <v>1.275217933</v>
      </c>
    </row>
    <row r="897" ht="13.5" customHeight="1">
      <c r="B897" s="268">
        <v>3540.0</v>
      </c>
      <c r="C897" s="268">
        <f t="shared" si="1"/>
        <v>2.114392848</v>
      </c>
      <c r="D897" s="268">
        <f t="shared" si="2"/>
        <v>1.275615073</v>
      </c>
    </row>
    <row r="898" ht="13.5" customHeight="1">
      <c r="B898" s="268">
        <v>3544.0</v>
      </c>
      <c r="C898" s="268">
        <f t="shared" si="1"/>
        <v>2.117098311</v>
      </c>
      <c r="D898" s="268">
        <f t="shared" si="2"/>
        <v>1.276012461</v>
      </c>
    </row>
    <row r="899" ht="13.5" customHeight="1">
      <c r="B899" s="268">
        <v>3548.0</v>
      </c>
      <c r="C899" s="268">
        <f t="shared" si="1"/>
        <v>2.119804617</v>
      </c>
      <c r="D899" s="268">
        <f t="shared" si="2"/>
        <v>1.276410097</v>
      </c>
    </row>
    <row r="900" ht="13.5" customHeight="1">
      <c r="B900" s="268">
        <v>3552.0</v>
      </c>
      <c r="C900" s="268">
        <f t="shared" si="1"/>
        <v>2.122511767</v>
      </c>
      <c r="D900" s="268">
        <f t="shared" si="2"/>
        <v>1.27680798</v>
      </c>
    </row>
    <row r="901" ht="13.5" customHeight="1">
      <c r="B901" s="268">
        <v>3556.0</v>
      </c>
      <c r="C901" s="268">
        <f t="shared" si="1"/>
        <v>2.125219761</v>
      </c>
      <c r="D901" s="268">
        <f t="shared" si="2"/>
        <v>1.277206112</v>
      </c>
    </row>
    <row r="902" ht="13.5" customHeight="1">
      <c r="B902" s="268">
        <v>3560.0</v>
      </c>
      <c r="C902" s="268">
        <f t="shared" si="1"/>
        <v>2.127928599</v>
      </c>
      <c r="D902" s="268">
        <f t="shared" si="2"/>
        <v>1.277604492</v>
      </c>
    </row>
    <row r="903" ht="13.5" customHeight="1">
      <c r="B903" s="268">
        <v>3564.0</v>
      </c>
      <c r="C903" s="268">
        <f t="shared" si="1"/>
        <v>2.130638282</v>
      </c>
      <c r="D903" s="268">
        <f t="shared" si="2"/>
        <v>1.27800312</v>
      </c>
    </row>
    <row r="904" ht="13.5" customHeight="1">
      <c r="B904" s="268">
        <v>3568.0</v>
      </c>
      <c r="C904" s="268">
        <f t="shared" si="1"/>
        <v>2.133348811</v>
      </c>
      <c r="D904" s="268">
        <f t="shared" si="2"/>
        <v>1.278401998</v>
      </c>
    </row>
    <row r="905" ht="13.5" customHeight="1">
      <c r="B905" s="268">
        <v>3572.0</v>
      </c>
      <c r="C905" s="268">
        <f t="shared" si="1"/>
        <v>2.136060186</v>
      </c>
      <c r="D905" s="268">
        <f t="shared" si="2"/>
        <v>1.278801124</v>
      </c>
    </row>
    <row r="906" ht="13.5" customHeight="1">
      <c r="B906" s="268">
        <v>3576.0</v>
      </c>
      <c r="C906" s="268">
        <f t="shared" si="1"/>
        <v>2.138772408</v>
      </c>
      <c r="D906" s="268">
        <f t="shared" si="2"/>
        <v>1.2792005</v>
      </c>
    </row>
    <row r="907" ht="13.5" customHeight="1">
      <c r="B907" s="268">
        <v>3580.0</v>
      </c>
      <c r="C907" s="268">
        <f t="shared" si="1"/>
        <v>2.141485476</v>
      </c>
      <c r="D907" s="268">
        <f t="shared" si="2"/>
        <v>1.279600125</v>
      </c>
    </row>
    <row r="908" ht="13.5" customHeight="1">
      <c r="B908" s="268">
        <v>3584.0</v>
      </c>
      <c r="C908" s="268">
        <f t="shared" si="1"/>
        <v>2.144199393</v>
      </c>
      <c r="D908" s="268">
        <f t="shared" si="2"/>
        <v>1.28</v>
      </c>
    </row>
    <row r="909" ht="13.5" customHeight="1">
      <c r="B909" s="268">
        <v>3588.0</v>
      </c>
      <c r="C909" s="268">
        <f t="shared" si="1"/>
        <v>2.146914158</v>
      </c>
      <c r="D909" s="268">
        <f t="shared" si="2"/>
        <v>1.280400125</v>
      </c>
    </row>
    <row r="910" ht="13.5" customHeight="1">
      <c r="B910" s="268">
        <v>3592.0</v>
      </c>
      <c r="C910" s="268">
        <f t="shared" si="1"/>
        <v>2.149629771</v>
      </c>
      <c r="D910" s="268">
        <f t="shared" si="2"/>
        <v>1.2808005</v>
      </c>
    </row>
    <row r="911" ht="13.5" customHeight="1">
      <c r="B911" s="268">
        <v>3596.0</v>
      </c>
      <c r="C911" s="268">
        <f t="shared" si="1"/>
        <v>2.152346234</v>
      </c>
      <c r="D911" s="268">
        <f t="shared" si="2"/>
        <v>1.281201126</v>
      </c>
    </row>
    <row r="912" ht="13.5" customHeight="1">
      <c r="B912" s="268">
        <v>3600.0</v>
      </c>
      <c r="C912" s="268">
        <f t="shared" si="1"/>
        <v>2.155063547</v>
      </c>
      <c r="D912" s="268">
        <f t="shared" si="2"/>
        <v>1.281602003</v>
      </c>
    </row>
    <row r="913" ht="13.5" customHeight="1">
      <c r="B913" s="268">
        <v>3604.0</v>
      </c>
      <c r="C913" s="268">
        <f t="shared" si="1"/>
        <v>2.157781709</v>
      </c>
      <c r="D913" s="268">
        <f t="shared" si="2"/>
        <v>1.28200313</v>
      </c>
    </row>
    <row r="914" ht="13.5" customHeight="1">
      <c r="B914" s="268">
        <v>3608.0</v>
      </c>
      <c r="C914" s="268">
        <f t="shared" si="1"/>
        <v>2.160500723</v>
      </c>
      <c r="D914" s="268">
        <f t="shared" si="2"/>
        <v>1.282404508</v>
      </c>
    </row>
    <row r="915" ht="13.5" customHeight="1">
      <c r="B915" s="268">
        <v>3612.0</v>
      </c>
      <c r="C915" s="268">
        <f t="shared" si="1"/>
        <v>2.163220589</v>
      </c>
      <c r="D915" s="268">
        <f t="shared" si="2"/>
        <v>1.282806138</v>
      </c>
    </row>
    <row r="916" ht="13.5" customHeight="1">
      <c r="B916" s="268">
        <v>3616.0</v>
      </c>
      <c r="C916" s="268">
        <f t="shared" si="1"/>
        <v>2.165941306</v>
      </c>
      <c r="D916" s="268">
        <f t="shared" si="2"/>
        <v>1.28320802</v>
      </c>
    </row>
    <row r="917" ht="13.5" customHeight="1">
      <c r="B917" s="268">
        <v>3620.0</v>
      </c>
      <c r="C917" s="268">
        <f t="shared" si="1"/>
        <v>2.168662875</v>
      </c>
      <c r="D917" s="268">
        <f t="shared" si="2"/>
        <v>1.283610154</v>
      </c>
    </row>
    <row r="918" ht="13.5" customHeight="1">
      <c r="B918" s="268">
        <v>3624.0</v>
      </c>
      <c r="C918" s="268">
        <f t="shared" si="1"/>
        <v>2.171385298</v>
      </c>
      <c r="D918" s="268">
        <f t="shared" si="2"/>
        <v>1.284012539</v>
      </c>
    </row>
    <row r="919" ht="13.5" customHeight="1">
      <c r="B919" s="268">
        <v>3628.0</v>
      </c>
      <c r="C919" s="268">
        <f t="shared" si="1"/>
        <v>2.174108574</v>
      </c>
      <c r="D919" s="268">
        <f t="shared" si="2"/>
        <v>1.284415177</v>
      </c>
    </row>
    <row r="920" ht="13.5" customHeight="1">
      <c r="B920" s="268">
        <v>3632.0</v>
      </c>
      <c r="C920" s="268">
        <f t="shared" si="1"/>
        <v>2.176832705</v>
      </c>
      <c r="D920" s="268">
        <f t="shared" si="2"/>
        <v>1.284818068</v>
      </c>
    </row>
    <row r="921" ht="13.5" customHeight="1">
      <c r="B921" s="268">
        <v>3636.0</v>
      </c>
      <c r="C921" s="268">
        <f t="shared" si="1"/>
        <v>2.17955769</v>
      </c>
      <c r="D921" s="268">
        <f t="shared" si="2"/>
        <v>1.285221211</v>
      </c>
    </row>
    <row r="922" ht="13.5" customHeight="1">
      <c r="B922" s="268">
        <v>3640.0</v>
      </c>
      <c r="C922" s="268">
        <f t="shared" si="1"/>
        <v>2.18228353</v>
      </c>
      <c r="D922" s="268">
        <f t="shared" si="2"/>
        <v>1.285624608</v>
      </c>
    </row>
    <row r="923" ht="13.5" customHeight="1">
      <c r="B923" s="268">
        <v>3644.0</v>
      </c>
      <c r="C923" s="268">
        <f t="shared" si="1"/>
        <v>2.185010226</v>
      </c>
      <c r="D923" s="268">
        <f t="shared" si="2"/>
        <v>1.286028257</v>
      </c>
    </row>
    <row r="924" ht="13.5" customHeight="1">
      <c r="B924" s="268">
        <v>3648.0</v>
      </c>
      <c r="C924" s="268">
        <f t="shared" si="1"/>
        <v>2.187737778</v>
      </c>
      <c r="D924" s="268">
        <f t="shared" si="2"/>
        <v>1.286432161</v>
      </c>
    </row>
    <row r="925" ht="13.5" customHeight="1">
      <c r="B925" s="268">
        <v>3652.0</v>
      </c>
      <c r="C925" s="268">
        <f t="shared" si="1"/>
        <v>2.190466187</v>
      </c>
      <c r="D925" s="268">
        <f t="shared" si="2"/>
        <v>1.286836318</v>
      </c>
    </row>
    <row r="926" ht="13.5" customHeight="1">
      <c r="B926" s="268">
        <v>3656.0</v>
      </c>
      <c r="C926" s="268">
        <f t="shared" si="1"/>
        <v>2.193195453</v>
      </c>
      <c r="D926" s="268">
        <f t="shared" si="2"/>
        <v>1.287240729</v>
      </c>
    </row>
    <row r="927" ht="13.5" customHeight="1">
      <c r="B927" s="268">
        <v>3660.0</v>
      </c>
      <c r="C927" s="268">
        <f t="shared" si="1"/>
        <v>2.195925577</v>
      </c>
      <c r="D927" s="268">
        <f t="shared" si="2"/>
        <v>1.287645395</v>
      </c>
    </row>
    <row r="928" ht="13.5" customHeight="1">
      <c r="B928" s="268">
        <v>3664.0</v>
      </c>
      <c r="C928" s="268">
        <f t="shared" si="1"/>
        <v>2.19865656</v>
      </c>
      <c r="D928" s="268">
        <f t="shared" si="2"/>
        <v>1.288050314</v>
      </c>
    </row>
    <row r="929" ht="13.5" customHeight="1">
      <c r="B929" s="268">
        <v>3668.0</v>
      </c>
      <c r="C929" s="268">
        <f t="shared" si="1"/>
        <v>2.201388401</v>
      </c>
      <c r="D929" s="268">
        <f t="shared" si="2"/>
        <v>1.288455489</v>
      </c>
    </row>
    <row r="930" ht="13.5" customHeight="1">
      <c r="B930" s="268">
        <v>3672.0</v>
      </c>
      <c r="C930" s="268">
        <f t="shared" si="1"/>
        <v>2.204121102</v>
      </c>
      <c r="D930" s="268">
        <f t="shared" si="2"/>
        <v>1.288860919</v>
      </c>
    </row>
    <row r="931" ht="13.5" customHeight="1">
      <c r="B931" s="268">
        <v>3676.0</v>
      </c>
      <c r="C931" s="268">
        <f t="shared" si="1"/>
        <v>2.206854663</v>
      </c>
      <c r="D931" s="268">
        <f t="shared" si="2"/>
        <v>1.289266604</v>
      </c>
    </row>
    <row r="932" ht="13.5" customHeight="1">
      <c r="B932" s="268">
        <v>3680.0</v>
      </c>
      <c r="C932" s="268">
        <f t="shared" si="1"/>
        <v>2.209589084</v>
      </c>
      <c r="D932" s="268">
        <f t="shared" si="2"/>
        <v>1.289672544</v>
      </c>
    </row>
    <row r="933" ht="13.5" customHeight="1">
      <c r="B933" s="268">
        <v>3684.0</v>
      </c>
      <c r="C933" s="268">
        <f t="shared" si="1"/>
        <v>2.212324367</v>
      </c>
      <c r="D933" s="268">
        <f t="shared" si="2"/>
        <v>1.29007874</v>
      </c>
    </row>
    <row r="934" ht="13.5" customHeight="1">
      <c r="B934" s="268">
        <v>3688.0</v>
      </c>
      <c r="C934" s="268">
        <f t="shared" si="1"/>
        <v>2.215060511</v>
      </c>
      <c r="D934" s="268">
        <f t="shared" si="2"/>
        <v>1.290485192</v>
      </c>
    </row>
    <row r="935" ht="13.5" customHeight="1">
      <c r="B935" s="268">
        <v>3692.0</v>
      </c>
      <c r="C935" s="268">
        <f t="shared" si="1"/>
        <v>2.217797517</v>
      </c>
      <c r="D935" s="268">
        <f t="shared" si="2"/>
        <v>1.2908919</v>
      </c>
    </row>
    <row r="936" ht="13.5" customHeight="1">
      <c r="B936" s="268">
        <v>3696.0</v>
      </c>
      <c r="C936" s="268">
        <f t="shared" si="1"/>
        <v>2.220535386</v>
      </c>
      <c r="D936" s="268">
        <f t="shared" si="2"/>
        <v>1.291298865</v>
      </c>
    </row>
    <row r="937" ht="13.5" customHeight="1">
      <c r="B937" s="268">
        <v>3700.0</v>
      </c>
      <c r="C937" s="268">
        <f t="shared" si="1"/>
        <v>2.223274119</v>
      </c>
      <c r="D937" s="268">
        <f t="shared" si="2"/>
        <v>1.291706086</v>
      </c>
    </row>
    <row r="938" ht="13.5" customHeight="1">
      <c r="B938" s="268">
        <v>3704.0</v>
      </c>
      <c r="C938" s="268">
        <f t="shared" si="1"/>
        <v>2.226013715</v>
      </c>
      <c r="D938" s="268">
        <f t="shared" si="2"/>
        <v>1.292113565</v>
      </c>
    </row>
    <row r="939" ht="13.5" customHeight="1">
      <c r="B939" s="268">
        <v>3708.0</v>
      </c>
      <c r="C939" s="268">
        <f t="shared" si="1"/>
        <v>2.228754176</v>
      </c>
      <c r="D939" s="268">
        <f t="shared" si="2"/>
        <v>1.2925213</v>
      </c>
    </row>
    <row r="940" ht="13.5" customHeight="1">
      <c r="B940" s="268">
        <v>3712.0</v>
      </c>
      <c r="C940" s="268">
        <f t="shared" si="1"/>
        <v>2.231495501</v>
      </c>
      <c r="D940" s="268">
        <f t="shared" si="2"/>
        <v>1.292929293</v>
      </c>
    </row>
    <row r="941" ht="13.5" customHeight="1">
      <c r="B941" s="268">
        <v>3716.0</v>
      </c>
      <c r="C941" s="268">
        <f t="shared" si="1"/>
        <v>2.234237692</v>
      </c>
      <c r="D941" s="268">
        <f t="shared" si="2"/>
        <v>1.293337543</v>
      </c>
    </row>
    <row r="942" ht="13.5" customHeight="1">
      <c r="B942" s="268">
        <v>3720.0</v>
      </c>
      <c r="C942" s="268">
        <f t="shared" si="1"/>
        <v>2.236980749</v>
      </c>
      <c r="D942" s="268">
        <f t="shared" si="2"/>
        <v>1.293746052</v>
      </c>
    </row>
    <row r="943" ht="13.5" customHeight="1">
      <c r="B943" s="268">
        <v>3724.0</v>
      </c>
      <c r="C943" s="268">
        <f t="shared" si="1"/>
        <v>2.239724672</v>
      </c>
      <c r="D943" s="268">
        <f t="shared" si="2"/>
        <v>1.294154818</v>
      </c>
    </row>
    <row r="944" ht="13.5" customHeight="1">
      <c r="B944" s="268">
        <v>3728.0</v>
      </c>
      <c r="C944" s="268">
        <f t="shared" si="1"/>
        <v>2.242469463</v>
      </c>
      <c r="D944" s="268">
        <f t="shared" si="2"/>
        <v>1.294563843</v>
      </c>
    </row>
    <row r="945" ht="13.5" customHeight="1">
      <c r="B945" s="268">
        <v>3732.0</v>
      </c>
      <c r="C945" s="268">
        <f t="shared" si="1"/>
        <v>2.245215121</v>
      </c>
      <c r="D945" s="268">
        <f t="shared" si="2"/>
        <v>1.294973127</v>
      </c>
    </row>
    <row r="946" ht="13.5" customHeight="1">
      <c r="B946" s="268">
        <v>3736.0</v>
      </c>
      <c r="C946" s="268">
        <f t="shared" si="1"/>
        <v>2.247961647</v>
      </c>
      <c r="D946" s="268">
        <f t="shared" si="2"/>
        <v>1.295382669</v>
      </c>
    </row>
    <row r="947" ht="13.5" customHeight="1">
      <c r="B947" s="268">
        <v>3740.0</v>
      </c>
      <c r="C947" s="268">
        <f t="shared" si="1"/>
        <v>2.250709043</v>
      </c>
      <c r="D947" s="268">
        <f t="shared" si="2"/>
        <v>1.295792471</v>
      </c>
    </row>
    <row r="948" ht="13.5" customHeight="1">
      <c r="B948" s="268">
        <v>3744.0</v>
      </c>
      <c r="C948" s="268">
        <f t="shared" si="1"/>
        <v>2.253457307</v>
      </c>
      <c r="D948" s="268">
        <f t="shared" si="2"/>
        <v>1.296202532</v>
      </c>
    </row>
    <row r="949" ht="13.5" customHeight="1">
      <c r="B949" s="268">
        <v>3748.0</v>
      </c>
      <c r="C949" s="268">
        <f t="shared" si="1"/>
        <v>2.256206441</v>
      </c>
      <c r="D949" s="268">
        <f t="shared" si="2"/>
        <v>1.296612852</v>
      </c>
    </row>
    <row r="950" ht="13.5" customHeight="1">
      <c r="B950" s="268">
        <v>3752.0</v>
      </c>
      <c r="C950" s="268">
        <f t="shared" si="1"/>
        <v>2.258956446</v>
      </c>
      <c r="D950" s="268">
        <f t="shared" si="2"/>
        <v>1.297023433</v>
      </c>
    </row>
    <row r="951" ht="13.5" customHeight="1">
      <c r="B951" s="268">
        <v>3756.0</v>
      </c>
      <c r="C951" s="268">
        <f t="shared" si="1"/>
        <v>2.261707322</v>
      </c>
      <c r="D951" s="268">
        <f t="shared" si="2"/>
        <v>1.297434273</v>
      </c>
    </row>
    <row r="952" ht="13.5" customHeight="1">
      <c r="B952" s="268">
        <v>3760.0</v>
      </c>
      <c r="C952" s="268">
        <f t="shared" si="1"/>
        <v>2.264459069</v>
      </c>
      <c r="D952" s="268">
        <f t="shared" si="2"/>
        <v>1.297845374</v>
      </c>
    </row>
    <row r="953" ht="13.5" customHeight="1">
      <c r="B953" s="268">
        <v>3764.0</v>
      </c>
      <c r="C953" s="268">
        <f t="shared" si="1"/>
        <v>2.267211688</v>
      </c>
      <c r="D953" s="268">
        <f t="shared" si="2"/>
        <v>1.298256735</v>
      </c>
    </row>
    <row r="954" ht="13.5" customHeight="1">
      <c r="B954" s="268">
        <v>3768.0</v>
      </c>
      <c r="C954" s="268">
        <f t="shared" si="1"/>
        <v>2.269965179</v>
      </c>
      <c r="D954" s="268">
        <f t="shared" si="2"/>
        <v>1.298668358</v>
      </c>
    </row>
    <row r="955" ht="13.5" customHeight="1">
      <c r="B955" s="268">
        <v>3772.0</v>
      </c>
      <c r="C955" s="268">
        <f t="shared" si="1"/>
        <v>2.272719544</v>
      </c>
      <c r="D955" s="268">
        <f t="shared" si="2"/>
        <v>1.299080241</v>
      </c>
    </row>
    <row r="956" ht="13.5" customHeight="1">
      <c r="B956" s="268">
        <v>3776.0</v>
      </c>
      <c r="C956" s="268">
        <f t="shared" si="1"/>
        <v>2.275474783</v>
      </c>
      <c r="D956" s="268">
        <f t="shared" si="2"/>
        <v>1.299492386</v>
      </c>
    </row>
    <row r="957" ht="13.5" customHeight="1">
      <c r="B957" s="268">
        <v>3780.0</v>
      </c>
      <c r="C957" s="268">
        <f t="shared" si="1"/>
        <v>2.278230896</v>
      </c>
      <c r="D957" s="268">
        <f t="shared" si="2"/>
        <v>1.299904792</v>
      </c>
    </row>
    <row r="958" ht="13.5" customHeight="1">
      <c r="B958" s="268">
        <v>3784.0</v>
      </c>
      <c r="C958" s="268">
        <f t="shared" si="1"/>
        <v>2.280987884</v>
      </c>
      <c r="D958" s="268">
        <f t="shared" si="2"/>
        <v>1.30031746</v>
      </c>
    </row>
    <row r="959" ht="13.5" customHeight="1">
      <c r="B959" s="268">
        <v>3788.0</v>
      </c>
      <c r="C959" s="268">
        <f t="shared" si="1"/>
        <v>2.283745747</v>
      </c>
      <c r="D959" s="268">
        <f t="shared" si="2"/>
        <v>1.300730391</v>
      </c>
    </row>
    <row r="960" ht="13.5" customHeight="1">
      <c r="B960" s="268">
        <v>3792.0</v>
      </c>
      <c r="C960" s="268">
        <f t="shared" si="1"/>
        <v>2.286504486</v>
      </c>
      <c r="D960" s="268">
        <f t="shared" si="2"/>
        <v>1.301143583</v>
      </c>
    </row>
    <row r="961" ht="13.5" customHeight="1">
      <c r="B961" s="268">
        <v>3796.0</v>
      </c>
      <c r="C961" s="268">
        <f t="shared" si="1"/>
        <v>2.289264101</v>
      </c>
      <c r="D961" s="268">
        <f t="shared" si="2"/>
        <v>1.301557038</v>
      </c>
    </row>
    <row r="962" ht="13.5" customHeight="1">
      <c r="B962" s="268">
        <v>3800.0</v>
      </c>
      <c r="C962" s="268">
        <f t="shared" si="1"/>
        <v>2.292024594</v>
      </c>
      <c r="D962" s="268">
        <f t="shared" si="2"/>
        <v>1.301970757</v>
      </c>
    </row>
    <row r="963" ht="13.5" customHeight="1">
      <c r="B963" s="268">
        <v>3804.0</v>
      </c>
      <c r="C963" s="268">
        <f t="shared" si="1"/>
        <v>2.294785964</v>
      </c>
      <c r="D963" s="268">
        <f t="shared" si="2"/>
        <v>1.302384738</v>
      </c>
    </row>
    <row r="964" ht="13.5" customHeight="1">
      <c r="B964" s="268">
        <v>3808.0</v>
      </c>
      <c r="C964" s="268">
        <f t="shared" si="1"/>
        <v>2.297548212</v>
      </c>
      <c r="D964" s="268">
        <f t="shared" si="2"/>
        <v>1.302798982</v>
      </c>
    </row>
    <row r="965" ht="13.5" customHeight="1">
      <c r="B965" s="268">
        <v>3812.0</v>
      </c>
      <c r="C965" s="268">
        <f t="shared" si="1"/>
        <v>2.300311339</v>
      </c>
      <c r="D965" s="268">
        <f t="shared" si="2"/>
        <v>1.30321349</v>
      </c>
    </row>
    <row r="966" ht="13.5" customHeight="1">
      <c r="B966" s="268">
        <v>3816.0</v>
      </c>
      <c r="C966" s="268">
        <f t="shared" si="1"/>
        <v>2.303075345</v>
      </c>
      <c r="D966" s="268">
        <f t="shared" si="2"/>
        <v>1.303628262</v>
      </c>
    </row>
    <row r="967" ht="13.5" customHeight="1">
      <c r="B967" s="268">
        <v>3820.0</v>
      </c>
      <c r="C967" s="268">
        <f t="shared" si="1"/>
        <v>2.305840231</v>
      </c>
      <c r="D967" s="268">
        <f t="shared" si="2"/>
        <v>1.304043298</v>
      </c>
    </row>
    <row r="968" ht="13.5" customHeight="1">
      <c r="B968" s="268">
        <v>3824.0</v>
      </c>
      <c r="C968" s="268">
        <f t="shared" si="1"/>
        <v>2.308605998</v>
      </c>
      <c r="D968" s="268">
        <f t="shared" si="2"/>
        <v>1.304458599</v>
      </c>
    </row>
    <row r="969" ht="13.5" customHeight="1">
      <c r="B969" s="268">
        <v>3828.0</v>
      </c>
      <c r="C969" s="268">
        <f t="shared" si="1"/>
        <v>2.311372645</v>
      </c>
      <c r="D969" s="268">
        <f t="shared" si="2"/>
        <v>1.304874164</v>
      </c>
    </row>
    <row r="970" ht="13.5" customHeight="1">
      <c r="B970" s="268">
        <v>3832.0</v>
      </c>
      <c r="C970" s="268">
        <f t="shared" si="1"/>
        <v>2.314140174</v>
      </c>
      <c r="D970" s="268">
        <f t="shared" si="2"/>
        <v>1.305289994</v>
      </c>
    </row>
    <row r="971" ht="13.5" customHeight="1">
      <c r="B971" s="268">
        <v>3836.0</v>
      </c>
      <c r="C971" s="268">
        <f t="shared" si="1"/>
        <v>2.316908585</v>
      </c>
      <c r="D971" s="268">
        <f t="shared" si="2"/>
        <v>1.305706089</v>
      </c>
    </row>
    <row r="972" ht="13.5" customHeight="1">
      <c r="B972" s="268">
        <v>3840.0</v>
      </c>
      <c r="C972" s="268">
        <f t="shared" si="1"/>
        <v>2.319677879</v>
      </c>
      <c r="D972" s="268">
        <f t="shared" si="2"/>
        <v>1.306122449</v>
      </c>
    </row>
    <row r="973" ht="13.5" customHeight="1">
      <c r="B973" s="268">
        <v>3844.0</v>
      </c>
      <c r="C973" s="268">
        <f t="shared" si="1"/>
        <v>2.322448056</v>
      </c>
      <c r="D973" s="268">
        <f t="shared" si="2"/>
        <v>1.306539075</v>
      </c>
    </row>
    <row r="974" ht="13.5" customHeight="1">
      <c r="B974" s="268">
        <v>3848.0</v>
      </c>
      <c r="C974" s="268">
        <f t="shared" si="1"/>
        <v>2.325219117</v>
      </c>
      <c r="D974" s="268">
        <f t="shared" si="2"/>
        <v>1.306955967</v>
      </c>
    </row>
    <row r="975" ht="13.5" customHeight="1">
      <c r="B975" s="268">
        <v>3852.0</v>
      </c>
      <c r="C975" s="268">
        <f t="shared" si="1"/>
        <v>2.327991062</v>
      </c>
      <c r="D975" s="268">
        <f t="shared" si="2"/>
        <v>1.307373125</v>
      </c>
    </row>
    <row r="976" ht="13.5" customHeight="1">
      <c r="B976" s="268">
        <v>3856.0</v>
      </c>
      <c r="C976" s="268">
        <f t="shared" si="1"/>
        <v>2.330763892</v>
      </c>
      <c r="D976" s="268">
        <f t="shared" si="2"/>
        <v>1.307790549</v>
      </c>
    </row>
    <row r="977" ht="13.5" customHeight="1">
      <c r="B977" s="268">
        <v>3860.0</v>
      </c>
      <c r="C977" s="268">
        <f t="shared" si="1"/>
        <v>2.333537607</v>
      </c>
      <c r="D977" s="268">
        <f t="shared" si="2"/>
        <v>1.30820824</v>
      </c>
    </row>
    <row r="978" ht="13.5" customHeight="1">
      <c r="B978" s="268">
        <v>3864.0</v>
      </c>
      <c r="C978" s="268">
        <f t="shared" si="1"/>
        <v>2.336312208</v>
      </c>
      <c r="D978" s="268">
        <f t="shared" si="2"/>
        <v>1.308626198</v>
      </c>
    </row>
    <row r="979" ht="13.5" customHeight="1">
      <c r="B979" s="268">
        <v>3868.0</v>
      </c>
      <c r="C979" s="268">
        <f t="shared" si="1"/>
        <v>2.339087696</v>
      </c>
      <c r="D979" s="268">
        <f t="shared" si="2"/>
        <v>1.309044423</v>
      </c>
    </row>
    <row r="980" ht="13.5" customHeight="1">
      <c r="B980" s="268">
        <v>3872.0</v>
      </c>
      <c r="C980" s="268">
        <f t="shared" si="1"/>
        <v>2.341864072</v>
      </c>
      <c r="D980" s="268">
        <f t="shared" si="2"/>
        <v>1.309462916</v>
      </c>
    </row>
    <row r="981" ht="13.5" customHeight="1">
      <c r="B981" s="268">
        <v>3876.0</v>
      </c>
      <c r="C981" s="268">
        <f t="shared" si="1"/>
        <v>2.344641334</v>
      </c>
      <c r="D981" s="268">
        <f t="shared" si="2"/>
        <v>1.309881676</v>
      </c>
    </row>
    <row r="982" ht="13.5" customHeight="1">
      <c r="B982" s="268">
        <v>3880.0</v>
      </c>
      <c r="C982" s="268">
        <f t="shared" si="1"/>
        <v>2.347419486</v>
      </c>
      <c r="D982" s="268">
        <f t="shared" si="2"/>
        <v>1.310300704</v>
      </c>
    </row>
    <row r="983" ht="13.5" customHeight="1">
      <c r="B983" s="268">
        <v>3884.0</v>
      </c>
      <c r="C983" s="268">
        <f t="shared" si="1"/>
        <v>2.350198526</v>
      </c>
      <c r="D983" s="268">
        <f t="shared" si="2"/>
        <v>1.31072</v>
      </c>
    </row>
    <row r="984" ht="13.5" customHeight="1">
      <c r="B984" s="268">
        <v>3888.0</v>
      </c>
      <c r="C984" s="268">
        <f t="shared" si="1"/>
        <v>2.352978455</v>
      </c>
      <c r="D984" s="268">
        <f t="shared" si="2"/>
        <v>1.311139565</v>
      </c>
    </row>
    <row r="985" ht="13.5" customHeight="1">
      <c r="B985" s="268">
        <v>3892.0</v>
      </c>
      <c r="C985" s="268">
        <f t="shared" si="1"/>
        <v>2.355759275</v>
      </c>
      <c r="D985" s="268">
        <f t="shared" si="2"/>
        <v>1.311559398</v>
      </c>
    </row>
    <row r="986" ht="13.5" customHeight="1">
      <c r="B986" s="268">
        <v>3896.0</v>
      </c>
      <c r="C986" s="268">
        <f t="shared" si="1"/>
        <v>2.358540985</v>
      </c>
      <c r="D986" s="268">
        <f t="shared" si="2"/>
        <v>1.3119795</v>
      </c>
    </row>
    <row r="987" ht="13.5" customHeight="1">
      <c r="B987" s="268">
        <v>3900.0</v>
      </c>
      <c r="C987" s="268">
        <f t="shared" si="1"/>
        <v>2.361323586</v>
      </c>
      <c r="D987" s="268">
        <f t="shared" si="2"/>
        <v>1.312399872</v>
      </c>
    </row>
    <row r="988" ht="13.5" customHeight="1">
      <c r="B988" s="268">
        <v>3904.0</v>
      </c>
      <c r="C988" s="268">
        <f t="shared" si="1"/>
        <v>2.364107079</v>
      </c>
      <c r="D988" s="268">
        <f t="shared" si="2"/>
        <v>1.312820513</v>
      </c>
    </row>
    <row r="989" ht="13.5" customHeight="1">
      <c r="B989" s="268">
        <v>3908.0</v>
      </c>
      <c r="C989" s="268">
        <f t="shared" si="1"/>
        <v>2.366891464</v>
      </c>
      <c r="D989" s="268">
        <f t="shared" si="2"/>
        <v>1.313241424</v>
      </c>
    </row>
    <row r="990" ht="13.5" customHeight="1">
      <c r="B990" s="268">
        <v>3912.0</v>
      </c>
      <c r="C990" s="268">
        <f t="shared" si="1"/>
        <v>2.369676742</v>
      </c>
      <c r="D990" s="268">
        <f t="shared" si="2"/>
        <v>1.313662604</v>
      </c>
    </row>
    <row r="991" ht="13.5" customHeight="1">
      <c r="B991" s="268">
        <v>3916.0</v>
      </c>
      <c r="C991" s="268">
        <f t="shared" si="1"/>
        <v>2.372462914</v>
      </c>
      <c r="D991" s="268">
        <f t="shared" si="2"/>
        <v>1.314084055</v>
      </c>
    </row>
    <row r="992" ht="13.5" customHeight="1">
      <c r="B992" s="268">
        <v>3920.0</v>
      </c>
      <c r="C992" s="268">
        <f t="shared" si="1"/>
        <v>2.375249979</v>
      </c>
      <c r="D992" s="268">
        <f t="shared" si="2"/>
        <v>1.314505777</v>
      </c>
    </row>
    <row r="993" ht="13.5" customHeight="1">
      <c r="B993" s="268">
        <v>3924.0</v>
      </c>
      <c r="C993" s="268">
        <f t="shared" si="1"/>
        <v>2.378037939</v>
      </c>
      <c r="D993" s="268">
        <f t="shared" si="2"/>
        <v>1.314927769</v>
      </c>
    </row>
    <row r="994" ht="13.5" customHeight="1">
      <c r="B994" s="268">
        <v>3928.0</v>
      </c>
      <c r="C994" s="268">
        <f t="shared" si="1"/>
        <v>2.380826795</v>
      </c>
      <c r="D994" s="268">
        <f t="shared" si="2"/>
        <v>1.315350032</v>
      </c>
    </row>
    <row r="995" ht="13.5" customHeight="1">
      <c r="B995" s="268">
        <v>3932.0</v>
      </c>
      <c r="C995" s="268">
        <f t="shared" si="1"/>
        <v>2.383616546</v>
      </c>
      <c r="D995" s="268">
        <f t="shared" si="2"/>
        <v>1.315772567</v>
      </c>
    </row>
    <row r="996" ht="13.5" customHeight="1">
      <c r="B996" s="268">
        <v>3936.0</v>
      </c>
      <c r="C996" s="268">
        <f t="shared" si="1"/>
        <v>2.386407193</v>
      </c>
      <c r="D996" s="268">
        <f t="shared" si="2"/>
        <v>1.316195373</v>
      </c>
    </row>
    <row r="997" ht="13.5" customHeight="1">
      <c r="B997" s="268">
        <v>3940.0</v>
      </c>
      <c r="C997" s="268">
        <f t="shared" si="1"/>
        <v>2.389198737</v>
      </c>
      <c r="D997" s="268">
        <f t="shared" si="2"/>
        <v>1.316618451</v>
      </c>
    </row>
    <row r="998" ht="13.5" customHeight="1">
      <c r="B998" s="268">
        <v>3944.0</v>
      </c>
      <c r="C998" s="268">
        <f t="shared" si="1"/>
        <v>2.391991179</v>
      </c>
      <c r="D998" s="268">
        <f t="shared" si="2"/>
        <v>1.317041801</v>
      </c>
    </row>
    <row r="999" ht="13.5" customHeight="1">
      <c r="B999" s="268">
        <v>3948.0</v>
      </c>
      <c r="C999" s="268">
        <f t="shared" si="1"/>
        <v>2.394784518</v>
      </c>
      <c r="D999" s="268">
        <f t="shared" si="2"/>
        <v>1.317465423</v>
      </c>
    </row>
    <row r="1000" ht="13.5" customHeight="1">
      <c r="B1000" s="268">
        <v>3952.0</v>
      </c>
      <c r="C1000" s="268">
        <f t="shared" si="1"/>
        <v>2.397578757</v>
      </c>
      <c r="D1000" s="268">
        <f t="shared" si="2"/>
        <v>1.317889318</v>
      </c>
    </row>
    <row r="1001" ht="13.5" customHeight="1">
      <c r="B1001" s="268">
        <v>3956.0</v>
      </c>
      <c r="C1001" s="268">
        <f t="shared" si="1"/>
        <v>2.400373894</v>
      </c>
      <c r="D1001" s="268">
        <f t="shared" si="2"/>
        <v>1.318313486</v>
      </c>
    </row>
    <row r="1002" ht="13.5" customHeight="1">
      <c r="B1002" s="268">
        <v>3960.0</v>
      </c>
      <c r="C1002" s="268">
        <f t="shared" si="1"/>
        <v>2.403169932</v>
      </c>
      <c r="D1002" s="268">
        <f t="shared" si="2"/>
        <v>1.318737927</v>
      </c>
    </row>
    <row r="1003" ht="13.5" customHeight="1">
      <c r="B1003" s="268">
        <v>3964.0</v>
      </c>
      <c r="C1003" s="268">
        <f t="shared" si="1"/>
        <v>2.405966869</v>
      </c>
      <c r="D1003" s="268">
        <f t="shared" si="2"/>
        <v>1.319162641</v>
      </c>
    </row>
    <row r="1004" ht="13.5" customHeight="1">
      <c r="B1004" s="268">
        <v>3968.0</v>
      </c>
      <c r="C1004" s="268">
        <f t="shared" si="1"/>
        <v>2.408764708</v>
      </c>
      <c r="D1004" s="268">
        <f t="shared" si="2"/>
        <v>1.319587629</v>
      </c>
    </row>
    <row r="1005" ht="13.5" customHeight="1">
      <c r="B1005" s="268">
        <v>3972.0</v>
      </c>
      <c r="C1005" s="268">
        <f t="shared" si="1"/>
        <v>2.411563448</v>
      </c>
      <c r="D1005" s="268">
        <f t="shared" si="2"/>
        <v>1.320012891</v>
      </c>
    </row>
    <row r="1006" ht="13.5" customHeight="1">
      <c r="B1006" s="268">
        <v>3976.0</v>
      </c>
      <c r="C1006" s="268">
        <f t="shared" si="1"/>
        <v>2.41436309</v>
      </c>
      <c r="D1006" s="268">
        <f t="shared" si="2"/>
        <v>1.320438427</v>
      </c>
    </row>
    <row r="1007" ht="13.5" customHeight="1">
      <c r="B1007" s="268">
        <v>3980.0</v>
      </c>
      <c r="C1007" s="268">
        <f t="shared" si="1"/>
        <v>2.417163635</v>
      </c>
      <c r="D1007" s="268">
        <f t="shared" si="2"/>
        <v>1.320864237</v>
      </c>
    </row>
    <row r="1008" ht="13.5" customHeight="1">
      <c r="B1008" s="268">
        <v>3984.0</v>
      </c>
      <c r="C1008" s="268">
        <f t="shared" si="1"/>
        <v>2.419965083</v>
      </c>
      <c r="D1008" s="268">
        <f t="shared" si="2"/>
        <v>1.321290323</v>
      </c>
    </row>
    <row r="1009" ht="13.5" customHeight="1">
      <c r="B1009" s="268">
        <v>3988.0</v>
      </c>
      <c r="C1009" s="268">
        <f t="shared" si="1"/>
        <v>2.422767435</v>
      </c>
      <c r="D1009" s="268">
        <f t="shared" si="2"/>
        <v>1.321716683</v>
      </c>
    </row>
    <row r="1010" ht="13.5" customHeight="1">
      <c r="B1010" s="268">
        <v>3992.0</v>
      </c>
      <c r="C1010" s="268">
        <f t="shared" si="1"/>
        <v>2.425570691</v>
      </c>
      <c r="D1010" s="268">
        <f t="shared" si="2"/>
        <v>1.322143318</v>
      </c>
    </row>
    <row r="1011" ht="13.5" customHeight="1">
      <c r="B1011" s="268">
        <v>3996.0</v>
      </c>
      <c r="C1011" s="268">
        <f t="shared" si="1"/>
        <v>2.428374852</v>
      </c>
      <c r="D1011" s="268">
        <f t="shared" si="2"/>
        <v>1.322570229</v>
      </c>
    </row>
    <row r="1012" ht="13.5" customHeight="1">
      <c r="B1012" s="268">
        <v>4000.0</v>
      </c>
      <c r="C1012" s="268">
        <f t="shared" si="1"/>
        <v>2.431179919</v>
      </c>
      <c r="D1012" s="268">
        <f t="shared" si="2"/>
        <v>1.322997416</v>
      </c>
    </row>
    <row r="1013" ht="13.5" customHeight="1">
      <c r="B1013" s="268">
        <v>4004.0</v>
      </c>
      <c r="C1013" s="268">
        <f t="shared" si="1"/>
        <v>2.433985892</v>
      </c>
      <c r="D1013" s="268">
        <f t="shared" si="2"/>
        <v>1.323424879</v>
      </c>
    </row>
    <row r="1014" ht="13.5" customHeight="1">
      <c r="B1014" s="268">
        <v>4008.0</v>
      </c>
      <c r="C1014" s="268">
        <f t="shared" si="1"/>
        <v>2.436792772</v>
      </c>
      <c r="D1014" s="268">
        <f t="shared" si="2"/>
        <v>1.323852618</v>
      </c>
    </row>
    <row r="1015" ht="13.5" customHeight="1">
      <c r="B1015" s="268">
        <v>4012.0</v>
      </c>
      <c r="C1015" s="268">
        <f t="shared" si="1"/>
        <v>2.439600559</v>
      </c>
      <c r="D1015" s="268">
        <f t="shared" si="2"/>
        <v>1.324280634</v>
      </c>
    </row>
    <row r="1016" ht="13.5" customHeight="1">
      <c r="B1016" s="268">
        <v>4016.0</v>
      </c>
      <c r="C1016" s="268">
        <f t="shared" si="1"/>
        <v>2.442409254</v>
      </c>
      <c r="D1016" s="268">
        <f t="shared" si="2"/>
        <v>1.324708926</v>
      </c>
    </row>
    <row r="1017" ht="13.5" customHeight="1">
      <c r="B1017" s="268">
        <v>4020.0</v>
      </c>
      <c r="C1017" s="268">
        <f t="shared" si="1"/>
        <v>2.445218858</v>
      </c>
      <c r="D1017" s="268">
        <f t="shared" si="2"/>
        <v>1.325137496</v>
      </c>
    </row>
    <row r="1018" ht="13.5" customHeight="1">
      <c r="B1018" s="268">
        <v>4024.0</v>
      </c>
      <c r="C1018" s="268">
        <f t="shared" si="1"/>
        <v>2.448029371</v>
      </c>
      <c r="D1018" s="268">
        <f t="shared" si="2"/>
        <v>1.325566343</v>
      </c>
    </row>
    <row r="1019" ht="13.5" customHeight="1">
      <c r="B1019" s="268">
        <v>4028.0</v>
      </c>
      <c r="C1019" s="268">
        <f t="shared" si="1"/>
        <v>2.450840793</v>
      </c>
      <c r="D1019" s="268">
        <f t="shared" si="2"/>
        <v>1.325995468</v>
      </c>
    </row>
    <row r="1020" ht="13.5" customHeight="1">
      <c r="B1020" s="268">
        <v>4032.0</v>
      </c>
      <c r="C1020" s="268">
        <f t="shared" si="1"/>
        <v>2.453653126</v>
      </c>
      <c r="D1020" s="268">
        <f t="shared" si="2"/>
        <v>1.32642487</v>
      </c>
    </row>
    <row r="1021" ht="13.5" customHeight="1">
      <c r="B1021" s="268">
        <v>4036.0</v>
      </c>
      <c r="C1021" s="268">
        <f t="shared" si="1"/>
        <v>2.45646637</v>
      </c>
      <c r="D1021" s="268">
        <f t="shared" si="2"/>
        <v>1.326854551</v>
      </c>
    </row>
    <row r="1022" ht="13.5" customHeight="1">
      <c r="B1022" s="268">
        <v>4040.0</v>
      </c>
      <c r="C1022" s="268">
        <f t="shared" si="1"/>
        <v>2.459280525</v>
      </c>
      <c r="D1022" s="268">
        <f t="shared" si="2"/>
        <v>1.327284511</v>
      </c>
    </row>
    <row r="1023" ht="13.5" customHeight="1">
      <c r="B1023" s="268">
        <v>4044.0</v>
      </c>
      <c r="C1023" s="268">
        <f t="shared" si="1"/>
        <v>2.462095592</v>
      </c>
      <c r="D1023" s="268">
        <f t="shared" si="2"/>
        <v>1.327714749</v>
      </c>
    </row>
    <row r="1024" ht="13.5" customHeight="1">
      <c r="B1024" s="268">
        <v>4048.0</v>
      </c>
      <c r="C1024" s="268">
        <f t="shared" si="1"/>
        <v>2.464911572</v>
      </c>
      <c r="D1024" s="268">
        <f t="shared" si="2"/>
        <v>1.328145266</v>
      </c>
    </row>
    <row r="1025" ht="13.5" customHeight="1">
      <c r="B1025" s="268">
        <v>4052.0</v>
      </c>
      <c r="C1025" s="268">
        <f t="shared" si="1"/>
        <v>2.467728465</v>
      </c>
      <c r="D1025" s="268">
        <f t="shared" si="2"/>
        <v>1.328576062</v>
      </c>
    </row>
    <row r="1026" ht="13.5" customHeight="1">
      <c r="B1026" s="268">
        <v>4056.0</v>
      </c>
      <c r="C1026" s="268">
        <f t="shared" si="1"/>
        <v>2.470546272</v>
      </c>
      <c r="D1026" s="268">
        <f t="shared" si="2"/>
        <v>1.329007138</v>
      </c>
    </row>
    <row r="1027" ht="13.5" customHeight="1">
      <c r="B1027" s="268">
        <v>4060.0</v>
      </c>
      <c r="C1027" s="268">
        <f t="shared" si="1"/>
        <v>2.473364993</v>
      </c>
      <c r="D1027" s="268">
        <f t="shared" si="2"/>
        <v>1.329438494</v>
      </c>
    </row>
    <row r="1028" ht="13.5" customHeight="1">
      <c r="B1028" s="268">
        <v>4064.0</v>
      </c>
      <c r="C1028" s="268">
        <f t="shared" si="1"/>
        <v>2.476184629</v>
      </c>
      <c r="D1028" s="268">
        <f t="shared" si="2"/>
        <v>1.32987013</v>
      </c>
    </row>
    <row r="1029" ht="13.5" customHeight="1">
      <c r="B1029" s="268">
        <v>4068.0</v>
      </c>
      <c r="C1029" s="268">
        <f t="shared" si="1"/>
        <v>2.479005181</v>
      </c>
      <c r="D1029" s="268">
        <f t="shared" si="2"/>
        <v>1.330302046</v>
      </c>
    </row>
    <row r="1030" ht="13.5" customHeight="1">
      <c r="B1030" s="268">
        <v>4072.0</v>
      </c>
      <c r="C1030" s="268">
        <f t="shared" si="1"/>
        <v>2.481826649</v>
      </c>
      <c r="D1030" s="268">
        <f t="shared" si="2"/>
        <v>1.330734243</v>
      </c>
    </row>
    <row r="1031" ht="13.5" customHeight="1">
      <c r="B1031" s="268">
        <v>4076.0</v>
      </c>
      <c r="C1031" s="268">
        <f t="shared" si="1"/>
        <v>2.484649034</v>
      </c>
      <c r="D1031" s="268">
        <f t="shared" si="2"/>
        <v>1.331166721</v>
      </c>
    </row>
    <row r="1032" ht="13.5" customHeight="1">
      <c r="B1032" s="268">
        <v>4080.0</v>
      </c>
      <c r="C1032" s="268">
        <f t="shared" si="1"/>
        <v>2.487472337</v>
      </c>
      <c r="D1032" s="268">
        <f t="shared" si="2"/>
        <v>1.33159948</v>
      </c>
    </row>
    <row r="1033" ht="13.5" customHeight="1">
      <c r="B1033" s="268">
        <v>4084.0</v>
      </c>
      <c r="C1033" s="268">
        <f t="shared" si="1"/>
        <v>2.490296557</v>
      </c>
      <c r="D1033" s="268">
        <f t="shared" si="2"/>
        <v>1.33203252</v>
      </c>
    </row>
    <row r="1034" ht="13.5" customHeight="1">
      <c r="B1034" s="268">
        <v>4088.0</v>
      </c>
      <c r="C1034" s="268">
        <f t="shared" si="1"/>
        <v>2.493121696</v>
      </c>
      <c r="D1034" s="268">
        <f t="shared" si="2"/>
        <v>1.332465843</v>
      </c>
    </row>
    <row r="1035" ht="13.5" customHeight="1">
      <c r="B1035" s="268">
        <v>4092.0</v>
      </c>
      <c r="C1035" s="268">
        <f t="shared" si="1"/>
        <v>2.495947754</v>
      </c>
      <c r="D1035" s="268">
        <f t="shared" si="2"/>
        <v>1.332899447</v>
      </c>
    </row>
    <row r="1036" ht="13.5" customHeight="1">
      <c r="B1036" s="268">
        <v>4096.0</v>
      </c>
      <c r="C1036" s="268">
        <f t="shared" si="1"/>
        <v>2.498774732</v>
      </c>
      <c r="D1036" s="268">
        <f t="shared" si="2"/>
        <v>1.333333333</v>
      </c>
    </row>
    <row r="1037" ht="13.5" customHeight="1">
      <c r="B1037" s="268">
        <v>4100.0</v>
      </c>
      <c r="C1037" s="268">
        <f t="shared" si="1"/>
        <v>2.50160263</v>
      </c>
      <c r="D1037" s="268">
        <f t="shared" si="2"/>
        <v>1.333767502</v>
      </c>
    </row>
    <row r="1038" ht="13.5" customHeight="1">
      <c r="B1038" s="268">
        <v>4104.0</v>
      </c>
      <c r="C1038" s="268">
        <f t="shared" si="1"/>
        <v>2.50443145</v>
      </c>
      <c r="D1038" s="268">
        <f t="shared" si="2"/>
        <v>1.334201954</v>
      </c>
    </row>
    <row r="1039" ht="13.5" customHeight="1">
      <c r="B1039" s="268">
        <v>4108.0</v>
      </c>
      <c r="C1039" s="268">
        <f t="shared" si="1"/>
        <v>2.507261191</v>
      </c>
      <c r="D1039" s="268">
        <f t="shared" si="2"/>
        <v>1.334636689</v>
      </c>
    </row>
    <row r="1040" ht="13.5" customHeight="1">
      <c r="B1040" s="268">
        <v>4112.0</v>
      </c>
      <c r="C1040" s="268">
        <f t="shared" si="1"/>
        <v>2.510091854</v>
      </c>
      <c r="D1040" s="268">
        <f t="shared" si="2"/>
        <v>1.335071708</v>
      </c>
    </row>
    <row r="1041" ht="13.5" customHeight="1">
      <c r="B1041" s="268">
        <v>4116.0</v>
      </c>
      <c r="C1041" s="268">
        <f t="shared" si="1"/>
        <v>2.51292344</v>
      </c>
      <c r="D1041" s="268">
        <f t="shared" si="2"/>
        <v>1.33550701</v>
      </c>
    </row>
    <row r="1042" ht="13.5" customHeight="1">
      <c r="B1042" s="268">
        <v>4120.0</v>
      </c>
      <c r="C1042" s="268">
        <f t="shared" si="1"/>
        <v>2.515755949</v>
      </c>
      <c r="D1042" s="268">
        <f t="shared" si="2"/>
        <v>1.335942596</v>
      </c>
    </row>
    <row r="1043" ht="13.5" customHeight="1">
      <c r="B1043" s="268">
        <v>4124.0</v>
      </c>
      <c r="C1043" s="268">
        <f t="shared" si="1"/>
        <v>2.518589382</v>
      </c>
      <c r="D1043" s="268">
        <f t="shared" si="2"/>
        <v>1.336378467</v>
      </c>
    </row>
    <row r="1044" ht="13.5" customHeight="1">
      <c r="B1044" s="268">
        <v>4128.0</v>
      </c>
      <c r="C1044" s="268">
        <f t="shared" si="1"/>
        <v>2.52142374</v>
      </c>
      <c r="D1044" s="268">
        <f t="shared" si="2"/>
        <v>1.336814621</v>
      </c>
    </row>
    <row r="1045" ht="13.5" customHeight="1">
      <c r="B1045" s="268">
        <v>4132.0</v>
      </c>
      <c r="C1045" s="268">
        <f t="shared" si="1"/>
        <v>2.524259023</v>
      </c>
      <c r="D1045" s="268">
        <f t="shared" si="2"/>
        <v>1.337251061</v>
      </c>
    </row>
    <row r="1046" ht="13.5" customHeight="1">
      <c r="B1046" s="268">
        <v>4136.0</v>
      </c>
      <c r="C1046" s="268">
        <f t="shared" si="1"/>
        <v>2.527095232</v>
      </c>
      <c r="D1046" s="268">
        <f t="shared" si="2"/>
        <v>1.337687786</v>
      </c>
    </row>
    <row r="1047" ht="13.5" customHeight="1">
      <c r="B1047" s="268">
        <v>4140.0</v>
      </c>
      <c r="C1047" s="268">
        <f t="shared" si="1"/>
        <v>2.529932367</v>
      </c>
      <c r="D1047" s="268">
        <f t="shared" si="2"/>
        <v>1.338124796</v>
      </c>
    </row>
    <row r="1048" ht="13.5" customHeight="1">
      <c r="B1048" s="268">
        <v>4144.0</v>
      </c>
      <c r="C1048" s="268">
        <f t="shared" si="1"/>
        <v>2.53277043</v>
      </c>
      <c r="D1048" s="268">
        <f t="shared" si="2"/>
        <v>1.338562092</v>
      </c>
    </row>
    <row r="1049" ht="13.5" customHeight="1">
      <c r="B1049" s="268">
        <v>4148.0</v>
      </c>
      <c r="C1049" s="268">
        <f t="shared" si="1"/>
        <v>2.53560942</v>
      </c>
      <c r="D1049" s="268">
        <f t="shared" si="2"/>
        <v>1.338999673</v>
      </c>
    </row>
    <row r="1050" ht="13.5" customHeight="1">
      <c r="B1050" s="268">
        <v>4152.0</v>
      </c>
      <c r="C1050" s="268">
        <f t="shared" si="1"/>
        <v>2.538449338</v>
      </c>
      <c r="D1050" s="268">
        <f t="shared" si="2"/>
        <v>1.339437541</v>
      </c>
    </row>
    <row r="1051" ht="13.5" customHeight="1">
      <c r="B1051" s="268">
        <v>4156.0</v>
      </c>
      <c r="C1051" s="268">
        <f t="shared" si="1"/>
        <v>2.541290185</v>
      </c>
      <c r="D1051" s="268">
        <f t="shared" si="2"/>
        <v>1.339875695</v>
      </c>
    </row>
    <row r="1052" ht="13.5" customHeight="1">
      <c r="B1052" s="268">
        <v>4160.0</v>
      </c>
      <c r="C1052" s="268">
        <f t="shared" si="1"/>
        <v>2.544131961</v>
      </c>
      <c r="D1052" s="268">
        <f t="shared" si="2"/>
        <v>1.340314136</v>
      </c>
    </row>
    <row r="1053" ht="13.5" customHeight="1">
      <c r="B1053" s="268">
        <v>4164.0</v>
      </c>
      <c r="C1053" s="268">
        <f t="shared" si="1"/>
        <v>2.546974668</v>
      </c>
      <c r="D1053" s="268">
        <f t="shared" si="2"/>
        <v>1.340752864</v>
      </c>
    </row>
    <row r="1054" ht="13.5" customHeight="1">
      <c r="B1054" s="268">
        <v>4168.0</v>
      </c>
      <c r="C1054" s="268">
        <f t="shared" si="1"/>
        <v>2.549818305</v>
      </c>
      <c r="D1054" s="268">
        <f t="shared" si="2"/>
        <v>1.34119188</v>
      </c>
    </row>
    <row r="1055" ht="13.5" customHeight="1">
      <c r="B1055" s="268">
        <v>4172.0</v>
      </c>
      <c r="C1055" s="268">
        <f t="shared" si="1"/>
        <v>2.552662873</v>
      </c>
      <c r="D1055" s="268">
        <f t="shared" si="2"/>
        <v>1.341631182</v>
      </c>
    </row>
    <row r="1056" ht="13.5" customHeight="1">
      <c r="B1056" s="268">
        <v>4176.0</v>
      </c>
      <c r="C1056" s="268">
        <f t="shared" si="1"/>
        <v>2.555508374</v>
      </c>
      <c r="D1056" s="268">
        <f t="shared" si="2"/>
        <v>1.342070773</v>
      </c>
    </row>
    <row r="1057" ht="13.5" customHeight="1">
      <c r="B1057" s="268">
        <v>4180.0</v>
      </c>
      <c r="C1057" s="268">
        <f t="shared" si="1"/>
        <v>2.558354807</v>
      </c>
      <c r="D1057" s="268">
        <f t="shared" si="2"/>
        <v>1.342510652</v>
      </c>
    </row>
    <row r="1058" ht="13.5" customHeight="1">
      <c r="B1058" s="268">
        <v>4184.0</v>
      </c>
      <c r="C1058" s="268">
        <f t="shared" si="1"/>
        <v>2.561202172</v>
      </c>
      <c r="D1058" s="268">
        <f t="shared" si="2"/>
        <v>1.34295082</v>
      </c>
    </row>
    <row r="1059" ht="13.5" customHeight="1">
      <c r="B1059" s="268">
        <v>4188.0</v>
      </c>
      <c r="C1059" s="268">
        <f t="shared" si="1"/>
        <v>2.564050472</v>
      </c>
      <c r="D1059" s="268">
        <f t="shared" si="2"/>
        <v>1.343391276</v>
      </c>
    </row>
    <row r="1060" ht="13.5" customHeight="1">
      <c r="B1060" s="268">
        <v>4192.0</v>
      </c>
      <c r="C1060" s="268">
        <f t="shared" si="1"/>
        <v>2.566899706</v>
      </c>
      <c r="D1060" s="268">
        <f t="shared" si="2"/>
        <v>1.343832021</v>
      </c>
    </row>
    <row r="1061" ht="13.5" customHeight="1">
      <c r="B1061" s="268">
        <v>4196.0</v>
      </c>
      <c r="C1061" s="268">
        <f t="shared" si="1"/>
        <v>2.569749875</v>
      </c>
      <c r="D1061" s="268">
        <f t="shared" si="2"/>
        <v>1.344273055</v>
      </c>
    </row>
    <row r="1062" ht="13.5" customHeight="1">
      <c r="B1062" s="268">
        <v>4200.0</v>
      </c>
      <c r="C1062" s="268">
        <f t="shared" si="1"/>
        <v>2.572600979</v>
      </c>
      <c r="D1062" s="268">
        <f t="shared" si="2"/>
        <v>1.34471438</v>
      </c>
    </row>
    <row r="1063" ht="13.5" customHeight="1">
      <c r="B1063" s="268">
        <v>4204.0</v>
      </c>
      <c r="C1063" s="268">
        <f t="shared" si="1"/>
        <v>2.57545302</v>
      </c>
      <c r="D1063" s="268">
        <f t="shared" si="2"/>
        <v>1.345155993</v>
      </c>
    </row>
    <row r="1064" ht="13.5" customHeight="1">
      <c r="B1064" s="268">
        <v>4208.0</v>
      </c>
      <c r="C1064" s="268">
        <f t="shared" si="1"/>
        <v>2.578305997</v>
      </c>
      <c r="D1064" s="268">
        <f t="shared" si="2"/>
        <v>1.345597898</v>
      </c>
    </row>
    <row r="1065" ht="13.5" customHeight="1">
      <c r="B1065" s="268">
        <v>4212.0</v>
      </c>
      <c r="C1065" s="268">
        <f t="shared" si="1"/>
        <v>2.581159912</v>
      </c>
      <c r="D1065" s="268">
        <f t="shared" si="2"/>
        <v>1.346040092</v>
      </c>
    </row>
    <row r="1066" ht="13.5" customHeight="1">
      <c r="B1066" s="268">
        <v>4216.0</v>
      </c>
      <c r="C1066" s="268">
        <f t="shared" si="1"/>
        <v>2.584014765</v>
      </c>
      <c r="D1066" s="268">
        <f t="shared" si="2"/>
        <v>1.346482577</v>
      </c>
    </row>
    <row r="1067" ht="13.5" customHeight="1">
      <c r="B1067" s="268">
        <v>4220.0</v>
      </c>
      <c r="C1067" s="268">
        <f t="shared" si="1"/>
        <v>2.586870556</v>
      </c>
      <c r="D1067" s="268">
        <f t="shared" si="2"/>
        <v>1.346925354</v>
      </c>
    </row>
    <row r="1068" ht="13.5" customHeight="1">
      <c r="B1068" s="268">
        <v>4224.0</v>
      </c>
      <c r="C1068" s="268">
        <f t="shared" si="1"/>
        <v>2.589727287</v>
      </c>
      <c r="D1068" s="268">
        <f t="shared" si="2"/>
        <v>1.347368421</v>
      </c>
    </row>
    <row r="1069" ht="13.5" customHeight="1">
      <c r="B1069" s="268">
        <v>4228.0</v>
      </c>
      <c r="C1069" s="268">
        <f t="shared" si="1"/>
        <v>2.592584958</v>
      </c>
      <c r="D1069" s="268">
        <f t="shared" si="2"/>
        <v>1.34781178</v>
      </c>
    </row>
    <row r="1070" ht="13.5" customHeight="1">
      <c r="B1070" s="268">
        <v>4232.0</v>
      </c>
      <c r="C1070" s="268">
        <f t="shared" si="1"/>
        <v>2.595443569</v>
      </c>
      <c r="D1070" s="268">
        <f t="shared" si="2"/>
        <v>1.348255431</v>
      </c>
    </row>
    <row r="1071" ht="13.5" customHeight="1">
      <c r="B1071" s="268">
        <v>4236.0</v>
      </c>
      <c r="C1071" s="268">
        <f t="shared" si="1"/>
        <v>2.598303121</v>
      </c>
      <c r="D1071" s="268">
        <f t="shared" si="2"/>
        <v>1.348699374</v>
      </c>
    </row>
    <row r="1072" ht="13.5" customHeight="1">
      <c r="B1072" s="268">
        <v>4240.0</v>
      </c>
      <c r="C1072" s="268">
        <f t="shared" si="1"/>
        <v>2.601163615</v>
      </c>
      <c r="D1072" s="268">
        <f t="shared" si="2"/>
        <v>1.34914361</v>
      </c>
    </row>
    <row r="1073" ht="13.5" customHeight="1">
      <c r="B1073" s="268">
        <v>4244.0</v>
      </c>
      <c r="C1073" s="268">
        <f t="shared" si="1"/>
        <v>2.604025051</v>
      </c>
      <c r="D1073" s="268">
        <f t="shared" si="2"/>
        <v>1.349588138</v>
      </c>
    </row>
    <row r="1074" ht="13.5" customHeight="1">
      <c r="B1074" s="268">
        <v>4248.0</v>
      </c>
      <c r="C1074" s="268">
        <f t="shared" si="1"/>
        <v>2.60688743</v>
      </c>
      <c r="D1074" s="268">
        <f t="shared" si="2"/>
        <v>1.35003296</v>
      </c>
    </row>
    <row r="1075" ht="13.5" customHeight="1">
      <c r="B1075" s="268">
        <v>4252.0</v>
      </c>
      <c r="C1075" s="268">
        <f t="shared" si="1"/>
        <v>2.609750753</v>
      </c>
      <c r="D1075" s="268">
        <f t="shared" si="2"/>
        <v>1.350478075</v>
      </c>
    </row>
    <row r="1076" ht="13.5" customHeight="1">
      <c r="B1076" s="268">
        <v>4256.0</v>
      </c>
      <c r="C1076" s="268">
        <f t="shared" si="1"/>
        <v>2.61261502</v>
      </c>
      <c r="D1076" s="268">
        <f t="shared" si="2"/>
        <v>1.350923483</v>
      </c>
    </row>
    <row r="1077" ht="13.5" customHeight="1">
      <c r="B1077" s="268">
        <v>4260.0</v>
      </c>
      <c r="C1077" s="268">
        <f t="shared" si="1"/>
        <v>2.615480232</v>
      </c>
      <c r="D1077" s="268">
        <f t="shared" si="2"/>
        <v>1.351369185</v>
      </c>
    </row>
    <row r="1078" ht="13.5" customHeight="1">
      <c r="B1078" s="268">
        <v>4264.0</v>
      </c>
      <c r="C1078" s="268">
        <f t="shared" si="1"/>
        <v>2.618346389</v>
      </c>
      <c r="D1078" s="268">
        <f t="shared" si="2"/>
        <v>1.351815182</v>
      </c>
    </row>
    <row r="1079" ht="13.5" customHeight="1">
      <c r="B1079" s="268">
        <v>4268.0</v>
      </c>
      <c r="C1079" s="268">
        <f t="shared" si="1"/>
        <v>2.621213493</v>
      </c>
      <c r="D1079" s="268">
        <f t="shared" si="2"/>
        <v>1.352261472</v>
      </c>
    </row>
    <row r="1080" ht="13.5" customHeight="1">
      <c r="B1080" s="268">
        <v>4272.0</v>
      </c>
      <c r="C1080" s="268">
        <f t="shared" si="1"/>
        <v>2.624081543</v>
      </c>
      <c r="D1080" s="268">
        <f t="shared" si="2"/>
        <v>1.352708058</v>
      </c>
    </row>
    <row r="1081" ht="13.5" customHeight="1">
      <c r="B1081" s="268">
        <v>4276.0</v>
      </c>
      <c r="C1081" s="268">
        <f t="shared" si="1"/>
        <v>2.62695054</v>
      </c>
      <c r="D1081" s="268">
        <f t="shared" si="2"/>
        <v>1.353154939</v>
      </c>
    </row>
    <row r="1082" ht="13.5" customHeight="1">
      <c r="B1082" s="268">
        <v>4280.0</v>
      </c>
      <c r="C1082" s="268">
        <f t="shared" si="1"/>
        <v>2.629820486</v>
      </c>
      <c r="D1082" s="268">
        <f t="shared" si="2"/>
        <v>1.353602115</v>
      </c>
    </row>
    <row r="1083" ht="13.5" customHeight="1">
      <c r="B1083" s="268">
        <v>4284.0</v>
      </c>
      <c r="C1083" s="268">
        <f t="shared" si="1"/>
        <v>2.63269138</v>
      </c>
      <c r="D1083" s="268">
        <f t="shared" si="2"/>
        <v>1.354049587</v>
      </c>
    </row>
    <row r="1084" ht="13.5" customHeight="1">
      <c r="B1084" s="268">
        <v>4288.0</v>
      </c>
      <c r="C1084" s="268">
        <f t="shared" si="1"/>
        <v>2.635563223</v>
      </c>
      <c r="D1084" s="268">
        <f t="shared" si="2"/>
        <v>1.354497354</v>
      </c>
    </row>
    <row r="1085" ht="13.5" customHeight="1">
      <c r="B1085" s="268">
        <v>4292.0</v>
      </c>
      <c r="C1085" s="268">
        <f t="shared" si="1"/>
        <v>2.638436016</v>
      </c>
      <c r="D1085" s="268">
        <f t="shared" si="2"/>
        <v>1.354945418</v>
      </c>
    </row>
    <row r="1086" ht="13.5" customHeight="1">
      <c r="B1086" s="268">
        <v>4296.0</v>
      </c>
      <c r="C1086" s="268">
        <f t="shared" si="1"/>
        <v>2.641309759</v>
      </c>
      <c r="D1086" s="268">
        <f t="shared" si="2"/>
        <v>1.355393779</v>
      </c>
    </row>
    <row r="1087" ht="13.5" customHeight="1">
      <c r="B1087" s="268">
        <v>4300.0</v>
      </c>
      <c r="C1087" s="268">
        <f t="shared" si="1"/>
        <v>2.644184454</v>
      </c>
      <c r="D1087" s="268">
        <f t="shared" si="2"/>
        <v>1.355842436</v>
      </c>
    </row>
    <row r="1088" ht="13.5" customHeight="1">
      <c r="B1088" s="268">
        <v>4304.0</v>
      </c>
      <c r="C1088" s="268">
        <f t="shared" si="1"/>
        <v>2.6470601</v>
      </c>
      <c r="D1088" s="268">
        <f t="shared" si="2"/>
        <v>1.356291391</v>
      </c>
    </row>
    <row r="1089" ht="13.5" customHeight="1">
      <c r="B1089" s="268">
        <v>4308.0</v>
      </c>
      <c r="C1089" s="268">
        <f t="shared" si="1"/>
        <v>2.649936699</v>
      </c>
      <c r="D1089" s="268">
        <f t="shared" si="2"/>
        <v>1.356740643</v>
      </c>
    </row>
    <row r="1090" ht="13.5" customHeight="1">
      <c r="B1090" s="268">
        <v>4312.0</v>
      </c>
      <c r="C1090" s="268">
        <f t="shared" si="1"/>
        <v>2.652814251</v>
      </c>
      <c r="D1090" s="268">
        <f t="shared" si="2"/>
        <v>1.357190192</v>
      </c>
    </row>
    <row r="1091" ht="13.5" customHeight="1">
      <c r="B1091" s="268">
        <v>4316.0</v>
      </c>
      <c r="C1091" s="268">
        <f t="shared" si="1"/>
        <v>2.655692756</v>
      </c>
      <c r="D1091" s="268">
        <f t="shared" si="2"/>
        <v>1.35764004</v>
      </c>
    </row>
    <row r="1092" ht="13.5" customHeight="1">
      <c r="B1092" s="268">
        <v>4320.0</v>
      </c>
      <c r="C1092" s="268">
        <f t="shared" si="1"/>
        <v>2.658572215</v>
      </c>
      <c r="D1092" s="268">
        <f t="shared" si="2"/>
        <v>1.358090186</v>
      </c>
    </row>
    <row r="1093" ht="13.5" customHeight="1">
      <c r="B1093" s="268">
        <v>4324.0</v>
      </c>
      <c r="C1093" s="268">
        <f t="shared" si="1"/>
        <v>2.66145263</v>
      </c>
      <c r="D1093" s="268">
        <f t="shared" si="2"/>
        <v>1.35854063</v>
      </c>
    </row>
    <row r="1094" ht="13.5" customHeight="1">
      <c r="B1094" s="268">
        <v>4328.0</v>
      </c>
      <c r="C1094" s="268">
        <f t="shared" si="1"/>
        <v>2.664334</v>
      </c>
      <c r="D1094" s="268">
        <f t="shared" si="2"/>
        <v>1.358991374</v>
      </c>
    </row>
    <row r="1095" ht="13.5" customHeight="1">
      <c r="B1095" s="268">
        <v>4332.0</v>
      </c>
      <c r="C1095" s="268">
        <f t="shared" si="1"/>
        <v>2.667216326</v>
      </c>
      <c r="D1095" s="268">
        <f t="shared" si="2"/>
        <v>1.359442416</v>
      </c>
    </row>
    <row r="1096" ht="13.5" customHeight="1">
      <c r="B1096" s="268">
        <v>4336.0</v>
      </c>
      <c r="C1096" s="268">
        <f t="shared" si="1"/>
        <v>2.670099609</v>
      </c>
      <c r="D1096" s="268">
        <f t="shared" si="2"/>
        <v>1.359893758</v>
      </c>
    </row>
    <row r="1097" ht="13.5" customHeight="1">
      <c r="B1097" s="268">
        <v>4340.0</v>
      </c>
      <c r="C1097" s="268">
        <f t="shared" si="1"/>
        <v>2.672983849</v>
      </c>
      <c r="D1097" s="268">
        <f t="shared" si="2"/>
        <v>1.3603454</v>
      </c>
    </row>
    <row r="1098" ht="13.5" customHeight="1">
      <c r="B1098" s="268">
        <v>4344.0</v>
      </c>
      <c r="C1098" s="268">
        <f t="shared" si="1"/>
        <v>2.675869047</v>
      </c>
      <c r="D1098" s="268">
        <f t="shared" si="2"/>
        <v>1.360797342</v>
      </c>
    </row>
    <row r="1099" ht="13.5" customHeight="1">
      <c r="B1099" s="268">
        <v>4348.0</v>
      </c>
      <c r="C1099" s="268">
        <f t="shared" si="1"/>
        <v>2.678755205</v>
      </c>
      <c r="D1099" s="268">
        <f t="shared" si="2"/>
        <v>1.361249585</v>
      </c>
    </row>
    <row r="1100" ht="13.5" customHeight="1">
      <c r="B1100" s="268">
        <v>4352.0</v>
      </c>
      <c r="C1100" s="268">
        <f t="shared" si="1"/>
        <v>2.681642321</v>
      </c>
      <c r="D1100" s="268">
        <f t="shared" si="2"/>
        <v>1.361702128</v>
      </c>
    </row>
    <row r="1101" ht="13.5" customHeight="1">
      <c r="B1101" s="268">
        <v>4356.0</v>
      </c>
      <c r="C1101" s="268">
        <f t="shared" si="1"/>
        <v>2.684530397</v>
      </c>
      <c r="D1101" s="268">
        <f t="shared" si="2"/>
        <v>1.362154972</v>
      </c>
    </row>
    <row r="1102" ht="13.5" customHeight="1">
      <c r="B1102" s="268">
        <v>4360.0</v>
      </c>
      <c r="C1102" s="268">
        <f t="shared" si="1"/>
        <v>2.687419434</v>
      </c>
      <c r="D1102" s="268">
        <f t="shared" si="2"/>
        <v>1.362608117</v>
      </c>
    </row>
    <row r="1103" ht="13.5" customHeight="1">
      <c r="B1103" s="268">
        <v>4364.0</v>
      </c>
      <c r="C1103" s="268">
        <f t="shared" si="1"/>
        <v>2.690309433</v>
      </c>
      <c r="D1103" s="268">
        <f t="shared" si="2"/>
        <v>1.363061564</v>
      </c>
    </row>
    <row r="1104" ht="13.5" customHeight="1">
      <c r="B1104" s="268">
        <v>4368.0</v>
      </c>
      <c r="C1104" s="268">
        <f t="shared" si="1"/>
        <v>2.693200393</v>
      </c>
      <c r="D1104" s="268">
        <f t="shared" si="2"/>
        <v>1.363515313</v>
      </c>
    </row>
    <row r="1105" ht="13.5" customHeight="1">
      <c r="B1105" s="268">
        <v>4372.0</v>
      </c>
      <c r="C1105" s="268">
        <f t="shared" si="1"/>
        <v>2.696092315</v>
      </c>
      <c r="D1105" s="268">
        <f t="shared" si="2"/>
        <v>1.363969364</v>
      </c>
    </row>
    <row r="1106" ht="13.5" customHeight="1">
      <c r="B1106" s="268">
        <v>4376.0</v>
      </c>
      <c r="C1106" s="268">
        <f t="shared" si="1"/>
        <v>2.698985201</v>
      </c>
      <c r="D1106" s="268">
        <f t="shared" si="2"/>
        <v>1.364423718</v>
      </c>
    </row>
    <row r="1107" ht="13.5" customHeight="1">
      <c r="B1107" s="268">
        <v>4380.0</v>
      </c>
      <c r="C1107" s="268">
        <f t="shared" si="1"/>
        <v>2.701879051</v>
      </c>
      <c r="D1107" s="268">
        <f t="shared" si="2"/>
        <v>1.364878374</v>
      </c>
    </row>
    <row r="1108" ht="13.5" customHeight="1">
      <c r="B1108" s="268">
        <v>4384.0</v>
      </c>
      <c r="C1108" s="268">
        <f t="shared" si="1"/>
        <v>2.704773865</v>
      </c>
      <c r="D1108" s="268">
        <f t="shared" si="2"/>
        <v>1.365333333</v>
      </c>
    </row>
    <row r="1109" ht="13.5" customHeight="1">
      <c r="B1109" s="268">
        <v>4388.0</v>
      </c>
      <c r="C1109" s="268">
        <f t="shared" si="1"/>
        <v>2.707669644</v>
      </c>
      <c r="D1109" s="268">
        <f t="shared" si="2"/>
        <v>1.365788596</v>
      </c>
    </row>
    <row r="1110" ht="13.5" customHeight="1">
      <c r="B1110" s="268">
        <v>4392.0</v>
      </c>
      <c r="C1110" s="268">
        <f t="shared" si="1"/>
        <v>2.710566389</v>
      </c>
      <c r="D1110" s="268">
        <f t="shared" si="2"/>
        <v>1.366244163</v>
      </c>
    </row>
    <row r="1111" ht="13.5" customHeight="1">
      <c r="B1111" s="268">
        <v>4396.0</v>
      </c>
      <c r="C1111" s="268">
        <f t="shared" si="1"/>
        <v>2.7134641</v>
      </c>
      <c r="D1111" s="268">
        <f t="shared" si="2"/>
        <v>1.366700033</v>
      </c>
    </row>
    <row r="1112" ht="13.5" customHeight="1">
      <c r="B1112" s="268">
        <v>4400.0</v>
      </c>
      <c r="C1112" s="268">
        <f t="shared" si="1"/>
        <v>2.716362779</v>
      </c>
      <c r="D1112" s="268">
        <f t="shared" si="2"/>
        <v>1.367156208</v>
      </c>
    </row>
    <row r="1113" ht="13.5" customHeight="1">
      <c r="B1113" s="268">
        <v>4404.0</v>
      </c>
      <c r="C1113" s="268">
        <f t="shared" si="1"/>
        <v>2.719262425</v>
      </c>
      <c r="D1113" s="268">
        <f t="shared" si="2"/>
        <v>1.367612688</v>
      </c>
    </row>
    <row r="1114" ht="13.5" customHeight="1">
      <c r="B1114" s="268">
        <v>4408.0</v>
      </c>
      <c r="C1114" s="268">
        <f t="shared" si="1"/>
        <v>2.722163039</v>
      </c>
      <c r="D1114" s="268">
        <f t="shared" si="2"/>
        <v>1.368069472</v>
      </c>
    </row>
    <row r="1115" ht="13.5" customHeight="1">
      <c r="B1115" s="268">
        <v>4412.0</v>
      </c>
      <c r="C1115" s="268">
        <f t="shared" si="1"/>
        <v>2.725064623</v>
      </c>
      <c r="D1115" s="268">
        <f t="shared" si="2"/>
        <v>1.368526562</v>
      </c>
    </row>
    <row r="1116" ht="13.5" customHeight="1">
      <c r="B1116" s="268">
        <v>4416.0</v>
      </c>
      <c r="C1116" s="268">
        <f t="shared" si="1"/>
        <v>2.727967176</v>
      </c>
      <c r="D1116" s="268">
        <f t="shared" si="2"/>
        <v>1.368983957</v>
      </c>
    </row>
    <row r="1117" ht="13.5" customHeight="1">
      <c r="B1117" s="268">
        <v>4420.0</v>
      </c>
      <c r="C1117" s="268">
        <f t="shared" si="1"/>
        <v>2.730870699</v>
      </c>
      <c r="D1117" s="268">
        <f t="shared" si="2"/>
        <v>1.369441658</v>
      </c>
    </row>
    <row r="1118" ht="13.5" customHeight="1">
      <c r="B1118" s="268">
        <v>4424.0</v>
      </c>
      <c r="C1118" s="268">
        <f t="shared" si="1"/>
        <v>2.733775193</v>
      </c>
      <c r="D1118" s="268">
        <f t="shared" si="2"/>
        <v>1.369899666</v>
      </c>
    </row>
    <row r="1119" ht="13.5" customHeight="1">
      <c r="B1119" s="268">
        <v>4428.0</v>
      </c>
      <c r="C1119" s="268">
        <f t="shared" si="1"/>
        <v>2.736680659</v>
      </c>
      <c r="D1119" s="268">
        <f t="shared" si="2"/>
        <v>1.370357979</v>
      </c>
    </row>
    <row r="1120" ht="13.5" customHeight="1">
      <c r="B1120" s="268">
        <v>4432.0</v>
      </c>
      <c r="C1120" s="268">
        <f t="shared" si="1"/>
        <v>2.739587096</v>
      </c>
      <c r="D1120" s="268">
        <f t="shared" si="2"/>
        <v>1.3708166</v>
      </c>
    </row>
    <row r="1121" ht="13.5" customHeight="1">
      <c r="B1121" s="268">
        <v>4436.0</v>
      </c>
      <c r="C1121" s="268">
        <f t="shared" si="1"/>
        <v>2.742494507</v>
      </c>
      <c r="D1121" s="268">
        <f t="shared" si="2"/>
        <v>1.371275527</v>
      </c>
    </row>
    <row r="1122" ht="13.5" customHeight="1">
      <c r="B1122" s="268">
        <v>4440.0</v>
      </c>
      <c r="C1122" s="268">
        <f t="shared" si="1"/>
        <v>2.745402892</v>
      </c>
      <c r="D1122" s="268">
        <f t="shared" si="2"/>
        <v>1.371734762</v>
      </c>
    </row>
    <row r="1123" ht="13.5" customHeight="1">
      <c r="B1123" s="268">
        <v>4444.0</v>
      </c>
      <c r="C1123" s="268">
        <f t="shared" si="1"/>
        <v>2.74831225</v>
      </c>
      <c r="D1123" s="268">
        <f t="shared" si="2"/>
        <v>1.372194305</v>
      </c>
    </row>
    <row r="1124" ht="13.5" customHeight="1">
      <c r="B1124" s="268">
        <v>4448.0</v>
      </c>
      <c r="C1124" s="268">
        <f t="shared" si="1"/>
        <v>2.751222583</v>
      </c>
      <c r="D1124" s="268">
        <f t="shared" si="2"/>
        <v>1.372654155</v>
      </c>
    </row>
    <row r="1125" ht="13.5" customHeight="1">
      <c r="B1125" s="268">
        <v>4452.0</v>
      </c>
      <c r="C1125" s="268">
        <f t="shared" si="1"/>
        <v>2.754133892</v>
      </c>
      <c r="D1125" s="268">
        <f t="shared" si="2"/>
        <v>1.373114314</v>
      </c>
    </row>
    <row r="1126" ht="13.5" customHeight="1">
      <c r="B1126" s="268">
        <v>4456.0</v>
      </c>
      <c r="C1126" s="268">
        <f t="shared" si="1"/>
        <v>2.757046177</v>
      </c>
      <c r="D1126" s="268">
        <f t="shared" si="2"/>
        <v>1.373574782</v>
      </c>
    </row>
    <row r="1127" ht="13.5" customHeight="1">
      <c r="B1127" s="268">
        <v>4460.0</v>
      </c>
      <c r="C1127" s="268">
        <f t="shared" si="1"/>
        <v>2.759959439</v>
      </c>
      <c r="D1127" s="268">
        <f t="shared" si="2"/>
        <v>1.374035559</v>
      </c>
    </row>
    <row r="1128" ht="13.5" customHeight="1">
      <c r="B1128" s="268">
        <v>4464.0</v>
      </c>
      <c r="C1128" s="268">
        <f t="shared" si="1"/>
        <v>2.762873678</v>
      </c>
      <c r="D1128" s="268">
        <f t="shared" si="2"/>
        <v>1.374496644</v>
      </c>
    </row>
    <row r="1129" ht="13.5" customHeight="1">
      <c r="B1129" s="268">
        <v>4468.0</v>
      </c>
      <c r="C1129" s="268">
        <f t="shared" si="1"/>
        <v>2.765788895</v>
      </c>
      <c r="D1129" s="268">
        <f t="shared" si="2"/>
        <v>1.37495804</v>
      </c>
    </row>
    <row r="1130" ht="13.5" customHeight="1">
      <c r="B1130" s="268">
        <v>4472.0</v>
      </c>
      <c r="C1130" s="268">
        <f t="shared" si="1"/>
        <v>2.768705091</v>
      </c>
      <c r="D1130" s="268">
        <f t="shared" si="2"/>
        <v>1.375419745</v>
      </c>
    </row>
    <row r="1131" ht="13.5" customHeight="1">
      <c r="B1131" s="268">
        <v>4476.0</v>
      </c>
      <c r="C1131" s="268">
        <f t="shared" si="1"/>
        <v>2.771622266</v>
      </c>
      <c r="D1131" s="268">
        <f t="shared" si="2"/>
        <v>1.37588176</v>
      </c>
    </row>
    <row r="1132" ht="13.5" customHeight="1">
      <c r="B1132" s="268">
        <v>4480.0</v>
      </c>
      <c r="C1132" s="268">
        <f t="shared" si="1"/>
        <v>2.774540422</v>
      </c>
      <c r="D1132" s="268">
        <f t="shared" si="2"/>
        <v>1.376344086</v>
      </c>
    </row>
    <row r="1133" ht="13.5" customHeight="1">
      <c r="B1133" s="268">
        <v>4484.0</v>
      </c>
      <c r="C1133" s="268">
        <f t="shared" si="1"/>
        <v>2.777459558</v>
      </c>
      <c r="D1133" s="268">
        <f t="shared" si="2"/>
        <v>1.376806723</v>
      </c>
    </row>
    <row r="1134" ht="13.5" customHeight="1">
      <c r="B1134" s="268">
        <v>4488.0</v>
      </c>
      <c r="C1134" s="268">
        <f t="shared" si="1"/>
        <v>2.780379676</v>
      </c>
      <c r="D1134" s="268">
        <f t="shared" si="2"/>
        <v>1.37726967</v>
      </c>
    </row>
    <row r="1135" ht="13.5" customHeight="1">
      <c r="B1135" s="268">
        <v>4492.0</v>
      </c>
      <c r="C1135" s="268">
        <f t="shared" si="1"/>
        <v>2.783300775</v>
      </c>
      <c r="D1135" s="268">
        <f t="shared" si="2"/>
        <v>1.37773293</v>
      </c>
    </row>
    <row r="1136" ht="13.5" customHeight="1">
      <c r="B1136" s="268">
        <v>4496.0</v>
      </c>
      <c r="C1136" s="268">
        <f t="shared" si="1"/>
        <v>2.786222858</v>
      </c>
      <c r="D1136" s="268">
        <f t="shared" si="2"/>
        <v>1.378196501</v>
      </c>
    </row>
    <row r="1137" ht="13.5" customHeight="1">
      <c r="B1137" s="268">
        <v>4500.0</v>
      </c>
      <c r="C1137" s="268">
        <f t="shared" si="1"/>
        <v>2.789145923</v>
      </c>
      <c r="D1137" s="268">
        <f t="shared" si="2"/>
        <v>1.378660384</v>
      </c>
    </row>
    <row r="1138" ht="13.5" customHeight="1">
      <c r="B1138" s="268">
        <v>4504.0</v>
      </c>
      <c r="C1138" s="268">
        <f t="shared" si="1"/>
        <v>2.792069973</v>
      </c>
      <c r="D1138" s="268">
        <f t="shared" si="2"/>
        <v>1.379124579</v>
      </c>
    </row>
    <row r="1139" ht="13.5" customHeight="1">
      <c r="B1139" s="268">
        <v>4508.0</v>
      </c>
      <c r="C1139" s="268">
        <f t="shared" si="1"/>
        <v>2.794995007</v>
      </c>
      <c r="D1139" s="268">
        <f t="shared" si="2"/>
        <v>1.379589087</v>
      </c>
    </row>
    <row r="1140" ht="13.5" customHeight="1">
      <c r="B1140" s="268">
        <v>4512.0</v>
      </c>
      <c r="C1140" s="268">
        <f t="shared" si="1"/>
        <v>2.797921027</v>
      </c>
      <c r="D1140" s="268">
        <f t="shared" si="2"/>
        <v>1.380053908</v>
      </c>
    </row>
    <row r="1141" ht="13.5" customHeight="1">
      <c r="B1141" s="268">
        <v>4516.0</v>
      </c>
      <c r="C1141" s="268">
        <f t="shared" si="1"/>
        <v>2.800848033</v>
      </c>
      <c r="D1141" s="268">
        <f t="shared" si="2"/>
        <v>1.380519043</v>
      </c>
    </row>
    <row r="1142" ht="13.5" customHeight="1">
      <c r="B1142" s="268">
        <v>4520.0</v>
      </c>
      <c r="C1142" s="268">
        <f t="shared" si="1"/>
        <v>2.803776026</v>
      </c>
      <c r="D1142" s="268">
        <f t="shared" si="2"/>
        <v>1.380984491</v>
      </c>
    </row>
    <row r="1143" ht="13.5" customHeight="1">
      <c r="B1143" s="268">
        <v>4524.0</v>
      </c>
      <c r="C1143" s="268">
        <f t="shared" si="1"/>
        <v>2.806705005</v>
      </c>
      <c r="D1143" s="268">
        <f t="shared" si="2"/>
        <v>1.381450253</v>
      </c>
    </row>
    <row r="1144" ht="13.5" customHeight="1">
      <c r="B1144" s="268">
        <v>4528.0</v>
      </c>
      <c r="C1144" s="268">
        <f t="shared" si="1"/>
        <v>2.809634973</v>
      </c>
      <c r="D1144" s="268">
        <f t="shared" si="2"/>
        <v>1.381916329</v>
      </c>
    </row>
    <row r="1145" ht="13.5" customHeight="1">
      <c r="B1145" s="268">
        <v>4532.0</v>
      </c>
      <c r="C1145" s="268">
        <f t="shared" si="1"/>
        <v>2.81256593</v>
      </c>
      <c r="D1145" s="268">
        <f t="shared" si="2"/>
        <v>1.38238272</v>
      </c>
    </row>
    <row r="1146" ht="13.5" customHeight="1">
      <c r="B1146" s="268">
        <v>4536.0</v>
      </c>
      <c r="C1146" s="268">
        <f t="shared" si="1"/>
        <v>2.815497876</v>
      </c>
      <c r="D1146" s="268">
        <f t="shared" si="2"/>
        <v>1.382849426</v>
      </c>
    </row>
    <row r="1147" ht="13.5" customHeight="1">
      <c r="B1147" s="268">
        <v>4540.0</v>
      </c>
      <c r="C1147" s="268">
        <f t="shared" si="1"/>
        <v>2.818430812</v>
      </c>
      <c r="D1147" s="268">
        <f t="shared" si="2"/>
        <v>1.383316447</v>
      </c>
    </row>
    <row r="1148" ht="13.5" customHeight="1">
      <c r="B1148" s="268">
        <v>4544.0</v>
      </c>
      <c r="C1148" s="268">
        <f t="shared" si="1"/>
        <v>2.821364738</v>
      </c>
      <c r="D1148" s="268">
        <f t="shared" si="2"/>
        <v>1.383783784</v>
      </c>
    </row>
    <row r="1149" ht="13.5" customHeight="1">
      <c r="B1149" s="268">
        <v>4548.0</v>
      </c>
      <c r="C1149" s="268">
        <f t="shared" si="1"/>
        <v>2.824299656</v>
      </c>
      <c r="D1149" s="268">
        <f t="shared" si="2"/>
        <v>1.384251436</v>
      </c>
    </row>
    <row r="1150" ht="13.5" customHeight="1">
      <c r="B1150" s="268">
        <v>4552.0</v>
      </c>
      <c r="C1150" s="268">
        <f t="shared" si="1"/>
        <v>2.827235566</v>
      </c>
      <c r="D1150" s="268">
        <f t="shared" si="2"/>
        <v>1.384719405</v>
      </c>
    </row>
    <row r="1151" ht="13.5" customHeight="1">
      <c r="B1151" s="268">
        <v>4556.0</v>
      </c>
      <c r="C1151" s="268">
        <f t="shared" si="1"/>
        <v>2.830172469</v>
      </c>
      <c r="D1151" s="268">
        <f t="shared" si="2"/>
        <v>1.38518769</v>
      </c>
    </row>
    <row r="1152" ht="13.5" customHeight="1">
      <c r="B1152" s="268">
        <v>4560.0</v>
      </c>
      <c r="C1152" s="268">
        <f t="shared" si="1"/>
        <v>2.833110365</v>
      </c>
      <c r="D1152" s="268">
        <f t="shared" si="2"/>
        <v>1.385656292</v>
      </c>
    </row>
    <row r="1153" ht="13.5" customHeight="1">
      <c r="B1153" s="268">
        <v>4564.0</v>
      </c>
      <c r="C1153" s="268">
        <f t="shared" si="1"/>
        <v>2.836049255</v>
      </c>
      <c r="D1153" s="268">
        <f t="shared" si="2"/>
        <v>1.386125212</v>
      </c>
    </row>
    <row r="1154" ht="13.5" customHeight="1">
      <c r="B1154" s="268">
        <v>4568.0</v>
      </c>
      <c r="C1154" s="268">
        <f t="shared" si="1"/>
        <v>2.83898914</v>
      </c>
      <c r="D1154" s="268">
        <f t="shared" si="2"/>
        <v>1.386594448</v>
      </c>
    </row>
    <row r="1155" ht="13.5" customHeight="1">
      <c r="B1155" s="268">
        <v>4572.0</v>
      </c>
      <c r="C1155" s="268">
        <f t="shared" si="1"/>
        <v>2.84193002</v>
      </c>
      <c r="D1155" s="268">
        <f t="shared" si="2"/>
        <v>1.387064003</v>
      </c>
    </row>
    <row r="1156" ht="13.5" customHeight="1">
      <c r="B1156" s="268">
        <v>4576.0</v>
      </c>
      <c r="C1156" s="268">
        <f t="shared" si="1"/>
        <v>2.844871896</v>
      </c>
      <c r="D1156" s="268">
        <f t="shared" si="2"/>
        <v>1.387533875</v>
      </c>
    </row>
    <row r="1157" ht="13.5" customHeight="1">
      <c r="B1157" s="268">
        <v>4580.0</v>
      </c>
      <c r="C1157" s="268">
        <f t="shared" si="1"/>
        <v>2.847814769</v>
      </c>
      <c r="D1157" s="268">
        <f t="shared" si="2"/>
        <v>1.388004066</v>
      </c>
    </row>
    <row r="1158" ht="13.5" customHeight="1">
      <c r="B1158" s="268">
        <v>4584.0</v>
      </c>
      <c r="C1158" s="268">
        <f t="shared" si="1"/>
        <v>2.85075864</v>
      </c>
      <c r="D1158" s="268">
        <f t="shared" si="2"/>
        <v>1.388474576</v>
      </c>
    </row>
    <row r="1159" ht="13.5" customHeight="1">
      <c r="B1159" s="268">
        <v>4588.0</v>
      </c>
      <c r="C1159" s="268">
        <f t="shared" si="1"/>
        <v>2.853703508</v>
      </c>
      <c r="D1159" s="268">
        <f t="shared" si="2"/>
        <v>1.388945405</v>
      </c>
    </row>
    <row r="1160" ht="13.5" customHeight="1">
      <c r="B1160" s="268">
        <v>4592.0</v>
      </c>
      <c r="C1160" s="268">
        <f t="shared" si="1"/>
        <v>2.856649376</v>
      </c>
      <c r="D1160" s="268">
        <f t="shared" si="2"/>
        <v>1.389416554</v>
      </c>
    </row>
    <row r="1161" ht="13.5" customHeight="1">
      <c r="B1161" s="268">
        <v>4596.0</v>
      </c>
      <c r="C1161" s="268">
        <f t="shared" si="1"/>
        <v>2.859596242</v>
      </c>
      <c r="D1161" s="268">
        <f t="shared" si="2"/>
        <v>1.389888022</v>
      </c>
    </row>
    <row r="1162" ht="13.5" customHeight="1">
      <c r="B1162" s="268">
        <v>4600.0</v>
      </c>
      <c r="C1162" s="268">
        <f t="shared" si="1"/>
        <v>2.862544109</v>
      </c>
      <c r="D1162" s="268">
        <f t="shared" si="2"/>
        <v>1.39035981</v>
      </c>
    </row>
    <row r="1163" ht="13.5" customHeight="1">
      <c r="B1163" s="268">
        <v>4604.0</v>
      </c>
      <c r="C1163" s="268">
        <f t="shared" si="1"/>
        <v>2.865492977</v>
      </c>
      <c r="D1163" s="268">
        <f t="shared" si="2"/>
        <v>1.390831919</v>
      </c>
    </row>
    <row r="1164" ht="13.5" customHeight="1">
      <c r="B1164" s="268">
        <v>4608.0</v>
      </c>
      <c r="C1164" s="268">
        <f t="shared" si="1"/>
        <v>2.868442846</v>
      </c>
      <c r="D1164" s="268">
        <f t="shared" si="2"/>
        <v>1.391304348</v>
      </c>
    </row>
    <row r="1165" ht="13.5" customHeight="1">
      <c r="B1165" s="268">
        <v>4612.0</v>
      </c>
      <c r="C1165" s="268">
        <f t="shared" si="1"/>
        <v>2.871393717</v>
      </c>
      <c r="D1165" s="268">
        <f t="shared" si="2"/>
        <v>1.391777098</v>
      </c>
    </row>
    <row r="1166" ht="13.5" customHeight="1">
      <c r="B1166" s="268">
        <v>4616.0</v>
      </c>
      <c r="C1166" s="268">
        <f t="shared" si="1"/>
        <v>2.874345592</v>
      </c>
      <c r="D1166" s="268">
        <f t="shared" si="2"/>
        <v>1.39225017</v>
      </c>
    </row>
    <row r="1167" ht="13.5" customHeight="1">
      <c r="B1167" s="268">
        <v>4620.0</v>
      </c>
      <c r="C1167" s="268">
        <f t="shared" si="1"/>
        <v>2.877298469</v>
      </c>
      <c r="D1167" s="268">
        <f t="shared" si="2"/>
        <v>1.392723563</v>
      </c>
    </row>
    <row r="1168" ht="13.5" customHeight="1">
      <c r="B1168" s="268">
        <v>4624.0</v>
      </c>
      <c r="C1168" s="268">
        <f t="shared" si="1"/>
        <v>2.880252351</v>
      </c>
      <c r="D1168" s="268">
        <f t="shared" si="2"/>
        <v>1.393197279</v>
      </c>
    </row>
    <row r="1169" ht="13.5" customHeight="1">
      <c r="B1169" s="268">
        <v>4628.0</v>
      </c>
      <c r="C1169" s="268">
        <f t="shared" si="1"/>
        <v>2.883207238</v>
      </c>
      <c r="D1169" s="268">
        <f t="shared" si="2"/>
        <v>1.393671317</v>
      </c>
    </row>
    <row r="1170" ht="13.5" customHeight="1">
      <c r="B1170" s="268">
        <v>4632.0</v>
      </c>
      <c r="C1170" s="268">
        <f t="shared" si="1"/>
        <v>2.88616313</v>
      </c>
      <c r="D1170" s="268">
        <f t="shared" si="2"/>
        <v>1.394145677</v>
      </c>
    </row>
    <row r="1171" ht="13.5" customHeight="1">
      <c r="B1171" s="268">
        <v>4636.0</v>
      </c>
      <c r="C1171" s="268">
        <f t="shared" si="1"/>
        <v>2.889120029</v>
      </c>
      <c r="D1171" s="268">
        <f t="shared" si="2"/>
        <v>1.394620361</v>
      </c>
    </row>
    <row r="1172" ht="13.5" customHeight="1">
      <c r="B1172" s="268">
        <v>4640.0</v>
      </c>
      <c r="C1172" s="268">
        <f t="shared" si="1"/>
        <v>2.892077934</v>
      </c>
      <c r="D1172" s="268">
        <f t="shared" si="2"/>
        <v>1.395095368</v>
      </c>
    </row>
    <row r="1173" ht="13.5" customHeight="1">
      <c r="B1173" s="268">
        <v>4644.0</v>
      </c>
      <c r="C1173" s="268">
        <f t="shared" si="1"/>
        <v>2.895036848</v>
      </c>
      <c r="D1173" s="268">
        <f t="shared" si="2"/>
        <v>1.395570698</v>
      </c>
    </row>
    <row r="1174" ht="13.5" customHeight="1">
      <c r="B1174" s="268">
        <v>4648.0</v>
      </c>
      <c r="C1174" s="268">
        <f t="shared" si="1"/>
        <v>2.897996769</v>
      </c>
      <c r="D1174" s="268">
        <f t="shared" si="2"/>
        <v>1.396046353</v>
      </c>
    </row>
    <row r="1175" ht="13.5" customHeight="1">
      <c r="B1175" s="268">
        <v>4652.0</v>
      </c>
      <c r="C1175" s="268">
        <f t="shared" si="1"/>
        <v>2.9009577</v>
      </c>
      <c r="D1175" s="268">
        <f t="shared" si="2"/>
        <v>1.396522332</v>
      </c>
    </row>
    <row r="1176" ht="13.5" customHeight="1">
      <c r="B1176" s="268">
        <v>4656.0</v>
      </c>
      <c r="C1176" s="268">
        <f t="shared" si="1"/>
        <v>2.90391964</v>
      </c>
      <c r="D1176" s="268">
        <f t="shared" si="2"/>
        <v>1.396998636</v>
      </c>
    </row>
    <row r="1177" ht="13.5" customHeight="1">
      <c r="B1177" s="268">
        <v>4660.0</v>
      </c>
      <c r="C1177" s="268">
        <f t="shared" si="1"/>
        <v>2.906882591</v>
      </c>
      <c r="D1177" s="268">
        <f t="shared" si="2"/>
        <v>1.397475264</v>
      </c>
    </row>
    <row r="1178" ht="13.5" customHeight="1">
      <c r="B1178" s="268">
        <v>4664.0</v>
      </c>
      <c r="C1178" s="268">
        <f t="shared" si="1"/>
        <v>2.909846552</v>
      </c>
      <c r="D1178" s="268">
        <f t="shared" si="2"/>
        <v>1.397952218</v>
      </c>
    </row>
    <row r="1179" ht="13.5" customHeight="1">
      <c r="B1179" s="268">
        <v>4668.0</v>
      </c>
      <c r="C1179" s="268">
        <f t="shared" si="1"/>
        <v>2.912811526</v>
      </c>
      <c r="D1179" s="268">
        <f t="shared" si="2"/>
        <v>1.398429498</v>
      </c>
    </row>
    <row r="1180" ht="13.5" customHeight="1">
      <c r="B1180" s="268">
        <v>4672.0</v>
      </c>
      <c r="C1180" s="268">
        <f t="shared" si="1"/>
        <v>2.915777512</v>
      </c>
      <c r="D1180" s="268">
        <f t="shared" si="2"/>
        <v>1.398907104</v>
      </c>
    </row>
    <row r="1181" ht="13.5" customHeight="1">
      <c r="B1181" s="268">
        <v>4676.0</v>
      </c>
      <c r="C1181" s="268">
        <f t="shared" si="1"/>
        <v>2.918744511</v>
      </c>
      <c r="D1181" s="268">
        <f t="shared" si="2"/>
        <v>1.399385036</v>
      </c>
    </row>
    <row r="1182" ht="13.5" customHeight="1">
      <c r="B1182" s="268">
        <v>4680.0</v>
      </c>
      <c r="C1182" s="268">
        <f t="shared" si="1"/>
        <v>2.921712524</v>
      </c>
      <c r="D1182" s="268">
        <f t="shared" si="2"/>
        <v>1.399863295</v>
      </c>
    </row>
    <row r="1183" ht="13.5" customHeight="1">
      <c r="B1183" s="268">
        <v>4684.0</v>
      </c>
      <c r="C1183" s="268">
        <f t="shared" si="1"/>
        <v>2.924681551</v>
      </c>
      <c r="D1183" s="268">
        <f t="shared" si="2"/>
        <v>1.40034188</v>
      </c>
    </row>
    <row r="1184" ht="13.5" customHeight="1">
      <c r="B1184" s="268">
        <v>4688.0</v>
      </c>
      <c r="C1184" s="268">
        <f t="shared" si="1"/>
        <v>2.927651594</v>
      </c>
      <c r="D1184" s="268">
        <f t="shared" si="2"/>
        <v>1.400820793</v>
      </c>
    </row>
    <row r="1185" ht="13.5" customHeight="1">
      <c r="B1185" s="268">
        <v>4692.0</v>
      </c>
      <c r="C1185" s="268">
        <f t="shared" si="1"/>
        <v>2.930622652</v>
      </c>
      <c r="D1185" s="268">
        <f t="shared" si="2"/>
        <v>1.401300034</v>
      </c>
    </row>
    <row r="1186" ht="13.5" customHeight="1">
      <c r="B1186" s="268">
        <v>4696.0</v>
      </c>
      <c r="C1186" s="268">
        <f t="shared" si="1"/>
        <v>2.933594727</v>
      </c>
      <c r="D1186" s="268">
        <f t="shared" si="2"/>
        <v>1.401779603</v>
      </c>
    </row>
    <row r="1187" ht="13.5" customHeight="1">
      <c r="B1187" s="268">
        <v>4700.0</v>
      </c>
      <c r="C1187" s="268">
        <f t="shared" si="1"/>
        <v>2.93656782</v>
      </c>
      <c r="D1187" s="268">
        <f t="shared" si="2"/>
        <v>1.4022595</v>
      </c>
    </row>
    <row r="1188" ht="13.5" customHeight="1">
      <c r="B1188" s="268">
        <v>4704.0</v>
      </c>
      <c r="C1188" s="268">
        <f t="shared" si="1"/>
        <v>2.93954193</v>
      </c>
      <c r="D1188" s="268">
        <f t="shared" si="2"/>
        <v>1.402739726</v>
      </c>
    </row>
    <row r="1189" ht="13.5" customHeight="1">
      <c r="B1189" s="268">
        <v>4708.0</v>
      </c>
      <c r="C1189" s="268">
        <f t="shared" si="1"/>
        <v>2.94251706</v>
      </c>
      <c r="D1189" s="268">
        <f t="shared" si="2"/>
        <v>1.403220281</v>
      </c>
    </row>
    <row r="1190" ht="13.5" customHeight="1">
      <c r="B1190" s="268">
        <v>4712.0</v>
      </c>
      <c r="C1190" s="268">
        <f t="shared" si="1"/>
        <v>2.945493208</v>
      </c>
      <c r="D1190" s="268">
        <f t="shared" si="2"/>
        <v>1.403701165</v>
      </c>
    </row>
    <row r="1191" ht="13.5" customHeight="1">
      <c r="B1191" s="268">
        <v>4716.0</v>
      </c>
      <c r="C1191" s="268">
        <f t="shared" si="1"/>
        <v>2.948470377</v>
      </c>
      <c r="D1191" s="268">
        <f t="shared" si="2"/>
        <v>1.404182379</v>
      </c>
    </row>
    <row r="1192" ht="13.5" customHeight="1">
      <c r="B1192" s="268">
        <v>4720.0</v>
      </c>
      <c r="C1192" s="268">
        <f t="shared" si="1"/>
        <v>2.951448566</v>
      </c>
      <c r="D1192" s="268">
        <f t="shared" si="2"/>
        <v>1.404663923</v>
      </c>
    </row>
    <row r="1193" ht="13.5" customHeight="1">
      <c r="B1193" s="268">
        <v>4724.0</v>
      </c>
      <c r="C1193" s="268">
        <f t="shared" si="1"/>
        <v>2.954427777</v>
      </c>
      <c r="D1193" s="268">
        <f t="shared" si="2"/>
        <v>1.405145798</v>
      </c>
    </row>
    <row r="1194" ht="13.5" customHeight="1">
      <c r="B1194" s="268">
        <v>4728.0</v>
      </c>
      <c r="C1194" s="268">
        <f t="shared" si="1"/>
        <v>2.957408011</v>
      </c>
      <c r="D1194" s="268">
        <f t="shared" si="2"/>
        <v>1.405628003</v>
      </c>
    </row>
    <row r="1195" ht="13.5" customHeight="1">
      <c r="B1195" s="268">
        <v>4732.0</v>
      </c>
      <c r="C1195" s="268">
        <f t="shared" si="1"/>
        <v>2.960389267</v>
      </c>
      <c r="D1195" s="268">
        <f t="shared" si="2"/>
        <v>1.406110539</v>
      </c>
    </row>
    <row r="1196" ht="13.5" customHeight="1">
      <c r="B1196" s="268">
        <v>4736.0</v>
      </c>
      <c r="C1196" s="268">
        <f t="shared" si="1"/>
        <v>2.963371547</v>
      </c>
      <c r="D1196" s="268">
        <f t="shared" si="2"/>
        <v>1.406593407</v>
      </c>
    </row>
    <row r="1197" ht="13.5" customHeight="1">
      <c r="B1197" s="268">
        <v>4740.0</v>
      </c>
      <c r="C1197" s="268">
        <f t="shared" si="1"/>
        <v>2.966354851</v>
      </c>
      <c r="D1197" s="268">
        <f t="shared" si="2"/>
        <v>1.407076606</v>
      </c>
    </row>
    <row r="1198" ht="13.5" customHeight="1">
      <c r="B1198" s="268">
        <v>4744.0</v>
      </c>
      <c r="C1198" s="268">
        <f t="shared" si="1"/>
        <v>2.96933918</v>
      </c>
      <c r="D1198" s="268">
        <f t="shared" si="2"/>
        <v>1.407560137</v>
      </c>
    </row>
    <row r="1199" ht="13.5" customHeight="1">
      <c r="B1199" s="268">
        <v>4748.0</v>
      </c>
      <c r="C1199" s="268">
        <f t="shared" si="1"/>
        <v>2.972324534</v>
      </c>
      <c r="D1199" s="268">
        <f t="shared" si="2"/>
        <v>1.408044001</v>
      </c>
    </row>
    <row r="1200" ht="13.5" customHeight="1">
      <c r="B1200" s="268">
        <v>4752.0</v>
      </c>
      <c r="C1200" s="268">
        <f t="shared" si="1"/>
        <v>2.975310916</v>
      </c>
      <c r="D1200" s="268">
        <f t="shared" si="2"/>
        <v>1.408528198</v>
      </c>
    </row>
    <row r="1201" ht="13.5" customHeight="1">
      <c r="B1201" s="268">
        <v>4756.0</v>
      </c>
      <c r="C1201" s="268">
        <f t="shared" si="1"/>
        <v>2.978298324</v>
      </c>
      <c r="D1201" s="268">
        <f t="shared" si="2"/>
        <v>1.409012728</v>
      </c>
    </row>
    <row r="1202" ht="13.5" customHeight="1">
      <c r="B1202" s="268">
        <v>4760.0</v>
      </c>
      <c r="C1202" s="268">
        <f t="shared" si="1"/>
        <v>2.98128676</v>
      </c>
      <c r="D1202" s="268">
        <f t="shared" si="2"/>
        <v>1.409497591</v>
      </c>
    </row>
    <row r="1203" ht="13.5" customHeight="1">
      <c r="B1203" s="268">
        <v>4764.0</v>
      </c>
      <c r="C1203" s="268">
        <f t="shared" si="1"/>
        <v>2.984276225</v>
      </c>
      <c r="D1203" s="268">
        <f t="shared" si="2"/>
        <v>1.409982788</v>
      </c>
    </row>
    <row r="1204" ht="13.5" customHeight="1">
      <c r="B1204" s="268">
        <v>4768.0</v>
      </c>
      <c r="C1204" s="268">
        <f t="shared" si="1"/>
        <v>2.987266719</v>
      </c>
      <c r="D1204" s="268">
        <f t="shared" si="2"/>
        <v>1.41046832</v>
      </c>
    </row>
    <row r="1205" ht="13.5" customHeight="1">
      <c r="B1205" s="268">
        <v>4772.0</v>
      </c>
      <c r="C1205" s="268">
        <f t="shared" si="1"/>
        <v>2.990258243</v>
      </c>
      <c r="D1205" s="268">
        <f t="shared" si="2"/>
        <v>1.410954185</v>
      </c>
    </row>
    <row r="1206" ht="13.5" customHeight="1">
      <c r="B1206" s="268">
        <v>4776.0</v>
      </c>
      <c r="C1206" s="268">
        <f t="shared" si="1"/>
        <v>2.993250797</v>
      </c>
      <c r="D1206" s="268">
        <f t="shared" si="2"/>
        <v>1.411440386</v>
      </c>
    </row>
    <row r="1207" ht="13.5" customHeight="1">
      <c r="B1207" s="268">
        <v>4780.0</v>
      </c>
      <c r="C1207" s="268">
        <f t="shared" si="1"/>
        <v>2.996244383</v>
      </c>
      <c r="D1207" s="268">
        <f t="shared" si="2"/>
        <v>1.411926922</v>
      </c>
    </row>
    <row r="1208" ht="13.5" customHeight="1">
      <c r="B1208" s="268">
        <v>4784.0</v>
      </c>
      <c r="C1208" s="268">
        <f t="shared" si="1"/>
        <v>2.999239001</v>
      </c>
      <c r="D1208" s="268">
        <f t="shared" si="2"/>
        <v>1.412413793</v>
      </c>
    </row>
    <row r="1209" ht="13.5" customHeight="1">
      <c r="B1209" s="268">
        <v>4788.0</v>
      </c>
      <c r="C1209" s="268">
        <f t="shared" si="1"/>
        <v>3.002234652</v>
      </c>
      <c r="D1209" s="268">
        <f t="shared" si="2"/>
        <v>1.412901</v>
      </c>
    </row>
    <row r="1210" ht="13.5" customHeight="1">
      <c r="B1210" s="268">
        <v>4792.0</v>
      </c>
      <c r="C1210" s="268">
        <f t="shared" si="1"/>
        <v>3.005231337</v>
      </c>
      <c r="D1210" s="268">
        <f t="shared" si="2"/>
        <v>1.413388544</v>
      </c>
    </row>
    <row r="1211" ht="13.5" customHeight="1">
      <c r="B1211" s="268">
        <v>4796.0</v>
      </c>
      <c r="C1211" s="268">
        <f t="shared" si="1"/>
        <v>3.008229055</v>
      </c>
      <c r="D1211" s="268">
        <f t="shared" si="2"/>
        <v>1.413876424</v>
      </c>
    </row>
    <row r="1212" ht="13.5" customHeight="1">
      <c r="B1212" s="268">
        <v>4800.0</v>
      </c>
      <c r="C1212" s="268">
        <f t="shared" si="1"/>
        <v>3.011227809</v>
      </c>
      <c r="D1212" s="268">
        <f t="shared" si="2"/>
        <v>1.414364641</v>
      </c>
    </row>
    <row r="1213" ht="13.5" customHeight="1">
      <c r="B1213" s="268">
        <v>4804.0</v>
      </c>
      <c r="C1213" s="268">
        <f t="shared" si="1"/>
        <v>3.014227598</v>
      </c>
      <c r="D1213" s="268">
        <f t="shared" si="2"/>
        <v>1.414853195</v>
      </c>
    </row>
    <row r="1214" ht="13.5" customHeight="1">
      <c r="B1214" s="268">
        <v>4808.0</v>
      </c>
      <c r="C1214" s="268">
        <f t="shared" si="1"/>
        <v>3.017228424</v>
      </c>
      <c r="D1214" s="268">
        <f t="shared" si="2"/>
        <v>1.415342087</v>
      </c>
    </row>
    <row r="1215" ht="13.5" customHeight="1">
      <c r="B1215" s="268">
        <v>4812.0</v>
      </c>
      <c r="C1215" s="268">
        <f t="shared" si="1"/>
        <v>3.020230286</v>
      </c>
      <c r="D1215" s="268">
        <f t="shared" si="2"/>
        <v>1.415831317</v>
      </c>
    </row>
    <row r="1216" ht="13.5" customHeight="1">
      <c r="B1216" s="268">
        <v>4816.0</v>
      </c>
      <c r="C1216" s="268">
        <f t="shared" si="1"/>
        <v>3.023233187</v>
      </c>
      <c r="D1216" s="268">
        <f t="shared" si="2"/>
        <v>1.416320885</v>
      </c>
    </row>
    <row r="1217" ht="13.5" customHeight="1">
      <c r="B1217" s="268">
        <v>4820.0</v>
      </c>
      <c r="C1217" s="268">
        <f t="shared" si="1"/>
        <v>3.026237126</v>
      </c>
      <c r="D1217" s="268">
        <f t="shared" si="2"/>
        <v>1.416810792</v>
      </c>
    </row>
    <row r="1218" ht="13.5" customHeight="1">
      <c r="B1218" s="268">
        <v>4824.0</v>
      </c>
      <c r="C1218" s="268">
        <f t="shared" si="1"/>
        <v>3.029242104</v>
      </c>
      <c r="D1218" s="268">
        <f t="shared" si="2"/>
        <v>1.417301038</v>
      </c>
    </row>
    <row r="1219" ht="13.5" customHeight="1">
      <c r="B1219" s="268">
        <v>4828.0</v>
      </c>
      <c r="C1219" s="268">
        <f t="shared" si="1"/>
        <v>3.032248122</v>
      </c>
      <c r="D1219" s="268">
        <f t="shared" si="2"/>
        <v>1.417791623</v>
      </c>
    </row>
    <row r="1220" ht="13.5" customHeight="1">
      <c r="B1220" s="268">
        <v>4832.0</v>
      </c>
      <c r="C1220" s="268">
        <f t="shared" si="1"/>
        <v>3.035255181</v>
      </c>
      <c r="D1220" s="268">
        <f t="shared" si="2"/>
        <v>1.418282548</v>
      </c>
    </row>
    <row r="1221" ht="13.5" customHeight="1">
      <c r="B1221" s="268">
        <v>4836.0</v>
      </c>
      <c r="C1221" s="268">
        <f t="shared" si="1"/>
        <v>3.038263282</v>
      </c>
      <c r="D1221" s="268">
        <f t="shared" si="2"/>
        <v>1.418773814</v>
      </c>
    </row>
    <row r="1222" ht="13.5" customHeight="1">
      <c r="B1222" s="268">
        <v>4840.0</v>
      </c>
      <c r="C1222" s="268">
        <f t="shared" si="1"/>
        <v>3.041272424</v>
      </c>
      <c r="D1222" s="268">
        <f t="shared" si="2"/>
        <v>1.419265419</v>
      </c>
    </row>
    <row r="1223" ht="13.5" customHeight="1">
      <c r="B1223" s="268">
        <v>4844.0</v>
      </c>
      <c r="C1223" s="268">
        <f t="shared" si="1"/>
        <v>3.04428261</v>
      </c>
      <c r="D1223" s="268">
        <f t="shared" si="2"/>
        <v>1.419757366</v>
      </c>
    </row>
    <row r="1224" ht="13.5" customHeight="1">
      <c r="B1224" s="268">
        <v>4848.0</v>
      </c>
      <c r="C1224" s="268">
        <f t="shared" si="1"/>
        <v>3.047293838</v>
      </c>
      <c r="D1224" s="268">
        <f t="shared" si="2"/>
        <v>1.420249653</v>
      </c>
    </row>
    <row r="1225" ht="13.5" customHeight="1">
      <c r="B1225" s="268">
        <v>4852.0</v>
      </c>
      <c r="C1225" s="268">
        <f t="shared" si="1"/>
        <v>3.050306112</v>
      </c>
      <c r="D1225" s="268">
        <f t="shared" si="2"/>
        <v>1.420742282</v>
      </c>
    </row>
    <row r="1226" ht="13.5" customHeight="1">
      <c r="B1226" s="268">
        <v>4856.0</v>
      </c>
      <c r="C1226" s="268">
        <f t="shared" si="1"/>
        <v>3.05331943</v>
      </c>
      <c r="D1226" s="268">
        <f t="shared" si="2"/>
        <v>1.421235253</v>
      </c>
    </row>
    <row r="1227" ht="13.5" customHeight="1">
      <c r="B1227" s="268">
        <v>4860.0</v>
      </c>
      <c r="C1227" s="268">
        <f t="shared" si="1"/>
        <v>3.056333794</v>
      </c>
      <c r="D1227" s="268">
        <f t="shared" si="2"/>
        <v>1.421728566</v>
      </c>
    </row>
    <row r="1228" ht="13.5" customHeight="1">
      <c r="B1228" s="268">
        <v>4864.0</v>
      </c>
      <c r="C1228" s="268">
        <f t="shared" si="1"/>
        <v>3.059349204</v>
      </c>
      <c r="D1228" s="268">
        <f t="shared" si="2"/>
        <v>1.422222222</v>
      </c>
    </row>
    <row r="1229" ht="13.5" customHeight="1">
      <c r="B1229" s="268">
        <v>4868.0</v>
      </c>
      <c r="C1229" s="268">
        <f t="shared" si="1"/>
        <v>3.062365662</v>
      </c>
      <c r="D1229" s="268">
        <f t="shared" si="2"/>
        <v>1.422716221</v>
      </c>
    </row>
    <row r="1230" ht="13.5" customHeight="1">
      <c r="B1230" s="268">
        <v>4872.0</v>
      </c>
      <c r="C1230" s="268">
        <f t="shared" si="1"/>
        <v>3.065383167</v>
      </c>
      <c r="D1230" s="268">
        <f t="shared" si="2"/>
        <v>1.423210563</v>
      </c>
    </row>
    <row r="1231" ht="13.5" customHeight="1">
      <c r="B1231" s="268">
        <v>4876.0</v>
      </c>
      <c r="C1231" s="268">
        <f t="shared" si="1"/>
        <v>3.068401722</v>
      </c>
      <c r="D1231" s="268">
        <f t="shared" si="2"/>
        <v>1.423705249</v>
      </c>
    </row>
    <row r="1232" ht="13.5" customHeight="1">
      <c r="B1232" s="268">
        <v>4880.0</v>
      </c>
      <c r="C1232" s="268">
        <f t="shared" si="1"/>
        <v>3.071421325</v>
      </c>
      <c r="D1232" s="268">
        <f t="shared" si="2"/>
        <v>1.424200278</v>
      </c>
    </row>
    <row r="1233" ht="13.5" customHeight="1">
      <c r="B1233" s="268">
        <v>4884.0</v>
      </c>
      <c r="C1233" s="268">
        <f t="shared" si="1"/>
        <v>3.074441979</v>
      </c>
      <c r="D1233" s="268">
        <f t="shared" si="2"/>
        <v>1.424695652</v>
      </c>
    </row>
    <row r="1234" ht="13.5" customHeight="1">
      <c r="B1234" s="268">
        <v>4888.0</v>
      </c>
      <c r="C1234" s="268">
        <f t="shared" si="1"/>
        <v>3.077463683</v>
      </c>
      <c r="D1234" s="268">
        <f t="shared" si="2"/>
        <v>1.425191371</v>
      </c>
    </row>
    <row r="1235" ht="13.5" customHeight="1">
      <c r="B1235" s="268">
        <v>4892.0</v>
      </c>
      <c r="C1235" s="268">
        <f t="shared" si="1"/>
        <v>3.08048644</v>
      </c>
      <c r="D1235" s="268">
        <f t="shared" si="2"/>
        <v>1.425687435</v>
      </c>
    </row>
    <row r="1236" ht="13.5" customHeight="1">
      <c r="B1236" s="268">
        <v>4896.0</v>
      </c>
      <c r="C1236" s="268">
        <f t="shared" si="1"/>
        <v>3.083510248</v>
      </c>
      <c r="D1236" s="268">
        <f t="shared" si="2"/>
        <v>1.426183844</v>
      </c>
    </row>
    <row r="1237" ht="13.5" customHeight="1">
      <c r="B1237" s="268">
        <v>4900.0</v>
      </c>
      <c r="C1237" s="268">
        <f t="shared" si="1"/>
        <v>3.086535109</v>
      </c>
      <c r="D1237" s="268">
        <f t="shared" si="2"/>
        <v>1.426680599</v>
      </c>
    </row>
    <row r="1238" ht="13.5" customHeight="1">
      <c r="B1238" s="268">
        <v>4904.0</v>
      </c>
      <c r="C1238" s="268">
        <f t="shared" si="1"/>
        <v>3.089561025</v>
      </c>
      <c r="D1238" s="268">
        <f t="shared" si="2"/>
        <v>1.4271777</v>
      </c>
    </row>
    <row r="1239" ht="13.5" customHeight="1">
      <c r="B1239" s="268">
        <v>4908.0</v>
      </c>
      <c r="C1239" s="268">
        <f t="shared" si="1"/>
        <v>3.092587994</v>
      </c>
      <c r="D1239" s="268">
        <f t="shared" si="2"/>
        <v>1.427675148</v>
      </c>
    </row>
    <row r="1240" ht="13.5" customHeight="1">
      <c r="B1240" s="268">
        <v>4912.0</v>
      </c>
      <c r="C1240" s="268">
        <f t="shared" si="1"/>
        <v>3.095616019</v>
      </c>
      <c r="D1240" s="268">
        <f t="shared" si="2"/>
        <v>1.428172943</v>
      </c>
    </row>
    <row r="1241" ht="13.5" customHeight="1">
      <c r="B1241" s="268">
        <v>4916.0</v>
      </c>
      <c r="C1241" s="268">
        <f t="shared" si="1"/>
        <v>3.0986451</v>
      </c>
      <c r="D1241" s="268">
        <f t="shared" si="2"/>
        <v>1.428671085</v>
      </c>
    </row>
    <row r="1242" ht="13.5" customHeight="1">
      <c r="B1242" s="268">
        <v>4920.0</v>
      </c>
      <c r="C1242" s="268">
        <f t="shared" si="1"/>
        <v>3.101675238</v>
      </c>
      <c r="D1242" s="268">
        <f t="shared" si="2"/>
        <v>1.429169574</v>
      </c>
    </row>
    <row r="1243" ht="13.5" customHeight="1">
      <c r="B1243" s="268">
        <v>4924.0</v>
      </c>
      <c r="C1243" s="268">
        <f t="shared" si="1"/>
        <v>3.104706433</v>
      </c>
      <c r="D1243" s="268">
        <f t="shared" si="2"/>
        <v>1.429668412</v>
      </c>
    </row>
    <row r="1244" ht="13.5" customHeight="1">
      <c r="B1244" s="268">
        <v>4928.0</v>
      </c>
      <c r="C1244" s="268">
        <f t="shared" si="1"/>
        <v>3.107738687</v>
      </c>
      <c r="D1244" s="268">
        <f t="shared" si="2"/>
        <v>1.430167598</v>
      </c>
    </row>
    <row r="1245" ht="13.5" customHeight="1">
      <c r="B1245" s="268">
        <v>4932.0</v>
      </c>
      <c r="C1245" s="268">
        <f t="shared" si="1"/>
        <v>3.110771999</v>
      </c>
      <c r="D1245" s="268">
        <f t="shared" si="2"/>
        <v>1.430667132</v>
      </c>
    </row>
    <row r="1246" ht="13.5" customHeight="1">
      <c r="B1246" s="268">
        <v>4936.0</v>
      </c>
      <c r="C1246" s="268">
        <f t="shared" si="1"/>
        <v>3.113806371</v>
      </c>
      <c r="D1246" s="268">
        <f t="shared" si="2"/>
        <v>1.431167016</v>
      </c>
    </row>
    <row r="1247" ht="13.5" customHeight="1">
      <c r="B1247" s="268">
        <v>4940.0</v>
      </c>
      <c r="C1247" s="268">
        <f t="shared" si="1"/>
        <v>3.116841803</v>
      </c>
      <c r="D1247" s="268">
        <f t="shared" si="2"/>
        <v>1.431667249</v>
      </c>
    </row>
    <row r="1248" ht="13.5" customHeight="1">
      <c r="B1248" s="268">
        <v>4944.0</v>
      </c>
      <c r="C1248" s="268">
        <f t="shared" si="1"/>
        <v>3.119878297</v>
      </c>
      <c r="D1248" s="268">
        <f t="shared" si="2"/>
        <v>1.432167832</v>
      </c>
    </row>
    <row r="1249" ht="13.5" customHeight="1">
      <c r="B1249" s="268">
        <v>4948.0</v>
      </c>
      <c r="C1249" s="268">
        <f t="shared" si="1"/>
        <v>3.122915852</v>
      </c>
      <c r="D1249" s="268">
        <f t="shared" si="2"/>
        <v>1.432668765</v>
      </c>
    </row>
    <row r="1250" ht="13.5" customHeight="1">
      <c r="B1250" s="268">
        <v>4952.0</v>
      </c>
      <c r="C1250" s="268">
        <f t="shared" si="1"/>
        <v>3.12595447</v>
      </c>
      <c r="D1250" s="268">
        <f t="shared" si="2"/>
        <v>1.433170049</v>
      </c>
    </row>
    <row r="1251" ht="13.5" customHeight="1">
      <c r="B1251" s="268">
        <v>4956.0</v>
      </c>
      <c r="C1251" s="268">
        <f t="shared" si="1"/>
        <v>3.128994152</v>
      </c>
      <c r="D1251" s="268">
        <f t="shared" si="2"/>
        <v>1.433671684</v>
      </c>
    </row>
    <row r="1252" ht="13.5" customHeight="1">
      <c r="B1252" s="268">
        <v>4960.0</v>
      </c>
      <c r="C1252" s="268">
        <f t="shared" si="1"/>
        <v>3.132034897</v>
      </c>
      <c r="D1252" s="268">
        <f t="shared" si="2"/>
        <v>1.434173669</v>
      </c>
    </row>
    <row r="1253" ht="13.5" customHeight="1">
      <c r="B1253" s="268">
        <v>4964.0</v>
      </c>
      <c r="C1253" s="268">
        <f t="shared" si="1"/>
        <v>3.135076708</v>
      </c>
      <c r="D1253" s="268">
        <f t="shared" si="2"/>
        <v>1.434676007</v>
      </c>
    </row>
    <row r="1254" ht="13.5" customHeight="1">
      <c r="B1254" s="268">
        <v>4968.0</v>
      </c>
      <c r="C1254" s="268">
        <f t="shared" si="1"/>
        <v>3.138119584</v>
      </c>
      <c r="D1254" s="268">
        <f t="shared" si="2"/>
        <v>1.435178697</v>
      </c>
    </row>
    <row r="1255" ht="13.5" customHeight="1">
      <c r="B1255" s="268">
        <v>4972.0</v>
      </c>
      <c r="C1255" s="268">
        <f t="shared" si="1"/>
        <v>3.141163526</v>
      </c>
      <c r="D1255" s="268">
        <f t="shared" si="2"/>
        <v>1.435681739</v>
      </c>
    </row>
    <row r="1256" ht="13.5" customHeight="1">
      <c r="B1256" s="268">
        <v>4976.0</v>
      </c>
      <c r="C1256" s="268">
        <f t="shared" si="1"/>
        <v>3.144208536</v>
      </c>
      <c r="D1256" s="268">
        <f t="shared" si="2"/>
        <v>1.436185133</v>
      </c>
    </row>
    <row r="1257" ht="13.5" customHeight="1">
      <c r="B1257" s="268">
        <v>4980.0</v>
      </c>
      <c r="C1257" s="268">
        <f t="shared" si="1"/>
        <v>3.147254613</v>
      </c>
      <c r="D1257" s="268">
        <f t="shared" si="2"/>
        <v>1.436688881</v>
      </c>
    </row>
    <row r="1258" ht="13.5" customHeight="1">
      <c r="B1258" s="268">
        <v>4984.0</v>
      </c>
      <c r="C1258" s="268">
        <f t="shared" si="1"/>
        <v>3.150301759</v>
      </c>
      <c r="D1258" s="268">
        <f t="shared" si="2"/>
        <v>1.437192982</v>
      </c>
    </row>
    <row r="1259" ht="13.5" customHeight="1">
      <c r="B1259" s="268">
        <v>4988.0</v>
      </c>
      <c r="C1259" s="268">
        <f t="shared" si="1"/>
        <v>3.153349975</v>
      </c>
      <c r="D1259" s="268">
        <f t="shared" si="2"/>
        <v>1.437697438</v>
      </c>
    </row>
    <row r="1260" ht="13.5" customHeight="1">
      <c r="B1260" s="268">
        <v>4992.0</v>
      </c>
      <c r="C1260" s="268">
        <f t="shared" si="1"/>
        <v>3.15639926</v>
      </c>
      <c r="D1260" s="268">
        <f t="shared" si="2"/>
        <v>1.438202247</v>
      </c>
    </row>
    <row r="1261" ht="13.5" customHeight="1">
      <c r="B1261" s="268">
        <v>4996.0</v>
      </c>
      <c r="C1261" s="268">
        <f t="shared" si="1"/>
        <v>3.159449616</v>
      </c>
      <c r="D1261" s="268">
        <f t="shared" si="2"/>
        <v>1.438707411</v>
      </c>
    </row>
    <row r="1262" ht="13.5" customHeight="1">
      <c r="B1262" s="268">
        <v>5000.0</v>
      </c>
      <c r="C1262" s="268">
        <f t="shared" si="1"/>
        <v>3.162501044</v>
      </c>
      <c r="D1262" s="268">
        <f t="shared" si="2"/>
        <v>1.43921293</v>
      </c>
    </row>
    <row r="1263" ht="13.5" customHeight="1">
      <c r="B1263" s="268">
        <v>5004.0</v>
      </c>
      <c r="C1263" s="268">
        <f t="shared" si="1"/>
        <v>3.165553545</v>
      </c>
      <c r="D1263" s="268">
        <f t="shared" si="2"/>
        <v>1.439718805</v>
      </c>
    </row>
    <row r="1264" ht="13.5" customHeight="1">
      <c r="B1264" s="268">
        <v>5008.0</v>
      </c>
      <c r="C1264" s="268">
        <f t="shared" si="1"/>
        <v>3.168607118</v>
      </c>
      <c r="D1264" s="268">
        <f t="shared" si="2"/>
        <v>1.440225035</v>
      </c>
    </row>
    <row r="1265" ht="13.5" customHeight="1">
      <c r="B1265" s="268">
        <v>5012.0</v>
      </c>
      <c r="C1265" s="268">
        <f t="shared" si="1"/>
        <v>3.171661766</v>
      </c>
      <c r="D1265" s="268">
        <f t="shared" si="2"/>
        <v>1.440731622</v>
      </c>
    </row>
    <row r="1266" ht="13.5" customHeight="1">
      <c r="B1266" s="268">
        <v>5016.0</v>
      </c>
      <c r="C1266" s="268">
        <f t="shared" si="1"/>
        <v>3.174717488</v>
      </c>
      <c r="D1266" s="268">
        <f t="shared" si="2"/>
        <v>1.441238564</v>
      </c>
    </row>
    <row r="1267" ht="13.5" customHeight="1">
      <c r="B1267" s="268">
        <v>5020.0</v>
      </c>
      <c r="C1267" s="268">
        <f t="shared" si="1"/>
        <v>3.177774285</v>
      </c>
      <c r="D1267" s="268">
        <f t="shared" si="2"/>
        <v>1.441745864</v>
      </c>
    </row>
    <row r="1268" ht="13.5" customHeight="1">
      <c r="B1268" s="268">
        <v>5024.0</v>
      </c>
      <c r="C1268" s="268">
        <f t="shared" si="1"/>
        <v>3.180832158</v>
      </c>
      <c r="D1268" s="268">
        <f t="shared" si="2"/>
        <v>1.442253521</v>
      </c>
    </row>
    <row r="1269" ht="13.5" customHeight="1">
      <c r="B1269" s="268">
        <v>5028.0</v>
      </c>
      <c r="C1269" s="268">
        <f t="shared" si="1"/>
        <v>3.183891109</v>
      </c>
      <c r="D1269" s="268">
        <f t="shared" si="2"/>
        <v>1.442761536</v>
      </c>
    </row>
    <row r="1270" ht="13.5" customHeight="1">
      <c r="B1270" s="268">
        <v>5032.0</v>
      </c>
      <c r="C1270" s="268">
        <f t="shared" si="1"/>
        <v>3.186951137</v>
      </c>
      <c r="D1270" s="268">
        <f t="shared" si="2"/>
        <v>1.443269908</v>
      </c>
    </row>
    <row r="1271" ht="13.5" customHeight="1">
      <c r="B1271" s="268">
        <v>5036.0</v>
      </c>
      <c r="C1271" s="268">
        <f t="shared" si="1"/>
        <v>3.190012243</v>
      </c>
      <c r="D1271" s="268">
        <f t="shared" si="2"/>
        <v>1.443778639</v>
      </c>
    </row>
    <row r="1272" ht="13.5" customHeight="1">
      <c r="B1272" s="268">
        <v>5040.0</v>
      </c>
      <c r="C1272" s="268">
        <f t="shared" si="1"/>
        <v>3.193074429</v>
      </c>
      <c r="D1272" s="268">
        <f t="shared" si="2"/>
        <v>1.444287729</v>
      </c>
    </row>
    <row r="1273" ht="13.5" customHeight="1">
      <c r="B1273" s="268">
        <v>5044.0</v>
      </c>
      <c r="C1273" s="268">
        <f t="shared" si="1"/>
        <v>3.196137695</v>
      </c>
      <c r="D1273" s="268">
        <f t="shared" si="2"/>
        <v>1.444797178</v>
      </c>
    </row>
    <row r="1274" ht="13.5" customHeight="1">
      <c r="B1274" s="268">
        <v>5048.0</v>
      </c>
      <c r="C1274" s="268">
        <f t="shared" si="1"/>
        <v>3.199202041</v>
      </c>
      <c r="D1274" s="268">
        <f t="shared" si="2"/>
        <v>1.445306987</v>
      </c>
    </row>
    <row r="1275" ht="13.5" customHeight="1">
      <c r="B1275" s="268">
        <v>5052.0</v>
      </c>
      <c r="C1275" s="268">
        <f t="shared" si="1"/>
        <v>3.202267469</v>
      </c>
      <c r="D1275" s="268">
        <f t="shared" si="2"/>
        <v>1.445817155</v>
      </c>
    </row>
    <row r="1276" ht="13.5" customHeight="1">
      <c r="B1276" s="268">
        <v>5056.0</v>
      </c>
      <c r="C1276" s="268">
        <f t="shared" si="1"/>
        <v>3.205333979</v>
      </c>
      <c r="D1276" s="268">
        <f t="shared" si="2"/>
        <v>1.446327684</v>
      </c>
    </row>
    <row r="1277" ht="13.5" customHeight="1">
      <c r="B1277" s="268">
        <v>5060.0</v>
      </c>
      <c r="C1277" s="268">
        <f t="shared" si="1"/>
        <v>3.208401572</v>
      </c>
      <c r="D1277" s="268">
        <f t="shared" si="2"/>
        <v>1.446838573</v>
      </c>
    </row>
    <row r="1278" ht="13.5" customHeight="1">
      <c r="B1278" s="268">
        <v>5064.0</v>
      </c>
      <c r="C1278" s="268">
        <f t="shared" si="1"/>
        <v>3.211470249</v>
      </c>
      <c r="D1278" s="268">
        <f t="shared" si="2"/>
        <v>1.447349823</v>
      </c>
    </row>
    <row r="1279" ht="13.5" customHeight="1">
      <c r="B1279" s="268">
        <v>5068.0</v>
      </c>
      <c r="C1279" s="268">
        <f t="shared" si="1"/>
        <v>3.21454001</v>
      </c>
      <c r="D1279" s="268">
        <f t="shared" si="2"/>
        <v>1.447861435</v>
      </c>
    </row>
    <row r="1280" ht="13.5" customHeight="1">
      <c r="B1280" s="268">
        <v>5072.0</v>
      </c>
      <c r="C1280" s="268">
        <f t="shared" si="1"/>
        <v>3.217610857</v>
      </c>
      <c r="D1280" s="268">
        <f t="shared" si="2"/>
        <v>1.448373409</v>
      </c>
    </row>
    <row r="1281" ht="13.5" customHeight="1">
      <c r="B1281" s="268">
        <v>5076.0</v>
      </c>
      <c r="C1281" s="268">
        <f t="shared" si="1"/>
        <v>3.22068279</v>
      </c>
      <c r="D1281" s="268">
        <f t="shared" si="2"/>
        <v>1.448885745</v>
      </c>
    </row>
    <row r="1282" ht="13.5" customHeight="1">
      <c r="B1282" s="268">
        <v>5080.0</v>
      </c>
      <c r="C1282" s="268">
        <f t="shared" si="1"/>
        <v>3.223755809</v>
      </c>
      <c r="D1282" s="268">
        <f t="shared" si="2"/>
        <v>1.449398443</v>
      </c>
    </row>
    <row r="1283" ht="13.5" customHeight="1">
      <c r="B1283" s="268">
        <v>5084.0</v>
      </c>
      <c r="C1283" s="268">
        <f t="shared" si="1"/>
        <v>3.226829916</v>
      </c>
      <c r="D1283" s="268">
        <f t="shared" si="2"/>
        <v>1.449911504</v>
      </c>
    </row>
    <row r="1284" ht="13.5" customHeight="1">
      <c r="B1284" s="268">
        <v>5088.0</v>
      </c>
      <c r="C1284" s="268">
        <f t="shared" si="1"/>
        <v>3.229905112</v>
      </c>
      <c r="D1284" s="268">
        <f t="shared" si="2"/>
        <v>1.450424929</v>
      </c>
    </row>
    <row r="1285" ht="13.5" customHeight="1">
      <c r="B1285" s="268">
        <v>5092.0</v>
      </c>
      <c r="C1285" s="268">
        <f t="shared" si="1"/>
        <v>3.232981396</v>
      </c>
      <c r="D1285" s="268">
        <f t="shared" si="2"/>
        <v>1.450938718</v>
      </c>
    </row>
    <row r="1286" ht="13.5" customHeight="1">
      <c r="B1286" s="268">
        <v>5096.0</v>
      </c>
      <c r="C1286" s="268">
        <f t="shared" si="1"/>
        <v>3.236058771</v>
      </c>
      <c r="D1286" s="268">
        <f t="shared" si="2"/>
        <v>1.45145287</v>
      </c>
    </row>
    <row r="1287" ht="13.5" customHeight="1">
      <c r="B1287" s="268">
        <v>5100.0</v>
      </c>
      <c r="C1287" s="268">
        <f t="shared" si="1"/>
        <v>3.239137236</v>
      </c>
      <c r="D1287" s="268">
        <f t="shared" si="2"/>
        <v>1.451967387</v>
      </c>
    </row>
    <row r="1288" ht="13.5" customHeight="1">
      <c r="B1288" s="268">
        <v>5104.0</v>
      </c>
      <c r="C1288" s="268">
        <f t="shared" si="1"/>
        <v>3.242216793</v>
      </c>
      <c r="D1288" s="268">
        <f t="shared" si="2"/>
        <v>1.45248227</v>
      </c>
    </row>
    <row r="1289" ht="13.5" customHeight="1">
      <c r="B1289" s="268">
        <v>5108.0</v>
      </c>
      <c r="C1289" s="268">
        <f t="shared" si="1"/>
        <v>3.245297442</v>
      </c>
      <c r="D1289" s="268">
        <f t="shared" si="2"/>
        <v>1.452997517</v>
      </c>
    </row>
    <row r="1290" ht="13.5" customHeight="1">
      <c r="B1290" s="268">
        <v>5112.0</v>
      </c>
      <c r="C1290" s="268">
        <f t="shared" si="1"/>
        <v>3.248379184</v>
      </c>
      <c r="D1290" s="268">
        <f t="shared" si="2"/>
        <v>1.45351313</v>
      </c>
    </row>
    <row r="1291" ht="13.5" customHeight="1">
      <c r="B1291" s="268">
        <v>5116.0</v>
      </c>
      <c r="C1291" s="268">
        <f t="shared" si="1"/>
        <v>3.25146202</v>
      </c>
      <c r="D1291" s="268">
        <f t="shared" si="2"/>
        <v>1.454029109</v>
      </c>
    </row>
    <row r="1292" ht="13.5" customHeight="1">
      <c r="B1292" s="268">
        <v>5120.0</v>
      </c>
      <c r="C1292" s="268">
        <f t="shared" si="1"/>
        <v>3.25454595</v>
      </c>
      <c r="D1292" s="268">
        <f t="shared" si="2"/>
        <v>1.454545455</v>
      </c>
    </row>
    <row r="1293" ht="13.5" customHeight="1">
      <c r="B1293" s="268">
        <v>5124.0</v>
      </c>
      <c r="C1293" s="268">
        <f t="shared" si="1"/>
        <v>3.257630976</v>
      </c>
      <c r="D1293" s="268">
        <f t="shared" si="2"/>
        <v>1.455062167</v>
      </c>
    </row>
    <row r="1294" ht="13.5" customHeight="1">
      <c r="B1294" s="268">
        <v>5128.0</v>
      </c>
      <c r="C1294" s="268">
        <f t="shared" si="1"/>
        <v>3.260717097</v>
      </c>
      <c r="D1294" s="268">
        <f t="shared" si="2"/>
        <v>1.455579247</v>
      </c>
    </row>
    <row r="1295" ht="13.5" customHeight="1">
      <c r="B1295" s="268">
        <v>5132.0</v>
      </c>
      <c r="C1295" s="268">
        <f t="shared" si="1"/>
        <v>3.263804316</v>
      </c>
      <c r="D1295" s="268">
        <f t="shared" si="2"/>
        <v>1.456096694</v>
      </c>
    </row>
    <row r="1296" ht="13.5" customHeight="1">
      <c r="B1296" s="268">
        <v>5136.0</v>
      </c>
      <c r="C1296" s="268">
        <f t="shared" si="1"/>
        <v>3.266892632</v>
      </c>
      <c r="D1296" s="268">
        <f t="shared" si="2"/>
        <v>1.456614509</v>
      </c>
    </row>
    <row r="1297" ht="13.5" customHeight="1">
      <c r="B1297" s="268">
        <v>5140.0</v>
      </c>
      <c r="C1297" s="268">
        <f t="shared" si="1"/>
        <v>3.269982047</v>
      </c>
      <c r="D1297" s="268">
        <f t="shared" si="2"/>
        <v>1.457132693</v>
      </c>
    </row>
    <row r="1298" ht="13.5" customHeight="1">
      <c r="B1298" s="268">
        <v>5144.0</v>
      </c>
      <c r="C1298" s="268">
        <f t="shared" si="1"/>
        <v>3.273072561</v>
      </c>
      <c r="D1298" s="268">
        <f t="shared" si="2"/>
        <v>1.457651246</v>
      </c>
    </row>
    <row r="1299" ht="13.5" customHeight="1">
      <c r="B1299" s="268">
        <v>5148.0</v>
      </c>
      <c r="C1299" s="268">
        <f t="shared" si="1"/>
        <v>3.276164175</v>
      </c>
      <c r="D1299" s="268">
        <f t="shared" si="2"/>
        <v>1.458170167</v>
      </c>
    </row>
    <row r="1300" ht="13.5" customHeight="1">
      <c r="B1300" s="268">
        <v>5152.0</v>
      </c>
      <c r="C1300" s="268">
        <f t="shared" si="1"/>
        <v>3.27925689</v>
      </c>
      <c r="D1300" s="268">
        <f t="shared" si="2"/>
        <v>1.458689459</v>
      </c>
    </row>
    <row r="1301" ht="13.5" customHeight="1">
      <c r="B1301" s="268">
        <v>5156.0</v>
      </c>
      <c r="C1301" s="268">
        <f t="shared" si="1"/>
        <v>3.282350707</v>
      </c>
      <c r="D1301" s="268">
        <f t="shared" si="2"/>
        <v>1.45920912</v>
      </c>
    </row>
    <row r="1302" ht="13.5" customHeight="1">
      <c r="B1302" s="268">
        <v>5160.0</v>
      </c>
      <c r="C1302" s="268">
        <f t="shared" si="1"/>
        <v>3.285445626</v>
      </c>
      <c r="D1302" s="268">
        <f t="shared" si="2"/>
        <v>1.459729152</v>
      </c>
    </row>
    <row r="1303" ht="13.5" customHeight="1">
      <c r="B1303" s="268">
        <v>5164.0</v>
      </c>
      <c r="C1303" s="268">
        <f t="shared" si="1"/>
        <v>3.288541648</v>
      </c>
      <c r="D1303" s="268">
        <f t="shared" si="2"/>
        <v>1.460249554</v>
      </c>
    </row>
    <row r="1304" ht="13.5" customHeight="1">
      <c r="B1304" s="268">
        <v>5168.0</v>
      </c>
      <c r="C1304" s="268">
        <f t="shared" si="1"/>
        <v>3.291638773</v>
      </c>
      <c r="D1304" s="268">
        <f t="shared" si="2"/>
        <v>1.460770328</v>
      </c>
    </row>
    <row r="1305" ht="13.5" customHeight="1">
      <c r="B1305" s="268">
        <v>5172.0</v>
      </c>
      <c r="C1305" s="268">
        <f t="shared" si="1"/>
        <v>3.294737004</v>
      </c>
      <c r="D1305" s="268">
        <f t="shared" si="2"/>
        <v>1.461291473</v>
      </c>
    </row>
    <row r="1306" ht="13.5" customHeight="1">
      <c r="B1306" s="268">
        <v>5176.0</v>
      </c>
      <c r="C1306" s="268">
        <f t="shared" si="1"/>
        <v>3.29783634</v>
      </c>
      <c r="D1306" s="268">
        <f t="shared" si="2"/>
        <v>1.461812991</v>
      </c>
    </row>
    <row r="1307" ht="13.5" customHeight="1">
      <c r="B1307" s="268">
        <v>5180.0</v>
      </c>
      <c r="C1307" s="268">
        <f t="shared" si="1"/>
        <v>3.300936783</v>
      </c>
      <c r="D1307" s="268">
        <f t="shared" si="2"/>
        <v>1.46233488</v>
      </c>
    </row>
    <row r="1308" ht="13.5" customHeight="1">
      <c r="B1308" s="268">
        <v>5184.0</v>
      </c>
      <c r="C1308" s="268">
        <f t="shared" si="1"/>
        <v>3.304038333</v>
      </c>
      <c r="D1308" s="268">
        <f t="shared" si="2"/>
        <v>1.462857143</v>
      </c>
    </row>
    <row r="1309" ht="13.5" customHeight="1">
      <c r="B1309" s="268">
        <v>5188.0</v>
      </c>
      <c r="C1309" s="268">
        <f t="shared" si="1"/>
        <v>3.30714099</v>
      </c>
      <c r="D1309" s="268">
        <f t="shared" si="2"/>
        <v>1.463379778</v>
      </c>
    </row>
    <row r="1310" ht="13.5" customHeight="1">
      <c r="B1310" s="268">
        <v>5192.0</v>
      </c>
      <c r="C1310" s="268">
        <f t="shared" si="1"/>
        <v>3.310244756</v>
      </c>
      <c r="D1310" s="268">
        <f t="shared" si="2"/>
        <v>1.463902788</v>
      </c>
    </row>
    <row r="1311" ht="13.5" customHeight="1">
      <c r="B1311" s="268">
        <v>5196.0</v>
      </c>
      <c r="C1311" s="268">
        <f t="shared" si="1"/>
        <v>3.313349632</v>
      </c>
      <c r="D1311" s="268">
        <f t="shared" si="2"/>
        <v>1.464426171</v>
      </c>
    </row>
    <row r="1312" ht="13.5" customHeight="1">
      <c r="B1312" s="268">
        <v>5200.0</v>
      </c>
      <c r="C1312" s="268">
        <f t="shared" si="1"/>
        <v>3.316455618</v>
      </c>
      <c r="D1312" s="268">
        <f t="shared" si="2"/>
        <v>1.464949928</v>
      </c>
    </row>
    <row r="1313" ht="13.5" customHeight="1">
      <c r="B1313" s="268">
        <v>5204.0</v>
      </c>
      <c r="C1313" s="268">
        <f t="shared" si="1"/>
        <v>3.319562715</v>
      </c>
      <c r="D1313" s="268">
        <f t="shared" si="2"/>
        <v>1.465474061</v>
      </c>
    </row>
    <row r="1314" ht="13.5" customHeight="1">
      <c r="B1314" s="268">
        <v>5208.0</v>
      </c>
      <c r="C1314" s="268">
        <f t="shared" si="1"/>
        <v>3.322670924</v>
      </c>
      <c r="D1314" s="268">
        <f t="shared" si="2"/>
        <v>1.465998568</v>
      </c>
    </row>
    <row r="1315" ht="13.5" customHeight="1">
      <c r="B1315" s="268">
        <v>5212.0</v>
      </c>
      <c r="C1315" s="268">
        <f t="shared" si="1"/>
        <v>3.325780245</v>
      </c>
      <c r="D1315" s="268">
        <f t="shared" si="2"/>
        <v>1.466523451</v>
      </c>
    </row>
    <row r="1316" ht="13.5" customHeight="1">
      <c r="B1316" s="268">
        <v>5216.0</v>
      </c>
      <c r="C1316" s="268">
        <f t="shared" si="1"/>
        <v>3.32889068</v>
      </c>
      <c r="D1316" s="268">
        <f t="shared" si="2"/>
        <v>1.467048711</v>
      </c>
    </row>
    <row r="1317" ht="13.5" customHeight="1">
      <c r="B1317" s="268">
        <v>5220.0</v>
      </c>
      <c r="C1317" s="268">
        <f t="shared" si="1"/>
        <v>3.33200223</v>
      </c>
      <c r="D1317" s="268">
        <f t="shared" si="2"/>
        <v>1.467574346</v>
      </c>
    </row>
    <row r="1318" ht="13.5" customHeight="1">
      <c r="B1318" s="268">
        <v>5224.0</v>
      </c>
      <c r="C1318" s="268">
        <f t="shared" si="1"/>
        <v>3.335114894</v>
      </c>
      <c r="D1318" s="268">
        <f t="shared" si="2"/>
        <v>1.468100358</v>
      </c>
    </row>
    <row r="1319" ht="13.5" customHeight="1">
      <c r="B1319" s="268">
        <v>5228.0</v>
      </c>
      <c r="C1319" s="268">
        <f t="shared" si="1"/>
        <v>3.338228674</v>
      </c>
      <c r="D1319" s="268">
        <f t="shared" si="2"/>
        <v>1.468626748</v>
      </c>
    </row>
    <row r="1320" ht="13.5" customHeight="1">
      <c r="B1320" s="268">
        <v>5232.0</v>
      </c>
      <c r="C1320" s="268">
        <f t="shared" si="1"/>
        <v>3.341343571</v>
      </c>
      <c r="D1320" s="268">
        <f t="shared" si="2"/>
        <v>1.469153515</v>
      </c>
    </row>
    <row r="1321" ht="13.5" customHeight="1">
      <c r="B1321" s="268">
        <v>5236.0</v>
      </c>
      <c r="C1321" s="268">
        <f t="shared" si="1"/>
        <v>3.344459585</v>
      </c>
      <c r="D1321" s="268">
        <f t="shared" si="2"/>
        <v>1.46968066</v>
      </c>
    </row>
    <row r="1322" ht="13.5" customHeight="1">
      <c r="B1322" s="268">
        <v>5240.0</v>
      </c>
      <c r="C1322" s="268">
        <f t="shared" si="1"/>
        <v>3.347576718</v>
      </c>
      <c r="D1322" s="268">
        <f t="shared" si="2"/>
        <v>1.470208184</v>
      </c>
    </row>
    <row r="1323" ht="13.5" customHeight="1">
      <c r="B1323" s="268">
        <v>5244.0</v>
      </c>
      <c r="C1323" s="268">
        <f t="shared" si="1"/>
        <v>3.350694969</v>
      </c>
      <c r="D1323" s="268">
        <f t="shared" si="2"/>
        <v>1.470736086</v>
      </c>
    </row>
    <row r="1324" ht="13.5" customHeight="1">
      <c r="B1324" s="268">
        <v>5248.0</v>
      </c>
      <c r="C1324" s="268">
        <f t="shared" si="1"/>
        <v>3.353814341</v>
      </c>
      <c r="D1324" s="268">
        <f t="shared" si="2"/>
        <v>1.471264368</v>
      </c>
    </row>
    <row r="1325" ht="13.5" customHeight="1">
      <c r="B1325" s="268">
        <v>5252.0</v>
      </c>
      <c r="C1325" s="268">
        <f t="shared" si="1"/>
        <v>3.356934833</v>
      </c>
      <c r="D1325" s="268">
        <f t="shared" si="2"/>
        <v>1.471793029</v>
      </c>
    </row>
    <row r="1326" ht="13.5" customHeight="1">
      <c r="B1326" s="268">
        <v>5256.0</v>
      </c>
      <c r="C1326" s="268">
        <f t="shared" si="1"/>
        <v>3.360056446</v>
      </c>
      <c r="D1326" s="268">
        <f t="shared" si="2"/>
        <v>1.47232207</v>
      </c>
    </row>
    <row r="1327" ht="13.5" customHeight="1">
      <c r="B1327" s="268">
        <v>5260.0</v>
      </c>
      <c r="C1327" s="268">
        <f t="shared" si="1"/>
        <v>3.363179182</v>
      </c>
      <c r="D1327" s="268">
        <f t="shared" si="2"/>
        <v>1.472851492</v>
      </c>
    </row>
    <row r="1328" ht="13.5" customHeight="1">
      <c r="B1328" s="268">
        <v>5264.0</v>
      </c>
      <c r="C1328" s="268">
        <f t="shared" si="1"/>
        <v>3.366303041</v>
      </c>
      <c r="D1328" s="268">
        <f t="shared" si="2"/>
        <v>1.473381295</v>
      </c>
    </row>
    <row r="1329" ht="13.5" customHeight="1">
      <c r="B1329" s="268">
        <v>5268.0</v>
      </c>
      <c r="C1329" s="268">
        <f t="shared" si="1"/>
        <v>3.369428024</v>
      </c>
      <c r="D1329" s="268">
        <f t="shared" si="2"/>
        <v>1.473911479</v>
      </c>
    </row>
    <row r="1330" ht="13.5" customHeight="1">
      <c r="B1330" s="268">
        <v>5272.0</v>
      </c>
      <c r="C1330" s="268">
        <f t="shared" si="1"/>
        <v>3.372554131</v>
      </c>
      <c r="D1330" s="268">
        <f t="shared" si="2"/>
        <v>1.474442045</v>
      </c>
    </row>
    <row r="1331" ht="13.5" customHeight="1">
      <c r="B1331" s="268">
        <v>5276.0</v>
      </c>
      <c r="C1331" s="268">
        <f t="shared" si="1"/>
        <v>3.375681364</v>
      </c>
      <c r="D1331" s="268">
        <f t="shared" si="2"/>
        <v>1.474972992</v>
      </c>
    </row>
    <row r="1332" ht="13.5" customHeight="1">
      <c r="B1332" s="268">
        <v>5280.0</v>
      </c>
      <c r="C1332" s="268">
        <f t="shared" si="1"/>
        <v>3.378809724</v>
      </c>
      <c r="D1332" s="268">
        <f t="shared" si="2"/>
        <v>1.475504323</v>
      </c>
    </row>
    <row r="1333" ht="13.5" customHeight="1">
      <c r="B1333" s="268">
        <v>5284.0</v>
      </c>
      <c r="C1333" s="268">
        <f t="shared" si="1"/>
        <v>3.38193921</v>
      </c>
      <c r="D1333" s="268">
        <f t="shared" si="2"/>
        <v>1.476036036</v>
      </c>
    </row>
    <row r="1334" ht="13.5" customHeight="1">
      <c r="B1334" s="268">
        <v>5288.0</v>
      </c>
      <c r="C1334" s="268">
        <f t="shared" si="1"/>
        <v>3.385069825</v>
      </c>
      <c r="D1334" s="268">
        <f t="shared" si="2"/>
        <v>1.476568133</v>
      </c>
    </row>
    <row r="1335" ht="13.5" customHeight="1">
      <c r="B1335" s="268">
        <v>5292.0</v>
      </c>
      <c r="C1335" s="268">
        <f t="shared" si="1"/>
        <v>3.388201568</v>
      </c>
      <c r="D1335" s="268">
        <f t="shared" si="2"/>
        <v>1.477100613</v>
      </c>
    </row>
    <row r="1336" ht="13.5" customHeight="1">
      <c r="B1336" s="268">
        <v>5296.0</v>
      </c>
      <c r="C1336" s="268">
        <f t="shared" si="1"/>
        <v>3.391334441</v>
      </c>
      <c r="D1336" s="268">
        <f t="shared" si="2"/>
        <v>1.477633478</v>
      </c>
    </row>
    <row r="1337" ht="13.5" customHeight="1">
      <c r="B1337" s="268">
        <v>5300.0</v>
      </c>
      <c r="C1337" s="268">
        <f t="shared" si="1"/>
        <v>3.394468444</v>
      </c>
      <c r="D1337" s="268">
        <f t="shared" si="2"/>
        <v>1.478166727</v>
      </c>
    </row>
    <row r="1338" ht="13.5" customHeight="1">
      <c r="B1338" s="268">
        <v>5304.0</v>
      </c>
      <c r="C1338" s="268">
        <f t="shared" si="1"/>
        <v>3.397603578</v>
      </c>
      <c r="D1338" s="268">
        <f t="shared" si="2"/>
        <v>1.478700361</v>
      </c>
    </row>
    <row r="1339" ht="13.5" customHeight="1">
      <c r="B1339" s="268">
        <v>5308.0</v>
      </c>
      <c r="C1339" s="268">
        <f t="shared" si="1"/>
        <v>3.400739844</v>
      </c>
      <c r="D1339" s="268">
        <f t="shared" si="2"/>
        <v>1.479234381</v>
      </c>
    </row>
    <row r="1340" ht="13.5" customHeight="1">
      <c r="B1340" s="268">
        <v>5312.0</v>
      </c>
      <c r="C1340" s="268">
        <f t="shared" si="1"/>
        <v>3.403877244</v>
      </c>
      <c r="D1340" s="268">
        <f t="shared" si="2"/>
        <v>1.479768786</v>
      </c>
    </row>
    <row r="1341" ht="13.5" customHeight="1">
      <c r="B1341" s="268">
        <v>5316.0</v>
      </c>
      <c r="C1341" s="268">
        <f t="shared" si="1"/>
        <v>3.407015777</v>
      </c>
      <c r="D1341" s="268">
        <f t="shared" si="2"/>
        <v>1.480303578</v>
      </c>
    </row>
    <row r="1342" ht="13.5" customHeight="1">
      <c r="B1342" s="268">
        <v>5320.0</v>
      </c>
      <c r="C1342" s="268">
        <f t="shared" si="1"/>
        <v>3.410155444</v>
      </c>
      <c r="D1342" s="268">
        <f t="shared" si="2"/>
        <v>1.480838756</v>
      </c>
    </row>
    <row r="1343" ht="13.5" customHeight="1">
      <c r="B1343" s="268">
        <v>5324.0</v>
      </c>
      <c r="C1343" s="268">
        <f t="shared" si="1"/>
        <v>3.413296247</v>
      </c>
      <c r="D1343" s="268">
        <f t="shared" si="2"/>
        <v>1.481374322</v>
      </c>
    </row>
    <row r="1344" ht="13.5" customHeight="1">
      <c r="B1344" s="268">
        <v>5328.0</v>
      </c>
      <c r="C1344" s="268">
        <f t="shared" si="1"/>
        <v>3.416438185</v>
      </c>
      <c r="D1344" s="268">
        <f t="shared" si="2"/>
        <v>1.481910275</v>
      </c>
    </row>
    <row r="1345" ht="13.5" customHeight="1">
      <c r="B1345" s="268">
        <v>5332.0</v>
      </c>
      <c r="C1345" s="268">
        <f t="shared" si="1"/>
        <v>3.419581261</v>
      </c>
      <c r="D1345" s="268">
        <f t="shared" si="2"/>
        <v>1.482446616</v>
      </c>
    </row>
    <row r="1346" ht="13.5" customHeight="1">
      <c r="B1346" s="268">
        <v>5336.0</v>
      </c>
      <c r="C1346" s="268">
        <f t="shared" si="1"/>
        <v>3.422725475</v>
      </c>
      <c r="D1346" s="268">
        <f t="shared" si="2"/>
        <v>1.482983345</v>
      </c>
    </row>
    <row r="1347" ht="13.5" customHeight="1">
      <c r="B1347" s="268">
        <v>5340.0</v>
      </c>
      <c r="C1347" s="268">
        <f t="shared" si="1"/>
        <v>3.425870827</v>
      </c>
      <c r="D1347" s="268">
        <f t="shared" si="2"/>
        <v>1.483520464</v>
      </c>
    </row>
    <row r="1348" ht="13.5" customHeight="1">
      <c r="B1348" s="268">
        <v>5344.0</v>
      </c>
      <c r="C1348" s="268">
        <f t="shared" si="1"/>
        <v>3.429017318</v>
      </c>
      <c r="D1348" s="268">
        <f t="shared" si="2"/>
        <v>1.484057971</v>
      </c>
    </row>
    <row r="1349" ht="13.5" customHeight="1">
      <c r="B1349" s="268">
        <v>5348.0</v>
      </c>
      <c r="C1349" s="268">
        <f t="shared" si="1"/>
        <v>3.43216495</v>
      </c>
      <c r="D1349" s="268">
        <f t="shared" si="2"/>
        <v>1.484595868</v>
      </c>
    </row>
    <row r="1350" ht="13.5" customHeight="1">
      <c r="B1350" s="268">
        <v>5352.0</v>
      </c>
      <c r="C1350" s="268">
        <f t="shared" si="1"/>
        <v>3.435313723</v>
      </c>
      <c r="D1350" s="268">
        <f t="shared" si="2"/>
        <v>1.485134155</v>
      </c>
    </row>
    <row r="1351" ht="13.5" customHeight="1">
      <c r="B1351" s="268">
        <v>5356.0</v>
      </c>
      <c r="C1351" s="268">
        <f t="shared" si="1"/>
        <v>3.438463637</v>
      </c>
      <c r="D1351" s="268">
        <f t="shared" si="2"/>
        <v>1.485672833</v>
      </c>
    </row>
    <row r="1352" ht="13.5" customHeight="1">
      <c r="B1352" s="268">
        <v>5360.0</v>
      </c>
      <c r="C1352" s="268">
        <f t="shared" si="1"/>
        <v>3.441614695</v>
      </c>
      <c r="D1352" s="268">
        <f t="shared" si="2"/>
        <v>1.486211901</v>
      </c>
    </row>
    <row r="1353" ht="13.5" customHeight="1">
      <c r="B1353" s="268">
        <v>5364.0</v>
      </c>
      <c r="C1353" s="268">
        <f t="shared" si="1"/>
        <v>3.444766896</v>
      </c>
      <c r="D1353" s="268">
        <f t="shared" si="2"/>
        <v>1.486751361</v>
      </c>
    </row>
    <row r="1354" ht="13.5" customHeight="1">
      <c r="B1354" s="268">
        <v>5368.0</v>
      </c>
      <c r="C1354" s="268">
        <f t="shared" si="1"/>
        <v>3.447920241</v>
      </c>
      <c r="D1354" s="268">
        <f t="shared" si="2"/>
        <v>1.487291213</v>
      </c>
    </row>
    <row r="1355" ht="13.5" customHeight="1">
      <c r="B1355" s="268">
        <v>5372.0</v>
      </c>
      <c r="C1355" s="268">
        <f t="shared" si="1"/>
        <v>3.451074731</v>
      </c>
      <c r="D1355" s="268">
        <f t="shared" si="2"/>
        <v>1.487831457</v>
      </c>
    </row>
    <row r="1356" ht="13.5" customHeight="1">
      <c r="B1356" s="268">
        <v>5376.0</v>
      </c>
      <c r="C1356" s="268">
        <f t="shared" si="1"/>
        <v>3.454230368</v>
      </c>
      <c r="D1356" s="268">
        <f t="shared" si="2"/>
        <v>1.488372093</v>
      </c>
    </row>
    <row r="1357" ht="13.5" customHeight="1">
      <c r="B1357" s="268">
        <v>5380.0</v>
      </c>
      <c r="C1357" s="268">
        <f t="shared" si="1"/>
        <v>3.457387152</v>
      </c>
      <c r="D1357" s="268">
        <f t="shared" si="2"/>
        <v>1.488913123</v>
      </c>
    </row>
    <row r="1358" ht="13.5" customHeight="1">
      <c r="B1358" s="268">
        <v>5384.0</v>
      </c>
      <c r="C1358" s="268">
        <f t="shared" si="1"/>
        <v>3.460545083</v>
      </c>
      <c r="D1358" s="268">
        <f t="shared" si="2"/>
        <v>1.489454545</v>
      </c>
    </row>
    <row r="1359" ht="13.5" customHeight="1">
      <c r="B1359" s="268">
        <v>5388.0</v>
      </c>
      <c r="C1359" s="268">
        <f t="shared" si="1"/>
        <v>3.463704162</v>
      </c>
      <c r="D1359" s="268">
        <f t="shared" si="2"/>
        <v>1.489996362</v>
      </c>
    </row>
    <row r="1360" ht="13.5" customHeight="1">
      <c r="B1360" s="268">
        <v>5392.0</v>
      </c>
      <c r="C1360" s="268">
        <f t="shared" si="1"/>
        <v>3.466864392</v>
      </c>
      <c r="D1360" s="268">
        <f t="shared" si="2"/>
        <v>1.490538574</v>
      </c>
    </row>
    <row r="1361" ht="13.5" customHeight="1">
      <c r="B1361" s="268">
        <v>5396.0</v>
      </c>
      <c r="C1361" s="268">
        <f t="shared" si="1"/>
        <v>3.470025771</v>
      </c>
      <c r="D1361" s="268">
        <f t="shared" si="2"/>
        <v>1.491081179</v>
      </c>
    </row>
    <row r="1362" ht="13.5" customHeight="1">
      <c r="B1362" s="268">
        <v>5400.0</v>
      </c>
      <c r="C1362" s="268">
        <f t="shared" si="1"/>
        <v>3.473188301</v>
      </c>
      <c r="D1362" s="268">
        <f t="shared" si="2"/>
        <v>1.491624181</v>
      </c>
    </row>
    <row r="1363" ht="13.5" customHeight="1">
      <c r="B1363" s="268">
        <v>5404.0</v>
      </c>
      <c r="C1363" s="268">
        <f t="shared" si="1"/>
        <v>3.476351984</v>
      </c>
      <c r="D1363" s="268">
        <f t="shared" si="2"/>
        <v>1.492167577</v>
      </c>
    </row>
    <row r="1364" ht="13.5" customHeight="1">
      <c r="B1364" s="268">
        <v>5408.0</v>
      </c>
      <c r="C1364" s="268">
        <f t="shared" si="1"/>
        <v>3.479516819</v>
      </c>
      <c r="D1364" s="268">
        <f t="shared" si="2"/>
        <v>1.49271137</v>
      </c>
    </row>
    <row r="1365" ht="13.5" customHeight="1">
      <c r="B1365" s="268">
        <v>5412.0</v>
      </c>
      <c r="C1365" s="268">
        <f t="shared" si="1"/>
        <v>3.482682807</v>
      </c>
      <c r="D1365" s="268">
        <f t="shared" si="2"/>
        <v>1.49325556</v>
      </c>
    </row>
    <row r="1366" ht="13.5" customHeight="1">
      <c r="B1366" s="268">
        <v>5416.0</v>
      </c>
      <c r="C1366" s="268">
        <f t="shared" si="1"/>
        <v>3.48584995</v>
      </c>
      <c r="D1366" s="268">
        <f t="shared" si="2"/>
        <v>1.493800146</v>
      </c>
    </row>
    <row r="1367" ht="13.5" customHeight="1">
      <c r="B1367" s="268">
        <v>5420.0</v>
      </c>
      <c r="C1367" s="268">
        <f t="shared" si="1"/>
        <v>3.489018249</v>
      </c>
      <c r="D1367" s="268">
        <f t="shared" si="2"/>
        <v>1.49434513</v>
      </c>
    </row>
    <row r="1368" ht="13.5" customHeight="1">
      <c r="B1368" s="268">
        <v>5424.0</v>
      </c>
      <c r="C1368" s="268">
        <f t="shared" si="1"/>
        <v>3.492187703</v>
      </c>
      <c r="D1368" s="268">
        <f t="shared" si="2"/>
        <v>1.494890511</v>
      </c>
    </row>
    <row r="1369" ht="13.5" customHeight="1">
      <c r="B1369" s="268">
        <v>5428.0</v>
      </c>
      <c r="C1369" s="268">
        <f t="shared" si="1"/>
        <v>3.495358314</v>
      </c>
      <c r="D1369" s="268">
        <f t="shared" si="2"/>
        <v>1.495436291</v>
      </c>
    </row>
    <row r="1370" ht="13.5" customHeight="1">
      <c r="B1370" s="268">
        <v>5432.0</v>
      </c>
      <c r="C1370" s="268">
        <f t="shared" si="1"/>
        <v>3.498530083</v>
      </c>
      <c r="D1370" s="268">
        <f t="shared" si="2"/>
        <v>1.495982469</v>
      </c>
    </row>
    <row r="1371" ht="13.5" customHeight="1">
      <c r="B1371" s="268">
        <v>5436.0</v>
      </c>
      <c r="C1371" s="268">
        <f t="shared" si="1"/>
        <v>3.501703011</v>
      </c>
      <c r="D1371" s="268">
        <f t="shared" si="2"/>
        <v>1.496529046</v>
      </c>
    </row>
    <row r="1372" ht="13.5" customHeight="1">
      <c r="B1372" s="268">
        <v>5440.0</v>
      </c>
      <c r="C1372" s="268">
        <f t="shared" si="1"/>
        <v>3.504877098</v>
      </c>
      <c r="D1372" s="268">
        <f t="shared" si="2"/>
        <v>1.497076023</v>
      </c>
    </row>
    <row r="1373" ht="13.5" customHeight="1">
      <c r="B1373" s="268">
        <v>5444.0</v>
      </c>
      <c r="C1373" s="268">
        <f t="shared" si="1"/>
        <v>3.508052346</v>
      </c>
      <c r="D1373" s="268">
        <f t="shared" si="2"/>
        <v>1.4976234</v>
      </c>
    </row>
    <row r="1374" ht="13.5" customHeight="1">
      <c r="B1374" s="268">
        <v>5448.0</v>
      </c>
      <c r="C1374" s="268">
        <f t="shared" si="1"/>
        <v>3.511228755</v>
      </c>
      <c r="D1374" s="268">
        <f t="shared" si="2"/>
        <v>1.498171178</v>
      </c>
    </row>
    <row r="1375" ht="13.5" customHeight="1">
      <c r="B1375" s="268">
        <v>5452.0</v>
      </c>
      <c r="C1375" s="268">
        <f t="shared" si="1"/>
        <v>3.514406326</v>
      </c>
      <c r="D1375" s="268">
        <f t="shared" si="2"/>
        <v>1.498719356</v>
      </c>
    </row>
    <row r="1376" ht="13.5" customHeight="1">
      <c r="B1376" s="268">
        <v>5456.0</v>
      </c>
      <c r="C1376" s="268">
        <f t="shared" si="1"/>
        <v>3.517585059</v>
      </c>
      <c r="D1376" s="268">
        <f t="shared" si="2"/>
        <v>1.499267936</v>
      </c>
    </row>
    <row r="1377" ht="13.5" customHeight="1">
      <c r="B1377" s="268">
        <v>5460.0</v>
      </c>
      <c r="C1377" s="268">
        <f t="shared" si="1"/>
        <v>3.520764957</v>
      </c>
      <c r="D1377" s="268">
        <f t="shared" si="2"/>
        <v>1.499816917</v>
      </c>
    </row>
    <row r="1378" ht="13.5" customHeight="1">
      <c r="B1378" s="268">
        <v>5464.0</v>
      </c>
      <c r="C1378" s="268">
        <f t="shared" si="1"/>
        <v>3.523946019</v>
      </c>
      <c r="D1378" s="268">
        <f t="shared" si="2"/>
        <v>1.5003663</v>
      </c>
    </row>
    <row r="1379" ht="13.5" customHeight="1">
      <c r="B1379" s="268">
        <v>5468.0</v>
      </c>
      <c r="C1379" s="268">
        <f t="shared" si="1"/>
        <v>3.527128246</v>
      </c>
      <c r="D1379" s="268">
        <f t="shared" si="2"/>
        <v>1.500916086</v>
      </c>
    </row>
    <row r="1380" ht="13.5" customHeight="1">
      <c r="B1380" s="268">
        <v>5472.0</v>
      </c>
      <c r="C1380" s="268">
        <f t="shared" si="1"/>
        <v>3.53031164</v>
      </c>
      <c r="D1380" s="268">
        <f t="shared" si="2"/>
        <v>1.501466276</v>
      </c>
    </row>
    <row r="1381" ht="13.5" customHeight="1">
      <c r="B1381" s="268">
        <v>5476.0</v>
      </c>
      <c r="C1381" s="268">
        <f t="shared" si="1"/>
        <v>3.533496201</v>
      </c>
      <c r="D1381" s="268">
        <f t="shared" si="2"/>
        <v>1.502016868</v>
      </c>
    </row>
    <row r="1382" ht="13.5" customHeight="1">
      <c r="B1382" s="268">
        <v>5480.0</v>
      </c>
      <c r="C1382" s="268">
        <f t="shared" si="1"/>
        <v>3.536681929</v>
      </c>
      <c r="D1382" s="268">
        <f t="shared" si="2"/>
        <v>1.502567865</v>
      </c>
    </row>
    <row r="1383" ht="13.5" customHeight="1">
      <c r="B1383" s="268">
        <v>5484.0</v>
      </c>
      <c r="C1383" s="268">
        <f t="shared" si="1"/>
        <v>3.539868827</v>
      </c>
      <c r="D1383" s="268">
        <f t="shared" si="2"/>
        <v>1.503119266</v>
      </c>
    </row>
    <row r="1384" ht="13.5" customHeight="1">
      <c r="B1384" s="268">
        <v>5488.0</v>
      </c>
      <c r="C1384" s="268">
        <f t="shared" si="1"/>
        <v>3.543056895</v>
      </c>
      <c r="D1384" s="268">
        <f t="shared" si="2"/>
        <v>1.503671072</v>
      </c>
    </row>
    <row r="1385" ht="13.5" customHeight="1">
      <c r="B1385" s="268">
        <v>5492.0</v>
      </c>
      <c r="C1385" s="268">
        <f t="shared" si="1"/>
        <v>3.546246133</v>
      </c>
      <c r="D1385" s="268">
        <f t="shared" si="2"/>
        <v>1.504223283</v>
      </c>
    </row>
    <row r="1386" ht="13.5" customHeight="1">
      <c r="B1386" s="268">
        <v>5496.0</v>
      </c>
      <c r="C1386" s="268">
        <f t="shared" si="1"/>
        <v>3.549436542</v>
      </c>
      <c r="D1386" s="268">
        <f t="shared" si="2"/>
        <v>1.5047759</v>
      </c>
    </row>
    <row r="1387" ht="13.5" customHeight="1">
      <c r="B1387" s="268">
        <v>5500.0</v>
      </c>
      <c r="C1387" s="268">
        <f t="shared" si="1"/>
        <v>3.552628124</v>
      </c>
      <c r="D1387" s="268">
        <f t="shared" si="2"/>
        <v>1.505328923</v>
      </c>
    </row>
    <row r="1388" ht="13.5" customHeight="1">
      <c r="B1388" s="268">
        <v>5504.0</v>
      </c>
      <c r="C1388" s="268">
        <f t="shared" si="1"/>
        <v>3.555820879</v>
      </c>
      <c r="D1388" s="268">
        <f t="shared" si="2"/>
        <v>1.505882353</v>
      </c>
    </row>
    <row r="1389" ht="13.5" customHeight="1">
      <c r="B1389" s="268">
        <v>5508.0</v>
      </c>
      <c r="C1389" s="268">
        <f t="shared" si="1"/>
        <v>3.559014808</v>
      </c>
      <c r="D1389" s="268">
        <f t="shared" si="2"/>
        <v>1.50643619</v>
      </c>
    </row>
    <row r="1390" ht="13.5" customHeight="1">
      <c r="B1390" s="268">
        <v>5512.0</v>
      </c>
      <c r="C1390" s="268">
        <f t="shared" si="1"/>
        <v>3.562209911</v>
      </c>
      <c r="D1390" s="268">
        <f t="shared" si="2"/>
        <v>1.506990434</v>
      </c>
    </row>
    <row r="1391" ht="13.5" customHeight="1">
      <c r="B1391" s="268">
        <v>5516.0</v>
      </c>
      <c r="C1391" s="268">
        <f t="shared" si="1"/>
        <v>3.565406191</v>
      </c>
      <c r="D1391" s="268">
        <f t="shared" si="2"/>
        <v>1.507545086</v>
      </c>
    </row>
    <row r="1392" ht="13.5" customHeight="1">
      <c r="B1392" s="268">
        <v>5520.0</v>
      </c>
      <c r="C1392" s="268">
        <f t="shared" si="1"/>
        <v>3.568603647</v>
      </c>
      <c r="D1392" s="268">
        <f t="shared" si="2"/>
        <v>1.508100147</v>
      </c>
    </row>
    <row r="1393" ht="13.5" customHeight="1">
      <c r="B1393" s="268">
        <v>5524.0</v>
      </c>
      <c r="C1393" s="268">
        <f t="shared" si="1"/>
        <v>3.571802281</v>
      </c>
      <c r="D1393" s="268">
        <f t="shared" si="2"/>
        <v>1.508655617</v>
      </c>
    </row>
    <row r="1394" ht="13.5" customHeight="1">
      <c r="B1394" s="268">
        <v>5528.0</v>
      </c>
      <c r="C1394" s="268">
        <f t="shared" si="1"/>
        <v>3.575002093</v>
      </c>
      <c r="D1394" s="268">
        <f t="shared" si="2"/>
        <v>1.509211496</v>
      </c>
    </row>
    <row r="1395" ht="13.5" customHeight="1">
      <c r="B1395" s="268">
        <v>5532.0</v>
      </c>
      <c r="C1395" s="268">
        <f t="shared" si="1"/>
        <v>3.578203084</v>
      </c>
      <c r="D1395" s="268">
        <f t="shared" si="2"/>
        <v>1.509767785</v>
      </c>
    </row>
    <row r="1396" ht="13.5" customHeight="1">
      <c r="B1396" s="268">
        <v>5536.0</v>
      </c>
      <c r="C1396" s="268">
        <f t="shared" si="1"/>
        <v>3.581405255</v>
      </c>
      <c r="D1396" s="268">
        <f t="shared" si="2"/>
        <v>1.510324484</v>
      </c>
    </row>
    <row r="1397" ht="13.5" customHeight="1">
      <c r="B1397" s="268">
        <v>5540.0</v>
      </c>
      <c r="C1397" s="268">
        <f t="shared" si="1"/>
        <v>3.584608608</v>
      </c>
      <c r="D1397" s="268">
        <f t="shared" si="2"/>
        <v>1.510881594</v>
      </c>
    </row>
    <row r="1398" ht="13.5" customHeight="1">
      <c r="B1398" s="268">
        <v>5544.0</v>
      </c>
      <c r="C1398" s="268">
        <f t="shared" si="1"/>
        <v>3.587813142</v>
      </c>
      <c r="D1398" s="268">
        <f t="shared" si="2"/>
        <v>1.511439114</v>
      </c>
    </row>
    <row r="1399" ht="13.5" customHeight="1">
      <c r="B1399" s="268">
        <v>5548.0</v>
      </c>
      <c r="C1399" s="268">
        <f t="shared" si="1"/>
        <v>3.591018859</v>
      </c>
      <c r="D1399" s="268">
        <f t="shared" si="2"/>
        <v>1.511997047</v>
      </c>
    </row>
    <row r="1400" ht="13.5" customHeight="1">
      <c r="B1400" s="268">
        <v>5552.0</v>
      </c>
      <c r="C1400" s="268">
        <f t="shared" si="1"/>
        <v>3.594225759</v>
      </c>
      <c r="D1400" s="268">
        <f t="shared" si="2"/>
        <v>1.512555391</v>
      </c>
    </row>
    <row r="1401" ht="13.5" customHeight="1">
      <c r="B1401" s="268">
        <v>5556.0</v>
      </c>
      <c r="C1401" s="268">
        <f t="shared" si="1"/>
        <v>3.597433844</v>
      </c>
      <c r="D1401" s="268">
        <f t="shared" si="2"/>
        <v>1.513114149</v>
      </c>
    </row>
    <row r="1402" ht="13.5" customHeight="1">
      <c r="B1402" s="268">
        <v>5560.0</v>
      </c>
      <c r="C1402" s="268">
        <f t="shared" si="1"/>
        <v>3.600643114</v>
      </c>
      <c r="D1402" s="268">
        <f t="shared" si="2"/>
        <v>1.513673319</v>
      </c>
    </row>
    <row r="1403" ht="13.5" customHeight="1">
      <c r="B1403" s="268">
        <v>5564.0</v>
      </c>
      <c r="C1403" s="268">
        <f t="shared" si="1"/>
        <v>3.603853571</v>
      </c>
      <c r="D1403" s="268">
        <f t="shared" si="2"/>
        <v>1.514232902</v>
      </c>
    </row>
    <row r="1404" ht="13.5" customHeight="1">
      <c r="B1404" s="268">
        <v>5568.0</v>
      </c>
      <c r="C1404" s="268">
        <f t="shared" si="1"/>
        <v>3.607065214</v>
      </c>
      <c r="D1404" s="268">
        <f t="shared" si="2"/>
        <v>1.514792899</v>
      </c>
    </row>
    <row r="1405" ht="13.5" customHeight="1">
      <c r="B1405" s="268">
        <v>5572.0</v>
      </c>
      <c r="C1405" s="268">
        <f t="shared" si="1"/>
        <v>3.610278045</v>
      </c>
      <c r="D1405" s="268">
        <f t="shared" si="2"/>
        <v>1.515353311</v>
      </c>
    </row>
    <row r="1406" ht="13.5" customHeight="1">
      <c r="B1406" s="268">
        <v>5576.0</v>
      </c>
      <c r="C1406" s="268">
        <f t="shared" si="1"/>
        <v>3.613492066</v>
      </c>
      <c r="D1406" s="268">
        <f t="shared" si="2"/>
        <v>1.515914138</v>
      </c>
    </row>
    <row r="1407" ht="13.5" customHeight="1">
      <c r="B1407" s="268">
        <v>5580.0</v>
      </c>
      <c r="C1407" s="268">
        <f t="shared" si="1"/>
        <v>3.616707276</v>
      </c>
      <c r="D1407" s="268">
        <f t="shared" si="2"/>
        <v>1.516475379</v>
      </c>
    </row>
    <row r="1408" ht="13.5" customHeight="1">
      <c r="B1408" s="268">
        <v>5584.0</v>
      </c>
      <c r="C1408" s="268">
        <f t="shared" si="1"/>
        <v>3.619923676</v>
      </c>
      <c r="D1408" s="268">
        <f t="shared" si="2"/>
        <v>1.517037037</v>
      </c>
    </row>
    <row r="1409" ht="13.5" customHeight="1">
      <c r="B1409" s="268">
        <v>5588.0</v>
      </c>
      <c r="C1409" s="268">
        <f t="shared" si="1"/>
        <v>3.623141268</v>
      </c>
      <c r="D1409" s="268">
        <f t="shared" si="2"/>
        <v>1.517599111</v>
      </c>
    </row>
    <row r="1410" ht="13.5" customHeight="1">
      <c r="B1410" s="268">
        <v>5592.0</v>
      </c>
      <c r="C1410" s="268">
        <f t="shared" si="1"/>
        <v>3.626360053</v>
      </c>
      <c r="D1410" s="268">
        <f t="shared" si="2"/>
        <v>1.518161601</v>
      </c>
    </row>
    <row r="1411" ht="13.5" customHeight="1">
      <c r="B1411" s="268">
        <v>5596.0</v>
      </c>
      <c r="C1411" s="268">
        <f t="shared" si="1"/>
        <v>3.62958003</v>
      </c>
      <c r="D1411" s="268">
        <f t="shared" si="2"/>
        <v>1.518724509</v>
      </c>
    </row>
    <row r="1412" ht="13.5" customHeight="1">
      <c r="B1412" s="268">
        <v>5600.0</v>
      </c>
      <c r="C1412" s="268">
        <f t="shared" si="1"/>
        <v>3.632801202</v>
      </c>
      <c r="D1412" s="268">
        <f t="shared" si="2"/>
        <v>1.519287834</v>
      </c>
    </row>
    <row r="1413" ht="13.5" customHeight="1">
      <c r="B1413" s="268">
        <v>5604.0</v>
      </c>
      <c r="C1413" s="268">
        <f t="shared" si="1"/>
        <v>3.636023569</v>
      </c>
      <c r="D1413" s="268">
        <f t="shared" si="2"/>
        <v>1.519851577</v>
      </c>
    </row>
    <row r="1414" ht="13.5" customHeight="1">
      <c r="B1414" s="268">
        <v>5608.0</v>
      </c>
      <c r="C1414" s="268">
        <f t="shared" si="1"/>
        <v>3.639247132</v>
      </c>
      <c r="D1414" s="268">
        <f t="shared" si="2"/>
        <v>1.520415739</v>
      </c>
    </row>
    <row r="1415" ht="13.5" customHeight="1">
      <c r="B1415" s="268">
        <v>5612.0</v>
      </c>
      <c r="C1415" s="268">
        <f t="shared" si="1"/>
        <v>3.642471891</v>
      </c>
      <c r="D1415" s="268">
        <f t="shared" si="2"/>
        <v>1.520980319</v>
      </c>
    </row>
    <row r="1416" ht="13.5" customHeight="1">
      <c r="B1416" s="268">
        <v>5616.0</v>
      </c>
      <c r="C1416" s="268">
        <f t="shared" si="1"/>
        <v>3.645697848</v>
      </c>
      <c r="D1416" s="268">
        <f t="shared" si="2"/>
        <v>1.521545319</v>
      </c>
    </row>
    <row r="1417" ht="13.5" customHeight="1">
      <c r="B1417" s="268">
        <v>5620.0</v>
      </c>
      <c r="C1417" s="268">
        <f t="shared" si="1"/>
        <v>3.648925004</v>
      </c>
      <c r="D1417" s="268">
        <f t="shared" si="2"/>
        <v>1.52211074</v>
      </c>
    </row>
    <row r="1418" ht="13.5" customHeight="1">
      <c r="B1418" s="268">
        <v>5624.0</v>
      </c>
      <c r="C1418" s="268">
        <f t="shared" si="1"/>
        <v>3.652153359</v>
      </c>
      <c r="D1418" s="268">
        <f t="shared" si="2"/>
        <v>1.52267658</v>
      </c>
    </row>
    <row r="1419" ht="13.5" customHeight="1">
      <c r="B1419" s="268">
        <v>5628.0</v>
      </c>
      <c r="C1419" s="268">
        <f t="shared" si="1"/>
        <v>3.655382915</v>
      </c>
      <c r="D1419" s="268">
        <f t="shared" si="2"/>
        <v>1.523242841</v>
      </c>
    </row>
    <row r="1420" ht="13.5" customHeight="1">
      <c r="B1420" s="268">
        <v>5632.0</v>
      </c>
      <c r="C1420" s="268">
        <f t="shared" si="1"/>
        <v>3.658613672</v>
      </c>
      <c r="D1420" s="268">
        <f t="shared" si="2"/>
        <v>1.523809524</v>
      </c>
    </row>
    <row r="1421" ht="13.5" customHeight="1">
      <c r="B1421" s="268">
        <v>5636.0</v>
      </c>
      <c r="C1421" s="268">
        <f t="shared" si="1"/>
        <v>3.661845631</v>
      </c>
      <c r="D1421" s="268">
        <f t="shared" si="2"/>
        <v>1.524376628</v>
      </c>
    </row>
    <row r="1422" ht="13.5" customHeight="1">
      <c r="B1422" s="268">
        <v>5640.0</v>
      </c>
      <c r="C1422" s="268">
        <f t="shared" si="1"/>
        <v>3.665078793</v>
      </c>
      <c r="D1422" s="268">
        <f t="shared" si="2"/>
        <v>1.524944155</v>
      </c>
    </row>
    <row r="1423" ht="13.5" customHeight="1">
      <c r="B1423" s="268">
        <v>5644.0</v>
      </c>
      <c r="C1423" s="268">
        <f t="shared" si="1"/>
        <v>3.668313159</v>
      </c>
      <c r="D1423" s="268">
        <f t="shared" si="2"/>
        <v>1.525512104</v>
      </c>
    </row>
    <row r="1424" ht="13.5" customHeight="1">
      <c r="B1424" s="268">
        <v>5648.0</v>
      </c>
      <c r="C1424" s="268">
        <f t="shared" si="1"/>
        <v>3.671548729</v>
      </c>
      <c r="D1424" s="268">
        <f t="shared" si="2"/>
        <v>1.526080477</v>
      </c>
    </row>
    <row r="1425" ht="13.5" customHeight="1">
      <c r="B1425" s="268">
        <v>5652.0</v>
      </c>
      <c r="C1425" s="268">
        <f t="shared" si="1"/>
        <v>3.674785506</v>
      </c>
      <c r="D1425" s="268">
        <f t="shared" si="2"/>
        <v>1.526649273</v>
      </c>
    </row>
    <row r="1426" ht="13.5" customHeight="1">
      <c r="B1426" s="268">
        <v>5656.0</v>
      </c>
      <c r="C1426" s="268">
        <f t="shared" si="1"/>
        <v>3.678023489</v>
      </c>
      <c r="D1426" s="268">
        <f t="shared" si="2"/>
        <v>1.527218494</v>
      </c>
    </row>
    <row r="1427" ht="13.5" customHeight="1">
      <c r="B1427" s="268">
        <v>5660.0</v>
      </c>
      <c r="C1427" s="268">
        <f t="shared" si="1"/>
        <v>3.68126268</v>
      </c>
      <c r="D1427" s="268">
        <f t="shared" si="2"/>
        <v>1.527788139</v>
      </c>
    </row>
    <row r="1428" ht="13.5" customHeight="1">
      <c r="B1428" s="268">
        <v>5664.0</v>
      </c>
      <c r="C1428" s="268">
        <f t="shared" si="1"/>
        <v>3.684503079</v>
      </c>
      <c r="D1428" s="268">
        <f t="shared" si="2"/>
        <v>1.528358209</v>
      </c>
    </row>
    <row r="1429" ht="13.5" customHeight="1">
      <c r="B1429" s="268">
        <v>5668.0</v>
      </c>
      <c r="C1429" s="268">
        <f t="shared" si="1"/>
        <v>3.687744687</v>
      </c>
      <c r="D1429" s="268">
        <f t="shared" si="2"/>
        <v>1.528928705</v>
      </c>
    </row>
    <row r="1430" ht="13.5" customHeight="1">
      <c r="B1430" s="268">
        <v>5672.0</v>
      </c>
      <c r="C1430" s="268">
        <f t="shared" si="1"/>
        <v>3.690987506</v>
      </c>
      <c r="D1430" s="268">
        <f t="shared" si="2"/>
        <v>1.529499627</v>
      </c>
    </row>
    <row r="1431" ht="13.5" customHeight="1">
      <c r="B1431" s="268">
        <v>5676.0</v>
      </c>
      <c r="C1431" s="268">
        <f t="shared" si="1"/>
        <v>3.694231536</v>
      </c>
      <c r="D1431" s="268">
        <f t="shared" si="2"/>
        <v>1.530070975</v>
      </c>
    </row>
    <row r="1432" ht="13.5" customHeight="1">
      <c r="B1432" s="268">
        <v>5680.0</v>
      </c>
      <c r="C1432" s="268">
        <f t="shared" si="1"/>
        <v>3.697476777</v>
      </c>
      <c r="D1432" s="268">
        <f t="shared" si="2"/>
        <v>1.53064275</v>
      </c>
    </row>
    <row r="1433" ht="13.5" customHeight="1">
      <c r="B1433" s="268">
        <v>5684.0</v>
      </c>
      <c r="C1433" s="268">
        <f t="shared" si="1"/>
        <v>3.700723232</v>
      </c>
      <c r="D1433" s="268">
        <f t="shared" si="2"/>
        <v>1.531214953</v>
      </c>
    </row>
    <row r="1434" ht="13.5" customHeight="1">
      <c r="B1434" s="268">
        <v>5688.0</v>
      </c>
      <c r="C1434" s="268">
        <f t="shared" si="1"/>
        <v>3.703970901</v>
      </c>
      <c r="D1434" s="268">
        <f t="shared" si="2"/>
        <v>1.531787584</v>
      </c>
    </row>
    <row r="1435" ht="13.5" customHeight="1">
      <c r="B1435" s="268">
        <v>5692.0</v>
      </c>
      <c r="C1435" s="268">
        <f t="shared" si="1"/>
        <v>3.707219784</v>
      </c>
      <c r="D1435" s="268">
        <f t="shared" si="2"/>
        <v>1.532360643</v>
      </c>
    </row>
    <row r="1436" ht="13.5" customHeight="1">
      <c r="B1436" s="268">
        <v>5696.0</v>
      </c>
      <c r="C1436" s="268">
        <f t="shared" si="1"/>
        <v>3.710469883</v>
      </c>
      <c r="D1436" s="268">
        <f t="shared" si="2"/>
        <v>1.532934132</v>
      </c>
    </row>
    <row r="1437" ht="13.5" customHeight="1">
      <c r="B1437" s="268">
        <v>5700.0</v>
      </c>
      <c r="C1437" s="268">
        <f t="shared" si="1"/>
        <v>3.713721199</v>
      </c>
      <c r="D1437" s="268">
        <f t="shared" si="2"/>
        <v>1.533508049</v>
      </c>
    </row>
    <row r="1438" ht="13.5" customHeight="1">
      <c r="B1438" s="268">
        <v>5704.0</v>
      </c>
      <c r="C1438" s="268">
        <f t="shared" si="1"/>
        <v>3.716973732</v>
      </c>
      <c r="D1438" s="268">
        <f t="shared" si="2"/>
        <v>1.534082397</v>
      </c>
    </row>
    <row r="1439" ht="13.5" customHeight="1">
      <c r="B1439" s="268">
        <v>5708.0</v>
      </c>
      <c r="C1439" s="268">
        <f t="shared" si="1"/>
        <v>3.720227484</v>
      </c>
      <c r="D1439" s="268">
        <f t="shared" si="2"/>
        <v>1.534657175</v>
      </c>
    </row>
    <row r="1440" ht="13.5" customHeight="1">
      <c r="B1440" s="268">
        <v>5712.0</v>
      </c>
      <c r="C1440" s="268">
        <f t="shared" si="1"/>
        <v>3.723482454</v>
      </c>
      <c r="D1440" s="268">
        <f t="shared" si="2"/>
        <v>1.535232384</v>
      </c>
    </row>
    <row r="1441" ht="13.5" customHeight="1">
      <c r="B1441" s="268">
        <v>5716.0</v>
      </c>
      <c r="C1441" s="268">
        <f t="shared" si="1"/>
        <v>3.726738646</v>
      </c>
      <c r="D1441" s="268">
        <f t="shared" si="2"/>
        <v>1.535808024</v>
      </c>
    </row>
    <row r="1442" ht="13.5" customHeight="1">
      <c r="B1442" s="268">
        <v>5720.0</v>
      </c>
      <c r="C1442" s="268">
        <f t="shared" si="1"/>
        <v>3.729996058</v>
      </c>
      <c r="D1442" s="268">
        <f t="shared" si="2"/>
        <v>1.536384096</v>
      </c>
    </row>
    <row r="1443" ht="13.5" customHeight="1">
      <c r="B1443" s="268">
        <v>5724.0</v>
      </c>
      <c r="C1443" s="268">
        <f t="shared" si="1"/>
        <v>3.733254692</v>
      </c>
      <c r="D1443" s="268">
        <f t="shared" si="2"/>
        <v>1.5369606</v>
      </c>
    </row>
    <row r="1444" ht="13.5" customHeight="1">
      <c r="B1444" s="268">
        <v>5728.0</v>
      </c>
      <c r="C1444" s="268">
        <f t="shared" si="1"/>
        <v>3.736514549</v>
      </c>
      <c r="D1444" s="268">
        <f t="shared" si="2"/>
        <v>1.537537538</v>
      </c>
    </row>
    <row r="1445" ht="13.5" customHeight="1">
      <c r="B1445" s="268">
        <v>5732.0</v>
      </c>
      <c r="C1445" s="268">
        <f t="shared" si="1"/>
        <v>3.739775631</v>
      </c>
      <c r="D1445" s="268">
        <f t="shared" si="2"/>
        <v>1.538114908</v>
      </c>
    </row>
    <row r="1446" ht="13.5" customHeight="1">
      <c r="B1446" s="268">
        <v>5736.0</v>
      </c>
      <c r="C1446" s="268">
        <f t="shared" si="1"/>
        <v>3.743037937</v>
      </c>
      <c r="D1446" s="268">
        <f t="shared" si="2"/>
        <v>1.538692712</v>
      </c>
    </row>
    <row r="1447" ht="13.5" customHeight="1">
      <c r="B1447" s="268">
        <v>5740.0</v>
      </c>
      <c r="C1447" s="268">
        <f t="shared" si="1"/>
        <v>3.746301468</v>
      </c>
      <c r="D1447" s="268">
        <f t="shared" si="2"/>
        <v>1.539270951</v>
      </c>
    </row>
    <row r="1448" ht="13.5" customHeight="1">
      <c r="B1448" s="268">
        <v>5744.0</v>
      </c>
      <c r="C1448" s="268">
        <f t="shared" si="1"/>
        <v>3.749566227</v>
      </c>
      <c r="D1448" s="268">
        <f t="shared" si="2"/>
        <v>1.539849624</v>
      </c>
    </row>
    <row r="1449" ht="13.5" customHeight="1">
      <c r="B1449" s="268">
        <v>5748.0</v>
      </c>
      <c r="C1449" s="268">
        <f t="shared" si="1"/>
        <v>3.752832213</v>
      </c>
      <c r="D1449" s="268">
        <f t="shared" si="2"/>
        <v>1.540428733</v>
      </c>
    </row>
    <row r="1450" ht="13.5" customHeight="1">
      <c r="B1450" s="268">
        <v>5752.0</v>
      </c>
      <c r="C1450" s="268">
        <f t="shared" si="1"/>
        <v>3.756099427</v>
      </c>
      <c r="D1450" s="268">
        <f t="shared" si="2"/>
        <v>1.541008277</v>
      </c>
    </row>
    <row r="1451" ht="13.5" customHeight="1">
      <c r="B1451" s="268">
        <v>5756.0</v>
      </c>
      <c r="C1451" s="268">
        <f t="shared" si="1"/>
        <v>3.759367871</v>
      </c>
      <c r="D1451" s="268">
        <f t="shared" si="2"/>
        <v>1.541588257</v>
      </c>
    </row>
    <row r="1452" ht="13.5" customHeight="1">
      <c r="B1452" s="268">
        <v>5760.0</v>
      </c>
      <c r="C1452" s="268">
        <f t="shared" si="1"/>
        <v>3.762637545</v>
      </c>
      <c r="D1452" s="268">
        <f t="shared" si="2"/>
        <v>1.542168675</v>
      </c>
    </row>
    <row r="1453" ht="13.5" customHeight="1">
      <c r="B1453" s="268">
        <v>5764.0</v>
      </c>
      <c r="C1453" s="268">
        <f t="shared" si="1"/>
        <v>3.765908451</v>
      </c>
      <c r="D1453" s="268">
        <f t="shared" si="2"/>
        <v>1.542749529</v>
      </c>
    </row>
    <row r="1454" ht="13.5" customHeight="1">
      <c r="B1454" s="268">
        <v>5768.0</v>
      </c>
      <c r="C1454" s="268">
        <f t="shared" si="1"/>
        <v>3.769180589</v>
      </c>
      <c r="D1454" s="268">
        <f t="shared" si="2"/>
        <v>1.543330821</v>
      </c>
    </row>
    <row r="1455" ht="13.5" customHeight="1">
      <c r="B1455" s="268">
        <v>5772.0</v>
      </c>
      <c r="C1455" s="268">
        <f t="shared" si="1"/>
        <v>3.77245396</v>
      </c>
      <c r="D1455" s="268">
        <f t="shared" si="2"/>
        <v>1.543912552</v>
      </c>
    </row>
    <row r="1456" ht="13.5" customHeight="1">
      <c r="B1456" s="268">
        <v>5776.0</v>
      </c>
      <c r="C1456" s="268">
        <f t="shared" si="1"/>
        <v>3.775728565</v>
      </c>
      <c r="D1456" s="268">
        <f t="shared" si="2"/>
        <v>1.544494721</v>
      </c>
    </row>
    <row r="1457" ht="13.5" customHeight="1">
      <c r="B1457" s="268">
        <v>5780.0</v>
      </c>
      <c r="C1457" s="268">
        <f t="shared" si="1"/>
        <v>3.779004405</v>
      </c>
      <c r="D1457" s="268">
        <f t="shared" si="2"/>
        <v>1.545077329</v>
      </c>
    </row>
    <row r="1458" ht="13.5" customHeight="1">
      <c r="B1458" s="268">
        <v>5784.0</v>
      </c>
      <c r="C1458" s="268">
        <f t="shared" si="1"/>
        <v>3.782281481</v>
      </c>
      <c r="D1458" s="268">
        <f t="shared" si="2"/>
        <v>1.545660377</v>
      </c>
    </row>
    <row r="1459" ht="13.5" customHeight="1">
      <c r="B1459" s="268">
        <v>5788.0</v>
      </c>
      <c r="C1459" s="268">
        <f t="shared" si="1"/>
        <v>3.785559793</v>
      </c>
      <c r="D1459" s="268">
        <f t="shared" si="2"/>
        <v>1.546243866</v>
      </c>
    </row>
    <row r="1460" ht="13.5" customHeight="1">
      <c r="B1460" s="268">
        <v>5792.0</v>
      </c>
      <c r="C1460" s="268">
        <f t="shared" si="1"/>
        <v>3.788839344</v>
      </c>
      <c r="D1460" s="268">
        <f t="shared" si="2"/>
        <v>1.546827795</v>
      </c>
    </row>
    <row r="1461" ht="13.5" customHeight="1">
      <c r="B1461" s="268">
        <v>5796.0</v>
      </c>
      <c r="C1461" s="268">
        <f t="shared" si="1"/>
        <v>3.792120133</v>
      </c>
      <c r="D1461" s="268">
        <f t="shared" si="2"/>
        <v>1.547412165</v>
      </c>
    </row>
    <row r="1462" ht="13.5" customHeight="1">
      <c r="B1462" s="268">
        <v>5800.0</v>
      </c>
      <c r="C1462" s="268">
        <f t="shared" si="1"/>
        <v>3.795402162</v>
      </c>
      <c r="D1462" s="268">
        <f t="shared" si="2"/>
        <v>1.547996977</v>
      </c>
    </row>
    <row r="1463" ht="13.5" customHeight="1">
      <c r="B1463" s="268">
        <v>5804.0</v>
      </c>
      <c r="C1463" s="268">
        <f t="shared" si="1"/>
        <v>3.798685432</v>
      </c>
      <c r="D1463" s="268">
        <f t="shared" si="2"/>
        <v>1.548582231</v>
      </c>
    </row>
    <row r="1464" ht="13.5" customHeight="1">
      <c r="B1464" s="268">
        <v>5808.0</v>
      </c>
      <c r="C1464" s="268">
        <f t="shared" si="1"/>
        <v>3.801969943</v>
      </c>
      <c r="D1464" s="268">
        <f t="shared" si="2"/>
        <v>1.549167927</v>
      </c>
    </row>
    <row r="1465" ht="13.5" customHeight="1">
      <c r="B1465" s="268">
        <v>5812.0</v>
      </c>
      <c r="C1465" s="268">
        <f t="shared" si="1"/>
        <v>3.805255697</v>
      </c>
      <c r="D1465" s="268">
        <f t="shared" si="2"/>
        <v>1.549754067</v>
      </c>
    </row>
    <row r="1466" ht="13.5" customHeight="1">
      <c r="B1466" s="268">
        <v>5816.0</v>
      </c>
      <c r="C1466" s="268">
        <f t="shared" si="1"/>
        <v>3.808542694</v>
      </c>
      <c r="D1466" s="268">
        <f t="shared" si="2"/>
        <v>1.550340651</v>
      </c>
    </row>
    <row r="1467" ht="13.5" customHeight="1">
      <c r="B1467" s="268">
        <v>5820.0</v>
      </c>
      <c r="C1467" s="268">
        <f t="shared" si="1"/>
        <v>3.811830935</v>
      </c>
      <c r="D1467" s="268">
        <f t="shared" si="2"/>
        <v>1.550927679</v>
      </c>
    </row>
    <row r="1468" ht="13.5" customHeight="1">
      <c r="B1468" s="268">
        <v>5824.0</v>
      </c>
      <c r="C1468" s="268">
        <f t="shared" si="1"/>
        <v>3.815120422</v>
      </c>
      <c r="D1468" s="268">
        <f t="shared" si="2"/>
        <v>1.551515152</v>
      </c>
    </row>
    <row r="1469" ht="13.5" customHeight="1">
      <c r="B1469" s="268">
        <v>5828.0</v>
      </c>
      <c r="C1469" s="268">
        <f t="shared" si="1"/>
        <v>3.818411155</v>
      </c>
      <c r="D1469" s="268">
        <f t="shared" si="2"/>
        <v>1.552103069</v>
      </c>
    </row>
    <row r="1470" ht="13.5" customHeight="1">
      <c r="B1470" s="268">
        <v>5832.0</v>
      </c>
      <c r="C1470" s="268">
        <f t="shared" si="1"/>
        <v>3.821703135</v>
      </c>
      <c r="D1470" s="268">
        <f t="shared" si="2"/>
        <v>1.552691433</v>
      </c>
    </row>
    <row r="1471" ht="13.5" customHeight="1">
      <c r="B1471" s="268">
        <v>5836.0</v>
      </c>
      <c r="C1471" s="268">
        <f t="shared" si="1"/>
        <v>3.824996363</v>
      </c>
      <c r="D1471" s="268">
        <f t="shared" si="2"/>
        <v>1.553280243</v>
      </c>
    </row>
    <row r="1472" ht="13.5" customHeight="1">
      <c r="B1472" s="268">
        <v>5840.0</v>
      </c>
      <c r="C1472" s="268">
        <f t="shared" si="1"/>
        <v>3.828290841</v>
      </c>
      <c r="D1472" s="268">
        <f t="shared" si="2"/>
        <v>1.553869499</v>
      </c>
    </row>
    <row r="1473" ht="13.5" customHeight="1">
      <c r="B1473" s="268">
        <v>5844.0</v>
      </c>
      <c r="C1473" s="268">
        <f t="shared" si="1"/>
        <v>3.831586568</v>
      </c>
      <c r="D1473" s="268">
        <f t="shared" si="2"/>
        <v>1.554459203</v>
      </c>
    </row>
    <row r="1474" ht="13.5" customHeight="1">
      <c r="B1474" s="268">
        <v>5848.0</v>
      </c>
      <c r="C1474" s="268">
        <f t="shared" si="1"/>
        <v>3.834883547</v>
      </c>
      <c r="D1474" s="268">
        <f t="shared" si="2"/>
        <v>1.555049355</v>
      </c>
    </row>
    <row r="1475" ht="13.5" customHeight="1">
      <c r="B1475" s="268">
        <v>5852.0</v>
      </c>
      <c r="C1475" s="268">
        <f t="shared" si="1"/>
        <v>3.838181777</v>
      </c>
      <c r="D1475" s="268">
        <f t="shared" si="2"/>
        <v>1.555639954</v>
      </c>
    </row>
    <row r="1476" ht="13.5" customHeight="1">
      <c r="B1476" s="268">
        <v>5856.0</v>
      </c>
      <c r="C1476" s="268">
        <f t="shared" si="1"/>
        <v>3.841481261</v>
      </c>
      <c r="D1476" s="268">
        <f t="shared" si="2"/>
        <v>1.556231003</v>
      </c>
    </row>
    <row r="1477" ht="13.5" customHeight="1">
      <c r="B1477" s="268">
        <v>5860.0</v>
      </c>
      <c r="C1477" s="268">
        <f t="shared" si="1"/>
        <v>3.844781998</v>
      </c>
      <c r="D1477" s="268">
        <f t="shared" si="2"/>
        <v>1.556822501</v>
      </c>
    </row>
    <row r="1478" ht="13.5" customHeight="1">
      <c r="B1478" s="268">
        <v>5864.0</v>
      </c>
      <c r="C1478" s="268">
        <f t="shared" si="1"/>
        <v>3.84808399</v>
      </c>
      <c r="D1478" s="268">
        <f t="shared" si="2"/>
        <v>1.557414449</v>
      </c>
    </row>
    <row r="1479" ht="13.5" customHeight="1">
      <c r="B1479" s="268">
        <v>5868.0</v>
      </c>
      <c r="C1479" s="268">
        <f t="shared" si="1"/>
        <v>3.851387237</v>
      </c>
      <c r="D1479" s="268">
        <f t="shared" si="2"/>
        <v>1.558006847</v>
      </c>
    </row>
    <row r="1480" ht="13.5" customHeight="1">
      <c r="B1480" s="268">
        <v>5872.0</v>
      </c>
      <c r="C1480" s="268">
        <f t="shared" si="1"/>
        <v>3.854691742</v>
      </c>
      <c r="D1480" s="268">
        <f t="shared" si="2"/>
        <v>1.558599696</v>
      </c>
    </row>
    <row r="1481" ht="13.5" customHeight="1">
      <c r="B1481" s="268">
        <v>5876.0</v>
      </c>
      <c r="C1481" s="268">
        <f t="shared" si="1"/>
        <v>3.857997504</v>
      </c>
      <c r="D1481" s="268">
        <f t="shared" si="2"/>
        <v>1.559192996</v>
      </c>
    </row>
    <row r="1482" ht="13.5" customHeight="1">
      <c r="B1482" s="268">
        <v>5880.0</v>
      </c>
      <c r="C1482" s="268">
        <f t="shared" si="1"/>
        <v>3.861304524</v>
      </c>
      <c r="D1482" s="268">
        <f t="shared" si="2"/>
        <v>1.559786748</v>
      </c>
    </row>
    <row r="1483" ht="13.5" customHeight="1">
      <c r="B1483" s="268">
        <v>5884.0</v>
      </c>
      <c r="C1483" s="268">
        <f t="shared" si="1"/>
        <v>3.864612805</v>
      </c>
      <c r="D1483" s="268">
        <f t="shared" si="2"/>
        <v>1.560380952</v>
      </c>
    </row>
    <row r="1484" ht="13.5" customHeight="1">
      <c r="B1484" s="268">
        <v>5888.0</v>
      </c>
      <c r="C1484" s="268">
        <f t="shared" si="1"/>
        <v>3.867922345</v>
      </c>
      <c r="D1484" s="268">
        <f t="shared" si="2"/>
        <v>1.56097561</v>
      </c>
    </row>
    <row r="1485" ht="13.5" customHeight="1">
      <c r="B1485" s="268">
        <v>5892.0</v>
      </c>
      <c r="C1485" s="268">
        <f t="shared" si="1"/>
        <v>3.871233148</v>
      </c>
      <c r="D1485" s="268">
        <f t="shared" si="2"/>
        <v>1.561570721</v>
      </c>
    </row>
    <row r="1486" ht="13.5" customHeight="1">
      <c r="B1486" s="268">
        <v>5896.0</v>
      </c>
      <c r="C1486" s="268">
        <f t="shared" si="1"/>
        <v>3.874545212</v>
      </c>
      <c r="D1486" s="268">
        <f t="shared" si="2"/>
        <v>1.562166285</v>
      </c>
    </row>
    <row r="1487" ht="13.5" customHeight="1">
      <c r="B1487" s="268">
        <v>5900.0</v>
      </c>
      <c r="C1487" s="268">
        <f t="shared" si="1"/>
        <v>3.87785854</v>
      </c>
      <c r="D1487" s="268">
        <f t="shared" si="2"/>
        <v>1.562762304</v>
      </c>
    </row>
    <row r="1488" ht="13.5" customHeight="1">
      <c r="B1488" s="268">
        <v>5904.0</v>
      </c>
      <c r="C1488" s="268">
        <f t="shared" si="1"/>
        <v>3.881173133</v>
      </c>
      <c r="D1488" s="268">
        <f t="shared" si="2"/>
        <v>1.563358779</v>
      </c>
    </row>
    <row r="1489" ht="13.5" customHeight="1">
      <c r="B1489" s="268">
        <v>5908.0</v>
      </c>
      <c r="C1489" s="268">
        <f t="shared" si="1"/>
        <v>3.884488991</v>
      </c>
      <c r="D1489" s="268">
        <f t="shared" si="2"/>
        <v>1.563955708</v>
      </c>
    </row>
    <row r="1490" ht="13.5" customHeight="1">
      <c r="B1490" s="268">
        <v>5912.0</v>
      </c>
      <c r="C1490" s="268">
        <f t="shared" si="1"/>
        <v>3.887806115</v>
      </c>
      <c r="D1490" s="268">
        <f t="shared" si="2"/>
        <v>1.564553094</v>
      </c>
    </row>
    <row r="1491" ht="13.5" customHeight="1">
      <c r="B1491" s="268">
        <v>5916.0</v>
      </c>
      <c r="C1491" s="268">
        <f t="shared" si="1"/>
        <v>3.891124507</v>
      </c>
      <c r="D1491" s="268">
        <f t="shared" si="2"/>
        <v>1.565150936</v>
      </c>
    </row>
    <row r="1492" ht="13.5" customHeight="1">
      <c r="B1492" s="268">
        <v>5920.0</v>
      </c>
      <c r="C1492" s="268">
        <f t="shared" si="1"/>
        <v>3.894444166</v>
      </c>
      <c r="D1492" s="268">
        <f t="shared" si="2"/>
        <v>1.565749235</v>
      </c>
    </row>
    <row r="1493" ht="13.5" customHeight="1">
      <c r="B1493" s="268">
        <v>5924.0</v>
      </c>
      <c r="C1493" s="268">
        <f t="shared" si="1"/>
        <v>3.897765095</v>
      </c>
      <c r="D1493" s="268">
        <f t="shared" si="2"/>
        <v>1.566347992</v>
      </c>
    </row>
    <row r="1494" ht="13.5" customHeight="1">
      <c r="B1494" s="268">
        <v>5928.0</v>
      </c>
      <c r="C1494" s="268">
        <f t="shared" si="1"/>
        <v>3.901087294</v>
      </c>
      <c r="D1494" s="268">
        <f t="shared" si="2"/>
        <v>1.566947207</v>
      </c>
    </row>
    <row r="1495" ht="13.5" customHeight="1">
      <c r="B1495" s="268">
        <v>5932.0</v>
      </c>
      <c r="C1495" s="268">
        <f t="shared" si="1"/>
        <v>3.904410765</v>
      </c>
      <c r="D1495" s="268">
        <f t="shared" si="2"/>
        <v>1.567546881</v>
      </c>
    </row>
    <row r="1496" ht="13.5" customHeight="1">
      <c r="B1496" s="268">
        <v>5936.0</v>
      </c>
      <c r="C1496" s="268">
        <f t="shared" si="1"/>
        <v>3.907735507</v>
      </c>
      <c r="D1496" s="268">
        <f t="shared" si="2"/>
        <v>1.568147014</v>
      </c>
    </row>
    <row r="1497" ht="13.5" customHeight="1">
      <c r="B1497" s="268">
        <v>5940.0</v>
      </c>
      <c r="C1497" s="268">
        <f t="shared" si="1"/>
        <v>3.911061523</v>
      </c>
      <c r="D1497" s="268">
        <f t="shared" si="2"/>
        <v>1.568747606</v>
      </c>
    </row>
    <row r="1498" ht="13.5" customHeight="1">
      <c r="B1498" s="268">
        <v>5944.0</v>
      </c>
      <c r="C1498" s="268">
        <f t="shared" si="1"/>
        <v>3.914388813</v>
      </c>
      <c r="D1498" s="268">
        <f t="shared" si="2"/>
        <v>1.569348659</v>
      </c>
    </row>
    <row r="1499" ht="13.5" customHeight="1">
      <c r="B1499" s="268">
        <v>5948.0</v>
      </c>
      <c r="C1499" s="268">
        <f t="shared" si="1"/>
        <v>3.917717377</v>
      </c>
      <c r="D1499" s="268">
        <f t="shared" si="2"/>
        <v>1.569950172</v>
      </c>
    </row>
    <row r="1500" ht="13.5" customHeight="1">
      <c r="B1500" s="268">
        <v>5952.0</v>
      </c>
      <c r="C1500" s="268">
        <f t="shared" si="1"/>
        <v>3.921047218</v>
      </c>
      <c r="D1500" s="268">
        <f t="shared" si="2"/>
        <v>1.570552147</v>
      </c>
    </row>
    <row r="1501" ht="13.5" customHeight="1">
      <c r="B1501" s="268">
        <v>5956.0</v>
      </c>
      <c r="C1501" s="268">
        <f t="shared" si="1"/>
        <v>3.924378336</v>
      </c>
      <c r="D1501" s="268">
        <f t="shared" si="2"/>
        <v>1.571154584</v>
      </c>
    </row>
    <row r="1502" ht="13.5" customHeight="1">
      <c r="B1502" s="268">
        <v>5960.0</v>
      </c>
      <c r="C1502" s="268">
        <f t="shared" si="1"/>
        <v>3.927710732</v>
      </c>
      <c r="D1502" s="268">
        <f t="shared" si="2"/>
        <v>1.571757483</v>
      </c>
    </row>
    <row r="1503" ht="13.5" customHeight="1">
      <c r="B1503" s="268">
        <v>5964.0</v>
      </c>
      <c r="C1503" s="268">
        <f t="shared" si="1"/>
        <v>3.931044407</v>
      </c>
      <c r="D1503" s="268">
        <f t="shared" si="2"/>
        <v>1.572360845</v>
      </c>
    </row>
    <row r="1504" ht="13.5" customHeight="1">
      <c r="B1504" s="268">
        <v>5968.0</v>
      </c>
      <c r="C1504" s="268">
        <f t="shared" si="1"/>
        <v>3.934379361</v>
      </c>
      <c r="D1504" s="268">
        <f t="shared" si="2"/>
        <v>1.57296467</v>
      </c>
    </row>
    <row r="1505" ht="13.5" customHeight="1">
      <c r="B1505" s="268">
        <v>5972.0</v>
      </c>
      <c r="C1505" s="268">
        <f t="shared" si="1"/>
        <v>3.937715597</v>
      </c>
      <c r="D1505" s="268">
        <f t="shared" si="2"/>
        <v>1.573568959</v>
      </c>
    </row>
    <row r="1506" ht="13.5" customHeight="1">
      <c r="B1506" s="268">
        <v>5976.0</v>
      </c>
      <c r="C1506" s="268">
        <f t="shared" si="1"/>
        <v>3.941053115</v>
      </c>
      <c r="D1506" s="268">
        <f t="shared" si="2"/>
        <v>1.574173713</v>
      </c>
    </row>
    <row r="1507" ht="13.5" customHeight="1">
      <c r="B1507" s="268">
        <v>5980.0</v>
      </c>
      <c r="C1507" s="268">
        <f t="shared" si="1"/>
        <v>3.944391915</v>
      </c>
      <c r="D1507" s="268">
        <f t="shared" si="2"/>
        <v>1.574778931</v>
      </c>
    </row>
    <row r="1508" ht="13.5" customHeight="1">
      <c r="B1508" s="268">
        <v>5984.0</v>
      </c>
      <c r="C1508" s="268">
        <f t="shared" si="1"/>
        <v>3.947732</v>
      </c>
      <c r="D1508" s="268">
        <f t="shared" si="2"/>
        <v>1.575384615</v>
      </c>
    </row>
    <row r="1509" ht="13.5" customHeight="1">
      <c r="B1509" s="268">
        <v>5988.0</v>
      </c>
      <c r="C1509" s="268">
        <f t="shared" si="1"/>
        <v>3.951073369</v>
      </c>
      <c r="D1509" s="268">
        <f t="shared" si="2"/>
        <v>1.575990766</v>
      </c>
    </row>
    <row r="1510" ht="13.5" customHeight="1">
      <c r="B1510" s="268">
        <v>5992.0</v>
      </c>
      <c r="C1510" s="268">
        <f t="shared" si="1"/>
        <v>3.954416025</v>
      </c>
      <c r="D1510" s="268">
        <f t="shared" si="2"/>
        <v>1.576597383</v>
      </c>
    </row>
    <row r="1511" ht="13.5" customHeight="1">
      <c r="B1511" s="268">
        <v>5996.0</v>
      </c>
      <c r="C1511" s="268">
        <f t="shared" si="1"/>
        <v>3.957759967</v>
      </c>
      <c r="D1511" s="268">
        <f t="shared" si="2"/>
        <v>1.577204467</v>
      </c>
    </row>
    <row r="1512" ht="13.5" customHeight="1">
      <c r="B1512" s="268">
        <v>6000.0</v>
      </c>
      <c r="C1512" s="268">
        <f t="shared" si="1"/>
        <v>3.961105197</v>
      </c>
      <c r="D1512" s="268">
        <f t="shared" si="2"/>
        <v>1.577812018</v>
      </c>
    </row>
    <row r="1513" ht="13.5" customHeight="1">
      <c r="B1513" s="268">
        <v>6004.0</v>
      </c>
      <c r="C1513" s="268">
        <f t="shared" si="1"/>
        <v>3.964451716</v>
      </c>
      <c r="D1513" s="268">
        <f t="shared" si="2"/>
        <v>1.578420039</v>
      </c>
    </row>
    <row r="1514" ht="13.5" customHeight="1">
      <c r="B1514" s="268">
        <v>6008.0</v>
      </c>
      <c r="C1514" s="268">
        <f t="shared" si="1"/>
        <v>3.967799524</v>
      </c>
      <c r="D1514" s="268">
        <f t="shared" si="2"/>
        <v>1.579028527</v>
      </c>
    </row>
    <row r="1515" ht="13.5" customHeight="1">
      <c r="B1515" s="268">
        <v>6012.0</v>
      </c>
      <c r="C1515" s="268">
        <f t="shared" si="1"/>
        <v>3.971148624</v>
      </c>
      <c r="D1515" s="268">
        <f t="shared" si="2"/>
        <v>1.579637486</v>
      </c>
    </row>
    <row r="1516" ht="13.5" customHeight="1">
      <c r="B1516" s="268">
        <v>6016.0</v>
      </c>
      <c r="C1516" s="268">
        <f t="shared" si="1"/>
        <v>3.974499015</v>
      </c>
      <c r="D1516" s="268">
        <f t="shared" si="2"/>
        <v>1.580246914</v>
      </c>
    </row>
    <row r="1517" ht="13.5" customHeight="1">
      <c r="B1517" s="268">
        <v>6020.0</v>
      </c>
      <c r="C1517" s="268">
        <f t="shared" si="1"/>
        <v>3.9778507</v>
      </c>
      <c r="D1517" s="268">
        <f t="shared" si="2"/>
        <v>1.580856812</v>
      </c>
    </row>
    <row r="1518" ht="13.5" customHeight="1">
      <c r="B1518" s="268">
        <v>6024.0</v>
      </c>
      <c r="C1518" s="268">
        <f t="shared" si="1"/>
        <v>3.981203678</v>
      </c>
      <c r="D1518" s="268">
        <f t="shared" si="2"/>
        <v>1.581467181</v>
      </c>
    </row>
    <row r="1519" ht="13.5" customHeight="1">
      <c r="B1519" s="268">
        <v>6028.0</v>
      </c>
      <c r="C1519" s="268">
        <f t="shared" si="1"/>
        <v>3.984557951</v>
      </c>
      <c r="D1519" s="268">
        <f t="shared" si="2"/>
        <v>1.582078022</v>
      </c>
    </row>
    <row r="1520" ht="13.5" customHeight="1">
      <c r="B1520" s="268">
        <v>6032.0</v>
      </c>
      <c r="C1520" s="268">
        <f t="shared" si="1"/>
        <v>3.987913519</v>
      </c>
      <c r="D1520" s="268">
        <f t="shared" si="2"/>
        <v>1.582689335</v>
      </c>
    </row>
    <row r="1521" ht="13.5" customHeight="1">
      <c r="B1521" s="268">
        <v>6036.0</v>
      </c>
      <c r="C1521" s="268">
        <f t="shared" si="1"/>
        <v>3.991270385</v>
      </c>
      <c r="D1521" s="268">
        <f t="shared" si="2"/>
        <v>1.583301121</v>
      </c>
    </row>
    <row r="1522" ht="13.5" customHeight="1">
      <c r="B1522" s="268">
        <v>6040.0</v>
      </c>
      <c r="C1522" s="268">
        <f t="shared" si="1"/>
        <v>3.994628548</v>
      </c>
      <c r="D1522" s="268">
        <f t="shared" si="2"/>
        <v>1.58391338</v>
      </c>
    </row>
    <row r="1523" ht="13.5" customHeight="1">
      <c r="B1523" s="268">
        <v>6044.0</v>
      </c>
      <c r="C1523" s="268">
        <f t="shared" si="1"/>
        <v>3.997988011</v>
      </c>
      <c r="D1523" s="268">
        <f t="shared" si="2"/>
        <v>1.584526112</v>
      </c>
    </row>
    <row r="1524" ht="13.5" customHeight="1">
      <c r="B1524" s="268">
        <v>6048.0</v>
      </c>
      <c r="C1524" s="268">
        <f t="shared" si="1"/>
        <v>4.001348773</v>
      </c>
      <c r="D1524" s="268">
        <f t="shared" si="2"/>
        <v>1.585139319</v>
      </c>
    </row>
    <row r="1525" ht="13.5" customHeight="1">
      <c r="B1525" s="268">
        <v>6052.0</v>
      </c>
      <c r="C1525" s="268">
        <f t="shared" si="1"/>
        <v>4.004710836</v>
      </c>
      <c r="D1525" s="268">
        <f t="shared" si="2"/>
        <v>1.585753</v>
      </c>
    </row>
    <row r="1526" ht="13.5" customHeight="1">
      <c r="B1526" s="268">
        <v>6056.0</v>
      </c>
      <c r="C1526" s="268">
        <f t="shared" si="1"/>
        <v>4.008074201</v>
      </c>
      <c r="D1526" s="268">
        <f t="shared" si="2"/>
        <v>1.586367157</v>
      </c>
    </row>
    <row r="1527" ht="13.5" customHeight="1">
      <c r="B1527" s="268">
        <v>6060.0</v>
      </c>
      <c r="C1527" s="268">
        <f t="shared" si="1"/>
        <v>4.011438868</v>
      </c>
      <c r="D1527" s="268">
        <f t="shared" si="2"/>
        <v>1.58698179</v>
      </c>
    </row>
    <row r="1528" ht="13.5" customHeight="1">
      <c r="B1528" s="268">
        <v>6064.0</v>
      </c>
      <c r="C1528" s="268">
        <f t="shared" si="1"/>
        <v>4.01480484</v>
      </c>
      <c r="D1528" s="268">
        <f t="shared" si="2"/>
        <v>1.587596899</v>
      </c>
    </row>
    <row r="1529" ht="13.5" customHeight="1">
      <c r="B1529" s="268">
        <v>6068.0</v>
      </c>
      <c r="C1529" s="268">
        <f t="shared" si="1"/>
        <v>4.018172117</v>
      </c>
      <c r="D1529" s="268">
        <f t="shared" si="2"/>
        <v>1.588212485</v>
      </c>
    </row>
    <row r="1530" ht="13.5" customHeight="1">
      <c r="B1530" s="268">
        <v>6072.0</v>
      </c>
      <c r="C1530" s="268">
        <f t="shared" si="1"/>
        <v>4.021540699</v>
      </c>
      <c r="D1530" s="268">
        <f t="shared" si="2"/>
        <v>1.588828549</v>
      </c>
    </row>
    <row r="1531" ht="13.5" customHeight="1">
      <c r="B1531" s="268">
        <v>6076.0</v>
      </c>
      <c r="C1531" s="268">
        <f t="shared" si="1"/>
        <v>4.024910588</v>
      </c>
      <c r="D1531" s="268">
        <f t="shared" si="2"/>
        <v>1.589445091</v>
      </c>
    </row>
    <row r="1532" ht="13.5" customHeight="1">
      <c r="B1532" s="268">
        <v>6080.0</v>
      </c>
      <c r="C1532" s="268">
        <f t="shared" si="1"/>
        <v>4.028281786</v>
      </c>
      <c r="D1532" s="268">
        <f t="shared" si="2"/>
        <v>1.590062112</v>
      </c>
    </row>
    <row r="1533" ht="13.5" customHeight="1">
      <c r="B1533" s="268">
        <v>6084.0</v>
      </c>
      <c r="C1533" s="268">
        <f t="shared" si="1"/>
        <v>4.031654292</v>
      </c>
      <c r="D1533" s="268">
        <f t="shared" si="2"/>
        <v>1.590679612</v>
      </c>
    </row>
    <row r="1534" ht="13.5" customHeight="1">
      <c r="B1534" s="268">
        <v>6088.0</v>
      </c>
      <c r="C1534" s="268">
        <f t="shared" si="1"/>
        <v>4.035028108</v>
      </c>
      <c r="D1534" s="268">
        <f t="shared" si="2"/>
        <v>1.591297591</v>
      </c>
    </row>
    <row r="1535" ht="13.5" customHeight="1">
      <c r="B1535" s="268">
        <v>6092.0</v>
      </c>
      <c r="C1535" s="268">
        <f t="shared" si="1"/>
        <v>4.038403235</v>
      </c>
      <c r="D1535" s="268">
        <f t="shared" si="2"/>
        <v>1.591916051</v>
      </c>
    </row>
    <row r="1536" ht="13.5" customHeight="1">
      <c r="B1536" s="268">
        <v>6096.0</v>
      </c>
      <c r="C1536" s="268">
        <f t="shared" si="1"/>
        <v>4.041779674</v>
      </c>
      <c r="D1536" s="268">
        <f t="shared" si="2"/>
        <v>1.592534992</v>
      </c>
    </row>
    <row r="1537" ht="13.5" customHeight="1">
      <c r="B1537" s="268">
        <v>6100.0</v>
      </c>
      <c r="C1537" s="268">
        <f t="shared" si="1"/>
        <v>4.045157426</v>
      </c>
      <c r="D1537" s="268">
        <f t="shared" si="2"/>
        <v>1.593154415</v>
      </c>
    </row>
    <row r="1538" ht="13.5" customHeight="1">
      <c r="B1538" s="268">
        <v>6104.0</v>
      </c>
      <c r="C1538" s="268">
        <f t="shared" si="1"/>
        <v>4.048536493</v>
      </c>
      <c r="D1538" s="268">
        <f t="shared" si="2"/>
        <v>1.593774319</v>
      </c>
    </row>
    <row r="1539" ht="13.5" customHeight="1">
      <c r="B1539" s="268">
        <v>6108.0</v>
      </c>
      <c r="C1539" s="268">
        <f t="shared" si="1"/>
        <v>4.051916874</v>
      </c>
      <c r="D1539" s="268">
        <f t="shared" si="2"/>
        <v>1.594394706</v>
      </c>
    </row>
    <row r="1540" ht="13.5" customHeight="1">
      <c r="B1540" s="268">
        <v>6112.0</v>
      </c>
      <c r="C1540" s="268">
        <f t="shared" si="1"/>
        <v>4.055298571</v>
      </c>
      <c r="D1540" s="268">
        <f t="shared" si="2"/>
        <v>1.595015576</v>
      </c>
    </row>
    <row r="1541" ht="13.5" customHeight="1">
      <c r="B1541" s="268">
        <v>6116.0</v>
      </c>
      <c r="C1541" s="268">
        <f t="shared" si="1"/>
        <v>4.058681586</v>
      </c>
      <c r="D1541" s="268">
        <f t="shared" si="2"/>
        <v>1.59563693</v>
      </c>
    </row>
    <row r="1542" ht="13.5" customHeight="1">
      <c r="B1542" s="268">
        <v>6120.0</v>
      </c>
      <c r="C1542" s="268">
        <f t="shared" si="1"/>
        <v>4.062065919</v>
      </c>
      <c r="D1542" s="268">
        <f t="shared" si="2"/>
        <v>1.596258769</v>
      </c>
    </row>
    <row r="1543" ht="13.5" customHeight="1">
      <c r="B1543" s="268">
        <v>6124.0</v>
      </c>
      <c r="C1543" s="268">
        <f t="shared" si="1"/>
        <v>4.06545157</v>
      </c>
      <c r="D1543" s="268">
        <f t="shared" si="2"/>
        <v>1.596881092</v>
      </c>
    </row>
    <row r="1544" ht="13.5" customHeight="1">
      <c r="B1544" s="268">
        <v>6128.0</v>
      </c>
      <c r="C1544" s="268">
        <f t="shared" si="1"/>
        <v>4.068838542</v>
      </c>
      <c r="D1544" s="268">
        <f t="shared" si="2"/>
        <v>1.5975039</v>
      </c>
    </row>
    <row r="1545" ht="13.5" customHeight="1">
      <c r="B1545" s="268">
        <v>6132.0</v>
      </c>
      <c r="C1545" s="268">
        <f t="shared" si="1"/>
        <v>4.072226836</v>
      </c>
      <c r="D1545" s="268">
        <f t="shared" si="2"/>
        <v>1.598127195</v>
      </c>
    </row>
    <row r="1546" ht="13.5" customHeight="1">
      <c r="B1546" s="268">
        <v>6136.0</v>
      </c>
      <c r="C1546" s="268">
        <f t="shared" si="1"/>
        <v>4.075616451</v>
      </c>
      <c r="D1546" s="268">
        <f t="shared" si="2"/>
        <v>1.598750976</v>
      </c>
    </row>
    <row r="1547" ht="13.5" customHeight="1">
      <c r="B1547" s="268">
        <v>6140.0</v>
      </c>
      <c r="C1547" s="268">
        <f t="shared" si="1"/>
        <v>4.07900739</v>
      </c>
      <c r="D1547" s="268">
        <f t="shared" si="2"/>
        <v>1.599375244</v>
      </c>
    </row>
    <row r="1548" ht="13.5" customHeight="1">
      <c r="B1548" s="268">
        <v>6144.0</v>
      </c>
      <c r="C1548" s="268">
        <f t="shared" si="1"/>
        <v>4.082399653</v>
      </c>
      <c r="D1548" s="268">
        <f t="shared" si="2"/>
        <v>1.6</v>
      </c>
    </row>
    <row r="1549" ht="13.5" customHeight="1">
      <c r="B1549" s="268">
        <v>6148.0</v>
      </c>
      <c r="C1549" s="268">
        <f t="shared" si="1"/>
        <v>4.085793242</v>
      </c>
      <c r="D1549" s="268">
        <f t="shared" si="2"/>
        <v>1.600625244</v>
      </c>
    </row>
    <row r="1550" ht="13.5" customHeight="1">
      <c r="B1550" s="268">
        <v>6152.0</v>
      </c>
      <c r="C1550" s="268">
        <f t="shared" si="1"/>
        <v>4.089188157</v>
      </c>
      <c r="D1550" s="268">
        <f t="shared" si="2"/>
        <v>1.601250977</v>
      </c>
    </row>
    <row r="1551" ht="13.5" customHeight="1">
      <c r="B1551" s="268">
        <v>6156.0</v>
      </c>
      <c r="C1551" s="268">
        <f t="shared" si="1"/>
        <v>4.092584399</v>
      </c>
      <c r="D1551" s="268">
        <f t="shared" si="2"/>
        <v>1.6018772</v>
      </c>
    </row>
    <row r="1552" ht="13.5" customHeight="1">
      <c r="B1552" s="268">
        <v>6160.0</v>
      </c>
      <c r="C1552" s="268">
        <f t="shared" si="1"/>
        <v>4.09598197</v>
      </c>
      <c r="D1552" s="268">
        <f t="shared" si="2"/>
        <v>1.602503912</v>
      </c>
    </row>
    <row r="1553" ht="13.5" customHeight="1">
      <c r="B1553" s="268">
        <v>6164.0</v>
      </c>
      <c r="C1553" s="268">
        <f t="shared" si="1"/>
        <v>4.09938087</v>
      </c>
      <c r="D1553" s="268">
        <f t="shared" si="2"/>
        <v>1.603131115</v>
      </c>
    </row>
    <row r="1554" ht="13.5" customHeight="1">
      <c r="B1554" s="268">
        <v>6168.0</v>
      </c>
      <c r="C1554" s="268">
        <f t="shared" si="1"/>
        <v>4.102781101</v>
      </c>
      <c r="D1554" s="268">
        <f t="shared" si="2"/>
        <v>1.60375881</v>
      </c>
    </row>
    <row r="1555" ht="13.5" customHeight="1">
      <c r="B1555" s="268">
        <v>6172.0</v>
      </c>
      <c r="C1555" s="268">
        <f t="shared" si="1"/>
        <v>4.106182663</v>
      </c>
      <c r="D1555" s="268">
        <f t="shared" si="2"/>
        <v>1.604386996</v>
      </c>
    </row>
    <row r="1556" ht="13.5" customHeight="1">
      <c r="B1556" s="268">
        <v>6176.0</v>
      </c>
      <c r="C1556" s="268">
        <f t="shared" si="1"/>
        <v>4.109585558</v>
      </c>
      <c r="D1556" s="268">
        <f t="shared" si="2"/>
        <v>1.605015674</v>
      </c>
    </row>
    <row r="1557" ht="13.5" customHeight="1">
      <c r="B1557" s="268">
        <v>6180.0</v>
      </c>
      <c r="C1557" s="268">
        <f t="shared" si="1"/>
        <v>4.112989787</v>
      </c>
      <c r="D1557" s="268">
        <f t="shared" si="2"/>
        <v>1.605644845</v>
      </c>
    </row>
    <row r="1558" ht="13.5" customHeight="1">
      <c r="B1558" s="268">
        <v>6184.0</v>
      </c>
      <c r="C1558" s="268">
        <f t="shared" si="1"/>
        <v>4.116395351</v>
      </c>
      <c r="D1558" s="268">
        <f t="shared" si="2"/>
        <v>1.60627451</v>
      </c>
    </row>
    <row r="1559" ht="13.5" customHeight="1">
      <c r="B1559" s="268">
        <v>6188.0</v>
      </c>
      <c r="C1559" s="268">
        <f t="shared" si="1"/>
        <v>4.11980225</v>
      </c>
      <c r="D1559" s="268">
        <f t="shared" si="2"/>
        <v>1.606904668</v>
      </c>
    </row>
    <row r="1560" ht="13.5" customHeight="1">
      <c r="B1560" s="268">
        <v>6192.0</v>
      </c>
      <c r="C1560" s="268">
        <f t="shared" si="1"/>
        <v>4.123210486</v>
      </c>
      <c r="D1560" s="268">
        <f t="shared" si="2"/>
        <v>1.607535322</v>
      </c>
    </row>
    <row r="1561" ht="13.5" customHeight="1">
      <c r="B1561" s="268">
        <v>6196.0</v>
      </c>
      <c r="C1561" s="268">
        <f t="shared" si="1"/>
        <v>4.12662006</v>
      </c>
      <c r="D1561" s="268">
        <f t="shared" si="2"/>
        <v>1.60816647</v>
      </c>
    </row>
    <row r="1562" ht="13.5" customHeight="1">
      <c r="B1562" s="268">
        <v>6200.0</v>
      </c>
      <c r="C1562" s="268">
        <f t="shared" si="1"/>
        <v>4.130030973</v>
      </c>
      <c r="D1562" s="268">
        <f t="shared" si="2"/>
        <v>1.608798115</v>
      </c>
    </row>
    <row r="1563" ht="13.5" customHeight="1">
      <c r="B1563" s="268">
        <v>6204.0</v>
      </c>
      <c r="C1563" s="268">
        <f t="shared" si="1"/>
        <v>4.133443226</v>
      </c>
      <c r="D1563" s="268">
        <f t="shared" si="2"/>
        <v>1.609430255</v>
      </c>
    </row>
    <row r="1564" ht="13.5" customHeight="1">
      <c r="B1564" s="268">
        <v>6208.0</v>
      </c>
      <c r="C1564" s="268">
        <f t="shared" si="1"/>
        <v>4.13685682</v>
      </c>
      <c r="D1564" s="268">
        <f t="shared" si="2"/>
        <v>1.610062893</v>
      </c>
    </row>
    <row r="1565" ht="13.5" customHeight="1">
      <c r="B1565" s="268">
        <v>6212.0</v>
      </c>
      <c r="C1565" s="268">
        <f t="shared" si="1"/>
        <v>4.140271756</v>
      </c>
      <c r="D1565" s="268">
        <f t="shared" si="2"/>
        <v>1.610696028</v>
      </c>
    </row>
    <row r="1566" ht="13.5" customHeight="1">
      <c r="B1566" s="268">
        <v>6216.0</v>
      </c>
      <c r="C1566" s="268">
        <f t="shared" si="1"/>
        <v>4.143688035</v>
      </c>
      <c r="D1566" s="268">
        <f t="shared" si="2"/>
        <v>1.611329662</v>
      </c>
    </row>
    <row r="1567" ht="13.5" customHeight="1">
      <c r="B1567" s="268">
        <v>6220.0</v>
      </c>
      <c r="C1567" s="268">
        <f t="shared" si="1"/>
        <v>4.147105658</v>
      </c>
      <c r="D1567" s="268">
        <f t="shared" si="2"/>
        <v>1.611963794</v>
      </c>
    </row>
    <row r="1568" ht="13.5" customHeight="1">
      <c r="B1568" s="268">
        <v>6224.0</v>
      </c>
      <c r="C1568" s="268">
        <f t="shared" si="1"/>
        <v>4.150524627</v>
      </c>
      <c r="D1568" s="268">
        <f t="shared" si="2"/>
        <v>1.612598425</v>
      </c>
    </row>
    <row r="1569" ht="13.5" customHeight="1">
      <c r="B1569" s="268">
        <v>6228.0</v>
      </c>
      <c r="C1569" s="268">
        <f t="shared" si="1"/>
        <v>4.153944942</v>
      </c>
      <c r="D1569" s="268">
        <f t="shared" si="2"/>
        <v>1.613233557</v>
      </c>
    </row>
    <row r="1570" ht="13.5" customHeight="1">
      <c r="B1570" s="268">
        <v>6232.0</v>
      </c>
      <c r="C1570" s="268">
        <f t="shared" si="1"/>
        <v>4.157366604</v>
      </c>
      <c r="D1570" s="268">
        <f t="shared" si="2"/>
        <v>1.613869188</v>
      </c>
    </row>
    <row r="1571" ht="13.5" customHeight="1">
      <c r="B1571" s="268">
        <v>6236.0</v>
      </c>
      <c r="C1571" s="268">
        <f t="shared" si="1"/>
        <v>4.160789615</v>
      </c>
      <c r="D1571" s="268">
        <f t="shared" si="2"/>
        <v>1.614505321</v>
      </c>
    </row>
    <row r="1572" ht="13.5" customHeight="1">
      <c r="B1572" s="268">
        <v>6240.0</v>
      </c>
      <c r="C1572" s="268">
        <f t="shared" si="1"/>
        <v>4.164213975</v>
      </c>
      <c r="D1572" s="268">
        <f t="shared" si="2"/>
        <v>1.615141956</v>
      </c>
    </row>
    <row r="1573" ht="13.5" customHeight="1">
      <c r="B1573" s="268">
        <v>6244.0</v>
      </c>
      <c r="C1573" s="268">
        <f t="shared" si="1"/>
        <v>4.167639686</v>
      </c>
      <c r="D1573" s="268">
        <f t="shared" si="2"/>
        <v>1.615779093</v>
      </c>
    </row>
    <row r="1574" ht="13.5" customHeight="1">
      <c r="B1574" s="268">
        <v>6248.0</v>
      </c>
      <c r="C1574" s="268">
        <f t="shared" si="1"/>
        <v>4.171066748</v>
      </c>
      <c r="D1574" s="268">
        <f t="shared" si="2"/>
        <v>1.616416732</v>
      </c>
    </row>
    <row r="1575" ht="13.5" customHeight="1">
      <c r="B1575" s="268">
        <v>6252.0</v>
      </c>
      <c r="C1575" s="268">
        <f t="shared" si="1"/>
        <v>4.174495164</v>
      </c>
      <c r="D1575" s="268">
        <f t="shared" si="2"/>
        <v>1.617054876</v>
      </c>
    </row>
    <row r="1576" ht="13.5" customHeight="1">
      <c r="B1576" s="268">
        <v>6256.0</v>
      </c>
      <c r="C1576" s="268">
        <f t="shared" si="1"/>
        <v>4.177924932</v>
      </c>
      <c r="D1576" s="268">
        <f t="shared" si="2"/>
        <v>1.617693523</v>
      </c>
    </row>
    <row r="1577" ht="13.5" customHeight="1">
      <c r="B1577" s="268">
        <v>6260.0</v>
      </c>
      <c r="C1577" s="268">
        <f t="shared" si="1"/>
        <v>4.181356056</v>
      </c>
      <c r="D1577" s="268">
        <f t="shared" si="2"/>
        <v>1.618332675</v>
      </c>
    </row>
    <row r="1578" ht="13.5" customHeight="1">
      <c r="B1578" s="268">
        <v>6264.0</v>
      </c>
      <c r="C1578" s="268">
        <f t="shared" si="1"/>
        <v>4.184788536</v>
      </c>
      <c r="D1578" s="268">
        <f t="shared" si="2"/>
        <v>1.618972332</v>
      </c>
    </row>
    <row r="1579" ht="13.5" customHeight="1">
      <c r="B1579" s="268">
        <v>6268.0</v>
      </c>
      <c r="C1579" s="268">
        <f t="shared" si="1"/>
        <v>4.188222372</v>
      </c>
      <c r="D1579" s="268">
        <f t="shared" si="2"/>
        <v>1.619612495</v>
      </c>
    </row>
    <row r="1580" ht="13.5" customHeight="1">
      <c r="B1580" s="268">
        <v>6272.0</v>
      </c>
      <c r="C1580" s="268">
        <f t="shared" si="1"/>
        <v>4.191657567</v>
      </c>
      <c r="D1580" s="268">
        <f t="shared" si="2"/>
        <v>1.620253165</v>
      </c>
    </row>
    <row r="1581" ht="13.5" customHeight="1">
      <c r="B1581" s="268">
        <v>6276.0</v>
      </c>
      <c r="C1581" s="268">
        <f t="shared" si="1"/>
        <v>4.195094121</v>
      </c>
      <c r="D1581" s="268">
        <f t="shared" si="2"/>
        <v>1.620894341</v>
      </c>
    </row>
    <row r="1582" ht="13.5" customHeight="1">
      <c r="B1582" s="268">
        <v>6280.0</v>
      </c>
      <c r="C1582" s="268">
        <f t="shared" si="1"/>
        <v>4.198532035</v>
      </c>
      <c r="D1582" s="268">
        <f t="shared" si="2"/>
        <v>1.621536025</v>
      </c>
    </row>
    <row r="1583" ht="13.5" customHeight="1">
      <c r="B1583" s="268">
        <v>6284.0</v>
      </c>
      <c r="C1583" s="268">
        <f t="shared" si="1"/>
        <v>4.20197131</v>
      </c>
      <c r="D1583" s="268">
        <f t="shared" si="2"/>
        <v>1.622178218</v>
      </c>
    </row>
    <row r="1584" ht="13.5" customHeight="1">
      <c r="B1584" s="268">
        <v>6288.0</v>
      </c>
      <c r="C1584" s="268">
        <f t="shared" si="1"/>
        <v>4.205411948</v>
      </c>
      <c r="D1584" s="268">
        <f t="shared" si="2"/>
        <v>1.622820919</v>
      </c>
    </row>
    <row r="1585" ht="13.5" customHeight="1">
      <c r="B1585" s="268">
        <v>6292.0</v>
      </c>
      <c r="C1585" s="268">
        <f t="shared" si="1"/>
        <v>4.208853949</v>
      </c>
      <c r="D1585" s="268">
        <f t="shared" si="2"/>
        <v>1.62346413</v>
      </c>
    </row>
    <row r="1586" ht="13.5" customHeight="1">
      <c r="B1586" s="268">
        <v>6296.0</v>
      </c>
      <c r="C1586" s="268">
        <f t="shared" si="1"/>
        <v>4.212297315</v>
      </c>
      <c r="D1586" s="268">
        <f t="shared" si="2"/>
        <v>1.624107851</v>
      </c>
    </row>
    <row r="1587" ht="13.5" customHeight="1">
      <c r="B1587" s="268">
        <v>6300.0</v>
      </c>
      <c r="C1587" s="268">
        <f t="shared" si="1"/>
        <v>4.215742046</v>
      </c>
      <c r="D1587" s="268">
        <f t="shared" si="2"/>
        <v>1.624752083</v>
      </c>
    </row>
    <row r="1588" ht="13.5" customHeight="1">
      <c r="B1588" s="268">
        <v>6304.0</v>
      </c>
      <c r="C1588" s="268">
        <f t="shared" si="1"/>
        <v>4.219188144</v>
      </c>
      <c r="D1588" s="268">
        <f t="shared" si="2"/>
        <v>1.625396825</v>
      </c>
    </row>
    <row r="1589" ht="13.5" customHeight="1">
      <c r="B1589" s="268">
        <v>6308.0</v>
      </c>
      <c r="C1589" s="268">
        <f t="shared" si="1"/>
        <v>4.222635609</v>
      </c>
      <c r="D1589" s="268">
        <f t="shared" si="2"/>
        <v>1.62604208</v>
      </c>
    </row>
    <row r="1590" ht="13.5" customHeight="1">
      <c r="B1590" s="268">
        <v>6312.0</v>
      </c>
      <c r="C1590" s="268">
        <f t="shared" si="1"/>
        <v>4.226084444</v>
      </c>
      <c r="D1590" s="268">
        <f t="shared" si="2"/>
        <v>1.626687847</v>
      </c>
    </row>
    <row r="1591" ht="13.5" customHeight="1">
      <c r="B1591" s="268">
        <v>6316.0</v>
      </c>
      <c r="C1591" s="268">
        <f t="shared" si="1"/>
        <v>4.229534648</v>
      </c>
      <c r="D1591" s="268">
        <f t="shared" si="2"/>
        <v>1.627334128</v>
      </c>
    </row>
    <row r="1592" ht="13.5" customHeight="1">
      <c r="B1592" s="268">
        <v>6320.0</v>
      </c>
      <c r="C1592" s="268">
        <f t="shared" si="1"/>
        <v>4.232986224</v>
      </c>
      <c r="D1592" s="268">
        <f t="shared" si="2"/>
        <v>1.627980922</v>
      </c>
    </row>
    <row r="1593" ht="13.5" customHeight="1">
      <c r="B1593" s="268">
        <v>6324.0</v>
      </c>
      <c r="C1593" s="268">
        <f t="shared" si="1"/>
        <v>4.236439172</v>
      </c>
      <c r="D1593" s="268">
        <f t="shared" si="2"/>
        <v>1.628628231</v>
      </c>
    </row>
    <row r="1594" ht="13.5" customHeight="1">
      <c r="B1594" s="268">
        <v>6328.0</v>
      </c>
      <c r="C1594" s="268">
        <f t="shared" si="1"/>
        <v>4.239893492</v>
      </c>
      <c r="D1594" s="268">
        <f t="shared" si="2"/>
        <v>1.629276054</v>
      </c>
    </row>
    <row r="1595" ht="13.5" customHeight="1">
      <c r="B1595" s="268">
        <v>6332.0</v>
      </c>
      <c r="C1595" s="268">
        <f t="shared" si="1"/>
        <v>4.243349188</v>
      </c>
      <c r="D1595" s="268">
        <f t="shared" si="2"/>
        <v>1.629924393</v>
      </c>
    </row>
    <row r="1596" ht="13.5" customHeight="1">
      <c r="B1596" s="268">
        <v>6336.0</v>
      </c>
      <c r="C1596" s="268">
        <f t="shared" si="1"/>
        <v>4.246806258</v>
      </c>
      <c r="D1596" s="268">
        <f t="shared" si="2"/>
        <v>1.630573248</v>
      </c>
    </row>
    <row r="1597" ht="13.5" customHeight="1">
      <c r="B1597" s="268">
        <v>6340.0</v>
      </c>
      <c r="C1597" s="268">
        <f t="shared" si="1"/>
        <v>4.250264705</v>
      </c>
      <c r="D1597" s="268">
        <f t="shared" si="2"/>
        <v>1.63122262</v>
      </c>
    </row>
    <row r="1598" ht="13.5" customHeight="1">
      <c r="B1598" s="268">
        <v>6344.0</v>
      </c>
      <c r="C1598" s="268">
        <f t="shared" si="1"/>
        <v>4.25372453</v>
      </c>
      <c r="D1598" s="268">
        <f t="shared" si="2"/>
        <v>1.63187251</v>
      </c>
    </row>
    <row r="1599" ht="13.5" customHeight="1">
      <c r="B1599" s="268">
        <v>6348.0</v>
      </c>
      <c r="C1599" s="268">
        <f t="shared" si="1"/>
        <v>4.257185733</v>
      </c>
      <c r="D1599" s="268">
        <f t="shared" si="2"/>
        <v>1.632522917</v>
      </c>
    </row>
    <row r="1600" ht="13.5" customHeight="1">
      <c r="B1600" s="268">
        <v>6352.0</v>
      </c>
      <c r="C1600" s="268">
        <f t="shared" si="1"/>
        <v>4.260648316</v>
      </c>
      <c r="D1600" s="268">
        <f t="shared" si="2"/>
        <v>1.633173844</v>
      </c>
    </row>
    <row r="1601" ht="13.5" customHeight="1">
      <c r="B1601" s="268">
        <v>6356.0</v>
      </c>
      <c r="C1601" s="268">
        <f t="shared" si="1"/>
        <v>4.26411228</v>
      </c>
      <c r="D1601" s="268">
        <f t="shared" si="2"/>
        <v>1.633825289</v>
      </c>
    </row>
    <row r="1602" ht="13.5" customHeight="1">
      <c r="B1602" s="268">
        <v>6360.0</v>
      </c>
      <c r="C1602" s="268">
        <f t="shared" si="1"/>
        <v>4.267577626</v>
      </c>
      <c r="D1602" s="268">
        <f t="shared" si="2"/>
        <v>1.634477255</v>
      </c>
    </row>
    <row r="1603" ht="13.5" customHeight="1">
      <c r="B1603" s="268">
        <v>6364.0</v>
      </c>
      <c r="C1603" s="268">
        <f t="shared" si="1"/>
        <v>4.271044355</v>
      </c>
      <c r="D1603" s="268">
        <f t="shared" si="2"/>
        <v>1.635129741</v>
      </c>
    </row>
    <row r="1604" ht="13.5" customHeight="1">
      <c r="B1604" s="268">
        <v>6368.0</v>
      </c>
      <c r="C1604" s="268">
        <f t="shared" si="1"/>
        <v>4.274512469</v>
      </c>
      <c r="D1604" s="268">
        <f t="shared" si="2"/>
        <v>1.635782748</v>
      </c>
    </row>
    <row r="1605" ht="13.5" customHeight="1">
      <c r="B1605" s="268">
        <v>6372.0</v>
      </c>
      <c r="C1605" s="268">
        <f t="shared" si="1"/>
        <v>4.277981967</v>
      </c>
      <c r="D1605" s="268">
        <f t="shared" si="2"/>
        <v>1.636436276</v>
      </c>
    </row>
    <row r="1606" ht="13.5" customHeight="1">
      <c r="B1606" s="268">
        <v>6376.0</v>
      </c>
      <c r="C1606" s="268">
        <f t="shared" si="1"/>
        <v>4.281452852</v>
      </c>
      <c r="D1606" s="268">
        <f t="shared" si="2"/>
        <v>1.637090328</v>
      </c>
    </row>
    <row r="1607" ht="13.5" customHeight="1">
      <c r="B1607" s="268">
        <v>6380.0</v>
      </c>
      <c r="C1607" s="268">
        <f t="shared" si="1"/>
        <v>4.284925125</v>
      </c>
      <c r="D1607" s="268">
        <f t="shared" si="2"/>
        <v>1.637744902</v>
      </c>
    </row>
    <row r="1608" ht="13.5" customHeight="1">
      <c r="B1608" s="268">
        <v>6384.0</v>
      </c>
      <c r="C1608" s="268">
        <f t="shared" si="1"/>
        <v>4.288398786</v>
      </c>
      <c r="D1608" s="268">
        <f t="shared" si="2"/>
        <v>1.6384</v>
      </c>
    </row>
    <row r="1609" ht="13.5" customHeight="1">
      <c r="B1609" s="268">
        <v>6388.0</v>
      </c>
      <c r="C1609" s="268">
        <f t="shared" si="1"/>
        <v>4.291873837</v>
      </c>
      <c r="D1609" s="268">
        <f t="shared" si="2"/>
        <v>1.639055622</v>
      </c>
    </row>
    <row r="1610" ht="13.5" customHeight="1">
      <c r="B1610" s="268">
        <v>6392.0</v>
      </c>
      <c r="C1610" s="268">
        <f t="shared" si="1"/>
        <v>4.295350279</v>
      </c>
      <c r="D1610" s="268">
        <f t="shared" si="2"/>
        <v>1.639711769</v>
      </c>
    </row>
    <row r="1611" ht="13.5" customHeight="1">
      <c r="B1611" s="268">
        <v>6396.0</v>
      </c>
      <c r="C1611" s="268">
        <f t="shared" si="1"/>
        <v>4.298828112</v>
      </c>
      <c r="D1611" s="268">
        <f t="shared" si="2"/>
        <v>1.640368442</v>
      </c>
    </row>
    <row r="1612" ht="13.5" customHeight="1">
      <c r="B1612" s="268">
        <v>6400.0</v>
      </c>
      <c r="C1612" s="268">
        <f t="shared" si="1"/>
        <v>4.302307339</v>
      </c>
      <c r="D1612" s="268">
        <f t="shared" si="2"/>
        <v>1.641025641</v>
      </c>
    </row>
    <row r="1613" ht="13.5" customHeight="1">
      <c r="B1613" s="268">
        <v>6404.0</v>
      </c>
      <c r="C1613" s="268">
        <f t="shared" si="1"/>
        <v>4.30578796</v>
      </c>
      <c r="D1613" s="268">
        <f t="shared" si="2"/>
        <v>1.641683367</v>
      </c>
    </row>
    <row r="1614" ht="13.5" customHeight="1">
      <c r="B1614" s="268">
        <v>6408.0</v>
      </c>
      <c r="C1614" s="268">
        <f t="shared" si="1"/>
        <v>4.309269977</v>
      </c>
      <c r="D1614" s="268">
        <f t="shared" si="2"/>
        <v>1.64234162</v>
      </c>
    </row>
    <row r="1615" ht="13.5" customHeight="1">
      <c r="B1615" s="268">
        <v>6412.0</v>
      </c>
      <c r="C1615" s="268">
        <f t="shared" si="1"/>
        <v>4.312753389</v>
      </c>
      <c r="D1615" s="268">
        <f t="shared" si="2"/>
        <v>1.643000401</v>
      </c>
    </row>
    <row r="1616" ht="13.5" customHeight="1">
      <c r="B1616" s="268">
        <v>6416.0</v>
      </c>
      <c r="C1616" s="268">
        <f t="shared" si="1"/>
        <v>4.3162382</v>
      </c>
      <c r="D1616" s="268">
        <f t="shared" si="2"/>
        <v>1.643659711</v>
      </c>
    </row>
    <row r="1617" ht="13.5" customHeight="1">
      <c r="B1617" s="268">
        <v>6420.0</v>
      </c>
      <c r="C1617" s="268">
        <f t="shared" si="1"/>
        <v>4.319724409</v>
      </c>
      <c r="D1617" s="268">
        <f t="shared" si="2"/>
        <v>1.64431955</v>
      </c>
    </row>
    <row r="1618" ht="13.5" customHeight="1">
      <c r="B1618" s="268">
        <v>6424.0</v>
      </c>
      <c r="C1618" s="268">
        <f t="shared" si="1"/>
        <v>4.323212017</v>
      </c>
      <c r="D1618" s="268">
        <f t="shared" si="2"/>
        <v>1.64497992</v>
      </c>
    </row>
    <row r="1619" ht="13.5" customHeight="1">
      <c r="B1619" s="268">
        <v>6428.0</v>
      </c>
      <c r="C1619" s="268">
        <f t="shared" si="1"/>
        <v>4.326701027</v>
      </c>
      <c r="D1619" s="268">
        <f t="shared" si="2"/>
        <v>1.64564082</v>
      </c>
    </row>
    <row r="1620" ht="13.5" customHeight="1">
      <c r="B1620" s="268">
        <v>6432.0</v>
      </c>
      <c r="C1620" s="268">
        <f t="shared" si="1"/>
        <v>4.330191439</v>
      </c>
      <c r="D1620" s="268">
        <f t="shared" si="2"/>
        <v>1.646302251</v>
      </c>
    </row>
    <row r="1621" ht="13.5" customHeight="1">
      <c r="B1621" s="268">
        <v>6436.0</v>
      </c>
      <c r="C1621" s="268">
        <f t="shared" si="1"/>
        <v>4.333683254</v>
      </c>
      <c r="D1621" s="268">
        <f t="shared" si="2"/>
        <v>1.646964214</v>
      </c>
    </row>
    <row r="1622" ht="13.5" customHeight="1">
      <c r="B1622" s="268">
        <v>6440.0</v>
      </c>
      <c r="C1622" s="268">
        <f t="shared" si="1"/>
        <v>4.337176473</v>
      </c>
      <c r="D1622" s="268">
        <f t="shared" si="2"/>
        <v>1.64762671</v>
      </c>
    </row>
    <row r="1623" ht="13.5" customHeight="1">
      <c r="B1623" s="268">
        <v>6444.0</v>
      </c>
      <c r="C1623" s="268">
        <f t="shared" si="1"/>
        <v>4.340671098</v>
      </c>
      <c r="D1623" s="268">
        <f t="shared" si="2"/>
        <v>1.648289738</v>
      </c>
    </row>
    <row r="1624" ht="13.5" customHeight="1">
      <c r="B1624" s="268">
        <v>6448.0</v>
      </c>
      <c r="C1624" s="268">
        <f t="shared" si="1"/>
        <v>4.344167129</v>
      </c>
      <c r="D1624" s="268">
        <f t="shared" si="2"/>
        <v>1.648953301</v>
      </c>
    </row>
    <row r="1625" ht="13.5" customHeight="1">
      <c r="B1625" s="268">
        <v>6452.0</v>
      </c>
      <c r="C1625" s="268">
        <f t="shared" si="1"/>
        <v>4.347664568</v>
      </c>
      <c r="D1625" s="268">
        <f t="shared" si="2"/>
        <v>1.649617398</v>
      </c>
    </row>
    <row r="1626" ht="13.5" customHeight="1">
      <c r="B1626" s="268">
        <v>6456.0</v>
      </c>
      <c r="C1626" s="268">
        <f t="shared" si="1"/>
        <v>4.351163416</v>
      </c>
      <c r="D1626" s="268">
        <f t="shared" si="2"/>
        <v>1.650282031</v>
      </c>
    </row>
    <row r="1627" ht="13.5" customHeight="1">
      <c r="B1627" s="268">
        <v>6460.0</v>
      </c>
      <c r="C1627" s="268">
        <f t="shared" si="1"/>
        <v>4.354663674</v>
      </c>
      <c r="D1627" s="268">
        <f t="shared" si="2"/>
        <v>1.650947199</v>
      </c>
    </row>
    <row r="1628" ht="13.5" customHeight="1">
      <c r="B1628" s="268">
        <v>6464.0</v>
      </c>
      <c r="C1628" s="268">
        <f t="shared" si="1"/>
        <v>4.358165343</v>
      </c>
      <c r="D1628" s="268">
        <f t="shared" si="2"/>
        <v>1.651612903</v>
      </c>
    </row>
    <row r="1629" ht="13.5" customHeight="1">
      <c r="B1629" s="268">
        <v>6468.0</v>
      </c>
      <c r="C1629" s="268">
        <f t="shared" si="1"/>
        <v>4.361668424</v>
      </c>
      <c r="D1629" s="268">
        <f t="shared" si="2"/>
        <v>1.652279145</v>
      </c>
    </row>
    <row r="1630" ht="13.5" customHeight="1">
      <c r="B1630" s="268">
        <v>6472.0</v>
      </c>
      <c r="C1630" s="268">
        <f t="shared" si="1"/>
        <v>4.365172919</v>
      </c>
      <c r="D1630" s="268">
        <f t="shared" si="2"/>
        <v>1.652945924</v>
      </c>
    </row>
    <row r="1631" ht="13.5" customHeight="1">
      <c r="B1631" s="268">
        <v>6476.0</v>
      </c>
      <c r="C1631" s="268">
        <f t="shared" si="1"/>
        <v>4.368678828</v>
      </c>
      <c r="D1631" s="268">
        <f t="shared" si="2"/>
        <v>1.653613242</v>
      </c>
    </row>
    <row r="1632" ht="13.5" customHeight="1">
      <c r="B1632" s="268">
        <v>6480.0</v>
      </c>
      <c r="C1632" s="268">
        <f t="shared" si="1"/>
        <v>4.372186152</v>
      </c>
      <c r="D1632" s="268">
        <f t="shared" si="2"/>
        <v>1.654281099</v>
      </c>
    </row>
    <row r="1633" ht="13.5" customHeight="1">
      <c r="B1633" s="268">
        <v>6484.0</v>
      </c>
      <c r="C1633" s="268">
        <f t="shared" si="1"/>
        <v>4.375694894</v>
      </c>
      <c r="D1633" s="268">
        <f t="shared" si="2"/>
        <v>1.654949495</v>
      </c>
    </row>
    <row r="1634" ht="13.5" customHeight="1">
      <c r="B1634" s="268">
        <v>6488.0</v>
      </c>
      <c r="C1634" s="268">
        <f t="shared" si="1"/>
        <v>4.379205053</v>
      </c>
      <c r="D1634" s="268">
        <f t="shared" si="2"/>
        <v>1.655618432</v>
      </c>
    </row>
    <row r="1635" ht="13.5" customHeight="1">
      <c r="B1635" s="268">
        <v>6492.0</v>
      </c>
      <c r="C1635" s="268">
        <f t="shared" si="1"/>
        <v>4.382716632</v>
      </c>
      <c r="D1635" s="268">
        <f t="shared" si="2"/>
        <v>1.656287909</v>
      </c>
    </row>
    <row r="1636" ht="13.5" customHeight="1">
      <c r="B1636" s="268">
        <v>6496.0</v>
      </c>
      <c r="C1636" s="268">
        <f t="shared" si="1"/>
        <v>4.386229631</v>
      </c>
      <c r="D1636" s="268">
        <f t="shared" si="2"/>
        <v>1.656957929</v>
      </c>
    </row>
    <row r="1637" ht="13.5" customHeight="1">
      <c r="B1637" s="268">
        <v>6500.0</v>
      </c>
      <c r="C1637" s="268">
        <f t="shared" si="1"/>
        <v>4.389744051</v>
      </c>
      <c r="D1637" s="268">
        <f t="shared" si="2"/>
        <v>1.65762849</v>
      </c>
    </row>
    <row r="1638" ht="13.5" customHeight="1">
      <c r="B1638" s="268">
        <v>6504.0</v>
      </c>
      <c r="C1638" s="268">
        <f t="shared" si="1"/>
        <v>4.393259894</v>
      </c>
      <c r="D1638" s="268">
        <f t="shared" si="2"/>
        <v>1.658299595</v>
      </c>
    </row>
    <row r="1639" ht="13.5" customHeight="1">
      <c r="B1639" s="268">
        <v>6508.0</v>
      </c>
      <c r="C1639" s="268">
        <f t="shared" si="1"/>
        <v>4.396777161</v>
      </c>
      <c r="D1639" s="268">
        <f t="shared" si="2"/>
        <v>1.658971243</v>
      </c>
    </row>
    <row r="1640" ht="13.5" customHeight="1">
      <c r="B1640" s="268">
        <v>6512.0</v>
      </c>
      <c r="C1640" s="268">
        <f t="shared" si="1"/>
        <v>4.400295852</v>
      </c>
      <c r="D1640" s="268">
        <f t="shared" si="2"/>
        <v>1.659643436</v>
      </c>
    </row>
    <row r="1641" ht="13.5" customHeight="1">
      <c r="B1641" s="268">
        <v>6516.0</v>
      </c>
      <c r="C1641" s="268">
        <f t="shared" si="1"/>
        <v>4.40381597</v>
      </c>
      <c r="D1641" s="268">
        <f t="shared" si="2"/>
        <v>1.660316173</v>
      </c>
    </row>
    <row r="1642" ht="13.5" customHeight="1">
      <c r="B1642" s="268">
        <v>6520.0</v>
      </c>
      <c r="C1642" s="268">
        <f t="shared" si="1"/>
        <v>4.407337514</v>
      </c>
      <c r="D1642" s="268">
        <f t="shared" si="2"/>
        <v>1.660989457</v>
      </c>
    </row>
    <row r="1643" ht="13.5" customHeight="1">
      <c r="B1643" s="268">
        <v>6524.0</v>
      </c>
      <c r="C1643" s="268">
        <f t="shared" si="1"/>
        <v>4.410860487</v>
      </c>
      <c r="D1643" s="268">
        <f t="shared" si="2"/>
        <v>1.661663286</v>
      </c>
    </row>
    <row r="1644" ht="13.5" customHeight="1">
      <c r="B1644" s="268">
        <v>6528.0</v>
      </c>
      <c r="C1644" s="268">
        <f t="shared" si="1"/>
        <v>4.41438489</v>
      </c>
      <c r="D1644" s="268">
        <f t="shared" si="2"/>
        <v>1.662337662</v>
      </c>
    </row>
    <row r="1645" ht="13.5" customHeight="1">
      <c r="B1645" s="268">
        <v>6532.0</v>
      </c>
      <c r="C1645" s="268">
        <f t="shared" si="1"/>
        <v>4.417910723</v>
      </c>
      <c r="D1645" s="268">
        <f t="shared" si="2"/>
        <v>1.663012586</v>
      </c>
    </row>
    <row r="1646" ht="13.5" customHeight="1">
      <c r="B1646" s="268">
        <v>6536.0</v>
      </c>
      <c r="C1646" s="268">
        <f t="shared" si="1"/>
        <v>4.421437987</v>
      </c>
      <c r="D1646" s="268">
        <f t="shared" si="2"/>
        <v>1.663688058</v>
      </c>
    </row>
    <row r="1647" ht="13.5" customHeight="1">
      <c r="B1647" s="268">
        <v>6540.0</v>
      </c>
      <c r="C1647" s="268">
        <f t="shared" si="1"/>
        <v>4.424966685</v>
      </c>
      <c r="D1647" s="268">
        <f t="shared" si="2"/>
        <v>1.66436408</v>
      </c>
    </row>
    <row r="1648" ht="13.5" customHeight="1">
      <c r="B1648" s="268">
        <v>6544.0</v>
      </c>
      <c r="C1648" s="268">
        <f t="shared" si="1"/>
        <v>4.428496817</v>
      </c>
      <c r="D1648" s="268">
        <f t="shared" si="2"/>
        <v>1.66504065</v>
      </c>
    </row>
    <row r="1649" ht="13.5" customHeight="1">
      <c r="B1649" s="268">
        <v>6548.0</v>
      </c>
      <c r="C1649" s="268">
        <f t="shared" si="1"/>
        <v>4.432028385</v>
      </c>
      <c r="D1649" s="268">
        <f t="shared" si="2"/>
        <v>1.665717771</v>
      </c>
    </row>
    <row r="1650" ht="13.5" customHeight="1">
      <c r="B1650" s="268">
        <v>6552.0</v>
      </c>
      <c r="C1650" s="268">
        <f t="shared" si="1"/>
        <v>4.435561388</v>
      </c>
      <c r="D1650" s="268">
        <f t="shared" si="2"/>
        <v>1.666395443</v>
      </c>
    </row>
    <row r="1651" ht="13.5" customHeight="1">
      <c r="B1651" s="268">
        <v>6556.0</v>
      </c>
      <c r="C1651" s="268">
        <f t="shared" si="1"/>
        <v>4.43909583</v>
      </c>
      <c r="D1651" s="268">
        <f t="shared" si="2"/>
        <v>1.667073667</v>
      </c>
    </row>
    <row r="1652" ht="13.5" customHeight="1">
      <c r="B1652" s="268">
        <v>6560.0</v>
      </c>
      <c r="C1652" s="268">
        <f t="shared" si="1"/>
        <v>4.44263171</v>
      </c>
      <c r="D1652" s="268">
        <f t="shared" si="2"/>
        <v>1.667752443</v>
      </c>
    </row>
    <row r="1653" ht="13.5" customHeight="1">
      <c r="B1653" s="268">
        <v>6564.0</v>
      </c>
      <c r="C1653" s="268">
        <f t="shared" si="1"/>
        <v>4.44616903</v>
      </c>
      <c r="D1653" s="268">
        <f t="shared" si="2"/>
        <v>1.668431772</v>
      </c>
    </row>
    <row r="1654" ht="13.5" customHeight="1">
      <c r="B1654" s="268">
        <v>6568.0</v>
      </c>
      <c r="C1654" s="268">
        <f t="shared" si="1"/>
        <v>4.449707792</v>
      </c>
      <c r="D1654" s="268">
        <f t="shared" si="2"/>
        <v>1.669111654</v>
      </c>
    </row>
    <row r="1655" ht="13.5" customHeight="1">
      <c r="B1655" s="268">
        <v>6572.0</v>
      </c>
      <c r="C1655" s="268">
        <f t="shared" si="1"/>
        <v>4.453247995</v>
      </c>
      <c r="D1655" s="268">
        <f t="shared" si="2"/>
        <v>1.669792091</v>
      </c>
    </row>
    <row r="1656" ht="13.5" customHeight="1">
      <c r="B1656" s="268">
        <v>6576.0</v>
      </c>
      <c r="C1656" s="268">
        <f t="shared" si="1"/>
        <v>4.456789642</v>
      </c>
      <c r="D1656" s="268">
        <f t="shared" si="2"/>
        <v>1.670473083</v>
      </c>
    </row>
    <row r="1657" ht="13.5" customHeight="1">
      <c r="B1657" s="268">
        <v>6580.0</v>
      </c>
      <c r="C1657" s="268">
        <f t="shared" si="1"/>
        <v>4.460332734</v>
      </c>
      <c r="D1657" s="268">
        <f t="shared" si="2"/>
        <v>1.671154631</v>
      </c>
    </row>
    <row r="1658" ht="13.5" customHeight="1">
      <c r="B1658" s="268">
        <v>6584.0</v>
      </c>
      <c r="C1658" s="268">
        <f t="shared" si="1"/>
        <v>4.463877272</v>
      </c>
      <c r="D1658" s="268">
        <f t="shared" si="2"/>
        <v>1.671836735</v>
      </c>
    </row>
    <row r="1659" ht="13.5" customHeight="1">
      <c r="B1659" s="268">
        <v>6588.0</v>
      </c>
      <c r="C1659" s="268">
        <f t="shared" si="1"/>
        <v>4.467423257</v>
      </c>
      <c r="D1659" s="268">
        <f t="shared" si="2"/>
        <v>1.672519396</v>
      </c>
    </row>
    <row r="1660" ht="13.5" customHeight="1">
      <c r="B1660" s="268">
        <v>6592.0</v>
      </c>
      <c r="C1660" s="268">
        <f t="shared" si="1"/>
        <v>4.47097069</v>
      </c>
      <c r="D1660" s="268">
        <f t="shared" si="2"/>
        <v>1.673202614</v>
      </c>
    </row>
    <row r="1661" ht="13.5" customHeight="1">
      <c r="B1661" s="268">
        <v>6596.0</v>
      </c>
      <c r="C1661" s="268">
        <f t="shared" si="1"/>
        <v>4.474519572</v>
      </c>
      <c r="D1661" s="268">
        <f t="shared" si="2"/>
        <v>1.673886391</v>
      </c>
    </row>
    <row r="1662" ht="13.5" customHeight="1">
      <c r="B1662" s="268">
        <v>6600.0</v>
      </c>
      <c r="C1662" s="268">
        <f t="shared" si="1"/>
        <v>4.478069905</v>
      </c>
      <c r="D1662" s="268">
        <f t="shared" si="2"/>
        <v>1.674570728</v>
      </c>
    </row>
    <row r="1663" ht="13.5" customHeight="1">
      <c r="B1663" s="268">
        <v>6604.0</v>
      </c>
      <c r="C1663" s="268">
        <f t="shared" si="1"/>
        <v>4.48162169</v>
      </c>
      <c r="D1663" s="268">
        <f t="shared" si="2"/>
        <v>1.675255624</v>
      </c>
    </row>
    <row r="1664" ht="13.5" customHeight="1">
      <c r="B1664" s="268">
        <v>6608.0</v>
      </c>
      <c r="C1664" s="268">
        <f t="shared" si="1"/>
        <v>4.485174928</v>
      </c>
      <c r="D1664" s="268">
        <f t="shared" si="2"/>
        <v>1.67594108</v>
      </c>
    </row>
    <row r="1665" ht="13.5" customHeight="1">
      <c r="B1665" s="268">
        <v>6612.0</v>
      </c>
      <c r="C1665" s="268">
        <f t="shared" si="1"/>
        <v>4.48872962</v>
      </c>
      <c r="D1665" s="268">
        <f t="shared" si="2"/>
        <v>1.676627098</v>
      </c>
    </row>
    <row r="1666" ht="13.5" customHeight="1">
      <c r="B1666" s="268">
        <v>6616.0</v>
      </c>
      <c r="C1666" s="268">
        <f t="shared" si="1"/>
        <v>4.492285767</v>
      </c>
      <c r="D1666" s="268">
        <f t="shared" si="2"/>
        <v>1.677313677</v>
      </c>
    </row>
    <row r="1667" ht="13.5" customHeight="1">
      <c r="B1667" s="268">
        <v>6620.0</v>
      </c>
      <c r="C1667" s="268">
        <f t="shared" si="1"/>
        <v>4.495843371</v>
      </c>
      <c r="D1667" s="268">
        <f t="shared" si="2"/>
        <v>1.678000819</v>
      </c>
    </row>
    <row r="1668" ht="13.5" customHeight="1">
      <c r="B1668" s="268">
        <v>6624.0</v>
      </c>
      <c r="C1668" s="268">
        <f t="shared" si="1"/>
        <v>4.499402433</v>
      </c>
      <c r="D1668" s="268">
        <f t="shared" si="2"/>
        <v>1.678688525</v>
      </c>
    </row>
    <row r="1669" ht="13.5" customHeight="1">
      <c r="B1669" s="268">
        <v>6628.0</v>
      </c>
      <c r="C1669" s="268">
        <f t="shared" si="1"/>
        <v>4.502962953</v>
      </c>
      <c r="D1669" s="268">
        <f t="shared" si="2"/>
        <v>1.679376794</v>
      </c>
    </row>
    <row r="1670" ht="13.5" customHeight="1">
      <c r="B1670" s="268">
        <v>6632.0</v>
      </c>
      <c r="C1670" s="268">
        <f t="shared" si="1"/>
        <v>4.506524934</v>
      </c>
      <c r="D1670" s="268">
        <f t="shared" si="2"/>
        <v>1.680065628</v>
      </c>
    </row>
    <row r="1671" ht="13.5" customHeight="1">
      <c r="B1671" s="268">
        <v>6636.0</v>
      </c>
      <c r="C1671" s="268">
        <f t="shared" si="1"/>
        <v>4.510088376</v>
      </c>
      <c r="D1671" s="268">
        <f t="shared" si="2"/>
        <v>1.680755027</v>
      </c>
    </row>
    <row r="1672" ht="13.5" customHeight="1">
      <c r="B1672" s="268">
        <v>6640.0</v>
      </c>
      <c r="C1672" s="268">
        <f t="shared" si="1"/>
        <v>4.51365328</v>
      </c>
      <c r="D1672" s="268">
        <f t="shared" si="2"/>
        <v>1.681444992</v>
      </c>
    </row>
    <row r="1673" ht="13.5" customHeight="1">
      <c r="B1673" s="268">
        <v>6644.0</v>
      </c>
      <c r="C1673" s="268">
        <f t="shared" si="1"/>
        <v>4.517219648</v>
      </c>
      <c r="D1673" s="268">
        <f t="shared" si="2"/>
        <v>1.682135524</v>
      </c>
    </row>
    <row r="1674" ht="13.5" customHeight="1">
      <c r="B1674" s="268">
        <v>6648.0</v>
      </c>
      <c r="C1674" s="268">
        <f t="shared" si="1"/>
        <v>4.520787481</v>
      </c>
      <c r="D1674" s="268">
        <f t="shared" si="2"/>
        <v>1.682826623</v>
      </c>
    </row>
    <row r="1675" ht="13.5" customHeight="1">
      <c r="B1675" s="268">
        <v>6652.0</v>
      </c>
      <c r="C1675" s="268">
        <f t="shared" si="1"/>
        <v>4.524356781</v>
      </c>
      <c r="D1675" s="268">
        <f t="shared" si="2"/>
        <v>1.68351829</v>
      </c>
    </row>
    <row r="1676" ht="13.5" customHeight="1">
      <c r="B1676" s="268">
        <v>6656.0</v>
      </c>
      <c r="C1676" s="268">
        <f t="shared" si="1"/>
        <v>4.527927547</v>
      </c>
      <c r="D1676" s="268">
        <f t="shared" si="2"/>
        <v>1.684210526</v>
      </c>
    </row>
    <row r="1677" ht="13.5" customHeight="1">
      <c r="B1677" s="268">
        <v>6660.0</v>
      </c>
      <c r="C1677" s="268">
        <f t="shared" si="1"/>
        <v>4.531499782</v>
      </c>
      <c r="D1677" s="268">
        <f t="shared" si="2"/>
        <v>1.684903332</v>
      </c>
    </row>
    <row r="1678" ht="13.5" customHeight="1">
      <c r="B1678" s="268">
        <v>6664.0</v>
      </c>
      <c r="C1678" s="268">
        <f t="shared" si="1"/>
        <v>4.535073487</v>
      </c>
      <c r="D1678" s="268">
        <f t="shared" si="2"/>
        <v>1.685596708</v>
      </c>
    </row>
    <row r="1679" ht="13.5" customHeight="1">
      <c r="B1679" s="268">
        <v>6668.0</v>
      </c>
      <c r="C1679" s="268">
        <f t="shared" si="1"/>
        <v>4.538648663</v>
      </c>
      <c r="D1679" s="268">
        <f t="shared" si="2"/>
        <v>1.686290655</v>
      </c>
    </row>
    <row r="1680" ht="13.5" customHeight="1">
      <c r="B1680" s="268">
        <v>6672.0</v>
      </c>
      <c r="C1680" s="268">
        <f t="shared" si="1"/>
        <v>4.542225311</v>
      </c>
      <c r="D1680" s="268">
        <f t="shared" si="2"/>
        <v>1.686985173</v>
      </c>
    </row>
    <row r="1681" ht="13.5" customHeight="1">
      <c r="B1681" s="268">
        <v>6676.0</v>
      </c>
      <c r="C1681" s="268">
        <f t="shared" si="1"/>
        <v>4.545803433</v>
      </c>
      <c r="D1681" s="268">
        <f t="shared" si="2"/>
        <v>1.687680264</v>
      </c>
    </row>
    <row r="1682" ht="13.5" customHeight="1">
      <c r="B1682" s="268">
        <v>6680.0</v>
      </c>
      <c r="C1682" s="268">
        <f t="shared" si="1"/>
        <v>4.549383029</v>
      </c>
      <c r="D1682" s="268">
        <f t="shared" si="2"/>
        <v>1.688375927</v>
      </c>
    </row>
    <row r="1683" ht="13.5" customHeight="1">
      <c r="B1683" s="268">
        <v>6684.0</v>
      </c>
      <c r="C1683" s="268">
        <f t="shared" si="1"/>
        <v>4.552964101</v>
      </c>
      <c r="D1683" s="268">
        <f t="shared" si="2"/>
        <v>1.689072165</v>
      </c>
    </row>
    <row r="1684" ht="13.5" customHeight="1">
      <c r="B1684" s="268">
        <v>6688.0</v>
      </c>
      <c r="C1684" s="268">
        <f t="shared" si="1"/>
        <v>4.556546649</v>
      </c>
      <c r="D1684" s="268">
        <f t="shared" si="2"/>
        <v>1.689768977</v>
      </c>
    </row>
    <row r="1685" ht="13.5" customHeight="1">
      <c r="B1685" s="268">
        <v>6692.0</v>
      </c>
      <c r="C1685" s="268">
        <f t="shared" si="1"/>
        <v>4.560130677</v>
      </c>
      <c r="D1685" s="268">
        <f t="shared" si="2"/>
        <v>1.690466364</v>
      </c>
    </row>
    <row r="1686" ht="13.5" customHeight="1">
      <c r="B1686" s="268">
        <v>6696.0</v>
      </c>
      <c r="C1686" s="268">
        <f t="shared" si="1"/>
        <v>4.563716183</v>
      </c>
      <c r="D1686" s="268">
        <f t="shared" si="2"/>
        <v>1.691164327</v>
      </c>
    </row>
    <row r="1687" ht="13.5" customHeight="1">
      <c r="B1687" s="268">
        <v>6700.0</v>
      </c>
      <c r="C1687" s="268">
        <f t="shared" si="1"/>
        <v>4.567303171</v>
      </c>
      <c r="D1687" s="268">
        <f t="shared" si="2"/>
        <v>1.691862867</v>
      </c>
    </row>
    <row r="1688" ht="13.5" customHeight="1">
      <c r="B1688" s="268">
        <v>6704.0</v>
      </c>
      <c r="C1688" s="268">
        <f t="shared" si="1"/>
        <v>4.57089164</v>
      </c>
      <c r="D1688" s="268">
        <f t="shared" si="2"/>
        <v>1.692561983</v>
      </c>
    </row>
    <row r="1689" ht="13.5" customHeight="1">
      <c r="B1689" s="268">
        <v>6708.0</v>
      </c>
      <c r="C1689" s="268">
        <f t="shared" si="1"/>
        <v>4.574481592</v>
      </c>
      <c r="D1689" s="268">
        <f t="shared" si="2"/>
        <v>1.693261678</v>
      </c>
    </row>
    <row r="1690" ht="13.5" customHeight="1">
      <c r="B1690" s="268">
        <v>6712.0</v>
      </c>
      <c r="C1690" s="268">
        <f t="shared" si="1"/>
        <v>4.578073029</v>
      </c>
      <c r="D1690" s="268">
        <f t="shared" si="2"/>
        <v>1.693961952</v>
      </c>
    </row>
    <row r="1691" ht="13.5" customHeight="1">
      <c r="B1691" s="268">
        <v>6716.0</v>
      </c>
      <c r="C1691" s="268">
        <f t="shared" si="1"/>
        <v>4.581665951</v>
      </c>
      <c r="D1691" s="268">
        <f t="shared" si="2"/>
        <v>1.694662805</v>
      </c>
    </row>
    <row r="1692" ht="13.5" customHeight="1">
      <c r="B1692" s="268">
        <v>6720.0</v>
      </c>
      <c r="C1692" s="268">
        <f t="shared" si="1"/>
        <v>4.58526036</v>
      </c>
      <c r="D1692" s="268">
        <f t="shared" si="2"/>
        <v>1.695364238</v>
      </c>
    </row>
    <row r="1693" ht="13.5" customHeight="1">
      <c r="B1693" s="268">
        <v>6724.0</v>
      </c>
      <c r="C1693" s="268">
        <f t="shared" si="1"/>
        <v>4.588856258</v>
      </c>
      <c r="D1693" s="268">
        <f t="shared" si="2"/>
        <v>1.696066253</v>
      </c>
    </row>
    <row r="1694" ht="13.5" customHeight="1">
      <c r="B1694" s="268">
        <v>6728.0</v>
      </c>
      <c r="C1694" s="268">
        <f t="shared" si="1"/>
        <v>4.592453644</v>
      </c>
      <c r="D1694" s="268">
        <f t="shared" si="2"/>
        <v>1.696768848</v>
      </c>
    </row>
    <row r="1695" ht="13.5" customHeight="1">
      <c r="B1695" s="268">
        <v>6732.0</v>
      </c>
      <c r="C1695" s="268">
        <f t="shared" si="1"/>
        <v>4.596052521</v>
      </c>
      <c r="D1695" s="268">
        <f t="shared" si="2"/>
        <v>1.697472027</v>
      </c>
    </row>
    <row r="1696" ht="13.5" customHeight="1">
      <c r="B1696" s="268">
        <v>6736.0</v>
      </c>
      <c r="C1696" s="268">
        <f t="shared" si="1"/>
        <v>4.59965289</v>
      </c>
      <c r="D1696" s="268">
        <f t="shared" si="2"/>
        <v>1.698175788</v>
      </c>
    </row>
    <row r="1697" ht="13.5" customHeight="1">
      <c r="B1697" s="268">
        <v>6740.0</v>
      </c>
      <c r="C1697" s="268">
        <f t="shared" si="1"/>
        <v>4.603254752</v>
      </c>
      <c r="D1697" s="268">
        <f t="shared" si="2"/>
        <v>1.698880133</v>
      </c>
    </row>
    <row r="1698" ht="13.5" customHeight="1">
      <c r="B1698" s="268">
        <v>6744.0</v>
      </c>
      <c r="C1698" s="268">
        <f t="shared" si="1"/>
        <v>4.606858108</v>
      </c>
      <c r="D1698" s="268">
        <f t="shared" si="2"/>
        <v>1.699585062</v>
      </c>
    </row>
    <row r="1699" ht="13.5" customHeight="1">
      <c r="B1699" s="268">
        <v>6748.0</v>
      </c>
      <c r="C1699" s="268">
        <f t="shared" si="1"/>
        <v>4.610462959</v>
      </c>
      <c r="D1699" s="268">
        <f t="shared" si="2"/>
        <v>1.700290577</v>
      </c>
    </row>
    <row r="1700" ht="13.5" customHeight="1">
      <c r="B1700" s="268">
        <v>6752.0</v>
      </c>
      <c r="C1700" s="268">
        <f t="shared" si="1"/>
        <v>4.614069308</v>
      </c>
      <c r="D1700" s="268">
        <f t="shared" si="2"/>
        <v>1.700996678</v>
      </c>
    </row>
    <row r="1701" ht="13.5" customHeight="1">
      <c r="B1701" s="268">
        <v>6756.0</v>
      </c>
      <c r="C1701" s="268">
        <f t="shared" si="1"/>
        <v>4.617677154</v>
      </c>
      <c r="D1701" s="268">
        <f t="shared" si="2"/>
        <v>1.701703365</v>
      </c>
    </row>
    <row r="1702" ht="13.5" customHeight="1">
      <c r="B1702" s="268">
        <v>6760.0</v>
      </c>
      <c r="C1702" s="268">
        <f t="shared" si="1"/>
        <v>4.621286499</v>
      </c>
      <c r="D1702" s="268">
        <f t="shared" si="2"/>
        <v>1.70241064</v>
      </c>
    </row>
    <row r="1703" ht="13.5" customHeight="1">
      <c r="B1703" s="268">
        <v>6764.0</v>
      </c>
      <c r="C1703" s="268">
        <f t="shared" si="1"/>
        <v>4.624897345</v>
      </c>
      <c r="D1703" s="268">
        <f t="shared" si="2"/>
        <v>1.703118503</v>
      </c>
    </row>
    <row r="1704" ht="13.5" customHeight="1">
      <c r="B1704" s="268">
        <v>6768.0</v>
      </c>
      <c r="C1704" s="268">
        <f t="shared" si="1"/>
        <v>4.628509693</v>
      </c>
      <c r="D1704" s="268">
        <f t="shared" si="2"/>
        <v>1.703826955</v>
      </c>
    </row>
    <row r="1705" ht="13.5" customHeight="1">
      <c r="B1705" s="268">
        <v>6772.0</v>
      </c>
      <c r="C1705" s="268">
        <f t="shared" si="1"/>
        <v>4.632123543</v>
      </c>
      <c r="D1705" s="268">
        <f t="shared" si="2"/>
        <v>1.704535997</v>
      </c>
    </row>
    <row r="1706" ht="13.5" customHeight="1">
      <c r="B1706" s="268">
        <v>6776.0</v>
      </c>
      <c r="C1706" s="268">
        <f t="shared" si="1"/>
        <v>4.635738898</v>
      </c>
      <c r="D1706" s="268">
        <f t="shared" si="2"/>
        <v>1.705245629</v>
      </c>
    </row>
    <row r="1707" ht="13.5" customHeight="1">
      <c r="B1707" s="268">
        <v>6780.0</v>
      </c>
      <c r="C1707" s="268">
        <f t="shared" si="1"/>
        <v>4.639355758</v>
      </c>
      <c r="D1707" s="268">
        <f t="shared" si="2"/>
        <v>1.705955852</v>
      </c>
    </row>
    <row r="1708" ht="13.5" customHeight="1">
      <c r="B1708" s="268">
        <v>6784.0</v>
      </c>
      <c r="C1708" s="268">
        <f t="shared" si="1"/>
        <v>4.642974125</v>
      </c>
      <c r="D1708" s="268">
        <f t="shared" si="2"/>
        <v>1.706666667</v>
      </c>
    </row>
    <row r="1709" ht="13.5" customHeight="1">
      <c r="B1709" s="268">
        <v>6788.0</v>
      </c>
      <c r="C1709" s="268">
        <f t="shared" si="1"/>
        <v>4.646594</v>
      </c>
      <c r="D1709" s="268">
        <f t="shared" si="2"/>
        <v>1.707378074</v>
      </c>
    </row>
    <row r="1710" ht="13.5" customHeight="1">
      <c r="B1710" s="268">
        <v>6792.0</v>
      </c>
      <c r="C1710" s="268">
        <f t="shared" si="1"/>
        <v>4.650215384</v>
      </c>
      <c r="D1710" s="268">
        <f t="shared" si="2"/>
        <v>1.708090075</v>
      </c>
    </row>
    <row r="1711" ht="13.5" customHeight="1">
      <c r="B1711" s="268">
        <v>6796.0</v>
      </c>
      <c r="C1711" s="268">
        <f t="shared" si="1"/>
        <v>4.653838279</v>
      </c>
      <c r="D1711" s="268">
        <f t="shared" si="2"/>
        <v>1.70880267</v>
      </c>
    </row>
    <row r="1712" ht="13.5" customHeight="1">
      <c r="B1712" s="268">
        <v>6800.0</v>
      </c>
      <c r="C1712" s="268">
        <f t="shared" si="1"/>
        <v>4.657462685</v>
      </c>
      <c r="D1712" s="268">
        <f t="shared" si="2"/>
        <v>1.70951586</v>
      </c>
    </row>
    <row r="1713" ht="13.5" customHeight="1">
      <c r="B1713" s="268">
        <v>6804.0</v>
      </c>
      <c r="C1713" s="268">
        <f t="shared" si="1"/>
        <v>4.661088604</v>
      </c>
      <c r="D1713" s="268">
        <f t="shared" si="2"/>
        <v>1.710229645</v>
      </c>
    </row>
    <row r="1714" ht="13.5" customHeight="1">
      <c r="B1714" s="268">
        <v>6808.0</v>
      </c>
      <c r="C1714" s="268">
        <f t="shared" si="1"/>
        <v>4.664716038</v>
      </c>
      <c r="D1714" s="268">
        <f t="shared" si="2"/>
        <v>1.710944027</v>
      </c>
    </row>
    <row r="1715" ht="13.5" customHeight="1">
      <c r="B1715" s="268">
        <v>6812.0</v>
      </c>
      <c r="C1715" s="268">
        <f t="shared" si="1"/>
        <v>4.668344987</v>
      </c>
      <c r="D1715" s="268">
        <f t="shared" si="2"/>
        <v>1.711659005</v>
      </c>
    </row>
    <row r="1716" ht="13.5" customHeight="1">
      <c r="B1716" s="268">
        <v>6816.0</v>
      </c>
      <c r="C1716" s="268">
        <f t="shared" si="1"/>
        <v>4.671975453</v>
      </c>
      <c r="D1716" s="268">
        <f t="shared" si="2"/>
        <v>1.712374582</v>
      </c>
    </row>
    <row r="1717" ht="13.5" customHeight="1">
      <c r="B1717" s="268">
        <v>6820.0</v>
      </c>
      <c r="C1717" s="268">
        <f t="shared" si="1"/>
        <v>4.675607437</v>
      </c>
      <c r="D1717" s="268">
        <f t="shared" si="2"/>
        <v>1.713090757</v>
      </c>
    </row>
    <row r="1718" ht="13.5" customHeight="1">
      <c r="B1718" s="268">
        <v>6824.0</v>
      </c>
      <c r="C1718" s="268">
        <f t="shared" si="1"/>
        <v>4.67924094</v>
      </c>
      <c r="D1718" s="268">
        <f t="shared" si="2"/>
        <v>1.713807531</v>
      </c>
    </row>
    <row r="1719" ht="13.5" customHeight="1">
      <c r="B1719" s="268">
        <v>6828.0</v>
      </c>
      <c r="C1719" s="268">
        <f t="shared" si="1"/>
        <v>4.682875964</v>
      </c>
      <c r="D1719" s="268">
        <f t="shared" si="2"/>
        <v>1.714524906</v>
      </c>
    </row>
    <row r="1720" ht="13.5" customHeight="1">
      <c r="B1720" s="268">
        <v>6832.0</v>
      </c>
      <c r="C1720" s="268">
        <f t="shared" si="1"/>
        <v>4.68651251</v>
      </c>
      <c r="D1720" s="268">
        <f t="shared" si="2"/>
        <v>1.715242881</v>
      </c>
    </row>
    <row r="1721" ht="13.5" customHeight="1">
      <c r="B1721" s="268">
        <v>6836.0</v>
      </c>
      <c r="C1721" s="268">
        <f t="shared" si="1"/>
        <v>4.690150579</v>
      </c>
      <c r="D1721" s="268">
        <f t="shared" si="2"/>
        <v>1.715961458</v>
      </c>
    </row>
    <row r="1722" ht="13.5" customHeight="1">
      <c r="B1722" s="268">
        <v>6840.0</v>
      </c>
      <c r="C1722" s="268">
        <f t="shared" si="1"/>
        <v>4.693790173</v>
      </c>
      <c r="D1722" s="268">
        <f t="shared" si="2"/>
        <v>1.716680637</v>
      </c>
    </row>
    <row r="1723" ht="13.5" customHeight="1">
      <c r="B1723" s="268">
        <v>6844.0</v>
      </c>
      <c r="C1723" s="268">
        <f t="shared" si="1"/>
        <v>4.697431292</v>
      </c>
      <c r="D1723" s="268">
        <f t="shared" si="2"/>
        <v>1.717400419</v>
      </c>
    </row>
    <row r="1724" ht="13.5" customHeight="1">
      <c r="B1724" s="268">
        <v>6848.0</v>
      </c>
      <c r="C1724" s="268">
        <f t="shared" si="1"/>
        <v>4.701073938</v>
      </c>
      <c r="D1724" s="268">
        <f t="shared" si="2"/>
        <v>1.718120805</v>
      </c>
    </row>
    <row r="1725" ht="13.5" customHeight="1">
      <c r="B1725" s="268">
        <v>6852.0</v>
      </c>
      <c r="C1725" s="268">
        <f t="shared" si="1"/>
        <v>4.704718112</v>
      </c>
      <c r="D1725" s="268">
        <f t="shared" si="2"/>
        <v>1.718841796</v>
      </c>
    </row>
    <row r="1726" ht="13.5" customHeight="1">
      <c r="B1726" s="268">
        <v>6856.0</v>
      </c>
      <c r="C1726" s="268">
        <f t="shared" si="1"/>
        <v>4.708363816</v>
      </c>
      <c r="D1726" s="268">
        <f t="shared" si="2"/>
        <v>1.719563392</v>
      </c>
    </row>
    <row r="1727" ht="13.5" customHeight="1">
      <c r="B1727" s="268">
        <v>6860.0</v>
      </c>
      <c r="C1727" s="268">
        <f t="shared" si="1"/>
        <v>4.712011051</v>
      </c>
      <c r="D1727" s="268">
        <f t="shared" si="2"/>
        <v>1.720285594</v>
      </c>
    </row>
    <row r="1728" ht="13.5" customHeight="1">
      <c r="B1728" s="268">
        <v>6864.0</v>
      </c>
      <c r="C1728" s="268">
        <f t="shared" si="1"/>
        <v>4.715659818</v>
      </c>
      <c r="D1728" s="268">
        <f t="shared" si="2"/>
        <v>1.721008403</v>
      </c>
    </row>
    <row r="1729" ht="13.5" customHeight="1">
      <c r="B1729" s="268">
        <v>6868.0</v>
      </c>
      <c r="C1729" s="268">
        <f t="shared" si="1"/>
        <v>4.719310119</v>
      </c>
      <c r="D1729" s="268">
        <f t="shared" si="2"/>
        <v>1.72173182</v>
      </c>
    </row>
    <row r="1730" ht="13.5" customHeight="1">
      <c r="B1730" s="268">
        <v>6872.0</v>
      </c>
      <c r="C1730" s="268">
        <f t="shared" si="1"/>
        <v>4.722961954</v>
      </c>
      <c r="D1730" s="268">
        <f t="shared" si="2"/>
        <v>1.722455845</v>
      </c>
    </row>
    <row r="1731" ht="13.5" customHeight="1">
      <c r="B1731" s="268">
        <v>6876.0</v>
      </c>
      <c r="C1731" s="268">
        <f t="shared" si="1"/>
        <v>4.726615325</v>
      </c>
      <c r="D1731" s="268">
        <f t="shared" si="2"/>
        <v>1.72318048</v>
      </c>
    </row>
    <row r="1732" ht="13.5" customHeight="1">
      <c r="B1732" s="268">
        <v>6880.0</v>
      </c>
      <c r="C1732" s="268">
        <f t="shared" si="1"/>
        <v>4.730270233</v>
      </c>
      <c r="D1732" s="268">
        <f t="shared" si="2"/>
        <v>1.723905724</v>
      </c>
    </row>
    <row r="1733" ht="13.5" customHeight="1">
      <c r="B1733" s="268">
        <v>6884.0</v>
      </c>
      <c r="C1733" s="268">
        <f t="shared" si="1"/>
        <v>4.73392668</v>
      </c>
      <c r="D1733" s="268">
        <f t="shared" si="2"/>
        <v>1.724631579</v>
      </c>
    </row>
    <row r="1734" ht="13.5" customHeight="1">
      <c r="B1734" s="268">
        <v>6888.0</v>
      </c>
      <c r="C1734" s="268">
        <f t="shared" si="1"/>
        <v>4.737584667</v>
      </c>
      <c r="D1734" s="268">
        <f t="shared" si="2"/>
        <v>1.725358045</v>
      </c>
    </row>
    <row r="1735" ht="13.5" customHeight="1">
      <c r="B1735" s="268">
        <v>6892.0</v>
      </c>
      <c r="C1735" s="268">
        <f t="shared" si="1"/>
        <v>4.741244195</v>
      </c>
      <c r="D1735" s="268">
        <f t="shared" si="2"/>
        <v>1.726085124</v>
      </c>
    </row>
    <row r="1736" ht="13.5" customHeight="1">
      <c r="B1736" s="268">
        <v>6896.0</v>
      </c>
      <c r="C1736" s="268">
        <f t="shared" si="1"/>
        <v>4.744905266</v>
      </c>
      <c r="D1736" s="268">
        <f t="shared" si="2"/>
        <v>1.726812816</v>
      </c>
    </row>
    <row r="1737" ht="13.5" customHeight="1">
      <c r="B1737" s="268">
        <v>6900.0</v>
      </c>
      <c r="C1737" s="268">
        <f t="shared" si="1"/>
        <v>4.74856788</v>
      </c>
      <c r="D1737" s="268">
        <f t="shared" si="2"/>
        <v>1.727541122</v>
      </c>
    </row>
    <row r="1738" ht="13.5" customHeight="1">
      <c r="B1738" s="268">
        <v>6904.0</v>
      </c>
      <c r="C1738" s="268">
        <f t="shared" si="1"/>
        <v>4.752232039</v>
      </c>
      <c r="D1738" s="268">
        <f t="shared" si="2"/>
        <v>1.728270042</v>
      </c>
    </row>
    <row r="1739" ht="13.5" customHeight="1">
      <c r="B1739" s="268">
        <v>6908.0</v>
      </c>
      <c r="C1739" s="268">
        <f t="shared" si="1"/>
        <v>4.755897745</v>
      </c>
      <c r="D1739" s="268">
        <f t="shared" si="2"/>
        <v>1.728999578</v>
      </c>
    </row>
    <row r="1740" ht="13.5" customHeight="1">
      <c r="B1740" s="268">
        <v>6912.0</v>
      </c>
      <c r="C1740" s="268">
        <f t="shared" si="1"/>
        <v>4.759564998</v>
      </c>
      <c r="D1740" s="268">
        <f t="shared" si="2"/>
        <v>1.72972973</v>
      </c>
    </row>
    <row r="1741" ht="13.5" customHeight="1">
      <c r="B1741" s="268">
        <v>6916.0</v>
      </c>
      <c r="C1741" s="268">
        <f t="shared" si="1"/>
        <v>4.763233801</v>
      </c>
      <c r="D1741" s="268">
        <f t="shared" si="2"/>
        <v>1.730460499</v>
      </c>
    </row>
    <row r="1742" ht="13.5" customHeight="1">
      <c r="B1742" s="268">
        <v>6920.0</v>
      </c>
      <c r="C1742" s="268">
        <f t="shared" si="1"/>
        <v>4.766904154</v>
      </c>
      <c r="D1742" s="268">
        <f t="shared" si="2"/>
        <v>1.731191885</v>
      </c>
    </row>
    <row r="1743" ht="13.5" customHeight="1">
      <c r="B1743" s="268">
        <v>6924.0</v>
      </c>
      <c r="C1743" s="268">
        <f t="shared" si="1"/>
        <v>4.770576058</v>
      </c>
      <c r="D1743" s="268">
        <f t="shared" si="2"/>
        <v>1.73192389</v>
      </c>
    </row>
    <row r="1744" ht="13.5" customHeight="1">
      <c r="B1744" s="268">
        <v>6928.0</v>
      </c>
      <c r="C1744" s="268">
        <f t="shared" si="1"/>
        <v>4.774249515</v>
      </c>
      <c r="D1744" s="268">
        <f t="shared" si="2"/>
        <v>1.732656514</v>
      </c>
    </row>
    <row r="1745" ht="13.5" customHeight="1">
      <c r="B1745" s="268">
        <v>6932.0</v>
      </c>
      <c r="C1745" s="268">
        <f t="shared" si="1"/>
        <v>4.777924527</v>
      </c>
      <c r="D1745" s="268">
        <f t="shared" si="2"/>
        <v>1.733389759</v>
      </c>
    </row>
    <row r="1746" ht="13.5" customHeight="1">
      <c r="B1746" s="268">
        <v>6936.0</v>
      </c>
      <c r="C1746" s="268">
        <f t="shared" si="1"/>
        <v>4.781601094</v>
      </c>
      <c r="D1746" s="268">
        <f t="shared" si="2"/>
        <v>1.734123624</v>
      </c>
    </row>
    <row r="1747" ht="13.5" customHeight="1">
      <c r="B1747" s="268">
        <v>6940.0</v>
      </c>
      <c r="C1747" s="268">
        <f t="shared" si="1"/>
        <v>4.785279218</v>
      </c>
      <c r="D1747" s="268">
        <f t="shared" si="2"/>
        <v>1.734858111</v>
      </c>
    </row>
    <row r="1748" ht="13.5" customHeight="1">
      <c r="B1748" s="268">
        <v>6944.0</v>
      </c>
      <c r="C1748" s="268">
        <f t="shared" si="1"/>
        <v>4.7889589</v>
      </c>
      <c r="D1748" s="268">
        <f t="shared" si="2"/>
        <v>1.73559322</v>
      </c>
    </row>
    <row r="1749" ht="13.5" customHeight="1">
      <c r="B1749" s="268">
        <v>6948.0</v>
      </c>
      <c r="C1749" s="268">
        <f t="shared" si="1"/>
        <v>4.792640142</v>
      </c>
      <c r="D1749" s="268">
        <f t="shared" si="2"/>
        <v>1.736328953</v>
      </c>
    </row>
    <row r="1750" ht="13.5" customHeight="1">
      <c r="B1750" s="268">
        <v>6952.0</v>
      </c>
      <c r="C1750" s="268">
        <f t="shared" si="1"/>
        <v>4.796322944</v>
      </c>
      <c r="D1750" s="268">
        <f t="shared" si="2"/>
        <v>1.73706531</v>
      </c>
    </row>
    <row r="1751" ht="13.5" customHeight="1">
      <c r="B1751" s="268">
        <v>6956.0</v>
      </c>
      <c r="C1751" s="268">
        <f t="shared" si="1"/>
        <v>4.800007309</v>
      </c>
      <c r="D1751" s="268">
        <f t="shared" si="2"/>
        <v>1.737802291</v>
      </c>
    </row>
    <row r="1752" ht="13.5" customHeight="1">
      <c r="B1752" s="268">
        <v>6960.0</v>
      </c>
      <c r="C1752" s="268">
        <f t="shared" si="1"/>
        <v>4.803693237</v>
      </c>
      <c r="D1752" s="268">
        <f t="shared" si="2"/>
        <v>1.738539898</v>
      </c>
    </row>
    <row r="1753" ht="13.5" customHeight="1">
      <c r="B1753" s="268">
        <v>6964.0</v>
      </c>
      <c r="C1753" s="268">
        <f t="shared" si="1"/>
        <v>4.80738073</v>
      </c>
      <c r="D1753" s="268">
        <f t="shared" si="2"/>
        <v>1.739278132</v>
      </c>
    </row>
    <row r="1754" ht="13.5" customHeight="1">
      <c r="B1754" s="268">
        <v>6968.0</v>
      </c>
      <c r="C1754" s="268">
        <f t="shared" si="1"/>
        <v>4.811069789</v>
      </c>
      <c r="D1754" s="268">
        <f t="shared" si="2"/>
        <v>1.740016992</v>
      </c>
    </row>
    <row r="1755" ht="13.5" customHeight="1">
      <c r="B1755" s="268">
        <v>6972.0</v>
      </c>
      <c r="C1755" s="268">
        <f t="shared" si="1"/>
        <v>4.814760416</v>
      </c>
      <c r="D1755" s="268">
        <f t="shared" si="2"/>
        <v>1.740756481</v>
      </c>
    </row>
    <row r="1756" ht="13.5" customHeight="1">
      <c r="B1756" s="268">
        <v>6976.0</v>
      </c>
      <c r="C1756" s="268">
        <f t="shared" si="1"/>
        <v>4.818452611</v>
      </c>
      <c r="D1756" s="268">
        <f t="shared" si="2"/>
        <v>1.741496599</v>
      </c>
    </row>
    <row r="1757" ht="13.5" customHeight="1">
      <c r="B1757" s="268">
        <v>6980.0</v>
      </c>
      <c r="C1757" s="268">
        <f t="shared" si="1"/>
        <v>4.822146377</v>
      </c>
      <c r="D1757" s="268">
        <f t="shared" si="2"/>
        <v>1.742237346</v>
      </c>
    </row>
    <row r="1758" ht="13.5" customHeight="1">
      <c r="B1758" s="268">
        <v>6984.0</v>
      </c>
      <c r="C1758" s="268">
        <f t="shared" si="1"/>
        <v>4.825841714</v>
      </c>
      <c r="D1758" s="268">
        <f t="shared" si="2"/>
        <v>1.742978723</v>
      </c>
    </row>
    <row r="1759" ht="13.5" customHeight="1">
      <c r="B1759" s="268">
        <v>6988.0</v>
      </c>
      <c r="C1759" s="268">
        <f t="shared" si="1"/>
        <v>4.829538624</v>
      </c>
      <c r="D1759" s="268">
        <f t="shared" si="2"/>
        <v>1.743720732</v>
      </c>
    </row>
    <row r="1760" ht="13.5" customHeight="1">
      <c r="B1760" s="268">
        <v>6992.0</v>
      </c>
      <c r="C1760" s="268">
        <f t="shared" si="1"/>
        <v>4.833237108</v>
      </c>
      <c r="D1760" s="268">
        <f t="shared" si="2"/>
        <v>1.744463373</v>
      </c>
    </row>
    <row r="1761" ht="13.5" customHeight="1">
      <c r="B1761" s="268">
        <v>6996.0</v>
      </c>
      <c r="C1761" s="268">
        <f t="shared" si="1"/>
        <v>4.836937167</v>
      </c>
      <c r="D1761" s="268">
        <f t="shared" si="2"/>
        <v>1.745206647</v>
      </c>
    </row>
    <row r="1762" ht="13.5" customHeight="1">
      <c r="B1762" s="268">
        <v>7000.0</v>
      </c>
      <c r="C1762" s="268">
        <f t="shared" si="1"/>
        <v>4.840638804</v>
      </c>
      <c r="D1762" s="268">
        <f t="shared" si="2"/>
        <v>1.745950554</v>
      </c>
    </row>
    <row r="1763" ht="13.5" customHeight="1">
      <c r="B1763" s="268">
        <v>7004.0</v>
      </c>
      <c r="C1763" s="268">
        <f t="shared" si="1"/>
        <v>4.844342018</v>
      </c>
      <c r="D1763" s="268">
        <f t="shared" si="2"/>
        <v>1.746695096</v>
      </c>
    </row>
    <row r="1764" ht="13.5" customHeight="1">
      <c r="B1764" s="268">
        <v>7008.0</v>
      </c>
      <c r="C1764" s="268">
        <f t="shared" si="1"/>
        <v>4.848046812</v>
      </c>
      <c r="D1764" s="268">
        <f t="shared" si="2"/>
        <v>1.747440273</v>
      </c>
    </row>
    <row r="1765" ht="13.5" customHeight="1">
      <c r="B1765" s="268">
        <v>7012.0</v>
      </c>
      <c r="C1765" s="268">
        <f t="shared" si="1"/>
        <v>4.851753187</v>
      </c>
      <c r="D1765" s="268">
        <f t="shared" si="2"/>
        <v>1.748186086</v>
      </c>
    </row>
    <row r="1766" ht="13.5" customHeight="1">
      <c r="B1766" s="268">
        <v>7016.0</v>
      </c>
      <c r="C1766" s="268">
        <f t="shared" si="1"/>
        <v>4.855461145</v>
      </c>
      <c r="D1766" s="268">
        <f t="shared" si="2"/>
        <v>1.748932536</v>
      </c>
    </row>
    <row r="1767" ht="13.5" customHeight="1">
      <c r="B1767" s="268">
        <v>7020.0</v>
      </c>
      <c r="C1767" s="268">
        <f t="shared" si="1"/>
        <v>4.859170685</v>
      </c>
      <c r="D1767" s="268">
        <f t="shared" si="2"/>
        <v>1.749679624</v>
      </c>
    </row>
    <row r="1768" ht="13.5" customHeight="1">
      <c r="B1768" s="268">
        <v>7024.0</v>
      </c>
      <c r="C1768" s="268">
        <f t="shared" si="1"/>
        <v>4.862881811</v>
      </c>
      <c r="D1768" s="268">
        <f t="shared" si="2"/>
        <v>1.75042735</v>
      </c>
    </row>
    <row r="1769" ht="13.5" customHeight="1">
      <c r="B1769" s="268">
        <v>7028.0</v>
      </c>
      <c r="C1769" s="268">
        <f t="shared" si="1"/>
        <v>4.866594523</v>
      </c>
      <c r="D1769" s="268">
        <f t="shared" si="2"/>
        <v>1.751175716</v>
      </c>
    </row>
    <row r="1770" ht="13.5" customHeight="1">
      <c r="B1770" s="268">
        <v>7032.0</v>
      </c>
      <c r="C1770" s="268">
        <f t="shared" si="1"/>
        <v>4.870308823</v>
      </c>
      <c r="D1770" s="268">
        <f t="shared" si="2"/>
        <v>1.751924722</v>
      </c>
    </row>
    <row r="1771" ht="13.5" customHeight="1">
      <c r="B1771" s="268">
        <v>7036.0</v>
      </c>
      <c r="C1771" s="268">
        <f t="shared" si="1"/>
        <v>4.874024712</v>
      </c>
      <c r="D1771" s="268">
        <f t="shared" si="2"/>
        <v>1.752674369</v>
      </c>
    </row>
    <row r="1772" ht="13.5" customHeight="1">
      <c r="B1772" s="268">
        <v>7040.0</v>
      </c>
      <c r="C1772" s="268">
        <f t="shared" si="1"/>
        <v>4.877742191</v>
      </c>
      <c r="D1772" s="268">
        <f t="shared" si="2"/>
        <v>1.753424658</v>
      </c>
    </row>
    <row r="1773" ht="13.5" customHeight="1">
      <c r="B1773" s="268">
        <v>7044.0</v>
      </c>
      <c r="C1773" s="268">
        <f t="shared" si="1"/>
        <v>4.881461261</v>
      </c>
      <c r="D1773" s="268">
        <f t="shared" si="2"/>
        <v>1.754175589</v>
      </c>
    </row>
    <row r="1774" ht="13.5" customHeight="1">
      <c r="B1774" s="268">
        <v>7048.0</v>
      </c>
      <c r="C1774" s="268">
        <f t="shared" si="1"/>
        <v>4.885181925</v>
      </c>
      <c r="D1774" s="268">
        <f t="shared" si="2"/>
        <v>1.754927164</v>
      </c>
    </row>
    <row r="1775" ht="13.5" customHeight="1">
      <c r="B1775" s="268">
        <v>7052.0</v>
      </c>
      <c r="C1775" s="268">
        <f t="shared" si="1"/>
        <v>4.888904183</v>
      </c>
      <c r="D1775" s="268">
        <f t="shared" si="2"/>
        <v>1.755679383</v>
      </c>
    </row>
    <row r="1776" ht="13.5" customHeight="1">
      <c r="B1776" s="268">
        <v>7056.0</v>
      </c>
      <c r="C1776" s="268">
        <f t="shared" si="1"/>
        <v>4.892628038</v>
      </c>
      <c r="D1776" s="268">
        <f t="shared" si="2"/>
        <v>1.756432247</v>
      </c>
    </row>
    <row r="1777" ht="13.5" customHeight="1">
      <c r="B1777" s="268">
        <v>7060.0</v>
      </c>
      <c r="C1777" s="268">
        <f t="shared" si="1"/>
        <v>4.896353489</v>
      </c>
      <c r="D1777" s="268">
        <f t="shared" si="2"/>
        <v>1.757185757</v>
      </c>
    </row>
    <row r="1778" ht="13.5" customHeight="1">
      <c r="B1778" s="268">
        <v>7064.0</v>
      </c>
      <c r="C1778" s="268">
        <f t="shared" si="1"/>
        <v>4.900080539</v>
      </c>
      <c r="D1778" s="268">
        <f t="shared" si="2"/>
        <v>1.757939914</v>
      </c>
    </row>
    <row r="1779" ht="13.5" customHeight="1">
      <c r="B1779" s="268">
        <v>7068.0</v>
      </c>
      <c r="C1779" s="268">
        <f t="shared" si="1"/>
        <v>4.903809189</v>
      </c>
      <c r="D1779" s="268">
        <f t="shared" si="2"/>
        <v>1.758694719</v>
      </c>
    </row>
    <row r="1780" ht="13.5" customHeight="1">
      <c r="B1780" s="268">
        <v>7072.0</v>
      </c>
      <c r="C1780" s="268">
        <f t="shared" si="1"/>
        <v>4.90753944</v>
      </c>
      <c r="D1780" s="268">
        <f t="shared" si="2"/>
        <v>1.759450172</v>
      </c>
    </row>
    <row r="1781" ht="13.5" customHeight="1">
      <c r="B1781" s="268">
        <v>7076.0</v>
      </c>
      <c r="C1781" s="268">
        <f t="shared" si="1"/>
        <v>4.911271294</v>
      </c>
      <c r="D1781" s="268">
        <f t="shared" si="2"/>
        <v>1.760206274</v>
      </c>
    </row>
    <row r="1782" ht="13.5" customHeight="1">
      <c r="B1782" s="268">
        <v>7080.0</v>
      </c>
      <c r="C1782" s="268">
        <f t="shared" si="1"/>
        <v>4.915004752</v>
      </c>
      <c r="D1782" s="268">
        <f t="shared" si="2"/>
        <v>1.760963027</v>
      </c>
    </row>
    <row r="1783" ht="13.5" customHeight="1">
      <c r="B1783" s="268">
        <v>7084.0</v>
      </c>
      <c r="C1783" s="268">
        <f t="shared" si="1"/>
        <v>4.918739815</v>
      </c>
      <c r="D1783" s="268">
        <f t="shared" si="2"/>
        <v>1.76172043</v>
      </c>
    </row>
    <row r="1784" ht="13.5" customHeight="1">
      <c r="B1784" s="268">
        <v>7088.0</v>
      </c>
      <c r="C1784" s="268">
        <f t="shared" si="1"/>
        <v>4.922476485</v>
      </c>
      <c r="D1784" s="268">
        <f t="shared" si="2"/>
        <v>1.762478485</v>
      </c>
    </row>
    <row r="1785" ht="13.5" customHeight="1">
      <c r="B1785" s="268">
        <v>7092.0</v>
      </c>
      <c r="C1785" s="268">
        <f t="shared" si="1"/>
        <v>4.926214763</v>
      </c>
      <c r="D1785" s="268">
        <f t="shared" si="2"/>
        <v>1.763237193</v>
      </c>
    </row>
    <row r="1786" ht="13.5" customHeight="1">
      <c r="B1786" s="268">
        <v>7096.0</v>
      </c>
      <c r="C1786" s="268">
        <f t="shared" si="1"/>
        <v>4.929954651</v>
      </c>
      <c r="D1786" s="268">
        <f t="shared" si="2"/>
        <v>1.763996555</v>
      </c>
    </row>
    <row r="1787" ht="13.5" customHeight="1">
      <c r="B1787" s="268">
        <v>7100.0</v>
      </c>
      <c r="C1787" s="268">
        <f t="shared" si="1"/>
        <v>4.93369615</v>
      </c>
      <c r="D1787" s="268">
        <f t="shared" si="2"/>
        <v>1.76475657</v>
      </c>
    </row>
    <row r="1788" ht="13.5" customHeight="1">
      <c r="B1788" s="268">
        <v>7104.0</v>
      </c>
      <c r="C1788" s="268">
        <f t="shared" si="1"/>
        <v>4.937439262</v>
      </c>
      <c r="D1788" s="268">
        <f t="shared" si="2"/>
        <v>1.765517241</v>
      </c>
    </row>
    <row r="1789" ht="13.5" customHeight="1">
      <c r="B1789" s="268">
        <v>7108.0</v>
      </c>
      <c r="C1789" s="268">
        <f t="shared" si="1"/>
        <v>4.941183987</v>
      </c>
      <c r="D1789" s="268">
        <f t="shared" si="2"/>
        <v>1.766278568</v>
      </c>
    </row>
    <row r="1790" ht="13.5" customHeight="1">
      <c r="B1790" s="268">
        <v>7112.0</v>
      </c>
      <c r="C1790" s="268">
        <f t="shared" si="1"/>
        <v>4.944930327</v>
      </c>
      <c r="D1790" s="268">
        <f t="shared" si="2"/>
        <v>1.767040552</v>
      </c>
    </row>
    <row r="1791" ht="13.5" customHeight="1">
      <c r="B1791" s="268">
        <v>7116.0</v>
      </c>
      <c r="C1791" s="268">
        <f t="shared" si="1"/>
        <v>4.948678284</v>
      </c>
      <c r="D1791" s="268">
        <f t="shared" si="2"/>
        <v>1.767803194</v>
      </c>
    </row>
    <row r="1792" ht="13.5" customHeight="1">
      <c r="B1792" s="268">
        <v>7120.0</v>
      </c>
      <c r="C1792" s="268">
        <f t="shared" si="1"/>
        <v>4.952427858</v>
      </c>
      <c r="D1792" s="268">
        <f t="shared" si="2"/>
        <v>1.768566494</v>
      </c>
    </row>
    <row r="1793" ht="13.5" customHeight="1">
      <c r="B1793" s="268">
        <v>7124.0</v>
      </c>
      <c r="C1793" s="268">
        <f t="shared" si="1"/>
        <v>4.956179052</v>
      </c>
      <c r="D1793" s="268">
        <f t="shared" si="2"/>
        <v>1.769330454</v>
      </c>
    </row>
    <row r="1794" ht="13.5" customHeight="1">
      <c r="B1794" s="268">
        <v>7128.0</v>
      </c>
      <c r="C1794" s="268">
        <f t="shared" si="1"/>
        <v>4.959931867</v>
      </c>
      <c r="D1794" s="268">
        <f t="shared" si="2"/>
        <v>1.770095073</v>
      </c>
    </row>
    <row r="1795" ht="13.5" customHeight="1">
      <c r="B1795" s="268">
        <v>7132.0</v>
      </c>
      <c r="C1795" s="268">
        <f t="shared" si="1"/>
        <v>4.963686304</v>
      </c>
      <c r="D1795" s="268">
        <f t="shared" si="2"/>
        <v>1.770860355</v>
      </c>
    </row>
    <row r="1796" ht="13.5" customHeight="1">
      <c r="B1796" s="268">
        <v>7136.0</v>
      </c>
      <c r="C1796" s="268">
        <f t="shared" si="1"/>
        <v>4.967442364</v>
      </c>
      <c r="D1796" s="268">
        <f t="shared" si="2"/>
        <v>1.771626298</v>
      </c>
    </row>
    <row r="1797" ht="13.5" customHeight="1">
      <c r="B1797" s="268">
        <v>7140.0</v>
      </c>
      <c r="C1797" s="268">
        <f t="shared" si="1"/>
        <v>4.97120005</v>
      </c>
      <c r="D1797" s="268">
        <f t="shared" si="2"/>
        <v>1.772392904</v>
      </c>
    </row>
    <row r="1798" ht="13.5" customHeight="1">
      <c r="B1798" s="268">
        <v>7144.0</v>
      </c>
      <c r="C1798" s="268">
        <f t="shared" si="1"/>
        <v>4.974959362</v>
      </c>
      <c r="D1798" s="268">
        <f t="shared" si="2"/>
        <v>1.773160173</v>
      </c>
    </row>
    <row r="1799" ht="13.5" customHeight="1">
      <c r="B1799" s="268">
        <v>7148.0</v>
      </c>
      <c r="C1799" s="268">
        <f t="shared" si="1"/>
        <v>4.978720301</v>
      </c>
      <c r="D1799" s="268">
        <f t="shared" si="2"/>
        <v>1.773928107</v>
      </c>
    </row>
    <row r="1800" ht="13.5" customHeight="1">
      <c r="B1800" s="268">
        <v>7152.0</v>
      </c>
      <c r="C1800" s="268">
        <f t="shared" si="1"/>
        <v>4.98248287</v>
      </c>
      <c r="D1800" s="268">
        <f t="shared" si="2"/>
        <v>1.774696707</v>
      </c>
    </row>
    <row r="1801" ht="13.5" customHeight="1">
      <c r="B1801" s="268">
        <v>7156.0</v>
      </c>
      <c r="C1801" s="268">
        <f t="shared" si="1"/>
        <v>4.986247069</v>
      </c>
      <c r="D1801" s="268">
        <f t="shared" si="2"/>
        <v>1.775465973</v>
      </c>
    </row>
    <row r="1802" ht="13.5" customHeight="1">
      <c r="B1802" s="268">
        <v>7160.0</v>
      </c>
      <c r="C1802" s="268">
        <f t="shared" si="1"/>
        <v>4.9900129</v>
      </c>
      <c r="D1802" s="268">
        <f t="shared" si="2"/>
        <v>1.776235906</v>
      </c>
    </row>
    <row r="1803" ht="13.5" customHeight="1">
      <c r="B1803" s="268">
        <v>7164.0</v>
      </c>
      <c r="C1803" s="268">
        <f t="shared" si="1"/>
        <v>4.993780365</v>
      </c>
      <c r="D1803" s="268">
        <f t="shared" si="2"/>
        <v>1.777006508</v>
      </c>
    </row>
    <row r="1804" ht="13.5" customHeight="1">
      <c r="B1804" s="268">
        <v>7168.0</v>
      </c>
      <c r="C1804" s="268">
        <f t="shared" si="1"/>
        <v>4.997549464</v>
      </c>
      <c r="D1804" s="268">
        <f t="shared" si="2"/>
        <v>1.777777778</v>
      </c>
    </row>
    <row r="1805" ht="13.5" customHeight="1">
      <c r="B1805" s="268">
        <v>7172.0</v>
      </c>
      <c r="C1805" s="268">
        <f t="shared" si="1"/>
        <v>5.0013202</v>
      </c>
      <c r="D1805" s="268">
        <f t="shared" si="2"/>
        <v>1.778549718</v>
      </c>
    </row>
    <row r="1806" ht="13.5" customHeight="1">
      <c r="B1806" s="268">
        <v>7176.0</v>
      </c>
      <c r="C1806" s="268">
        <f t="shared" si="1"/>
        <v>5.005092573</v>
      </c>
      <c r="D1806" s="268">
        <f t="shared" si="2"/>
        <v>1.779322328</v>
      </c>
    </row>
    <row r="1807" ht="13.5" customHeight="1">
      <c r="B1807" s="268">
        <v>7180.0</v>
      </c>
      <c r="C1807" s="268">
        <f t="shared" si="1"/>
        <v>5.008866586</v>
      </c>
      <c r="D1807" s="268">
        <f t="shared" si="2"/>
        <v>1.780095611</v>
      </c>
    </row>
    <row r="1808" ht="13.5" customHeight="1">
      <c r="B1808" s="268">
        <v>7184.0</v>
      </c>
      <c r="C1808" s="268">
        <f t="shared" si="1"/>
        <v>5.012642239</v>
      </c>
      <c r="D1808" s="268">
        <f t="shared" si="2"/>
        <v>1.780869565</v>
      </c>
    </row>
    <row r="1809" ht="13.5" customHeight="1">
      <c r="B1809" s="268">
        <v>7188.0</v>
      </c>
      <c r="C1809" s="268">
        <f t="shared" si="1"/>
        <v>5.016419534</v>
      </c>
      <c r="D1809" s="268">
        <f t="shared" si="2"/>
        <v>1.781644193</v>
      </c>
    </row>
    <row r="1810" ht="13.5" customHeight="1">
      <c r="B1810" s="268">
        <v>7192.0</v>
      </c>
      <c r="C1810" s="268">
        <f t="shared" si="1"/>
        <v>5.020198472</v>
      </c>
      <c r="D1810" s="268">
        <f t="shared" si="2"/>
        <v>1.782419495</v>
      </c>
    </row>
    <row r="1811" ht="13.5" customHeight="1">
      <c r="B1811" s="268">
        <v>7196.0</v>
      </c>
      <c r="C1811" s="268">
        <f t="shared" si="1"/>
        <v>5.023979055</v>
      </c>
      <c r="D1811" s="268">
        <f t="shared" si="2"/>
        <v>1.783195472</v>
      </c>
    </row>
    <row r="1812" ht="13.5" customHeight="1">
      <c r="B1812" s="268">
        <v>7200.0</v>
      </c>
      <c r="C1812" s="268">
        <f t="shared" si="1"/>
        <v>5.027761285</v>
      </c>
      <c r="D1812" s="268">
        <f t="shared" si="2"/>
        <v>1.783972125</v>
      </c>
    </row>
    <row r="1813" ht="13.5" customHeight="1">
      <c r="B1813" s="268">
        <v>7204.0</v>
      </c>
      <c r="C1813" s="268">
        <f t="shared" si="1"/>
        <v>5.031545162</v>
      </c>
      <c r="D1813" s="268">
        <f t="shared" si="2"/>
        <v>1.784749455</v>
      </c>
    </row>
    <row r="1814" ht="13.5" customHeight="1">
      <c r="B1814" s="268">
        <v>7208.0</v>
      </c>
      <c r="C1814" s="268">
        <f t="shared" si="1"/>
        <v>5.035330688</v>
      </c>
      <c r="D1814" s="268">
        <f t="shared" si="2"/>
        <v>1.785527463</v>
      </c>
    </row>
    <row r="1815" ht="13.5" customHeight="1">
      <c r="B1815" s="268">
        <v>7212.0</v>
      </c>
      <c r="C1815" s="268">
        <f t="shared" si="1"/>
        <v>5.039117865</v>
      </c>
      <c r="D1815" s="268">
        <f t="shared" si="2"/>
        <v>1.786306149</v>
      </c>
    </row>
    <row r="1816" ht="13.5" customHeight="1">
      <c r="B1816" s="268">
        <v>7216.0</v>
      </c>
      <c r="C1816" s="268">
        <f t="shared" si="1"/>
        <v>5.042906693</v>
      </c>
      <c r="D1816" s="268">
        <f t="shared" si="2"/>
        <v>1.787085515</v>
      </c>
    </row>
    <row r="1817" ht="13.5" customHeight="1">
      <c r="B1817" s="268">
        <v>7220.0</v>
      </c>
      <c r="C1817" s="268">
        <f t="shared" si="1"/>
        <v>5.046697176</v>
      </c>
      <c r="D1817" s="268">
        <f t="shared" si="2"/>
        <v>1.787865561</v>
      </c>
    </row>
    <row r="1818" ht="13.5" customHeight="1">
      <c r="B1818" s="268">
        <v>7224.0</v>
      </c>
      <c r="C1818" s="268">
        <f t="shared" si="1"/>
        <v>5.050489313</v>
      </c>
      <c r="D1818" s="268">
        <f t="shared" si="2"/>
        <v>1.788646288</v>
      </c>
    </row>
    <row r="1819" ht="13.5" customHeight="1">
      <c r="B1819" s="268">
        <v>7228.0</v>
      </c>
      <c r="C1819" s="268">
        <f t="shared" si="1"/>
        <v>5.054283106</v>
      </c>
      <c r="D1819" s="268">
        <f t="shared" si="2"/>
        <v>1.789427698</v>
      </c>
    </row>
    <row r="1820" ht="13.5" customHeight="1">
      <c r="B1820" s="268">
        <v>7232.0</v>
      </c>
      <c r="C1820" s="268">
        <f t="shared" si="1"/>
        <v>5.058078557</v>
      </c>
      <c r="D1820" s="268">
        <f t="shared" si="2"/>
        <v>1.79020979</v>
      </c>
    </row>
    <row r="1821" ht="13.5" customHeight="1">
      <c r="B1821" s="268">
        <v>7236.0</v>
      </c>
      <c r="C1821" s="268">
        <f t="shared" si="1"/>
        <v>5.061875667</v>
      </c>
      <c r="D1821" s="268">
        <f t="shared" si="2"/>
        <v>1.790992567</v>
      </c>
    </row>
    <row r="1822" ht="13.5" customHeight="1">
      <c r="B1822" s="268">
        <v>7240.0</v>
      </c>
      <c r="C1822" s="268">
        <f t="shared" si="1"/>
        <v>5.065674438</v>
      </c>
      <c r="D1822" s="268">
        <f t="shared" si="2"/>
        <v>1.791776028</v>
      </c>
    </row>
    <row r="1823" ht="13.5" customHeight="1">
      <c r="B1823" s="268">
        <v>7244.0</v>
      </c>
      <c r="C1823" s="268">
        <f t="shared" si="1"/>
        <v>5.069474871</v>
      </c>
      <c r="D1823" s="268">
        <f t="shared" si="2"/>
        <v>1.792560175</v>
      </c>
    </row>
    <row r="1824" ht="13.5" customHeight="1">
      <c r="B1824" s="268">
        <v>7248.0</v>
      </c>
      <c r="C1824" s="268">
        <f t="shared" si="1"/>
        <v>5.073276968</v>
      </c>
      <c r="D1824" s="268">
        <f t="shared" si="2"/>
        <v>1.793345009</v>
      </c>
    </row>
    <row r="1825" ht="13.5" customHeight="1">
      <c r="B1825" s="268">
        <v>7252.0</v>
      </c>
      <c r="C1825" s="268">
        <f t="shared" si="1"/>
        <v>5.07708073</v>
      </c>
      <c r="D1825" s="268">
        <f t="shared" si="2"/>
        <v>1.79413053</v>
      </c>
    </row>
    <row r="1826" ht="13.5" customHeight="1">
      <c r="B1826" s="268">
        <v>7256.0</v>
      </c>
      <c r="C1826" s="268">
        <f t="shared" si="1"/>
        <v>5.080886158</v>
      </c>
      <c r="D1826" s="268">
        <f t="shared" si="2"/>
        <v>1.79491674</v>
      </c>
    </row>
    <row r="1827" ht="13.5" customHeight="1">
      <c r="B1827" s="268">
        <v>7260.0</v>
      </c>
      <c r="C1827" s="268">
        <f t="shared" si="1"/>
        <v>5.084693254</v>
      </c>
      <c r="D1827" s="268">
        <f t="shared" si="2"/>
        <v>1.795703639</v>
      </c>
    </row>
    <row r="1828" ht="13.5" customHeight="1">
      <c r="B1828" s="268">
        <v>7264.0</v>
      </c>
      <c r="C1828" s="268">
        <f t="shared" si="1"/>
        <v>5.088502019</v>
      </c>
      <c r="D1828" s="268">
        <f t="shared" si="2"/>
        <v>1.796491228</v>
      </c>
    </row>
    <row r="1829" ht="13.5" customHeight="1">
      <c r="B1829" s="268">
        <v>7268.0</v>
      </c>
      <c r="C1829" s="268">
        <f t="shared" si="1"/>
        <v>5.092312456</v>
      </c>
      <c r="D1829" s="268">
        <f t="shared" si="2"/>
        <v>1.797279509</v>
      </c>
    </row>
    <row r="1830" ht="13.5" customHeight="1">
      <c r="B1830" s="268">
        <v>7272.0</v>
      </c>
      <c r="C1830" s="268">
        <f t="shared" si="1"/>
        <v>5.096124564</v>
      </c>
      <c r="D1830" s="268">
        <f t="shared" si="2"/>
        <v>1.798068481</v>
      </c>
    </row>
    <row r="1831" ht="13.5" customHeight="1">
      <c r="B1831" s="268">
        <v>7276.0</v>
      </c>
      <c r="C1831" s="268">
        <f t="shared" si="1"/>
        <v>5.099938347</v>
      </c>
      <c r="D1831" s="268">
        <f t="shared" si="2"/>
        <v>1.798858147</v>
      </c>
    </row>
    <row r="1832" ht="13.5" customHeight="1">
      <c r="B1832" s="268">
        <v>7280.0</v>
      </c>
      <c r="C1832" s="268">
        <f t="shared" si="1"/>
        <v>5.103753805</v>
      </c>
      <c r="D1832" s="268">
        <f t="shared" si="2"/>
        <v>1.799648506</v>
      </c>
    </row>
    <row r="1833" ht="13.5" customHeight="1">
      <c r="B1833" s="268">
        <v>7284.0</v>
      </c>
      <c r="C1833" s="268">
        <f t="shared" si="1"/>
        <v>5.107570939</v>
      </c>
      <c r="D1833" s="268">
        <f t="shared" si="2"/>
        <v>1.80043956</v>
      </c>
    </row>
    <row r="1834" ht="13.5" customHeight="1">
      <c r="B1834" s="268">
        <v>7288.0</v>
      </c>
      <c r="C1834" s="268">
        <f t="shared" si="1"/>
        <v>5.111389752</v>
      </c>
      <c r="D1834" s="268">
        <f t="shared" si="2"/>
        <v>1.80123131</v>
      </c>
    </row>
    <row r="1835" ht="13.5" customHeight="1">
      <c r="B1835" s="268">
        <v>7292.0</v>
      </c>
      <c r="C1835" s="268">
        <f t="shared" si="1"/>
        <v>5.115210245</v>
      </c>
      <c r="D1835" s="268">
        <f t="shared" si="2"/>
        <v>1.802023757</v>
      </c>
    </row>
    <row r="1836" ht="13.5" customHeight="1">
      <c r="B1836" s="268">
        <v>7296.0</v>
      </c>
      <c r="C1836" s="268">
        <f t="shared" si="1"/>
        <v>5.119032419</v>
      </c>
      <c r="D1836" s="268">
        <f t="shared" si="2"/>
        <v>1.802816901</v>
      </c>
    </row>
    <row r="1837" ht="13.5" customHeight="1">
      <c r="B1837" s="268">
        <v>7300.0</v>
      </c>
      <c r="C1837" s="268">
        <f t="shared" si="1"/>
        <v>5.122856275</v>
      </c>
      <c r="D1837" s="268">
        <f t="shared" si="2"/>
        <v>1.803610744</v>
      </c>
    </row>
    <row r="1838" ht="13.5" customHeight="1">
      <c r="B1838" s="268">
        <v>7304.0</v>
      </c>
      <c r="C1838" s="268">
        <f t="shared" si="1"/>
        <v>5.126681815</v>
      </c>
      <c r="D1838" s="268">
        <f t="shared" si="2"/>
        <v>1.804405286</v>
      </c>
    </row>
    <row r="1839" ht="13.5" customHeight="1">
      <c r="B1839" s="268">
        <v>7308.0</v>
      </c>
      <c r="C1839" s="268">
        <f t="shared" si="1"/>
        <v>5.130509042</v>
      </c>
      <c r="D1839" s="268">
        <f t="shared" si="2"/>
        <v>1.805200529</v>
      </c>
    </row>
    <row r="1840" ht="13.5" customHeight="1">
      <c r="B1840" s="268">
        <v>7312.0</v>
      </c>
      <c r="C1840" s="268">
        <f t="shared" si="1"/>
        <v>5.134337955</v>
      </c>
      <c r="D1840" s="268">
        <f t="shared" si="2"/>
        <v>1.805996473</v>
      </c>
    </row>
    <row r="1841" ht="13.5" customHeight="1">
      <c r="B1841" s="268">
        <v>7316.0</v>
      </c>
      <c r="C1841" s="268">
        <f t="shared" si="1"/>
        <v>5.138168557</v>
      </c>
      <c r="D1841" s="268">
        <f t="shared" si="2"/>
        <v>1.806793119</v>
      </c>
    </row>
    <row r="1842" ht="13.5" customHeight="1">
      <c r="B1842" s="268">
        <v>7320.0</v>
      </c>
      <c r="C1842" s="268">
        <f t="shared" si="1"/>
        <v>5.142000849</v>
      </c>
      <c r="D1842" s="268">
        <f t="shared" si="2"/>
        <v>1.807590468</v>
      </c>
    </row>
    <row r="1843" ht="13.5" customHeight="1">
      <c r="B1843" s="268">
        <v>7324.0</v>
      </c>
      <c r="C1843" s="268">
        <f t="shared" si="1"/>
        <v>5.145834832</v>
      </c>
      <c r="D1843" s="268">
        <f t="shared" si="2"/>
        <v>1.808388521</v>
      </c>
    </row>
    <row r="1844" ht="13.5" customHeight="1">
      <c r="B1844" s="268">
        <v>7328.0</v>
      </c>
      <c r="C1844" s="268">
        <f t="shared" si="1"/>
        <v>5.149670509</v>
      </c>
      <c r="D1844" s="268">
        <f t="shared" si="2"/>
        <v>1.809187279</v>
      </c>
    </row>
    <row r="1845" ht="13.5" customHeight="1">
      <c r="B1845" s="268">
        <v>7332.0</v>
      </c>
      <c r="C1845" s="268">
        <f t="shared" si="1"/>
        <v>5.15350788</v>
      </c>
      <c r="D1845" s="268">
        <f t="shared" si="2"/>
        <v>1.809986743</v>
      </c>
    </row>
    <row r="1846" ht="13.5" customHeight="1">
      <c r="B1846" s="268">
        <v>7336.0</v>
      </c>
      <c r="C1846" s="268">
        <f t="shared" si="1"/>
        <v>5.157346948</v>
      </c>
      <c r="D1846" s="268">
        <f t="shared" si="2"/>
        <v>1.810786914</v>
      </c>
    </row>
    <row r="1847" ht="13.5" customHeight="1">
      <c r="B1847" s="268">
        <v>7340.0</v>
      </c>
      <c r="C1847" s="268">
        <f t="shared" si="1"/>
        <v>5.161187712</v>
      </c>
      <c r="D1847" s="268">
        <f t="shared" si="2"/>
        <v>1.811587793</v>
      </c>
    </row>
    <row r="1848" ht="13.5" customHeight="1">
      <c r="B1848" s="268">
        <v>7344.0</v>
      </c>
      <c r="C1848" s="268">
        <f t="shared" si="1"/>
        <v>5.165030176</v>
      </c>
      <c r="D1848" s="268">
        <f t="shared" si="2"/>
        <v>1.812389381</v>
      </c>
    </row>
    <row r="1849" ht="13.5" customHeight="1">
      <c r="B1849" s="268">
        <v>7348.0</v>
      </c>
      <c r="C1849" s="268">
        <f t="shared" si="1"/>
        <v>5.168874341</v>
      </c>
      <c r="D1849" s="268">
        <f t="shared" si="2"/>
        <v>1.813191678</v>
      </c>
    </row>
    <row r="1850" ht="13.5" customHeight="1">
      <c r="B1850" s="268">
        <v>7352.0</v>
      </c>
      <c r="C1850" s="268">
        <f t="shared" si="1"/>
        <v>5.172720208</v>
      </c>
      <c r="D1850" s="268">
        <f t="shared" si="2"/>
        <v>1.813994686</v>
      </c>
    </row>
    <row r="1851" ht="13.5" customHeight="1">
      <c r="B1851" s="268">
        <v>7356.0</v>
      </c>
      <c r="C1851" s="268">
        <f t="shared" si="1"/>
        <v>5.176567778</v>
      </c>
      <c r="D1851" s="268">
        <f t="shared" si="2"/>
        <v>1.814798405</v>
      </c>
    </row>
    <row r="1852" ht="13.5" customHeight="1">
      <c r="B1852" s="268">
        <v>7360.0</v>
      </c>
      <c r="C1852" s="268">
        <f t="shared" si="1"/>
        <v>5.180417053</v>
      </c>
      <c r="D1852" s="268">
        <f t="shared" si="2"/>
        <v>1.815602837</v>
      </c>
    </row>
    <row r="1853" ht="13.5" customHeight="1">
      <c r="B1853" s="268">
        <v>7364.0</v>
      </c>
      <c r="C1853" s="268">
        <f t="shared" si="1"/>
        <v>5.184268035</v>
      </c>
      <c r="D1853" s="268">
        <f t="shared" si="2"/>
        <v>1.816407982</v>
      </c>
    </row>
    <row r="1854" ht="13.5" customHeight="1">
      <c r="B1854" s="268">
        <v>7368.0</v>
      </c>
      <c r="C1854" s="268">
        <f t="shared" si="1"/>
        <v>5.188120725</v>
      </c>
      <c r="D1854" s="268">
        <f t="shared" si="2"/>
        <v>1.817213842</v>
      </c>
    </row>
    <row r="1855" ht="13.5" customHeight="1">
      <c r="B1855" s="268">
        <v>7372.0</v>
      </c>
      <c r="C1855" s="268">
        <f t="shared" si="1"/>
        <v>5.191975125</v>
      </c>
      <c r="D1855" s="268">
        <f t="shared" si="2"/>
        <v>1.818020417</v>
      </c>
    </row>
    <row r="1856" ht="13.5" customHeight="1">
      <c r="B1856" s="268">
        <v>7376.0</v>
      </c>
      <c r="C1856" s="268">
        <f t="shared" si="1"/>
        <v>5.195831236</v>
      </c>
      <c r="D1856" s="268">
        <f t="shared" si="2"/>
        <v>1.818827709</v>
      </c>
    </row>
    <row r="1857" ht="13.5" customHeight="1">
      <c r="B1857" s="268">
        <v>7380.0</v>
      </c>
      <c r="C1857" s="268">
        <f t="shared" si="1"/>
        <v>5.199689059</v>
      </c>
      <c r="D1857" s="268">
        <f t="shared" si="2"/>
        <v>1.819635717</v>
      </c>
    </row>
    <row r="1858" ht="13.5" customHeight="1">
      <c r="B1858" s="268">
        <v>7384.0</v>
      </c>
      <c r="C1858" s="268">
        <f t="shared" si="1"/>
        <v>5.203548597</v>
      </c>
      <c r="D1858" s="268">
        <f t="shared" si="2"/>
        <v>1.820444444</v>
      </c>
    </row>
    <row r="1859" ht="13.5" customHeight="1">
      <c r="B1859" s="268">
        <v>7388.0</v>
      </c>
      <c r="C1859" s="268">
        <f t="shared" si="1"/>
        <v>5.207409851</v>
      </c>
      <c r="D1859" s="268">
        <f t="shared" si="2"/>
        <v>1.821253891</v>
      </c>
    </row>
    <row r="1860" ht="13.5" customHeight="1">
      <c r="B1860" s="268">
        <v>7392.0</v>
      </c>
      <c r="C1860" s="268">
        <f t="shared" si="1"/>
        <v>5.211272821</v>
      </c>
      <c r="D1860" s="268">
        <f t="shared" si="2"/>
        <v>1.822064057</v>
      </c>
    </row>
    <row r="1861" ht="13.5" customHeight="1">
      <c r="B1861" s="268">
        <v>7396.0</v>
      </c>
      <c r="C1861" s="268">
        <f t="shared" si="1"/>
        <v>5.215137511</v>
      </c>
      <c r="D1861" s="268">
        <f t="shared" si="2"/>
        <v>1.822874944</v>
      </c>
    </row>
    <row r="1862" ht="13.5" customHeight="1">
      <c r="B1862" s="268">
        <v>7400.0</v>
      </c>
      <c r="C1862" s="268">
        <f t="shared" si="1"/>
        <v>5.219003921</v>
      </c>
      <c r="D1862" s="268">
        <f t="shared" si="2"/>
        <v>1.823686554</v>
      </c>
    </row>
    <row r="1863" ht="13.5" customHeight="1">
      <c r="B1863" s="268">
        <v>7404.0</v>
      </c>
      <c r="C1863" s="268">
        <f t="shared" si="1"/>
        <v>5.222872053</v>
      </c>
      <c r="D1863" s="268">
        <f t="shared" si="2"/>
        <v>1.824498886</v>
      </c>
    </row>
    <row r="1864" ht="13.5" customHeight="1">
      <c r="B1864" s="268">
        <v>7408.0</v>
      </c>
      <c r="C1864" s="268">
        <f t="shared" si="1"/>
        <v>5.226741908</v>
      </c>
      <c r="D1864" s="268">
        <f t="shared" si="2"/>
        <v>1.825311943</v>
      </c>
    </row>
    <row r="1865" ht="13.5" customHeight="1">
      <c r="B1865" s="268">
        <v>7412.0</v>
      </c>
      <c r="C1865" s="268">
        <f t="shared" si="1"/>
        <v>5.230613488</v>
      </c>
      <c r="D1865" s="268">
        <f t="shared" si="2"/>
        <v>1.826125724</v>
      </c>
    </row>
    <row r="1866" ht="13.5" customHeight="1">
      <c r="B1866" s="268">
        <v>7416.0</v>
      </c>
      <c r="C1866" s="268">
        <f t="shared" si="1"/>
        <v>5.234486794</v>
      </c>
      <c r="D1866" s="268">
        <f t="shared" si="2"/>
        <v>1.826940232</v>
      </c>
    </row>
    <row r="1867" ht="13.5" customHeight="1">
      <c r="B1867" s="268">
        <v>7420.0</v>
      </c>
      <c r="C1867" s="268">
        <f t="shared" si="1"/>
        <v>5.238361829</v>
      </c>
      <c r="D1867" s="268">
        <f t="shared" si="2"/>
        <v>1.827755466</v>
      </c>
    </row>
    <row r="1868" ht="13.5" customHeight="1">
      <c r="B1868" s="268">
        <v>7424.0</v>
      </c>
      <c r="C1868" s="268">
        <f t="shared" si="1"/>
        <v>5.242238593</v>
      </c>
      <c r="D1868" s="268">
        <f t="shared" si="2"/>
        <v>1.828571429</v>
      </c>
    </row>
    <row r="1869" ht="13.5" customHeight="1">
      <c r="B1869" s="268">
        <v>7428.0</v>
      </c>
      <c r="C1869" s="268">
        <f t="shared" si="1"/>
        <v>5.246117088</v>
      </c>
      <c r="D1869" s="268">
        <f t="shared" si="2"/>
        <v>1.82938812</v>
      </c>
    </row>
    <row r="1870" ht="13.5" customHeight="1">
      <c r="B1870" s="268">
        <v>7432.0</v>
      </c>
      <c r="C1870" s="268">
        <f t="shared" si="1"/>
        <v>5.249997316</v>
      </c>
      <c r="D1870" s="268">
        <f t="shared" si="2"/>
        <v>1.830205541</v>
      </c>
    </row>
    <row r="1871" ht="13.5" customHeight="1">
      <c r="B1871" s="268">
        <v>7436.0</v>
      </c>
      <c r="C1871" s="268">
        <f t="shared" si="1"/>
        <v>5.253879277</v>
      </c>
      <c r="D1871" s="268">
        <f t="shared" si="2"/>
        <v>1.831023692</v>
      </c>
    </row>
    <row r="1872" ht="13.5" customHeight="1">
      <c r="B1872" s="268">
        <v>7440.0</v>
      </c>
      <c r="C1872" s="268">
        <f t="shared" si="1"/>
        <v>5.257762975</v>
      </c>
      <c r="D1872" s="268">
        <f t="shared" si="2"/>
        <v>1.831842576</v>
      </c>
    </row>
    <row r="1873" ht="13.5" customHeight="1">
      <c r="B1873" s="268">
        <v>7444.0</v>
      </c>
      <c r="C1873" s="268">
        <f t="shared" si="1"/>
        <v>5.26164841</v>
      </c>
      <c r="D1873" s="268">
        <f t="shared" si="2"/>
        <v>1.832662192</v>
      </c>
    </row>
    <row r="1874" ht="13.5" customHeight="1">
      <c r="B1874" s="268">
        <v>7448.0</v>
      </c>
      <c r="C1874" s="268">
        <f t="shared" si="1"/>
        <v>5.265535584</v>
      </c>
      <c r="D1874" s="268">
        <f t="shared" si="2"/>
        <v>1.833482543</v>
      </c>
    </row>
    <row r="1875" ht="13.5" customHeight="1">
      <c r="B1875" s="268">
        <v>7452.0</v>
      </c>
      <c r="C1875" s="268">
        <f t="shared" si="1"/>
        <v>5.269424498</v>
      </c>
      <c r="D1875" s="268">
        <f t="shared" si="2"/>
        <v>1.834303627</v>
      </c>
    </row>
    <row r="1876" ht="13.5" customHeight="1">
      <c r="B1876" s="268">
        <v>7456.0</v>
      </c>
      <c r="C1876" s="268">
        <f t="shared" si="1"/>
        <v>5.273315154</v>
      </c>
      <c r="D1876" s="268">
        <f t="shared" si="2"/>
        <v>1.835125448</v>
      </c>
    </row>
    <row r="1877" ht="13.5" customHeight="1">
      <c r="B1877" s="268">
        <v>7460.0</v>
      </c>
      <c r="C1877" s="268">
        <f t="shared" si="1"/>
        <v>5.277207554</v>
      </c>
      <c r="D1877" s="268">
        <f t="shared" si="2"/>
        <v>1.835948005</v>
      </c>
    </row>
    <row r="1878" ht="13.5" customHeight="1">
      <c r="B1878" s="268">
        <v>7464.0</v>
      </c>
      <c r="C1878" s="268">
        <f t="shared" si="1"/>
        <v>5.281101698</v>
      </c>
      <c r="D1878" s="268">
        <f t="shared" si="2"/>
        <v>1.8367713</v>
      </c>
    </row>
    <row r="1879" ht="13.5" customHeight="1">
      <c r="B1879" s="268">
        <v>7468.0</v>
      </c>
      <c r="C1879" s="268">
        <f t="shared" si="1"/>
        <v>5.28499759</v>
      </c>
      <c r="D1879" s="268">
        <f t="shared" si="2"/>
        <v>1.837595334</v>
      </c>
    </row>
    <row r="1880" ht="13.5" customHeight="1">
      <c r="B1880" s="268">
        <v>7472.0</v>
      </c>
      <c r="C1880" s="268">
        <f t="shared" si="1"/>
        <v>5.288895229</v>
      </c>
      <c r="D1880" s="268">
        <f t="shared" si="2"/>
        <v>1.838420108</v>
      </c>
    </row>
    <row r="1881" ht="13.5" customHeight="1">
      <c r="B1881" s="268">
        <v>7476.0</v>
      </c>
      <c r="C1881" s="268">
        <f t="shared" si="1"/>
        <v>5.292794619</v>
      </c>
      <c r="D1881" s="268">
        <f t="shared" si="2"/>
        <v>1.839245622</v>
      </c>
    </row>
    <row r="1882" ht="13.5" customHeight="1">
      <c r="B1882" s="268">
        <v>7480.0</v>
      </c>
      <c r="C1882" s="268">
        <f t="shared" si="1"/>
        <v>5.296695759</v>
      </c>
      <c r="D1882" s="268">
        <f t="shared" si="2"/>
        <v>1.840071878</v>
      </c>
    </row>
    <row r="1883" ht="13.5" customHeight="1">
      <c r="B1883" s="268">
        <v>7484.0</v>
      </c>
      <c r="C1883" s="268">
        <f t="shared" si="1"/>
        <v>5.300598653</v>
      </c>
      <c r="D1883" s="268">
        <f t="shared" si="2"/>
        <v>1.840898876</v>
      </c>
    </row>
    <row r="1884" ht="13.5" customHeight="1">
      <c r="B1884" s="268">
        <v>7488.0</v>
      </c>
      <c r="C1884" s="268">
        <f t="shared" si="1"/>
        <v>5.304503301</v>
      </c>
      <c r="D1884" s="268">
        <f t="shared" si="2"/>
        <v>1.841726619</v>
      </c>
    </row>
    <row r="1885" ht="13.5" customHeight="1">
      <c r="B1885" s="268">
        <v>7492.0</v>
      </c>
      <c r="C1885" s="268">
        <f t="shared" si="1"/>
        <v>5.308409705</v>
      </c>
      <c r="D1885" s="268">
        <f t="shared" si="2"/>
        <v>1.842555106</v>
      </c>
    </row>
    <row r="1886" ht="13.5" customHeight="1">
      <c r="B1886" s="268">
        <v>7496.0</v>
      </c>
      <c r="C1886" s="268">
        <f t="shared" si="1"/>
        <v>5.312317867</v>
      </c>
      <c r="D1886" s="268">
        <f t="shared" si="2"/>
        <v>1.843384338</v>
      </c>
    </row>
    <row r="1887" ht="13.5" customHeight="1">
      <c r="B1887" s="268">
        <v>7500.0</v>
      </c>
      <c r="C1887" s="268">
        <f t="shared" si="1"/>
        <v>5.316227788</v>
      </c>
      <c r="D1887" s="268">
        <f t="shared" si="2"/>
        <v>1.844214318</v>
      </c>
    </row>
    <row r="1888" ht="13.5" customHeight="1">
      <c r="B1888" s="268">
        <v>7504.0</v>
      </c>
      <c r="C1888" s="268">
        <f t="shared" si="1"/>
        <v>5.32013947</v>
      </c>
      <c r="D1888" s="268">
        <f t="shared" si="2"/>
        <v>1.845045045</v>
      </c>
    </row>
    <row r="1889" ht="13.5" customHeight="1">
      <c r="B1889" s="268">
        <v>7508.0</v>
      </c>
      <c r="C1889" s="268">
        <f t="shared" si="1"/>
        <v>5.324052915</v>
      </c>
      <c r="D1889" s="268">
        <f t="shared" si="2"/>
        <v>1.845876521</v>
      </c>
    </row>
    <row r="1890" ht="13.5" customHeight="1">
      <c r="B1890" s="268">
        <v>7512.0</v>
      </c>
      <c r="C1890" s="268">
        <f t="shared" si="1"/>
        <v>5.327968123</v>
      </c>
      <c r="D1890" s="268">
        <f t="shared" si="2"/>
        <v>1.846708747</v>
      </c>
    </row>
    <row r="1891" ht="13.5" customHeight="1">
      <c r="B1891" s="268">
        <v>7516.0</v>
      </c>
      <c r="C1891" s="268">
        <f t="shared" si="1"/>
        <v>5.331885097</v>
      </c>
      <c r="D1891" s="268">
        <f t="shared" si="2"/>
        <v>1.847541723</v>
      </c>
    </row>
    <row r="1892" ht="13.5" customHeight="1">
      <c r="B1892" s="268">
        <v>7520.0</v>
      </c>
      <c r="C1892" s="268">
        <f t="shared" si="1"/>
        <v>5.335803838</v>
      </c>
      <c r="D1892" s="268">
        <f t="shared" si="2"/>
        <v>1.848375451</v>
      </c>
    </row>
    <row r="1893" ht="13.5" customHeight="1">
      <c r="B1893" s="268">
        <v>7524.0</v>
      </c>
      <c r="C1893" s="268">
        <f t="shared" si="1"/>
        <v>5.339724348</v>
      </c>
      <c r="D1893" s="268">
        <f t="shared" si="2"/>
        <v>1.849209932</v>
      </c>
    </row>
    <row r="1894" ht="13.5" customHeight="1">
      <c r="B1894" s="268">
        <v>7528.0</v>
      </c>
      <c r="C1894" s="268">
        <f t="shared" si="1"/>
        <v>5.343646629</v>
      </c>
      <c r="D1894" s="268">
        <f t="shared" si="2"/>
        <v>1.850045167</v>
      </c>
    </row>
    <row r="1895" ht="13.5" customHeight="1">
      <c r="B1895" s="268">
        <v>7532.0</v>
      </c>
      <c r="C1895" s="268">
        <f t="shared" si="1"/>
        <v>5.347570681</v>
      </c>
      <c r="D1895" s="268">
        <f t="shared" si="2"/>
        <v>1.850881157</v>
      </c>
    </row>
    <row r="1896" ht="13.5" customHeight="1">
      <c r="B1896" s="268">
        <v>7536.0</v>
      </c>
      <c r="C1896" s="268">
        <f t="shared" si="1"/>
        <v>5.351496507</v>
      </c>
      <c r="D1896" s="268">
        <f t="shared" si="2"/>
        <v>1.851717902</v>
      </c>
    </row>
    <row r="1897" ht="13.5" customHeight="1">
      <c r="B1897" s="268">
        <v>7540.0</v>
      </c>
      <c r="C1897" s="268">
        <f t="shared" si="1"/>
        <v>5.355424108</v>
      </c>
      <c r="D1897" s="268">
        <f t="shared" si="2"/>
        <v>1.852555405</v>
      </c>
    </row>
    <row r="1898" ht="13.5" customHeight="1">
      <c r="B1898" s="268">
        <v>7544.0</v>
      </c>
      <c r="C1898" s="268">
        <f t="shared" si="1"/>
        <v>5.359353486</v>
      </c>
      <c r="D1898" s="268">
        <f t="shared" si="2"/>
        <v>1.853393665</v>
      </c>
    </row>
    <row r="1899" ht="13.5" customHeight="1">
      <c r="B1899" s="268">
        <v>7548.0</v>
      </c>
      <c r="C1899" s="268">
        <f t="shared" si="1"/>
        <v>5.363284642</v>
      </c>
      <c r="D1899" s="268">
        <f t="shared" si="2"/>
        <v>1.854232684</v>
      </c>
    </row>
    <row r="1900" ht="13.5" customHeight="1">
      <c r="B1900" s="268">
        <v>7552.0</v>
      </c>
      <c r="C1900" s="268">
        <f t="shared" si="1"/>
        <v>5.367217578</v>
      </c>
      <c r="D1900" s="268">
        <f t="shared" si="2"/>
        <v>1.855072464</v>
      </c>
    </row>
    <row r="1901" ht="13.5" customHeight="1">
      <c r="B1901" s="268">
        <v>7556.0</v>
      </c>
      <c r="C1901" s="268">
        <f t="shared" si="1"/>
        <v>5.371152296</v>
      </c>
      <c r="D1901" s="268">
        <f t="shared" si="2"/>
        <v>1.855913004</v>
      </c>
    </row>
    <row r="1902" ht="13.5" customHeight="1">
      <c r="B1902" s="268">
        <v>7560.0</v>
      </c>
      <c r="C1902" s="268">
        <f t="shared" si="1"/>
        <v>5.375088797</v>
      </c>
      <c r="D1902" s="268">
        <f t="shared" si="2"/>
        <v>1.856754306</v>
      </c>
    </row>
    <row r="1903" ht="13.5" customHeight="1">
      <c r="B1903" s="268">
        <v>7564.0</v>
      </c>
      <c r="C1903" s="268">
        <f t="shared" si="1"/>
        <v>5.379027083</v>
      </c>
      <c r="D1903" s="268">
        <f t="shared" si="2"/>
        <v>1.857596372</v>
      </c>
    </row>
    <row r="1904" ht="13.5" customHeight="1">
      <c r="B1904" s="268">
        <v>7568.0</v>
      </c>
      <c r="C1904" s="268">
        <f t="shared" si="1"/>
        <v>5.382967156</v>
      </c>
      <c r="D1904" s="268">
        <f t="shared" si="2"/>
        <v>1.858439201</v>
      </c>
    </row>
    <row r="1905" ht="13.5" customHeight="1">
      <c r="B1905" s="268">
        <v>7572.0</v>
      </c>
      <c r="C1905" s="268">
        <f t="shared" si="1"/>
        <v>5.386909016</v>
      </c>
      <c r="D1905" s="268">
        <f t="shared" si="2"/>
        <v>1.859282796</v>
      </c>
    </row>
    <row r="1906" ht="13.5" customHeight="1">
      <c r="B1906" s="268">
        <v>7576.0</v>
      </c>
      <c r="C1906" s="268">
        <f t="shared" si="1"/>
        <v>5.390852667</v>
      </c>
      <c r="D1906" s="268">
        <f t="shared" si="2"/>
        <v>1.860127157</v>
      </c>
    </row>
    <row r="1907" ht="13.5" customHeight="1">
      <c r="B1907" s="268">
        <v>7580.0</v>
      </c>
      <c r="C1907" s="268">
        <f t="shared" si="1"/>
        <v>5.394798108</v>
      </c>
      <c r="D1907" s="268">
        <f t="shared" si="2"/>
        <v>1.860972285</v>
      </c>
    </row>
    <row r="1908" ht="13.5" customHeight="1">
      <c r="B1908" s="268">
        <v>7584.0</v>
      </c>
      <c r="C1908" s="268">
        <f t="shared" si="1"/>
        <v>5.398745343</v>
      </c>
      <c r="D1908" s="268">
        <f t="shared" si="2"/>
        <v>1.861818182</v>
      </c>
    </row>
    <row r="1909" ht="13.5" customHeight="1">
      <c r="B1909" s="268">
        <v>7588.0</v>
      </c>
      <c r="C1909" s="268">
        <f t="shared" si="1"/>
        <v>5.402694372</v>
      </c>
      <c r="D1909" s="268">
        <f t="shared" si="2"/>
        <v>1.862664848</v>
      </c>
    </row>
    <row r="1910" ht="13.5" customHeight="1">
      <c r="B1910" s="268">
        <v>7592.0</v>
      </c>
      <c r="C1910" s="268">
        <f t="shared" si="1"/>
        <v>5.406645198</v>
      </c>
      <c r="D1910" s="268">
        <f t="shared" si="2"/>
        <v>1.863512284</v>
      </c>
    </row>
    <row r="1911" ht="13.5" customHeight="1">
      <c r="B1911" s="268">
        <v>7596.0</v>
      </c>
      <c r="C1911" s="268">
        <f t="shared" si="1"/>
        <v>5.410597821</v>
      </c>
      <c r="D1911" s="268">
        <f t="shared" si="2"/>
        <v>1.864360492</v>
      </c>
    </row>
    <row r="1912" ht="13.5" customHeight="1">
      <c r="B1912" s="268">
        <v>7600.0</v>
      </c>
      <c r="C1912" s="268">
        <f t="shared" si="1"/>
        <v>5.414552244</v>
      </c>
      <c r="D1912" s="268">
        <f t="shared" si="2"/>
        <v>1.865209472</v>
      </c>
    </row>
    <row r="1913" ht="13.5" customHeight="1">
      <c r="B1913" s="268">
        <v>7604.0</v>
      </c>
      <c r="C1913" s="268">
        <f t="shared" si="1"/>
        <v>5.418508468</v>
      </c>
      <c r="D1913" s="268">
        <f t="shared" si="2"/>
        <v>1.866059226</v>
      </c>
    </row>
    <row r="1914" ht="13.5" customHeight="1">
      <c r="B1914" s="268">
        <v>7608.0</v>
      </c>
      <c r="C1914" s="268">
        <f t="shared" si="1"/>
        <v>5.422466495</v>
      </c>
      <c r="D1914" s="268">
        <f t="shared" si="2"/>
        <v>1.866909754</v>
      </c>
    </row>
    <row r="1915" ht="13.5" customHeight="1">
      <c r="B1915" s="268">
        <v>7612.0</v>
      </c>
      <c r="C1915" s="268">
        <f t="shared" si="1"/>
        <v>5.426426326</v>
      </c>
      <c r="D1915" s="268">
        <f t="shared" si="2"/>
        <v>1.867761058</v>
      </c>
    </row>
    <row r="1916" ht="13.5" customHeight="1">
      <c r="B1916" s="268">
        <v>7616.0</v>
      </c>
      <c r="C1916" s="268">
        <f t="shared" si="1"/>
        <v>5.430387963</v>
      </c>
      <c r="D1916" s="268">
        <f t="shared" si="2"/>
        <v>1.868613139</v>
      </c>
    </row>
    <row r="1917" ht="13.5" customHeight="1">
      <c r="B1917" s="268">
        <v>7620.0</v>
      </c>
      <c r="C1917" s="268">
        <f t="shared" si="1"/>
        <v>5.434351408</v>
      </c>
      <c r="D1917" s="268">
        <f t="shared" si="2"/>
        <v>1.869465997</v>
      </c>
    </row>
    <row r="1918" ht="13.5" customHeight="1">
      <c r="B1918" s="268">
        <v>7624.0</v>
      </c>
      <c r="C1918" s="268">
        <f t="shared" si="1"/>
        <v>5.438316663</v>
      </c>
      <c r="D1918" s="268">
        <f t="shared" si="2"/>
        <v>1.870319635</v>
      </c>
    </row>
    <row r="1919" ht="13.5" customHeight="1">
      <c r="B1919" s="268">
        <v>7628.0</v>
      </c>
      <c r="C1919" s="268">
        <f t="shared" si="1"/>
        <v>5.442283728</v>
      </c>
      <c r="D1919" s="268">
        <f t="shared" si="2"/>
        <v>1.871174052</v>
      </c>
    </row>
    <row r="1920" ht="13.5" customHeight="1">
      <c r="B1920" s="268">
        <v>7632.0</v>
      </c>
      <c r="C1920" s="268">
        <f t="shared" si="1"/>
        <v>5.446252606</v>
      </c>
      <c r="D1920" s="268">
        <f t="shared" si="2"/>
        <v>1.87202925</v>
      </c>
    </row>
    <row r="1921" ht="13.5" customHeight="1">
      <c r="B1921" s="268">
        <v>7636.0</v>
      </c>
      <c r="C1921" s="268">
        <f t="shared" si="1"/>
        <v>5.450223299</v>
      </c>
      <c r="D1921" s="268">
        <f t="shared" si="2"/>
        <v>1.872885231</v>
      </c>
    </row>
    <row r="1922" ht="13.5" customHeight="1">
      <c r="B1922" s="268">
        <v>7640.0</v>
      </c>
      <c r="C1922" s="268">
        <f t="shared" si="1"/>
        <v>5.454195807</v>
      </c>
      <c r="D1922" s="268">
        <f t="shared" si="2"/>
        <v>1.873741995</v>
      </c>
    </row>
    <row r="1923" ht="13.5" customHeight="1">
      <c r="B1923" s="268">
        <v>7644.0</v>
      </c>
      <c r="C1923" s="268">
        <f t="shared" si="1"/>
        <v>5.458170133</v>
      </c>
      <c r="D1923" s="268">
        <f t="shared" si="2"/>
        <v>1.874599542</v>
      </c>
    </row>
    <row r="1924" ht="13.5" customHeight="1">
      <c r="B1924" s="268">
        <v>7648.0</v>
      </c>
      <c r="C1924" s="268">
        <f t="shared" si="1"/>
        <v>5.462146279</v>
      </c>
      <c r="D1924" s="268">
        <f t="shared" si="2"/>
        <v>1.875457875</v>
      </c>
    </row>
    <row r="1925" ht="13.5" customHeight="1">
      <c r="B1925" s="268">
        <v>7652.0</v>
      </c>
      <c r="C1925" s="268">
        <f t="shared" si="1"/>
        <v>5.466124245</v>
      </c>
      <c r="D1925" s="268">
        <f t="shared" si="2"/>
        <v>1.876316995</v>
      </c>
    </row>
    <row r="1926" ht="13.5" customHeight="1">
      <c r="B1926" s="268">
        <v>7656.0</v>
      </c>
      <c r="C1926" s="268">
        <f t="shared" si="1"/>
        <v>5.470104034</v>
      </c>
      <c r="D1926" s="268">
        <f t="shared" si="2"/>
        <v>1.877176902</v>
      </c>
    </row>
    <row r="1927" ht="13.5" customHeight="1">
      <c r="B1927" s="268">
        <v>7660.0</v>
      </c>
      <c r="C1927" s="268">
        <f t="shared" si="1"/>
        <v>5.474085648</v>
      </c>
      <c r="D1927" s="268">
        <f t="shared" si="2"/>
        <v>1.878037597</v>
      </c>
    </row>
    <row r="1928" ht="13.5" customHeight="1">
      <c r="B1928" s="268">
        <v>7664.0</v>
      </c>
      <c r="C1928" s="268">
        <f t="shared" si="1"/>
        <v>5.478069087</v>
      </c>
      <c r="D1928" s="268">
        <f t="shared" si="2"/>
        <v>1.878899083</v>
      </c>
    </row>
    <row r="1929" ht="13.5" customHeight="1">
      <c r="B1929" s="268">
        <v>7668.0</v>
      </c>
      <c r="C1929" s="268">
        <f t="shared" si="1"/>
        <v>5.482054354</v>
      </c>
      <c r="D1929" s="268">
        <f t="shared" si="2"/>
        <v>1.879761358</v>
      </c>
    </row>
    <row r="1930" ht="13.5" customHeight="1">
      <c r="B1930" s="268">
        <v>7672.0</v>
      </c>
      <c r="C1930" s="268">
        <f t="shared" si="1"/>
        <v>5.486041451</v>
      </c>
      <c r="D1930" s="268">
        <f t="shared" si="2"/>
        <v>1.880624426</v>
      </c>
    </row>
    <row r="1931" ht="13.5" customHeight="1">
      <c r="B1931" s="268">
        <v>7676.0</v>
      </c>
      <c r="C1931" s="268">
        <f t="shared" si="1"/>
        <v>5.490030379</v>
      </c>
      <c r="D1931" s="268">
        <f t="shared" si="2"/>
        <v>1.881488287</v>
      </c>
    </row>
    <row r="1932" ht="13.5" customHeight="1">
      <c r="B1932" s="268">
        <v>7680.0</v>
      </c>
      <c r="C1932" s="268">
        <f t="shared" si="1"/>
        <v>5.494021139</v>
      </c>
      <c r="D1932" s="268">
        <f t="shared" si="2"/>
        <v>1.882352941</v>
      </c>
    </row>
    <row r="1933" ht="13.5" customHeight="1">
      <c r="B1933" s="268">
        <v>7684.0</v>
      </c>
      <c r="C1933" s="268">
        <f t="shared" si="1"/>
        <v>5.498013734</v>
      </c>
      <c r="D1933" s="268">
        <f t="shared" si="2"/>
        <v>1.883218391</v>
      </c>
    </row>
    <row r="1934" ht="13.5" customHeight="1">
      <c r="B1934" s="268">
        <v>7688.0</v>
      </c>
      <c r="C1934" s="268">
        <f t="shared" si="1"/>
        <v>5.502008164</v>
      </c>
      <c r="D1934" s="268">
        <f t="shared" si="2"/>
        <v>1.884084637</v>
      </c>
    </row>
    <row r="1935" ht="13.5" customHeight="1">
      <c r="B1935" s="268">
        <v>7692.0</v>
      </c>
      <c r="C1935" s="268">
        <f t="shared" si="1"/>
        <v>5.506004433</v>
      </c>
      <c r="D1935" s="268">
        <f t="shared" si="2"/>
        <v>1.88495168</v>
      </c>
    </row>
    <row r="1936" ht="13.5" customHeight="1">
      <c r="B1936" s="268">
        <v>7696.0</v>
      </c>
      <c r="C1936" s="268">
        <f t="shared" si="1"/>
        <v>5.510002541</v>
      </c>
      <c r="D1936" s="268">
        <f t="shared" si="2"/>
        <v>1.885819521</v>
      </c>
    </row>
    <row r="1937" ht="13.5" customHeight="1">
      <c r="B1937" s="268">
        <v>7700.0</v>
      </c>
      <c r="C1937" s="268">
        <f t="shared" si="1"/>
        <v>5.51400249</v>
      </c>
      <c r="D1937" s="268">
        <f t="shared" si="2"/>
        <v>1.886688162</v>
      </c>
    </row>
    <row r="1938" ht="13.5" customHeight="1">
      <c r="B1938" s="268">
        <v>7704.0</v>
      </c>
      <c r="C1938" s="268">
        <f t="shared" si="1"/>
        <v>5.518004282</v>
      </c>
      <c r="D1938" s="268">
        <f t="shared" si="2"/>
        <v>1.887557604</v>
      </c>
    </row>
    <row r="1939" ht="13.5" customHeight="1">
      <c r="B1939" s="268">
        <v>7708.0</v>
      </c>
      <c r="C1939" s="268">
        <f t="shared" si="1"/>
        <v>5.522007919</v>
      </c>
      <c r="D1939" s="268">
        <f t="shared" si="2"/>
        <v>1.888427847</v>
      </c>
    </row>
    <row r="1940" ht="13.5" customHeight="1">
      <c r="B1940" s="268">
        <v>7712.0</v>
      </c>
      <c r="C1940" s="268">
        <f t="shared" si="1"/>
        <v>5.526013402</v>
      </c>
      <c r="D1940" s="268">
        <f t="shared" si="2"/>
        <v>1.889298893</v>
      </c>
    </row>
    <row r="1941" ht="13.5" customHeight="1">
      <c r="B1941" s="268">
        <v>7716.0</v>
      </c>
      <c r="C1941" s="268">
        <f t="shared" si="1"/>
        <v>5.530020733</v>
      </c>
      <c r="D1941" s="268">
        <f t="shared" si="2"/>
        <v>1.890170743</v>
      </c>
    </row>
    <row r="1942" ht="13.5" customHeight="1">
      <c r="B1942" s="268">
        <v>7720.0</v>
      </c>
      <c r="C1942" s="268">
        <f t="shared" si="1"/>
        <v>5.534029914</v>
      </c>
      <c r="D1942" s="268">
        <f t="shared" si="2"/>
        <v>1.891043398</v>
      </c>
    </row>
    <row r="1943" ht="13.5" customHeight="1">
      <c r="B1943" s="268">
        <v>7724.0</v>
      </c>
      <c r="C1943" s="268">
        <f t="shared" si="1"/>
        <v>5.538040946</v>
      </c>
      <c r="D1943" s="268">
        <f t="shared" si="2"/>
        <v>1.891916859</v>
      </c>
    </row>
    <row r="1944" ht="13.5" customHeight="1">
      <c r="B1944" s="268">
        <v>7728.0</v>
      </c>
      <c r="C1944" s="268">
        <f t="shared" si="1"/>
        <v>5.542053831</v>
      </c>
      <c r="D1944" s="268">
        <f t="shared" si="2"/>
        <v>1.892791128</v>
      </c>
    </row>
    <row r="1945" ht="13.5" customHeight="1">
      <c r="B1945" s="268">
        <v>7732.0</v>
      </c>
      <c r="C1945" s="268">
        <f t="shared" si="1"/>
        <v>5.546068571</v>
      </c>
      <c r="D1945" s="268">
        <f t="shared" si="2"/>
        <v>1.893666204</v>
      </c>
    </row>
    <row r="1946" ht="13.5" customHeight="1">
      <c r="B1946" s="268">
        <v>7736.0</v>
      </c>
      <c r="C1946" s="268">
        <f t="shared" si="1"/>
        <v>5.550085167</v>
      </c>
      <c r="D1946" s="268">
        <f t="shared" si="2"/>
        <v>1.894542091</v>
      </c>
    </row>
    <row r="1947" ht="13.5" customHeight="1">
      <c r="B1947" s="268">
        <v>7740.0</v>
      </c>
      <c r="C1947" s="268">
        <f t="shared" si="1"/>
        <v>5.554103622</v>
      </c>
      <c r="D1947" s="268">
        <f t="shared" si="2"/>
        <v>1.895418788</v>
      </c>
    </row>
    <row r="1948" ht="13.5" customHeight="1">
      <c r="B1948" s="268">
        <v>7744.0</v>
      </c>
      <c r="C1948" s="268">
        <f t="shared" si="1"/>
        <v>5.558123936</v>
      </c>
      <c r="D1948" s="268">
        <f t="shared" si="2"/>
        <v>1.896296296</v>
      </c>
    </row>
    <row r="1949" ht="13.5" customHeight="1">
      <c r="B1949" s="268">
        <v>7748.0</v>
      </c>
      <c r="C1949" s="268">
        <f t="shared" si="1"/>
        <v>5.562146113</v>
      </c>
      <c r="D1949" s="268">
        <f t="shared" si="2"/>
        <v>1.897174618</v>
      </c>
    </row>
    <row r="1950" ht="13.5" customHeight="1">
      <c r="B1950" s="268">
        <v>7752.0</v>
      </c>
      <c r="C1950" s="268">
        <f t="shared" si="1"/>
        <v>5.566170152</v>
      </c>
      <c r="D1950" s="268">
        <f t="shared" si="2"/>
        <v>1.898053753</v>
      </c>
    </row>
    <row r="1951" ht="13.5" customHeight="1">
      <c r="B1951" s="268">
        <v>7756.0</v>
      </c>
      <c r="C1951" s="268">
        <f t="shared" si="1"/>
        <v>5.570196057</v>
      </c>
      <c r="D1951" s="268">
        <f t="shared" si="2"/>
        <v>1.898933704</v>
      </c>
    </row>
    <row r="1952" ht="13.5" customHeight="1">
      <c r="B1952" s="268">
        <v>7760.0</v>
      </c>
      <c r="C1952" s="268">
        <f t="shared" si="1"/>
        <v>5.574223829</v>
      </c>
      <c r="D1952" s="268">
        <f t="shared" si="2"/>
        <v>1.899814471</v>
      </c>
    </row>
    <row r="1953" ht="13.5" customHeight="1">
      <c r="B1953" s="268">
        <v>7764.0</v>
      </c>
      <c r="C1953" s="268">
        <f t="shared" si="1"/>
        <v>5.578253469</v>
      </c>
      <c r="D1953" s="268">
        <f t="shared" si="2"/>
        <v>1.900696056</v>
      </c>
    </row>
    <row r="1954" ht="13.5" customHeight="1">
      <c r="B1954" s="268">
        <v>7768.0</v>
      </c>
      <c r="C1954" s="268">
        <f t="shared" si="1"/>
        <v>5.58228498</v>
      </c>
      <c r="D1954" s="268">
        <f t="shared" si="2"/>
        <v>1.901578459</v>
      </c>
    </row>
    <row r="1955" ht="13.5" customHeight="1">
      <c r="B1955" s="268">
        <v>7772.0</v>
      </c>
      <c r="C1955" s="268">
        <f t="shared" si="1"/>
        <v>5.586318363</v>
      </c>
      <c r="D1955" s="268">
        <f t="shared" si="2"/>
        <v>1.902461681</v>
      </c>
    </row>
    <row r="1956" ht="13.5" customHeight="1">
      <c r="B1956" s="268">
        <v>7776.0</v>
      </c>
      <c r="C1956" s="268">
        <f t="shared" si="1"/>
        <v>5.590353619</v>
      </c>
      <c r="D1956" s="268">
        <f t="shared" si="2"/>
        <v>1.903345725</v>
      </c>
    </row>
    <row r="1957" ht="13.5" customHeight="1">
      <c r="B1957" s="268">
        <v>7780.0</v>
      </c>
      <c r="C1957" s="268">
        <f t="shared" si="1"/>
        <v>5.594390752</v>
      </c>
      <c r="D1957" s="268">
        <f t="shared" si="2"/>
        <v>1.90423059</v>
      </c>
    </row>
    <row r="1958" ht="13.5" customHeight="1">
      <c r="B1958" s="268">
        <v>7784.0</v>
      </c>
      <c r="C1958" s="268">
        <f t="shared" si="1"/>
        <v>5.598429761</v>
      </c>
      <c r="D1958" s="268">
        <f t="shared" si="2"/>
        <v>1.905116279</v>
      </c>
    </row>
    <row r="1959" ht="13.5" customHeight="1">
      <c r="B1959" s="268">
        <v>7788.0</v>
      </c>
      <c r="C1959" s="268">
        <f t="shared" si="1"/>
        <v>5.60247065</v>
      </c>
      <c r="D1959" s="268">
        <f t="shared" si="2"/>
        <v>1.906002792</v>
      </c>
    </row>
    <row r="1960" ht="13.5" customHeight="1">
      <c r="B1960" s="268">
        <v>7792.0</v>
      </c>
      <c r="C1960" s="268">
        <f t="shared" si="1"/>
        <v>5.606513419</v>
      </c>
      <c r="D1960" s="268">
        <f t="shared" si="2"/>
        <v>1.90689013</v>
      </c>
    </row>
    <row r="1961" ht="13.5" customHeight="1">
      <c r="B1961" s="268">
        <v>7796.0</v>
      </c>
      <c r="C1961" s="268">
        <f t="shared" si="1"/>
        <v>5.610558071</v>
      </c>
      <c r="D1961" s="268">
        <f t="shared" si="2"/>
        <v>1.907778295</v>
      </c>
    </row>
    <row r="1962" ht="13.5" customHeight="1">
      <c r="B1962" s="268">
        <v>7800.0</v>
      </c>
      <c r="C1962" s="268">
        <f t="shared" si="1"/>
        <v>5.614604607</v>
      </c>
      <c r="D1962" s="268">
        <f t="shared" si="2"/>
        <v>1.908667288</v>
      </c>
    </row>
    <row r="1963" ht="13.5" customHeight="1">
      <c r="B1963" s="268">
        <v>7804.0</v>
      </c>
      <c r="C1963" s="268">
        <f t="shared" si="1"/>
        <v>5.618653029</v>
      </c>
      <c r="D1963" s="268">
        <f t="shared" si="2"/>
        <v>1.90955711</v>
      </c>
    </row>
    <row r="1964" ht="13.5" customHeight="1">
      <c r="B1964" s="268">
        <v>7808.0</v>
      </c>
      <c r="C1964" s="268">
        <f t="shared" si="1"/>
        <v>5.622703339</v>
      </c>
      <c r="D1964" s="268">
        <f t="shared" si="2"/>
        <v>1.910447761</v>
      </c>
    </row>
    <row r="1965" ht="13.5" customHeight="1">
      <c r="B1965" s="268">
        <v>7812.0</v>
      </c>
      <c r="C1965" s="268">
        <f t="shared" si="1"/>
        <v>5.626755539</v>
      </c>
      <c r="D1965" s="268">
        <f t="shared" si="2"/>
        <v>1.911339244</v>
      </c>
    </row>
    <row r="1966" ht="13.5" customHeight="1">
      <c r="B1966" s="268">
        <v>7816.0</v>
      </c>
      <c r="C1966" s="268">
        <f t="shared" si="1"/>
        <v>5.630809629</v>
      </c>
      <c r="D1966" s="268">
        <f t="shared" si="2"/>
        <v>1.912231559</v>
      </c>
    </row>
    <row r="1967" ht="13.5" customHeight="1">
      <c r="B1967" s="268">
        <v>7820.0</v>
      </c>
      <c r="C1967" s="268">
        <f t="shared" si="1"/>
        <v>5.634865613</v>
      </c>
      <c r="D1967" s="268">
        <f t="shared" si="2"/>
        <v>1.913124708</v>
      </c>
    </row>
    <row r="1968" ht="13.5" customHeight="1">
      <c r="B1968" s="268">
        <v>7824.0</v>
      </c>
      <c r="C1968" s="268">
        <f t="shared" si="1"/>
        <v>5.638923492</v>
      </c>
      <c r="D1968" s="268">
        <f t="shared" si="2"/>
        <v>1.914018692</v>
      </c>
    </row>
    <row r="1969" ht="13.5" customHeight="1">
      <c r="B1969" s="268">
        <v>7828.0</v>
      </c>
      <c r="C1969" s="268">
        <f t="shared" si="1"/>
        <v>5.642983268</v>
      </c>
      <c r="D1969" s="268">
        <f t="shared" si="2"/>
        <v>1.914913511</v>
      </c>
    </row>
    <row r="1970" ht="13.5" customHeight="1">
      <c r="B1970" s="268">
        <v>7832.0</v>
      </c>
      <c r="C1970" s="268">
        <f t="shared" si="1"/>
        <v>5.647044942</v>
      </c>
      <c r="D1970" s="268">
        <f t="shared" si="2"/>
        <v>1.915809167</v>
      </c>
    </row>
    <row r="1971" ht="13.5" customHeight="1">
      <c r="B1971" s="268">
        <v>7836.0</v>
      </c>
      <c r="C1971" s="268">
        <f t="shared" si="1"/>
        <v>5.651108516</v>
      </c>
      <c r="D1971" s="268">
        <f t="shared" si="2"/>
        <v>1.916705662</v>
      </c>
    </row>
    <row r="1972" ht="13.5" customHeight="1">
      <c r="B1972" s="268">
        <v>7840.0</v>
      </c>
      <c r="C1972" s="268">
        <f t="shared" si="1"/>
        <v>5.655173992</v>
      </c>
      <c r="D1972" s="268">
        <f t="shared" si="2"/>
        <v>1.917602996</v>
      </c>
    </row>
    <row r="1973" ht="13.5" customHeight="1">
      <c r="B1973" s="268">
        <v>7844.0</v>
      </c>
      <c r="C1973" s="268">
        <f t="shared" si="1"/>
        <v>5.659241372</v>
      </c>
      <c r="D1973" s="268">
        <f t="shared" si="2"/>
        <v>1.918501171</v>
      </c>
    </row>
    <row r="1974" ht="13.5" customHeight="1">
      <c r="B1974" s="268">
        <v>7848.0</v>
      </c>
      <c r="C1974" s="268">
        <f t="shared" si="1"/>
        <v>5.663310658</v>
      </c>
      <c r="D1974" s="268">
        <f t="shared" si="2"/>
        <v>1.919400187</v>
      </c>
    </row>
    <row r="1975" ht="13.5" customHeight="1">
      <c r="B1975" s="268">
        <v>7852.0</v>
      </c>
      <c r="C1975" s="268">
        <f t="shared" si="1"/>
        <v>5.66738185</v>
      </c>
      <c r="D1975" s="268">
        <f t="shared" si="2"/>
        <v>1.920300047</v>
      </c>
    </row>
    <row r="1976" ht="13.5" customHeight="1">
      <c r="B1976" s="268">
        <v>7856.0</v>
      </c>
      <c r="C1976" s="268">
        <f t="shared" si="1"/>
        <v>5.671454952</v>
      </c>
      <c r="D1976" s="268">
        <f t="shared" si="2"/>
        <v>1.92120075</v>
      </c>
    </row>
    <row r="1977" ht="13.5" customHeight="1">
      <c r="B1977" s="268">
        <v>7860.0</v>
      </c>
      <c r="C1977" s="268">
        <f t="shared" si="1"/>
        <v>5.675529965</v>
      </c>
      <c r="D1977" s="268">
        <f t="shared" si="2"/>
        <v>1.922102299</v>
      </c>
    </row>
    <row r="1978" ht="13.5" customHeight="1">
      <c r="B1978" s="268">
        <v>7864.0</v>
      </c>
      <c r="C1978" s="268">
        <f t="shared" si="1"/>
        <v>5.679606891</v>
      </c>
      <c r="D1978" s="268">
        <f t="shared" si="2"/>
        <v>1.923004695</v>
      </c>
    </row>
    <row r="1979" ht="13.5" customHeight="1">
      <c r="B1979" s="268">
        <v>7868.0</v>
      </c>
      <c r="C1979" s="268">
        <f t="shared" si="1"/>
        <v>5.683685731</v>
      </c>
      <c r="D1979" s="268">
        <f t="shared" si="2"/>
        <v>1.923907938</v>
      </c>
    </row>
    <row r="1980" ht="13.5" customHeight="1">
      <c r="B1980" s="268">
        <v>7872.0</v>
      </c>
      <c r="C1980" s="268">
        <f t="shared" si="1"/>
        <v>5.687766487</v>
      </c>
      <c r="D1980" s="268">
        <f t="shared" si="2"/>
        <v>1.92481203</v>
      </c>
    </row>
    <row r="1981" ht="13.5" customHeight="1">
      <c r="B1981" s="268">
        <v>7876.0</v>
      </c>
      <c r="C1981" s="268">
        <f t="shared" si="1"/>
        <v>5.691849161</v>
      </c>
      <c r="D1981" s="268">
        <f t="shared" si="2"/>
        <v>1.925716972</v>
      </c>
    </row>
    <row r="1982" ht="13.5" customHeight="1">
      <c r="B1982" s="268">
        <v>7880.0</v>
      </c>
      <c r="C1982" s="268">
        <f t="shared" si="1"/>
        <v>5.695933756</v>
      </c>
      <c r="D1982" s="268">
        <f t="shared" si="2"/>
        <v>1.926622766</v>
      </c>
    </row>
    <row r="1983" ht="13.5" customHeight="1">
      <c r="B1983" s="268">
        <v>7884.0</v>
      </c>
      <c r="C1983" s="268">
        <f t="shared" si="1"/>
        <v>5.700020272</v>
      </c>
      <c r="D1983" s="268">
        <f t="shared" si="2"/>
        <v>1.927529412</v>
      </c>
    </row>
    <row r="1984" ht="13.5" customHeight="1">
      <c r="B1984" s="268">
        <v>7888.0</v>
      </c>
      <c r="C1984" s="268">
        <f t="shared" si="1"/>
        <v>5.704108711</v>
      </c>
      <c r="D1984" s="268">
        <f t="shared" si="2"/>
        <v>1.928436911</v>
      </c>
    </row>
    <row r="1985" ht="13.5" customHeight="1">
      <c r="B1985" s="268">
        <v>7892.0</v>
      </c>
      <c r="C1985" s="268">
        <f t="shared" si="1"/>
        <v>5.708199076</v>
      </c>
      <c r="D1985" s="268">
        <f t="shared" si="2"/>
        <v>1.929345266</v>
      </c>
    </row>
    <row r="1986" ht="13.5" customHeight="1">
      <c r="B1986" s="268">
        <v>7896.0</v>
      </c>
      <c r="C1986" s="268">
        <f t="shared" si="1"/>
        <v>5.712291368</v>
      </c>
      <c r="D1986" s="268">
        <f t="shared" si="2"/>
        <v>1.930254477</v>
      </c>
    </row>
    <row r="1987" ht="13.5" customHeight="1">
      <c r="B1987" s="268">
        <v>7900.0</v>
      </c>
      <c r="C1987" s="268">
        <f t="shared" si="1"/>
        <v>5.716385589</v>
      </c>
      <c r="D1987" s="268">
        <f t="shared" si="2"/>
        <v>1.931164545</v>
      </c>
    </row>
    <row r="1988" ht="13.5" customHeight="1">
      <c r="B1988" s="268">
        <v>7904.0</v>
      </c>
      <c r="C1988" s="268">
        <f t="shared" si="1"/>
        <v>5.720481741</v>
      </c>
      <c r="D1988" s="268">
        <f t="shared" si="2"/>
        <v>1.932075472</v>
      </c>
    </row>
    <row r="1989" ht="13.5" customHeight="1">
      <c r="B1989" s="268">
        <v>7908.0</v>
      </c>
      <c r="C1989" s="268">
        <f t="shared" si="1"/>
        <v>5.724579825</v>
      </c>
      <c r="D1989" s="268">
        <f t="shared" si="2"/>
        <v>1.932987258</v>
      </c>
    </row>
    <row r="1990" ht="13.5" customHeight="1">
      <c r="B1990" s="268">
        <v>7912.0</v>
      </c>
      <c r="C1990" s="268">
        <f t="shared" si="1"/>
        <v>5.728679844</v>
      </c>
      <c r="D1990" s="268">
        <f t="shared" si="2"/>
        <v>1.933899906</v>
      </c>
    </row>
    <row r="1991" ht="13.5" customHeight="1">
      <c r="B1991" s="268">
        <v>7916.0</v>
      </c>
      <c r="C1991" s="268">
        <f t="shared" si="1"/>
        <v>5.732781799</v>
      </c>
      <c r="D1991" s="268">
        <f t="shared" si="2"/>
        <v>1.934813415</v>
      </c>
    </row>
    <row r="1992" ht="13.5" customHeight="1">
      <c r="B1992" s="268">
        <v>7920.0</v>
      </c>
      <c r="C1992" s="268">
        <f t="shared" si="1"/>
        <v>5.736885692</v>
      </c>
      <c r="D1992" s="268">
        <f t="shared" si="2"/>
        <v>1.935727788</v>
      </c>
    </row>
    <row r="1993" ht="13.5" customHeight="1">
      <c r="B1993" s="268">
        <v>7924.0</v>
      </c>
      <c r="C1993" s="268">
        <f t="shared" si="1"/>
        <v>5.740991525</v>
      </c>
      <c r="D1993" s="268">
        <f t="shared" si="2"/>
        <v>1.936643026</v>
      </c>
    </row>
    <row r="1994" ht="13.5" customHeight="1">
      <c r="B1994" s="268">
        <v>7928.0</v>
      </c>
      <c r="C1994" s="268">
        <f t="shared" si="1"/>
        <v>5.7450993</v>
      </c>
      <c r="D1994" s="268">
        <f t="shared" si="2"/>
        <v>1.93755913</v>
      </c>
    </row>
    <row r="1995" ht="13.5" customHeight="1">
      <c r="B1995" s="268">
        <v>7932.0</v>
      </c>
      <c r="C1995" s="268">
        <f t="shared" si="1"/>
        <v>5.749209018</v>
      </c>
      <c r="D1995" s="268">
        <f t="shared" si="2"/>
        <v>1.9384761</v>
      </c>
    </row>
    <row r="1996" ht="13.5" customHeight="1">
      <c r="B1996" s="268">
        <v>7936.0</v>
      </c>
      <c r="C1996" s="268">
        <f t="shared" si="1"/>
        <v>5.753320682</v>
      </c>
      <c r="D1996" s="268">
        <f t="shared" si="2"/>
        <v>1.939393939</v>
      </c>
    </row>
    <row r="1997" ht="13.5" customHeight="1">
      <c r="B1997" s="268">
        <v>7940.0</v>
      </c>
      <c r="C1997" s="268">
        <f t="shared" si="1"/>
        <v>5.757434293</v>
      </c>
      <c r="D1997" s="268">
        <f t="shared" si="2"/>
        <v>1.940312648</v>
      </c>
    </row>
    <row r="1998" ht="13.5" customHeight="1">
      <c r="B1998" s="268">
        <v>7944.0</v>
      </c>
      <c r="C1998" s="268">
        <f t="shared" si="1"/>
        <v>5.761549853</v>
      </c>
      <c r="D1998" s="268">
        <f t="shared" si="2"/>
        <v>1.941232227</v>
      </c>
    </row>
    <row r="1999" ht="13.5" customHeight="1">
      <c r="B1999" s="268">
        <v>7948.0</v>
      </c>
      <c r="C1999" s="268">
        <f t="shared" si="1"/>
        <v>5.765667365</v>
      </c>
      <c r="D1999" s="268">
        <f t="shared" si="2"/>
        <v>1.942152679</v>
      </c>
    </row>
    <row r="2000" ht="13.5" customHeight="1">
      <c r="B2000" s="268">
        <v>7952.0</v>
      </c>
      <c r="C2000" s="268">
        <f t="shared" si="1"/>
        <v>5.769786829</v>
      </c>
      <c r="D2000" s="268">
        <f t="shared" si="2"/>
        <v>1.943074004</v>
      </c>
    </row>
    <row r="2001" ht="13.5" customHeight="1">
      <c r="B2001" s="268">
        <v>7956.0</v>
      </c>
      <c r="C2001" s="268">
        <f t="shared" si="1"/>
        <v>5.773908247</v>
      </c>
      <c r="D2001" s="268">
        <f t="shared" si="2"/>
        <v>1.943996203</v>
      </c>
    </row>
    <row r="2002" ht="13.5" customHeight="1">
      <c r="B2002" s="268">
        <v>7960.0</v>
      </c>
      <c r="C2002" s="268">
        <f t="shared" si="1"/>
        <v>5.778031622</v>
      </c>
      <c r="D2002" s="268">
        <f t="shared" si="2"/>
        <v>1.944919278</v>
      </c>
    </row>
    <row r="2003" ht="13.5" customHeight="1">
      <c r="B2003" s="268">
        <v>7964.0</v>
      </c>
      <c r="C2003" s="268">
        <f t="shared" si="1"/>
        <v>5.782156956</v>
      </c>
      <c r="D2003" s="268">
        <f t="shared" si="2"/>
        <v>1.94584323</v>
      </c>
    </row>
    <row r="2004" ht="13.5" customHeight="1">
      <c r="B2004" s="268">
        <v>7968.0</v>
      </c>
      <c r="C2004" s="268">
        <f t="shared" si="1"/>
        <v>5.78628425</v>
      </c>
      <c r="D2004" s="268">
        <f t="shared" si="2"/>
        <v>1.946768061</v>
      </c>
    </row>
    <row r="2005" ht="13.5" customHeight="1">
      <c r="B2005" s="268">
        <v>7972.0</v>
      </c>
      <c r="C2005" s="268">
        <f t="shared" si="1"/>
        <v>5.790413506</v>
      </c>
      <c r="D2005" s="268">
        <f t="shared" si="2"/>
        <v>1.947693771</v>
      </c>
    </row>
    <row r="2006" ht="13.5" customHeight="1">
      <c r="B2006" s="268">
        <v>7976.0</v>
      </c>
      <c r="C2006" s="268">
        <f t="shared" si="1"/>
        <v>5.794544726</v>
      </c>
      <c r="D2006" s="268">
        <f t="shared" si="2"/>
        <v>1.948620362</v>
      </c>
    </row>
    <row r="2007" ht="13.5" customHeight="1">
      <c r="B2007" s="268">
        <v>7980.0</v>
      </c>
      <c r="C2007" s="268">
        <f t="shared" si="1"/>
        <v>5.798677911</v>
      </c>
      <c r="D2007" s="268">
        <f t="shared" si="2"/>
        <v>1.949547834</v>
      </c>
    </row>
    <row r="2008" ht="13.5" customHeight="1">
      <c r="B2008" s="268">
        <v>7984.0</v>
      </c>
      <c r="C2008" s="268">
        <f t="shared" si="1"/>
        <v>5.802813065</v>
      </c>
      <c r="D2008" s="268">
        <f t="shared" si="2"/>
        <v>1.95047619</v>
      </c>
    </row>
    <row r="2009" ht="13.5" customHeight="1">
      <c r="B2009" s="268">
        <v>7988.0</v>
      </c>
      <c r="C2009" s="268">
        <f t="shared" si="1"/>
        <v>5.806950188</v>
      </c>
      <c r="D2009" s="268">
        <f t="shared" si="2"/>
        <v>1.951405431</v>
      </c>
    </row>
    <row r="2010" ht="13.5" customHeight="1">
      <c r="B2010" s="268">
        <v>7992.0</v>
      </c>
      <c r="C2010" s="268">
        <f t="shared" si="1"/>
        <v>5.811089282</v>
      </c>
      <c r="D2010" s="268">
        <f t="shared" si="2"/>
        <v>1.952335558</v>
      </c>
    </row>
    <row r="2011" ht="13.5" customHeight="1">
      <c r="B2011" s="268">
        <v>7996.0</v>
      </c>
      <c r="C2011" s="268">
        <f t="shared" si="1"/>
        <v>5.81523035</v>
      </c>
      <c r="D2011" s="268">
        <f t="shared" si="2"/>
        <v>1.953266571</v>
      </c>
    </row>
    <row r="2012" ht="13.5" customHeight="1">
      <c r="B2012" s="268">
        <v>8000.0</v>
      </c>
      <c r="C2012" s="268">
        <f t="shared" si="1"/>
        <v>5.819373393</v>
      </c>
      <c r="D2012" s="268">
        <f t="shared" si="2"/>
        <v>1.954198473</v>
      </c>
    </row>
    <row r="2013" ht="13.5" customHeight="1">
      <c r="B2013" s="268">
        <v>8004.0</v>
      </c>
      <c r="C2013" s="268">
        <f t="shared" si="1"/>
        <v>5.823518413</v>
      </c>
      <c r="D2013" s="268">
        <f t="shared" si="2"/>
        <v>1.955131265</v>
      </c>
    </row>
    <row r="2014" ht="13.5" customHeight="1">
      <c r="B2014" s="268">
        <v>8008.0</v>
      </c>
      <c r="C2014" s="268">
        <f t="shared" si="1"/>
        <v>5.827665412</v>
      </c>
      <c r="D2014" s="268">
        <f t="shared" si="2"/>
        <v>1.956064947</v>
      </c>
    </row>
    <row r="2015" ht="13.5" customHeight="1">
      <c r="B2015" s="268">
        <v>8012.0</v>
      </c>
      <c r="C2015" s="268">
        <f t="shared" si="1"/>
        <v>5.831814393</v>
      </c>
      <c r="D2015" s="268">
        <f t="shared" si="2"/>
        <v>1.956999522</v>
      </c>
    </row>
    <row r="2016" ht="13.5" customHeight="1">
      <c r="B2016" s="268">
        <v>8016.0</v>
      </c>
      <c r="C2016" s="268">
        <f t="shared" si="1"/>
        <v>5.835965355</v>
      </c>
      <c r="D2016" s="268">
        <f t="shared" si="2"/>
        <v>1.95793499</v>
      </c>
    </row>
    <row r="2017" ht="13.5" customHeight="1">
      <c r="B2017" s="268">
        <v>8020.0</v>
      </c>
      <c r="C2017" s="268">
        <f t="shared" si="1"/>
        <v>5.840118303</v>
      </c>
      <c r="D2017" s="268">
        <f t="shared" si="2"/>
        <v>1.958871353</v>
      </c>
    </row>
    <row r="2018" ht="13.5" customHeight="1">
      <c r="B2018" s="268">
        <v>8024.0</v>
      </c>
      <c r="C2018" s="268">
        <f t="shared" si="1"/>
        <v>5.844273237</v>
      </c>
      <c r="D2018" s="268">
        <f t="shared" si="2"/>
        <v>1.959808612</v>
      </c>
    </row>
    <row r="2019" ht="13.5" customHeight="1">
      <c r="B2019" s="268">
        <v>8028.0</v>
      </c>
      <c r="C2019" s="268">
        <f t="shared" si="1"/>
        <v>5.84843016</v>
      </c>
      <c r="D2019" s="268">
        <f t="shared" si="2"/>
        <v>1.960746769</v>
      </c>
    </row>
    <row r="2020" ht="13.5" customHeight="1">
      <c r="B2020" s="268">
        <v>8032.0</v>
      </c>
      <c r="C2020" s="268">
        <f t="shared" si="1"/>
        <v>5.852589073</v>
      </c>
      <c r="D2020" s="268">
        <f t="shared" si="2"/>
        <v>1.961685824</v>
      </c>
    </row>
    <row r="2021" ht="13.5" customHeight="1">
      <c r="B2021" s="268">
        <v>8036.0</v>
      </c>
      <c r="C2021" s="268">
        <f t="shared" si="1"/>
        <v>5.856749978</v>
      </c>
      <c r="D2021" s="268">
        <f t="shared" si="2"/>
        <v>1.962625779</v>
      </c>
    </row>
    <row r="2022" ht="13.5" customHeight="1">
      <c r="B2022" s="268">
        <v>8040.0</v>
      </c>
      <c r="C2022" s="268">
        <f t="shared" si="1"/>
        <v>5.860912878</v>
      </c>
      <c r="D2022" s="268">
        <f t="shared" si="2"/>
        <v>1.963566635</v>
      </c>
    </row>
    <row r="2023" ht="13.5" customHeight="1">
      <c r="B2023" s="268">
        <v>8044.0</v>
      </c>
      <c r="C2023" s="268">
        <f t="shared" si="1"/>
        <v>5.865077773</v>
      </c>
      <c r="D2023" s="268">
        <f t="shared" si="2"/>
        <v>1.964508393</v>
      </c>
    </row>
    <row r="2024" ht="13.5" customHeight="1">
      <c r="B2024" s="268">
        <v>8048.0</v>
      </c>
      <c r="C2024" s="268">
        <f t="shared" si="1"/>
        <v>5.869244667</v>
      </c>
      <c r="D2024" s="268">
        <f t="shared" si="2"/>
        <v>1.965451056</v>
      </c>
    </row>
    <row r="2025" ht="13.5" customHeight="1">
      <c r="B2025" s="268">
        <v>8052.0</v>
      </c>
      <c r="C2025" s="268">
        <f t="shared" si="1"/>
        <v>5.87341356</v>
      </c>
      <c r="D2025" s="268">
        <f t="shared" si="2"/>
        <v>1.966394623</v>
      </c>
    </row>
    <row r="2026" ht="13.5" customHeight="1">
      <c r="B2026" s="268">
        <v>8056.0</v>
      </c>
      <c r="C2026" s="268">
        <f t="shared" si="1"/>
        <v>5.877584456</v>
      </c>
      <c r="D2026" s="268">
        <f t="shared" si="2"/>
        <v>1.967339097</v>
      </c>
    </row>
    <row r="2027" ht="13.5" customHeight="1">
      <c r="B2027" s="268">
        <v>8060.0</v>
      </c>
      <c r="C2027" s="268">
        <f t="shared" si="1"/>
        <v>5.881757355</v>
      </c>
      <c r="D2027" s="268">
        <f t="shared" si="2"/>
        <v>1.968284479</v>
      </c>
    </row>
    <row r="2028" ht="13.5" customHeight="1">
      <c r="B2028" s="268">
        <v>8064.0</v>
      </c>
      <c r="C2028" s="268">
        <f t="shared" si="1"/>
        <v>5.88593226</v>
      </c>
      <c r="D2028" s="268">
        <f t="shared" si="2"/>
        <v>1.969230769</v>
      </c>
    </row>
    <row r="2029" ht="13.5" customHeight="1">
      <c r="B2029" s="268">
        <v>8068.0</v>
      </c>
      <c r="C2029" s="268">
        <f t="shared" si="1"/>
        <v>5.890109173</v>
      </c>
      <c r="D2029" s="268">
        <f t="shared" si="2"/>
        <v>1.97017797</v>
      </c>
    </row>
    <row r="2030" ht="13.5" customHeight="1">
      <c r="B2030" s="268">
        <v>8072.0</v>
      </c>
      <c r="C2030" s="268">
        <f t="shared" si="1"/>
        <v>5.894288095</v>
      </c>
      <c r="D2030" s="268">
        <f t="shared" si="2"/>
        <v>1.971126083</v>
      </c>
    </row>
    <row r="2031" ht="13.5" customHeight="1">
      <c r="B2031" s="268">
        <v>8076.0</v>
      </c>
      <c r="C2031" s="268">
        <f t="shared" si="1"/>
        <v>5.898469029</v>
      </c>
      <c r="D2031" s="268">
        <f t="shared" si="2"/>
        <v>1.972075108</v>
      </c>
    </row>
    <row r="2032" ht="13.5" customHeight="1">
      <c r="B2032" s="268">
        <v>8080.0</v>
      </c>
      <c r="C2032" s="268">
        <f t="shared" si="1"/>
        <v>5.902651976</v>
      </c>
      <c r="D2032" s="268">
        <f t="shared" si="2"/>
        <v>1.973025048</v>
      </c>
    </row>
    <row r="2033" ht="13.5" customHeight="1">
      <c r="B2033" s="268">
        <v>8084.0</v>
      </c>
      <c r="C2033" s="268">
        <f t="shared" si="1"/>
        <v>5.906836938</v>
      </c>
      <c r="D2033" s="268">
        <f t="shared" si="2"/>
        <v>1.973975904</v>
      </c>
    </row>
    <row r="2034" ht="13.5" customHeight="1">
      <c r="B2034" s="268">
        <v>8088.0</v>
      </c>
      <c r="C2034" s="268">
        <f t="shared" si="1"/>
        <v>5.911023918</v>
      </c>
      <c r="D2034" s="268">
        <f t="shared" si="2"/>
        <v>1.974927676</v>
      </c>
    </row>
    <row r="2035" ht="13.5" customHeight="1">
      <c r="B2035" s="268">
        <v>8092.0</v>
      </c>
      <c r="C2035" s="268">
        <f t="shared" si="1"/>
        <v>5.915212917</v>
      </c>
      <c r="D2035" s="268">
        <f t="shared" si="2"/>
        <v>1.975880367</v>
      </c>
    </row>
    <row r="2036" ht="13.5" customHeight="1">
      <c r="B2036" s="268">
        <v>8096.0</v>
      </c>
      <c r="C2036" s="268">
        <f t="shared" si="1"/>
        <v>5.919403938</v>
      </c>
      <c r="D2036" s="268">
        <f t="shared" si="2"/>
        <v>1.976833977</v>
      </c>
    </row>
    <row r="2037" ht="13.5" customHeight="1">
      <c r="B2037" s="268">
        <v>8100.0</v>
      </c>
      <c r="C2037" s="268">
        <f t="shared" si="1"/>
        <v>5.923596981</v>
      </c>
      <c r="D2037" s="268">
        <f t="shared" si="2"/>
        <v>1.977788508</v>
      </c>
    </row>
    <row r="2038" ht="13.5" customHeight="1">
      <c r="B2038" s="268">
        <v>8104.0</v>
      </c>
      <c r="C2038" s="268">
        <f t="shared" si="1"/>
        <v>5.92779205</v>
      </c>
      <c r="D2038" s="268">
        <f t="shared" si="2"/>
        <v>1.978743961</v>
      </c>
    </row>
    <row r="2039" ht="13.5" customHeight="1">
      <c r="B2039" s="268">
        <v>8108.0</v>
      </c>
      <c r="C2039" s="268">
        <f t="shared" si="1"/>
        <v>5.931989146</v>
      </c>
      <c r="D2039" s="268">
        <f t="shared" si="2"/>
        <v>1.979700338</v>
      </c>
    </row>
    <row r="2040" ht="13.5" customHeight="1">
      <c r="B2040" s="268">
        <v>8112.0</v>
      </c>
      <c r="C2040" s="268">
        <f t="shared" si="1"/>
        <v>5.936188271</v>
      </c>
      <c r="D2040" s="268">
        <f t="shared" si="2"/>
        <v>1.98065764</v>
      </c>
    </row>
    <row r="2041" ht="13.5" customHeight="1">
      <c r="B2041" s="268">
        <v>8116.0</v>
      </c>
      <c r="C2041" s="268">
        <f t="shared" si="1"/>
        <v>5.940389427</v>
      </c>
      <c r="D2041" s="268">
        <f t="shared" si="2"/>
        <v>1.981615868</v>
      </c>
    </row>
    <row r="2042" ht="13.5" customHeight="1">
      <c r="B2042" s="268">
        <v>8120.0</v>
      </c>
      <c r="C2042" s="268">
        <f t="shared" si="1"/>
        <v>5.944592616</v>
      </c>
      <c r="D2042" s="268">
        <f t="shared" si="2"/>
        <v>1.982575024</v>
      </c>
    </row>
    <row r="2043" ht="13.5" customHeight="1">
      <c r="B2043" s="268">
        <v>8124.0</v>
      </c>
      <c r="C2043" s="268">
        <f t="shared" si="1"/>
        <v>5.94879784</v>
      </c>
      <c r="D2043" s="268">
        <f t="shared" si="2"/>
        <v>1.983535109</v>
      </c>
    </row>
    <row r="2044" ht="13.5" customHeight="1">
      <c r="B2044" s="268">
        <v>8128.0</v>
      </c>
      <c r="C2044" s="268">
        <f t="shared" si="1"/>
        <v>5.9530051</v>
      </c>
      <c r="D2044" s="268">
        <f t="shared" si="2"/>
        <v>1.984496124</v>
      </c>
    </row>
    <row r="2045" ht="13.5" customHeight="1">
      <c r="B2045" s="268">
        <v>8132.0</v>
      </c>
      <c r="C2045" s="268">
        <f t="shared" si="1"/>
        <v>5.9572144</v>
      </c>
      <c r="D2045" s="268">
        <f t="shared" si="2"/>
        <v>1.985458071</v>
      </c>
    </row>
    <row r="2046" ht="13.5" customHeight="1">
      <c r="B2046" s="268">
        <v>8136.0</v>
      </c>
      <c r="C2046" s="268">
        <f t="shared" si="1"/>
        <v>5.96142574</v>
      </c>
      <c r="D2046" s="268">
        <f t="shared" si="2"/>
        <v>1.986420951</v>
      </c>
    </row>
    <row r="2047" ht="13.5" customHeight="1">
      <c r="B2047" s="268">
        <v>8140.0</v>
      </c>
      <c r="C2047" s="268">
        <f t="shared" si="1"/>
        <v>5.965639124</v>
      </c>
      <c r="D2047" s="268">
        <f t="shared" si="2"/>
        <v>1.987384765</v>
      </c>
    </row>
    <row r="2048" ht="13.5" customHeight="1">
      <c r="B2048" s="268">
        <v>8144.0</v>
      </c>
      <c r="C2048" s="268">
        <f t="shared" si="1"/>
        <v>5.969854552</v>
      </c>
      <c r="D2048" s="268">
        <f t="shared" si="2"/>
        <v>1.988349515</v>
      </c>
    </row>
    <row r="2049" ht="13.5" customHeight="1">
      <c r="B2049" s="268">
        <v>8148.0</v>
      </c>
      <c r="C2049" s="268">
        <f t="shared" si="1"/>
        <v>5.974072027</v>
      </c>
      <c r="D2049" s="268">
        <f t="shared" si="2"/>
        <v>1.989315202</v>
      </c>
    </row>
    <row r="2050" ht="13.5" customHeight="1">
      <c r="B2050" s="268">
        <v>8152.0</v>
      </c>
      <c r="C2050" s="268">
        <f t="shared" si="1"/>
        <v>5.978291551</v>
      </c>
      <c r="D2050" s="268">
        <f t="shared" si="2"/>
        <v>1.990281827</v>
      </c>
    </row>
    <row r="2051" ht="13.5" customHeight="1">
      <c r="B2051" s="268">
        <v>8156.0</v>
      </c>
      <c r="C2051" s="268">
        <f t="shared" si="1"/>
        <v>5.982513125</v>
      </c>
      <c r="D2051" s="268">
        <f t="shared" si="2"/>
        <v>1.991249392</v>
      </c>
    </row>
    <row r="2052" ht="13.5" customHeight="1">
      <c r="B2052" s="268">
        <v>8160.0</v>
      </c>
      <c r="C2052" s="268">
        <f t="shared" si="1"/>
        <v>5.986736753</v>
      </c>
      <c r="D2052" s="268">
        <f t="shared" si="2"/>
        <v>1.992217899</v>
      </c>
    </row>
    <row r="2053" ht="13.5" customHeight="1">
      <c r="B2053" s="268">
        <v>8164.0</v>
      </c>
      <c r="C2053" s="268">
        <f t="shared" si="1"/>
        <v>5.990962435</v>
      </c>
      <c r="D2053" s="268">
        <f t="shared" si="2"/>
        <v>1.993187348</v>
      </c>
    </row>
    <row r="2054" ht="13.5" customHeight="1">
      <c r="B2054" s="268">
        <v>8168.0</v>
      </c>
      <c r="C2054" s="268">
        <f t="shared" si="1"/>
        <v>5.995190174</v>
      </c>
      <c r="D2054" s="268">
        <f t="shared" si="2"/>
        <v>1.994157741</v>
      </c>
    </row>
    <row r="2055" ht="13.5" customHeight="1">
      <c r="B2055" s="268">
        <v>8172.0</v>
      </c>
      <c r="C2055" s="268">
        <f t="shared" si="1"/>
        <v>5.999419972</v>
      </c>
      <c r="D2055" s="268">
        <f t="shared" si="2"/>
        <v>1.995129079</v>
      </c>
    </row>
    <row r="2056" ht="13.5" customHeight="1">
      <c r="B2056" s="268">
        <v>8176.0</v>
      </c>
      <c r="C2056" s="268">
        <f t="shared" si="1"/>
        <v>6.003651831</v>
      </c>
      <c r="D2056" s="268">
        <f t="shared" si="2"/>
        <v>1.996101365</v>
      </c>
    </row>
    <row r="2057" ht="13.5" customHeight="1">
      <c r="B2057" s="268">
        <v>8180.0</v>
      </c>
      <c r="C2057" s="268">
        <f t="shared" si="1"/>
        <v>6.007885752</v>
      </c>
      <c r="D2057" s="268">
        <f t="shared" si="2"/>
        <v>1.997074598</v>
      </c>
    </row>
    <row r="2058" ht="13.5" customHeight="1">
      <c r="B2058" s="268">
        <v>8184.0</v>
      </c>
      <c r="C2058" s="268">
        <f t="shared" si="1"/>
        <v>6.012121738</v>
      </c>
      <c r="D2058" s="268">
        <f t="shared" si="2"/>
        <v>1.99804878</v>
      </c>
    </row>
    <row r="2059" ht="13.5" customHeight="1">
      <c r="B2059" s="268">
        <v>8188.0</v>
      </c>
      <c r="C2059" s="268">
        <f t="shared" si="1"/>
        <v>6.016359791</v>
      </c>
      <c r="D2059" s="268">
        <f t="shared" si="2"/>
        <v>1.999023914</v>
      </c>
    </row>
    <row r="2060" ht="13.5" customHeight="1">
      <c r="B2060" s="268">
        <v>8192.0</v>
      </c>
      <c r="C2060" s="268">
        <f t="shared" si="1"/>
        <v>6.020599913</v>
      </c>
      <c r="D2060" s="268">
        <f t="shared" si="2"/>
        <v>2</v>
      </c>
    </row>
    <row r="2061" ht="13.5" customHeight="1">
      <c r="B2061" s="268">
        <v>8196.0</v>
      </c>
      <c r="C2061" s="268">
        <f t="shared" si="1"/>
        <v>6.024842106</v>
      </c>
      <c r="D2061" s="268">
        <f t="shared" si="2"/>
        <v>2.00097704</v>
      </c>
    </row>
    <row r="2062" ht="13.5" customHeight="1">
      <c r="B2062" s="268">
        <v>8200.0</v>
      </c>
      <c r="C2062" s="268">
        <f t="shared" si="1"/>
        <v>6.029086372</v>
      </c>
      <c r="D2062" s="268">
        <f t="shared" si="2"/>
        <v>2.001955034</v>
      </c>
    </row>
    <row r="2063" ht="13.5" customHeight="1">
      <c r="B2063" s="268">
        <v>8204.0</v>
      </c>
      <c r="C2063" s="268">
        <f t="shared" si="1"/>
        <v>6.033332712</v>
      </c>
      <c r="D2063" s="268">
        <f t="shared" si="2"/>
        <v>2.002933985</v>
      </c>
    </row>
    <row r="2064" ht="13.5" customHeight="1">
      <c r="B2064" s="268">
        <v>8208.0</v>
      </c>
      <c r="C2064" s="268">
        <f t="shared" si="1"/>
        <v>6.03758113</v>
      </c>
      <c r="D2064" s="268">
        <f t="shared" si="2"/>
        <v>2.003913894</v>
      </c>
    </row>
    <row r="2065" ht="13.5" customHeight="1">
      <c r="B2065" s="268">
        <v>8212.0</v>
      </c>
      <c r="C2065" s="268">
        <f t="shared" si="1"/>
        <v>6.041831627</v>
      </c>
      <c r="D2065" s="268">
        <f t="shared" si="2"/>
        <v>2.004894763</v>
      </c>
    </row>
    <row r="2066" ht="13.5" customHeight="1">
      <c r="B2066" s="268">
        <v>8216.0</v>
      </c>
      <c r="C2066" s="268">
        <f t="shared" si="1"/>
        <v>6.046084204</v>
      </c>
      <c r="D2066" s="268">
        <f t="shared" si="2"/>
        <v>2.005876592</v>
      </c>
    </row>
    <row r="2067" ht="13.5" customHeight="1">
      <c r="B2067" s="268">
        <v>8220.0</v>
      </c>
      <c r="C2067" s="268">
        <f t="shared" si="1"/>
        <v>6.050338865</v>
      </c>
      <c r="D2067" s="268">
        <f t="shared" si="2"/>
        <v>2.006859383</v>
      </c>
    </row>
    <row r="2068" ht="13.5" customHeight="1">
      <c r="B2068" s="268">
        <v>8224.0</v>
      </c>
      <c r="C2068" s="268">
        <f t="shared" si="1"/>
        <v>6.054595611</v>
      </c>
      <c r="D2068" s="268">
        <f t="shared" si="2"/>
        <v>2.007843137</v>
      </c>
    </row>
    <row r="2069" ht="13.5" customHeight="1">
      <c r="B2069" s="268">
        <v>8228.0</v>
      </c>
      <c r="C2069" s="268">
        <f t="shared" si="1"/>
        <v>6.058854444</v>
      </c>
      <c r="D2069" s="268">
        <f t="shared" si="2"/>
        <v>2.008827857</v>
      </c>
    </row>
    <row r="2070" ht="13.5" customHeight="1">
      <c r="B2070" s="268">
        <v>8232.0</v>
      </c>
      <c r="C2070" s="268">
        <f t="shared" si="1"/>
        <v>6.063115366</v>
      </c>
      <c r="D2070" s="268">
        <f t="shared" si="2"/>
        <v>2.009813543</v>
      </c>
    </row>
    <row r="2071" ht="13.5" customHeight="1">
      <c r="B2071" s="268">
        <v>8236.0</v>
      </c>
      <c r="C2071" s="268">
        <f t="shared" si="1"/>
        <v>6.067378379</v>
      </c>
      <c r="D2071" s="268">
        <f t="shared" si="2"/>
        <v>2.010800196</v>
      </c>
    </row>
    <row r="2072" ht="13.5" customHeight="1">
      <c r="B2072" s="268">
        <v>8240.0</v>
      </c>
      <c r="C2072" s="268">
        <f t="shared" si="1"/>
        <v>6.071643486</v>
      </c>
      <c r="D2072" s="268">
        <f t="shared" si="2"/>
        <v>2.011787819</v>
      </c>
    </row>
    <row r="2073" ht="13.5" customHeight="1">
      <c r="B2073" s="268">
        <v>8244.0</v>
      </c>
      <c r="C2073" s="268">
        <f t="shared" si="1"/>
        <v>6.075910688</v>
      </c>
      <c r="D2073" s="268">
        <f t="shared" si="2"/>
        <v>2.012776413</v>
      </c>
    </row>
    <row r="2074" ht="13.5" customHeight="1">
      <c r="B2074" s="268">
        <v>8248.0</v>
      </c>
      <c r="C2074" s="268">
        <f t="shared" si="1"/>
        <v>6.080179988</v>
      </c>
      <c r="D2074" s="268">
        <f t="shared" si="2"/>
        <v>2.013765978</v>
      </c>
    </row>
    <row r="2075" ht="13.5" customHeight="1">
      <c r="B2075" s="268">
        <v>8252.0</v>
      </c>
      <c r="C2075" s="268">
        <f t="shared" si="1"/>
        <v>6.084451387</v>
      </c>
      <c r="D2075" s="268">
        <f t="shared" si="2"/>
        <v>2.014756517</v>
      </c>
    </row>
    <row r="2076" ht="13.5" customHeight="1">
      <c r="B2076" s="268">
        <v>8256.0</v>
      </c>
      <c r="C2076" s="268">
        <f t="shared" si="1"/>
        <v>6.088724887</v>
      </c>
      <c r="D2076" s="268">
        <f t="shared" si="2"/>
        <v>2.015748031</v>
      </c>
    </row>
    <row r="2077" ht="13.5" customHeight="1">
      <c r="B2077" s="268">
        <v>8260.0</v>
      </c>
      <c r="C2077" s="268">
        <f t="shared" si="1"/>
        <v>6.093000491</v>
      </c>
      <c r="D2077" s="268">
        <f t="shared" si="2"/>
        <v>2.016740522</v>
      </c>
    </row>
    <row r="2078" ht="13.5" customHeight="1">
      <c r="B2078" s="268">
        <v>8264.0</v>
      </c>
      <c r="C2078" s="268">
        <f t="shared" si="1"/>
        <v>6.097278201</v>
      </c>
      <c r="D2078" s="268">
        <f t="shared" si="2"/>
        <v>2.01773399</v>
      </c>
    </row>
    <row r="2079" ht="13.5" customHeight="1">
      <c r="B2079" s="268">
        <v>8268.0</v>
      </c>
      <c r="C2079" s="268">
        <f t="shared" si="1"/>
        <v>6.101558019</v>
      </c>
      <c r="D2079" s="268">
        <f t="shared" si="2"/>
        <v>2.018728438</v>
      </c>
    </row>
    <row r="2080" ht="13.5" customHeight="1">
      <c r="B2080" s="268">
        <v>8272.0</v>
      </c>
      <c r="C2080" s="268">
        <f t="shared" si="1"/>
        <v>6.105839946</v>
      </c>
      <c r="D2080" s="268">
        <f t="shared" si="2"/>
        <v>2.019723866</v>
      </c>
    </row>
    <row r="2081" ht="13.5" customHeight="1">
      <c r="B2081" s="268">
        <v>8276.0</v>
      </c>
      <c r="C2081" s="268">
        <f t="shared" si="1"/>
        <v>6.110123985</v>
      </c>
      <c r="D2081" s="268">
        <f t="shared" si="2"/>
        <v>2.020720276</v>
      </c>
    </row>
    <row r="2082" ht="13.5" customHeight="1">
      <c r="B2082" s="268">
        <v>8280.0</v>
      </c>
      <c r="C2082" s="268">
        <f t="shared" si="1"/>
        <v>6.114410139</v>
      </c>
      <c r="D2082" s="268">
        <f t="shared" si="2"/>
        <v>2.02171767</v>
      </c>
    </row>
    <row r="2083" ht="13.5" customHeight="1">
      <c r="B2083" s="268">
        <v>8284.0</v>
      </c>
      <c r="C2083" s="268">
        <f t="shared" si="1"/>
        <v>6.118698408</v>
      </c>
      <c r="D2083" s="268">
        <f t="shared" si="2"/>
        <v>2.022716049</v>
      </c>
    </row>
    <row r="2084" ht="13.5" customHeight="1">
      <c r="B2084" s="268">
        <v>8288.0</v>
      </c>
      <c r="C2084" s="268">
        <f t="shared" si="1"/>
        <v>6.122988796</v>
      </c>
      <c r="D2084" s="268">
        <f t="shared" si="2"/>
        <v>2.023715415</v>
      </c>
    </row>
    <row r="2085" ht="13.5" customHeight="1">
      <c r="B2085" s="268">
        <v>8292.0</v>
      </c>
      <c r="C2085" s="268">
        <f t="shared" si="1"/>
        <v>6.127281304</v>
      </c>
      <c r="D2085" s="268">
        <f t="shared" si="2"/>
        <v>2.024715769</v>
      </c>
    </row>
    <row r="2086" ht="13.5" customHeight="1">
      <c r="B2086" s="268">
        <v>8296.0</v>
      </c>
      <c r="C2086" s="268">
        <f t="shared" si="1"/>
        <v>6.131575934</v>
      </c>
      <c r="D2086" s="268">
        <f t="shared" si="2"/>
        <v>2.025717112</v>
      </c>
    </row>
    <row r="2087" ht="13.5" customHeight="1">
      <c r="B2087" s="268">
        <v>8300.0</v>
      </c>
      <c r="C2087" s="268">
        <f t="shared" si="1"/>
        <v>6.135872689</v>
      </c>
      <c r="D2087" s="268">
        <f t="shared" si="2"/>
        <v>2.026719446</v>
      </c>
    </row>
    <row r="2088" ht="13.5" customHeight="1">
      <c r="B2088" s="268">
        <v>8304.0</v>
      </c>
      <c r="C2088" s="268">
        <f t="shared" si="1"/>
        <v>6.14017157</v>
      </c>
      <c r="D2088" s="268">
        <f t="shared" si="2"/>
        <v>2.027722772</v>
      </c>
    </row>
    <row r="2089" ht="13.5" customHeight="1">
      <c r="B2089" s="268">
        <v>8308.0</v>
      </c>
      <c r="C2089" s="268">
        <f t="shared" si="1"/>
        <v>6.14447258</v>
      </c>
      <c r="D2089" s="268">
        <f t="shared" si="2"/>
        <v>2.028727093</v>
      </c>
    </row>
    <row r="2090" ht="13.5" customHeight="1">
      <c r="B2090" s="268">
        <v>8312.0</v>
      </c>
      <c r="C2090" s="268">
        <f t="shared" si="1"/>
        <v>6.148775721</v>
      </c>
      <c r="D2090" s="268">
        <f t="shared" si="2"/>
        <v>2.029732408</v>
      </c>
    </row>
    <row r="2091" ht="13.5" customHeight="1">
      <c r="B2091" s="268">
        <v>8316.0</v>
      </c>
      <c r="C2091" s="268">
        <f t="shared" si="1"/>
        <v>6.153080995</v>
      </c>
      <c r="D2091" s="268">
        <f t="shared" si="2"/>
        <v>2.030738721</v>
      </c>
    </row>
    <row r="2092" ht="13.5" customHeight="1">
      <c r="B2092" s="268">
        <v>8320.0</v>
      </c>
      <c r="C2092" s="268">
        <f t="shared" si="1"/>
        <v>6.157388404</v>
      </c>
      <c r="D2092" s="268">
        <f t="shared" si="2"/>
        <v>2.031746032</v>
      </c>
    </row>
    <row r="2093" ht="13.5" customHeight="1">
      <c r="B2093" s="268">
        <v>8324.0</v>
      </c>
      <c r="C2093" s="268">
        <f t="shared" si="1"/>
        <v>6.16169795</v>
      </c>
      <c r="D2093" s="268">
        <f t="shared" si="2"/>
        <v>2.032754342</v>
      </c>
    </row>
    <row r="2094" ht="13.5" customHeight="1">
      <c r="B2094" s="268">
        <v>8328.0</v>
      </c>
      <c r="C2094" s="268">
        <f t="shared" si="1"/>
        <v>6.166009635</v>
      </c>
      <c r="D2094" s="268">
        <f t="shared" si="2"/>
        <v>2.033763654</v>
      </c>
    </row>
    <row r="2095" ht="13.5" customHeight="1">
      <c r="B2095" s="268">
        <v>8332.0</v>
      </c>
      <c r="C2095" s="268">
        <f t="shared" si="1"/>
        <v>6.170323462</v>
      </c>
      <c r="D2095" s="268">
        <f t="shared" si="2"/>
        <v>2.034773969</v>
      </c>
    </row>
    <row r="2096" ht="13.5" customHeight="1">
      <c r="B2096" s="268">
        <v>8336.0</v>
      </c>
      <c r="C2096" s="268">
        <f t="shared" si="1"/>
        <v>6.174639432</v>
      </c>
      <c r="D2096" s="268">
        <f t="shared" si="2"/>
        <v>2.035785288</v>
      </c>
    </row>
    <row r="2097" ht="13.5" customHeight="1">
      <c r="B2097" s="268">
        <v>8340.0</v>
      </c>
      <c r="C2097" s="268">
        <f t="shared" si="1"/>
        <v>6.178957547</v>
      </c>
      <c r="D2097" s="268">
        <f t="shared" si="2"/>
        <v>2.036797613</v>
      </c>
    </row>
    <row r="2098" ht="13.5" customHeight="1">
      <c r="B2098" s="268">
        <v>8344.0</v>
      </c>
      <c r="C2098" s="268">
        <f t="shared" si="1"/>
        <v>6.183277811</v>
      </c>
      <c r="D2098" s="268">
        <f t="shared" si="2"/>
        <v>2.037810945</v>
      </c>
    </row>
    <row r="2099" ht="13.5" customHeight="1">
      <c r="B2099" s="268">
        <v>8348.0</v>
      </c>
      <c r="C2099" s="268">
        <f t="shared" si="1"/>
        <v>6.187600224</v>
      </c>
      <c r="D2099" s="268">
        <f t="shared" si="2"/>
        <v>2.038825286</v>
      </c>
    </row>
    <row r="2100" ht="13.5" customHeight="1">
      <c r="B2100" s="268">
        <v>8352.0</v>
      </c>
      <c r="C2100" s="268">
        <f t="shared" si="1"/>
        <v>6.19192479</v>
      </c>
      <c r="D2100" s="268">
        <f t="shared" si="2"/>
        <v>2.039840637</v>
      </c>
    </row>
    <row r="2101" ht="13.5" customHeight="1">
      <c r="B2101" s="268">
        <v>8356.0</v>
      </c>
      <c r="C2101" s="268">
        <f t="shared" si="1"/>
        <v>6.19625151</v>
      </c>
      <c r="D2101" s="268">
        <f t="shared" si="2"/>
        <v>2.040857</v>
      </c>
    </row>
    <row r="2102" ht="13.5" customHeight="1">
      <c r="B2102" s="268">
        <v>8360.0</v>
      </c>
      <c r="C2102" s="268">
        <f t="shared" si="1"/>
        <v>6.200580386</v>
      </c>
      <c r="D2102" s="268">
        <f t="shared" si="2"/>
        <v>2.041874377</v>
      </c>
    </row>
    <row r="2103" ht="13.5" customHeight="1">
      <c r="B2103" s="268">
        <v>8364.0</v>
      </c>
      <c r="C2103" s="268">
        <f t="shared" si="1"/>
        <v>6.20491142</v>
      </c>
      <c r="D2103" s="268">
        <f t="shared" si="2"/>
        <v>2.042892768</v>
      </c>
    </row>
    <row r="2104" ht="13.5" customHeight="1">
      <c r="B2104" s="268">
        <v>8368.0</v>
      </c>
      <c r="C2104" s="268">
        <f t="shared" si="1"/>
        <v>6.209244615</v>
      </c>
      <c r="D2104" s="268">
        <f t="shared" si="2"/>
        <v>2.043912176</v>
      </c>
    </row>
    <row r="2105" ht="13.5" customHeight="1">
      <c r="B2105" s="268">
        <v>8372.0</v>
      </c>
      <c r="C2105" s="268">
        <f t="shared" si="1"/>
        <v>6.213579973</v>
      </c>
      <c r="D2105" s="268">
        <f t="shared" si="2"/>
        <v>2.044932601</v>
      </c>
    </row>
    <row r="2106" ht="13.5" customHeight="1">
      <c r="B2106" s="268">
        <v>8376.0</v>
      </c>
      <c r="C2106" s="268">
        <f t="shared" si="1"/>
        <v>6.217917496</v>
      </c>
      <c r="D2106" s="268">
        <f t="shared" si="2"/>
        <v>2.045954046</v>
      </c>
    </row>
    <row r="2107" ht="13.5" customHeight="1">
      <c r="B2107" s="268">
        <v>8380.0</v>
      </c>
      <c r="C2107" s="268">
        <f t="shared" si="1"/>
        <v>6.222257187</v>
      </c>
      <c r="D2107" s="268">
        <f t="shared" si="2"/>
        <v>2.046976512</v>
      </c>
    </row>
    <row r="2108" ht="13.5" customHeight="1">
      <c r="B2108" s="268">
        <v>8384.0</v>
      </c>
      <c r="C2108" s="268">
        <f t="shared" si="1"/>
        <v>6.226599046</v>
      </c>
      <c r="D2108" s="268">
        <f t="shared" si="2"/>
        <v>2.048</v>
      </c>
    </row>
    <row r="2109" ht="13.5" customHeight="1">
      <c r="B2109" s="268">
        <v>8388.0</v>
      </c>
      <c r="C2109" s="268">
        <f t="shared" si="1"/>
        <v>6.230943077</v>
      </c>
      <c r="D2109" s="268">
        <f t="shared" si="2"/>
        <v>2.049024512</v>
      </c>
    </row>
    <row r="2110" ht="13.5" customHeight="1">
      <c r="B2110" s="268">
        <v>8392.0</v>
      </c>
      <c r="C2110" s="268">
        <f t="shared" si="1"/>
        <v>6.235289282</v>
      </c>
      <c r="D2110" s="268">
        <f t="shared" si="2"/>
        <v>2.05005005</v>
      </c>
    </row>
    <row r="2111" ht="13.5" customHeight="1">
      <c r="B2111" s="268">
        <v>8396.0</v>
      </c>
      <c r="C2111" s="268">
        <f t="shared" si="1"/>
        <v>6.239637662</v>
      </c>
      <c r="D2111" s="268">
        <f t="shared" si="2"/>
        <v>2.051076615</v>
      </c>
    </row>
    <row r="2112" ht="13.5" customHeight="1">
      <c r="B2112" s="268">
        <v>8400.0</v>
      </c>
      <c r="C2112" s="268">
        <f t="shared" si="1"/>
        <v>6.24398822</v>
      </c>
      <c r="D2112" s="268">
        <f t="shared" si="2"/>
        <v>2.052104208</v>
      </c>
    </row>
    <row r="2113" ht="13.5" customHeight="1">
      <c r="B2113" s="268">
        <v>8404.0</v>
      </c>
      <c r="C2113" s="268">
        <f t="shared" si="1"/>
        <v>6.248340959</v>
      </c>
      <c r="D2113" s="268">
        <f t="shared" si="2"/>
        <v>2.053132832</v>
      </c>
    </row>
    <row r="2114" ht="13.5" customHeight="1">
      <c r="B2114" s="268">
        <v>8408.0</v>
      </c>
      <c r="C2114" s="268">
        <f t="shared" si="1"/>
        <v>6.25269588</v>
      </c>
      <c r="D2114" s="268">
        <f t="shared" si="2"/>
        <v>2.054162487</v>
      </c>
    </row>
    <row r="2115" ht="13.5" customHeight="1">
      <c r="B2115" s="268">
        <v>8412.0</v>
      </c>
      <c r="C2115" s="268">
        <f t="shared" si="1"/>
        <v>6.257052985</v>
      </c>
      <c r="D2115" s="268">
        <f t="shared" si="2"/>
        <v>2.055193176</v>
      </c>
    </row>
    <row r="2116" ht="13.5" customHeight="1">
      <c r="B2116" s="268">
        <v>8416.0</v>
      </c>
      <c r="C2116" s="268">
        <f t="shared" si="1"/>
        <v>6.261412278</v>
      </c>
      <c r="D2116" s="268">
        <f t="shared" si="2"/>
        <v>2.0562249</v>
      </c>
    </row>
    <row r="2117" ht="13.5" customHeight="1">
      <c r="B2117" s="268">
        <v>8420.0</v>
      </c>
      <c r="C2117" s="268">
        <f t="shared" si="1"/>
        <v>6.265773759</v>
      </c>
      <c r="D2117" s="268">
        <f t="shared" si="2"/>
        <v>2.057257659</v>
      </c>
    </row>
    <row r="2118" ht="13.5" customHeight="1">
      <c r="B2118" s="268">
        <v>8424.0</v>
      </c>
      <c r="C2118" s="268">
        <f t="shared" si="1"/>
        <v>6.270137431</v>
      </c>
      <c r="D2118" s="268">
        <f t="shared" si="2"/>
        <v>2.058291457</v>
      </c>
    </row>
    <row r="2119" ht="13.5" customHeight="1">
      <c r="B2119" s="268">
        <v>8428.0</v>
      </c>
      <c r="C2119" s="268">
        <f t="shared" si="1"/>
        <v>6.274503297</v>
      </c>
      <c r="D2119" s="268">
        <f t="shared" si="2"/>
        <v>2.059326295</v>
      </c>
    </row>
    <row r="2120" ht="13.5" customHeight="1">
      <c r="B2120" s="268">
        <v>8432.0</v>
      </c>
      <c r="C2120" s="268">
        <f t="shared" si="1"/>
        <v>6.278871358</v>
      </c>
      <c r="D2120" s="268">
        <f t="shared" si="2"/>
        <v>2.060362173</v>
      </c>
    </row>
    <row r="2121" ht="13.5" customHeight="1">
      <c r="B2121" s="268">
        <v>8436.0</v>
      </c>
      <c r="C2121" s="268">
        <f t="shared" si="1"/>
        <v>6.283241617</v>
      </c>
      <c r="D2121" s="268">
        <f t="shared" si="2"/>
        <v>2.061399094</v>
      </c>
    </row>
    <row r="2122" ht="13.5" customHeight="1">
      <c r="B2122" s="268">
        <v>8440.0</v>
      </c>
      <c r="C2122" s="268">
        <f t="shared" si="1"/>
        <v>6.287614076</v>
      </c>
      <c r="D2122" s="268">
        <f t="shared" si="2"/>
        <v>2.062437059</v>
      </c>
    </row>
    <row r="2123" ht="13.5" customHeight="1">
      <c r="B2123" s="268">
        <v>8444.0</v>
      </c>
      <c r="C2123" s="268">
        <f t="shared" si="1"/>
        <v>6.291988737</v>
      </c>
      <c r="D2123" s="268">
        <f t="shared" si="2"/>
        <v>2.063476071</v>
      </c>
    </row>
    <row r="2124" ht="13.5" customHeight="1">
      <c r="B2124" s="268">
        <v>8448.0</v>
      </c>
      <c r="C2124" s="268">
        <f t="shared" si="1"/>
        <v>6.296365603</v>
      </c>
      <c r="D2124" s="268">
        <f t="shared" si="2"/>
        <v>2.064516129</v>
      </c>
    </row>
    <row r="2125" ht="13.5" customHeight="1">
      <c r="B2125" s="268">
        <v>8452.0</v>
      </c>
      <c r="C2125" s="268">
        <f t="shared" si="1"/>
        <v>6.300744675</v>
      </c>
      <c r="D2125" s="268">
        <f t="shared" si="2"/>
        <v>2.065557237</v>
      </c>
    </row>
    <row r="2126" ht="13.5" customHeight="1">
      <c r="B2126" s="268">
        <v>8456.0</v>
      </c>
      <c r="C2126" s="268">
        <f t="shared" si="1"/>
        <v>6.305125956</v>
      </c>
      <c r="D2126" s="268">
        <f t="shared" si="2"/>
        <v>2.066599395</v>
      </c>
    </row>
    <row r="2127" ht="13.5" customHeight="1">
      <c r="B2127" s="268">
        <v>8460.0</v>
      </c>
      <c r="C2127" s="268">
        <f t="shared" si="1"/>
        <v>6.309509449</v>
      </c>
      <c r="D2127" s="268">
        <f t="shared" si="2"/>
        <v>2.067642605</v>
      </c>
    </row>
    <row r="2128" ht="13.5" customHeight="1">
      <c r="B2128" s="268">
        <v>8464.0</v>
      </c>
      <c r="C2128" s="268">
        <f t="shared" si="1"/>
        <v>6.313895154</v>
      </c>
      <c r="D2128" s="268">
        <f t="shared" si="2"/>
        <v>2.068686869</v>
      </c>
    </row>
    <row r="2129" ht="13.5" customHeight="1">
      <c r="B2129" s="268">
        <v>8468.0</v>
      </c>
      <c r="C2129" s="268">
        <f t="shared" si="1"/>
        <v>6.318283075</v>
      </c>
      <c r="D2129" s="268">
        <f t="shared" si="2"/>
        <v>2.069732188</v>
      </c>
    </row>
    <row r="2130" ht="13.5" customHeight="1">
      <c r="B2130" s="268">
        <v>8472.0</v>
      </c>
      <c r="C2130" s="268">
        <f t="shared" si="1"/>
        <v>6.322673214</v>
      </c>
      <c r="D2130" s="268">
        <f t="shared" si="2"/>
        <v>2.070778564</v>
      </c>
    </row>
    <row r="2131" ht="13.5" customHeight="1">
      <c r="B2131" s="268">
        <v>8476.0</v>
      </c>
      <c r="C2131" s="268">
        <f t="shared" si="1"/>
        <v>6.327065573</v>
      </c>
      <c r="D2131" s="268">
        <f t="shared" si="2"/>
        <v>2.071825999</v>
      </c>
    </row>
    <row r="2132" ht="13.5" customHeight="1">
      <c r="B2132" s="268">
        <v>8480.0</v>
      </c>
      <c r="C2132" s="268">
        <f t="shared" si="1"/>
        <v>6.331460154</v>
      </c>
      <c r="D2132" s="268">
        <f t="shared" si="2"/>
        <v>2.072874494</v>
      </c>
    </row>
    <row r="2133" ht="13.5" customHeight="1">
      <c r="B2133" s="268">
        <v>8484.0</v>
      </c>
      <c r="C2133" s="268">
        <f t="shared" si="1"/>
        <v>6.33585696</v>
      </c>
      <c r="D2133" s="268">
        <f t="shared" si="2"/>
        <v>2.073924051</v>
      </c>
    </row>
    <row r="2134" ht="13.5" customHeight="1">
      <c r="B2134" s="268">
        <v>8488.0</v>
      </c>
      <c r="C2134" s="268">
        <f t="shared" si="1"/>
        <v>6.340255993</v>
      </c>
      <c r="D2134" s="268">
        <f t="shared" si="2"/>
        <v>2.074974671</v>
      </c>
    </row>
    <row r="2135" ht="13.5" customHeight="1">
      <c r="B2135" s="268">
        <v>8492.0</v>
      </c>
      <c r="C2135" s="268">
        <f t="shared" si="1"/>
        <v>6.344657254</v>
      </c>
      <c r="D2135" s="268">
        <f t="shared" si="2"/>
        <v>2.076026356</v>
      </c>
    </row>
    <row r="2136" ht="13.5" customHeight="1">
      <c r="B2136" s="268">
        <v>8496.0</v>
      </c>
      <c r="C2136" s="268">
        <f t="shared" si="1"/>
        <v>6.349060747</v>
      </c>
      <c r="D2136" s="268">
        <f t="shared" si="2"/>
        <v>2.077079108</v>
      </c>
    </row>
    <row r="2137" ht="13.5" customHeight="1">
      <c r="B2137" s="268">
        <v>8500.0</v>
      </c>
      <c r="C2137" s="268">
        <f t="shared" si="1"/>
        <v>6.353466474</v>
      </c>
      <c r="D2137" s="268">
        <f t="shared" si="2"/>
        <v>2.078132927</v>
      </c>
    </row>
    <row r="2138" ht="13.5" customHeight="1">
      <c r="B2138" s="268">
        <v>8504.0</v>
      </c>
      <c r="C2138" s="268">
        <f t="shared" si="1"/>
        <v>6.357874436</v>
      </c>
      <c r="D2138" s="268">
        <f t="shared" si="2"/>
        <v>2.079187817</v>
      </c>
    </row>
    <row r="2139" ht="13.5" customHeight="1">
      <c r="B2139" s="268">
        <v>8508.0</v>
      </c>
      <c r="C2139" s="268">
        <f t="shared" si="1"/>
        <v>6.362284637</v>
      </c>
      <c r="D2139" s="268">
        <f t="shared" si="2"/>
        <v>2.080243779</v>
      </c>
    </row>
    <row r="2140" ht="13.5" customHeight="1">
      <c r="B2140" s="268">
        <v>8512.0</v>
      </c>
      <c r="C2140" s="268">
        <f t="shared" si="1"/>
        <v>6.366697077</v>
      </c>
      <c r="D2140" s="268">
        <f t="shared" si="2"/>
        <v>2.081300813</v>
      </c>
    </row>
    <row r="2141" ht="13.5" customHeight="1">
      <c r="B2141" s="268">
        <v>8516.0</v>
      </c>
      <c r="C2141" s="268">
        <f t="shared" si="1"/>
        <v>6.371111761</v>
      </c>
      <c r="D2141" s="268">
        <f t="shared" si="2"/>
        <v>2.082358922</v>
      </c>
    </row>
    <row r="2142" ht="13.5" customHeight="1">
      <c r="B2142" s="268">
        <v>8520.0</v>
      </c>
      <c r="C2142" s="268">
        <f t="shared" si="1"/>
        <v>6.375528689</v>
      </c>
      <c r="D2142" s="268">
        <f t="shared" si="2"/>
        <v>2.083418108</v>
      </c>
    </row>
    <row r="2143" ht="13.5" customHeight="1">
      <c r="B2143" s="268">
        <v>8524.0</v>
      </c>
      <c r="C2143" s="268">
        <f t="shared" si="1"/>
        <v>6.379947865</v>
      </c>
      <c r="D2143" s="268">
        <f t="shared" si="2"/>
        <v>2.084478372</v>
      </c>
    </row>
    <row r="2144" ht="13.5" customHeight="1">
      <c r="B2144" s="268">
        <v>8528.0</v>
      </c>
      <c r="C2144" s="268">
        <f t="shared" si="1"/>
        <v>6.38436929</v>
      </c>
      <c r="D2144" s="268">
        <f t="shared" si="2"/>
        <v>2.085539715</v>
      </c>
    </row>
    <row r="2145" ht="13.5" customHeight="1">
      <c r="B2145" s="268">
        <v>8532.0</v>
      </c>
      <c r="C2145" s="268">
        <f t="shared" si="1"/>
        <v>6.388792967</v>
      </c>
      <c r="D2145" s="268">
        <f t="shared" si="2"/>
        <v>2.08660214</v>
      </c>
    </row>
    <row r="2146" ht="13.5" customHeight="1">
      <c r="B2146" s="268">
        <v>8536.0</v>
      </c>
      <c r="C2146" s="268">
        <f t="shared" si="1"/>
        <v>6.393218898</v>
      </c>
      <c r="D2146" s="268">
        <f t="shared" si="2"/>
        <v>2.087665647</v>
      </c>
    </row>
    <row r="2147" ht="13.5" customHeight="1">
      <c r="B2147" s="268">
        <v>8540.0</v>
      </c>
      <c r="C2147" s="268">
        <f t="shared" si="1"/>
        <v>6.397647086</v>
      </c>
      <c r="D2147" s="268">
        <f t="shared" si="2"/>
        <v>2.08873024</v>
      </c>
    </row>
    <row r="2148" ht="13.5" customHeight="1">
      <c r="B2148" s="268">
        <v>8544.0</v>
      </c>
      <c r="C2148" s="268">
        <f t="shared" si="1"/>
        <v>6.402077532</v>
      </c>
      <c r="D2148" s="268">
        <f t="shared" si="2"/>
        <v>2.089795918</v>
      </c>
    </row>
    <row r="2149" ht="13.5" customHeight="1">
      <c r="B2149" s="268">
        <v>8548.0</v>
      </c>
      <c r="C2149" s="268">
        <f t="shared" si="1"/>
        <v>6.406510239</v>
      </c>
      <c r="D2149" s="268">
        <f t="shared" si="2"/>
        <v>2.090862685</v>
      </c>
    </row>
    <row r="2150" ht="13.5" customHeight="1">
      <c r="B2150" s="268">
        <v>8552.0</v>
      </c>
      <c r="C2150" s="268">
        <f t="shared" si="1"/>
        <v>6.41094521</v>
      </c>
      <c r="D2150" s="268">
        <f t="shared" si="2"/>
        <v>2.091930541</v>
      </c>
    </row>
    <row r="2151" ht="13.5" customHeight="1">
      <c r="B2151" s="268">
        <v>8556.0</v>
      </c>
      <c r="C2151" s="268">
        <f t="shared" si="1"/>
        <v>6.415382446</v>
      </c>
      <c r="D2151" s="268">
        <f t="shared" si="2"/>
        <v>2.092999489</v>
      </c>
    </row>
    <row r="2152" ht="13.5" customHeight="1">
      <c r="B2152" s="268">
        <v>8560.0</v>
      </c>
      <c r="C2152" s="268">
        <f t="shared" si="1"/>
        <v>6.41982195</v>
      </c>
      <c r="D2152" s="268">
        <f t="shared" si="2"/>
        <v>2.09406953</v>
      </c>
    </row>
    <row r="2153" ht="13.5" customHeight="1">
      <c r="B2153" s="268">
        <v>8564.0</v>
      </c>
      <c r="C2153" s="268">
        <f t="shared" si="1"/>
        <v>6.424263725</v>
      </c>
      <c r="D2153" s="268">
        <f t="shared" si="2"/>
        <v>2.095140665</v>
      </c>
    </row>
    <row r="2154" ht="13.5" customHeight="1">
      <c r="B2154" s="268">
        <v>8568.0</v>
      </c>
      <c r="C2154" s="268">
        <f t="shared" si="1"/>
        <v>6.428707772</v>
      </c>
      <c r="D2154" s="268">
        <f t="shared" si="2"/>
        <v>2.096212897</v>
      </c>
    </row>
    <row r="2155" ht="13.5" customHeight="1">
      <c r="B2155" s="268">
        <v>8572.0</v>
      </c>
      <c r="C2155" s="268">
        <f t="shared" si="1"/>
        <v>6.433154094</v>
      </c>
      <c r="D2155" s="268">
        <f t="shared" si="2"/>
        <v>2.097286226</v>
      </c>
    </row>
    <row r="2156" ht="13.5" customHeight="1">
      <c r="B2156" s="268">
        <v>8576.0</v>
      </c>
      <c r="C2156" s="268">
        <f t="shared" si="1"/>
        <v>6.437602693</v>
      </c>
      <c r="D2156" s="268">
        <f t="shared" si="2"/>
        <v>2.098360656</v>
      </c>
    </row>
    <row r="2157" ht="13.5" customHeight="1">
      <c r="B2157" s="268">
        <v>8580.0</v>
      </c>
      <c r="C2157" s="268">
        <f t="shared" si="1"/>
        <v>6.442053571</v>
      </c>
      <c r="D2157" s="268">
        <f t="shared" si="2"/>
        <v>2.099436187</v>
      </c>
    </row>
    <row r="2158" ht="13.5" customHeight="1">
      <c r="B2158" s="268">
        <v>8584.0</v>
      </c>
      <c r="C2158" s="268">
        <f t="shared" si="1"/>
        <v>6.446506732</v>
      </c>
      <c r="D2158" s="268">
        <f t="shared" si="2"/>
        <v>2.100512821</v>
      </c>
    </row>
    <row r="2159" ht="13.5" customHeight="1">
      <c r="B2159" s="268">
        <v>8588.0</v>
      </c>
      <c r="C2159" s="268">
        <f t="shared" si="1"/>
        <v>6.450962177</v>
      </c>
      <c r="D2159" s="268">
        <f t="shared" si="2"/>
        <v>2.101590559</v>
      </c>
    </row>
    <row r="2160" ht="13.5" customHeight="1">
      <c r="B2160" s="268">
        <v>8592.0</v>
      </c>
      <c r="C2160" s="268">
        <f t="shared" si="1"/>
        <v>6.455419909</v>
      </c>
      <c r="D2160" s="268">
        <f t="shared" si="2"/>
        <v>2.102669405</v>
      </c>
    </row>
    <row r="2161" ht="13.5" customHeight="1">
      <c r="B2161" s="268">
        <v>8596.0</v>
      </c>
      <c r="C2161" s="268">
        <f t="shared" si="1"/>
        <v>6.459879929</v>
      </c>
      <c r="D2161" s="268">
        <f t="shared" si="2"/>
        <v>2.103749358</v>
      </c>
    </row>
    <row r="2162" ht="13.5" customHeight="1">
      <c r="B2162" s="268">
        <v>8600.0</v>
      </c>
      <c r="C2162" s="268">
        <f t="shared" si="1"/>
        <v>6.464342241</v>
      </c>
      <c r="D2162" s="268">
        <f t="shared" si="2"/>
        <v>2.104830421</v>
      </c>
    </row>
    <row r="2163" ht="13.5" customHeight="1">
      <c r="B2163" s="268">
        <v>8604.0</v>
      </c>
      <c r="C2163" s="268">
        <f t="shared" si="1"/>
        <v>6.468806846</v>
      </c>
      <c r="D2163" s="268">
        <f t="shared" si="2"/>
        <v>2.105912596</v>
      </c>
    </row>
    <row r="2164" ht="13.5" customHeight="1">
      <c r="B2164" s="268">
        <v>8608.0</v>
      </c>
      <c r="C2164" s="268">
        <f t="shared" si="1"/>
        <v>6.473273748</v>
      </c>
      <c r="D2164" s="268">
        <f t="shared" si="2"/>
        <v>2.106995885</v>
      </c>
    </row>
    <row r="2165" ht="13.5" customHeight="1">
      <c r="B2165" s="268">
        <v>8612.0</v>
      </c>
      <c r="C2165" s="268">
        <f t="shared" si="1"/>
        <v>6.477742947</v>
      </c>
      <c r="D2165" s="268">
        <f t="shared" si="2"/>
        <v>2.108080288</v>
      </c>
    </row>
    <row r="2166" ht="13.5" customHeight="1">
      <c r="B2166" s="268">
        <v>8616.0</v>
      </c>
      <c r="C2166" s="268">
        <f t="shared" si="1"/>
        <v>6.482214448</v>
      </c>
      <c r="D2166" s="268">
        <f t="shared" si="2"/>
        <v>2.109165808</v>
      </c>
    </row>
    <row r="2167" ht="13.5" customHeight="1">
      <c r="B2167" s="268">
        <v>8620.0</v>
      </c>
      <c r="C2167" s="268">
        <f t="shared" si="1"/>
        <v>6.486688252</v>
      </c>
      <c r="D2167" s="268">
        <f t="shared" si="2"/>
        <v>2.110252447</v>
      </c>
    </row>
    <row r="2168" ht="13.5" customHeight="1">
      <c r="B2168" s="268">
        <v>8624.0</v>
      </c>
      <c r="C2168" s="268">
        <f t="shared" si="1"/>
        <v>6.491164361</v>
      </c>
      <c r="D2168" s="268">
        <f t="shared" si="2"/>
        <v>2.111340206</v>
      </c>
    </row>
    <row r="2169" ht="13.5" customHeight="1">
      <c r="B2169" s="268">
        <v>8628.0</v>
      </c>
      <c r="C2169" s="268">
        <f t="shared" si="1"/>
        <v>6.495642778</v>
      </c>
      <c r="D2169" s="268">
        <f t="shared" si="2"/>
        <v>2.112429087</v>
      </c>
    </row>
    <row r="2170" ht="13.5" customHeight="1">
      <c r="B2170" s="268">
        <v>8632.0</v>
      </c>
      <c r="C2170" s="268">
        <f t="shared" si="1"/>
        <v>6.500123505</v>
      </c>
      <c r="D2170" s="268">
        <f t="shared" si="2"/>
        <v>2.113519092</v>
      </c>
    </row>
    <row r="2171" ht="13.5" customHeight="1">
      <c r="B2171" s="268">
        <v>8636.0</v>
      </c>
      <c r="C2171" s="268">
        <f t="shared" si="1"/>
        <v>6.504606545</v>
      </c>
      <c r="D2171" s="268">
        <f t="shared" si="2"/>
        <v>2.114610222</v>
      </c>
    </row>
    <row r="2172" ht="13.5" customHeight="1">
      <c r="B2172" s="268">
        <v>8640.0</v>
      </c>
      <c r="C2172" s="268">
        <f t="shared" si="1"/>
        <v>6.5090919</v>
      </c>
      <c r="D2172" s="268">
        <f t="shared" si="2"/>
        <v>2.115702479</v>
      </c>
    </row>
    <row r="2173" ht="13.5" customHeight="1">
      <c r="B2173" s="268">
        <v>8644.0</v>
      </c>
      <c r="C2173" s="268">
        <f t="shared" si="1"/>
        <v>6.513579572</v>
      </c>
      <c r="D2173" s="268">
        <f t="shared" si="2"/>
        <v>2.116795866</v>
      </c>
    </row>
    <row r="2174" ht="13.5" customHeight="1">
      <c r="B2174" s="268">
        <v>8648.0</v>
      </c>
      <c r="C2174" s="268">
        <f t="shared" si="1"/>
        <v>6.518069564</v>
      </c>
      <c r="D2174" s="268">
        <f t="shared" si="2"/>
        <v>2.117890383</v>
      </c>
    </row>
    <row r="2175" ht="13.5" customHeight="1">
      <c r="B2175" s="268">
        <v>8652.0</v>
      </c>
      <c r="C2175" s="268">
        <f t="shared" si="1"/>
        <v>6.522561879</v>
      </c>
      <c r="D2175" s="268">
        <f t="shared" si="2"/>
        <v>2.118986032</v>
      </c>
    </row>
    <row r="2176" ht="13.5" customHeight="1">
      <c r="B2176" s="268">
        <v>8656.0</v>
      </c>
      <c r="C2176" s="268">
        <f t="shared" si="1"/>
        <v>6.527056518</v>
      </c>
      <c r="D2176" s="268">
        <f t="shared" si="2"/>
        <v>2.120082816</v>
      </c>
    </row>
    <row r="2177" ht="13.5" customHeight="1">
      <c r="B2177" s="268">
        <v>8660.0</v>
      </c>
      <c r="C2177" s="268">
        <f t="shared" si="1"/>
        <v>6.531553484</v>
      </c>
      <c r="D2177" s="268">
        <f t="shared" si="2"/>
        <v>2.121180735</v>
      </c>
    </row>
    <row r="2178" ht="13.5" customHeight="1">
      <c r="B2178" s="268">
        <v>8664.0</v>
      </c>
      <c r="C2178" s="268">
        <f t="shared" si="1"/>
        <v>6.536052779</v>
      </c>
      <c r="D2178" s="268">
        <f t="shared" si="2"/>
        <v>2.122279793</v>
      </c>
    </row>
    <row r="2179" ht="13.5" customHeight="1">
      <c r="B2179" s="268">
        <v>8668.0</v>
      </c>
      <c r="C2179" s="268">
        <f t="shared" si="1"/>
        <v>6.540554406</v>
      </c>
      <c r="D2179" s="268">
        <f t="shared" si="2"/>
        <v>2.12337999</v>
      </c>
    </row>
    <row r="2180" ht="13.5" customHeight="1">
      <c r="B2180" s="268">
        <v>8672.0</v>
      </c>
      <c r="C2180" s="268">
        <f t="shared" si="1"/>
        <v>6.545058368</v>
      </c>
      <c r="D2180" s="268">
        <f t="shared" si="2"/>
        <v>2.124481328</v>
      </c>
    </row>
    <row r="2181" ht="13.5" customHeight="1">
      <c r="B2181" s="268">
        <v>8676.0</v>
      </c>
      <c r="C2181" s="268">
        <f t="shared" si="1"/>
        <v>6.549564666</v>
      </c>
      <c r="D2181" s="268">
        <f t="shared" si="2"/>
        <v>2.125583809</v>
      </c>
    </row>
    <row r="2182" ht="13.5" customHeight="1">
      <c r="B2182" s="268">
        <v>8680.0</v>
      </c>
      <c r="C2182" s="268">
        <f t="shared" si="1"/>
        <v>6.554073304</v>
      </c>
      <c r="D2182" s="268">
        <f t="shared" si="2"/>
        <v>2.126687435</v>
      </c>
    </row>
    <row r="2183" ht="13.5" customHeight="1">
      <c r="B2183" s="268">
        <v>8684.0</v>
      </c>
      <c r="C2183" s="268">
        <f t="shared" si="1"/>
        <v>6.558584282</v>
      </c>
      <c r="D2183" s="268">
        <f t="shared" si="2"/>
        <v>2.127792208</v>
      </c>
    </row>
    <row r="2184" ht="13.5" customHeight="1">
      <c r="B2184" s="268">
        <v>8688.0</v>
      </c>
      <c r="C2184" s="268">
        <f t="shared" si="1"/>
        <v>6.563097605</v>
      </c>
      <c r="D2184" s="268">
        <f t="shared" si="2"/>
        <v>2.128898129</v>
      </c>
    </row>
    <row r="2185" ht="13.5" customHeight="1">
      <c r="B2185" s="268">
        <v>8692.0</v>
      </c>
      <c r="C2185" s="268">
        <f t="shared" si="1"/>
        <v>6.567613275</v>
      </c>
      <c r="D2185" s="268">
        <f t="shared" si="2"/>
        <v>2.1300052</v>
      </c>
    </row>
    <row r="2186" ht="13.5" customHeight="1">
      <c r="B2186" s="268">
        <v>8696.0</v>
      </c>
      <c r="C2186" s="268">
        <f t="shared" si="1"/>
        <v>6.572131293</v>
      </c>
      <c r="D2186" s="268">
        <f t="shared" si="2"/>
        <v>2.131113424</v>
      </c>
    </row>
    <row r="2187" ht="13.5" customHeight="1">
      <c r="B2187" s="268">
        <v>8700.0</v>
      </c>
      <c r="C2187" s="268">
        <f t="shared" si="1"/>
        <v>6.576651662</v>
      </c>
      <c r="D2187" s="268">
        <f t="shared" si="2"/>
        <v>2.132222801</v>
      </c>
    </row>
    <row r="2188" ht="13.5" customHeight="1">
      <c r="B2188" s="268">
        <v>8704.0</v>
      </c>
      <c r="C2188" s="268">
        <f t="shared" si="1"/>
        <v>6.581174385</v>
      </c>
      <c r="D2188" s="268">
        <f t="shared" si="2"/>
        <v>2.133333333</v>
      </c>
    </row>
    <row r="2189" ht="13.5" customHeight="1">
      <c r="B2189" s="268">
        <v>8708.0</v>
      </c>
      <c r="C2189" s="268">
        <f t="shared" si="1"/>
        <v>6.585699465</v>
      </c>
      <c r="D2189" s="268">
        <f t="shared" si="2"/>
        <v>2.134445023</v>
      </c>
    </row>
    <row r="2190" ht="13.5" customHeight="1">
      <c r="B2190" s="268">
        <v>8712.0</v>
      </c>
      <c r="C2190" s="268">
        <f t="shared" si="1"/>
        <v>6.590226903</v>
      </c>
      <c r="D2190" s="268">
        <f t="shared" si="2"/>
        <v>2.135557873</v>
      </c>
    </row>
    <row r="2191" ht="13.5" customHeight="1">
      <c r="B2191" s="268">
        <v>8716.0</v>
      </c>
      <c r="C2191" s="268">
        <f t="shared" si="1"/>
        <v>6.594756702</v>
      </c>
      <c r="D2191" s="268">
        <f t="shared" si="2"/>
        <v>2.136671883</v>
      </c>
    </row>
    <row r="2192" ht="13.5" customHeight="1">
      <c r="B2192" s="268">
        <v>8720.0</v>
      </c>
      <c r="C2192" s="268">
        <f t="shared" si="1"/>
        <v>6.599288865</v>
      </c>
      <c r="D2192" s="268">
        <f t="shared" si="2"/>
        <v>2.137787056</v>
      </c>
    </row>
    <row r="2193" ht="13.5" customHeight="1">
      <c r="B2193" s="268">
        <v>8724.0</v>
      </c>
      <c r="C2193" s="268">
        <f t="shared" si="1"/>
        <v>6.603823393</v>
      </c>
      <c r="D2193" s="268">
        <f t="shared" si="2"/>
        <v>2.138903394</v>
      </c>
    </row>
    <row r="2194" ht="13.5" customHeight="1">
      <c r="B2194" s="268">
        <v>8728.0</v>
      </c>
      <c r="C2194" s="268">
        <f t="shared" si="1"/>
        <v>6.608360291</v>
      </c>
      <c r="D2194" s="268">
        <f t="shared" si="2"/>
        <v>2.140020899</v>
      </c>
    </row>
    <row r="2195" ht="13.5" customHeight="1">
      <c r="B2195" s="268">
        <v>8732.0</v>
      </c>
      <c r="C2195" s="268">
        <f t="shared" si="1"/>
        <v>6.612899559</v>
      </c>
      <c r="D2195" s="268">
        <f t="shared" si="2"/>
        <v>2.141139571</v>
      </c>
    </row>
    <row r="2196" ht="13.5" customHeight="1">
      <c r="B2196" s="268">
        <v>8736.0</v>
      </c>
      <c r="C2196" s="268">
        <f t="shared" si="1"/>
        <v>6.617441201</v>
      </c>
      <c r="D2196" s="268">
        <f t="shared" si="2"/>
        <v>2.142259414</v>
      </c>
    </row>
    <row r="2197" ht="13.5" customHeight="1">
      <c r="B2197" s="268">
        <v>8740.0</v>
      </c>
      <c r="C2197" s="268">
        <f t="shared" si="1"/>
        <v>6.621985218</v>
      </c>
      <c r="D2197" s="268">
        <f t="shared" si="2"/>
        <v>2.143380429</v>
      </c>
    </row>
    <row r="2198" ht="13.5" customHeight="1">
      <c r="B2198" s="268">
        <v>8744.0</v>
      </c>
      <c r="C2198" s="268">
        <f t="shared" si="1"/>
        <v>6.626531614</v>
      </c>
      <c r="D2198" s="268">
        <f t="shared" si="2"/>
        <v>2.144502618</v>
      </c>
    </row>
    <row r="2199" ht="13.5" customHeight="1">
      <c r="B2199" s="268">
        <v>8748.0</v>
      </c>
      <c r="C2199" s="268">
        <f t="shared" si="1"/>
        <v>6.631080391</v>
      </c>
      <c r="D2199" s="268">
        <f t="shared" si="2"/>
        <v>2.145625982</v>
      </c>
    </row>
    <row r="2200" ht="13.5" customHeight="1">
      <c r="B2200" s="268">
        <v>8752.0</v>
      </c>
      <c r="C2200" s="268">
        <f t="shared" si="1"/>
        <v>6.635631552</v>
      </c>
      <c r="D2200" s="268">
        <f t="shared" si="2"/>
        <v>2.146750524</v>
      </c>
    </row>
    <row r="2201" ht="13.5" customHeight="1">
      <c r="B2201" s="268">
        <v>8756.0</v>
      </c>
      <c r="C2201" s="268">
        <f t="shared" si="1"/>
        <v>6.640185098</v>
      </c>
      <c r="D2201" s="268">
        <f t="shared" si="2"/>
        <v>2.147876245</v>
      </c>
    </row>
    <row r="2202" ht="13.5" customHeight="1">
      <c r="B2202" s="268">
        <v>8760.0</v>
      </c>
      <c r="C2202" s="268">
        <f t="shared" si="1"/>
        <v>6.644741033</v>
      </c>
      <c r="D2202" s="268">
        <f t="shared" si="2"/>
        <v>2.149003148</v>
      </c>
    </row>
    <row r="2203" ht="13.5" customHeight="1">
      <c r="B2203" s="268">
        <v>8764.0</v>
      </c>
      <c r="C2203" s="268">
        <f t="shared" si="1"/>
        <v>6.649299359</v>
      </c>
      <c r="D2203" s="268">
        <f t="shared" si="2"/>
        <v>2.150131234</v>
      </c>
    </row>
    <row r="2204" ht="13.5" customHeight="1">
      <c r="B2204" s="268">
        <v>8768.0</v>
      </c>
      <c r="C2204" s="268">
        <f t="shared" si="1"/>
        <v>6.653860078</v>
      </c>
      <c r="D2204" s="268">
        <f t="shared" si="2"/>
        <v>2.151260504</v>
      </c>
    </row>
    <row r="2205" ht="13.5" customHeight="1">
      <c r="B2205" s="268">
        <v>8772.0</v>
      </c>
      <c r="C2205" s="268">
        <f t="shared" si="1"/>
        <v>6.658423194</v>
      </c>
      <c r="D2205" s="268">
        <f t="shared" si="2"/>
        <v>2.152390962</v>
      </c>
    </row>
    <row r="2206" ht="13.5" customHeight="1">
      <c r="B2206" s="268">
        <v>8776.0</v>
      </c>
      <c r="C2206" s="268">
        <f t="shared" si="1"/>
        <v>6.662988707</v>
      </c>
      <c r="D2206" s="268">
        <f t="shared" si="2"/>
        <v>2.153522608</v>
      </c>
    </row>
    <row r="2207" ht="13.5" customHeight="1">
      <c r="B2207" s="268">
        <v>8780.0</v>
      </c>
      <c r="C2207" s="268">
        <f t="shared" si="1"/>
        <v>6.667556622</v>
      </c>
      <c r="D2207" s="268">
        <f t="shared" si="2"/>
        <v>2.154655445</v>
      </c>
    </row>
    <row r="2208" ht="13.5" customHeight="1">
      <c r="B2208" s="268">
        <v>8784.0</v>
      </c>
      <c r="C2208" s="268">
        <f t="shared" si="1"/>
        <v>6.67212694</v>
      </c>
      <c r="D2208" s="268">
        <f t="shared" si="2"/>
        <v>2.155789474</v>
      </c>
    </row>
    <row r="2209" ht="13.5" customHeight="1">
      <c r="B2209" s="268">
        <v>8788.0</v>
      </c>
      <c r="C2209" s="268">
        <f t="shared" si="1"/>
        <v>6.676699665</v>
      </c>
      <c r="D2209" s="268">
        <f t="shared" si="2"/>
        <v>2.156924697</v>
      </c>
    </row>
    <row r="2210" ht="13.5" customHeight="1">
      <c r="B2210" s="268">
        <v>8792.0</v>
      </c>
      <c r="C2210" s="268">
        <f t="shared" si="1"/>
        <v>6.681274798</v>
      </c>
      <c r="D2210" s="268">
        <f t="shared" si="2"/>
        <v>2.158061117</v>
      </c>
    </row>
    <row r="2211" ht="13.5" customHeight="1">
      <c r="B2211" s="268">
        <v>8796.0</v>
      </c>
      <c r="C2211" s="268">
        <f t="shared" si="1"/>
        <v>6.685852342</v>
      </c>
      <c r="D2211" s="268">
        <f t="shared" si="2"/>
        <v>2.159198735</v>
      </c>
    </row>
    <row r="2212" ht="13.5" customHeight="1">
      <c r="B2212" s="268">
        <v>8800.0</v>
      </c>
      <c r="C2212" s="268">
        <f t="shared" si="1"/>
        <v>6.690432299</v>
      </c>
      <c r="D2212" s="268">
        <f t="shared" si="2"/>
        <v>2.160337553</v>
      </c>
    </row>
    <row r="2213" ht="13.5" customHeight="1">
      <c r="B2213" s="268">
        <v>8804.0</v>
      </c>
      <c r="C2213" s="268">
        <f t="shared" si="1"/>
        <v>6.695014673</v>
      </c>
      <c r="D2213" s="268">
        <f t="shared" si="2"/>
        <v>2.161477573</v>
      </c>
    </row>
    <row r="2214" ht="13.5" customHeight="1">
      <c r="B2214" s="268">
        <v>8808.0</v>
      </c>
      <c r="C2214" s="268">
        <f t="shared" si="1"/>
        <v>6.699599466</v>
      </c>
      <c r="D2214" s="268">
        <f t="shared" si="2"/>
        <v>2.162618796</v>
      </c>
    </row>
    <row r="2215" ht="13.5" customHeight="1">
      <c r="B2215" s="268">
        <v>8812.0</v>
      </c>
      <c r="C2215" s="268">
        <f t="shared" si="1"/>
        <v>6.70418668</v>
      </c>
      <c r="D2215" s="268">
        <f t="shared" si="2"/>
        <v>2.163761226</v>
      </c>
    </row>
    <row r="2216" ht="13.5" customHeight="1">
      <c r="B2216" s="268">
        <v>8816.0</v>
      </c>
      <c r="C2216" s="268">
        <f t="shared" si="1"/>
        <v>6.708776318</v>
      </c>
      <c r="D2216" s="268">
        <f t="shared" si="2"/>
        <v>2.164904863</v>
      </c>
    </row>
    <row r="2217" ht="13.5" customHeight="1">
      <c r="B2217" s="268">
        <v>8820.0</v>
      </c>
      <c r="C2217" s="268">
        <f t="shared" si="1"/>
        <v>6.713368382</v>
      </c>
      <c r="D2217" s="268">
        <f t="shared" si="2"/>
        <v>2.166049709</v>
      </c>
    </row>
    <row r="2218" ht="13.5" customHeight="1">
      <c r="B2218" s="268">
        <v>8824.0</v>
      </c>
      <c r="C2218" s="268">
        <f t="shared" si="1"/>
        <v>6.717962876</v>
      </c>
      <c r="D2218" s="268">
        <f t="shared" si="2"/>
        <v>2.167195767</v>
      </c>
    </row>
    <row r="2219" ht="13.5" customHeight="1">
      <c r="B2219" s="268">
        <v>8828.0</v>
      </c>
      <c r="C2219" s="268">
        <f t="shared" si="1"/>
        <v>6.722559801</v>
      </c>
      <c r="D2219" s="268">
        <f t="shared" si="2"/>
        <v>2.168343039</v>
      </c>
    </row>
    <row r="2220" ht="13.5" customHeight="1">
      <c r="B2220" s="268">
        <v>8832.0</v>
      </c>
      <c r="C2220" s="268">
        <f t="shared" si="1"/>
        <v>6.72715916</v>
      </c>
      <c r="D2220" s="268">
        <f t="shared" si="2"/>
        <v>2.169491525</v>
      </c>
    </row>
    <row r="2221" ht="13.5" customHeight="1">
      <c r="B2221" s="268">
        <v>8836.0</v>
      </c>
      <c r="C2221" s="268">
        <f t="shared" si="1"/>
        <v>6.731760956</v>
      </c>
      <c r="D2221" s="268">
        <f t="shared" si="2"/>
        <v>2.170641229</v>
      </c>
    </row>
    <row r="2222" ht="13.5" customHeight="1">
      <c r="B2222" s="268">
        <v>8840.0</v>
      </c>
      <c r="C2222" s="268">
        <f t="shared" si="1"/>
        <v>6.736365191</v>
      </c>
      <c r="D2222" s="268">
        <f t="shared" si="2"/>
        <v>2.171792153</v>
      </c>
    </row>
    <row r="2223" ht="13.5" customHeight="1">
      <c r="B2223" s="268">
        <v>8844.0</v>
      </c>
      <c r="C2223" s="268">
        <f t="shared" si="1"/>
        <v>6.740971869</v>
      </c>
      <c r="D2223" s="268">
        <f t="shared" si="2"/>
        <v>2.172944297</v>
      </c>
    </row>
    <row r="2224" ht="13.5" customHeight="1">
      <c r="B2224" s="268">
        <v>8848.0</v>
      </c>
      <c r="C2224" s="268">
        <f t="shared" si="1"/>
        <v>6.74558099</v>
      </c>
      <c r="D2224" s="268">
        <f t="shared" si="2"/>
        <v>2.174097665</v>
      </c>
    </row>
    <row r="2225" ht="13.5" customHeight="1">
      <c r="B2225" s="268">
        <v>8852.0</v>
      </c>
      <c r="C2225" s="268">
        <f t="shared" si="1"/>
        <v>6.750192559</v>
      </c>
      <c r="D2225" s="268">
        <f t="shared" si="2"/>
        <v>2.175252257</v>
      </c>
    </row>
    <row r="2226" ht="13.5" customHeight="1">
      <c r="B2226" s="268">
        <v>8856.0</v>
      </c>
      <c r="C2226" s="268">
        <f t="shared" si="1"/>
        <v>6.754806578</v>
      </c>
      <c r="D2226" s="268">
        <f t="shared" si="2"/>
        <v>2.176408077</v>
      </c>
    </row>
    <row r="2227" ht="13.5" customHeight="1">
      <c r="B2227" s="268">
        <v>8860.0</v>
      </c>
      <c r="C2227" s="268">
        <f t="shared" si="1"/>
        <v>6.759423048</v>
      </c>
      <c r="D2227" s="268">
        <f t="shared" si="2"/>
        <v>2.177565125</v>
      </c>
    </row>
    <row r="2228" ht="13.5" customHeight="1">
      <c r="B2228" s="268">
        <v>8864.0</v>
      </c>
      <c r="C2228" s="268">
        <f t="shared" si="1"/>
        <v>6.764041974</v>
      </c>
      <c r="D2228" s="268">
        <f t="shared" si="2"/>
        <v>2.178723404</v>
      </c>
    </row>
    <row r="2229" ht="13.5" customHeight="1">
      <c r="B2229" s="268">
        <v>8868.0</v>
      </c>
      <c r="C2229" s="268">
        <f t="shared" si="1"/>
        <v>6.768663357</v>
      </c>
      <c r="D2229" s="268">
        <f t="shared" si="2"/>
        <v>2.179882916</v>
      </c>
    </row>
    <row r="2230" ht="13.5" customHeight="1">
      <c r="B2230" s="268">
        <v>8872.0</v>
      </c>
      <c r="C2230" s="268">
        <f t="shared" si="1"/>
        <v>6.773287201</v>
      </c>
      <c r="D2230" s="268">
        <f t="shared" si="2"/>
        <v>2.181043663</v>
      </c>
    </row>
    <row r="2231" ht="13.5" customHeight="1">
      <c r="B2231" s="268">
        <v>8876.0</v>
      </c>
      <c r="C2231" s="268">
        <f t="shared" si="1"/>
        <v>6.777913507</v>
      </c>
      <c r="D2231" s="268">
        <f t="shared" si="2"/>
        <v>2.182205647</v>
      </c>
    </row>
    <row r="2232" ht="13.5" customHeight="1">
      <c r="B2232" s="268">
        <v>8880.0</v>
      </c>
      <c r="C2232" s="268">
        <f t="shared" si="1"/>
        <v>6.782542278</v>
      </c>
      <c r="D2232" s="268">
        <f t="shared" si="2"/>
        <v>2.18336887</v>
      </c>
    </row>
    <row r="2233" ht="13.5" customHeight="1">
      <c r="B2233" s="268">
        <v>8884.0</v>
      </c>
      <c r="C2233" s="268">
        <f t="shared" si="1"/>
        <v>6.787173518</v>
      </c>
      <c r="D2233" s="268">
        <f t="shared" si="2"/>
        <v>2.184533333</v>
      </c>
    </row>
    <row r="2234" ht="13.5" customHeight="1">
      <c r="B2234" s="268">
        <v>8888.0</v>
      </c>
      <c r="C2234" s="268">
        <f t="shared" si="1"/>
        <v>6.791807228</v>
      </c>
      <c r="D2234" s="268">
        <f t="shared" si="2"/>
        <v>2.185699039</v>
      </c>
    </row>
    <row r="2235" ht="13.5" customHeight="1">
      <c r="B2235" s="268">
        <v>8892.0</v>
      </c>
      <c r="C2235" s="268">
        <f t="shared" si="1"/>
        <v>6.796443412</v>
      </c>
      <c r="D2235" s="268">
        <f t="shared" si="2"/>
        <v>2.18686599</v>
      </c>
    </row>
    <row r="2236" ht="13.5" customHeight="1">
      <c r="B2236" s="268">
        <v>8896.0</v>
      </c>
      <c r="C2236" s="268">
        <f t="shared" si="1"/>
        <v>6.801082071</v>
      </c>
      <c r="D2236" s="268">
        <f t="shared" si="2"/>
        <v>2.188034188</v>
      </c>
    </row>
    <row r="2237" ht="13.5" customHeight="1">
      <c r="B2237" s="268">
        <v>8900.0</v>
      </c>
      <c r="C2237" s="268">
        <f t="shared" si="1"/>
        <v>6.805723209</v>
      </c>
      <c r="D2237" s="268">
        <f t="shared" si="2"/>
        <v>2.189203634</v>
      </c>
    </row>
    <row r="2238" ht="13.5" customHeight="1">
      <c r="B2238" s="268">
        <v>8904.0</v>
      </c>
      <c r="C2238" s="268">
        <f t="shared" si="1"/>
        <v>6.810366829</v>
      </c>
      <c r="D2238" s="268">
        <f t="shared" si="2"/>
        <v>2.190374332</v>
      </c>
    </row>
    <row r="2239" ht="13.5" customHeight="1">
      <c r="B2239" s="268">
        <v>8908.0</v>
      </c>
      <c r="C2239" s="268">
        <f t="shared" si="1"/>
        <v>6.815012932</v>
      </c>
      <c r="D2239" s="268">
        <f t="shared" si="2"/>
        <v>2.191546281</v>
      </c>
    </row>
    <row r="2240" ht="13.5" customHeight="1">
      <c r="B2240" s="268">
        <v>8912.0</v>
      </c>
      <c r="C2240" s="268">
        <f t="shared" si="1"/>
        <v>6.819661521</v>
      </c>
      <c r="D2240" s="268">
        <f t="shared" si="2"/>
        <v>2.192719486</v>
      </c>
    </row>
    <row r="2241" ht="13.5" customHeight="1">
      <c r="B2241" s="268">
        <v>8916.0</v>
      </c>
      <c r="C2241" s="268">
        <f t="shared" si="1"/>
        <v>6.8243126</v>
      </c>
      <c r="D2241" s="268">
        <f t="shared" si="2"/>
        <v>2.193893948</v>
      </c>
    </row>
    <row r="2242" ht="13.5" customHeight="1">
      <c r="B2242" s="268">
        <v>8920.0</v>
      </c>
      <c r="C2242" s="268">
        <f t="shared" si="1"/>
        <v>6.828966171</v>
      </c>
      <c r="D2242" s="268">
        <f t="shared" si="2"/>
        <v>2.195069668</v>
      </c>
    </row>
    <row r="2243" ht="13.5" customHeight="1">
      <c r="B2243" s="268">
        <v>8924.0</v>
      </c>
      <c r="C2243" s="268">
        <f t="shared" si="1"/>
        <v>6.833622236</v>
      </c>
      <c r="D2243" s="268">
        <f t="shared" si="2"/>
        <v>2.196246649</v>
      </c>
    </row>
    <row r="2244" ht="13.5" customHeight="1">
      <c r="B2244" s="268">
        <v>8928.0</v>
      </c>
      <c r="C2244" s="268">
        <f t="shared" si="1"/>
        <v>6.838280799</v>
      </c>
      <c r="D2244" s="268">
        <f t="shared" si="2"/>
        <v>2.197424893</v>
      </c>
    </row>
    <row r="2245" ht="13.5" customHeight="1">
      <c r="B2245" s="268">
        <v>8932.0</v>
      </c>
      <c r="C2245" s="268">
        <f t="shared" si="1"/>
        <v>6.842941861</v>
      </c>
      <c r="D2245" s="268">
        <f t="shared" si="2"/>
        <v>2.198604402</v>
      </c>
    </row>
    <row r="2246" ht="13.5" customHeight="1">
      <c r="B2246" s="268">
        <v>8936.0</v>
      </c>
      <c r="C2246" s="268">
        <f t="shared" si="1"/>
        <v>6.847605426</v>
      </c>
      <c r="D2246" s="268">
        <f t="shared" si="2"/>
        <v>2.199785177</v>
      </c>
    </row>
    <row r="2247" ht="13.5" customHeight="1">
      <c r="B2247" s="268">
        <v>8940.0</v>
      </c>
      <c r="C2247" s="268">
        <f t="shared" si="1"/>
        <v>6.852271497</v>
      </c>
      <c r="D2247" s="268">
        <f t="shared" si="2"/>
        <v>2.200967222</v>
      </c>
    </row>
    <row r="2248" ht="13.5" customHeight="1">
      <c r="B2248" s="268">
        <v>8944.0</v>
      </c>
      <c r="C2248" s="268">
        <f t="shared" si="1"/>
        <v>6.856940075</v>
      </c>
      <c r="D2248" s="268">
        <f t="shared" si="2"/>
        <v>2.202150538</v>
      </c>
    </row>
    <row r="2249" ht="13.5" customHeight="1">
      <c r="B2249" s="268">
        <v>8948.0</v>
      </c>
      <c r="C2249" s="268">
        <f t="shared" si="1"/>
        <v>6.861611164</v>
      </c>
      <c r="D2249" s="268">
        <f t="shared" si="2"/>
        <v>2.203335126</v>
      </c>
    </row>
    <row r="2250" ht="13.5" customHeight="1">
      <c r="B2250" s="268">
        <v>8952.0</v>
      </c>
      <c r="C2250" s="268">
        <f t="shared" si="1"/>
        <v>6.866284766</v>
      </c>
      <c r="D2250" s="268">
        <f t="shared" si="2"/>
        <v>2.20452099</v>
      </c>
    </row>
    <row r="2251" ht="13.5" customHeight="1">
      <c r="B2251" s="268">
        <v>8956.0</v>
      </c>
      <c r="C2251" s="268">
        <f t="shared" si="1"/>
        <v>6.870960885</v>
      </c>
      <c r="D2251" s="268">
        <f t="shared" si="2"/>
        <v>2.205708131</v>
      </c>
    </row>
    <row r="2252" ht="13.5" customHeight="1">
      <c r="B2252" s="268">
        <v>8960.0</v>
      </c>
      <c r="C2252" s="268">
        <f t="shared" si="1"/>
        <v>6.875639522</v>
      </c>
      <c r="D2252" s="268">
        <f t="shared" si="2"/>
        <v>2.206896552</v>
      </c>
    </row>
    <row r="2253" ht="13.5" customHeight="1">
      <c r="B2253" s="268">
        <v>8964.0</v>
      </c>
      <c r="C2253" s="268">
        <f t="shared" si="1"/>
        <v>6.88032068</v>
      </c>
      <c r="D2253" s="268">
        <f t="shared" si="2"/>
        <v>2.208086253</v>
      </c>
    </row>
    <row r="2254" ht="13.5" customHeight="1">
      <c r="B2254" s="268">
        <v>8968.0</v>
      </c>
      <c r="C2254" s="268">
        <f t="shared" si="1"/>
        <v>6.885004363</v>
      </c>
      <c r="D2254" s="268">
        <f t="shared" si="2"/>
        <v>2.209277238</v>
      </c>
    </row>
    <row r="2255" ht="13.5" customHeight="1">
      <c r="B2255" s="268">
        <v>8972.0</v>
      </c>
      <c r="C2255" s="268">
        <f t="shared" si="1"/>
        <v>6.889690573</v>
      </c>
      <c r="D2255" s="268">
        <f t="shared" si="2"/>
        <v>2.210469509</v>
      </c>
    </row>
    <row r="2256" ht="13.5" customHeight="1">
      <c r="B2256" s="268">
        <v>8976.0</v>
      </c>
      <c r="C2256" s="268">
        <f t="shared" si="1"/>
        <v>6.894379312</v>
      </c>
      <c r="D2256" s="268">
        <f t="shared" si="2"/>
        <v>2.211663067</v>
      </c>
    </row>
    <row r="2257" ht="13.5" customHeight="1">
      <c r="B2257" s="268">
        <v>8980.0</v>
      </c>
      <c r="C2257" s="268">
        <f t="shared" si="1"/>
        <v>6.899070584</v>
      </c>
      <c r="D2257" s="268">
        <f t="shared" si="2"/>
        <v>2.212857915</v>
      </c>
    </row>
    <row r="2258" ht="13.5" customHeight="1">
      <c r="B2258" s="268">
        <v>8984.0</v>
      </c>
      <c r="C2258" s="268">
        <f t="shared" si="1"/>
        <v>6.903764391</v>
      </c>
      <c r="D2258" s="268">
        <f t="shared" si="2"/>
        <v>2.214054054</v>
      </c>
    </row>
    <row r="2259" ht="13.5" customHeight="1">
      <c r="B2259" s="268">
        <v>8988.0</v>
      </c>
      <c r="C2259" s="268">
        <f t="shared" si="1"/>
        <v>6.908460736</v>
      </c>
      <c r="D2259" s="268">
        <f t="shared" si="2"/>
        <v>2.215251487</v>
      </c>
    </row>
    <row r="2260" ht="13.5" customHeight="1">
      <c r="B2260" s="268">
        <v>8992.0</v>
      </c>
      <c r="C2260" s="268">
        <f t="shared" si="1"/>
        <v>6.913159622</v>
      </c>
      <c r="D2260" s="268">
        <f t="shared" si="2"/>
        <v>2.216450216</v>
      </c>
    </row>
    <row r="2261" ht="13.5" customHeight="1">
      <c r="B2261" s="268">
        <v>8996.0</v>
      </c>
      <c r="C2261" s="268">
        <f t="shared" si="1"/>
        <v>6.917861051</v>
      </c>
      <c r="D2261" s="268">
        <f t="shared" si="2"/>
        <v>2.217650244</v>
      </c>
    </row>
    <row r="2262" ht="13.5" customHeight="1">
      <c r="B2262" s="268">
        <v>9000.0</v>
      </c>
      <c r="C2262" s="268">
        <f t="shared" si="1"/>
        <v>6.922565026</v>
      </c>
      <c r="D2262" s="268">
        <f t="shared" si="2"/>
        <v>2.218851571</v>
      </c>
    </row>
    <row r="2263" ht="13.5" customHeight="1">
      <c r="B2263" s="268">
        <v>9004.0</v>
      </c>
      <c r="C2263" s="268">
        <f t="shared" si="1"/>
        <v>6.927271549</v>
      </c>
      <c r="D2263" s="268">
        <f t="shared" si="2"/>
        <v>2.220054201</v>
      </c>
    </row>
    <row r="2264" ht="13.5" customHeight="1">
      <c r="B2264" s="268">
        <v>9008.0</v>
      </c>
      <c r="C2264" s="268">
        <f t="shared" si="1"/>
        <v>6.931980625</v>
      </c>
      <c r="D2264" s="268">
        <f t="shared" si="2"/>
        <v>2.221258134</v>
      </c>
    </row>
    <row r="2265" ht="13.5" customHeight="1">
      <c r="B2265" s="268">
        <v>9012.0</v>
      </c>
      <c r="C2265" s="268">
        <f t="shared" si="1"/>
        <v>6.936692255</v>
      </c>
      <c r="D2265" s="268">
        <f t="shared" si="2"/>
        <v>2.222463375</v>
      </c>
    </row>
    <row r="2266" ht="13.5" customHeight="1">
      <c r="B2266" s="268">
        <v>9016.0</v>
      </c>
      <c r="C2266" s="268">
        <f t="shared" si="1"/>
        <v>6.941406442</v>
      </c>
      <c r="D2266" s="268">
        <f t="shared" si="2"/>
        <v>2.223669924</v>
      </c>
    </row>
    <row r="2267" ht="13.5" customHeight="1">
      <c r="B2267" s="268">
        <v>9020.0</v>
      </c>
      <c r="C2267" s="268">
        <f t="shared" si="1"/>
        <v>6.946123189</v>
      </c>
      <c r="D2267" s="268">
        <f t="shared" si="2"/>
        <v>2.224877784</v>
      </c>
    </row>
    <row r="2268" ht="13.5" customHeight="1">
      <c r="B2268" s="268">
        <v>9024.0</v>
      </c>
      <c r="C2268" s="268">
        <f t="shared" si="1"/>
        <v>6.950842499</v>
      </c>
      <c r="D2268" s="268">
        <f t="shared" si="2"/>
        <v>2.226086957</v>
      </c>
    </row>
    <row r="2269" ht="13.5" customHeight="1">
      <c r="B2269" s="268">
        <v>9028.0</v>
      </c>
      <c r="C2269" s="268">
        <f t="shared" si="1"/>
        <v>6.955564375</v>
      </c>
      <c r="D2269" s="268">
        <f t="shared" si="2"/>
        <v>2.227297444</v>
      </c>
    </row>
    <row r="2270" ht="13.5" customHeight="1">
      <c r="B2270" s="268">
        <v>9032.0</v>
      </c>
      <c r="C2270" s="268">
        <f t="shared" si="1"/>
        <v>6.960288818</v>
      </c>
      <c r="D2270" s="268">
        <f t="shared" si="2"/>
        <v>2.228509249</v>
      </c>
    </row>
    <row r="2271" ht="13.5" customHeight="1">
      <c r="B2271" s="268">
        <v>9036.0</v>
      </c>
      <c r="C2271" s="268">
        <f t="shared" si="1"/>
        <v>6.965015833</v>
      </c>
      <c r="D2271" s="268">
        <f t="shared" si="2"/>
        <v>2.229722373</v>
      </c>
    </row>
    <row r="2272" ht="13.5" customHeight="1">
      <c r="B2272" s="268">
        <v>9040.0</v>
      </c>
      <c r="C2272" s="268">
        <f t="shared" si="1"/>
        <v>6.969745422</v>
      </c>
      <c r="D2272" s="268">
        <f t="shared" si="2"/>
        <v>2.230936819</v>
      </c>
    </row>
    <row r="2273" ht="13.5" customHeight="1">
      <c r="B2273" s="268">
        <v>9044.0</v>
      </c>
      <c r="C2273" s="268">
        <f t="shared" si="1"/>
        <v>6.974477588</v>
      </c>
      <c r="D2273" s="268">
        <f t="shared" si="2"/>
        <v>2.232152589</v>
      </c>
    </row>
    <row r="2274" ht="13.5" customHeight="1">
      <c r="B2274" s="268">
        <v>9048.0</v>
      </c>
      <c r="C2274" s="268">
        <f t="shared" si="1"/>
        <v>6.979212333</v>
      </c>
      <c r="D2274" s="268">
        <f t="shared" si="2"/>
        <v>2.233369684</v>
      </c>
    </row>
    <row r="2275" ht="13.5" customHeight="1">
      <c r="B2275" s="268">
        <v>9052.0</v>
      </c>
      <c r="C2275" s="268">
        <f t="shared" si="1"/>
        <v>6.98394966</v>
      </c>
      <c r="D2275" s="268">
        <f t="shared" si="2"/>
        <v>2.234588107</v>
      </c>
    </row>
    <row r="2276" ht="13.5" customHeight="1">
      <c r="B2276" s="268">
        <v>9056.0</v>
      </c>
      <c r="C2276" s="268">
        <f t="shared" si="1"/>
        <v>6.988689573</v>
      </c>
      <c r="D2276" s="268">
        <f t="shared" si="2"/>
        <v>2.23580786</v>
      </c>
    </row>
    <row r="2277" ht="13.5" customHeight="1">
      <c r="B2277" s="268">
        <v>9060.0</v>
      </c>
      <c r="C2277" s="268">
        <f t="shared" si="1"/>
        <v>6.993432073</v>
      </c>
      <c r="D2277" s="268">
        <f t="shared" si="2"/>
        <v>2.237028946</v>
      </c>
    </row>
    <row r="2278" ht="13.5" customHeight="1">
      <c r="B2278" s="268">
        <v>9064.0</v>
      </c>
      <c r="C2278" s="268">
        <f t="shared" si="1"/>
        <v>6.998177165</v>
      </c>
      <c r="D2278" s="268">
        <f t="shared" si="2"/>
        <v>2.238251366</v>
      </c>
    </row>
    <row r="2279" ht="13.5" customHeight="1">
      <c r="B2279" s="268">
        <v>9068.0</v>
      </c>
      <c r="C2279" s="268">
        <f t="shared" si="1"/>
        <v>7.00292485</v>
      </c>
      <c r="D2279" s="268">
        <f t="shared" si="2"/>
        <v>2.239475123</v>
      </c>
    </row>
    <row r="2280" ht="13.5" customHeight="1">
      <c r="B2280" s="268">
        <v>9072.0</v>
      </c>
      <c r="C2280" s="268">
        <f t="shared" si="1"/>
        <v>7.007675131</v>
      </c>
      <c r="D2280" s="268">
        <f t="shared" si="2"/>
        <v>2.240700219</v>
      </c>
    </row>
    <row r="2281" ht="13.5" customHeight="1">
      <c r="B2281" s="268">
        <v>9076.0</v>
      </c>
      <c r="C2281" s="268">
        <f t="shared" si="1"/>
        <v>7.012428012</v>
      </c>
      <c r="D2281" s="268">
        <f t="shared" si="2"/>
        <v>2.241926656</v>
      </c>
    </row>
    <row r="2282" ht="13.5" customHeight="1">
      <c r="B2282" s="268">
        <v>9080.0</v>
      </c>
      <c r="C2282" s="268">
        <f t="shared" si="1"/>
        <v>7.017183495</v>
      </c>
      <c r="D2282" s="268">
        <f t="shared" si="2"/>
        <v>2.243154436</v>
      </c>
    </row>
    <row r="2283" ht="13.5" customHeight="1">
      <c r="B2283" s="268">
        <v>9084.0</v>
      </c>
      <c r="C2283" s="268">
        <f t="shared" si="1"/>
        <v>7.021941584</v>
      </c>
      <c r="D2283" s="268">
        <f t="shared" si="2"/>
        <v>2.244383562</v>
      </c>
    </row>
    <row r="2284" ht="13.5" customHeight="1">
      <c r="B2284" s="268">
        <v>9088.0</v>
      </c>
      <c r="C2284" s="268">
        <f t="shared" si="1"/>
        <v>7.02670228</v>
      </c>
      <c r="D2284" s="268">
        <f t="shared" si="2"/>
        <v>2.245614035</v>
      </c>
    </row>
    <row r="2285" ht="13.5" customHeight="1">
      <c r="B2285" s="268">
        <v>9092.0</v>
      </c>
      <c r="C2285" s="268">
        <f t="shared" si="1"/>
        <v>7.031465586</v>
      </c>
      <c r="D2285" s="268">
        <f t="shared" si="2"/>
        <v>2.246845858</v>
      </c>
    </row>
    <row r="2286" ht="13.5" customHeight="1">
      <c r="B2286" s="268">
        <v>9096.0</v>
      </c>
      <c r="C2286" s="268">
        <f t="shared" si="1"/>
        <v>7.036231507</v>
      </c>
      <c r="D2286" s="268">
        <f t="shared" si="2"/>
        <v>2.248079034</v>
      </c>
    </row>
    <row r="2287" ht="13.5" customHeight="1">
      <c r="B2287" s="268">
        <v>9100.0</v>
      </c>
      <c r="C2287" s="268">
        <f t="shared" si="1"/>
        <v>7.041000043</v>
      </c>
      <c r="D2287" s="268">
        <f t="shared" si="2"/>
        <v>2.249313564</v>
      </c>
    </row>
    <row r="2288" ht="13.5" customHeight="1">
      <c r="B2288" s="268">
        <v>9104.0</v>
      </c>
      <c r="C2288" s="268">
        <f t="shared" si="1"/>
        <v>7.0457712</v>
      </c>
      <c r="D2288" s="268">
        <f t="shared" si="2"/>
        <v>2.250549451</v>
      </c>
    </row>
    <row r="2289" ht="13.5" customHeight="1">
      <c r="B2289" s="268">
        <v>9108.0</v>
      </c>
      <c r="C2289" s="268">
        <f t="shared" si="1"/>
        <v>7.050544978</v>
      </c>
      <c r="D2289" s="268">
        <f t="shared" si="2"/>
        <v>2.251786696</v>
      </c>
    </row>
    <row r="2290" ht="13.5" customHeight="1">
      <c r="B2290" s="268">
        <v>9112.0</v>
      </c>
      <c r="C2290" s="268">
        <f t="shared" si="1"/>
        <v>7.055321382</v>
      </c>
      <c r="D2290" s="268">
        <f t="shared" si="2"/>
        <v>2.253025303</v>
      </c>
    </row>
    <row r="2291" ht="13.5" customHeight="1">
      <c r="B2291" s="268">
        <v>9116.0</v>
      </c>
      <c r="C2291" s="268">
        <f t="shared" si="1"/>
        <v>7.060100413</v>
      </c>
      <c r="D2291" s="268">
        <f t="shared" si="2"/>
        <v>2.254265272</v>
      </c>
    </row>
    <row r="2292" ht="13.5" customHeight="1">
      <c r="B2292" s="268">
        <v>9120.0</v>
      </c>
      <c r="C2292" s="268">
        <f t="shared" si="1"/>
        <v>7.064882076</v>
      </c>
      <c r="D2292" s="268">
        <f t="shared" si="2"/>
        <v>2.255506608</v>
      </c>
    </row>
    <row r="2293" ht="13.5" customHeight="1">
      <c r="B2293" s="268">
        <v>9124.0</v>
      </c>
      <c r="C2293" s="268">
        <f t="shared" si="1"/>
        <v>7.069666372</v>
      </c>
      <c r="D2293" s="268">
        <f t="shared" si="2"/>
        <v>2.256749311</v>
      </c>
    </row>
    <row r="2294" ht="13.5" customHeight="1">
      <c r="B2294" s="268">
        <v>9128.0</v>
      </c>
      <c r="C2294" s="268">
        <f t="shared" si="1"/>
        <v>7.074453305</v>
      </c>
      <c r="D2294" s="268">
        <f t="shared" si="2"/>
        <v>2.257993385</v>
      </c>
    </row>
    <row r="2295" ht="13.5" customHeight="1">
      <c r="B2295" s="268">
        <v>9132.0</v>
      </c>
      <c r="C2295" s="268">
        <f t="shared" si="1"/>
        <v>7.079242877</v>
      </c>
      <c r="D2295" s="268">
        <f t="shared" si="2"/>
        <v>2.259238831</v>
      </c>
    </row>
    <row r="2296" ht="13.5" customHeight="1">
      <c r="B2296" s="268">
        <v>9136.0</v>
      </c>
      <c r="C2296" s="268">
        <f t="shared" si="1"/>
        <v>7.084035093</v>
      </c>
      <c r="D2296" s="268">
        <f t="shared" si="2"/>
        <v>2.260485651</v>
      </c>
    </row>
    <row r="2297" ht="13.5" customHeight="1">
      <c r="B2297" s="268">
        <v>9140.0</v>
      </c>
      <c r="C2297" s="268">
        <f t="shared" si="1"/>
        <v>7.088829953</v>
      </c>
      <c r="D2297" s="268">
        <f t="shared" si="2"/>
        <v>2.261733849</v>
      </c>
    </row>
    <row r="2298" ht="13.5" customHeight="1">
      <c r="B2298" s="268">
        <v>9144.0</v>
      </c>
      <c r="C2298" s="268">
        <f t="shared" si="1"/>
        <v>7.093627462</v>
      </c>
      <c r="D2298" s="268">
        <f t="shared" si="2"/>
        <v>2.262983425</v>
      </c>
    </row>
    <row r="2299" ht="13.5" customHeight="1">
      <c r="B2299" s="268">
        <v>9148.0</v>
      </c>
      <c r="C2299" s="268">
        <f t="shared" si="1"/>
        <v>7.098427622</v>
      </c>
      <c r="D2299" s="268">
        <f t="shared" si="2"/>
        <v>2.264234384</v>
      </c>
    </row>
    <row r="2300" ht="13.5" customHeight="1">
      <c r="B2300" s="268">
        <v>9152.0</v>
      </c>
      <c r="C2300" s="268">
        <f t="shared" si="1"/>
        <v>7.103230437</v>
      </c>
      <c r="D2300" s="268">
        <f t="shared" si="2"/>
        <v>2.265486726</v>
      </c>
    </row>
    <row r="2301" ht="13.5" customHeight="1">
      <c r="B2301" s="268">
        <v>9156.0</v>
      </c>
      <c r="C2301" s="268">
        <f t="shared" si="1"/>
        <v>7.108035908</v>
      </c>
      <c r="D2301" s="268">
        <f t="shared" si="2"/>
        <v>2.266740454</v>
      </c>
    </row>
    <row r="2302" ht="13.5" customHeight="1">
      <c r="B2302" s="268">
        <v>9160.0</v>
      </c>
      <c r="C2302" s="268">
        <f t="shared" si="1"/>
        <v>7.11284404</v>
      </c>
      <c r="D2302" s="268">
        <f t="shared" si="2"/>
        <v>2.26799557</v>
      </c>
    </row>
    <row r="2303" ht="13.5" customHeight="1">
      <c r="B2303" s="268">
        <v>9164.0</v>
      </c>
      <c r="C2303" s="268">
        <f t="shared" si="1"/>
        <v>7.117654835</v>
      </c>
      <c r="D2303" s="268">
        <f t="shared" si="2"/>
        <v>2.269252078</v>
      </c>
    </row>
    <row r="2304" ht="13.5" customHeight="1">
      <c r="B2304" s="268">
        <v>9168.0</v>
      </c>
      <c r="C2304" s="268">
        <f t="shared" si="1"/>
        <v>7.122468295</v>
      </c>
      <c r="D2304" s="268">
        <f t="shared" si="2"/>
        <v>2.270509978</v>
      </c>
    </row>
    <row r="2305" ht="13.5" customHeight="1">
      <c r="B2305" s="268">
        <v>9172.0</v>
      </c>
      <c r="C2305" s="268">
        <f t="shared" si="1"/>
        <v>7.127284425</v>
      </c>
      <c r="D2305" s="268">
        <f t="shared" si="2"/>
        <v>2.271769273</v>
      </c>
    </row>
    <row r="2306" ht="13.5" customHeight="1">
      <c r="B2306" s="268">
        <v>9176.0</v>
      </c>
      <c r="C2306" s="268">
        <f t="shared" si="1"/>
        <v>7.132103226</v>
      </c>
      <c r="D2306" s="268">
        <f t="shared" si="2"/>
        <v>2.273029967</v>
      </c>
    </row>
    <row r="2307" ht="13.5" customHeight="1">
      <c r="B2307" s="268">
        <v>9180.0</v>
      </c>
      <c r="C2307" s="268">
        <f t="shared" si="1"/>
        <v>7.136924703</v>
      </c>
      <c r="D2307" s="268">
        <f t="shared" si="2"/>
        <v>2.27429206</v>
      </c>
    </row>
    <row r="2308" ht="13.5" customHeight="1">
      <c r="B2308" s="268">
        <v>9184.0</v>
      </c>
      <c r="C2308" s="268">
        <f t="shared" si="1"/>
        <v>7.141748857</v>
      </c>
      <c r="D2308" s="268">
        <f t="shared" si="2"/>
        <v>2.275555556</v>
      </c>
    </row>
    <row r="2309" ht="13.5" customHeight="1">
      <c r="B2309" s="268">
        <v>9188.0</v>
      </c>
      <c r="C2309" s="268">
        <f t="shared" si="1"/>
        <v>7.146575692</v>
      </c>
      <c r="D2309" s="268">
        <f t="shared" si="2"/>
        <v>2.276820456</v>
      </c>
    </row>
    <row r="2310" ht="13.5" customHeight="1">
      <c r="B2310" s="268">
        <v>9192.0</v>
      </c>
      <c r="C2310" s="268">
        <f t="shared" si="1"/>
        <v>7.151405211</v>
      </c>
      <c r="D2310" s="268">
        <f t="shared" si="2"/>
        <v>2.278086763</v>
      </c>
    </row>
    <row r="2311" ht="13.5" customHeight="1">
      <c r="B2311" s="268">
        <v>9196.0</v>
      </c>
      <c r="C2311" s="268">
        <f t="shared" si="1"/>
        <v>7.156237417</v>
      </c>
      <c r="D2311" s="268">
        <f t="shared" si="2"/>
        <v>2.27935448</v>
      </c>
    </row>
    <row r="2312" ht="13.5" customHeight="1">
      <c r="B2312" s="268">
        <v>9200.0</v>
      </c>
      <c r="C2312" s="268">
        <f t="shared" si="1"/>
        <v>7.161072313</v>
      </c>
      <c r="D2312" s="268">
        <f t="shared" si="2"/>
        <v>2.280623608</v>
      </c>
    </row>
    <row r="2313" ht="13.5" customHeight="1">
      <c r="B2313" s="268">
        <v>9204.0</v>
      </c>
      <c r="C2313" s="268">
        <f t="shared" si="1"/>
        <v>7.165909901</v>
      </c>
      <c r="D2313" s="268">
        <f t="shared" si="2"/>
        <v>2.28189415</v>
      </c>
    </row>
    <row r="2314" ht="13.5" customHeight="1">
      <c r="B2314" s="268">
        <v>9208.0</v>
      </c>
      <c r="C2314" s="268">
        <f t="shared" si="1"/>
        <v>7.170750185</v>
      </c>
      <c r="D2314" s="268">
        <f t="shared" si="2"/>
        <v>2.283166109</v>
      </c>
    </row>
    <row r="2315" ht="13.5" customHeight="1">
      <c r="B2315" s="268">
        <v>9212.0</v>
      </c>
      <c r="C2315" s="268">
        <f t="shared" si="1"/>
        <v>7.175593168</v>
      </c>
      <c r="D2315" s="268">
        <f t="shared" si="2"/>
        <v>2.284439487</v>
      </c>
    </row>
    <row r="2316" ht="13.5" customHeight="1">
      <c r="B2316" s="268">
        <v>9216.0</v>
      </c>
      <c r="C2316" s="268">
        <f t="shared" si="1"/>
        <v>7.180438853</v>
      </c>
      <c r="D2316" s="268">
        <f t="shared" si="2"/>
        <v>2.285714286</v>
      </c>
    </row>
    <row r="2317" ht="13.5" customHeight="1">
      <c r="B2317" s="268">
        <v>9220.0</v>
      </c>
      <c r="C2317" s="268">
        <f t="shared" si="1"/>
        <v>7.185287242</v>
      </c>
      <c r="D2317" s="268">
        <f t="shared" si="2"/>
        <v>2.286990508</v>
      </c>
    </row>
    <row r="2318" ht="13.5" customHeight="1">
      <c r="B2318" s="268">
        <v>9224.0</v>
      </c>
      <c r="C2318" s="268">
        <f t="shared" si="1"/>
        <v>7.19013834</v>
      </c>
      <c r="D2318" s="268">
        <f t="shared" si="2"/>
        <v>2.288268156</v>
      </c>
    </row>
    <row r="2319" ht="13.5" customHeight="1">
      <c r="B2319" s="268">
        <v>9228.0</v>
      </c>
      <c r="C2319" s="268">
        <f t="shared" si="1"/>
        <v>7.194992148</v>
      </c>
      <c r="D2319" s="268">
        <f t="shared" si="2"/>
        <v>2.289547233</v>
      </c>
    </row>
    <row r="2320" ht="13.5" customHeight="1">
      <c r="B2320" s="268">
        <v>9232.0</v>
      </c>
      <c r="C2320" s="268">
        <f t="shared" si="1"/>
        <v>7.19984867</v>
      </c>
      <c r="D2320" s="268">
        <f t="shared" si="2"/>
        <v>2.29082774</v>
      </c>
    </row>
    <row r="2321" ht="13.5" customHeight="1">
      <c r="B2321" s="268">
        <v>9236.0</v>
      </c>
      <c r="C2321" s="268">
        <f t="shared" si="1"/>
        <v>7.204707909</v>
      </c>
      <c r="D2321" s="268">
        <f t="shared" si="2"/>
        <v>2.292109681</v>
      </c>
    </row>
    <row r="2322" ht="13.5" customHeight="1">
      <c r="B2322" s="268">
        <v>9240.0</v>
      </c>
      <c r="C2322" s="268">
        <f t="shared" si="1"/>
        <v>7.209569868</v>
      </c>
      <c r="D2322" s="268">
        <f t="shared" si="2"/>
        <v>2.293393057</v>
      </c>
    </row>
    <row r="2323" ht="13.5" customHeight="1">
      <c r="B2323" s="268">
        <v>9244.0</v>
      </c>
      <c r="C2323" s="268">
        <f t="shared" si="1"/>
        <v>7.21443455</v>
      </c>
      <c r="D2323" s="268">
        <f t="shared" si="2"/>
        <v>2.294677871</v>
      </c>
    </row>
    <row r="2324" ht="13.5" customHeight="1">
      <c r="B2324" s="268">
        <v>9248.0</v>
      </c>
      <c r="C2324" s="268">
        <f t="shared" si="1"/>
        <v>7.219301959</v>
      </c>
      <c r="D2324" s="268">
        <f t="shared" si="2"/>
        <v>2.295964126</v>
      </c>
    </row>
    <row r="2325" ht="13.5" customHeight="1">
      <c r="B2325" s="268">
        <v>9252.0</v>
      </c>
      <c r="C2325" s="268">
        <f t="shared" si="1"/>
        <v>7.224172096</v>
      </c>
      <c r="D2325" s="268">
        <f t="shared" si="2"/>
        <v>2.297251823</v>
      </c>
    </row>
    <row r="2326" ht="13.5" customHeight="1">
      <c r="B2326" s="268">
        <v>9256.0</v>
      </c>
      <c r="C2326" s="268">
        <f t="shared" si="1"/>
        <v>7.229044965</v>
      </c>
      <c r="D2326" s="268">
        <f t="shared" si="2"/>
        <v>2.298540965</v>
      </c>
    </row>
    <row r="2327" ht="13.5" customHeight="1">
      <c r="B2327" s="268">
        <v>9260.0</v>
      </c>
      <c r="C2327" s="268">
        <f t="shared" si="1"/>
        <v>7.23392057</v>
      </c>
      <c r="D2327" s="268">
        <f t="shared" si="2"/>
        <v>2.299831555</v>
      </c>
    </row>
    <row r="2328" ht="13.5" customHeight="1">
      <c r="B2328" s="268">
        <v>9264.0</v>
      </c>
      <c r="C2328" s="268">
        <f t="shared" si="1"/>
        <v>7.238798913</v>
      </c>
      <c r="D2328" s="268">
        <f t="shared" si="2"/>
        <v>2.301123596</v>
      </c>
    </row>
    <row r="2329" ht="13.5" customHeight="1">
      <c r="B2329" s="268">
        <v>9268.0</v>
      </c>
      <c r="C2329" s="268">
        <f t="shared" si="1"/>
        <v>7.243679998</v>
      </c>
      <c r="D2329" s="268">
        <f t="shared" si="2"/>
        <v>2.302417088</v>
      </c>
    </row>
    <row r="2330" ht="13.5" customHeight="1">
      <c r="B2330" s="268">
        <v>9272.0</v>
      </c>
      <c r="C2330" s="268">
        <f t="shared" si="1"/>
        <v>7.248563827</v>
      </c>
      <c r="D2330" s="268">
        <f t="shared" si="2"/>
        <v>2.303712036</v>
      </c>
    </row>
    <row r="2331" ht="13.5" customHeight="1">
      <c r="B2331" s="268">
        <v>9276.0</v>
      </c>
      <c r="C2331" s="268">
        <f t="shared" si="1"/>
        <v>7.253450403</v>
      </c>
      <c r="D2331" s="268">
        <f t="shared" si="2"/>
        <v>2.305008441</v>
      </c>
    </row>
    <row r="2332" ht="13.5" customHeight="1">
      <c r="B2332" s="268">
        <v>9280.0</v>
      </c>
      <c r="C2332" s="268">
        <f t="shared" si="1"/>
        <v>7.258339731</v>
      </c>
      <c r="D2332" s="268">
        <f t="shared" si="2"/>
        <v>2.306306306</v>
      </c>
    </row>
    <row r="2333" ht="13.5" customHeight="1">
      <c r="B2333" s="268">
        <v>9284.0</v>
      </c>
      <c r="C2333" s="268">
        <f t="shared" si="1"/>
        <v>7.263231812</v>
      </c>
      <c r="D2333" s="268">
        <f t="shared" si="2"/>
        <v>2.307605634</v>
      </c>
    </row>
    <row r="2334" ht="13.5" customHeight="1">
      <c r="B2334" s="268">
        <v>9288.0</v>
      </c>
      <c r="C2334" s="268">
        <f t="shared" si="1"/>
        <v>7.268126649</v>
      </c>
      <c r="D2334" s="268">
        <f t="shared" si="2"/>
        <v>2.308906426</v>
      </c>
    </row>
    <row r="2335" ht="13.5" customHeight="1">
      <c r="B2335" s="268">
        <v>9292.0</v>
      </c>
      <c r="C2335" s="268">
        <f t="shared" si="1"/>
        <v>7.273024247</v>
      </c>
      <c r="D2335" s="268">
        <f t="shared" si="2"/>
        <v>2.310208686</v>
      </c>
    </row>
    <row r="2336" ht="13.5" customHeight="1">
      <c r="B2336" s="268">
        <v>9296.0</v>
      </c>
      <c r="C2336" s="268">
        <f t="shared" si="1"/>
        <v>7.277924608</v>
      </c>
      <c r="D2336" s="268">
        <f t="shared" si="2"/>
        <v>2.311512415</v>
      </c>
    </row>
    <row r="2337" ht="13.5" customHeight="1">
      <c r="B2337" s="268">
        <v>9300.0</v>
      </c>
      <c r="C2337" s="268">
        <f t="shared" si="1"/>
        <v>7.282827736</v>
      </c>
      <c r="D2337" s="268">
        <f t="shared" si="2"/>
        <v>2.312817617</v>
      </c>
    </row>
    <row r="2338" ht="13.5" customHeight="1">
      <c r="B2338" s="268">
        <v>9304.0</v>
      </c>
      <c r="C2338" s="268">
        <f t="shared" si="1"/>
        <v>7.287733632</v>
      </c>
      <c r="D2338" s="268">
        <f t="shared" si="2"/>
        <v>2.314124294</v>
      </c>
    </row>
    <row r="2339" ht="13.5" customHeight="1">
      <c r="B2339" s="268">
        <v>9308.0</v>
      </c>
      <c r="C2339" s="268">
        <f t="shared" si="1"/>
        <v>7.292642301</v>
      </c>
      <c r="D2339" s="268">
        <f t="shared" si="2"/>
        <v>2.315432448</v>
      </c>
    </row>
    <row r="2340" ht="13.5" customHeight="1">
      <c r="B2340" s="268">
        <v>9312.0</v>
      </c>
      <c r="C2340" s="268">
        <f t="shared" si="1"/>
        <v>7.297553746</v>
      </c>
      <c r="D2340" s="268">
        <f t="shared" si="2"/>
        <v>2.316742081</v>
      </c>
    </row>
    <row r="2341" ht="13.5" customHeight="1">
      <c r="B2341" s="268">
        <v>9316.0</v>
      </c>
      <c r="C2341" s="268">
        <f t="shared" si="1"/>
        <v>7.302467969</v>
      </c>
      <c r="D2341" s="268">
        <f t="shared" si="2"/>
        <v>2.318053198</v>
      </c>
    </row>
    <row r="2342" ht="13.5" customHeight="1">
      <c r="B2342" s="268">
        <v>9320.0</v>
      </c>
      <c r="C2342" s="268">
        <f t="shared" si="1"/>
        <v>7.307384975</v>
      </c>
      <c r="D2342" s="268">
        <f t="shared" si="2"/>
        <v>2.319365798</v>
      </c>
    </row>
    <row r="2343" ht="13.5" customHeight="1">
      <c r="B2343" s="268">
        <v>9324.0</v>
      </c>
      <c r="C2343" s="268">
        <f t="shared" si="1"/>
        <v>7.312304765</v>
      </c>
      <c r="D2343" s="268">
        <f t="shared" si="2"/>
        <v>2.320679887</v>
      </c>
    </row>
    <row r="2344" ht="13.5" customHeight="1">
      <c r="B2344" s="268">
        <v>9328.0</v>
      </c>
      <c r="C2344" s="268">
        <f t="shared" si="1"/>
        <v>7.317227343</v>
      </c>
      <c r="D2344" s="268">
        <f t="shared" si="2"/>
        <v>2.321995465</v>
      </c>
    </row>
    <row r="2345" ht="13.5" customHeight="1">
      <c r="B2345" s="268">
        <v>9332.0</v>
      </c>
      <c r="C2345" s="268">
        <f t="shared" si="1"/>
        <v>7.322152713</v>
      </c>
      <c r="D2345" s="268">
        <f t="shared" si="2"/>
        <v>2.323312535</v>
      </c>
    </row>
    <row r="2346" ht="13.5" customHeight="1">
      <c r="B2346" s="268">
        <v>9336.0</v>
      </c>
      <c r="C2346" s="268">
        <f t="shared" si="1"/>
        <v>7.327080878</v>
      </c>
      <c r="D2346" s="268">
        <f t="shared" si="2"/>
        <v>2.324631101</v>
      </c>
    </row>
    <row r="2347" ht="13.5" customHeight="1">
      <c r="B2347" s="268">
        <v>9340.0</v>
      </c>
      <c r="C2347" s="268">
        <f t="shared" si="1"/>
        <v>7.33201184</v>
      </c>
      <c r="D2347" s="268">
        <f t="shared" si="2"/>
        <v>2.325951164</v>
      </c>
    </row>
    <row r="2348" ht="13.5" customHeight="1">
      <c r="B2348" s="268">
        <v>9344.0</v>
      </c>
      <c r="C2348" s="268">
        <f t="shared" si="1"/>
        <v>7.336945603</v>
      </c>
      <c r="D2348" s="268">
        <f t="shared" si="2"/>
        <v>2.327272727</v>
      </c>
    </row>
    <row r="2349" ht="13.5" customHeight="1">
      <c r="B2349" s="268">
        <v>9348.0</v>
      </c>
      <c r="C2349" s="268">
        <f t="shared" si="1"/>
        <v>7.34188217</v>
      </c>
      <c r="D2349" s="268">
        <f t="shared" si="2"/>
        <v>2.328595793</v>
      </c>
    </row>
    <row r="2350" ht="13.5" customHeight="1">
      <c r="B2350" s="268">
        <v>9352.0</v>
      </c>
      <c r="C2350" s="268">
        <f t="shared" si="1"/>
        <v>7.346821545</v>
      </c>
      <c r="D2350" s="268">
        <f t="shared" si="2"/>
        <v>2.329920364</v>
      </c>
    </row>
    <row r="2351" ht="13.5" customHeight="1">
      <c r="B2351" s="268">
        <v>9356.0</v>
      </c>
      <c r="C2351" s="268">
        <f t="shared" si="1"/>
        <v>7.351763729</v>
      </c>
      <c r="D2351" s="268">
        <f t="shared" si="2"/>
        <v>2.331246443</v>
      </c>
    </row>
    <row r="2352" ht="13.5" customHeight="1">
      <c r="B2352" s="268">
        <v>9360.0</v>
      </c>
      <c r="C2352" s="268">
        <f t="shared" si="1"/>
        <v>7.356708728</v>
      </c>
      <c r="D2352" s="268">
        <f t="shared" si="2"/>
        <v>2.332574032</v>
      </c>
    </row>
    <row r="2353" ht="13.5" customHeight="1">
      <c r="B2353" s="268">
        <v>9364.0</v>
      </c>
      <c r="C2353" s="268">
        <f t="shared" si="1"/>
        <v>7.361656543</v>
      </c>
      <c r="D2353" s="268">
        <f t="shared" si="2"/>
        <v>2.333903134</v>
      </c>
    </row>
    <row r="2354" ht="13.5" customHeight="1">
      <c r="B2354" s="268">
        <v>9368.0</v>
      </c>
      <c r="C2354" s="268">
        <f t="shared" si="1"/>
        <v>7.366607179</v>
      </c>
      <c r="D2354" s="268">
        <f t="shared" si="2"/>
        <v>2.335233751</v>
      </c>
    </row>
    <row r="2355" ht="13.5" customHeight="1">
      <c r="B2355" s="268">
        <v>9372.0</v>
      </c>
      <c r="C2355" s="268">
        <f t="shared" si="1"/>
        <v>7.371560637</v>
      </c>
      <c r="D2355" s="268">
        <f t="shared" si="2"/>
        <v>2.336565887</v>
      </c>
    </row>
    <row r="2356" ht="13.5" customHeight="1">
      <c r="B2356" s="268">
        <v>9376.0</v>
      </c>
      <c r="C2356" s="268">
        <f t="shared" si="1"/>
        <v>7.376516923</v>
      </c>
      <c r="D2356" s="268">
        <f t="shared" si="2"/>
        <v>2.337899543</v>
      </c>
    </row>
    <row r="2357" ht="13.5" customHeight="1">
      <c r="B2357" s="268">
        <v>9380.0</v>
      </c>
      <c r="C2357" s="268">
        <f t="shared" si="1"/>
        <v>7.381476038</v>
      </c>
      <c r="D2357" s="268">
        <f t="shared" si="2"/>
        <v>2.339234723</v>
      </c>
    </row>
    <row r="2358" ht="13.5" customHeight="1">
      <c r="B2358" s="268">
        <v>9384.0</v>
      </c>
      <c r="C2358" s="268">
        <f t="shared" si="1"/>
        <v>7.386437986</v>
      </c>
      <c r="D2358" s="268">
        <f t="shared" si="2"/>
        <v>2.340571429</v>
      </c>
    </row>
    <row r="2359" ht="13.5" customHeight="1">
      <c r="B2359" s="268">
        <v>9388.0</v>
      </c>
      <c r="C2359" s="268">
        <f t="shared" si="1"/>
        <v>7.39140277</v>
      </c>
      <c r="D2359" s="268">
        <f t="shared" si="2"/>
        <v>2.341909663</v>
      </c>
    </row>
    <row r="2360" ht="13.5" customHeight="1">
      <c r="B2360" s="268">
        <v>9392.0</v>
      </c>
      <c r="C2360" s="268">
        <f t="shared" si="1"/>
        <v>7.396370393</v>
      </c>
      <c r="D2360" s="268">
        <f t="shared" si="2"/>
        <v>2.343249428</v>
      </c>
    </row>
    <row r="2361" ht="13.5" customHeight="1">
      <c r="B2361" s="268">
        <v>9396.0</v>
      </c>
      <c r="C2361" s="268">
        <f t="shared" si="1"/>
        <v>7.40134086</v>
      </c>
      <c r="D2361" s="268">
        <f t="shared" si="2"/>
        <v>2.344590727</v>
      </c>
    </row>
    <row r="2362" ht="13.5" customHeight="1">
      <c r="B2362" s="268">
        <v>9400.0</v>
      </c>
      <c r="C2362" s="268">
        <f t="shared" si="1"/>
        <v>7.406314172</v>
      </c>
      <c r="D2362" s="268">
        <f t="shared" si="2"/>
        <v>2.345933562</v>
      </c>
    </row>
    <row r="2363" ht="13.5" customHeight="1">
      <c r="B2363" s="268">
        <v>9404.0</v>
      </c>
      <c r="C2363" s="268">
        <f t="shared" si="1"/>
        <v>7.411290333</v>
      </c>
      <c r="D2363" s="268">
        <f t="shared" si="2"/>
        <v>2.347277937</v>
      </c>
    </row>
    <row r="2364" ht="13.5" customHeight="1">
      <c r="B2364" s="268">
        <v>9408.0</v>
      </c>
      <c r="C2364" s="268">
        <f t="shared" si="1"/>
        <v>7.416269347</v>
      </c>
      <c r="D2364" s="268">
        <f t="shared" si="2"/>
        <v>2.348623853</v>
      </c>
    </row>
    <row r="2365" ht="13.5" customHeight="1">
      <c r="B2365" s="268">
        <v>9412.0</v>
      </c>
      <c r="C2365" s="268">
        <f t="shared" si="1"/>
        <v>7.421251217</v>
      </c>
      <c r="D2365" s="268">
        <f t="shared" si="2"/>
        <v>2.349971314</v>
      </c>
    </row>
    <row r="2366" ht="13.5" customHeight="1">
      <c r="B2366" s="268">
        <v>9416.0</v>
      </c>
      <c r="C2366" s="268">
        <f t="shared" si="1"/>
        <v>7.426235946</v>
      </c>
      <c r="D2366" s="268">
        <f t="shared" si="2"/>
        <v>2.351320321</v>
      </c>
    </row>
    <row r="2367" ht="13.5" customHeight="1">
      <c r="B2367" s="268">
        <v>9420.0</v>
      </c>
      <c r="C2367" s="268">
        <f t="shared" si="1"/>
        <v>7.431223537</v>
      </c>
      <c r="D2367" s="268">
        <f t="shared" si="2"/>
        <v>2.352670879</v>
      </c>
    </row>
    <row r="2368" ht="13.5" customHeight="1">
      <c r="B2368" s="268">
        <v>9424.0</v>
      </c>
      <c r="C2368" s="268">
        <f t="shared" si="1"/>
        <v>7.436213994</v>
      </c>
      <c r="D2368" s="268">
        <f t="shared" si="2"/>
        <v>2.354022989</v>
      </c>
    </row>
    <row r="2369" ht="13.5" customHeight="1">
      <c r="B2369" s="268">
        <v>9428.0</v>
      </c>
      <c r="C2369" s="268">
        <f t="shared" si="1"/>
        <v>7.441207319</v>
      </c>
      <c r="D2369" s="268">
        <f t="shared" si="2"/>
        <v>2.355376653</v>
      </c>
    </row>
    <row r="2370" ht="13.5" customHeight="1">
      <c r="B2370" s="268">
        <v>9432.0</v>
      </c>
      <c r="C2370" s="268">
        <f t="shared" si="1"/>
        <v>7.446203517</v>
      </c>
      <c r="D2370" s="268">
        <f t="shared" si="2"/>
        <v>2.356731876</v>
      </c>
    </row>
    <row r="2371" ht="13.5" customHeight="1">
      <c r="B2371" s="268">
        <v>9436.0</v>
      </c>
      <c r="C2371" s="268">
        <f t="shared" si="1"/>
        <v>7.45120259</v>
      </c>
      <c r="D2371" s="268">
        <f t="shared" si="2"/>
        <v>2.358088659</v>
      </c>
    </row>
    <row r="2372" ht="13.5" customHeight="1">
      <c r="B2372" s="268">
        <v>9440.0</v>
      </c>
      <c r="C2372" s="268">
        <f t="shared" si="1"/>
        <v>7.456204543</v>
      </c>
      <c r="D2372" s="268">
        <f t="shared" si="2"/>
        <v>2.359447005</v>
      </c>
    </row>
    <row r="2373" ht="13.5" customHeight="1">
      <c r="B2373" s="268">
        <v>9444.0</v>
      </c>
      <c r="C2373" s="268">
        <f t="shared" si="1"/>
        <v>7.461209377</v>
      </c>
      <c r="D2373" s="268">
        <f t="shared" si="2"/>
        <v>2.360806916</v>
      </c>
    </row>
    <row r="2374" ht="13.5" customHeight="1">
      <c r="B2374" s="268">
        <v>9448.0</v>
      </c>
      <c r="C2374" s="268">
        <f t="shared" si="1"/>
        <v>7.466217097</v>
      </c>
      <c r="D2374" s="268">
        <f t="shared" si="2"/>
        <v>2.362168397</v>
      </c>
    </row>
    <row r="2375" ht="13.5" customHeight="1">
      <c r="B2375" s="268">
        <v>9452.0</v>
      </c>
      <c r="C2375" s="268">
        <f t="shared" si="1"/>
        <v>7.471227705</v>
      </c>
      <c r="D2375" s="268">
        <f t="shared" si="2"/>
        <v>2.363531448</v>
      </c>
    </row>
    <row r="2376" ht="13.5" customHeight="1">
      <c r="B2376" s="268">
        <v>9456.0</v>
      </c>
      <c r="C2376" s="268">
        <f t="shared" si="1"/>
        <v>7.476241206</v>
      </c>
      <c r="D2376" s="268">
        <f t="shared" si="2"/>
        <v>2.364896074</v>
      </c>
    </row>
    <row r="2377" ht="13.5" customHeight="1">
      <c r="B2377" s="268">
        <v>9460.0</v>
      </c>
      <c r="C2377" s="268">
        <f t="shared" si="1"/>
        <v>7.481257602</v>
      </c>
      <c r="D2377" s="268">
        <f t="shared" si="2"/>
        <v>2.366262276</v>
      </c>
    </row>
    <row r="2378" ht="13.5" customHeight="1">
      <c r="B2378" s="268">
        <v>9464.0</v>
      </c>
      <c r="C2378" s="268">
        <f t="shared" si="1"/>
        <v>7.486276897</v>
      </c>
      <c r="D2378" s="268">
        <f t="shared" si="2"/>
        <v>2.367630058</v>
      </c>
    </row>
    <row r="2379" ht="13.5" customHeight="1">
      <c r="B2379" s="268">
        <v>9468.0</v>
      </c>
      <c r="C2379" s="268">
        <f t="shared" si="1"/>
        <v>7.491299094</v>
      </c>
      <c r="D2379" s="268">
        <f t="shared" si="2"/>
        <v>2.368999422</v>
      </c>
    </row>
    <row r="2380" ht="13.5" customHeight="1">
      <c r="B2380" s="268">
        <v>9472.0</v>
      </c>
      <c r="C2380" s="268">
        <f t="shared" si="1"/>
        <v>7.496324196</v>
      </c>
      <c r="D2380" s="268">
        <f t="shared" si="2"/>
        <v>2.37037037</v>
      </c>
    </row>
    <row r="2381" ht="13.5" customHeight="1">
      <c r="B2381" s="268">
        <v>9476.0</v>
      </c>
      <c r="C2381" s="268">
        <f t="shared" si="1"/>
        <v>7.501352208</v>
      </c>
      <c r="D2381" s="268">
        <f t="shared" si="2"/>
        <v>2.371742907</v>
      </c>
    </row>
    <row r="2382" ht="13.5" customHeight="1">
      <c r="B2382" s="268">
        <v>9480.0</v>
      </c>
      <c r="C2382" s="268">
        <f t="shared" si="1"/>
        <v>7.506383132</v>
      </c>
      <c r="D2382" s="268">
        <f t="shared" si="2"/>
        <v>2.373117034</v>
      </c>
    </row>
    <row r="2383" ht="13.5" customHeight="1">
      <c r="B2383" s="268">
        <v>9484.0</v>
      </c>
      <c r="C2383" s="268">
        <f t="shared" si="1"/>
        <v>7.511416971</v>
      </c>
      <c r="D2383" s="268">
        <f t="shared" si="2"/>
        <v>2.374492754</v>
      </c>
    </row>
    <row r="2384" ht="13.5" customHeight="1">
      <c r="B2384" s="268">
        <v>9488.0</v>
      </c>
      <c r="C2384" s="268">
        <f t="shared" si="1"/>
        <v>7.51645373</v>
      </c>
      <c r="D2384" s="268">
        <f t="shared" si="2"/>
        <v>2.37587007</v>
      </c>
    </row>
    <row r="2385" ht="13.5" customHeight="1">
      <c r="B2385" s="268">
        <v>9492.0</v>
      </c>
      <c r="C2385" s="268">
        <f t="shared" si="1"/>
        <v>7.52149341</v>
      </c>
      <c r="D2385" s="268">
        <f t="shared" si="2"/>
        <v>2.377248984</v>
      </c>
    </row>
    <row r="2386" ht="13.5" customHeight="1">
      <c r="B2386" s="268">
        <v>9496.0</v>
      </c>
      <c r="C2386" s="268">
        <f t="shared" si="1"/>
        <v>7.526536017</v>
      </c>
      <c r="D2386" s="268">
        <f t="shared" si="2"/>
        <v>2.378629501</v>
      </c>
    </row>
    <row r="2387" ht="13.5" customHeight="1">
      <c r="B2387" s="268">
        <v>9500.0</v>
      </c>
      <c r="C2387" s="268">
        <f t="shared" si="1"/>
        <v>7.531581553</v>
      </c>
      <c r="D2387" s="268">
        <f t="shared" si="2"/>
        <v>2.380011621</v>
      </c>
    </row>
    <row r="2388" ht="13.5" customHeight="1">
      <c r="B2388" s="268">
        <v>9504.0</v>
      </c>
      <c r="C2388" s="268">
        <f t="shared" si="1"/>
        <v>7.536630021</v>
      </c>
      <c r="D2388" s="268">
        <f t="shared" si="2"/>
        <v>2.381395349</v>
      </c>
    </row>
    <row r="2389" ht="13.5" customHeight="1">
      <c r="B2389" s="268">
        <v>9508.0</v>
      </c>
      <c r="C2389" s="268">
        <f t="shared" si="1"/>
        <v>7.541681426</v>
      </c>
      <c r="D2389" s="268">
        <f t="shared" si="2"/>
        <v>2.382780686</v>
      </c>
    </row>
    <row r="2390" ht="13.5" customHeight="1">
      <c r="B2390" s="268">
        <v>9512.0</v>
      </c>
      <c r="C2390" s="268">
        <f t="shared" si="1"/>
        <v>7.546735769</v>
      </c>
      <c r="D2390" s="268">
        <f t="shared" si="2"/>
        <v>2.384167637</v>
      </c>
    </row>
    <row r="2391" ht="13.5" customHeight="1">
      <c r="B2391" s="268">
        <v>9516.0</v>
      </c>
      <c r="C2391" s="268">
        <f t="shared" si="1"/>
        <v>7.551793056</v>
      </c>
      <c r="D2391" s="268">
        <f t="shared" si="2"/>
        <v>2.385556203</v>
      </c>
    </row>
    <row r="2392" ht="13.5" customHeight="1">
      <c r="B2392" s="268">
        <v>9520.0</v>
      </c>
      <c r="C2392" s="268">
        <f t="shared" si="1"/>
        <v>7.556853289</v>
      </c>
      <c r="D2392" s="268">
        <f t="shared" si="2"/>
        <v>2.386946387</v>
      </c>
    </row>
    <row r="2393" ht="13.5" customHeight="1">
      <c r="B2393" s="268">
        <v>9524.0</v>
      </c>
      <c r="C2393" s="268">
        <f t="shared" si="1"/>
        <v>7.561916472</v>
      </c>
      <c r="D2393" s="268">
        <f t="shared" si="2"/>
        <v>2.388338192</v>
      </c>
    </row>
    <row r="2394" ht="13.5" customHeight="1">
      <c r="B2394" s="268">
        <v>9528.0</v>
      </c>
      <c r="C2394" s="268">
        <f t="shared" si="1"/>
        <v>7.566982608</v>
      </c>
      <c r="D2394" s="268">
        <f t="shared" si="2"/>
        <v>2.389731622</v>
      </c>
    </row>
    <row r="2395" ht="13.5" customHeight="1">
      <c r="B2395" s="268">
        <v>9532.0</v>
      </c>
      <c r="C2395" s="268">
        <f t="shared" si="1"/>
        <v>7.5720517</v>
      </c>
      <c r="D2395" s="268">
        <f t="shared" si="2"/>
        <v>2.391126678</v>
      </c>
    </row>
    <row r="2396" ht="13.5" customHeight="1">
      <c r="B2396" s="268">
        <v>9536.0</v>
      </c>
      <c r="C2396" s="268">
        <f t="shared" si="1"/>
        <v>7.577123753</v>
      </c>
      <c r="D2396" s="268">
        <f t="shared" si="2"/>
        <v>2.392523364</v>
      </c>
    </row>
    <row r="2397" ht="13.5" customHeight="1">
      <c r="B2397" s="268">
        <v>9540.0</v>
      </c>
      <c r="C2397" s="268">
        <f t="shared" si="1"/>
        <v>7.582198769</v>
      </c>
      <c r="D2397" s="268">
        <f t="shared" si="2"/>
        <v>2.393921683</v>
      </c>
    </row>
    <row r="2398" ht="13.5" customHeight="1">
      <c r="B2398" s="268">
        <v>9544.0</v>
      </c>
      <c r="C2398" s="268">
        <f t="shared" si="1"/>
        <v>7.587276752</v>
      </c>
      <c r="D2398" s="268">
        <f t="shared" si="2"/>
        <v>2.395321637</v>
      </c>
    </row>
    <row r="2399" ht="13.5" customHeight="1">
      <c r="B2399" s="268">
        <v>9548.0</v>
      </c>
      <c r="C2399" s="268">
        <f t="shared" si="1"/>
        <v>7.592357705</v>
      </c>
      <c r="D2399" s="268">
        <f t="shared" si="2"/>
        <v>2.39672323</v>
      </c>
    </row>
    <row r="2400" ht="13.5" customHeight="1">
      <c r="B2400" s="268">
        <v>9552.0</v>
      </c>
      <c r="C2400" s="268">
        <f t="shared" si="1"/>
        <v>7.597441632</v>
      </c>
      <c r="D2400" s="268">
        <f t="shared" si="2"/>
        <v>2.398126464</v>
      </c>
    </row>
    <row r="2401" ht="13.5" customHeight="1">
      <c r="B2401" s="268">
        <v>9556.0</v>
      </c>
      <c r="C2401" s="268">
        <f t="shared" si="1"/>
        <v>7.602528537</v>
      </c>
      <c r="D2401" s="268">
        <f t="shared" si="2"/>
        <v>2.399531342</v>
      </c>
    </row>
    <row r="2402" ht="13.5" customHeight="1">
      <c r="B2402" s="268">
        <v>9560.0</v>
      </c>
      <c r="C2402" s="268">
        <f t="shared" si="1"/>
        <v>7.607618423</v>
      </c>
      <c r="D2402" s="268">
        <f t="shared" si="2"/>
        <v>2.400937866</v>
      </c>
    </row>
    <row r="2403" ht="13.5" customHeight="1">
      <c r="B2403" s="268">
        <v>9564.0</v>
      </c>
      <c r="C2403" s="268">
        <f t="shared" si="1"/>
        <v>7.612711293</v>
      </c>
      <c r="D2403" s="268">
        <f t="shared" si="2"/>
        <v>2.402346041</v>
      </c>
    </row>
    <row r="2404" ht="13.5" customHeight="1">
      <c r="B2404" s="268">
        <v>9568.0</v>
      </c>
      <c r="C2404" s="268">
        <f t="shared" si="1"/>
        <v>7.617807151</v>
      </c>
      <c r="D2404" s="268">
        <f t="shared" si="2"/>
        <v>2.403755869</v>
      </c>
    </row>
    <row r="2405" ht="13.5" customHeight="1">
      <c r="B2405" s="268">
        <v>9572.0</v>
      </c>
      <c r="C2405" s="268">
        <f t="shared" si="1"/>
        <v>7.622906</v>
      </c>
      <c r="D2405" s="268">
        <f t="shared" si="2"/>
        <v>2.405167352</v>
      </c>
    </row>
    <row r="2406" ht="13.5" customHeight="1">
      <c r="B2406" s="268">
        <v>9576.0</v>
      </c>
      <c r="C2406" s="268">
        <f t="shared" si="1"/>
        <v>7.628007844</v>
      </c>
      <c r="D2406" s="268">
        <f t="shared" si="2"/>
        <v>2.406580494</v>
      </c>
    </row>
    <row r="2407" ht="13.5" customHeight="1">
      <c r="B2407" s="268">
        <v>9580.0</v>
      </c>
      <c r="C2407" s="268">
        <f t="shared" si="1"/>
        <v>7.633112687</v>
      </c>
      <c r="D2407" s="268">
        <f t="shared" si="2"/>
        <v>2.407995297</v>
      </c>
    </row>
    <row r="2408" ht="13.5" customHeight="1">
      <c r="B2408" s="268">
        <v>9584.0</v>
      </c>
      <c r="C2408" s="268">
        <f t="shared" si="1"/>
        <v>7.638220532</v>
      </c>
      <c r="D2408" s="268">
        <f t="shared" si="2"/>
        <v>2.409411765</v>
      </c>
    </row>
    <row r="2409" ht="13.5" customHeight="1">
      <c r="B2409" s="268">
        <v>9588.0</v>
      </c>
      <c r="C2409" s="268">
        <f t="shared" si="1"/>
        <v>7.643331382</v>
      </c>
      <c r="D2409" s="268">
        <f t="shared" si="2"/>
        <v>2.4108299</v>
      </c>
    </row>
    <row r="2410" ht="13.5" customHeight="1">
      <c r="B2410" s="268">
        <v>9592.0</v>
      </c>
      <c r="C2410" s="268">
        <f t="shared" si="1"/>
        <v>7.648445241</v>
      </c>
      <c r="D2410" s="268">
        <f t="shared" si="2"/>
        <v>2.412249706</v>
      </c>
    </row>
    <row r="2411" ht="13.5" customHeight="1">
      <c r="B2411" s="268">
        <v>9596.0</v>
      </c>
      <c r="C2411" s="268">
        <f t="shared" si="1"/>
        <v>7.653562113</v>
      </c>
      <c r="D2411" s="268">
        <f t="shared" si="2"/>
        <v>2.413671184</v>
      </c>
    </row>
    <row r="2412" ht="13.5" customHeight="1">
      <c r="B2412" s="268">
        <v>9600.0</v>
      </c>
      <c r="C2412" s="268">
        <f t="shared" si="1"/>
        <v>7.658682001</v>
      </c>
      <c r="D2412" s="268">
        <f t="shared" si="2"/>
        <v>2.41509434</v>
      </c>
    </row>
    <row r="2413" ht="13.5" customHeight="1">
      <c r="B2413" s="268">
        <v>9604.0</v>
      </c>
      <c r="C2413" s="268">
        <f t="shared" si="1"/>
        <v>7.663804909</v>
      </c>
      <c r="D2413" s="268">
        <f t="shared" si="2"/>
        <v>2.416519174</v>
      </c>
    </row>
    <row r="2414" ht="13.5" customHeight="1">
      <c r="B2414" s="268">
        <v>9608.0</v>
      </c>
      <c r="C2414" s="268">
        <f t="shared" si="1"/>
        <v>7.668930839</v>
      </c>
      <c r="D2414" s="268">
        <f t="shared" si="2"/>
        <v>2.417945691</v>
      </c>
    </row>
    <row r="2415" ht="13.5" customHeight="1">
      <c r="B2415" s="268">
        <v>9612.0</v>
      </c>
      <c r="C2415" s="268">
        <f t="shared" si="1"/>
        <v>7.674059797</v>
      </c>
      <c r="D2415" s="268">
        <f t="shared" si="2"/>
        <v>2.419373892</v>
      </c>
    </row>
    <row r="2416" ht="13.5" customHeight="1">
      <c r="B2416" s="268">
        <v>9616.0</v>
      </c>
      <c r="C2416" s="268">
        <f t="shared" si="1"/>
        <v>7.679191785</v>
      </c>
      <c r="D2416" s="268">
        <f t="shared" si="2"/>
        <v>2.420803783</v>
      </c>
    </row>
    <row r="2417" ht="13.5" customHeight="1">
      <c r="B2417" s="268">
        <v>9620.0</v>
      </c>
      <c r="C2417" s="268">
        <f t="shared" si="1"/>
        <v>7.684326807</v>
      </c>
      <c r="D2417" s="268">
        <f t="shared" si="2"/>
        <v>2.422235364</v>
      </c>
    </row>
    <row r="2418" ht="13.5" customHeight="1">
      <c r="B2418" s="268">
        <v>9624.0</v>
      </c>
      <c r="C2418" s="268">
        <f t="shared" si="1"/>
        <v>7.689464867</v>
      </c>
      <c r="D2418" s="268">
        <f t="shared" si="2"/>
        <v>2.423668639</v>
      </c>
    </row>
    <row r="2419" ht="13.5" customHeight="1">
      <c r="B2419" s="268">
        <v>9628.0</v>
      </c>
      <c r="C2419" s="268">
        <f t="shared" si="1"/>
        <v>7.694605968</v>
      </c>
      <c r="D2419" s="268">
        <f t="shared" si="2"/>
        <v>2.425103612</v>
      </c>
    </row>
    <row r="2420" ht="13.5" customHeight="1">
      <c r="B2420" s="268">
        <v>9632.0</v>
      </c>
      <c r="C2420" s="268">
        <f t="shared" si="1"/>
        <v>7.699750114</v>
      </c>
      <c r="D2420" s="268">
        <f t="shared" si="2"/>
        <v>2.426540284</v>
      </c>
    </row>
    <row r="2421" ht="13.5" customHeight="1">
      <c r="B2421" s="268">
        <v>9636.0</v>
      </c>
      <c r="C2421" s="268">
        <f t="shared" si="1"/>
        <v>7.704897308</v>
      </c>
      <c r="D2421" s="268">
        <f t="shared" si="2"/>
        <v>2.42797866</v>
      </c>
    </row>
    <row r="2422" ht="13.5" customHeight="1">
      <c r="B2422" s="268">
        <v>9640.0</v>
      </c>
      <c r="C2422" s="268">
        <f t="shared" si="1"/>
        <v>7.710047554</v>
      </c>
      <c r="D2422" s="268">
        <f t="shared" si="2"/>
        <v>2.429418743</v>
      </c>
    </row>
    <row r="2423" ht="13.5" customHeight="1">
      <c r="B2423" s="268">
        <v>9644.0</v>
      </c>
      <c r="C2423" s="268">
        <f t="shared" si="1"/>
        <v>7.715200855</v>
      </c>
      <c r="D2423" s="268">
        <f t="shared" si="2"/>
        <v>2.430860534</v>
      </c>
    </row>
    <row r="2424" ht="13.5" customHeight="1">
      <c r="B2424" s="268">
        <v>9648.0</v>
      </c>
      <c r="C2424" s="268">
        <f t="shared" si="1"/>
        <v>7.720357216</v>
      </c>
      <c r="D2424" s="268">
        <f t="shared" si="2"/>
        <v>2.432304038</v>
      </c>
    </row>
    <row r="2425" ht="13.5" customHeight="1">
      <c r="B2425" s="268">
        <v>9652.0</v>
      </c>
      <c r="C2425" s="268">
        <f t="shared" si="1"/>
        <v>7.72551664</v>
      </c>
      <c r="D2425" s="268">
        <f t="shared" si="2"/>
        <v>2.433749257</v>
      </c>
    </row>
    <row r="2426" ht="13.5" customHeight="1">
      <c r="B2426" s="268">
        <v>9656.0</v>
      </c>
      <c r="C2426" s="268">
        <f t="shared" si="1"/>
        <v>7.73067913</v>
      </c>
      <c r="D2426" s="268">
        <f t="shared" si="2"/>
        <v>2.435196195</v>
      </c>
    </row>
    <row r="2427" ht="13.5" customHeight="1">
      <c r="B2427" s="268">
        <v>9660.0</v>
      </c>
      <c r="C2427" s="268">
        <f t="shared" si="1"/>
        <v>7.735844691</v>
      </c>
      <c r="D2427" s="268">
        <f t="shared" si="2"/>
        <v>2.436644854</v>
      </c>
    </row>
    <row r="2428" ht="13.5" customHeight="1">
      <c r="B2428" s="268">
        <v>9664.0</v>
      </c>
      <c r="C2428" s="268">
        <f t="shared" si="1"/>
        <v>7.741013325</v>
      </c>
      <c r="D2428" s="268">
        <f t="shared" si="2"/>
        <v>2.438095238</v>
      </c>
    </row>
    <row r="2429" ht="13.5" customHeight="1">
      <c r="B2429" s="268">
        <v>9668.0</v>
      </c>
      <c r="C2429" s="268">
        <f t="shared" si="1"/>
        <v>7.746185037</v>
      </c>
      <c r="D2429" s="268">
        <f t="shared" si="2"/>
        <v>2.43954735</v>
      </c>
    </row>
    <row r="2430" ht="13.5" customHeight="1">
      <c r="B2430" s="268">
        <v>9672.0</v>
      </c>
      <c r="C2430" s="268">
        <f t="shared" si="1"/>
        <v>7.75135983</v>
      </c>
      <c r="D2430" s="268">
        <f t="shared" si="2"/>
        <v>2.441001192</v>
      </c>
    </row>
    <row r="2431" ht="13.5" customHeight="1">
      <c r="B2431" s="268">
        <v>9676.0</v>
      </c>
      <c r="C2431" s="268">
        <f t="shared" si="1"/>
        <v>7.756537707</v>
      </c>
      <c r="D2431" s="268">
        <f t="shared" si="2"/>
        <v>2.442456768</v>
      </c>
    </row>
    <row r="2432" ht="13.5" customHeight="1">
      <c r="B2432" s="268">
        <v>9680.0</v>
      </c>
      <c r="C2432" s="268">
        <f t="shared" si="1"/>
        <v>7.761718673</v>
      </c>
      <c r="D2432" s="268">
        <f t="shared" si="2"/>
        <v>2.443914081</v>
      </c>
    </row>
    <row r="2433" ht="13.5" customHeight="1">
      <c r="B2433" s="268">
        <v>9684.0</v>
      </c>
      <c r="C2433" s="268">
        <f t="shared" si="1"/>
        <v>7.766902732</v>
      </c>
      <c r="D2433" s="268">
        <f t="shared" si="2"/>
        <v>2.445373134</v>
      </c>
    </row>
    <row r="2434" ht="13.5" customHeight="1">
      <c r="B2434" s="268">
        <v>9688.0</v>
      </c>
      <c r="C2434" s="268">
        <f t="shared" si="1"/>
        <v>7.772089886</v>
      </c>
      <c r="D2434" s="268">
        <f t="shared" si="2"/>
        <v>2.446833931</v>
      </c>
    </row>
    <row r="2435" ht="13.5" customHeight="1">
      <c r="B2435" s="268">
        <v>9692.0</v>
      </c>
      <c r="C2435" s="268">
        <f t="shared" si="1"/>
        <v>7.77728014</v>
      </c>
      <c r="D2435" s="268">
        <f t="shared" si="2"/>
        <v>2.448296473</v>
      </c>
    </row>
    <row r="2436" ht="13.5" customHeight="1">
      <c r="B2436" s="268">
        <v>9696.0</v>
      </c>
      <c r="C2436" s="268">
        <f t="shared" si="1"/>
        <v>7.782473497</v>
      </c>
      <c r="D2436" s="268">
        <f t="shared" si="2"/>
        <v>2.449760766</v>
      </c>
    </row>
    <row r="2437" ht="13.5" customHeight="1">
      <c r="B2437" s="268">
        <v>9700.0</v>
      </c>
      <c r="C2437" s="268">
        <f t="shared" si="1"/>
        <v>7.787669961</v>
      </c>
      <c r="D2437" s="268">
        <f t="shared" si="2"/>
        <v>2.45122681</v>
      </c>
    </row>
    <row r="2438" ht="13.5" customHeight="1">
      <c r="B2438" s="268">
        <v>9704.0</v>
      </c>
      <c r="C2438" s="268">
        <f t="shared" si="1"/>
        <v>7.792869536</v>
      </c>
      <c r="D2438" s="268">
        <f t="shared" si="2"/>
        <v>2.452694611</v>
      </c>
    </row>
    <row r="2439" ht="13.5" customHeight="1">
      <c r="B2439" s="268">
        <v>9708.0</v>
      </c>
      <c r="C2439" s="268">
        <f t="shared" si="1"/>
        <v>7.798072226</v>
      </c>
      <c r="D2439" s="268">
        <f t="shared" si="2"/>
        <v>2.45416417</v>
      </c>
    </row>
    <row r="2440" ht="13.5" customHeight="1">
      <c r="B2440" s="268">
        <v>9712.0</v>
      </c>
      <c r="C2440" s="268">
        <f t="shared" si="1"/>
        <v>7.803278033</v>
      </c>
      <c r="D2440" s="268">
        <f t="shared" si="2"/>
        <v>2.455635492</v>
      </c>
    </row>
    <row r="2441" ht="13.5" customHeight="1">
      <c r="B2441" s="268">
        <v>9716.0</v>
      </c>
      <c r="C2441" s="268">
        <f t="shared" si="1"/>
        <v>7.808486963</v>
      </c>
      <c r="D2441" s="268">
        <f t="shared" si="2"/>
        <v>2.457108578</v>
      </c>
    </row>
    <row r="2442" ht="13.5" customHeight="1">
      <c r="B2442" s="268">
        <v>9720.0</v>
      </c>
      <c r="C2442" s="268">
        <f t="shared" si="1"/>
        <v>7.813699018</v>
      </c>
      <c r="D2442" s="268">
        <f t="shared" si="2"/>
        <v>2.458583433</v>
      </c>
    </row>
    <row r="2443" ht="13.5" customHeight="1">
      <c r="B2443" s="268">
        <v>9724.0</v>
      </c>
      <c r="C2443" s="268">
        <f t="shared" si="1"/>
        <v>7.818914203</v>
      </c>
      <c r="D2443" s="268">
        <f t="shared" si="2"/>
        <v>2.46006006</v>
      </c>
    </row>
    <row r="2444" ht="13.5" customHeight="1">
      <c r="B2444" s="268">
        <v>9728.0</v>
      </c>
      <c r="C2444" s="268">
        <f t="shared" si="1"/>
        <v>7.82413252</v>
      </c>
      <c r="D2444" s="268">
        <f t="shared" si="2"/>
        <v>2.461538462</v>
      </c>
    </row>
    <row r="2445" ht="13.5" customHeight="1">
      <c r="B2445" s="268">
        <v>9732.0</v>
      </c>
      <c r="C2445" s="268">
        <f t="shared" si="1"/>
        <v>7.829353975</v>
      </c>
      <c r="D2445" s="268">
        <f t="shared" si="2"/>
        <v>2.463018641</v>
      </c>
    </row>
    <row r="2446" ht="13.5" customHeight="1">
      <c r="B2446" s="268">
        <v>9736.0</v>
      </c>
      <c r="C2446" s="268">
        <f t="shared" si="1"/>
        <v>7.83457857</v>
      </c>
      <c r="D2446" s="268">
        <f t="shared" si="2"/>
        <v>2.464500602</v>
      </c>
    </row>
    <row r="2447" ht="13.5" customHeight="1">
      <c r="B2447" s="268">
        <v>9740.0</v>
      </c>
      <c r="C2447" s="268">
        <f t="shared" si="1"/>
        <v>7.83980631</v>
      </c>
      <c r="D2447" s="268">
        <f t="shared" si="2"/>
        <v>2.465984347</v>
      </c>
    </row>
    <row r="2448" ht="13.5" customHeight="1">
      <c r="B2448" s="268">
        <v>9744.0</v>
      </c>
      <c r="C2448" s="268">
        <f t="shared" si="1"/>
        <v>7.845037199</v>
      </c>
      <c r="D2448" s="268">
        <f t="shared" si="2"/>
        <v>2.46746988</v>
      </c>
    </row>
    <row r="2449" ht="13.5" customHeight="1">
      <c r="B2449" s="268">
        <v>9748.0</v>
      </c>
      <c r="C2449" s="268">
        <f t="shared" si="1"/>
        <v>7.850271239</v>
      </c>
      <c r="D2449" s="268">
        <f t="shared" si="2"/>
        <v>2.468957203</v>
      </c>
    </row>
    <row r="2450" ht="13.5" customHeight="1">
      <c r="B2450" s="268">
        <v>9752.0</v>
      </c>
      <c r="C2450" s="268">
        <f t="shared" si="1"/>
        <v>7.855508435</v>
      </c>
      <c r="D2450" s="268">
        <f t="shared" si="2"/>
        <v>2.470446321</v>
      </c>
    </row>
    <row r="2451" ht="13.5" customHeight="1">
      <c r="B2451" s="268">
        <v>9756.0</v>
      </c>
      <c r="C2451" s="268">
        <f t="shared" si="1"/>
        <v>7.860748791</v>
      </c>
      <c r="D2451" s="268">
        <f t="shared" si="2"/>
        <v>2.471937236</v>
      </c>
    </row>
    <row r="2452" ht="13.5" customHeight="1">
      <c r="B2452" s="268">
        <v>9760.0</v>
      </c>
      <c r="C2452" s="268">
        <f t="shared" si="1"/>
        <v>7.86599231</v>
      </c>
      <c r="D2452" s="268">
        <f t="shared" si="2"/>
        <v>2.473429952</v>
      </c>
    </row>
    <row r="2453" ht="13.5" customHeight="1">
      <c r="B2453" s="268">
        <v>9764.0</v>
      </c>
      <c r="C2453" s="268">
        <f t="shared" si="1"/>
        <v>7.871238997</v>
      </c>
      <c r="D2453" s="268">
        <f t="shared" si="2"/>
        <v>2.474924471</v>
      </c>
    </row>
    <row r="2454" ht="13.5" customHeight="1">
      <c r="B2454" s="268">
        <v>9768.0</v>
      </c>
      <c r="C2454" s="268">
        <f t="shared" si="1"/>
        <v>7.876488855</v>
      </c>
      <c r="D2454" s="268">
        <f t="shared" si="2"/>
        <v>2.476420798</v>
      </c>
    </row>
    <row r="2455" ht="13.5" customHeight="1">
      <c r="B2455" s="268">
        <v>9772.0</v>
      </c>
      <c r="C2455" s="268">
        <f t="shared" si="1"/>
        <v>7.881741888</v>
      </c>
      <c r="D2455" s="268">
        <f t="shared" si="2"/>
        <v>2.477918935</v>
      </c>
    </row>
    <row r="2456" ht="13.5" customHeight="1">
      <c r="B2456" s="268">
        <v>9776.0</v>
      </c>
      <c r="C2456" s="268">
        <f t="shared" si="1"/>
        <v>7.8869981</v>
      </c>
      <c r="D2456" s="268">
        <f t="shared" si="2"/>
        <v>2.479418886</v>
      </c>
    </row>
    <row r="2457" ht="13.5" customHeight="1">
      <c r="B2457" s="268">
        <v>9780.0</v>
      </c>
      <c r="C2457" s="268">
        <f t="shared" si="1"/>
        <v>7.892257494</v>
      </c>
      <c r="D2457" s="268">
        <f t="shared" si="2"/>
        <v>2.480920654</v>
      </c>
    </row>
    <row r="2458" ht="13.5" customHeight="1">
      <c r="B2458" s="268">
        <v>9784.0</v>
      </c>
      <c r="C2458" s="268">
        <f t="shared" si="1"/>
        <v>7.897520075</v>
      </c>
      <c r="D2458" s="268">
        <f t="shared" si="2"/>
        <v>2.482424242</v>
      </c>
    </row>
    <row r="2459" ht="13.5" customHeight="1">
      <c r="B2459" s="268">
        <v>9788.0</v>
      </c>
      <c r="C2459" s="268">
        <f t="shared" si="1"/>
        <v>7.902785846</v>
      </c>
      <c r="D2459" s="268">
        <f t="shared" si="2"/>
        <v>2.483929654</v>
      </c>
    </row>
    <row r="2460" ht="13.5" customHeight="1">
      <c r="B2460" s="268">
        <v>9792.0</v>
      </c>
      <c r="C2460" s="268">
        <f t="shared" si="1"/>
        <v>7.908054812</v>
      </c>
      <c r="D2460" s="268">
        <f t="shared" si="2"/>
        <v>2.485436893</v>
      </c>
    </row>
    <row r="2461" ht="13.5" customHeight="1">
      <c r="B2461" s="268">
        <v>9796.0</v>
      </c>
      <c r="C2461" s="268">
        <f t="shared" si="1"/>
        <v>7.913326976</v>
      </c>
      <c r="D2461" s="268">
        <f t="shared" si="2"/>
        <v>2.486945962</v>
      </c>
    </row>
    <row r="2462" ht="13.5" customHeight="1">
      <c r="B2462" s="268">
        <v>9800.0</v>
      </c>
      <c r="C2462" s="268">
        <f t="shared" si="1"/>
        <v>7.918602342</v>
      </c>
      <c r="D2462" s="268">
        <f t="shared" si="2"/>
        <v>2.488456865</v>
      </c>
    </row>
    <row r="2463" ht="13.5" customHeight="1">
      <c r="B2463" s="268">
        <v>9804.0</v>
      </c>
      <c r="C2463" s="268">
        <f t="shared" si="1"/>
        <v>7.923880914</v>
      </c>
      <c r="D2463" s="268">
        <f t="shared" si="2"/>
        <v>2.489969605</v>
      </c>
    </row>
    <row r="2464" ht="13.5" customHeight="1">
      <c r="B2464" s="268">
        <v>9808.0</v>
      </c>
      <c r="C2464" s="268">
        <f t="shared" si="1"/>
        <v>7.929162695</v>
      </c>
      <c r="D2464" s="268">
        <f t="shared" si="2"/>
        <v>2.491484185</v>
      </c>
    </row>
    <row r="2465" ht="13.5" customHeight="1">
      <c r="B2465" s="268">
        <v>9812.0</v>
      </c>
      <c r="C2465" s="268">
        <f t="shared" si="1"/>
        <v>7.934447691</v>
      </c>
      <c r="D2465" s="268">
        <f t="shared" si="2"/>
        <v>2.493000609</v>
      </c>
    </row>
    <row r="2466" ht="13.5" customHeight="1">
      <c r="B2466" s="268">
        <v>9816.0</v>
      </c>
      <c r="C2466" s="268">
        <f t="shared" si="1"/>
        <v>7.939735904</v>
      </c>
      <c r="D2466" s="268">
        <f t="shared" si="2"/>
        <v>2.494518879</v>
      </c>
    </row>
    <row r="2467" ht="13.5" customHeight="1">
      <c r="B2467" s="268">
        <v>9820.0</v>
      </c>
      <c r="C2467" s="268">
        <f t="shared" si="1"/>
        <v>7.945027338</v>
      </c>
      <c r="D2467" s="268">
        <f t="shared" si="2"/>
        <v>2.496039001</v>
      </c>
    </row>
    <row r="2468" ht="13.5" customHeight="1">
      <c r="B2468" s="268">
        <v>9824.0</v>
      </c>
      <c r="C2468" s="268">
        <f t="shared" si="1"/>
        <v>7.950321998</v>
      </c>
      <c r="D2468" s="268">
        <f t="shared" si="2"/>
        <v>2.497560976</v>
      </c>
    </row>
    <row r="2469" ht="13.5" customHeight="1">
      <c r="B2469" s="268">
        <v>9828.0</v>
      </c>
      <c r="C2469" s="268">
        <f t="shared" si="1"/>
        <v>7.955619888</v>
      </c>
      <c r="D2469" s="268">
        <f t="shared" si="2"/>
        <v>2.499084808</v>
      </c>
    </row>
    <row r="2470" ht="13.5" customHeight="1">
      <c r="B2470" s="268">
        <v>9832.0</v>
      </c>
      <c r="C2470" s="268">
        <f t="shared" si="1"/>
        <v>7.960921011</v>
      </c>
      <c r="D2470" s="268">
        <f t="shared" si="2"/>
        <v>2.500610501</v>
      </c>
    </row>
    <row r="2471" ht="13.5" customHeight="1">
      <c r="B2471" s="268">
        <v>9836.0</v>
      </c>
      <c r="C2471" s="268">
        <f t="shared" si="1"/>
        <v>7.966225371</v>
      </c>
      <c r="D2471" s="268">
        <f t="shared" si="2"/>
        <v>2.502138057</v>
      </c>
    </row>
    <row r="2472" ht="13.5" customHeight="1">
      <c r="B2472" s="268">
        <v>9840.0</v>
      </c>
      <c r="C2472" s="268">
        <f t="shared" si="1"/>
        <v>7.971532973</v>
      </c>
      <c r="D2472" s="268">
        <f t="shared" si="2"/>
        <v>2.503667482</v>
      </c>
    </row>
    <row r="2473" ht="13.5" customHeight="1">
      <c r="B2473" s="268">
        <v>9844.0</v>
      </c>
      <c r="C2473" s="268">
        <f t="shared" si="1"/>
        <v>7.976843819</v>
      </c>
      <c r="D2473" s="268">
        <f t="shared" si="2"/>
        <v>2.505198777</v>
      </c>
    </row>
    <row r="2474" ht="13.5" customHeight="1">
      <c r="B2474" s="268">
        <v>9848.0</v>
      </c>
      <c r="C2474" s="268">
        <f t="shared" si="1"/>
        <v>7.982157915</v>
      </c>
      <c r="D2474" s="268">
        <f t="shared" si="2"/>
        <v>2.506731946</v>
      </c>
    </row>
    <row r="2475" ht="13.5" customHeight="1">
      <c r="B2475" s="268">
        <v>9852.0</v>
      </c>
      <c r="C2475" s="268">
        <f t="shared" si="1"/>
        <v>7.987475265</v>
      </c>
      <c r="D2475" s="268">
        <f t="shared" si="2"/>
        <v>2.508266993</v>
      </c>
    </row>
    <row r="2476" ht="13.5" customHeight="1">
      <c r="B2476" s="268">
        <v>9856.0</v>
      </c>
      <c r="C2476" s="268">
        <f t="shared" si="1"/>
        <v>7.992795871</v>
      </c>
      <c r="D2476" s="268">
        <f t="shared" si="2"/>
        <v>2.509803922</v>
      </c>
    </row>
    <row r="2477" ht="13.5" customHeight="1">
      <c r="B2477" s="268">
        <v>9860.0</v>
      </c>
      <c r="C2477" s="268">
        <f t="shared" si="1"/>
        <v>7.998119739</v>
      </c>
      <c r="D2477" s="268">
        <f t="shared" si="2"/>
        <v>2.511342735</v>
      </c>
    </row>
    <row r="2478" ht="13.5" customHeight="1">
      <c r="B2478" s="268">
        <v>9864.0</v>
      </c>
      <c r="C2478" s="268">
        <f t="shared" si="1"/>
        <v>8.003446871</v>
      </c>
      <c r="D2478" s="268">
        <f t="shared" si="2"/>
        <v>2.512883436</v>
      </c>
    </row>
    <row r="2479" ht="13.5" customHeight="1">
      <c r="B2479" s="268">
        <v>9868.0</v>
      </c>
      <c r="C2479" s="268">
        <f t="shared" si="1"/>
        <v>8.008777273</v>
      </c>
      <c r="D2479" s="268">
        <f t="shared" si="2"/>
        <v>2.514426028</v>
      </c>
    </row>
    <row r="2480" ht="13.5" customHeight="1">
      <c r="B2480" s="268">
        <v>9872.0</v>
      </c>
      <c r="C2480" s="268">
        <f t="shared" si="1"/>
        <v>8.014110948</v>
      </c>
      <c r="D2480" s="268">
        <f t="shared" si="2"/>
        <v>2.515970516</v>
      </c>
    </row>
    <row r="2481" ht="13.5" customHeight="1">
      <c r="B2481" s="268">
        <v>9876.0</v>
      </c>
      <c r="C2481" s="268">
        <f t="shared" si="1"/>
        <v>8.019447901</v>
      </c>
      <c r="D2481" s="268">
        <f t="shared" si="2"/>
        <v>2.517516902</v>
      </c>
    </row>
    <row r="2482" ht="13.5" customHeight="1">
      <c r="B2482" s="268">
        <v>9880.0</v>
      </c>
      <c r="C2482" s="268">
        <f t="shared" si="1"/>
        <v>8.024788134</v>
      </c>
      <c r="D2482" s="268">
        <f t="shared" si="2"/>
        <v>2.519065191</v>
      </c>
    </row>
    <row r="2483" ht="13.5" customHeight="1">
      <c r="B2483" s="268">
        <v>9884.0</v>
      </c>
      <c r="C2483" s="268">
        <f t="shared" si="1"/>
        <v>8.030131653</v>
      </c>
      <c r="D2483" s="268">
        <f t="shared" si="2"/>
        <v>2.520615385</v>
      </c>
    </row>
    <row r="2484" ht="13.5" customHeight="1">
      <c r="B2484" s="268">
        <v>9888.0</v>
      </c>
      <c r="C2484" s="268">
        <f t="shared" si="1"/>
        <v>8.035478461</v>
      </c>
      <c r="D2484" s="268">
        <f t="shared" si="2"/>
        <v>2.522167488</v>
      </c>
    </row>
    <row r="2485" ht="13.5" customHeight="1">
      <c r="B2485" s="268">
        <v>9892.0</v>
      </c>
      <c r="C2485" s="268">
        <f t="shared" si="1"/>
        <v>8.040828563</v>
      </c>
      <c r="D2485" s="268">
        <f t="shared" si="2"/>
        <v>2.523721503</v>
      </c>
    </row>
    <row r="2486" ht="13.5" customHeight="1">
      <c r="B2486" s="268">
        <v>9896.0</v>
      </c>
      <c r="C2486" s="268">
        <f t="shared" si="1"/>
        <v>8.046181962</v>
      </c>
      <c r="D2486" s="268">
        <f t="shared" si="2"/>
        <v>2.525277435</v>
      </c>
    </row>
    <row r="2487" ht="13.5" customHeight="1">
      <c r="B2487" s="268">
        <v>9900.0</v>
      </c>
      <c r="C2487" s="268">
        <f t="shared" si="1"/>
        <v>8.051538662</v>
      </c>
      <c r="D2487" s="268">
        <f t="shared" si="2"/>
        <v>2.526835287</v>
      </c>
    </row>
    <row r="2488" ht="13.5" customHeight="1">
      <c r="B2488" s="268">
        <v>9904.0</v>
      </c>
      <c r="C2488" s="268">
        <f t="shared" si="1"/>
        <v>8.056898669</v>
      </c>
      <c r="D2488" s="268">
        <f t="shared" si="2"/>
        <v>2.528395062</v>
      </c>
    </row>
    <row r="2489" ht="13.5" customHeight="1">
      <c r="B2489" s="268">
        <v>9908.0</v>
      </c>
      <c r="C2489" s="268">
        <f t="shared" si="1"/>
        <v>8.062261984</v>
      </c>
      <c r="D2489" s="268">
        <f t="shared" si="2"/>
        <v>2.529956763</v>
      </c>
    </row>
    <row r="2490" ht="13.5" customHeight="1">
      <c r="B2490" s="268">
        <v>9912.0</v>
      </c>
      <c r="C2490" s="268">
        <f t="shared" si="1"/>
        <v>8.067628614</v>
      </c>
      <c r="D2490" s="268">
        <f t="shared" si="2"/>
        <v>2.531520396</v>
      </c>
    </row>
    <row r="2491" ht="13.5" customHeight="1">
      <c r="B2491" s="268">
        <v>9916.0</v>
      </c>
      <c r="C2491" s="268">
        <f t="shared" si="1"/>
        <v>8.072998561</v>
      </c>
      <c r="D2491" s="268">
        <f t="shared" si="2"/>
        <v>2.533085962</v>
      </c>
    </row>
    <row r="2492" ht="13.5" customHeight="1">
      <c r="B2492" s="268">
        <v>9920.0</v>
      </c>
      <c r="C2492" s="268">
        <f t="shared" si="1"/>
        <v>8.078371831</v>
      </c>
      <c r="D2492" s="268">
        <f t="shared" si="2"/>
        <v>2.534653465</v>
      </c>
    </row>
    <row r="2493" ht="13.5" customHeight="1">
      <c r="B2493" s="268">
        <v>9924.0</v>
      </c>
      <c r="C2493" s="268">
        <f t="shared" si="1"/>
        <v>8.083748426</v>
      </c>
      <c r="D2493" s="268">
        <f t="shared" si="2"/>
        <v>2.53622291</v>
      </c>
    </row>
    <row r="2494" ht="13.5" customHeight="1">
      <c r="B2494" s="268">
        <v>9928.0</v>
      </c>
      <c r="C2494" s="268">
        <f t="shared" si="1"/>
        <v>8.089128352</v>
      </c>
      <c r="D2494" s="268">
        <f t="shared" si="2"/>
        <v>2.5377943</v>
      </c>
    </row>
    <row r="2495" ht="13.5" customHeight="1">
      <c r="B2495" s="268">
        <v>9932.0</v>
      </c>
      <c r="C2495" s="268">
        <f t="shared" si="1"/>
        <v>8.094511612</v>
      </c>
      <c r="D2495" s="268">
        <f t="shared" si="2"/>
        <v>2.539367638</v>
      </c>
    </row>
    <row r="2496" ht="13.5" customHeight="1">
      <c r="B2496" s="268">
        <v>9936.0</v>
      </c>
      <c r="C2496" s="268">
        <f t="shared" si="1"/>
        <v>8.09989821</v>
      </c>
      <c r="D2496" s="268">
        <f t="shared" si="2"/>
        <v>2.540942928</v>
      </c>
    </row>
    <row r="2497" ht="13.5" customHeight="1">
      <c r="B2497" s="268">
        <v>9940.0</v>
      </c>
      <c r="C2497" s="268">
        <f t="shared" si="1"/>
        <v>8.105288151</v>
      </c>
      <c r="D2497" s="268">
        <f t="shared" si="2"/>
        <v>2.542520174</v>
      </c>
    </row>
    <row r="2498" ht="13.5" customHeight="1">
      <c r="B2498" s="268">
        <v>9944.0</v>
      </c>
      <c r="C2498" s="268">
        <f t="shared" si="1"/>
        <v>8.110681439</v>
      </c>
      <c r="D2498" s="268">
        <f t="shared" si="2"/>
        <v>2.544099379</v>
      </c>
    </row>
    <row r="2499" ht="13.5" customHeight="1">
      <c r="B2499" s="268">
        <v>9948.0</v>
      </c>
      <c r="C2499" s="268">
        <f t="shared" si="1"/>
        <v>8.116078077</v>
      </c>
      <c r="D2499" s="268">
        <f t="shared" si="2"/>
        <v>2.545680547</v>
      </c>
    </row>
    <row r="2500" ht="13.5" customHeight="1">
      <c r="B2500" s="268">
        <v>9952.0</v>
      </c>
      <c r="C2500" s="268">
        <f t="shared" si="1"/>
        <v>8.121478071</v>
      </c>
      <c r="D2500" s="268">
        <f t="shared" si="2"/>
        <v>2.547263682</v>
      </c>
    </row>
    <row r="2501" ht="13.5" customHeight="1">
      <c r="B2501" s="268">
        <v>9956.0</v>
      </c>
      <c r="C2501" s="268">
        <f t="shared" si="1"/>
        <v>8.126881424</v>
      </c>
      <c r="D2501" s="268">
        <f t="shared" si="2"/>
        <v>2.548848787</v>
      </c>
    </row>
    <row r="2502" ht="13.5" customHeight="1">
      <c r="B2502" s="268">
        <v>9960.0</v>
      </c>
      <c r="C2502" s="268">
        <f t="shared" si="1"/>
        <v>8.132288141</v>
      </c>
      <c r="D2502" s="268">
        <f t="shared" si="2"/>
        <v>2.550435866</v>
      </c>
    </row>
    <row r="2503" ht="13.5" customHeight="1">
      <c r="B2503" s="268">
        <v>9964.0</v>
      </c>
      <c r="C2503" s="268">
        <f t="shared" si="1"/>
        <v>8.137698225</v>
      </c>
      <c r="D2503" s="268">
        <f t="shared" si="2"/>
        <v>2.552024922</v>
      </c>
    </row>
    <row r="2504" ht="13.5" customHeight="1">
      <c r="B2504" s="268">
        <v>9968.0</v>
      </c>
      <c r="C2504" s="268">
        <f t="shared" si="1"/>
        <v>8.14311168</v>
      </c>
      <c r="D2504" s="268">
        <f t="shared" si="2"/>
        <v>2.55361596</v>
      </c>
    </row>
    <row r="2505" ht="13.5" customHeight="1">
      <c r="B2505" s="268">
        <v>9972.0</v>
      </c>
      <c r="C2505" s="268">
        <f t="shared" si="1"/>
        <v>8.148528512</v>
      </c>
      <c r="D2505" s="268">
        <f t="shared" si="2"/>
        <v>2.555208983</v>
      </c>
    </row>
    <row r="2506" ht="13.5" customHeight="1">
      <c r="B2506" s="268">
        <v>9976.0</v>
      </c>
      <c r="C2506" s="268">
        <f t="shared" si="1"/>
        <v>8.153948724</v>
      </c>
      <c r="D2506" s="268">
        <f t="shared" si="2"/>
        <v>2.556803995</v>
      </c>
    </row>
    <row r="2507" ht="13.5" customHeight="1">
      <c r="B2507" s="268">
        <v>9980.0</v>
      </c>
      <c r="C2507" s="268">
        <f t="shared" si="1"/>
        <v>8.159372321</v>
      </c>
      <c r="D2507" s="268">
        <f t="shared" si="2"/>
        <v>2.558400999</v>
      </c>
    </row>
    <row r="2508" ht="13.5" customHeight="1">
      <c r="B2508" s="268">
        <v>9984.0</v>
      </c>
      <c r="C2508" s="268">
        <f t="shared" si="1"/>
        <v>8.164799306</v>
      </c>
      <c r="D2508" s="268">
        <f t="shared" si="2"/>
        <v>2.56</v>
      </c>
    </row>
    <row r="2509" ht="13.5" customHeight="1">
      <c r="B2509" s="268">
        <v>9988.0</v>
      </c>
      <c r="C2509" s="268">
        <f t="shared" si="1"/>
        <v>8.170229684</v>
      </c>
      <c r="D2509" s="268">
        <f t="shared" si="2"/>
        <v>2.561601001</v>
      </c>
    </row>
    <row r="2510" ht="13.5" customHeight="1">
      <c r="B2510" s="268">
        <v>9992.0</v>
      </c>
      <c r="C2510" s="268">
        <f t="shared" si="1"/>
        <v>8.17566346</v>
      </c>
      <c r="D2510" s="268">
        <f t="shared" si="2"/>
        <v>2.563204005</v>
      </c>
    </row>
    <row r="2511" ht="13.5" customHeight="1">
      <c r="B2511" s="268">
        <v>9996.0</v>
      </c>
      <c r="C2511" s="268">
        <f t="shared" si="1"/>
        <v>8.181100637</v>
      </c>
      <c r="D2511" s="268">
        <f t="shared" si="2"/>
        <v>2.564809017</v>
      </c>
    </row>
    <row r="2512" ht="13.5" customHeight="1">
      <c r="B2512" s="268">
        <v>10000.0</v>
      </c>
      <c r="C2512" s="268">
        <f t="shared" si="1"/>
        <v>8.186541219</v>
      </c>
      <c r="D2512" s="268">
        <f t="shared" si="2"/>
        <v>2.56641604</v>
      </c>
    </row>
    <row r="2513" ht="13.5" customHeight="1">
      <c r="B2513" s="268">
        <v>10004.0</v>
      </c>
      <c r="C2513" s="268">
        <f t="shared" si="1"/>
        <v>8.191985211</v>
      </c>
      <c r="D2513" s="268">
        <f t="shared" si="2"/>
        <v>2.568025078</v>
      </c>
    </row>
    <row r="2514" ht="13.5" customHeight="1">
      <c r="B2514" s="268">
        <v>10008.0</v>
      </c>
      <c r="C2514" s="268">
        <f t="shared" si="1"/>
        <v>8.197432618</v>
      </c>
      <c r="D2514" s="268">
        <f t="shared" si="2"/>
        <v>2.569636136</v>
      </c>
    </row>
    <row r="2515" ht="13.5" customHeight="1">
      <c r="B2515" s="268">
        <v>10012.0</v>
      </c>
      <c r="C2515" s="268">
        <f t="shared" si="1"/>
        <v>8.202883443</v>
      </c>
      <c r="D2515" s="268">
        <f t="shared" si="2"/>
        <v>2.571249215</v>
      </c>
    </row>
    <row r="2516" ht="13.5" customHeight="1">
      <c r="B2516" s="268">
        <v>10016.0</v>
      </c>
      <c r="C2516" s="268">
        <f t="shared" si="1"/>
        <v>8.208337691</v>
      </c>
      <c r="D2516" s="268">
        <f t="shared" si="2"/>
        <v>2.572864322</v>
      </c>
    </row>
    <row r="2517" ht="13.5" customHeight="1">
      <c r="B2517" s="268">
        <v>10020.0</v>
      </c>
      <c r="C2517" s="268">
        <f t="shared" si="1"/>
        <v>8.213795366</v>
      </c>
      <c r="D2517" s="268">
        <f t="shared" si="2"/>
        <v>2.574481458</v>
      </c>
    </row>
    <row r="2518" ht="13.5" customHeight="1">
      <c r="B2518" s="268">
        <v>10024.0</v>
      </c>
      <c r="C2518" s="268">
        <f t="shared" si="1"/>
        <v>8.219256473</v>
      </c>
      <c r="D2518" s="268">
        <f t="shared" si="2"/>
        <v>2.576100629</v>
      </c>
    </row>
    <row r="2519" ht="13.5" customHeight="1">
      <c r="B2519" s="268">
        <v>10028.0</v>
      </c>
      <c r="C2519" s="268">
        <f t="shared" si="1"/>
        <v>8.224721015</v>
      </c>
      <c r="D2519" s="268">
        <f t="shared" si="2"/>
        <v>2.577721838</v>
      </c>
    </row>
    <row r="2520" ht="13.5" customHeight="1">
      <c r="B2520" s="268">
        <v>10032.0</v>
      </c>
      <c r="C2520" s="268">
        <f t="shared" si="1"/>
        <v>8.230188998</v>
      </c>
      <c r="D2520" s="268">
        <f t="shared" si="2"/>
        <v>2.579345088</v>
      </c>
    </row>
    <row r="2521" ht="13.5" customHeight="1">
      <c r="B2521" s="268">
        <v>10036.0</v>
      </c>
      <c r="C2521" s="268">
        <f t="shared" si="1"/>
        <v>8.235660424</v>
      </c>
      <c r="D2521" s="268">
        <f t="shared" si="2"/>
        <v>2.580970384</v>
      </c>
    </row>
    <row r="2522" ht="13.5" customHeight="1">
      <c r="B2522" s="268">
        <v>10040.0</v>
      </c>
      <c r="C2522" s="268">
        <f t="shared" si="1"/>
        <v>8.2411353</v>
      </c>
      <c r="D2522" s="268">
        <f t="shared" si="2"/>
        <v>2.58259773</v>
      </c>
    </row>
    <row r="2523" ht="13.5" customHeight="1">
      <c r="B2523" s="268">
        <v>10044.0</v>
      </c>
      <c r="C2523" s="268">
        <f t="shared" si="1"/>
        <v>8.246613628</v>
      </c>
      <c r="D2523" s="268">
        <f t="shared" si="2"/>
        <v>2.584227129</v>
      </c>
    </row>
    <row r="2524" ht="13.5" customHeight="1">
      <c r="B2524" s="268">
        <v>10048.0</v>
      </c>
      <c r="C2524" s="268">
        <f t="shared" si="1"/>
        <v>8.252095414</v>
      </c>
      <c r="D2524" s="268">
        <f t="shared" si="2"/>
        <v>2.585858586</v>
      </c>
    </row>
    <row r="2525" ht="13.5" customHeight="1">
      <c r="B2525" s="268">
        <v>10052.0</v>
      </c>
      <c r="C2525" s="268">
        <f t="shared" si="1"/>
        <v>8.257580662</v>
      </c>
      <c r="D2525" s="268">
        <f t="shared" si="2"/>
        <v>2.587492104</v>
      </c>
    </row>
    <row r="2526" ht="13.5" customHeight="1">
      <c r="B2526" s="268">
        <v>10056.0</v>
      </c>
      <c r="C2526" s="268">
        <f t="shared" si="1"/>
        <v>8.263069376</v>
      </c>
      <c r="D2526" s="268">
        <f t="shared" si="2"/>
        <v>2.589127686</v>
      </c>
    </row>
    <row r="2527" ht="13.5" customHeight="1">
      <c r="B2527" s="268">
        <v>10060.0</v>
      </c>
      <c r="C2527" s="268">
        <f t="shared" si="1"/>
        <v>8.268561561</v>
      </c>
      <c r="D2527" s="268">
        <f t="shared" si="2"/>
        <v>2.590765338</v>
      </c>
    </row>
    <row r="2528" ht="13.5" customHeight="1">
      <c r="B2528" s="268">
        <v>10064.0</v>
      </c>
      <c r="C2528" s="268">
        <f t="shared" si="1"/>
        <v>8.27405722</v>
      </c>
      <c r="D2528" s="268">
        <f t="shared" si="2"/>
        <v>2.592405063</v>
      </c>
    </row>
    <row r="2529" ht="13.5" customHeight="1">
      <c r="B2529" s="268">
        <v>10068.0</v>
      </c>
      <c r="C2529" s="268">
        <f t="shared" si="1"/>
        <v>8.279556359</v>
      </c>
      <c r="D2529" s="268">
        <f t="shared" si="2"/>
        <v>2.594046865</v>
      </c>
    </row>
    <row r="2530" ht="13.5" customHeight="1">
      <c r="B2530" s="268">
        <v>10072.0</v>
      </c>
      <c r="C2530" s="268">
        <f t="shared" si="1"/>
        <v>8.285058982</v>
      </c>
      <c r="D2530" s="268">
        <f t="shared" si="2"/>
        <v>2.595690748</v>
      </c>
    </row>
    <row r="2531" ht="13.5" customHeight="1">
      <c r="B2531" s="268">
        <v>10076.0</v>
      </c>
      <c r="C2531" s="268">
        <f t="shared" si="1"/>
        <v>8.290565093</v>
      </c>
      <c r="D2531" s="268">
        <f t="shared" si="2"/>
        <v>2.597336715</v>
      </c>
    </row>
    <row r="2532" ht="13.5" customHeight="1">
      <c r="B2532" s="268">
        <v>10080.0</v>
      </c>
      <c r="C2532" s="268">
        <f t="shared" si="1"/>
        <v>8.296074696</v>
      </c>
      <c r="D2532" s="268">
        <f t="shared" si="2"/>
        <v>2.598984772</v>
      </c>
    </row>
    <row r="2533" ht="13.5" customHeight="1">
      <c r="B2533" s="268">
        <v>10084.0</v>
      </c>
      <c r="C2533" s="268">
        <f t="shared" si="1"/>
        <v>8.301587797</v>
      </c>
      <c r="D2533" s="268">
        <f t="shared" si="2"/>
        <v>2.600634921</v>
      </c>
    </row>
    <row r="2534" ht="13.5" customHeight="1">
      <c r="B2534" s="268">
        <v>10088.0</v>
      </c>
      <c r="C2534" s="268">
        <f t="shared" si="1"/>
        <v>8.307104399</v>
      </c>
      <c r="D2534" s="268">
        <f t="shared" si="2"/>
        <v>2.602287166</v>
      </c>
    </row>
    <row r="2535" ht="13.5" customHeight="1">
      <c r="B2535" s="268">
        <v>10092.0</v>
      </c>
      <c r="C2535" s="268">
        <f t="shared" si="1"/>
        <v>8.312624507</v>
      </c>
      <c r="D2535" s="268">
        <f t="shared" si="2"/>
        <v>2.603941513</v>
      </c>
    </row>
    <row r="2536" ht="13.5" customHeight="1">
      <c r="B2536" s="268">
        <v>10096.0</v>
      </c>
      <c r="C2536" s="268">
        <f t="shared" si="1"/>
        <v>8.318148125</v>
      </c>
      <c r="D2536" s="268">
        <f t="shared" si="2"/>
        <v>2.605597964</v>
      </c>
    </row>
    <row r="2537" ht="13.5" customHeight="1">
      <c r="B2537" s="268">
        <v>10100.0</v>
      </c>
      <c r="C2537" s="268">
        <f t="shared" si="1"/>
        <v>8.323675259</v>
      </c>
      <c r="D2537" s="268">
        <f t="shared" si="2"/>
        <v>2.607256525</v>
      </c>
    </row>
    <row r="2538" ht="13.5" customHeight="1">
      <c r="B2538" s="268">
        <v>10104.0</v>
      </c>
      <c r="C2538" s="268">
        <f t="shared" si="1"/>
        <v>8.329205911</v>
      </c>
      <c r="D2538" s="268">
        <f t="shared" si="2"/>
        <v>2.608917197</v>
      </c>
    </row>
    <row r="2539" ht="13.5" customHeight="1">
      <c r="B2539" s="268">
        <v>10108.0</v>
      </c>
      <c r="C2539" s="268">
        <f t="shared" si="1"/>
        <v>8.334740088</v>
      </c>
      <c r="D2539" s="268">
        <f t="shared" si="2"/>
        <v>2.610579987</v>
      </c>
    </row>
    <row r="2540" ht="13.5" customHeight="1">
      <c r="B2540" s="268">
        <v>10112.0</v>
      </c>
      <c r="C2540" s="268">
        <f t="shared" si="1"/>
        <v>8.340277792</v>
      </c>
      <c r="D2540" s="268">
        <f t="shared" si="2"/>
        <v>2.612244898</v>
      </c>
    </row>
    <row r="2541" ht="13.5" customHeight="1">
      <c r="B2541" s="268">
        <v>10116.0</v>
      </c>
      <c r="C2541" s="268">
        <f t="shared" si="1"/>
        <v>8.34581903</v>
      </c>
      <c r="D2541" s="268">
        <f t="shared" si="2"/>
        <v>2.613911934</v>
      </c>
    </row>
    <row r="2542" ht="13.5" customHeight="1">
      <c r="B2542" s="268">
        <v>10120.0</v>
      </c>
      <c r="C2542" s="268">
        <f t="shared" si="1"/>
        <v>8.351363805</v>
      </c>
      <c r="D2542" s="268">
        <f t="shared" si="2"/>
        <v>2.615581098</v>
      </c>
    </row>
    <row r="2543" ht="13.5" customHeight="1">
      <c r="B2543" s="268">
        <v>10124.0</v>
      </c>
      <c r="C2543" s="268">
        <f t="shared" si="1"/>
        <v>8.356912122</v>
      </c>
      <c r="D2543" s="268">
        <f t="shared" si="2"/>
        <v>2.617252396</v>
      </c>
    </row>
    <row r="2544" ht="13.5" customHeight="1">
      <c r="B2544" s="268">
        <v>10128.0</v>
      </c>
      <c r="C2544" s="268">
        <f t="shared" si="1"/>
        <v>8.362463985</v>
      </c>
      <c r="D2544" s="268">
        <f t="shared" si="2"/>
        <v>2.618925831</v>
      </c>
    </row>
    <row r="2545" ht="13.5" customHeight="1">
      <c r="B2545" s="268">
        <v>10132.0</v>
      </c>
      <c r="C2545" s="268">
        <f t="shared" si="1"/>
        <v>8.368019399</v>
      </c>
      <c r="D2545" s="268">
        <f t="shared" si="2"/>
        <v>2.620601408</v>
      </c>
    </row>
    <row r="2546" ht="13.5" customHeight="1">
      <c r="B2546" s="268">
        <v>10136.0</v>
      </c>
      <c r="C2546" s="268">
        <f t="shared" si="1"/>
        <v>8.373578369</v>
      </c>
      <c r="D2546" s="268">
        <f t="shared" si="2"/>
        <v>2.622279129</v>
      </c>
    </row>
    <row r="2547" ht="13.5" customHeight="1">
      <c r="B2547" s="268">
        <v>10140.0</v>
      </c>
      <c r="C2547" s="268">
        <f t="shared" si="1"/>
        <v>8.379140898</v>
      </c>
      <c r="D2547" s="268">
        <f t="shared" si="2"/>
        <v>2.623959001</v>
      </c>
    </row>
    <row r="2548" ht="13.5" customHeight="1">
      <c r="B2548" s="268">
        <v>10144.0</v>
      </c>
      <c r="C2548" s="268">
        <f t="shared" si="1"/>
        <v>8.384706992</v>
      </c>
      <c r="D2548" s="268">
        <f t="shared" si="2"/>
        <v>2.625641026</v>
      </c>
    </row>
    <row r="2549" ht="13.5" customHeight="1">
      <c r="B2549" s="268">
        <v>10148.0</v>
      </c>
      <c r="C2549" s="268">
        <f t="shared" si="1"/>
        <v>8.390276656</v>
      </c>
      <c r="D2549" s="268">
        <f t="shared" si="2"/>
        <v>2.627325208</v>
      </c>
    </row>
    <row r="2550" ht="13.5" customHeight="1">
      <c r="B2550" s="268">
        <v>10152.0</v>
      </c>
      <c r="C2550" s="268">
        <f t="shared" si="1"/>
        <v>8.395849893</v>
      </c>
      <c r="D2550" s="268">
        <f t="shared" si="2"/>
        <v>2.629011553</v>
      </c>
    </row>
    <row r="2551" ht="13.5" customHeight="1">
      <c r="B2551" s="268">
        <v>10156.0</v>
      </c>
      <c r="C2551" s="268">
        <f t="shared" si="1"/>
        <v>8.401426708</v>
      </c>
      <c r="D2551" s="268">
        <f t="shared" si="2"/>
        <v>2.630700064</v>
      </c>
    </row>
    <row r="2552" ht="13.5" customHeight="1">
      <c r="B2552" s="268">
        <v>10160.0</v>
      </c>
      <c r="C2552" s="268">
        <f t="shared" si="1"/>
        <v>8.407007106</v>
      </c>
      <c r="D2552" s="268">
        <f t="shared" si="2"/>
        <v>2.632390746</v>
      </c>
    </row>
    <row r="2553" ht="13.5" customHeight="1">
      <c r="B2553" s="268">
        <v>10164.0</v>
      </c>
      <c r="C2553" s="268">
        <f t="shared" si="1"/>
        <v>8.412591092</v>
      </c>
      <c r="D2553" s="268">
        <f t="shared" si="2"/>
        <v>2.634083601</v>
      </c>
    </row>
    <row r="2554" ht="13.5" customHeight="1">
      <c r="B2554" s="268">
        <v>10168.0</v>
      </c>
      <c r="C2554" s="268">
        <f t="shared" si="1"/>
        <v>8.41817867</v>
      </c>
      <c r="D2554" s="268">
        <f t="shared" si="2"/>
        <v>2.635778636</v>
      </c>
    </row>
    <row r="2555" ht="13.5" customHeight="1">
      <c r="B2555" s="268">
        <v>10172.0</v>
      </c>
      <c r="C2555" s="268">
        <f t="shared" si="1"/>
        <v>8.423769845</v>
      </c>
      <c r="D2555" s="268">
        <f t="shared" si="2"/>
        <v>2.637475853</v>
      </c>
    </row>
    <row r="2556" ht="13.5" customHeight="1">
      <c r="B2556" s="268">
        <v>10176.0</v>
      </c>
      <c r="C2556" s="268">
        <f t="shared" si="1"/>
        <v>8.429364621</v>
      </c>
      <c r="D2556" s="268">
        <f t="shared" si="2"/>
        <v>2.639175258</v>
      </c>
    </row>
    <row r="2557" ht="13.5" customHeight="1">
      <c r="B2557" s="268">
        <v>10180.0</v>
      </c>
      <c r="C2557" s="268">
        <f t="shared" si="1"/>
        <v>8.434963003</v>
      </c>
      <c r="D2557" s="268">
        <f t="shared" si="2"/>
        <v>2.640876854</v>
      </c>
    </row>
    <row r="2558" ht="13.5" customHeight="1">
      <c r="B2558" s="268">
        <v>10184.0</v>
      </c>
      <c r="C2558" s="268">
        <f t="shared" si="1"/>
        <v>8.440564996</v>
      </c>
      <c r="D2558" s="268">
        <f t="shared" si="2"/>
        <v>2.642580645</v>
      </c>
    </row>
    <row r="2559" ht="13.5" customHeight="1">
      <c r="B2559" s="268">
        <v>10188.0</v>
      </c>
      <c r="C2559" s="268">
        <f t="shared" si="1"/>
        <v>8.446170604</v>
      </c>
      <c r="D2559" s="268">
        <f t="shared" si="2"/>
        <v>2.644286637</v>
      </c>
    </row>
    <row r="2560" ht="13.5" customHeight="1">
      <c r="B2560" s="268">
        <v>10192.0</v>
      </c>
      <c r="C2560" s="268">
        <f t="shared" si="1"/>
        <v>8.451779832</v>
      </c>
      <c r="D2560" s="268">
        <f t="shared" si="2"/>
        <v>2.645994832</v>
      </c>
    </row>
    <row r="2561" ht="13.5" customHeight="1">
      <c r="B2561" s="268">
        <v>10196.0</v>
      </c>
      <c r="C2561" s="268">
        <f t="shared" si="1"/>
        <v>8.457392685</v>
      </c>
      <c r="D2561" s="268">
        <f t="shared" si="2"/>
        <v>2.647705236</v>
      </c>
    </row>
    <row r="2562" ht="13.5" customHeight="1">
      <c r="B2562" s="268">
        <v>10200.0</v>
      </c>
      <c r="C2562" s="268">
        <f t="shared" si="1"/>
        <v>8.463009168</v>
      </c>
      <c r="D2562" s="268">
        <f t="shared" si="2"/>
        <v>2.649417853</v>
      </c>
    </row>
    <row r="2563" ht="13.5" customHeight="1">
      <c r="B2563" s="268">
        <v>10204.0</v>
      </c>
      <c r="C2563" s="268">
        <f t="shared" si="1"/>
        <v>8.468629284</v>
      </c>
      <c r="D2563" s="268">
        <f t="shared" si="2"/>
        <v>2.651132686</v>
      </c>
    </row>
    <row r="2564" ht="13.5" customHeight="1">
      <c r="B2564" s="268">
        <v>10208.0</v>
      </c>
      <c r="C2564" s="268">
        <f t="shared" si="1"/>
        <v>8.474253039</v>
      </c>
      <c r="D2564" s="268">
        <f t="shared" si="2"/>
        <v>2.652849741</v>
      </c>
    </row>
    <row r="2565" ht="13.5" customHeight="1">
      <c r="B2565" s="268">
        <v>10212.0</v>
      </c>
      <c r="C2565" s="268">
        <f t="shared" si="1"/>
        <v>8.479880438</v>
      </c>
      <c r="D2565" s="268">
        <f t="shared" si="2"/>
        <v>2.654569021</v>
      </c>
    </row>
    <row r="2566" ht="13.5" customHeight="1">
      <c r="B2566" s="268">
        <v>10216.0</v>
      </c>
      <c r="C2566" s="268">
        <f t="shared" si="1"/>
        <v>8.485511485</v>
      </c>
      <c r="D2566" s="268">
        <f t="shared" si="2"/>
        <v>2.656290532</v>
      </c>
    </row>
    <row r="2567" ht="13.5" customHeight="1">
      <c r="B2567" s="268">
        <v>10220.0</v>
      </c>
      <c r="C2567" s="268">
        <f t="shared" si="1"/>
        <v>8.491146185</v>
      </c>
      <c r="D2567" s="268">
        <f t="shared" si="2"/>
        <v>2.658014276</v>
      </c>
    </row>
    <row r="2568" ht="13.5" customHeight="1">
      <c r="B2568" s="268">
        <v>10224.0</v>
      </c>
      <c r="C2568" s="268">
        <f t="shared" si="1"/>
        <v>8.496784543</v>
      </c>
      <c r="D2568" s="268">
        <f t="shared" si="2"/>
        <v>2.65974026</v>
      </c>
    </row>
    <row r="2569" ht="13.5" customHeight="1">
      <c r="B2569" s="268">
        <v>10228.0</v>
      </c>
      <c r="C2569" s="268">
        <f t="shared" si="1"/>
        <v>8.502426563</v>
      </c>
      <c r="D2569" s="268">
        <f t="shared" si="2"/>
        <v>2.661468486</v>
      </c>
    </row>
    <row r="2570" ht="13.5" customHeight="1">
      <c r="B2570" s="268">
        <v>10232.0</v>
      </c>
      <c r="C2570" s="268">
        <f t="shared" si="1"/>
        <v>8.50807225</v>
      </c>
      <c r="D2570" s="268">
        <f t="shared" si="2"/>
        <v>2.66319896</v>
      </c>
    </row>
    <row r="2571" ht="13.5" customHeight="1">
      <c r="B2571" s="268">
        <v>10236.0</v>
      </c>
      <c r="C2571" s="268">
        <f t="shared" si="1"/>
        <v>8.513721609</v>
      </c>
      <c r="D2571" s="268">
        <f t="shared" si="2"/>
        <v>2.664931685</v>
      </c>
    </row>
    <row r="2572" ht="13.5" customHeight="1">
      <c r="B2572" s="268">
        <v>10240.0</v>
      </c>
      <c r="C2572" s="268">
        <f t="shared" si="1"/>
        <v>8.519374645</v>
      </c>
      <c r="D2572" s="268">
        <f t="shared" si="2"/>
        <v>2.666666667</v>
      </c>
    </row>
    <row r="2573" ht="13.5" customHeight="1">
      <c r="B2573" s="268">
        <v>10244.0</v>
      </c>
      <c r="C2573" s="268">
        <f t="shared" si="1"/>
        <v>8.525031363</v>
      </c>
      <c r="D2573" s="268">
        <f t="shared" si="2"/>
        <v>2.668403909</v>
      </c>
    </row>
    <row r="2574" ht="13.5" customHeight="1">
      <c r="B2574" s="268">
        <v>10248.0</v>
      </c>
      <c r="C2574" s="268">
        <f t="shared" si="1"/>
        <v>8.530691767</v>
      </c>
      <c r="D2574" s="268">
        <f t="shared" si="2"/>
        <v>2.670143416</v>
      </c>
    </row>
    <row r="2575" ht="13.5" customHeight="1">
      <c r="B2575" s="268">
        <v>10252.0</v>
      </c>
      <c r="C2575" s="268">
        <f t="shared" si="1"/>
        <v>8.536355862</v>
      </c>
      <c r="D2575" s="268">
        <f t="shared" si="2"/>
        <v>2.671885192</v>
      </c>
    </row>
    <row r="2576" ht="13.5" customHeight="1">
      <c r="B2576" s="268">
        <v>10256.0</v>
      </c>
      <c r="C2576" s="268">
        <f t="shared" si="1"/>
        <v>8.542023653</v>
      </c>
      <c r="D2576" s="268">
        <f t="shared" si="2"/>
        <v>2.673629243</v>
      </c>
    </row>
    <row r="2577" ht="13.5" customHeight="1">
      <c r="B2577" s="268">
        <v>10260.0</v>
      </c>
      <c r="C2577" s="268">
        <f t="shared" si="1"/>
        <v>8.547695145</v>
      </c>
      <c r="D2577" s="268">
        <f t="shared" si="2"/>
        <v>2.675375572</v>
      </c>
    </row>
    <row r="2578" ht="13.5" customHeight="1">
      <c r="B2578" s="268">
        <v>10264.0</v>
      </c>
      <c r="C2578" s="268">
        <f t="shared" si="1"/>
        <v>8.553370343</v>
      </c>
      <c r="D2578" s="268">
        <f t="shared" si="2"/>
        <v>2.677124183</v>
      </c>
    </row>
    <row r="2579" ht="13.5" customHeight="1">
      <c r="B2579" s="268">
        <v>10268.0</v>
      </c>
      <c r="C2579" s="268">
        <f t="shared" si="1"/>
        <v>8.559049251</v>
      </c>
      <c r="D2579" s="268">
        <f t="shared" si="2"/>
        <v>2.678875082</v>
      </c>
    </row>
    <row r="2580" ht="13.5" customHeight="1">
      <c r="B2580" s="268">
        <v>10272.0</v>
      </c>
      <c r="C2580" s="268">
        <f t="shared" si="1"/>
        <v>8.564731875</v>
      </c>
      <c r="D2580" s="268">
        <f t="shared" si="2"/>
        <v>2.680628272</v>
      </c>
    </row>
    <row r="2581" ht="13.5" customHeight="1">
      <c r="B2581" s="268">
        <v>10276.0</v>
      </c>
      <c r="C2581" s="268">
        <f t="shared" si="1"/>
        <v>8.570418218</v>
      </c>
      <c r="D2581" s="268">
        <f t="shared" si="2"/>
        <v>2.682383759</v>
      </c>
    </row>
    <row r="2582" ht="13.5" customHeight="1">
      <c r="B2582" s="268">
        <v>10280.0</v>
      </c>
      <c r="C2582" s="268">
        <f t="shared" si="1"/>
        <v>8.576108287</v>
      </c>
      <c r="D2582" s="268">
        <f t="shared" si="2"/>
        <v>2.684141547</v>
      </c>
    </row>
    <row r="2583" ht="13.5" customHeight="1">
      <c r="B2583" s="268">
        <v>10284.0</v>
      </c>
      <c r="C2583" s="268">
        <f t="shared" si="1"/>
        <v>8.581802086</v>
      </c>
      <c r="D2583" s="268">
        <f t="shared" si="2"/>
        <v>2.685901639</v>
      </c>
    </row>
    <row r="2584" ht="13.5" customHeight="1">
      <c r="B2584" s="268">
        <v>10288.0</v>
      </c>
      <c r="C2584" s="268">
        <f t="shared" si="1"/>
        <v>8.587499619</v>
      </c>
      <c r="D2584" s="268">
        <f t="shared" si="2"/>
        <v>2.687664042</v>
      </c>
    </row>
    <row r="2585" ht="13.5" customHeight="1">
      <c r="B2585" s="268">
        <v>10292.0</v>
      </c>
      <c r="C2585" s="268">
        <f t="shared" si="1"/>
        <v>8.593200893</v>
      </c>
      <c r="D2585" s="268">
        <f t="shared" si="2"/>
        <v>2.689428759</v>
      </c>
    </row>
    <row r="2586" ht="13.5" customHeight="1">
      <c r="B2586" s="268">
        <v>10296.0</v>
      </c>
      <c r="C2586" s="268">
        <f t="shared" si="1"/>
        <v>8.598905911</v>
      </c>
      <c r="D2586" s="268">
        <f t="shared" si="2"/>
        <v>2.691195795</v>
      </c>
    </row>
    <row r="2587" ht="13.5" customHeight="1">
      <c r="B2587" s="268">
        <v>10300.0</v>
      </c>
      <c r="C2587" s="268">
        <f t="shared" si="1"/>
        <v>8.604614678</v>
      </c>
      <c r="D2587" s="268">
        <f t="shared" si="2"/>
        <v>2.692965155</v>
      </c>
    </row>
    <row r="2588" ht="13.5" customHeight="1">
      <c r="B2588" s="268">
        <v>10304.0</v>
      </c>
      <c r="C2588" s="268">
        <f t="shared" si="1"/>
        <v>8.6103272</v>
      </c>
      <c r="D2588" s="268">
        <f t="shared" si="2"/>
        <v>2.694736842</v>
      </c>
    </row>
    <row r="2589" ht="13.5" customHeight="1">
      <c r="B2589" s="268">
        <v>10308.0</v>
      </c>
      <c r="C2589" s="268">
        <f t="shared" si="1"/>
        <v>8.616043482</v>
      </c>
      <c r="D2589" s="268">
        <f t="shared" si="2"/>
        <v>2.696510862</v>
      </c>
    </row>
    <row r="2590" ht="13.5" customHeight="1">
      <c r="B2590" s="268">
        <v>10312.0</v>
      </c>
      <c r="C2590" s="268">
        <f t="shared" si="1"/>
        <v>8.621763528</v>
      </c>
      <c r="D2590" s="268">
        <f t="shared" si="2"/>
        <v>2.69828722</v>
      </c>
    </row>
    <row r="2591" ht="13.5" customHeight="1">
      <c r="B2591" s="268">
        <v>10316.0</v>
      </c>
      <c r="C2591" s="268">
        <f t="shared" si="1"/>
        <v>8.627487344</v>
      </c>
      <c r="D2591" s="268">
        <f t="shared" si="2"/>
        <v>2.70006592</v>
      </c>
    </row>
    <row r="2592" ht="13.5" customHeight="1">
      <c r="B2592" s="268">
        <v>10320.0</v>
      </c>
      <c r="C2592" s="268">
        <f t="shared" si="1"/>
        <v>8.633214933</v>
      </c>
      <c r="D2592" s="268">
        <f t="shared" si="2"/>
        <v>2.701846966</v>
      </c>
    </row>
    <row r="2593" ht="13.5" customHeight="1">
      <c r="B2593" s="268">
        <v>10324.0</v>
      </c>
      <c r="C2593" s="268">
        <f t="shared" si="1"/>
        <v>8.638946303</v>
      </c>
      <c r="D2593" s="268">
        <f t="shared" si="2"/>
        <v>2.703630363</v>
      </c>
    </row>
    <row r="2594" ht="13.5" customHeight="1">
      <c r="B2594" s="268">
        <v>10328.0</v>
      </c>
      <c r="C2594" s="268">
        <f t="shared" si="1"/>
        <v>8.644681456</v>
      </c>
      <c r="D2594" s="268">
        <f t="shared" si="2"/>
        <v>2.705416116</v>
      </c>
    </row>
    <row r="2595" ht="13.5" customHeight="1">
      <c r="B2595" s="268">
        <v>10332.0</v>
      </c>
      <c r="C2595" s="268">
        <f t="shared" si="1"/>
        <v>8.650420399</v>
      </c>
      <c r="D2595" s="268">
        <f t="shared" si="2"/>
        <v>2.70720423</v>
      </c>
    </row>
    <row r="2596" ht="13.5" customHeight="1">
      <c r="B2596" s="268">
        <v>10336.0</v>
      </c>
      <c r="C2596" s="268">
        <f t="shared" si="1"/>
        <v>8.656163136</v>
      </c>
      <c r="D2596" s="268">
        <f t="shared" si="2"/>
        <v>2.708994709</v>
      </c>
    </row>
    <row r="2597" ht="13.5" customHeight="1">
      <c r="B2597" s="268">
        <v>10340.0</v>
      </c>
      <c r="C2597" s="268">
        <f t="shared" si="1"/>
        <v>8.661909673</v>
      </c>
      <c r="D2597" s="268">
        <f t="shared" si="2"/>
        <v>2.710787558</v>
      </c>
    </row>
    <row r="2598" ht="13.5" customHeight="1">
      <c r="B2598" s="268">
        <v>10344.0</v>
      </c>
      <c r="C2598" s="268">
        <f t="shared" si="1"/>
        <v>8.667660013</v>
      </c>
      <c r="D2598" s="268">
        <f t="shared" si="2"/>
        <v>2.712582781</v>
      </c>
    </row>
    <row r="2599" ht="13.5" customHeight="1">
      <c r="B2599" s="268">
        <v>10348.0</v>
      </c>
      <c r="C2599" s="268">
        <f t="shared" si="1"/>
        <v>8.673414164</v>
      </c>
      <c r="D2599" s="268">
        <f t="shared" si="2"/>
        <v>2.714380384</v>
      </c>
    </row>
    <row r="2600" ht="13.5" customHeight="1">
      <c r="B2600" s="268">
        <v>10352.0</v>
      </c>
      <c r="C2600" s="268">
        <f t="shared" si="1"/>
        <v>8.679172129</v>
      </c>
      <c r="D2600" s="268">
        <f t="shared" si="2"/>
        <v>2.716180371</v>
      </c>
    </row>
    <row r="2601" ht="13.5" customHeight="1">
      <c r="B2601" s="268">
        <v>10356.0</v>
      </c>
      <c r="C2601" s="268">
        <f t="shared" si="1"/>
        <v>8.684933913</v>
      </c>
      <c r="D2601" s="268">
        <f t="shared" si="2"/>
        <v>2.717982747</v>
      </c>
    </row>
    <row r="2602" ht="13.5" customHeight="1">
      <c r="B2602" s="268">
        <v>10360.0</v>
      </c>
      <c r="C2602" s="268">
        <f t="shared" si="1"/>
        <v>8.690699522</v>
      </c>
      <c r="D2602" s="268">
        <f t="shared" si="2"/>
        <v>2.719787517</v>
      </c>
    </row>
    <row r="2603" ht="13.5" customHeight="1">
      <c r="B2603" s="268">
        <v>10364.0</v>
      </c>
      <c r="C2603" s="268">
        <f t="shared" si="1"/>
        <v>8.696468961</v>
      </c>
      <c r="D2603" s="268">
        <f t="shared" si="2"/>
        <v>2.721594684</v>
      </c>
    </row>
    <row r="2604" ht="13.5" customHeight="1">
      <c r="B2604" s="268">
        <v>10368.0</v>
      </c>
      <c r="C2604" s="268">
        <f t="shared" si="1"/>
        <v>8.702242234</v>
      </c>
      <c r="D2604" s="268">
        <f t="shared" si="2"/>
        <v>2.723404255</v>
      </c>
    </row>
    <row r="2605" ht="13.5" customHeight="1">
      <c r="B2605" s="268">
        <v>10372.0</v>
      </c>
      <c r="C2605" s="268">
        <f t="shared" si="1"/>
        <v>8.708019348</v>
      </c>
      <c r="D2605" s="268">
        <f t="shared" si="2"/>
        <v>2.725216234</v>
      </c>
    </row>
    <row r="2606" ht="13.5" customHeight="1">
      <c r="B2606" s="268">
        <v>10376.0</v>
      </c>
      <c r="C2606" s="268">
        <f t="shared" si="1"/>
        <v>8.713800306</v>
      </c>
      <c r="D2606" s="268">
        <f t="shared" si="2"/>
        <v>2.727030626</v>
      </c>
    </row>
    <row r="2607" ht="13.5" customHeight="1">
      <c r="B2607" s="268">
        <v>10380.0</v>
      </c>
      <c r="C2607" s="268">
        <f t="shared" si="1"/>
        <v>8.719585114</v>
      </c>
      <c r="D2607" s="268">
        <f t="shared" si="2"/>
        <v>2.728847435</v>
      </c>
    </row>
    <row r="2608" ht="13.5" customHeight="1">
      <c r="B2608" s="268">
        <v>10384.0</v>
      </c>
      <c r="C2608" s="268">
        <f t="shared" si="1"/>
        <v>8.725373778</v>
      </c>
      <c r="D2608" s="268">
        <f t="shared" si="2"/>
        <v>2.730666667</v>
      </c>
    </row>
    <row r="2609" ht="13.5" customHeight="1">
      <c r="B2609" s="268">
        <v>10388.0</v>
      </c>
      <c r="C2609" s="268">
        <f t="shared" si="1"/>
        <v>8.731166302</v>
      </c>
      <c r="D2609" s="268">
        <f t="shared" si="2"/>
        <v>2.732488326</v>
      </c>
    </row>
    <row r="2610" ht="13.5" customHeight="1">
      <c r="B2610" s="268">
        <v>10392.0</v>
      </c>
      <c r="C2610" s="268">
        <f t="shared" si="1"/>
        <v>8.736962692</v>
      </c>
      <c r="D2610" s="268">
        <f t="shared" si="2"/>
        <v>2.734312417</v>
      </c>
    </row>
    <row r="2611" ht="13.5" customHeight="1">
      <c r="B2611" s="268">
        <v>10396.0</v>
      </c>
      <c r="C2611" s="268">
        <f t="shared" si="1"/>
        <v>8.742762952</v>
      </c>
      <c r="D2611" s="268">
        <f t="shared" si="2"/>
        <v>2.736138945</v>
      </c>
    </row>
    <row r="2612" ht="13.5" customHeight="1">
      <c r="B2612" s="268">
        <v>10400.0</v>
      </c>
      <c r="C2612" s="268">
        <f t="shared" si="1"/>
        <v>8.748567089</v>
      </c>
      <c r="D2612" s="268">
        <f t="shared" si="2"/>
        <v>2.737967914</v>
      </c>
    </row>
    <row r="2613" ht="13.5" customHeight="1">
      <c r="B2613" s="268">
        <v>10404.0</v>
      </c>
      <c r="C2613" s="268">
        <f t="shared" si="1"/>
        <v>8.754375106</v>
      </c>
      <c r="D2613" s="268">
        <f t="shared" si="2"/>
        <v>2.739799331</v>
      </c>
    </row>
    <row r="2614" ht="13.5" customHeight="1">
      <c r="B2614" s="268">
        <v>10408.0</v>
      </c>
      <c r="C2614" s="268">
        <f t="shared" si="1"/>
        <v>8.76018701</v>
      </c>
      <c r="D2614" s="268">
        <f t="shared" si="2"/>
        <v>2.741633199</v>
      </c>
    </row>
    <row r="2615" ht="13.5" customHeight="1">
      <c r="B2615" s="268">
        <v>10412.0</v>
      </c>
      <c r="C2615" s="268">
        <f t="shared" si="1"/>
        <v>8.766002805</v>
      </c>
      <c r="D2615" s="268">
        <f t="shared" si="2"/>
        <v>2.743469524</v>
      </c>
    </row>
    <row r="2616" ht="13.5" customHeight="1">
      <c r="B2616" s="268">
        <v>10416.0</v>
      </c>
      <c r="C2616" s="268">
        <f t="shared" si="1"/>
        <v>8.771822497</v>
      </c>
      <c r="D2616" s="268">
        <f t="shared" si="2"/>
        <v>2.745308311</v>
      </c>
    </row>
    <row r="2617" ht="13.5" customHeight="1">
      <c r="B2617" s="268">
        <v>10420.0</v>
      </c>
      <c r="C2617" s="268">
        <f t="shared" si="1"/>
        <v>8.77764609</v>
      </c>
      <c r="D2617" s="268">
        <f t="shared" si="2"/>
        <v>2.747149564</v>
      </c>
    </row>
    <row r="2618" ht="13.5" customHeight="1">
      <c r="B2618" s="268">
        <v>10424.0</v>
      </c>
      <c r="C2618" s="268">
        <f t="shared" si="1"/>
        <v>8.783473591</v>
      </c>
      <c r="D2618" s="268">
        <f t="shared" si="2"/>
        <v>2.748993289</v>
      </c>
    </row>
    <row r="2619" ht="13.5" customHeight="1">
      <c r="B2619" s="268">
        <v>10428.0</v>
      </c>
      <c r="C2619" s="268">
        <f t="shared" si="1"/>
        <v>8.789305004</v>
      </c>
      <c r="D2619" s="268">
        <f t="shared" si="2"/>
        <v>2.75083949</v>
      </c>
    </row>
    <row r="2620" ht="13.5" customHeight="1">
      <c r="B2620" s="268">
        <v>10432.0</v>
      </c>
      <c r="C2620" s="268">
        <f t="shared" si="1"/>
        <v>8.795140335</v>
      </c>
      <c r="D2620" s="268">
        <f t="shared" si="2"/>
        <v>2.752688172</v>
      </c>
    </row>
    <row r="2621" ht="13.5" customHeight="1">
      <c r="B2621" s="268">
        <v>10436.0</v>
      </c>
      <c r="C2621" s="268">
        <f t="shared" si="1"/>
        <v>8.800979589</v>
      </c>
      <c r="D2621" s="268">
        <f t="shared" si="2"/>
        <v>2.754539341</v>
      </c>
    </row>
    <row r="2622" ht="13.5" customHeight="1">
      <c r="B2622" s="268">
        <v>10440.0</v>
      </c>
      <c r="C2622" s="268">
        <f t="shared" si="1"/>
        <v>8.806822771</v>
      </c>
      <c r="D2622" s="268">
        <f t="shared" si="2"/>
        <v>2.756393001</v>
      </c>
    </row>
    <row r="2623" ht="13.5" customHeight="1">
      <c r="B2623" s="268">
        <v>10444.0</v>
      </c>
      <c r="C2623" s="268">
        <f t="shared" si="1"/>
        <v>8.812669886</v>
      </c>
      <c r="D2623" s="268">
        <f t="shared" si="2"/>
        <v>2.758249158</v>
      </c>
    </row>
    <row r="2624" ht="13.5" customHeight="1">
      <c r="B2624" s="268">
        <v>10448.0</v>
      </c>
      <c r="C2624" s="268">
        <f t="shared" si="1"/>
        <v>8.81852094</v>
      </c>
      <c r="D2624" s="268">
        <f t="shared" si="2"/>
        <v>2.760107817</v>
      </c>
    </row>
    <row r="2625" ht="13.5" customHeight="1">
      <c r="B2625" s="268">
        <v>10452.0</v>
      </c>
      <c r="C2625" s="268">
        <f t="shared" si="1"/>
        <v>8.824375939</v>
      </c>
      <c r="D2625" s="268">
        <f t="shared" si="2"/>
        <v>2.761968982</v>
      </c>
    </row>
    <row r="2626" ht="13.5" customHeight="1">
      <c r="B2626" s="268">
        <v>10456.0</v>
      </c>
      <c r="C2626" s="268">
        <f t="shared" si="1"/>
        <v>8.830234886</v>
      </c>
      <c r="D2626" s="268">
        <f t="shared" si="2"/>
        <v>2.763832659</v>
      </c>
    </row>
    <row r="2627" ht="13.5" customHeight="1">
      <c r="B2627" s="268">
        <v>10460.0</v>
      </c>
      <c r="C2627" s="268">
        <f t="shared" si="1"/>
        <v>8.836097789</v>
      </c>
      <c r="D2627" s="268">
        <f t="shared" si="2"/>
        <v>2.765698852</v>
      </c>
    </row>
    <row r="2628" ht="13.5" customHeight="1">
      <c r="B2628" s="268">
        <v>10464.0</v>
      </c>
      <c r="C2628" s="268">
        <f t="shared" si="1"/>
        <v>8.841964651</v>
      </c>
      <c r="D2628" s="268">
        <f t="shared" si="2"/>
        <v>2.767567568</v>
      </c>
    </row>
    <row r="2629" ht="13.5" customHeight="1">
      <c r="B2629" s="268">
        <v>10468.0</v>
      </c>
      <c r="C2629" s="268">
        <f t="shared" si="1"/>
        <v>8.847835479</v>
      </c>
      <c r="D2629" s="268">
        <f t="shared" si="2"/>
        <v>2.76943881</v>
      </c>
    </row>
    <row r="2630" ht="13.5" customHeight="1">
      <c r="B2630" s="268">
        <v>10472.0</v>
      </c>
      <c r="C2630" s="268">
        <f t="shared" si="1"/>
        <v>8.853710278</v>
      </c>
      <c r="D2630" s="268">
        <f t="shared" si="2"/>
        <v>2.771312585</v>
      </c>
    </row>
    <row r="2631" ht="13.5" customHeight="1">
      <c r="B2631" s="268">
        <v>10476.0</v>
      </c>
      <c r="C2631" s="268">
        <f t="shared" si="1"/>
        <v>8.859589053</v>
      </c>
      <c r="D2631" s="268">
        <f t="shared" si="2"/>
        <v>2.773188896</v>
      </c>
    </row>
    <row r="2632" ht="13.5" customHeight="1">
      <c r="B2632" s="268">
        <v>10480.0</v>
      </c>
      <c r="C2632" s="268">
        <f t="shared" si="1"/>
        <v>8.86547181</v>
      </c>
      <c r="D2632" s="268">
        <f t="shared" si="2"/>
        <v>2.775067751</v>
      </c>
    </row>
    <row r="2633" ht="13.5" customHeight="1">
      <c r="B2633" s="268">
        <v>10484.0</v>
      </c>
      <c r="C2633" s="268">
        <f t="shared" si="1"/>
        <v>8.871358553</v>
      </c>
      <c r="D2633" s="268">
        <f t="shared" si="2"/>
        <v>2.776949153</v>
      </c>
    </row>
    <row r="2634" ht="13.5" customHeight="1">
      <c r="B2634" s="268">
        <v>10488.0</v>
      </c>
      <c r="C2634" s="268">
        <f t="shared" si="1"/>
        <v>8.877249289</v>
      </c>
      <c r="D2634" s="268">
        <f t="shared" si="2"/>
        <v>2.778833107</v>
      </c>
    </row>
    <row r="2635" ht="13.5" customHeight="1">
      <c r="B2635" s="268">
        <v>10492.0</v>
      </c>
      <c r="C2635" s="268">
        <f t="shared" si="1"/>
        <v>8.883144023</v>
      </c>
      <c r="D2635" s="268">
        <f t="shared" si="2"/>
        <v>2.78071962</v>
      </c>
    </row>
    <row r="2636" ht="13.5" customHeight="1">
      <c r="B2636" s="268">
        <v>10496.0</v>
      </c>
      <c r="C2636" s="268">
        <f t="shared" si="1"/>
        <v>8.889042759</v>
      </c>
      <c r="D2636" s="268">
        <f t="shared" si="2"/>
        <v>2.782608696</v>
      </c>
    </row>
    <row r="2637" ht="13.5" customHeight="1">
      <c r="B2637" s="268">
        <v>10500.0</v>
      </c>
      <c r="C2637" s="268">
        <f t="shared" si="1"/>
        <v>8.894945505</v>
      </c>
      <c r="D2637" s="268">
        <f t="shared" si="2"/>
        <v>2.78450034</v>
      </c>
    </row>
    <row r="2638" ht="13.5" customHeight="1">
      <c r="B2638" s="268">
        <v>10504.0</v>
      </c>
      <c r="C2638" s="268">
        <f t="shared" si="1"/>
        <v>8.900852264</v>
      </c>
      <c r="D2638" s="268">
        <f t="shared" si="2"/>
        <v>2.786394558</v>
      </c>
    </row>
    <row r="2639" ht="13.5" customHeight="1">
      <c r="B2639" s="268">
        <v>10508.0</v>
      </c>
      <c r="C2639" s="268">
        <f t="shared" si="1"/>
        <v>8.906763044</v>
      </c>
      <c r="D2639" s="268">
        <f t="shared" si="2"/>
        <v>2.788291355</v>
      </c>
    </row>
    <row r="2640" ht="13.5" customHeight="1">
      <c r="B2640" s="268">
        <v>10512.0</v>
      </c>
      <c r="C2640" s="268">
        <f t="shared" si="1"/>
        <v>8.912677848</v>
      </c>
      <c r="D2640" s="268">
        <f t="shared" si="2"/>
        <v>2.790190736</v>
      </c>
    </row>
    <row r="2641" ht="13.5" customHeight="1">
      <c r="B2641" s="268">
        <v>10516.0</v>
      </c>
      <c r="C2641" s="268">
        <f t="shared" si="1"/>
        <v>8.918596682</v>
      </c>
      <c r="D2641" s="268">
        <f t="shared" si="2"/>
        <v>2.792092706</v>
      </c>
    </row>
    <row r="2642" ht="13.5" customHeight="1">
      <c r="B2642" s="268">
        <v>10520.0</v>
      </c>
      <c r="C2642" s="268">
        <f t="shared" si="1"/>
        <v>8.924519553</v>
      </c>
      <c r="D2642" s="268">
        <f t="shared" si="2"/>
        <v>2.793997271</v>
      </c>
    </row>
    <row r="2643" ht="13.5" customHeight="1">
      <c r="B2643" s="268">
        <v>10524.0</v>
      </c>
      <c r="C2643" s="268">
        <f t="shared" si="1"/>
        <v>8.930446466</v>
      </c>
      <c r="D2643" s="268">
        <f t="shared" si="2"/>
        <v>2.795904437</v>
      </c>
    </row>
    <row r="2644" ht="13.5" customHeight="1">
      <c r="B2644" s="268">
        <v>10528.0</v>
      </c>
      <c r="C2644" s="268">
        <f t="shared" si="1"/>
        <v>8.936377425</v>
      </c>
      <c r="D2644" s="268">
        <f t="shared" si="2"/>
        <v>2.797814208</v>
      </c>
    </row>
    <row r="2645" ht="13.5" customHeight="1">
      <c r="B2645" s="268">
        <v>10532.0</v>
      </c>
      <c r="C2645" s="268">
        <f t="shared" si="1"/>
        <v>8.942312437</v>
      </c>
      <c r="D2645" s="268">
        <f t="shared" si="2"/>
        <v>2.799726589</v>
      </c>
    </row>
    <row r="2646" ht="13.5" customHeight="1">
      <c r="B2646" s="268">
        <v>10536.0</v>
      </c>
      <c r="C2646" s="268">
        <f t="shared" si="1"/>
        <v>8.948251507</v>
      </c>
      <c r="D2646" s="268">
        <f t="shared" si="2"/>
        <v>2.801641587</v>
      </c>
    </row>
    <row r="2647" ht="13.5" customHeight="1">
      <c r="B2647" s="268">
        <v>10540.0</v>
      </c>
      <c r="C2647" s="268">
        <f t="shared" si="1"/>
        <v>8.954194641</v>
      </c>
      <c r="D2647" s="268">
        <f t="shared" si="2"/>
        <v>2.803559206</v>
      </c>
    </row>
    <row r="2648" ht="13.5" customHeight="1">
      <c r="B2648" s="268">
        <v>10544.0</v>
      </c>
      <c r="C2648" s="268">
        <f t="shared" si="1"/>
        <v>8.960141844</v>
      </c>
      <c r="D2648" s="268">
        <f t="shared" si="2"/>
        <v>2.805479452</v>
      </c>
    </row>
    <row r="2649" ht="13.5" customHeight="1">
      <c r="B2649" s="268">
        <v>10548.0</v>
      </c>
      <c r="C2649" s="268">
        <f t="shared" si="1"/>
        <v>8.966093121</v>
      </c>
      <c r="D2649" s="268">
        <f t="shared" si="2"/>
        <v>2.80740233</v>
      </c>
    </row>
    <row r="2650" ht="13.5" customHeight="1">
      <c r="B2650" s="268">
        <v>10552.0</v>
      </c>
      <c r="C2650" s="268">
        <f t="shared" si="1"/>
        <v>8.97204848</v>
      </c>
      <c r="D2650" s="268">
        <f t="shared" si="2"/>
        <v>2.809327846</v>
      </c>
    </row>
    <row r="2651" ht="13.5" customHeight="1">
      <c r="B2651" s="268">
        <v>10556.0</v>
      </c>
      <c r="C2651" s="268">
        <f t="shared" si="1"/>
        <v>8.978007924</v>
      </c>
      <c r="D2651" s="268">
        <f t="shared" si="2"/>
        <v>2.811256005</v>
      </c>
    </row>
    <row r="2652" ht="13.5" customHeight="1">
      <c r="B2652" s="268">
        <v>10560.0</v>
      </c>
      <c r="C2652" s="268">
        <f t="shared" si="1"/>
        <v>8.98397146</v>
      </c>
      <c r="D2652" s="268">
        <f t="shared" si="2"/>
        <v>2.813186813</v>
      </c>
    </row>
    <row r="2653" ht="13.5" customHeight="1">
      <c r="B2653" s="268">
        <v>10564.0</v>
      </c>
      <c r="C2653" s="268">
        <f t="shared" si="1"/>
        <v>8.989939093</v>
      </c>
      <c r="D2653" s="268">
        <f t="shared" si="2"/>
        <v>2.815120275</v>
      </c>
    </row>
    <row r="2654" ht="13.5" customHeight="1">
      <c r="B2654" s="268">
        <v>10568.0</v>
      </c>
      <c r="C2654" s="268">
        <f t="shared" si="1"/>
        <v>8.995910829</v>
      </c>
      <c r="D2654" s="268">
        <f t="shared" si="2"/>
        <v>2.817056396</v>
      </c>
    </row>
    <row r="2655" ht="13.5" customHeight="1">
      <c r="B2655" s="268">
        <v>10572.0</v>
      </c>
      <c r="C2655" s="268">
        <f t="shared" si="1"/>
        <v>9.001886673</v>
      </c>
      <c r="D2655" s="268">
        <f t="shared" si="2"/>
        <v>2.818995182</v>
      </c>
    </row>
    <row r="2656" ht="13.5" customHeight="1">
      <c r="B2656" s="268">
        <v>10576.0</v>
      </c>
      <c r="C2656" s="268">
        <f t="shared" si="1"/>
        <v>9.007866632</v>
      </c>
      <c r="D2656" s="268">
        <f t="shared" si="2"/>
        <v>2.820936639</v>
      </c>
    </row>
    <row r="2657" ht="13.5" customHeight="1">
      <c r="B2657" s="268">
        <v>10580.0</v>
      </c>
      <c r="C2657" s="268">
        <f t="shared" si="1"/>
        <v>9.013850711</v>
      </c>
      <c r="D2657" s="268">
        <f t="shared" si="2"/>
        <v>2.822880772</v>
      </c>
    </row>
    <row r="2658" ht="13.5" customHeight="1">
      <c r="B2658" s="268">
        <v>10584.0</v>
      </c>
      <c r="C2658" s="268">
        <f t="shared" si="1"/>
        <v>9.019838915</v>
      </c>
      <c r="D2658" s="268">
        <f t="shared" si="2"/>
        <v>2.824827586</v>
      </c>
    </row>
    <row r="2659" ht="13.5" customHeight="1">
      <c r="B2659" s="268">
        <v>10588.0</v>
      </c>
      <c r="C2659" s="268">
        <f t="shared" si="1"/>
        <v>9.02583125</v>
      </c>
      <c r="D2659" s="268">
        <f t="shared" si="2"/>
        <v>2.826777088</v>
      </c>
    </row>
    <row r="2660" ht="13.5" customHeight="1">
      <c r="B2660" s="268">
        <v>10592.0</v>
      </c>
      <c r="C2660" s="268">
        <f t="shared" si="1"/>
        <v>9.031827722</v>
      </c>
      <c r="D2660" s="268">
        <f t="shared" si="2"/>
        <v>2.828729282</v>
      </c>
    </row>
    <row r="2661" ht="13.5" customHeight="1">
      <c r="B2661" s="268">
        <v>10596.0</v>
      </c>
      <c r="C2661" s="268">
        <f t="shared" si="1"/>
        <v>9.037828337</v>
      </c>
      <c r="D2661" s="268">
        <f t="shared" si="2"/>
        <v>2.830684174</v>
      </c>
    </row>
    <row r="2662" ht="13.5" customHeight="1">
      <c r="B2662" s="268">
        <v>10600.0</v>
      </c>
      <c r="C2662" s="268">
        <f t="shared" si="1"/>
        <v>9.0438331</v>
      </c>
      <c r="D2662" s="268">
        <f t="shared" si="2"/>
        <v>2.83264177</v>
      </c>
    </row>
    <row r="2663" ht="13.5" customHeight="1">
      <c r="B2663" s="268">
        <v>10604.0</v>
      </c>
      <c r="C2663" s="268">
        <f t="shared" si="1"/>
        <v>9.049842018</v>
      </c>
      <c r="D2663" s="268">
        <f t="shared" si="2"/>
        <v>2.834602076</v>
      </c>
    </row>
    <row r="2664" ht="13.5" customHeight="1">
      <c r="B2664" s="268">
        <v>10608.0</v>
      </c>
      <c r="C2664" s="268">
        <f t="shared" si="1"/>
        <v>9.055855095</v>
      </c>
      <c r="D2664" s="268">
        <f t="shared" si="2"/>
        <v>2.836565097</v>
      </c>
    </row>
    <row r="2665" ht="13.5" customHeight="1">
      <c r="B2665" s="268">
        <v>10612.0</v>
      </c>
      <c r="C2665" s="268">
        <f t="shared" si="1"/>
        <v>9.061872337</v>
      </c>
      <c r="D2665" s="268">
        <f t="shared" si="2"/>
        <v>2.838530839</v>
      </c>
    </row>
    <row r="2666" ht="13.5" customHeight="1">
      <c r="B2666" s="268">
        <v>10616.0</v>
      </c>
      <c r="C2666" s="268">
        <f t="shared" si="1"/>
        <v>9.067893752</v>
      </c>
      <c r="D2666" s="268">
        <f t="shared" si="2"/>
        <v>2.840499307</v>
      </c>
    </row>
    <row r="2667" ht="13.5" customHeight="1">
      <c r="B2667" s="268">
        <v>10620.0</v>
      </c>
      <c r="C2667" s="268">
        <f t="shared" si="1"/>
        <v>9.073919343</v>
      </c>
      <c r="D2667" s="268">
        <f t="shared" si="2"/>
        <v>2.842470507</v>
      </c>
    </row>
    <row r="2668" ht="13.5" customHeight="1">
      <c r="B2668" s="268">
        <v>10624.0</v>
      </c>
      <c r="C2668" s="268">
        <f t="shared" si="1"/>
        <v>9.079949117</v>
      </c>
      <c r="D2668" s="268">
        <f t="shared" si="2"/>
        <v>2.844444444</v>
      </c>
    </row>
    <row r="2669" ht="13.5" customHeight="1">
      <c r="B2669" s="268">
        <v>10628.0</v>
      </c>
      <c r="C2669" s="268">
        <f t="shared" si="1"/>
        <v>9.085983081</v>
      </c>
      <c r="D2669" s="268">
        <f t="shared" si="2"/>
        <v>2.846421126</v>
      </c>
    </row>
    <row r="2670" ht="13.5" customHeight="1">
      <c r="B2670" s="268">
        <v>10632.0</v>
      </c>
      <c r="C2670" s="268">
        <f t="shared" si="1"/>
        <v>9.092021238</v>
      </c>
      <c r="D2670" s="268">
        <f t="shared" si="2"/>
        <v>2.848400556</v>
      </c>
    </row>
    <row r="2671" ht="13.5" customHeight="1">
      <c r="B2671" s="268">
        <v>10636.0</v>
      </c>
      <c r="C2671" s="268">
        <f t="shared" si="1"/>
        <v>9.098063597</v>
      </c>
      <c r="D2671" s="268">
        <f t="shared" si="2"/>
        <v>2.850382742</v>
      </c>
    </row>
    <row r="2672" ht="13.5" customHeight="1">
      <c r="B2672" s="268">
        <v>10640.0</v>
      </c>
      <c r="C2672" s="268">
        <f t="shared" si="1"/>
        <v>9.104110161</v>
      </c>
      <c r="D2672" s="268">
        <f t="shared" si="2"/>
        <v>2.852367688</v>
      </c>
    </row>
    <row r="2673" ht="13.5" customHeight="1">
      <c r="B2673" s="268">
        <v>10644.0</v>
      </c>
      <c r="C2673" s="268">
        <f t="shared" si="1"/>
        <v>9.110160938</v>
      </c>
      <c r="D2673" s="268">
        <f t="shared" si="2"/>
        <v>2.854355401</v>
      </c>
    </row>
    <row r="2674" ht="13.5" customHeight="1">
      <c r="B2674" s="268">
        <v>10648.0</v>
      </c>
      <c r="C2674" s="268">
        <f t="shared" si="1"/>
        <v>9.116215933</v>
      </c>
      <c r="D2674" s="268">
        <f t="shared" si="2"/>
        <v>2.856345886</v>
      </c>
    </row>
    <row r="2675" ht="13.5" customHeight="1">
      <c r="B2675" s="268">
        <v>10652.0</v>
      </c>
      <c r="C2675" s="268">
        <f t="shared" si="1"/>
        <v>9.122275151</v>
      </c>
      <c r="D2675" s="268">
        <f t="shared" si="2"/>
        <v>2.858339149</v>
      </c>
    </row>
    <row r="2676" ht="13.5" customHeight="1">
      <c r="B2676" s="268">
        <v>10656.0</v>
      </c>
      <c r="C2676" s="268">
        <f t="shared" si="1"/>
        <v>9.1283386</v>
      </c>
      <c r="D2676" s="268">
        <f t="shared" si="2"/>
        <v>2.860335196</v>
      </c>
    </row>
    <row r="2677" ht="13.5" customHeight="1">
      <c r="B2677" s="268">
        <v>10660.0</v>
      </c>
      <c r="C2677" s="268">
        <f t="shared" si="1"/>
        <v>9.134406284</v>
      </c>
      <c r="D2677" s="268">
        <f t="shared" si="2"/>
        <v>2.862334032</v>
      </c>
    </row>
    <row r="2678" ht="13.5" customHeight="1">
      <c r="B2678" s="268">
        <v>10664.0</v>
      </c>
      <c r="C2678" s="268">
        <f t="shared" si="1"/>
        <v>9.14047821</v>
      </c>
      <c r="D2678" s="268">
        <f t="shared" si="2"/>
        <v>2.864335664</v>
      </c>
    </row>
    <row r="2679" ht="13.5" customHeight="1">
      <c r="B2679" s="268">
        <v>10668.0</v>
      </c>
      <c r="C2679" s="268">
        <f t="shared" si="1"/>
        <v>9.146554384</v>
      </c>
      <c r="D2679" s="268">
        <f t="shared" si="2"/>
        <v>2.866340098</v>
      </c>
    </row>
    <row r="2680" ht="13.5" customHeight="1">
      <c r="B2680" s="268">
        <v>10672.0</v>
      </c>
      <c r="C2680" s="268">
        <f t="shared" si="1"/>
        <v>9.152634811</v>
      </c>
      <c r="D2680" s="268">
        <f t="shared" si="2"/>
        <v>2.868347339</v>
      </c>
    </row>
    <row r="2681" ht="13.5" customHeight="1">
      <c r="B2681" s="268">
        <v>10676.0</v>
      </c>
      <c r="C2681" s="268">
        <f t="shared" si="1"/>
        <v>9.158719497</v>
      </c>
      <c r="D2681" s="268">
        <f t="shared" si="2"/>
        <v>2.870357393</v>
      </c>
    </row>
    <row r="2682" ht="13.5" customHeight="1">
      <c r="B2682" s="268">
        <v>10680.0</v>
      </c>
      <c r="C2682" s="268">
        <f t="shared" si="1"/>
        <v>9.164808449</v>
      </c>
      <c r="D2682" s="268">
        <f t="shared" si="2"/>
        <v>2.872370266</v>
      </c>
    </row>
    <row r="2683" ht="13.5" customHeight="1">
      <c r="B2683" s="268">
        <v>10684.0</v>
      </c>
      <c r="C2683" s="268">
        <f t="shared" si="1"/>
        <v>9.170901672</v>
      </c>
      <c r="D2683" s="268">
        <f t="shared" si="2"/>
        <v>2.874385965</v>
      </c>
    </row>
    <row r="2684" ht="13.5" customHeight="1">
      <c r="B2684" s="268">
        <v>10688.0</v>
      </c>
      <c r="C2684" s="268">
        <f t="shared" si="1"/>
        <v>9.176999173</v>
      </c>
      <c r="D2684" s="268">
        <f t="shared" si="2"/>
        <v>2.876404494</v>
      </c>
    </row>
    <row r="2685" ht="13.5" customHeight="1">
      <c r="B2685" s="268">
        <v>10692.0</v>
      </c>
      <c r="C2685" s="268">
        <f t="shared" si="1"/>
        <v>9.183100958</v>
      </c>
      <c r="D2685" s="268">
        <f t="shared" si="2"/>
        <v>2.878425861</v>
      </c>
    </row>
    <row r="2686" ht="13.5" customHeight="1">
      <c r="B2686" s="268">
        <v>10696.0</v>
      </c>
      <c r="C2686" s="268">
        <f t="shared" si="1"/>
        <v>9.189207031</v>
      </c>
      <c r="D2686" s="268">
        <f t="shared" si="2"/>
        <v>2.88045007</v>
      </c>
    </row>
    <row r="2687" ht="13.5" customHeight="1">
      <c r="B2687" s="268">
        <v>10700.0</v>
      </c>
      <c r="C2687" s="268">
        <f t="shared" si="1"/>
        <v>9.195317401</v>
      </c>
      <c r="D2687" s="268">
        <f t="shared" si="2"/>
        <v>2.882477129</v>
      </c>
    </row>
    <row r="2688" ht="13.5" customHeight="1">
      <c r="B2688" s="268">
        <v>10704.0</v>
      </c>
      <c r="C2688" s="268">
        <f t="shared" si="1"/>
        <v>9.201432072</v>
      </c>
      <c r="D2688" s="268">
        <f t="shared" si="2"/>
        <v>2.884507042</v>
      </c>
    </row>
    <row r="2689" ht="13.5" customHeight="1">
      <c r="B2689" s="268">
        <v>10708.0</v>
      </c>
      <c r="C2689" s="268">
        <f t="shared" si="1"/>
        <v>9.20755105</v>
      </c>
      <c r="D2689" s="268">
        <f t="shared" si="2"/>
        <v>2.886539817</v>
      </c>
    </row>
    <row r="2690" ht="13.5" customHeight="1">
      <c r="B2690" s="268">
        <v>10712.0</v>
      </c>
      <c r="C2690" s="268">
        <f t="shared" si="1"/>
        <v>9.213674342</v>
      </c>
      <c r="D2690" s="268">
        <f t="shared" si="2"/>
        <v>2.888575458</v>
      </c>
    </row>
    <row r="2691" ht="13.5" customHeight="1">
      <c r="B2691" s="268">
        <v>10716.0</v>
      </c>
      <c r="C2691" s="268">
        <f t="shared" si="1"/>
        <v>9.219801954</v>
      </c>
      <c r="D2691" s="268">
        <f t="shared" si="2"/>
        <v>2.890613973</v>
      </c>
    </row>
    <row r="2692" ht="13.5" customHeight="1">
      <c r="B2692" s="268">
        <v>10720.0</v>
      </c>
      <c r="C2692" s="268">
        <f t="shared" si="1"/>
        <v>9.225933892</v>
      </c>
      <c r="D2692" s="268">
        <f t="shared" si="2"/>
        <v>2.892655367</v>
      </c>
    </row>
    <row r="2693" ht="13.5" customHeight="1">
      <c r="B2693" s="268">
        <v>10724.0</v>
      </c>
      <c r="C2693" s="268">
        <f t="shared" si="1"/>
        <v>9.232070162</v>
      </c>
      <c r="D2693" s="268">
        <f t="shared" si="2"/>
        <v>2.894699647</v>
      </c>
    </row>
    <row r="2694" ht="13.5" customHeight="1">
      <c r="B2694" s="268">
        <v>10728.0</v>
      </c>
      <c r="C2694" s="268">
        <f t="shared" si="1"/>
        <v>9.23821077</v>
      </c>
      <c r="D2694" s="268">
        <f t="shared" si="2"/>
        <v>2.896746818</v>
      </c>
    </row>
    <row r="2695" ht="13.5" customHeight="1">
      <c r="B2695" s="268">
        <v>10732.0</v>
      </c>
      <c r="C2695" s="268">
        <f t="shared" si="1"/>
        <v>9.244355722</v>
      </c>
      <c r="D2695" s="268">
        <f t="shared" si="2"/>
        <v>2.898796886</v>
      </c>
    </row>
    <row r="2696" ht="13.5" customHeight="1">
      <c r="B2696" s="268">
        <v>10736.0</v>
      </c>
      <c r="C2696" s="268">
        <f t="shared" si="1"/>
        <v>9.250505025</v>
      </c>
      <c r="D2696" s="268">
        <f t="shared" si="2"/>
        <v>2.900849858</v>
      </c>
    </row>
    <row r="2697" ht="13.5" customHeight="1">
      <c r="B2697" s="268">
        <v>10740.0</v>
      </c>
      <c r="C2697" s="268">
        <f t="shared" si="1"/>
        <v>9.256658684</v>
      </c>
      <c r="D2697" s="268">
        <f t="shared" si="2"/>
        <v>2.902905741</v>
      </c>
    </row>
    <row r="2698" ht="13.5" customHeight="1">
      <c r="B2698" s="268">
        <v>10744.0</v>
      </c>
      <c r="C2698" s="268">
        <f t="shared" si="1"/>
        <v>9.262816706</v>
      </c>
      <c r="D2698" s="268">
        <f t="shared" si="2"/>
        <v>2.904964539</v>
      </c>
    </row>
    <row r="2699" ht="13.5" customHeight="1">
      <c r="B2699" s="268">
        <v>10748.0</v>
      </c>
      <c r="C2699" s="268">
        <f t="shared" si="1"/>
        <v>9.268979097</v>
      </c>
      <c r="D2699" s="268">
        <f t="shared" si="2"/>
        <v>2.90702626</v>
      </c>
    </row>
    <row r="2700" ht="13.5" customHeight="1">
      <c r="B2700" s="268">
        <v>10752.0</v>
      </c>
      <c r="C2700" s="268">
        <f t="shared" si="1"/>
        <v>9.275145863</v>
      </c>
      <c r="D2700" s="268">
        <f t="shared" si="2"/>
        <v>2.909090909</v>
      </c>
    </row>
    <row r="2701" ht="13.5" customHeight="1">
      <c r="B2701" s="268">
        <v>10756.0</v>
      </c>
      <c r="C2701" s="268">
        <f t="shared" si="1"/>
        <v>9.281317011</v>
      </c>
      <c r="D2701" s="268">
        <f t="shared" si="2"/>
        <v>2.911158493</v>
      </c>
    </row>
    <row r="2702" ht="13.5" customHeight="1">
      <c r="B2702" s="268">
        <v>10760.0</v>
      </c>
      <c r="C2702" s="268">
        <f t="shared" si="1"/>
        <v>9.287492546</v>
      </c>
      <c r="D2702" s="268">
        <f t="shared" si="2"/>
        <v>2.913229018</v>
      </c>
    </row>
    <row r="2703" ht="13.5" customHeight="1">
      <c r="B2703" s="268">
        <v>10764.0</v>
      </c>
      <c r="C2703" s="268">
        <f t="shared" si="1"/>
        <v>9.293672475</v>
      </c>
      <c r="D2703" s="268">
        <f t="shared" si="2"/>
        <v>2.915302491</v>
      </c>
    </row>
    <row r="2704" ht="13.5" customHeight="1">
      <c r="B2704" s="268">
        <v>10768.0</v>
      </c>
      <c r="C2704" s="268">
        <f t="shared" si="1"/>
        <v>9.299856803</v>
      </c>
      <c r="D2704" s="268">
        <f t="shared" si="2"/>
        <v>2.917378917</v>
      </c>
    </row>
    <row r="2705" ht="13.5" customHeight="1">
      <c r="B2705" s="268">
        <v>10772.0</v>
      </c>
      <c r="C2705" s="268">
        <f t="shared" si="1"/>
        <v>9.306045539</v>
      </c>
      <c r="D2705" s="268">
        <f t="shared" si="2"/>
        <v>2.919458304</v>
      </c>
    </row>
    <row r="2706" ht="13.5" customHeight="1">
      <c r="B2706" s="268">
        <v>10776.0</v>
      </c>
      <c r="C2706" s="268">
        <f t="shared" si="1"/>
        <v>9.312238687</v>
      </c>
      <c r="D2706" s="268">
        <f t="shared" si="2"/>
        <v>2.921540656</v>
      </c>
    </row>
    <row r="2707" ht="13.5" customHeight="1">
      <c r="B2707" s="268">
        <v>10780.0</v>
      </c>
      <c r="C2707" s="268">
        <f t="shared" si="1"/>
        <v>9.318436254</v>
      </c>
      <c r="D2707" s="268">
        <f t="shared" si="2"/>
        <v>2.923625981</v>
      </c>
    </row>
    <row r="2708" ht="13.5" customHeight="1">
      <c r="B2708" s="268">
        <v>10784.0</v>
      </c>
      <c r="C2708" s="268">
        <f t="shared" si="1"/>
        <v>9.324638246</v>
      </c>
      <c r="D2708" s="268">
        <f t="shared" si="2"/>
        <v>2.925714286</v>
      </c>
    </row>
    <row r="2709" ht="13.5" customHeight="1">
      <c r="B2709" s="268">
        <v>10788.0</v>
      </c>
      <c r="C2709" s="268">
        <f t="shared" si="1"/>
        <v>9.33084467</v>
      </c>
      <c r="D2709" s="268">
        <f t="shared" si="2"/>
        <v>2.927805575</v>
      </c>
    </row>
    <row r="2710" ht="13.5" customHeight="1">
      <c r="B2710" s="268">
        <v>10792.0</v>
      </c>
      <c r="C2710" s="268">
        <f t="shared" si="1"/>
        <v>9.337055531</v>
      </c>
      <c r="D2710" s="268">
        <f t="shared" si="2"/>
        <v>2.929899857</v>
      </c>
    </row>
    <row r="2711" ht="13.5" customHeight="1">
      <c r="B2711" s="268">
        <v>10796.0</v>
      </c>
      <c r="C2711" s="268">
        <f t="shared" si="1"/>
        <v>9.343270837</v>
      </c>
      <c r="D2711" s="268">
        <f t="shared" si="2"/>
        <v>2.931997137</v>
      </c>
    </row>
    <row r="2712" ht="13.5" customHeight="1">
      <c r="B2712" s="268">
        <v>10800.0</v>
      </c>
      <c r="C2712" s="268">
        <f t="shared" si="1"/>
        <v>9.349490594</v>
      </c>
      <c r="D2712" s="268">
        <f t="shared" si="2"/>
        <v>2.934097421</v>
      </c>
    </row>
    <row r="2713" ht="13.5" customHeight="1">
      <c r="B2713" s="268">
        <v>10804.0</v>
      </c>
      <c r="C2713" s="268">
        <f t="shared" si="1"/>
        <v>9.355714807</v>
      </c>
      <c r="D2713" s="268">
        <f t="shared" si="2"/>
        <v>2.936200717</v>
      </c>
    </row>
    <row r="2714" ht="13.5" customHeight="1">
      <c r="B2714" s="268">
        <v>10808.0</v>
      </c>
      <c r="C2714" s="268">
        <f t="shared" si="1"/>
        <v>9.361943484</v>
      </c>
      <c r="D2714" s="268">
        <f t="shared" si="2"/>
        <v>2.93830703</v>
      </c>
    </row>
    <row r="2715" ht="13.5" customHeight="1">
      <c r="B2715" s="268">
        <v>10812.0</v>
      </c>
      <c r="C2715" s="268">
        <f t="shared" si="1"/>
        <v>9.368176631</v>
      </c>
      <c r="D2715" s="268">
        <f t="shared" si="2"/>
        <v>2.940416368</v>
      </c>
    </row>
    <row r="2716" ht="13.5" customHeight="1">
      <c r="B2716" s="268">
        <v>10816.0</v>
      </c>
      <c r="C2716" s="268">
        <f t="shared" si="1"/>
        <v>9.374414254</v>
      </c>
      <c r="D2716" s="268">
        <f t="shared" si="2"/>
        <v>2.942528736</v>
      </c>
    </row>
    <row r="2717" ht="13.5" customHeight="1">
      <c r="B2717" s="268">
        <v>10820.0</v>
      </c>
      <c r="C2717" s="268">
        <f t="shared" si="1"/>
        <v>9.38065636</v>
      </c>
      <c r="D2717" s="268">
        <f t="shared" si="2"/>
        <v>2.944644141</v>
      </c>
    </row>
    <row r="2718" ht="13.5" customHeight="1">
      <c r="B2718" s="268">
        <v>10824.0</v>
      </c>
      <c r="C2718" s="268">
        <f t="shared" si="1"/>
        <v>9.386902954</v>
      </c>
      <c r="D2718" s="268">
        <f t="shared" si="2"/>
        <v>2.94676259</v>
      </c>
    </row>
    <row r="2719" ht="13.5" customHeight="1">
      <c r="B2719" s="268">
        <v>10828.0</v>
      </c>
      <c r="C2719" s="268">
        <f t="shared" si="1"/>
        <v>9.393154045</v>
      </c>
      <c r="D2719" s="268">
        <f t="shared" si="2"/>
        <v>2.948884089</v>
      </c>
    </row>
    <row r="2720" ht="13.5" customHeight="1">
      <c r="B2720" s="268">
        <v>10832.0</v>
      </c>
      <c r="C2720" s="268">
        <f t="shared" si="1"/>
        <v>9.399409637</v>
      </c>
      <c r="D2720" s="268">
        <f t="shared" si="2"/>
        <v>2.951008646</v>
      </c>
    </row>
    <row r="2721" ht="13.5" customHeight="1">
      <c r="B2721" s="268">
        <v>10836.0</v>
      </c>
      <c r="C2721" s="268">
        <f t="shared" si="1"/>
        <v>9.405669738</v>
      </c>
      <c r="D2721" s="268">
        <f t="shared" si="2"/>
        <v>2.953136265</v>
      </c>
    </row>
    <row r="2722" ht="13.5" customHeight="1">
      <c r="B2722" s="268">
        <v>10840.0</v>
      </c>
      <c r="C2722" s="268">
        <f t="shared" si="1"/>
        <v>9.411934354</v>
      </c>
      <c r="D2722" s="268">
        <f t="shared" si="2"/>
        <v>2.955266955</v>
      </c>
    </row>
    <row r="2723" ht="13.5" customHeight="1">
      <c r="B2723" s="268">
        <v>10844.0</v>
      </c>
      <c r="C2723" s="268">
        <f t="shared" si="1"/>
        <v>9.418203491</v>
      </c>
      <c r="D2723" s="268">
        <f t="shared" si="2"/>
        <v>2.957400722</v>
      </c>
    </row>
    <row r="2724" ht="13.5" customHeight="1">
      <c r="B2724" s="268">
        <v>10848.0</v>
      </c>
      <c r="C2724" s="268">
        <f t="shared" si="1"/>
        <v>9.424477157</v>
      </c>
      <c r="D2724" s="268">
        <f t="shared" si="2"/>
        <v>2.959537572</v>
      </c>
    </row>
    <row r="2725" ht="13.5" customHeight="1">
      <c r="B2725" s="268">
        <v>10852.0</v>
      </c>
      <c r="C2725" s="268">
        <f t="shared" si="1"/>
        <v>9.430755357</v>
      </c>
      <c r="D2725" s="268">
        <f t="shared" si="2"/>
        <v>2.961677513</v>
      </c>
    </row>
    <row r="2726" ht="13.5" customHeight="1">
      <c r="B2726" s="268">
        <v>10856.0</v>
      </c>
      <c r="C2726" s="268">
        <f t="shared" si="1"/>
        <v>9.437038099</v>
      </c>
      <c r="D2726" s="268">
        <f t="shared" si="2"/>
        <v>2.96382055</v>
      </c>
    </row>
    <row r="2727" ht="13.5" customHeight="1">
      <c r="B2727" s="268">
        <v>10860.0</v>
      </c>
      <c r="C2727" s="268">
        <f t="shared" si="1"/>
        <v>9.443325388</v>
      </c>
      <c r="D2727" s="268">
        <f t="shared" si="2"/>
        <v>2.965966691</v>
      </c>
    </row>
    <row r="2728" ht="13.5" customHeight="1">
      <c r="B2728" s="268">
        <v>10864.0</v>
      </c>
      <c r="C2728" s="268">
        <f t="shared" si="1"/>
        <v>9.449617231</v>
      </c>
      <c r="D2728" s="268">
        <f t="shared" si="2"/>
        <v>2.968115942</v>
      </c>
    </row>
    <row r="2729" ht="13.5" customHeight="1">
      <c r="B2729" s="268">
        <v>10868.0</v>
      </c>
      <c r="C2729" s="268">
        <f t="shared" si="1"/>
        <v>9.455913636</v>
      </c>
      <c r="D2729" s="268">
        <f t="shared" si="2"/>
        <v>2.97026831</v>
      </c>
    </row>
    <row r="2730" ht="13.5" customHeight="1">
      <c r="B2730" s="268">
        <v>10872.0</v>
      </c>
      <c r="C2730" s="268">
        <f t="shared" si="1"/>
        <v>9.462214608</v>
      </c>
      <c r="D2730" s="268">
        <f t="shared" si="2"/>
        <v>2.972423803</v>
      </c>
    </row>
    <row r="2731" ht="13.5" customHeight="1">
      <c r="B2731" s="268">
        <v>10876.0</v>
      </c>
      <c r="C2731" s="268">
        <f t="shared" si="1"/>
        <v>9.468520154</v>
      </c>
      <c r="D2731" s="268">
        <f t="shared" si="2"/>
        <v>2.974582426</v>
      </c>
    </row>
    <row r="2732" ht="13.5" customHeight="1">
      <c r="B2732" s="268">
        <v>10880.0</v>
      </c>
      <c r="C2732" s="268">
        <f t="shared" si="1"/>
        <v>9.474830281</v>
      </c>
      <c r="D2732" s="268">
        <f t="shared" si="2"/>
        <v>2.976744186</v>
      </c>
    </row>
    <row r="2733" ht="13.5" customHeight="1">
      <c r="B2733" s="268">
        <v>10884.0</v>
      </c>
      <c r="C2733" s="268">
        <f t="shared" si="1"/>
        <v>9.481144996</v>
      </c>
      <c r="D2733" s="268">
        <f t="shared" si="2"/>
        <v>2.978909091</v>
      </c>
    </row>
    <row r="2734" ht="13.5" customHeight="1">
      <c r="B2734" s="268">
        <v>10888.0</v>
      </c>
      <c r="C2734" s="268">
        <f t="shared" si="1"/>
        <v>9.487464305</v>
      </c>
      <c r="D2734" s="268">
        <f t="shared" si="2"/>
        <v>2.981077147</v>
      </c>
    </row>
    <row r="2735" ht="13.5" customHeight="1">
      <c r="B2735" s="268">
        <v>10892.0</v>
      </c>
      <c r="C2735" s="268">
        <f t="shared" si="1"/>
        <v>9.493788215</v>
      </c>
      <c r="D2735" s="268">
        <f t="shared" si="2"/>
        <v>2.983248361</v>
      </c>
    </row>
    <row r="2736" ht="13.5" customHeight="1">
      <c r="B2736" s="268">
        <v>10896.0</v>
      </c>
      <c r="C2736" s="268">
        <f t="shared" si="1"/>
        <v>9.500116732</v>
      </c>
      <c r="D2736" s="268">
        <f t="shared" si="2"/>
        <v>2.985422741</v>
      </c>
    </row>
    <row r="2737" ht="13.5" customHeight="1">
      <c r="B2737" s="268">
        <v>10900.0</v>
      </c>
      <c r="C2737" s="268">
        <f t="shared" si="1"/>
        <v>9.506449864</v>
      </c>
      <c r="D2737" s="268">
        <f t="shared" si="2"/>
        <v>2.987600292</v>
      </c>
    </row>
    <row r="2738" ht="13.5" customHeight="1">
      <c r="B2738" s="268">
        <v>10904.0</v>
      </c>
      <c r="C2738" s="268">
        <f t="shared" si="1"/>
        <v>9.512787616</v>
      </c>
      <c r="D2738" s="268">
        <f t="shared" si="2"/>
        <v>2.989781022</v>
      </c>
    </row>
    <row r="2739" ht="13.5" customHeight="1">
      <c r="B2739" s="268">
        <v>10908.0</v>
      </c>
      <c r="C2739" s="268">
        <f t="shared" si="1"/>
        <v>9.519129997</v>
      </c>
      <c r="D2739" s="268">
        <f t="shared" si="2"/>
        <v>2.991964938</v>
      </c>
    </row>
    <row r="2740" ht="13.5" customHeight="1">
      <c r="B2740" s="268">
        <v>10912.0</v>
      </c>
      <c r="C2740" s="268">
        <f t="shared" si="1"/>
        <v>9.525477012</v>
      </c>
      <c r="D2740" s="268">
        <f t="shared" si="2"/>
        <v>2.994152047</v>
      </c>
    </row>
    <row r="2741" ht="13.5" customHeight="1">
      <c r="B2741" s="268">
        <v>10916.0</v>
      </c>
      <c r="C2741" s="268">
        <f t="shared" si="1"/>
        <v>9.531828668</v>
      </c>
      <c r="D2741" s="268">
        <f t="shared" si="2"/>
        <v>2.996342356</v>
      </c>
    </row>
    <row r="2742" ht="13.5" customHeight="1">
      <c r="B2742" s="268">
        <v>10920.0</v>
      </c>
      <c r="C2742" s="268">
        <f t="shared" si="1"/>
        <v>9.538184972</v>
      </c>
      <c r="D2742" s="268">
        <f t="shared" si="2"/>
        <v>2.998535871</v>
      </c>
    </row>
    <row r="2743" ht="13.5" customHeight="1">
      <c r="B2743" s="268">
        <v>10924.0</v>
      </c>
      <c r="C2743" s="268">
        <f t="shared" si="1"/>
        <v>9.544545932</v>
      </c>
      <c r="D2743" s="268">
        <f t="shared" si="2"/>
        <v>3.000732601</v>
      </c>
    </row>
    <row r="2744" ht="13.5" customHeight="1">
      <c r="B2744" s="268">
        <v>10928.0</v>
      </c>
      <c r="C2744" s="268">
        <f t="shared" si="1"/>
        <v>9.550911553</v>
      </c>
      <c r="D2744" s="268">
        <f t="shared" si="2"/>
        <v>3.002932551</v>
      </c>
    </row>
    <row r="2745" ht="13.5" customHeight="1">
      <c r="B2745" s="268">
        <v>10932.0</v>
      </c>
      <c r="C2745" s="268">
        <f t="shared" si="1"/>
        <v>9.557281843</v>
      </c>
      <c r="D2745" s="268">
        <f t="shared" si="2"/>
        <v>3.00513573</v>
      </c>
    </row>
    <row r="2746" ht="13.5" customHeight="1">
      <c r="B2746" s="268">
        <v>10936.0</v>
      </c>
      <c r="C2746" s="268">
        <f t="shared" si="1"/>
        <v>9.563656808</v>
      </c>
      <c r="D2746" s="268">
        <f t="shared" si="2"/>
        <v>3.007342144</v>
      </c>
    </row>
    <row r="2747" ht="13.5" customHeight="1">
      <c r="B2747" s="268">
        <v>10940.0</v>
      </c>
      <c r="C2747" s="268">
        <f t="shared" si="1"/>
        <v>9.570036455</v>
      </c>
      <c r="D2747" s="268">
        <f t="shared" si="2"/>
        <v>3.0095518</v>
      </c>
    </row>
    <row r="2748" ht="13.5" customHeight="1">
      <c r="B2748" s="268">
        <v>10944.0</v>
      </c>
      <c r="C2748" s="268">
        <f t="shared" si="1"/>
        <v>9.576420792</v>
      </c>
      <c r="D2748" s="268">
        <f t="shared" si="2"/>
        <v>3.011764706</v>
      </c>
    </row>
    <row r="2749" ht="13.5" customHeight="1">
      <c r="B2749" s="268">
        <v>10948.0</v>
      </c>
      <c r="C2749" s="268">
        <f t="shared" si="1"/>
        <v>9.582809825</v>
      </c>
      <c r="D2749" s="268">
        <f t="shared" si="2"/>
        <v>3.013980868</v>
      </c>
    </row>
    <row r="2750" ht="13.5" customHeight="1">
      <c r="B2750" s="268">
        <v>10952.0</v>
      </c>
      <c r="C2750" s="268">
        <f t="shared" si="1"/>
        <v>9.58920356</v>
      </c>
      <c r="D2750" s="268">
        <f t="shared" si="2"/>
        <v>3.016200295</v>
      </c>
    </row>
    <row r="2751" ht="13.5" customHeight="1">
      <c r="B2751" s="268">
        <v>10956.0</v>
      </c>
      <c r="C2751" s="268">
        <f t="shared" si="1"/>
        <v>9.595602006</v>
      </c>
      <c r="D2751" s="268">
        <f t="shared" si="2"/>
        <v>3.018422992</v>
      </c>
    </row>
    <row r="2752" ht="13.5" customHeight="1">
      <c r="B2752" s="268">
        <v>10960.0</v>
      </c>
      <c r="C2752" s="268">
        <f t="shared" si="1"/>
        <v>9.602005169</v>
      </c>
      <c r="D2752" s="268">
        <f t="shared" si="2"/>
        <v>3.020648968</v>
      </c>
    </row>
    <row r="2753" ht="13.5" customHeight="1">
      <c r="B2753" s="268">
        <v>10964.0</v>
      </c>
      <c r="C2753" s="268">
        <f t="shared" si="1"/>
        <v>9.608413055</v>
      </c>
      <c r="D2753" s="268">
        <f t="shared" si="2"/>
        <v>3.022878229</v>
      </c>
    </row>
    <row r="2754" ht="13.5" customHeight="1">
      <c r="B2754" s="268">
        <v>10968.0</v>
      </c>
      <c r="C2754" s="268">
        <f t="shared" si="1"/>
        <v>9.614825672</v>
      </c>
      <c r="D2754" s="268">
        <f t="shared" si="2"/>
        <v>3.025110783</v>
      </c>
    </row>
    <row r="2755" ht="13.5" customHeight="1">
      <c r="B2755" s="268">
        <v>10972.0</v>
      </c>
      <c r="C2755" s="268">
        <f t="shared" si="1"/>
        <v>9.621243027</v>
      </c>
      <c r="D2755" s="268">
        <f t="shared" si="2"/>
        <v>3.027346637</v>
      </c>
    </row>
    <row r="2756" ht="13.5" customHeight="1">
      <c r="B2756" s="268">
        <v>10976.0</v>
      </c>
      <c r="C2756" s="268">
        <f t="shared" si="1"/>
        <v>9.627665127</v>
      </c>
      <c r="D2756" s="268">
        <f t="shared" si="2"/>
        <v>3.029585799</v>
      </c>
    </row>
    <row r="2757" ht="13.5" customHeight="1">
      <c r="B2757" s="268">
        <v>10980.0</v>
      </c>
      <c r="C2757" s="268">
        <f t="shared" si="1"/>
        <v>9.634091979</v>
      </c>
      <c r="D2757" s="268">
        <f t="shared" si="2"/>
        <v>3.031828275</v>
      </c>
    </row>
    <row r="2758" ht="13.5" customHeight="1">
      <c r="B2758" s="268">
        <v>10984.0</v>
      </c>
      <c r="C2758" s="268">
        <f t="shared" si="1"/>
        <v>9.640523589</v>
      </c>
      <c r="D2758" s="268">
        <f t="shared" si="2"/>
        <v>3.034074074</v>
      </c>
    </row>
    <row r="2759" ht="13.5" customHeight="1">
      <c r="B2759" s="268">
        <v>10988.0</v>
      </c>
      <c r="C2759" s="268">
        <f t="shared" si="1"/>
        <v>9.646959966</v>
      </c>
      <c r="D2759" s="268">
        <f t="shared" si="2"/>
        <v>3.036323202</v>
      </c>
    </row>
    <row r="2760" ht="13.5" customHeight="1">
      <c r="B2760" s="268">
        <v>10992.0</v>
      </c>
      <c r="C2760" s="268">
        <f t="shared" si="1"/>
        <v>9.653401115</v>
      </c>
      <c r="D2760" s="268">
        <f t="shared" si="2"/>
        <v>3.038575668</v>
      </c>
    </row>
    <row r="2761" ht="13.5" customHeight="1">
      <c r="B2761" s="268">
        <v>10996.0</v>
      </c>
      <c r="C2761" s="268">
        <f t="shared" si="1"/>
        <v>9.659847045</v>
      </c>
      <c r="D2761" s="268">
        <f t="shared" si="2"/>
        <v>3.040831477</v>
      </c>
    </row>
    <row r="2762" ht="13.5" customHeight="1">
      <c r="B2762" s="268">
        <v>11000.0</v>
      </c>
      <c r="C2762" s="268">
        <f t="shared" si="1"/>
        <v>9.666297762</v>
      </c>
      <c r="D2762" s="268">
        <f t="shared" si="2"/>
        <v>3.043090639</v>
      </c>
    </row>
    <row r="2763" ht="13.5" customHeight="1">
      <c r="B2763" s="268">
        <v>11004.0</v>
      </c>
      <c r="C2763" s="268">
        <f t="shared" si="1"/>
        <v>9.672753273</v>
      </c>
      <c r="D2763" s="268">
        <f t="shared" si="2"/>
        <v>3.04535316</v>
      </c>
    </row>
    <row r="2764" ht="13.5" customHeight="1">
      <c r="B2764" s="268">
        <v>11008.0</v>
      </c>
      <c r="C2764" s="268">
        <f t="shared" si="1"/>
        <v>9.679213585</v>
      </c>
      <c r="D2764" s="268">
        <f t="shared" si="2"/>
        <v>3.047619048</v>
      </c>
    </row>
    <row r="2765" ht="13.5" customHeight="1">
      <c r="B2765" s="268">
        <v>11012.0</v>
      </c>
      <c r="C2765" s="268">
        <f t="shared" si="1"/>
        <v>9.685678706</v>
      </c>
      <c r="D2765" s="268">
        <f t="shared" si="2"/>
        <v>3.04988831</v>
      </c>
    </row>
    <row r="2766" ht="13.5" customHeight="1">
      <c r="B2766" s="268">
        <v>11016.0</v>
      </c>
      <c r="C2766" s="268">
        <f t="shared" si="1"/>
        <v>9.692148643</v>
      </c>
      <c r="D2766" s="268">
        <f t="shared" si="2"/>
        <v>3.052160954</v>
      </c>
    </row>
    <row r="2767" ht="13.5" customHeight="1">
      <c r="B2767" s="268">
        <v>11020.0</v>
      </c>
      <c r="C2767" s="268">
        <f t="shared" si="1"/>
        <v>9.698623402</v>
      </c>
      <c r="D2767" s="268">
        <f t="shared" si="2"/>
        <v>3.054436987</v>
      </c>
    </row>
    <row r="2768" ht="13.5" customHeight="1">
      <c r="B2768" s="268">
        <v>11024.0</v>
      </c>
      <c r="C2768" s="268">
        <f t="shared" si="1"/>
        <v>9.705102992</v>
      </c>
      <c r="D2768" s="268">
        <f t="shared" si="2"/>
        <v>3.056716418</v>
      </c>
    </row>
    <row r="2769" ht="13.5" customHeight="1">
      <c r="B2769" s="268">
        <v>11028.0</v>
      </c>
      <c r="C2769" s="268">
        <f t="shared" si="1"/>
        <v>9.711587419</v>
      </c>
      <c r="D2769" s="268">
        <f t="shared" si="2"/>
        <v>3.058999253</v>
      </c>
    </row>
    <row r="2770" ht="13.5" customHeight="1">
      <c r="B2770" s="268">
        <v>11032.0</v>
      </c>
      <c r="C2770" s="268">
        <f t="shared" si="1"/>
        <v>9.718076691</v>
      </c>
      <c r="D2770" s="268">
        <f t="shared" si="2"/>
        <v>3.061285501</v>
      </c>
    </row>
    <row r="2771" ht="13.5" customHeight="1">
      <c r="B2771" s="268">
        <v>11036.0</v>
      </c>
      <c r="C2771" s="268">
        <f t="shared" si="1"/>
        <v>9.724570814</v>
      </c>
      <c r="D2771" s="268">
        <f t="shared" si="2"/>
        <v>3.063575168</v>
      </c>
    </row>
    <row r="2772" ht="13.5" customHeight="1">
      <c r="B2772" s="268">
        <v>11040.0</v>
      </c>
      <c r="C2772" s="268">
        <f t="shared" si="1"/>
        <v>9.731069797</v>
      </c>
      <c r="D2772" s="268">
        <f t="shared" si="2"/>
        <v>3.065868263</v>
      </c>
    </row>
    <row r="2773" ht="13.5" customHeight="1">
      <c r="B2773" s="268">
        <v>11044.0</v>
      </c>
      <c r="C2773" s="268">
        <f t="shared" si="1"/>
        <v>9.737573645</v>
      </c>
      <c r="D2773" s="268">
        <f t="shared" si="2"/>
        <v>3.068164794</v>
      </c>
    </row>
    <row r="2774" ht="13.5" customHeight="1">
      <c r="B2774" s="268">
        <v>11048.0</v>
      </c>
      <c r="C2774" s="268">
        <f t="shared" si="1"/>
        <v>9.744082368</v>
      </c>
      <c r="D2774" s="268">
        <f t="shared" si="2"/>
        <v>3.070464768</v>
      </c>
    </row>
    <row r="2775" ht="13.5" customHeight="1">
      <c r="B2775" s="268">
        <v>11052.0</v>
      </c>
      <c r="C2775" s="268">
        <f t="shared" si="1"/>
        <v>9.750595971</v>
      </c>
      <c r="D2775" s="268">
        <f t="shared" si="2"/>
        <v>3.072768192</v>
      </c>
    </row>
    <row r="2776" ht="13.5" customHeight="1">
      <c r="B2776" s="268">
        <v>11056.0</v>
      </c>
      <c r="C2776" s="268">
        <f t="shared" si="1"/>
        <v>9.757114463</v>
      </c>
      <c r="D2776" s="268">
        <f t="shared" si="2"/>
        <v>3.075075075</v>
      </c>
    </row>
    <row r="2777" ht="13.5" customHeight="1">
      <c r="B2777" s="268">
        <v>11060.0</v>
      </c>
      <c r="C2777" s="268">
        <f t="shared" si="1"/>
        <v>9.76363785</v>
      </c>
      <c r="D2777" s="268">
        <f t="shared" si="2"/>
        <v>3.077385424</v>
      </c>
    </row>
    <row r="2778" ht="13.5" customHeight="1">
      <c r="B2778" s="268">
        <v>11064.0</v>
      </c>
      <c r="C2778" s="268">
        <f t="shared" si="1"/>
        <v>9.77016614</v>
      </c>
      <c r="D2778" s="268">
        <f t="shared" si="2"/>
        <v>3.079699248</v>
      </c>
    </row>
    <row r="2779" ht="13.5" customHeight="1">
      <c r="B2779" s="268">
        <v>11068.0</v>
      </c>
      <c r="C2779" s="268">
        <f t="shared" si="1"/>
        <v>9.776699341</v>
      </c>
      <c r="D2779" s="268">
        <f t="shared" si="2"/>
        <v>3.082016554</v>
      </c>
    </row>
    <row r="2780" ht="13.5" customHeight="1">
      <c r="B2780" s="268">
        <v>11072.0</v>
      </c>
      <c r="C2780" s="268">
        <f t="shared" si="1"/>
        <v>9.783237459</v>
      </c>
      <c r="D2780" s="268">
        <f t="shared" si="2"/>
        <v>3.084337349</v>
      </c>
    </row>
    <row r="2781" ht="13.5" customHeight="1">
      <c r="B2781" s="268">
        <v>11076.0</v>
      </c>
      <c r="C2781" s="268">
        <f t="shared" si="1"/>
        <v>9.789780502</v>
      </c>
      <c r="D2781" s="268">
        <f t="shared" si="2"/>
        <v>3.086661643</v>
      </c>
    </row>
    <row r="2782" ht="13.5" customHeight="1">
      <c r="B2782" s="268">
        <v>11080.0</v>
      </c>
      <c r="C2782" s="268">
        <f t="shared" si="1"/>
        <v>9.796328478</v>
      </c>
      <c r="D2782" s="268">
        <f t="shared" si="2"/>
        <v>3.088989442</v>
      </c>
    </row>
    <row r="2783" ht="13.5" customHeight="1">
      <c r="B2783" s="268">
        <v>11084.0</v>
      </c>
      <c r="C2783" s="268">
        <f t="shared" si="1"/>
        <v>9.802881394</v>
      </c>
      <c r="D2783" s="268">
        <f t="shared" si="2"/>
        <v>3.091320755</v>
      </c>
    </row>
    <row r="2784" ht="13.5" customHeight="1">
      <c r="B2784" s="268">
        <v>11088.0</v>
      </c>
      <c r="C2784" s="268">
        <f t="shared" si="1"/>
        <v>9.809439257</v>
      </c>
      <c r="D2784" s="268">
        <f t="shared" si="2"/>
        <v>3.093655589</v>
      </c>
    </row>
    <row r="2785" ht="13.5" customHeight="1">
      <c r="B2785" s="268">
        <v>11092.0</v>
      </c>
      <c r="C2785" s="268">
        <f t="shared" si="1"/>
        <v>9.816002076</v>
      </c>
      <c r="D2785" s="268">
        <f t="shared" si="2"/>
        <v>3.095993953</v>
      </c>
    </row>
    <row r="2786" ht="13.5" customHeight="1">
      <c r="B2786" s="268">
        <v>11096.0</v>
      </c>
      <c r="C2786" s="268">
        <f t="shared" si="1"/>
        <v>9.822569856</v>
      </c>
      <c r="D2786" s="268">
        <f t="shared" si="2"/>
        <v>3.098335855</v>
      </c>
    </row>
    <row r="2787" ht="13.5" customHeight="1">
      <c r="B2787" s="268">
        <v>11100.0</v>
      </c>
      <c r="C2787" s="268">
        <f t="shared" si="1"/>
        <v>9.829142607</v>
      </c>
      <c r="D2787" s="268">
        <f t="shared" si="2"/>
        <v>3.100681302</v>
      </c>
    </row>
    <row r="2788" ht="13.5" customHeight="1">
      <c r="B2788" s="268">
        <v>11104.0</v>
      </c>
      <c r="C2788" s="268">
        <f t="shared" si="1"/>
        <v>9.835720335</v>
      </c>
      <c r="D2788" s="268">
        <f t="shared" si="2"/>
        <v>3.103030303</v>
      </c>
    </row>
    <row r="2789" ht="13.5" customHeight="1">
      <c r="B2789" s="268">
        <v>11108.0</v>
      </c>
      <c r="C2789" s="268">
        <f t="shared" si="1"/>
        <v>9.842303048</v>
      </c>
      <c r="D2789" s="268">
        <f t="shared" si="2"/>
        <v>3.105382866</v>
      </c>
    </row>
    <row r="2790" ht="13.5" customHeight="1">
      <c r="B2790" s="268">
        <v>11112.0</v>
      </c>
      <c r="C2790" s="268">
        <f t="shared" si="1"/>
        <v>9.848890754</v>
      </c>
      <c r="D2790" s="268">
        <f t="shared" si="2"/>
        <v>3.107738998</v>
      </c>
    </row>
    <row r="2791" ht="13.5" customHeight="1">
      <c r="B2791" s="268">
        <v>11116.0</v>
      </c>
      <c r="C2791" s="268">
        <f t="shared" si="1"/>
        <v>9.85548346</v>
      </c>
      <c r="D2791" s="268">
        <f t="shared" si="2"/>
        <v>3.110098709</v>
      </c>
    </row>
    <row r="2792" ht="13.5" customHeight="1">
      <c r="B2792" s="268">
        <v>11120.0</v>
      </c>
      <c r="C2792" s="268">
        <f t="shared" si="1"/>
        <v>9.862081174</v>
      </c>
      <c r="D2792" s="268">
        <f t="shared" si="2"/>
        <v>3.112462006</v>
      </c>
    </row>
    <row r="2793" ht="13.5" customHeight="1">
      <c r="B2793" s="268">
        <v>11124.0</v>
      </c>
      <c r="C2793" s="268">
        <f t="shared" si="1"/>
        <v>9.868683903</v>
      </c>
      <c r="D2793" s="268">
        <f t="shared" si="2"/>
        <v>3.114828897</v>
      </c>
    </row>
    <row r="2794" ht="13.5" customHeight="1">
      <c r="B2794" s="268">
        <v>11128.0</v>
      </c>
      <c r="C2794" s="268">
        <f t="shared" si="1"/>
        <v>9.875291655</v>
      </c>
      <c r="D2794" s="268">
        <f t="shared" si="2"/>
        <v>3.117199391</v>
      </c>
    </row>
    <row r="2795" ht="13.5" customHeight="1">
      <c r="B2795" s="268">
        <v>11132.0</v>
      </c>
      <c r="C2795" s="268">
        <f t="shared" si="1"/>
        <v>9.881904438</v>
      </c>
      <c r="D2795" s="268">
        <f t="shared" si="2"/>
        <v>3.119573496</v>
      </c>
    </row>
    <row r="2796" ht="13.5" customHeight="1">
      <c r="B2796" s="268">
        <v>11136.0</v>
      </c>
      <c r="C2796" s="268">
        <f t="shared" si="1"/>
        <v>9.888522259</v>
      </c>
      <c r="D2796" s="268">
        <f t="shared" si="2"/>
        <v>3.12195122</v>
      </c>
    </row>
    <row r="2797" ht="13.5" customHeight="1">
      <c r="B2797" s="268">
        <v>11140.0</v>
      </c>
      <c r="C2797" s="268">
        <f t="shared" si="1"/>
        <v>9.895145126</v>
      </c>
      <c r="D2797" s="268">
        <f t="shared" si="2"/>
        <v>3.124332571</v>
      </c>
    </row>
    <row r="2798" ht="13.5" customHeight="1">
      <c r="B2798" s="268">
        <v>11144.0</v>
      </c>
      <c r="C2798" s="268">
        <f t="shared" si="1"/>
        <v>9.901773046</v>
      </c>
      <c r="D2798" s="268">
        <f t="shared" si="2"/>
        <v>3.126717557</v>
      </c>
    </row>
    <row r="2799" ht="13.5" customHeight="1">
      <c r="B2799" s="268">
        <v>11148.0</v>
      </c>
      <c r="C2799" s="268">
        <f t="shared" si="1"/>
        <v>9.908406028</v>
      </c>
      <c r="D2799" s="268">
        <f t="shared" si="2"/>
        <v>3.129106188</v>
      </c>
    </row>
    <row r="2800" ht="13.5" customHeight="1">
      <c r="B2800" s="268">
        <v>11152.0</v>
      </c>
      <c r="C2800" s="268">
        <f t="shared" si="1"/>
        <v>9.91504408</v>
      </c>
      <c r="D2800" s="268">
        <f t="shared" si="2"/>
        <v>3.131498471</v>
      </c>
    </row>
    <row r="2801" ht="13.5" customHeight="1">
      <c r="B2801" s="268">
        <v>11156.0</v>
      </c>
      <c r="C2801" s="268">
        <f t="shared" si="1"/>
        <v>9.921687208</v>
      </c>
      <c r="D2801" s="268">
        <f t="shared" si="2"/>
        <v>3.133894415</v>
      </c>
    </row>
    <row r="2802" ht="13.5" customHeight="1">
      <c r="B2802" s="268">
        <v>11160.0</v>
      </c>
      <c r="C2802" s="268">
        <f t="shared" si="1"/>
        <v>9.928335421</v>
      </c>
      <c r="D2802" s="268">
        <f t="shared" si="2"/>
        <v>3.136294028</v>
      </c>
    </row>
    <row r="2803" ht="13.5" customHeight="1">
      <c r="B2803" s="268">
        <v>11164.0</v>
      </c>
      <c r="C2803" s="268">
        <f t="shared" si="1"/>
        <v>9.934988726</v>
      </c>
      <c r="D2803" s="268">
        <f t="shared" si="2"/>
        <v>3.138697318</v>
      </c>
    </row>
    <row r="2804" ht="13.5" customHeight="1">
      <c r="B2804" s="268">
        <v>11168.0</v>
      </c>
      <c r="C2804" s="268">
        <f t="shared" si="1"/>
        <v>9.941647131</v>
      </c>
      <c r="D2804" s="268">
        <f t="shared" si="2"/>
        <v>3.141104294</v>
      </c>
    </row>
    <row r="2805" ht="13.5" customHeight="1">
      <c r="B2805" s="268">
        <v>11172.0</v>
      </c>
      <c r="C2805" s="268">
        <f t="shared" si="1"/>
        <v>9.948310645</v>
      </c>
      <c r="D2805" s="268">
        <f t="shared" si="2"/>
        <v>3.143514965</v>
      </c>
    </row>
    <row r="2806" ht="13.5" customHeight="1">
      <c r="B2806" s="268">
        <v>11176.0</v>
      </c>
      <c r="C2806" s="268">
        <f t="shared" si="1"/>
        <v>9.954979275</v>
      </c>
      <c r="D2806" s="268">
        <f t="shared" si="2"/>
        <v>3.145929339</v>
      </c>
    </row>
    <row r="2807" ht="13.5" customHeight="1">
      <c r="B2807" s="268">
        <v>11180.0</v>
      </c>
      <c r="C2807" s="268">
        <f t="shared" si="1"/>
        <v>9.961653028</v>
      </c>
      <c r="D2807" s="268">
        <f t="shared" si="2"/>
        <v>3.148347425</v>
      </c>
    </row>
    <row r="2808" ht="13.5" customHeight="1">
      <c r="B2808" s="268">
        <v>11184.0</v>
      </c>
      <c r="C2808" s="268">
        <f t="shared" si="1"/>
        <v>9.968331913</v>
      </c>
      <c r="D2808" s="268">
        <f t="shared" si="2"/>
        <v>3.150769231</v>
      </c>
    </row>
    <row r="2809" ht="13.5" customHeight="1">
      <c r="B2809" s="268">
        <v>11188.0</v>
      </c>
      <c r="C2809" s="268">
        <f t="shared" si="1"/>
        <v>9.975015938</v>
      </c>
      <c r="D2809" s="268">
        <f t="shared" si="2"/>
        <v>3.153194765</v>
      </c>
    </row>
    <row r="2810" ht="13.5" customHeight="1">
      <c r="B2810" s="268">
        <v>11192.0</v>
      </c>
      <c r="C2810" s="268">
        <f t="shared" si="1"/>
        <v>9.98170511</v>
      </c>
      <c r="D2810" s="268">
        <f t="shared" si="2"/>
        <v>3.155624037</v>
      </c>
    </row>
    <row r="2811" ht="13.5" customHeight="1">
      <c r="B2811" s="268">
        <v>11196.0</v>
      </c>
      <c r="C2811" s="268">
        <f t="shared" si="1"/>
        <v>9.988399438</v>
      </c>
      <c r="D2811" s="268">
        <f t="shared" si="2"/>
        <v>3.158057055</v>
      </c>
    </row>
    <row r="2812" ht="13.5" customHeight="1">
      <c r="B2812" s="268">
        <v>11200.0</v>
      </c>
      <c r="C2812" s="268">
        <f t="shared" si="1"/>
        <v>9.995098929</v>
      </c>
      <c r="D2812" s="268">
        <f t="shared" si="2"/>
        <v>3.160493827</v>
      </c>
    </row>
    <row r="2813" ht="13.5" customHeight="1">
      <c r="B2813" s="268">
        <v>11204.0</v>
      </c>
      <c r="C2813" s="268">
        <f t="shared" si="1"/>
        <v>10.00180359</v>
      </c>
      <c r="D2813" s="268">
        <f t="shared" si="2"/>
        <v>3.162934363</v>
      </c>
    </row>
    <row r="2814" ht="13.5" customHeight="1">
      <c r="B2814" s="268">
        <v>11208.0</v>
      </c>
      <c r="C2814" s="268">
        <f t="shared" si="1"/>
        <v>10.00851343</v>
      </c>
      <c r="D2814" s="268">
        <f t="shared" si="2"/>
        <v>3.165378671</v>
      </c>
    </row>
    <row r="2815" ht="13.5" customHeight="1">
      <c r="B2815" s="268">
        <v>11212.0</v>
      </c>
      <c r="C2815" s="268">
        <f t="shared" si="1"/>
        <v>10.01522846</v>
      </c>
      <c r="D2815" s="268">
        <f t="shared" si="2"/>
        <v>3.167826759</v>
      </c>
    </row>
    <row r="2816" ht="13.5" customHeight="1">
      <c r="B2816" s="268">
        <v>11216.0</v>
      </c>
      <c r="C2816" s="268">
        <f t="shared" si="1"/>
        <v>10.02194869</v>
      </c>
      <c r="D2816" s="268">
        <f t="shared" si="2"/>
        <v>3.170278638</v>
      </c>
    </row>
    <row r="2817" ht="13.5" customHeight="1">
      <c r="B2817" s="268">
        <v>11220.0</v>
      </c>
      <c r="C2817" s="268">
        <f t="shared" si="1"/>
        <v>10.02867411</v>
      </c>
      <c r="D2817" s="268">
        <f t="shared" si="2"/>
        <v>3.172734314</v>
      </c>
    </row>
    <row r="2818" ht="13.5" customHeight="1">
      <c r="B2818" s="268">
        <v>11224.0</v>
      </c>
      <c r="C2818" s="268">
        <f t="shared" si="1"/>
        <v>10.03540475</v>
      </c>
      <c r="D2818" s="268">
        <f t="shared" si="2"/>
        <v>3.175193798</v>
      </c>
    </row>
    <row r="2819" ht="13.5" customHeight="1">
      <c r="B2819" s="268">
        <v>11228.0</v>
      </c>
      <c r="C2819" s="268">
        <f t="shared" si="1"/>
        <v>10.04214061</v>
      </c>
      <c r="D2819" s="268">
        <f t="shared" si="2"/>
        <v>3.177657099</v>
      </c>
    </row>
    <row r="2820" ht="13.5" customHeight="1">
      <c r="B2820" s="268">
        <v>11232.0</v>
      </c>
      <c r="C2820" s="268">
        <f t="shared" si="1"/>
        <v>10.0488817</v>
      </c>
      <c r="D2820" s="268">
        <f t="shared" si="2"/>
        <v>3.180124224</v>
      </c>
    </row>
    <row r="2821" ht="13.5" customHeight="1">
      <c r="B2821" s="268">
        <v>11236.0</v>
      </c>
      <c r="C2821" s="268">
        <f t="shared" si="1"/>
        <v>10.05562802</v>
      </c>
      <c r="D2821" s="268">
        <f t="shared" si="2"/>
        <v>3.182595183</v>
      </c>
    </row>
    <row r="2822" ht="13.5" customHeight="1">
      <c r="B2822" s="268">
        <v>11240.0</v>
      </c>
      <c r="C2822" s="268">
        <f t="shared" si="1"/>
        <v>10.06237959</v>
      </c>
      <c r="D2822" s="268">
        <f t="shared" si="2"/>
        <v>3.185069984</v>
      </c>
    </row>
    <row r="2823" ht="13.5" customHeight="1">
      <c r="B2823" s="268">
        <v>11244.0</v>
      </c>
      <c r="C2823" s="268">
        <f t="shared" si="1"/>
        <v>10.06913641</v>
      </c>
      <c r="D2823" s="268">
        <f t="shared" si="2"/>
        <v>3.187548638</v>
      </c>
    </row>
    <row r="2824" ht="13.5" customHeight="1">
      <c r="B2824" s="268">
        <v>11248.0</v>
      </c>
      <c r="C2824" s="268">
        <f t="shared" si="1"/>
        <v>10.07589848</v>
      </c>
      <c r="D2824" s="268">
        <f t="shared" si="2"/>
        <v>3.190031153</v>
      </c>
    </row>
    <row r="2825" ht="13.5" customHeight="1">
      <c r="B2825" s="268">
        <v>11252.0</v>
      </c>
      <c r="C2825" s="268">
        <f t="shared" si="1"/>
        <v>10.08266583</v>
      </c>
      <c r="D2825" s="268">
        <f t="shared" si="2"/>
        <v>3.192517537</v>
      </c>
    </row>
    <row r="2826" ht="13.5" customHeight="1">
      <c r="B2826" s="268">
        <v>11256.0</v>
      </c>
      <c r="C2826" s="268">
        <f t="shared" si="1"/>
        <v>10.08943846</v>
      </c>
      <c r="D2826" s="268">
        <f t="shared" si="2"/>
        <v>3.1950078</v>
      </c>
    </row>
    <row r="2827" ht="13.5" customHeight="1">
      <c r="B2827" s="268">
        <v>11260.0</v>
      </c>
      <c r="C2827" s="268">
        <f t="shared" si="1"/>
        <v>10.09621636</v>
      </c>
      <c r="D2827" s="268">
        <f t="shared" si="2"/>
        <v>3.197501952</v>
      </c>
    </row>
    <row r="2828" ht="13.5" customHeight="1">
      <c r="B2828" s="268">
        <v>11264.0</v>
      </c>
      <c r="C2828" s="268">
        <f t="shared" si="1"/>
        <v>10.10299957</v>
      </c>
      <c r="D2828" s="268">
        <f t="shared" si="2"/>
        <v>3.2</v>
      </c>
    </row>
    <row r="2829" ht="13.5" customHeight="1">
      <c r="B2829" s="268">
        <v>11268.0</v>
      </c>
      <c r="C2829" s="268">
        <f t="shared" si="1"/>
        <v>10.10978807</v>
      </c>
      <c r="D2829" s="268">
        <f t="shared" si="2"/>
        <v>3.202501955</v>
      </c>
    </row>
    <row r="2830" ht="13.5" customHeight="1">
      <c r="B2830" s="268">
        <v>11272.0</v>
      </c>
      <c r="C2830" s="268">
        <f t="shared" si="1"/>
        <v>10.11658188</v>
      </c>
      <c r="D2830" s="268">
        <f t="shared" si="2"/>
        <v>3.205007825</v>
      </c>
    </row>
    <row r="2831" ht="13.5" customHeight="1">
      <c r="B2831" s="268">
        <v>11276.0</v>
      </c>
      <c r="C2831" s="268">
        <f t="shared" si="1"/>
        <v>10.12338101</v>
      </c>
      <c r="D2831" s="268">
        <f t="shared" si="2"/>
        <v>3.207517619</v>
      </c>
    </row>
    <row r="2832" ht="13.5" customHeight="1">
      <c r="B2832" s="268">
        <v>11280.0</v>
      </c>
      <c r="C2832" s="268">
        <f t="shared" si="1"/>
        <v>10.13018547</v>
      </c>
      <c r="D2832" s="268">
        <f t="shared" si="2"/>
        <v>3.210031348</v>
      </c>
    </row>
    <row r="2833" ht="13.5" customHeight="1">
      <c r="B2833" s="268">
        <v>11284.0</v>
      </c>
      <c r="C2833" s="268">
        <f t="shared" si="1"/>
        <v>10.13699526</v>
      </c>
      <c r="D2833" s="268">
        <f t="shared" si="2"/>
        <v>3.21254902</v>
      </c>
    </row>
    <row r="2834" ht="13.5" customHeight="1">
      <c r="B2834" s="268">
        <v>11288.0</v>
      </c>
      <c r="C2834" s="268">
        <f t="shared" si="1"/>
        <v>10.1438104</v>
      </c>
      <c r="D2834" s="268">
        <f t="shared" si="2"/>
        <v>3.215070644</v>
      </c>
    </row>
    <row r="2835" ht="13.5" customHeight="1">
      <c r="B2835" s="268">
        <v>11292.0</v>
      </c>
      <c r="C2835" s="268">
        <f t="shared" si="1"/>
        <v>10.15063089</v>
      </c>
      <c r="D2835" s="268">
        <f t="shared" si="2"/>
        <v>3.217596229</v>
      </c>
    </row>
    <row r="2836" ht="13.5" customHeight="1">
      <c r="B2836" s="268">
        <v>11296.0</v>
      </c>
      <c r="C2836" s="268">
        <f t="shared" si="1"/>
        <v>10.15745673</v>
      </c>
      <c r="D2836" s="268">
        <f t="shared" si="2"/>
        <v>3.220125786</v>
      </c>
    </row>
    <row r="2837" ht="13.5" customHeight="1">
      <c r="B2837" s="268">
        <v>11300.0</v>
      </c>
      <c r="C2837" s="268">
        <f t="shared" si="1"/>
        <v>10.16428795</v>
      </c>
      <c r="D2837" s="268">
        <f t="shared" si="2"/>
        <v>3.222659323</v>
      </c>
    </row>
    <row r="2838" ht="13.5" customHeight="1">
      <c r="B2838" s="268">
        <v>11304.0</v>
      </c>
      <c r="C2838" s="268">
        <f t="shared" si="1"/>
        <v>10.17112454</v>
      </c>
      <c r="D2838" s="268">
        <f t="shared" si="2"/>
        <v>3.22519685</v>
      </c>
    </row>
    <row r="2839" ht="13.5" customHeight="1">
      <c r="B2839" s="268">
        <v>11308.0</v>
      </c>
      <c r="C2839" s="268">
        <f t="shared" si="1"/>
        <v>10.17796652</v>
      </c>
      <c r="D2839" s="268">
        <f t="shared" si="2"/>
        <v>3.227738377</v>
      </c>
    </row>
    <row r="2840" ht="13.5" customHeight="1">
      <c r="B2840" s="268">
        <v>11312.0</v>
      </c>
      <c r="C2840" s="268">
        <f t="shared" si="1"/>
        <v>10.18481389</v>
      </c>
      <c r="D2840" s="268">
        <f t="shared" si="2"/>
        <v>3.230283912</v>
      </c>
    </row>
    <row r="2841" ht="13.5" customHeight="1">
      <c r="B2841" s="268">
        <v>11316.0</v>
      </c>
      <c r="C2841" s="268">
        <f t="shared" si="1"/>
        <v>10.19166666</v>
      </c>
      <c r="D2841" s="268">
        <f t="shared" si="2"/>
        <v>3.232833465</v>
      </c>
    </row>
    <row r="2842" ht="13.5" customHeight="1">
      <c r="B2842" s="268">
        <v>11320.0</v>
      </c>
      <c r="C2842" s="268">
        <f t="shared" si="1"/>
        <v>10.19852485</v>
      </c>
      <c r="D2842" s="268">
        <f t="shared" si="2"/>
        <v>3.235387046</v>
      </c>
    </row>
    <row r="2843" ht="13.5" customHeight="1">
      <c r="B2843" s="268">
        <v>11324.0</v>
      </c>
      <c r="C2843" s="268">
        <f t="shared" si="1"/>
        <v>10.20538845</v>
      </c>
      <c r="D2843" s="268">
        <f t="shared" si="2"/>
        <v>3.237944664</v>
      </c>
    </row>
    <row r="2844" ht="13.5" customHeight="1">
      <c r="B2844" s="268">
        <v>11328.0</v>
      </c>
      <c r="C2844" s="268">
        <f t="shared" si="1"/>
        <v>10.21225748</v>
      </c>
      <c r="D2844" s="268">
        <f t="shared" si="2"/>
        <v>3.240506329</v>
      </c>
    </row>
    <row r="2845" ht="13.5" customHeight="1">
      <c r="B2845" s="268">
        <v>11332.0</v>
      </c>
      <c r="C2845" s="268">
        <f t="shared" si="1"/>
        <v>10.21913195</v>
      </c>
      <c r="D2845" s="268">
        <f t="shared" si="2"/>
        <v>3.243072051</v>
      </c>
    </row>
    <row r="2846" ht="13.5" customHeight="1">
      <c r="B2846" s="268">
        <v>11336.0</v>
      </c>
      <c r="C2846" s="268">
        <f t="shared" si="1"/>
        <v>10.22601186</v>
      </c>
      <c r="D2846" s="268">
        <f t="shared" si="2"/>
        <v>3.245641838</v>
      </c>
    </row>
    <row r="2847" ht="13.5" customHeight="1">
      <c r="B2847" s="268">
        <v>11340.0</v>
      </c>
      <c r="C2847" s="268">
        <f t="shared" si="1"/>
        <v>10.23289723</v>
      </c>
      <c r="D2847" s="268">
        <f t="shared" si="2"/>
        <v>3.248215702</v>
      </c>
    </row>
    <row r="2848" ht="13.5" customHeight="1">
      <c r="B2848" s="268">
        <v>11344.0</v>
      </c>
      <c r="C2848" s="268">
        <f t="shared" si="1"/>
        <v>10.23978806</v>
      </c>
      <c r="D2848" s="268">
        <f t="shared" si="2"/>
        <v>3.250793651</v>
      </c>
    </row>
    <row r="2849" ht="13.5" customHeight="1">
      <c r="B2849" s="268">
        <v>11348.0</v>
      </c>
      <c r="C2849" s="268">
        <f t="shared" si="1"/>
        <v>10.24668436</v>
      </c>
      <c r="D2849" s="268">
        <f t="shared" si="2"/>
        <v>3.253375695</v>
      </c>
    </row>
    <row r="2850" ht="13.5" customHeight="1">
      <c r="B2850" s="268">
        <v>11352.0</v>
      </c>
      <c r="C2850" s="268">
        <f t="shared" si="1"/>
        <v>10.25358614</v>
      </c>
      <c r="D2850" s="268">
        <f t="shared" si="2"/>
        <v>3.255961844</v>
      </c>
    </row>
    <row r="2851" ht="13.5" customHeight="1">
      <c r="B2851" s="268">
        <v>11356.0</v>
      </c>
      <c r="C2851" s="268">
        <f t="shared" si="1"/>
        <v>10.26049341</v>
      </c>
      <c r="D2851" s="268">
        <f t="shared" si="2"/>
        <v>3.258552108</v>
      </c>
    </row>
    <row r="2852" ht="13.5" customHeight="1">
      <c r="B2852" s="268">
        <v>11360.0</v>
      </c>
      <c r="C2852" s="268">
        <f t="shared" si="1"/>
        <v>10.26740617</v>
      </c>
      <c r="D2852" s="268">
        <f t="shared" si="2"/>
        <v>3.261146497</v>
      </c>
    </row>
    <row r="2853" ht="13.5" customHeight="1">
      <c r="B2853" s="268">
        <v>11364.0</v>
      </c>
      <c r="C2853" s="268">
        <f t="shared" si="1"/>
        <v>10.27432444</v>
      </c>
      <c r="D2853" s="268">
        <f t="shared" si="2"/>
        <v>3.26374502</v>
      </c>
    </row>
    <row r="2854" ht="13.5" customHeight="1">
      <c r="B2854" s="268">
        <v>11368.0</v>
      </c>
      <c r="C2854" s="268">
        <f t="shared" si="1"/>
        <v>10.28124823</v>
      </c>
      <c r="D2854" s="268">
        <f t="shared" si="2"/>
        <v>3.266347687</v>
      </c>
    </row>
    <row r="2855" ht="13.5" customHeight="1">
      <c r="B2855" s="268">
        <v>11372.0</v>
      </c>
      <c r="C2855" s="268">
        <f t="shared" si="1"/>
        <v>10.28817754</v>
      </c>
      <c r="D2855" s="268">
        <f t="shared" si="2"/>
        <v>3.268954509</v>
      </c>
    </row>
    <row r="2856" ht="13.5" customHeight="1">
      <c r="B2856" s="268">
        <v>11376.0</v>
      </c>
      <c r="C2856" s="268">
        <f t="shared" si="1"/>
        <v>10.29511238</v>
      </c>
      <c r="D2856" s="268">
        <f t="shared" si="2"/>
        <v>3.271565495</v>
      </c>
    </row>
    <row r="2857" ht="13.5" customHeight="1">
      <c r="B2857" s="268">
        <v>11380.0</v>
      </c>
      <c r="C2857" s="268">
        <f t="shared" si="1"/>
        <v>10.30205277</v>
      </c>
      <c r="D2857" s="268">
        <f t="shared" si="2"/>
        <v>3.274180655</v>
      </c>
    </row>
    <row r="2858" ht="13.5" customHeight="1">
      <c r="B2858" s="268">
        <v>11384.0</v>
      </c>
      <c r="C2858" s="268">
        <f t="shared" si="1"/>
        <v>10.3089987</v>
      </c>
      <c r="D2858" s="268">
        <f t="shared" si="2"/>
        <v>3.2768</v>
      </c>
    </row>
    <row r="2859" ht="13.5" customHeight="1">
      <c r="B2859" s="268">
        <v>11388.0</v>
      </c>
      <c r="C2859" s="268">
        <f t="shared" si="1"/>
        <v>10.31595019</v>
      </c>
      <c r="D2859" s="268">
        <f t="shared" si="2"/>
        <v>3.279423539</v>
      </c>
    </row>
    <row r="2860" ht="13.5" customHeight="1">
      <c r="B2860" s="268">
        <v>11392.0</v>
      </c>
      <c r="C2860" s="268">
        <f t="shared" si="1"/>
        <v>10.32290725</v>
      </c>
      <c r="D2860" s="268">
        <f t="shared" si="2"/>
        <v>3.282051282</v>
      </c>
    </row>
    <row r="2861" ht="13.5" customHeight="1">
      <c r="B2861" s="268">
        <v>11396.0</v>
      </c>
      <c r="C2861" s="268">
        <f t="shared" si="1"/>
        <v>10.32986989</v>
      </c>
      <c r="D2861" s="268">
        <f t="shared" si="2"/>
        <v>3.28468324</v>
      </c>
    </row>
    <row r="2862" ht="13.5" customHeight="1">
      <c r="B2862" s="268">
        <v>11400.0</v>
      </c>
      <c r="C2862" s="268">
        <f t="shared" si="1"/>
        <v>10.33683811</v>
      </c>
      <c r="D2862" s="268">
        <f t="shared" si="2"/>
        <v>3.287319422</v>
      </c>
    </row>
    <row r="2863" ht="13.5" customHeight="1">
      <c r="B2863" s="268">
        <v>11404.0</v>
      </c>
      <c r="C2863" s="268">
        <f t="shared" si="1"/>
        <v>10.34381193</v>
      </c>
      <c r="D2863" s="268">
        <f t="shared" si="2"/>
        <v>3.289959839</v>
      </c>
    </row>
    <row r="2864" ht="13.5" customHeight="1">
      <c r="B2864" s="268">
        <v>11408.0</v>
      </c>
      <c r="C2864" s="268">
        <f t="shared" si="1"/>
        <v>10.35079135</v>
      </c>
      <c r="D2864" s="268">
        <f t="shared" si="2"/>
        <v>3.292604502</v>
      </c>
    </row>
    <row r="2865" ht="13.5" customHeight="1">
      <c r="B2865" s="268">
        <v>11412.0</v>
      </c>
      <c r="C2865" s="268">
        <f t="shared" si="1"/>
        <v>10.35777639</v>
      </c>
      <c r="D2865" s="268">
        <f t="shared" si="2"/>
        <v>3.295253419</v>
      </c>
    </row>
    <row r="2866" ht="13.5" customHeight="1">
      <c r="B2866" s="268">
        <v>11416.0</v>
      </c>
      <c r="C2866" s="268">
        <f t="shared" si="1"/>
        <v>10.36476704</v>
      </c>
      <c r="D2866" s="268">
        <f t="shared" si="2"/>
        <v>3.297906602</v>
      </c>
    </row>
    <row r="2867" ht="13.5" customHeight="1">
      <c r="B2867" s="268">
        <v>11420.0</v>
      </c>
      <c r="C2867" s="268">
        <f t="shared" si="1"/>
        <v>10.37176333</v>
      </c>
      <c r="D2867" s="268">
        <f t="shared" si="2"/>
        <v>3.300564061</v>
      </c>
    </row>
    <row r="2868" ht="13.5" customHeight="1">
      <c r="B2868" s="268">
        <v>11424.0</v>
      </c>
      <c r="C2868" s="268">
        <f t="shared" si="1"/>
        <v>10.37876526</v>
      </c>
      <c r="D2868" s="268">
        <f t="shared" si="2"/>
        <v>3.303225806</v>
      </c>
    </row>
    <row r="2869" ht="13.5" customHeight="1">
      <c r="B2869" s="268">
        <v>11428.0</v>
      </c>
      <c r="C2869" s="268">
        <f t="shared" si="1"/>
        <v>10.38577283</v>
      </c>
      <c r="D2869" s="268">
        <f t="shared" si="2"/>
        <v>3.305891848</v>
      </c>
    </row>
    <row r="2870" ht="13.5" customHeight="1">
      <c r="B2870" s="268">
        <v>11432.0</v>
      </c>
      <c r="C2870" s="268">
        <f t="shared" si="1"/>
        <v>10.39278607</v>
      </c>
      <c r="D2870" s="268">
        <f t="shared" si="2"/>
        <v>3.308562197</v>
      </c>
    </row>
    <row r="2871" ht="13.5" customHeight="1">
      <c r="B2871" s="268">
        <v>11436.0</v>
      </c>
      <c r="C2871" s="268">
        <f t="shared" si="1"/>
        <v>10.39980497</v>
      </c>
      <c r="D2871" s="268">
        <f t="shared" si="2"/>
        <v>3.311236863</v>
      </c>
    </row>
    <row r="2872" ht="13.5" customHeight="1">
      <c r="B2872" s="268">
        <v>11440.0</v>
      </c>
      <c r="C2872" s="268">
        <f t="shared" si="1"/>
        <v>10.40682954</v>
      </c>
      <c r="D2872" s="268">
        <f t="shared" si="2"/>
        <v>3.313915858</v>
      </c>
    </row>
    <row r="2873" ht="13.5" customHeight="1">
      <c r="B2873" s="268">
        <v>11444.0</v>
      </c>
      <c r="C2873" s="268">
        <f t="shared" si="1"/>
        <v>10.41385981</v>
      </c>
      <c r="D2873" s="268">
        <f t="shared" si="2"/>
        <v>3.31659919</v>
      </c>
    </row>
    <row r="2874" ht="13.5" customHeight="1">
      <c r="B2874" s="268">
        <v>11448.0</v>
      </c>
      <c r="C2874" s="268">
        <f t="shared" si="1"/>
        <v>10.42089577</v>
      </c>
      <c r="D2874" s="268">
        <f t="shared" si="2"/>
        <v>3.319286872</v>
      </c>
    </row>
    <row r="2875" ht="13.5" customHeight="1">
      <c r="B2875" s="268">
        <v>11452.0</v>
      </c>
      <c r="C2875" s="268">
        <f t="shared" si="1"/>
        <v>10.42793743</v>
      </c>
      <c r="D2875" s="268">
        <f t="shared" si="2"/>
        <v>3.321978913</v>
      </c>
    </row>
    <row r="2876" ht="13.5" customHeight="1">
      <c r="B2876" s="268">
        <v>11456.0</v>
      </c>
      <c r="C2876" s="268">
        <f t="shared" si="1"/>
        <v>10.4349848</v>
      </c>
      <c r="D2876" s="268">
        <f t="shared" si="2"/>
        <v>3.324675325</v>
      </c>
    </row>
    <row r="2877" ht="13.5" customHeight="1">
      <c r="B2877" s="268">
        <v>11460.0</v>
      </c>
      <c r="C2877" s="268">
        <f t="shared" si="1"/>
        <v>10.4420379</v>
      </c>
      <c r="D2877" s="268">
        <f t="shared" si="2"/>
        <v>3.327376117</v>
      </c>
    </row>
    <row r="2878" ht="13.5" customHeight="1">
      <c r="B2878" s="268">
        <v>11464.0</v>
      </c>
      <c r="C2878" s="268">
        <f t="shared" si="1"/>
        <v>10.44909673</v>
      </c>
      <c r="D2878" s="268">
        <f t="shared" si="2"/>
        <v>3.330081301</v>
      </c>
    </row>
    <row r="2879" ht="13.5" customHeight="1">
      <c r="B2879" s="268">
        <v>11468.0</v>
      </c>
      <c r="C2879" s="268">
        <f t="shared" si="1"/>
        <v>10.4561613</v>
      </c>
      <c r="D2879" s="268">
        <f t="shared" si="2"/>
        <v>3.332790887</v>
      </c>
    </row>
    <row r="2880" ht="13.5" customHeight="1">
      <c r="B2880" s="268">
        <v>11472.0</v>
      </c>
      <c r="C2880" s="268">
        <f t="shared" si="1"/>
        <v>10.46323162</v>
      </c>
      <c r="D2880" s="268">
        <f t="shared" si="2"/>
        <v>3.335504886</v>
      </c>
    </row>
    <row r="2881" ht="13.5" customHeight="1">
      <c r="B2881" s="268">
        <v>11476.0</v>
      </c>
      <c r="C2881" s="268">
        <f t="shared" si="1"/>
        <v>10.4703077</v>
      </c>
      <c r="D2881" s="268">
        <f t="shared" si="2"/>
        <v>3.338223309</v>
      </c>
    </row>
    <row r="2882" ht="13.5" customHeight="1">
      <c r="B2882" s="268">
        <v>11480.0</v>
      </c>
      <c r="C2882" s="268">
        <f t="shared" si="1"/>
        <v>10.47738956</v>
      </c>
      <c r="D2882" s="268">
        <f t="shared" si="2"/>
        <v>3.340946166</v>
      </c>
    </row>
    <row r="2883" ht="13.5" customHeight="1">
      <c r="B2883" s="268">
        <v>11484.0</v>
      </c>
      <c r="C2883" s="268">
        <f t="shared" si="1"/>
        <v>10.48447719</v>
      </c>
      <c r="D2883" s="268">
        <f t="shared" si="2"/>
        <v>3.343673469</v>
      </c>
    </row>
    <row r="2884" ht="13.5" customHeight="1">
      <c r="B2884" s="268">
        <v>11488.0</v>
      </c>
      <c r="C2884" s="268">
        <f t="shared" si="1"/>
        <v>10.4915706</v>
      </c>
      <c r="D2884" s="268">
        <f t="shared" si="2"/>
        <v>3.346405229</v>
      </c>
    </row>
    <row r="2885" ht="13.5" customHeight="1">
      <c r="B2885" s="268">
        <v>11492.0</v>
      </c>
      <c r="C2885" s="268">
        <f t="shared" si="1"/>
        <v>10.49866982</v>
      </c>
      <c r="D2885" s="268">
        <f t="shared" si="2"/>
        <v>3.349141455</v>
      </c>
    </row>
    <row r="2886" ht="13.5" customHeight="1">
      <c r="B2886" s="268">
        <v>11496.0</v>
      </c>
      <c r="C2886" s="268">
        <f t="shared" si="1"/>
        <v>10.50577484</v>
      </c>
      <c r="D2886" s="268">
        <f t="shared" si="2"/>
        <v>3.35188216</v>
      </c>
    </row>
    <row r="2887" ht="13.5" customHeight="1">
      <c r="B2887" s="268">
        <v>11500.0</v>
      </c>
      <c r="C2887" s="268">
        <f t="shared" si="1"/>
        <v>10.51288568</v>
      </c>
      <c r="D2887" s="268">
        <f t="shared" si="2"/>
        <v>3.354627355</v>
      </c>
    </row>
    <row r="2888" ht="13.5" customHeight="1">
      <c r="B2888" s="268">
        <v>11504.0</v>
      </c>
      <c r="C2888" s="268">
        <f t="shared" si="1"/>
        <v>10.52000235</v>
      </c>
      <c r="D2888" s="268">
        <f t="shared" si="2"/>
        <v>3.357377049</v>
      </c>
    </row>
    <row r="2889" ht="13.5" customHeight="1">
      <c r="B2889" s="268">
        <v>11508.0</v>
      </c>
      <c r="C2889" s="268">
        <f t="shared" si="1"/>
        <v>10.52712485</v>
      </c>
      <c r="D2889" s="268">
        <f t="shared" si="2"/>
        <v>3.360131255</v>
      </c>
    </row>
    <row r="2890" ht="13.5" customHeight="1">
      <c r="B2890" s="268">
        <v>11512.0</v>
      </c>
      <c r="C2890" s="268">
        <f t="shared" si="1"/>
        <v>10.53425319</v>
      </c>
      <c r="D2890" s="268">
        <f t="shared" si="2"/>
        <v>3.362889984</v>
      </c>
    </row>
    <row r="2891" ht="13.5" customHeight="1">
      <c r="B2891" s="268">
        <v>11516.0</v>
      </c>
      <c r="C2891" s="268">
        <f t="shared" si="1"/>
        <v>10.54138739</v>
      </c>
      <c r="D2891" s="268">
        <f t="shared" si="2"/>
        <v>3.365653246</v>
      </c>
    </row>
    <row r="2892" ht="13.5" customHeight="1">
      <c r="B2892" s="268">
        <v>11520.0</v>
      </c>
      <c r="C2892" s="268">
        <f t="shared" si="1"/>
        <v>10.54852746</v>
      </c>
      <c r="D2892" s="268">
        <f t="shared" si="2"/>
        <v>3.368421053</v>
      </c>
    </row>
    <row r="2893" ht="13.5" customHeight="1">
      <c r="B2893" s="268">
        <v>11524.0</v>
      </c>
      <c r="C2893" s="268">
        <f t="shared" si="1"/>
        <v>10.5556734</v>
      </c>
      <c r="D2893" s="268">
        <f t="shared" si="2"/>
        <v>3.371193416</v>
      </c>
    </row>
    <row r="2894" ht="13.5" customHeight="1">
      <c r="B2894" s="268">
        <v>11528.0</v>
      </c>
      <c r="C2894" s="268">
        <f t="shared" si="1"/>
        <v>10.56282522</v>
      </c>
      <c r="D2894" s="268">
        <f t="shared" si="2"/>
        <v>3.373970346</v>
      </c>
    </row>
    <row r="2895" ht="13.5" customHeight="1">
      <c r="B2895" s="268">
        <v>11532.0</v>
      </c>
      <c r="C2895" s="268">
        <f t="shared" si="1"/>
        <v>10.56998294</v>
      </c>
      <c r="D2895" s="268">
        <f t="shared" si="2"/>
        <v>3.376751855</v>
      </c>
    </row>
    <row r="2896" ht="13.5" customHeight="1">
      <c r="B2896" s="268">
        <v>11536.0</v>
      </c>
      <c r="C2896" s="268">
        <f t="shared" si="1"/>
        <v>10.57714656</v>
      </c>
      <c r="D2896" s="268">
        <f t="shared" si="2"/>
        <v>3.379537954</v>
      </c>
    </row>
    <row r="2897" ht="13.5" customHeight="1">
      <c r="B2897" s="268">
        <v>11540.0</v>
      </c>
      <c r="C2897" s="268">
        <f t="shared" si="1"/>
        <v>10.5843161</v>
      </c>
      <c r="D2897" s="268">
        <f t="shared" si="2"/>
        <v>3.382328654</v>
      </c>
    </row>
    <row r="2898" ht="13.5" customHeight="1">
      <c r="B2898" s="268">
        <v>11544.0</v>
      </c>
      <c r="C2898" s="268">
        <f t="shared" si="1"/>
        <v>10.59149155</v>
      </c>
      <c r="D2898" s="268">
        <f t="shared" si="2"/>
        <v>3.385123967</v>
      </c>
    </row>
    <row r="2899" ht="13.5" customHeight="1">
      <c r="B2899" s="268">
        <v>11548.0</v>
      </c>
      <c r="C2899" s="268">
        <f t="shared" si="1"/>
        <v>10.59867294</v>
      </c>
      <c r="D2899" s="268">
        <f t="shared" si="2"/>
        <v>3.387923904</v>
      </c>
    </row>
    <row r="2900" ht="13.5" customHeight="1">
      <c r="B2900" s="268">
        <v>11552.0</v>
      </c>
      <c r="C2900" s="268">
        <f t="shared" si="1"/>
        <v>10.60586027</v>
      </c>
      <c r="D2900" s="268">
        <f t="shared" si="2"/>
        <v>3.390728477</v>
      </c>
    </row>
    <row r="2901" ht="13.5" customHeight="1">
      <c r="B2901" s="268">
        <v>11556.0</v>
      </c>
      <c r="C2901" s="268">
        <f t="shared" si="1"/>
        <v>10.61305356</v>
      </c>
      <c r="D2901" s="268">
        <f t="shared" si="2"/>
        <v>3.393537697</v>
      </c>
    </row>
    <row r="2902" ht="13.5" customHeight="1">
      <c r="B2902" s="268">
        <v>11560.0</v>
      </c>
      <c r="C2902" s="268">
        <f t="shared" si="1"/>
        <v>10.6202528</v>
      </c>
      <c r="D2902" s="268">
        <f t="shared" si="2"/>
        <v>3.396351575</v>
      </c>
    </row>
    <row r="2903" ht="13.5" customHeight="1">
      <c r="B2903" s="268">
        <v>11564.0</v>
      </c>
      <c r="C2903" s="268">
        <f t="shared" si="1"/>
        <v>10.62745802</v>
      </c>
      <c r="D2903" s="268">
        <f t="shared" si="2"/>
        <v>3.399170124</v>
      </c>
    </row>
    <row r="2904" ht="13.5" customHeight="1">
      <c r="B2904" s="268">
        <v>11568.0</v>
      </c>
      <c r="C2904" s="268">
        <f t="shared" si="1"/>
        <v>10.63466922</v>
      </c>
      <c r="D2904" s="268">
        <f t="shared" si="2"/>
        <v>3.401993355</v>
      </c>
    </row>
    <row r="2905" ht="13.5" customHeight="1">
      <c r="B2905" s="268">
        <v>11572.0</v>
      </c>
      <c r="C2905" s="268">
        <f t="shared" si="1"/>
        <v>10.64188641</v>
      </c>
      <c r="D2905" s="268">
        <f t="shared" si="2"/>
        <v>3.40482128</v>
      </c>
    </row>
    <row r="2906" ht="13.5" customHeight="1">
      <c r="B2906" s="268">
        <v>11576.0</v>
      </c>
      <c r="C2906" s="268">
        <f t="shared" si="1"/>
        <v>10.64910961</v>
      </c>
      <c r="D2906" s="268">
        <f t="shared" si="2"/>
        <v>3.40765391</v>
      </c>
    </row>
    <row r="2907" ht="13.5" customHeight="1">
      <c r="B2907" s="268">
        <v>11580.0</v>
      </c>
      <c r="C2907" s="268">
        <f t="shared" si="1"/>
        <v>10.65633881</v>
      </c>
      <c r="D2907" s="268">
        <f t="shared" si="2"/>
        <v>3.410491257</v>
      </c>
    </row>
    <row r="2908" ht="13.5" customHeight="1">
      <c r="B2908" s="268">
        <v>11584.0</v>
      </c>
      <c r="C2908" s="268">
        <f t="shared" si="1"/>
        <v>10.66357404</v>
      </c>
      <c r="D2908" s="268">
        <f t="shared" si="2"/>
        <v>3.413333333</v>
      </c>
    </row>
    <row r="2909" ht="13.5" customHeight="1">
      <c r="B2909" s="268">
        <v>11588.0</v>
      </c>
      <c r="C2909" s="268">
        <f t="shared" si="1"/>
        <v>10.6708153</v>
      </c>
      <c r="D2909" s="268">
        <f t="shared" si="2"/>
        <v>3.41618015</v>
      </c>
    </row>
    <row r="2910" ht="13.5" customHeight="1">
      <c r="B2910" s="268">
        <v>11592.0</v>
      </c>
      <c r="C2910" s="268">
        <f t="shared" si="1"/>
        <v>10.6780626</v>
      </c>
      <c r="D2910" s="268">
        <f t="shared" si="2"/>
        <v>3.41903172</v>
      </c>
    </row>
    <row r="2911" ht="13.5" customHeight="1">
      <c r="B2911" s="268">
        <v>11596.0</v>
      </c>
      <c r="C2911" s="268">
        <f t="shared" si="1"/>
        <v>10.68531595</v>
      </c>
      <c r="D2911" s="268">
        <f t="shared" si="2"/>
        <v>3.421888053</v>
      </c>
    </row>
    <row r="2912" ht="13.5" customHeight="1">
      <c r="B2912" s="268">
        <v>11600.0</v>
      </c>
      <c r="C2912" s="268">
        <f t="shared" si="1"/>
        <v>10.69257537</v>
      </c>
      <c r="D2912" s="268">
        <f t="shared" si="2"/>
        <v>3.424749164</v>
      </c>
    </row>
    <row r="2913" ht="13.5" customHeight="1">
      <c r="B2913" s="268">
        <v>11604.0</v>
      </c>
      <c r="C2913" s="268">
        <f t="shared" si="1"/>
        <v>10.69984085</v>
      </c>
      <c r="D2913" s="268">
        <f t="shared" si="2"/>
        <v>3.427615063</v>
      </c>
    </row>
    <row r="2914" ht="13.5" customHeight="1">
      <c r="B2914" s="268">
        <v>11608.0</v>
      </c>
      <c r="C2914" s="268">
        <f t="shared" si="1"/>
        <v>10.70711242</v>
      </c>
      <c r="D2914" s="268">
        <f t="shared" si="2"/>
        <v>3.430485762</v>
      </c>
    </row>
    <row r="2915" ht="13.5" customHeight="1">
      <c r="B2915" s="268">
        <v>11612.0</v>
      </c>
      <c r="C2915" s="268">
        <f t="shared" si="1"/>
        <v>10.71439009</v>
      </c>
      <c r="D2915" s="268">
        <f t="shared" si="2"/>
        <v>3.433361274</v>
      </c>
    </row>
    <row r="2916" ht="13.5" customHeight="1">
      <c r="B2916" s="268">
        <v>11616.0</v>
      </c>
      <c r="C2916" s="268">
        <f t="shared" si="1"/>
        <v>10.72167385</v>
      </c>
      <c r="D2916" s="268">
        <f t="shared" si="2"/>
        <v>3.436241611</v>
      </c>
    </row>
    <row r="2917" ht="13.5" customHeight="1">
      <c r="B2917" s="268">
        <v>11620.0</v>
      </c>
      <c r="C2917" s="268">
        <f t="shared" si="1"/>
        <v>10.72896373</v>
      </c>
      <c r="D2917" s="268">
        <f t="shared" si="2"/>
        <v>3.439126784</v>
      </c>
    </row>
    <row r="2918" ht="13.5" customHeight="1">
      <c r="B2918" s="268">
        <v>11624.0</v>
      </c>
      <c r="C2918" s="268">
        <f t="shared" si="1"/>
        <v>10.73625973</v>
      </c>
      <c r="D2918" s="268">
        <f t="shared" si="2"/>
        <v>3.442016807</v>
      </c>
    </row>
    <row r="2919" ht="13.5" customHeight="1">
      <c r="B2919" s="268">
        <v>11628.0</v>
      </c>
      <c r="C2919" s="268">
        <f t="shared" si="1"/>
        <v>10.74356187</v>
      </c>
      <c r="D2919" s="268">
        <f t="shared" si="2"/>
        <v>3.44491169</v>
      </c>
    </row>
    <row r="2920" ht="13.5" customHeight="1">
      <c r="B2920" s="268">
        <v>11632.0</v>
      </c>
      <c r="C2920" s="268">
        <f t="shared" si="1"/>
        <v>10.75087015</v>
      </c>
      <c r="D2920" s="268">
        <f t="shared" si="2"/>
        <v>3.447811448</v>
      </c>
    </row>
    <row r="2921" ht="13.5" customHeight="1">
      <c r="B2921" s="268">
        <v>11636.0</v>
      </c>
      <c r="C2921" s="268">
        <f t="shared" si="1"/>
        <v>10.75818458</v>
      </c>
      <c r="D2921" s="268">
        <f t="shared" si="2"/>
        <v>3.450716091</v>
      </c>
    </row>
    <row r="2922" ht="13.5" customHeight="1">
      <c r="B2922" s="268">
        <v>11640.0</v>
      </c>
      <c r="C2922" s="268">
        <f t="shared" si="1"/>
        <v>10.76550518</v>
      </c>
      <c r="D2922" s="268">
        <f t="shared" si="2"/>
        <v>3.453625632</v>
      </c>
    </row>
    <row r="2923" ht="13.5" customHeight="1">
      <c r="B2923" s="268">
        <v>11644.0</v>
      </c>
      <c r="C2923" s="268">
        <f t="shared" si="1"/>
        <v>10.77283195</v>
      </c>
      <c r="D2923" s="268">
        <f t="shared" si="2"/>
        <v>3.456540084</v>
      </c>
    </row>
    <row r="2924" ht="13.5" customHeight="1">
      <c r="B2924" s="268">
        <v>11648.0</v>
      </c>
      <c r="C2924" s="268">
        <f t="shared" si="1"/>
        <v>10.78016491</v>
      </c>
      <c r="D2924" s="268">
        <f t="shared" si="2"/>
        <v>3.459459459</v>
      </c>
    </row>
    <row r="2925" ht="13.5" customHeight="1">
      <c r="B2925" s="268">
        <v>11652.0</v>
      </c>
      <c r="C2925" s="268">
        <f t="shared" si="1"/>
        <v>10.78750407</v>
      </c>
      <c r="D2925" s="268">
        <f t="shared" si="2"/>
        <v>3.46238377</v>
      </c>
    </row>
    <row r="2926" ht="13.5" customHeight="1">
      <c r="B2926" s="268">
        <v>11656.0</v>
      </c>
      <c r="C2926" s="268">
        <f t="shared" si="1"/>
        <v>10.79484943</v>
      </c>
      <c r="D2926" s="268">
        <f t="shared" si="2"/>
        <v>3.465313029</v>
      </c>
    </row>
    <row r="2927" ht="13.5" customHeight="1">
      <c r="B2927" s="268">
        <v>11660.0</v>
      </c>
      <c r="C2927" s="268">
        <f t="shared" si="1"/>
        <v>10.80220101</v>
      </c>
      <c r="D2927" s="268">
        <f t="shared" si="2"/>
        <v>3.468247248</v>
      </c>
    </row>
    <row r="2928" ht="13.5" customHeight="1">
      <c r="B2928" s="268">
        <v>11664.0</v>
      </c>
      <c r="C2928" s="268">
        <f t="shared" si="1"/>
        <v>10.80955881</v>
      </c>
      <c r="D2928" s="268">
        <f t="shared" si="2"/>
        <v>3.471186441</v>
      </c>
    </row>
    <row r="2929" ht="13.5" customHeight="1">
      <c r="B2929" s="268">
        <v>11668.0</v>
      </c>
      <c r="C2929" s="268">
        <f t="shared" si="1"/>
        <v>10.81692286</v>
      </c>
      <c r="D2929" s="268">
        <f t="shared" si="2"/>
        <v>3.474130619</v>
      </c>
    </row>
    <row r="2930" ht="13.5" customHeight="1">
      <c r="B2930" s="268">
        <v>11672.0</v>
      </c>
      <c r="C2930" s="268">
        <f t="shared" si="1"/>
        <v>10.82429315</v>
      </c>
      <c r="D2930" s="268">
        <f t="shared" si="2"/>
        <v>3.477079796</v>
      </c>
    </row>
    <row r="2931" ht="13.5" customHeight="1">
      <c r="B2931" s="268">
        <v>11676.0</v>
      </c>
      <c r="C2931" s="268">
        <f t="shared" si="1"/>
        <v>10.8316697</v>
      </c>
      <c r="D2931" s="268">
        <f t="shared" si="2"/>
        <v>3.480033985</v>
      </c>
    </row>
    <row r="2932" ht="13.5" customHeight="1">
      <c r="B2932" s="268">
        <v>11680.0</v>
      </c>
      <c r="C2932" s="268">
        <f t="shared" si="1"/>
        <v>10.83905252</v>
      </c>
      <c r="D2932" s="268">
        <f t="shared" si="2"/>
        <v>3.482993197</v>
      </c>
    </row>
    <row r="2933" ht="13.5" customHeight="1">
      <c r="B2933" s="268">
        <v>11684.0</v>
      </c>
      <c r="C2933" s="268">
        <f t="shared" si="1"/>
        <v>10.84644163</v>
      </c>
      <c r="D2933" s="268">
        <f t="shared" si="2"/>
        <v>3.485957447</v>
      </c>
    </row>
    <row r="2934" ht="13.5" customHeight="1">
      <c r="B2934" s="268">
        <v>11688.0</v>
      </c>
      <c r="C2934" s="268">
        <f t="shared" si="1"/>
        <v>10.85383702</v>
      </c>
      <c r="D2934" s="268">
        <f t="shared" si="2"/>
        <v>3.488926746</v>
      </c>
    </row>
    <row r="2935" ht="13.5" customHeight="1">
      <c r="B2935" s="268">
        <v>11692.0</v>
      </c>
      <c r="C2935" s="268">
        <f t="shared" si="1"/>
        <v>10.86123872</v>
      </c>
      <c r="D2935" s="268">
        <f t="shared" si="2"/>
        <v>3.491901108</v>
      </c>
    </row>
    <row r="2936" ht="13.5" customHeight="1">
      <c r="B2936" s="268">
        <v>11696.0</v>
      </c>
      <c r="C2936" s="268">
        <f t="shared" si="1"/>
        <v>10.86864673</v>
      </c>
      <c r="D2936" s="268">
        <f t="shared" si="2"/>
        <v>3.494880546</v>
      </c>
    </row>
    <row r="2937" ht="13.5" customHeight="1">
      <c r="B2937" s="268">
        <v>11700.0</v>
      </c>
      <c r="C2937" s="268">
        <f t="shared" si="1"/>
        <v>10.87606106</v>
      </c>
      <c r="D2937" s="268">
        <f t="shared" si="2"/>
        <v>3.497865073</v>
      </c>
    </row>
    <row r="2938" ht="13.5" customHeight="1">
      <c r="B2938" s="268">
        <v>11704.0</v>
      </c>
      <c r="C2938" s="268">
        <f t="shared" si="1"/>
        <v>10.88348172</v>
      </c>
      <c r="D2938" s="268">
        <f t="shared" si="2"/>
        <v>3.500854701</v>
      </c>
    </row>
    <row r="2939" ht="13.5" customHeight="1">
      <c r="B2939" s="268">
        <v>11708.0</v>
      </c>
      <c r="C2939" s="268">
        <f t="shared" si="1"/>
        <v>10.89090874</v>
      </c>
      <c r="D2939" s="268">
        <f t="shared" si="2"/>
        <v>3.503849444</v>
      </c>
    </row>
    <row r="2940" ht="13.5" customHeight="1">
      <c r="B2940" s="268">
        <v>11712.0</v>
      </c>
      <c r="C2940" s="268">
        <f t="shared" si="1"/>
        <v>10.8983421</v>
      </c>
      <c r="D2940" s="268">
        <f t="shared" si="2"/>
        <v>3.506849315</v>
      </c>
    </row>
    <row r="2941" ht="13.5" customHeight="1">
      <c r="B2941" s="268">
        <v>11716.0</v>
      </c>
      <c r="C2941" s="268">
        <f t="shared" si="1"/>
        <v>10.90578184</v>
      </c>
      <c r="D2941" s="268">
        <f t="shared" si="2"/>
        <v>3.509854327</v>
      </c>
    </row>
    <row r="2942" ht="13.5" customHeight="1">
      <c r="B2942" s="268">
        <v>11720.0</v>
      </c>
      <c r="C2942" s="268">
        <f t="shared" si="1"/>
        <v>10.91322795</v>
      </c>
      <c r="D2942" s="268">
        <f t="shared" si="2"/>
        <v>3.512864494</v>
      </c>
    </row>
    <row r="2943" ht="13.5" customHeight="1">
      <c r="B2943" s="268">
        <v>11724.0</v>
      </c>
      <c r="C2943" s="268">
        <f t="shared" si="1"/>
        <v>10.92068045</v>
      </c>
      <c r="D2943" s="268">
        <f t="shared" si="2"/>
        <v>3.515879828</v>
      </c>
    </row>
    <row r="2944" ht="13.5" customHeight="1">
      <c r="B2944" s="268">
        <v>11728.0</v>
      </c>
      <c r="C2944" s="268">
        <f t="shared" si="1"/>
        <v>10.92813935</v>
      </c>
      <c r="D2944" s="268">
        <f t="shared" si="2"/>
        <v>3.518900344</v>
      </c>
    </row>
    <row r="2945" ht="13.5" customHeight="1">
      <c r="B2945" s="268">
        <v>11732.0</v>
      </c>
      <c r="C2945" s="268">
        <f t="shared" si="1"/>
        <v>10.93560466</v>
      </c>
      <c r="D2945" s="268">
        <f t="shared" si="2"/>
        <v>3.521926053</v>
      </c>
    </row>
    <row r="2946" ht="13.5" customHeight="1">
      <c r="B2946" s="268">
        <v>11736.0</v>
      </c>
      <c r="C2946" s="268">
        <f t="shared" si="1"/>
        <v>10.9430764</v>
      </c>
      <c r="D2946" s="268">
        <f t="shared" si="2"/>
        <v>3.524956971</v>
      </c>
    </row>
    <row r="2947" ht="13.5" customHeight="1">
      <c r="B2947" s="268">
        <v>11740.0</v>
      </c>
      <c r="C2947" s="268">
        <f t="shared" si="1"/>
        <v>10.95055456</v>
      </c>
      <c r="D2947" s="268">
        <f t="shared" si="2"/>
        <v>3.527993109</v>
      </c>
    </row>
    <row r="2948" ht="13.5" customHeight="1">
      <c r="B2948" s="268">
        <v>11744.0</v>
      </c>
      <c r="C2948" s="268">
        <f t="shared" si="1"/>
        <v>10.95803917</v>
      </c>
      <c r="D2948" s="268">
        <f t="shared" si="2"/>
        <v>3.531034483</v>
      </c>
    </row>
    <row r="2949" ht="13.5" customHeight="1">
      <c r="B2949" s="268">
        <v>11748.0</v>
      </c>
      <c r="C2949" s="268">
        <f t="shared" si="1"/>
        <v>10.96553024</v>
      </c>
      <c r="D2949" s="268">
        <f t="shared" si="2"/>
        <v>3.534081104</v>
      </c>
    </row>
    <row r="2950" ht="13.5" customHeight="1">
      <c r="B2950" s="268">
        <v>11752.0</v>
      </c>
      <c r="C2950" s="268">
        <f t="shared" si="1"/>
        <v>10.97302777</v>
      </c>
      <c r="D2950" s="268">
        <f t="shared" si="2"/>
        <v>3.537132988</v>
      </c>
    </row>
    <row r="2951" ht="13.5" customHeight="1">
      <c r="B2951" s="268">
        <v>11756.0</v>
      </c>
      <c r="C2951" s="268">
        <f t="shared" si="1"/>
        <v>10.98053178</v>
      </c>
      <c r="D2951" s="268">
        <f t="shared" si="2"/>
        <v>3.540190147</v>
      </c>
    </row>
    <row r="2952" ht="13.5" customHeight="1">
      <c r="B2952" s="268">
        <v>11760.0</v>
      </c>
      <c r="C2952" s="268">
        <f t="shared" si="1"/>
        <v>10.98804228</v>
      </c>
      <c r="D2952" s="268">
        <f t="shared" si="2"/>
        <v>3.543252595</v>
      </c>
    </row>
    <row r="2953" ht="13.5" customHeight="1">
      <c r="B2953" s="268">
        <v>11764.0</v>
      </c>
      <c r="C2953" s="268">
        <f t="shared" si="1"/>
        <v>10.99555927</v>
      </c>
      <c r="D2953" s="268">
        <f t="shared" si="2"/>
        <v>3.546320346</v>
      </c>
    </row>
    <row r="2954" ht="13.5" customHeight="1">
      <c r="B2954" s="268">
        <v>11768.0</v>
      </c>
      <c r="C2954" s="268">
        <f t="shared" si="1"/>
        <v>11.00308278</v>
      </c>
      <c r="D2954" s="268">
        <f t="shared" si="2"/>
        <v>3.549393414</v>
      </c>
    </row>
    <row r="2955" ht="13.5" customHeight="1">
      <c r="B2955" s="268">
        <v>11772.0</v>
      </c>
      <c r="C2955" s="268">
        <f t="shared" si="1"/>
        <v>11.01061281</v>
      </c>
      <c r="D2955" s="268">
        <f t="shared" si="2"/>
        <v>3.552471813</v>
      </c>
    </row>
    <row r="2956" ht="13.5" customHeight="1">
      <c r="B2956" s="268">
        <v>11776.0</v>
      </c>
      <c r="C2956" s="268">
        <f t="shared" si="1"/>
        <v>11.01814938</v>
      </c>
      <c r="D2956" s="268">
        <f t="shared" si="2"/>
        <v>3.555555556</v>
      </c>
    </row>
    <row r="2957" ht="13.5" customHeight="1">
      <c r="B2957" s="268">
        <v>11780.0</v>
      </c>
      <c r="C2957" s="268">
        <f t="shared" si="1"/>
        <v>11.02569249</v>
      </c>
      <c r="D2957" s="268">
        <f t="shared" si="2"/>
        <v>3.558644657</v>
      </c>
    </row>
    <row r="2958" ht="13.5" customHeight="1">
      <c r="B2958" s="268">
        <v>11784.0</v>
      </c>
      <c r="C2958" s="268">
        <f t="shared" si="1"/>
        <v>11.03324215</v>
      </c>
      <c r="D2958" s="268">
        <f t="shared" si="2"/>
        <v>3.56173913</v>
      </c>
    </row>
    <row r="2959" ht="13.5" customHeight="1">
      <c r="B2959" s="268">
        <v>11788.0</v>
      </c>
      <c r="C2959" s="268">
        <f t="shared" si="1"/>
        <v>11.04079839</v>
      </c>
      <c r="D2959" s="268">
        <f t="shared" si="2"/>
        <v>3.56483899</v>
      </c>
    </row>
    <row r="2960" ht="13.5" customHeight="1">
      <c r="B2960" s="268">
        <v>11792.0</v>
      </c>
      <c r="C2960" s="268">
        <f t="shared" si="1"/>
        <v>11.0483612</v>
      </c>
      <c r="D2960" s="268">
        <f t="shared" si="2"/>
        <v>3.567944251</v>
      </c>
    </row>
    <row r="2961" ht="13.5" customHeight="1">
      <c r="B2961" s="268">
        <v>11796.0</v>
      </c>
      <c r="C2961" s="268">
        <f t="shared" si="1"/>
        <v>11.0559306</v>
      </c>
      <c r="D2961" s="268">
        <f t="shared" si="2"/>
        <v>3.571054926</v>
      </c>
    </row>
    <row r="2962" ht="13.5" customHeight="1">
      <c r="B2962" s="268">
        <v>11800.0</v>
      </c>
      <c r="C2962" s="268">
        <f t="shared" si="1"/>
        <v>11.06350661</v>
      </c>
      <c r="D2962" s="268">
        <f t="shared" si="2"/>
        <v>3.57417103</v>
      </c>
    </row>
    <row r="2963" ht="13.5" customHeight="1">
      <c r="B2963" s="268">
        <v>11804.0</v>
      </c>
      <c r="C2963" s="268">
        <f t="shared" si="1"/>
        <v>11.07108923</v>
      </c>
      <c r="D2963" s="268">
        <f t="shared" si="2"/>
        <v>3.577292576</v>
      </c>
    </row>
    <row r="2964" ht="13.5" customHeight="1">
      <c r="B2964" s="268">
        <v>11808.0</v>
      </c>
      <c r="C2964" s="268">
        <f t="shared" si="1"/>
        <v>11.07867847</v>
      </c>
      <c r="D2964" s="268">
        <f t="shared" si="2"/>
        <v>3.58041958</v>
      </c>
    </row>
    <row r="2965" ht="13.5" customHeight="1">
      <c r="B2965" s="268">
        <v>11812.0</v>
      </c>
      <c r="C2965" s="268">
        <f t="shared" si="1"/>
        <v>11.08627435</v>
      </c>
      <c r="D2965" s="268">
        <f t="shared" si="2"/>
        <v>3.583552056</v>
      </c>
    </row>
    <row r="2966" ht="13.5" customHeight="1">
      <c r="B2966" s="268">
        <v>11816.0</v>
      </c>
      <c r="C2966" s="268">
        <f t="shared" si="1"/>
        <v>11.09387688</v>
      </c>
      <c r="D2966" s="268">
        <f t="shared" si="2"/>
        <v>3.586690018</v>
      </c>
    </row>
    <row r="2967" ht="13.5" customHeight="1">
      <c r="B2967" s="268">
        <v>11820.0</v>
      </c>
      <c r="C2967" s="268">
        <f t="shared" si="1"/>
        <v>11.10148607</v>
      </c>
      <c r="D2967" s="268">
        <f t="shared" si="2"/>
        <v>3.589833479</v>
      </c>
    </row>
    <row r="2968" ht="13.5" customHeight="1">
      <c r="B2968" s="268">
        <v>11824.0</v>
      </c>
      <c r="C2968" s="268">
        <f t="shared" si="1"/>
        <v>11.10910193</v>
      </c>
      <c r="D2968" s="268">
        <f t="shared" si="2"/>
        <v>3.592982456</v>
      </c>
    </row>
    <row r="2969" ht="13.5" customHeight="1">
      <c r="B2969" s="268">
        <v>11828.0</v>
      </c>
      <c r="C2969" s="268">
        <f t="shared" si="1"/>
        <v>11.11672448</v>
      </c>
      <c r="D2969" s="268">
        <f t="shared" si="2"/>
        <v>3.596136962</v>
      </c>
    </row>
    <row r="2970" ht="13.5" customHeight="1">
      <c r="B2970" s="268">
        <v>11832.0</v>
      </c>
      <c r="C2970" s="268">
        <f t="shared" si="1"/>
        <v>11.12435372</v>
      </c>
      <c r="D2970" s="268">
        <f t="shared" si="2"/>
        <v>3.599297012</v>
      </c>
    </row>
    <row r="2971" ht="13.5" customHeight="1">
      <c r="B2971" s="268">
        <v>11836.0</v>
      </c>
      <c r="C2971" s="268">
        <f t="shared" si="1"/>
        <v>11.13198967</v>
      </c>
      <c r="D2971" s="268">
        <f t="shared" si="2"/>
        <v>3.602462621</v>
      </c>
    </row>
    <row r="2972" ht="13.5" customHeight="1">
      <c r="B2972" s="268">
        <v>11840.0</v>
      </c>
      <c r="C2972" s="268">
        <f t="shared" si="1"/>
        <v>11.13963233</v>
      </c>
      <c r="D2972" s="268">
        <f t="shared" si="2"/>
        <v>3.605633803</v>
      </c>
    </row>
    <row r="2973" ht="13.5" customHeight="1">
      <c r="B2973" s="268">
        <v>11844.0</v>
      </c>
      <c r="C2973" s="268">
        <f t="shared" si="1"/>
        <v>11.14728173</v>
      </c>
      <c r="D2973" s="268">
        <f t="shared" si="2"/>
        <v>3.608810573</v>
      </c>
    </row>
    <row r="2974" ht="13.5" customHeight="1">
      <c r="B2974" s="268">
        <v>11848.0</v>
      </c>
      <c r="C2974" s="268">
        <f t="shared" si="1"/>
        <v>11.15493787</v>
      </c>
      <c r="D2974" s="268">
        <f t="shared" si="2"/>
        <v>3.611992945</v>
      </c>
    </row>
    <row r="2975" ht="13.5" customHeight="1">
      <c r="B2975" s="268">
        <v>11852.0</v>
      </c>
      <c r="C2975" s="268">
        <f t="shared" si="1"/>
        <v>11.16260076</v>
      </c>
      <c r="D2975" s="268">
        <f t="shared" si="2"/>
        <v>3.615180936</v>
      </c>
    </row>
    <row r="2976" ht="13.5" customHeight="1">
      <c r="B2976" s="268">
        <v>11856.0</v>
      </c>
      <c r="C2976" s="268">
        <f t="shared" si="1"/>
        <v>11.17027042</v>
      </c>
      <c r="D2976" s="268">
        <f t="shared" si="2"/>
        <v>3.618374558</v>
      </c>
    </row>
    <row r="2977" ht="13.5" customHeight="1">
      <c r="B2977" s="268">
        <v>11860.0</v>
      </c>
      <c r="C2977" s="268">
        <f t="shared" si="1"/>
        <v>11.17794686</v>
      </c>
      <c r="D2977" s="268">
        <f t="shared" si="2"/>
        <v>3.621573828</v>
      </c>
    </row>
    <row r="2978" ht="13.5" customHeight="1">
      <c r="B2978" s="268">
        <v>11864.0</v>
      </c>
      <c r="C2978" s="268">
        <f t="shared" si="1"/>
        <v>11.18563009</v>
      </c>
      <c r="D2978" s="268">
        <f t="shared" si="2"/>
        <v>3.624778761</v>
      </c>
    </row>
    <row r="2979" ht="13.5" customHeight="1">
      <c r="B2979" s="268">
        <v>11868.0</v>
      </c>
      <c r="C2979" s="268">
        <f t="shared" si="1"/>
        <v>11.19332012</v>
      </c>
      <c r="D2979" s="268">
        <f t="shared" si="2"/>
        <v>3.627989371</v>
      </c>
    </row>
    <row r="2980" ht="13.5" customHeight="1">
      <c r="B2980" s="268">
        <v>11872.0</v>
      </c>
      <c r="C2980" s="268">
        <f t="shared" si="1"/>
        <v>11.20101697</v>
      </c>
      <c r="D2980" s="268">
        <f t="shared" si="2"/>
        <v>3.631205674</v>
      </c>
    </row>
    <row r="2981" ht="13.5" customHeight="1">
      <c r="B2981" s="268">
        <v>11876.0</v>
      </c>
      <c r="C2981" s="268">
        <f t="shared" si="1"/>
        <v>11.20872064</v>
      </c>
      <c r="D2981" s="268">
        <f t="shared" si="2"/>
        <v>3.634427684</v>
      </c>
    </row>
    <row r="2982" ht="13.5" customHeight="1">
      <c r="B2982" s="268">
        <v>11880.0</v>
      </c>
      <c r="C2982" s="268">
        <f t="shared" si="1"/>
        <v>11.21643115</v>
      </c>
      <c r="D2982" s="268">
        <f t="shared" si="2"/>
        <v>3.637655417</v>
      </c>
    </row>
    <row r="2983" ht="13.5" customHeight="1">
      <c r="B2983" s="268">
        <v>11884.0</v>
      </c>
      <c r="C2983" s="268">
        <f t="shared" si="1"/>
        <v>11.22414851</v>
      </c>
      <c r="D2983" s="268">
        <f t="shared" si="2"/>
        <v>3.640888889</v>
      </c>
    </row>
    <row r="2984" ht="13.5" customHeight="1">
      <c r="B2984" s="268">
        <v>11888.0</v>
      </c>
      <c r="C2984" s="268">
        <f t="shared" si="1"/>
        <v>11.23187273</v>
      </c>
      <c r="D2984" s="268">
        <f t="shared" si="2"/>
        <v>3.644128114</v>
      </c>
    </row>
    <row r="2985" ht="13.5" customHeight="1">
      <c r="B2985" s="268">
        <v>11892.0</v>
      </c>
      <c r="C2985" s="268">
        <f t="shared" si="1"/>
        <v>11.23960383</v>
      </c>
      <c r="D2985" s="268">
        <f t="shared" si="2"/>
        <v>3.647373108</v>
      </c>
    </row>
    <row r="2986" ht="13.5" customHeight="1">
      <c r="B2986" s="268">
        <v>11896.0</v>
      </c>
      <c r="C2986" s="268">
        <f t="shared" si="1"/>
        <v>11.24734182</v>
      </c>
      <c r="D2986" s="268">
        <f t="shared" si="2"/>
        <v>3.650623886</v>
      </c>
    </row>
    <row r="2987" ht="13.5" customHeight="1">
      <c r="B2987" s="268">
        <v>11900.0</v>
      </c>
      <c r="C2987" s="268">
        <f t="shared" si="1"/>
        <v>11.25508671</v>
      </c>
      <c r="D2987" s="268">
        <f t="shared" si="2"/>
        <v>3.653880464</v>
      </c>
    </row>
    <row r="2988" ht="13.5" customHeight="1">
      <c r="B2988" s="268">
        <v>11904.0</v>
      </c>
      <c r="C2988" s="268">
        <f t="shared" si="1"/>
        <v>11.26283851</v>
      </c>
      <c r="D2988" s="268">
        <f t="shared" si="2"/>
        <v>3.657142857</v>
      </c>
    </row>
    <row r="2989" ht="13.5" customHeight="1">
      <c r="B2989" s="268">
        <v>11908.0</v>
      </c>
      <c r="C2989" s="268">
        <f t="shared" si="1"/>
        <v>11.27059723</v>
      </c>
      <c r="D2989" s="268">
        <f t="shared" si="2"/>
        <v>3.660411081</v>
      </c>
    </row>
    <row r="2990" ht="13.5" customHeight="1">
      <c r="B2990" s="268">
        <v>11912.0</v>
      </c>
      <c r="C2990" s="268">
        <f t="shared" si="1"/>
        <v>11.27836289</v>
      </c>
      <c r="D2990" s="268">
        <f t="shared" si="2"/>
        <v>3.663685152</v>
      </c>
    </row>
    <row r="2991" ht="13.5" customHeight="1">
      <c r="B2991" s="268">
        <v>11916.0</v>
      </c>
      <c r="C2991" s="268">
        <f t="shared" si="1"/>
        <v>11.2861355</v>
      </c>
      <c r="D2991" s="268">
        <f t="shared" si="2"/>
        <v>3.666965085</v>
      </c>
    </row>
    <row r="2992" ht="13.5" customHeight="1">
      <c r="B2992" s="268">
        <v>11920.0</v>
      </c>
      <c r="C2992" s="268">
        <f t="shared" si="1"/>
        <v>11.29391507</v>
      </c>
      <c r="D2992" s="268">
        <f t="shared" si="2"/>
        <v>3.670250896</v>
      </c>
    </row>
    <row r="2993" ht="13.5" customHeight="1">
      <c r="B2993" s="268">
        <v>11924.0</v>
      </c>
      <c r="C2993" s="268">
        <f t="shared" si="1"/>
        <v>11.30170161</v>
      </c>
      <c r="D2993" s="268">
        <f t="shared" si="2"/>
        <v>3.673542601</v>
      </c>
    </row>
    <row r="2994" ht="13.5" customHeight="1">
      <c r="B2994" s="268">
        <v>11928.0</v>
      </c>
      <c r="C2994" s="268">
        <f t="shared" si="1"/>
        <v>11.30949514</v>
      </c>
      <c r="D2994" s="268">
        <f t="shared" si="2"/>
        <v>3.676840215</v>
      </c>
    </row>
    <row r="2995" ht="13.5" customHeight="1">
      <c r="B2995" s="268">
        <v>11932.0</v>
      </c>
      <c r="C2995" s="268">
        <f t="shared" si="1"/>
        <v>11.31729567</v>
      </c>
      <c r="D2995" s="268">
        <f t="shared" si="2"/>
        <v>3.680143756</v>
      </c>
    </row>
    <row r="2996" ht="13.5" customHeight="1">
      <c r="B2996" s="268">
        <v>11936.0</v>
      </c>
      <c r="C2996" s="268">
        <f t="shared" si="1"/>
        <v>11.32510321</v>
      </c>
      <c r="D2996" s="268">
        <f t="shared" si="2"/>
        <v>3.683453237</v>
      </c>
    </row>
    <row r="2997" ht="13.5" customHeight="1">
      <c r="B2997" s="268">
        <v>11940.0</v>
      </c>
      <c r="C2997" s="268">
        <f t="shared" si="1"/>
        <v>11.33291778</v>
      </c>
      <c r="D2997" s="268">
        <f t="shared" si="2"/>
        <v>3.686768677</v>
      </c>
    </row>
    <row r="2998" ht="13.5" customHeight="1">
      <c r="B2998" s="268">
        <v>11944.0</v>
      </c>
      <c r="C2998" s="268">
        <f t="shared" si="1"/>
        <v>11.34073938</v>
      </c>
      <c r="D2998" s="268">
        <f t="shared" si="2"/>
        <v>3.69009009</v>
      </c>
    </row>
    <row r="2999" ht="13.5" customHeight="1">
      <c r="B2999" s="268">
        <v>11948.0</v>
      </c>
      <c r="C2999" s="268">
        <f t="shared" si="1"/>
        <v>11.34856804</v>
      </c>
      <c r="D2999" s="268">
        <f t="shared" si="2"/>
        <v>3.693417493</v>
      </c>
    </row>
    <row r="3000" ht="13.5" customHeight="1">
      <c r="B3000" s="268">
        <v>11952.0</v>
      </c>
      <c r="C3000" s="268">
        <f t="shared" si="1"/>
        <v>11.35640375</v>
      </c>
      <c r="D3000" s="268">
        <f t="shared" si="2"/>
        <v>3.696750903</v>
      </c>
    </row>
    <row r="3001" ht="13.5" customHeight="1">
      <c r="B3001" s="268">
        <v>11956.0</v>
      </c>
      <c r="C3001" s="268">
        <f t="shared" si="1"/>
        <v>11.36424654</v>
      </c>
      <c r="D3001" s="268">
        <f t="shared" si="2"/>
        <v>3.700090334</v>
      </c>
    </row>
    <row r="3002" ht="13.5" customHeight="1">
      <c r="B3002" s="268">
        <v>11960.0</v>
      </c>
      <c r="C3002" s="268">
        <f t="shared" si="1"/>
        <v>11.37209642</v>
      </c>
      <c r="D3002" s="268">
        <f t="shared" si="2"/>
        <v>3.703435805</v>
      </c>
    </row>
    <row r="3003" ht="13.5" customHeight="1">
      <c r="B3003" s="268">
        <v>11964.0</v>
      </c>
      <c r="C3003" s="268">
        <f t="shared" si="1"/>
        <v>11.3799534</v>
      </c>
      <c r="D3003" s="268">
        <f t="shared" si="2"/>
        <v>3.70678733</v>
      </c>
    </row>
    <row r="3004" ht="13.5" customHeight="1">
      <c r="B3004" s="268">
        <v>11968.0</v>
      </c>
      <c r="C3004" s="268">
        <f t="shared" si="1"/>
        <v>11.38781749</v>
      </c>
      <c r="D3004" s="268">
        <f t="shared" si="2"/>
        <v>3.710144928</v>
      </c>
    </row>
    <row r="3005" ht="13.5" customHeight="1">
      <c r="B3005" s="268">
        <v>11972.0</v>
      </c>
      <c r="C3005" s="268">
        <f t="shared" si="1"/>
        <v>11.39568871</v>
      </c>
      <c r="D3005" s="268">
        <f t="shared" si="2"/>
        <v>3.713508613</v>
      </c>
    </row>
    <row r="3006" ht="13.5" customHeight="1">
      <c r="B3006" s="268">
        <v>11976.0</v>
      </c>
      <c r="C3006" s="268">
        <f t="shared" si="1"/>
        <v>11.40356707</v>
      </c>
      <c r="D3006" s="268">
        <f t="shared" si="2"/>
        <v>3.716878403</v>
      </c>
    </row>
    <row r="3007" ht="13.5" customHeight="1">
      <c r="B3007" s="268">
        <v>11980.0</v>
      </c>
      <c r="C3007" s="268">
        <f t="shared" si="1"/>
        <v>11.41145258</v>
      </c>
      <c r="D3007" s="268">
        <f t="shared" si="2"/>
        <v>3.720254314</v>
      </c>
    </row>
    <row r="3008" ht="13.5" customHeight="1">
      <c r="B3008" s="268">
        <v>11984.0</v>
      </c>
      <c r="C3008" s="268">
        <f t="shared" si="1"/>
        <v>11.41934526</v>
      </c>
      <c r="D3008" s="268">
        <f t="shared" si="2"/>
        <v>3.723636364</v>
      </c>
    </row>
    <row r="3009" ht="13.5" customHeight="1">
      <c r="B3009" s="268">
        <v>11988.0</v>
      </c>
      <c r="C3009" s="268">
        <f t="shared" si="1"/>
        <v>11.42724511</v>
      </c>
      <c r="D3009" s="268">
        <f t="shared" si="2"/>
        <v>3.727024568</v>
      </c>
    </row>
    <row r="3010" ht="13.5" customHeight="1">
      <c r="B3010" s="268">
        <v>11992.0</v>
      </c>
      <c r="C3010" s="268">
        <f t="shared" si="1"/>
        <v>11.43515216</v>
      </c>
      <c r="D3010" s="268">
        <f t="shared" si="2"/>
        <v>3.730418944</v>
      </c>
    </row>
    <row r="3011" ht="13.5" customHeight="1">
      <c r="B3011" s="268">
        <v>11996.0</v>
      </c>
      <c r="C3011" s="268">
        <f t="shared" si="1"/>
        <v>11.44306641</v>
      </c>
      <c r="D3011" s="268">
        <f t="shared" si="2"/>
        <v>3.733819508</v>
      </c>
    </row>
    <row r="3012" ht="13.5" customHeight="1">
      <c r="B3012" s="268">
        <v>12000.0</v>
      </c>
      <c r="C3012" s="268">
        <f t="shared" si="1"/>
        <v>11.45098788</v>
      </c>
      <c r="D3012" s="268">
        <f t="shared" si="2"/>
        <v>3.737226277</v>
      </c>
    </row>
    <row r="3013" ht="13.5" customHeight="1">
      <c r="B3013" s="268">
        <v>12004.0</v>
      </c>
      <c r="C3013" s="268">
        <f t="shared" si="1"/>
        <v>11.45891658</v>
      </c>
      <c r="D3013" s="268">
        <f t="shared" si="2"/>
        <v>3.740639269</v>
      </c>
    </row>
    <row r="3014" ht="13.5" customHeight="1">
      <c r="B3014" s="268">
        <v>12008.0</v>
      </c>
      <c r="C3014" s="268">
        <f t="shared" si="1"/>
        <v>11.46685252</v>
      </c>
      <c r="D3014" s="268">
        <f t="shared" si="2"/>
        <v>3.744058501</v>
      </c>
    </row>
    <row r="3015" ht="13.5" customHeight="1">
      <c r="B3015" s="268">
        <v>12012.0</v>
      </c>
      <c r="C3015" s="268">
        <f t="shared" si="1"/>
        <v>11.47479572</v>
      </c>
      <c r="D3015" s="268">
        <f t="shared" si="2"/>
        <v>3.747483989</v>
      </c>
    </row>
    <row r="3016" ht="13.5" customHeight="1">
      <c r="B3016" s="268">
        <v>12016.0</v>
      </c>
      <c r="C3016" s="268">
        <f t="shared" si="1"/>
        <v>11.48274619</v>
      </c>
      <c r="D3016" s="268">
        <f t="shared" si="2"/>
        <v>3.750915751</v>
      </c>
    </row>
    <row r="3017" ht="13.5" customHeight="1">
      <c r="B3017" s="268">
        <v>12020.0</v>
      </c>
      <c r="C3017" s="268">
        <f t="shared" si="1"/>
        <v>11.49070395</v>
      </c>
      <c r="D3017" s="268">
        <f t="shared" si="2"/>
        <v>3.754353804</v>
      </c>
    </row>
    <row r="3018" ht="13.5" customHeight="1">
      <c r="B3018" s="268">
        <v>12024.0</v>
      </c>
      <c r="C3018" s="268">
        <f t="shared" si="1"/>
        <v>11.498669</v>
      </c>
      <c r="D3018" s="268">
        <f t="shared" si="2"/>
        <v>3.757798165</v>
      </c>
    </row>
    <row r="3019" ht="13.5" customHeight="1">
      <c r="B3019" s="268">
        <v>12028.0</v>
      </c>
      <c r="C3019" s="268">
        <f t="shared" si="1"/>
        <v>11.50664136</v>
      </c>
      <c r="D3019" s="268">
        <f t="shared" si="2"/>
        <v>3.761248852</v>
      </c>
    </row>
    <row r="3020" ht="13.5" customHeight="1">
      <c r="B3020" s="268">
        <v>12032.0</v>
      </c>
      <c r="C3020" s="268">
        <f t="shared" si="1"/>
        <v>11.51462105</v>
      </c>
      <c r="D3020" s="268">
        <f t="shared" si="2"/>
        <v>3.764705882</v>
      </c>
    </row>
    <row r="3021" ht="13.5" customHeight="1">
      <c r="B3021" s="268">
        <v>12036.0</v>
      </c>
      <c r="C3021" s="268">
        <f t="shared" si="1"/>
        <v>11.52260808</v>
      </c>
      <c r="D3021" s="268">
        <f t="shared" si="2"/>
        <v>3.768169273</v>
      </c>
    </row>
    <row r="3022" ht="13.5" customHeight="1">
      <c r="B3022" s="268">
        <v>12040.0</v>
      </c>
      <c r="C3022" s="268">
        <f t="shared" si="1"/>
        <v>11.53060245</v>
      </c>
      <c r="D3022" s="268">
        <f t="shared" si="2"/>
        <v>3.771639042</v>
      </c>
    </row>
    <row r="3023" ht="13.5" customHeight="1">
      <c r="B3023" s="268">
        <v>12044.0</v>
      </c>
      <c r="C3023" s="268">
        <f t="shared" si="1"/>
        <v>11.5386042</v>
      </c>
      <c r="D3023" s="268">
        <f t="shared" si="2"/>
        <v>3.775115207</v>
      </c>
    </row>
    <row r="3024" ht="13.5" customHeight="1">
      <c r="B3024" s="268">
        <v>12048.0</v>
      </c>
      <c r="C3024" s="268">
        <f t="shared" si="1"/>
        <v>11.54661332</v>
      </c>
      <c r="D3024" s="268">
        <f t="shared" si="2"/>
        <v>3.778597786</v>
      </c>
    </row>
    <row r="3025" ht="13.5" customHeight="1">
      <c r="B3025" s="268">
        <v>12052.0</v>
      </c>
      <c r="C3025" s="268">
        <f t="shared" si="1"/>
        <v>11.55462983</v>
      </c>
      <c r="D3025" s="268">
        <f t="shared" si="2"/>
        <v>3.782086796</v>
      </c>
    </row>
    <row r="3026" ht="13.5" customHeight="1">
      <c r="B3026" s="268">
        <v>12056.0</v>
      </c>
      <c r="C3026" s="268">
        <f t="shared" si="1"/>
        <v>11.56265374</v>
      </c>
      <c r="D3026" s="268">
        <f t="shared" si="2"/>
        <v>3.785582255</v>
      </c>
    </row>
    <row r="3027" ht="13.5" customHeight="1">
      <c r="B3027" s="268">
        <v>12060.0</v>
      </c>
      <c r="C3027" s="268">
        <f t="shared" si="1"/>
        <v>11.57068508</v>
      </c>
      <c r="D3027" s="268">
        <f t="shared" si="2"/>
        <v>3.789084181</v>
      </c>
    </row>
    <row r="3028" ht="13.5" customHeight="1">
      <c r="B3028" s="268">
        <v>12064.0</v>
      </c>
      <c r="C3028" s="268">
        <f t="shared" si="1"/>
        <v>11.57872385</v>
      </c>
      <c r="D3028" s="268">
        <f t="shared" si="2"/>
        <v>3.792592593</v>
      </c>
    </row>
    <row r="3029" ht="13.5" customHeight="1">
      <c r="B3029" s="268">
        <v>12068.0</v>
      </c>
      <c r="C3029" s="268">
        <f t="shared" si="1"/>
        <v>11.58677007</v>
      </c>
      <c r="D3029" s="268">
        <f t="shared" si="2"/>
        <v>3.796107507</v>
      </c>
    </row>
    <row r="3030" ht="13.5" customHeight="1">
      <c r="B3030" s="268">
        <v>12072.0</v>
      </c>
      <c r="C3030" s="268">
        <f t="shared" si="1"/>
        <v>11.59482374</v>
      </c>
      <c r="D3030" s="268">
        <f t="shared" si="2"/>
        <v>3.799628942</v>
      </c>
    </row>
    <row r="3031" ht="13.5" customHeight="1">
      <c r="B3031" s="268">
        <v>12076.0</v>
      </c>
      <c r="C3031" s="268">
        <f t="shared" si="1"/>
        <v>11.60288489</v>
      </c>
      <c r="D3031" s="268">
        <f t="shared" si="2"/>
        <v>3.803156917</v>
      </c>
    </row>
    <row r="3032" ht="13.5" customHeight="1">
      <c r="B3032" s="268">
        <v>12080.0</v>
      </c>
      <c r="C3032" s="268">
        <f t="shared" si="1"/>
        <v>11.61095353</v>
      </c>
      <c r="D3032" s="268">
        <f t="shared" si="2"/>
        <v>3.80669145</v>
      </c>
    </row>
    <row r="3033" ht="13.5" customHeight="1">
      <c r="B3033" s="268">
        <v>12084.0</v>
      </c>
      <c r="C3033" s="268">
        <f t="shared" si="1"/>
        <v>11.61902967</v>
      </c>
      <c r="D3033" s="268">
        <f t="shared" si="2"/>
        <v>3.810232558</v>
      </c>
    </row>
    <row r="3034" ht="13.5" customHeight="1">
      <c r="B3034" s="268">
        <v>12088.0</v>
      </c>
      <c r="C3034" s="268">
        <f t="shared" si="1"/>
        <v>11.62711333</v>
      </c>
      <c r="D3034" s="268">
        <f t="shared" si="2"/>
        <v>3.813780261</v>
      </c>
    </row>
    <row r="3035" ht="13.5" customHeight="1">
      <c r="B3035" s="268">
        <v>12092.0</v>
      </c>
      <c r="C3035" s="268">
        <f t="shared" si="1"/>
        <v>11.63520452</v>
      </c>
      <c r="D3035" s="268">
        <f t="shared" si="2"/>
        <v>3.817334576</v>
      </c>
    </row>
    <row r="3036" ht="13.5" customHeight="1">
      <c r="B3036" s="268">
        <v>12096.0</v>
      </c>
      <c r="C3036" s="268">
        <f t="shared" si="1"/>
        <v>11.64330325</v>
      </c>
      <c r="D3036" s="268">
        <f t="shared" si="2"/>
        <v>3.820895522</v>
      </c>
    </row>
    <row r="3037" ht="13.5" customHeight="1">
      <c r="B3037" s="268">
        <v>12100.0</v>
      </c>
      <c r="C3037" s="268">
        <f t="shared" si="1"/>
        <v>11.65140954</v>
      </c>
      <c r="D3037" s="268">
        <f t="shared" si="2"/>
        <v>3.824463119</v>
      </c>
    </row>
    <row r="3038" ht="13.5" customHeight="1">
      <c r="B3038" s="268">
        <v>12104.0</v>
      </c>
      <c r="C3038" s="268">
        <f t="shared" si="1"/>
        <v>11.65952341</v>
      </c>
      <c r="D3038" s="268">
        <f t="shared" si="2"/>
        <v>3.828037383</v>
      </c>
    </row>
    <row r="3039" ht="13.5" customHeight="1">
      <c r="B3039" s="268">
        <v>12108.0</v>
      </c>
      <c r="C3039" s="268">
        <f t="shared" si="1"/>
        <v>11.66764486</v>
      </c>
      <c r="D3039" s="268">
        <f t="shared" si="2"/>
        <v>3.831618335</v>
      </c>
    </row>
    <row r="3040" ht="13.5" customHeight="1">
      <c r="B3040" s="268">
        <v>12112.0</v>
      </c>
      <c r="C3040" s="268">
        <f t="shared" si="1"/>
        <v>11.67577391</v>
      </c>
      <c r="D3040" s="268">
        <f t="shared" si="2"/>
        <v>3.835205993</v>
      </c>
    </row>
    <row r="3041" ht="13.5" customHeight="1">
      <c r="B3041" s="268">
        <v>12116.0</v>
      </c>
      <c r="C3041" s="268">
        <f t="shared" si="1"/>
        <v>11.68391057</v>
      </c>
      <c r="D3041" s="268">
        <f t="shared" si="2"/>
        <v>3.838800375</v>
      </c>
    </row>
    <row r="3042" ht="13.5" customHeight="1">
      <c r="B3042" s="268">
        <v>12120.0</v>
      </c>
      <c r="C3042" s="268">
        <f t="shared" si="1"/>
        <v>11.69205487</v>
      </c>
      <c r="D3042" s="268">
        <f t="shared" si="2"/>
        <v>3.842401501</v>
      </c>
    </row>
    <row r="3043" ht="13.5" customHeight="1">
      <c r="B3043" s="268">
        <v>12124.0</v>
      </c>
      <c r="C3043" s="268">
        <f t="shared" si="1"/>
        <v>11.7002068</v>
      </c>
      <c r="D3043" s="268">
        <f t="shared" si="2"/>
        <v>3.84600939</v>
      </c>
    </row>
    <row r="3044" ht="13.5" customHeight="1">
      <c r="B3044" s="268">
        <v>12128.0</v>
      </c>
      <c r="C3044" s="268">
        <f t="shared" si="1"/>
        <v>11.7083664</v>
      </c>
      <c r="D3044" s="268">
        <f t="shared" si="2"/>
        <v>3.84962406</v>
      </c>
    </row>
    <row r="3045" ht="13.5" customHeight="1">
      <c r="B3045" s="268">
        <v>12132.0</v>
      </c>
      <c r="C3045" s="268">
        <f t="shared" si="1"/>
        <v>11.71653367</v>
      </c>
      <c r="D3045" s="268">
        <f t="shared" si="2"/>
        <v>3.853245532</v>
      </c>
    </row>
    <row r="3046" ht="13.5" customHeight="1">
      <c r="B3046" s="268">
        <v>12136.0</v>
      </c>
      <c r="C3046" s="268">
        <f t="shared" si="1"/>
        <v>11.72470862</v>
      </c>
      <c r="D3046" s="268">
        <f t="shared" si="2"/>
        <v>3.856873823</v>
      </c>
    </row>
    <row r="3047" ht="13.5" customHeight="1">
      <c r="B3047" s="268">
        <v>12140.0</v>
      </c>
      <c r="C3047" s="268">
        <f t="shared" si="1"/>
        <v>11.73289128</v>
      </c>
      <c r="D3047" s="268">
        <f t="shared" si="2"/>
        <v>3.860508954</v>
      </c>
    </row>
    <row r="3048" ht="13.5" customHeight="1">
      <c r="B3048" s="268">
        <v>12144.0</v>
      </c>
      <c r="C3048" s="268">
        <f t="shared" si="1"/>
        <v>11.74108165</v>
      </c>
      <c r="D3048" s="268">
        <f t="shared" si="2"/>
        <v>3.864150943</v>
      </c>
    </row>
    <row r="3049" ht="13.5" customHeight="1">
      <c r="B3049" s="268">
        <v>12148.0</v>
      </c>
      <c r="C3049" s="268">
        <f t="shared" si="1"/>
        <v>11.74927976</v>
      </c>
      <c r="D3049" s="268">
        <f t="shared" si="2"/>
        <v>3.867799811</v>
      </c>
    </row>
    <row r="3050" ht="13.5" customHeight="1">
      <c r="B3050" s="268">
        <v>12152.0</v>
      </c>
      <c r="C3050" s="268">
        <f t="shared" si="1"/>
        <v>11.75748561</v>
      </c>
      <c r="D3050" s="268">
        <f t="shared" si="2"/>
        <v>3.871455577</v>
      </c>
    </row>
    <row r="3051" ht="13.5" customHeight="1">
      <c r="B3051" s="268">
        <v>12156.0</v>
      </c>
      <c r="C3051" s="268">
        <f t="shared" si="1"/>
        <v>11.76569921</v>
      </c>
      <c r="D3051" s="268">
        <f t="shared" si="2"/>
        <v>3.875118259</v>
      </c>
    </row>
    <row r="3052" ht="13.5" customHeight="1">
      <c r="B3052" s="268">
        <v>12160.0</v>
      </c>
      <c r="C3052" s="268">
        <f t="shared" si="1"/>
        <v>11.7739206</v>
      </c>
      <c r="D3052" s="268">
        <f t="shared" si="2"/>
        <v>3.878787879</v>
      </c>
    </row>
    <row r="3053" ht="13.5" customHeight="1">
      <c r="B3053" s="268">
        <v>12164.0</v>
      </c>
      <c r="C3053" s="268">
        <f t="shared" si="1"/>
        <v>11.78214977</v>
      </c>
      <c r="D3053" s="268">
        <f t="shared" si="2"/>
        <v>3.882464455</v>
      </c>
    </row>
    <row r="3054" ht="13.5" customHeight="1">
      <c r="B3054" s="268">
        <v>12168.0</v>
      </c>
      <c r="C3054" s="268">
        <f t="shared" si="1"/>
        <v>11.79038674</v>
      </c>
      <c r="D3054" s="268">
        <f t="shared" si="2"/>
        <v>3.886148008</v>
      </c>
    </row>
    <row r="3055" ht="13.5" customHeight="1">
      <c r="B3055" s="268">
        <v>12172.0</v>
      </c>
      <c r="C3055" s="268">
        <f t="shared" si="1"/>
        <v>11.79863154</v>
      </c>
      <c r="D3055" s="268">
        <f t="shared" si="2"/>
        <v>3.889838557</v>
      </c>
    </row>
    <row r="3056" ht="13.5" customHeight="1">
      <c r="B3056" s="268">
        <v>12176.0</v>
      </c>
      <c r="C3056" s="268">
        <f t="shared" si="1"/>
        <v>11.80688416</v>
      </c>
      <c r="D3056" s="268">
        <f t="shared" si="2"/>
        <v>3.893536122</v>
      </c>
    </row>
    <row r="3057" ht="13.5" customHeight="1">
      <c r="B3057" s="268">
        <v>12180.0</v>
      </c>
      <c r="C3057" s="268">
        <f t="shared" si="1"/>
        <v>11.81514464</v>
      </c>
      <c r="D3057" s="268">
        <f t="shared" si="2"/>
        <v>3.897240723</v>
      </c>
    </row>
    <row r="3058" ht="13.5" customHeight="1">
      <c r="B3058" s="268">
        <v>12184.0</v>
      </c>
      <c r="C3058" s="268">
        <f t="shared" si="1"/>
        <v>11.82341298</v>
      </c>
      <c r="D3058" s="268">
        <f t="shared" si="2"/>
        <v>3.900952381</v>
      </c>
    </row>
    <row r="3059" ht="13.5" customHeight="1">
      <c r="B3059" s="268">
        <v>12188.0</v>
      </c>
      <c r="C3059" s="268">
        <f t="shared" si="1"/>
        <v>11.8316892</v>
      </c>
      <c r="D3059" s="268">
        <f t="shared" si="2"/>
        <v>3.904671115</v>
      </c>
    </row>
    <row r="3060" ht="13.5" customHeight="1">
      <c r="B3060" s="268">
        <v>12192.0</v>
      </c>
      <c r="C3060" s="268">
        <f t="shared" si="1"/>
        <v>11.83997331</v>
      </c>
      <c r="D3060" s="268">
        <f t="shared" si="2"/>
        <v>3.908396947</v>
      </c>
    </row>
    <row r="3061" ht="13.5" customHeight="1">
      <c r="B3061" s="268">
        <v>12196.0</v>
      </c>
      <c r="C3061" s="268">
        <f t="shared" si="1"/>
        <v>11.84826533</v>
      </c>
      <c r="D3061" s="268">
        <f t="shared" si="2"/>
        <v>3.912129895</v>
      </c>
    </row>
    <row r="3062" ht="13.5" customHeight="1">
      <c r="B3062" s="268">
        <v>12200.0</v>
      </c>
      <c r="C3062" s="268">
        <f t="shared" si="1"/>
        <v>11.85656527</v>
      </c>
      <c r="D3062" s="268">
        <f t="shared" si="2"/>
        <v>3.915869981</v>
      </c>
    </row>
    <row r="3063" ht="13.5" customHeight="1">
      <c r="B3063" s="268">
        <v>12204.0</v>
      </c>
      <c r="C3063" s="268">
        <f t="shared" si="1"/>
        <v>11.86487315</v>
      </c>
      <c r="D3063" s="268">
        <f t="shared" si="2"/>
        <v>3.919617225</v>
      </c>
    </row>
    <row r="3064" ht="13.5" customHeight="1">
      <c r="B3064" s="268">
        <v>12208.0</v>
      </c>
      <c r="C3064" s="268">
        <f t="shared" si="1"/>
        <v>11.87318899</v>
      </c>
      <c r="D3064" s="268">
        <f t="shared" si="2"/>
        <v>3.923371648</v>
      </c>
    </row>
    <row r="3065" ht="13.5" customHeight="1">
      <c r="B3065" s="268">
        <v>12212.0</v>
      </c>
      <c r="C3065" s="268">
        <f t="shared" si="1"/>
        <v>11.88151279</v>
      </c>
      <c r="D3065" s="268">
        <f t="shared" si="2"/>
        <v>3.927133269</v>
      </c>
    </row>
    <row r="3066" ht="13.5" customHeight="1">
      <c r="B3066" s="268">
        <v>12216.0</v>
      </c>
      <c r="C3066" s="268">
        <f t="shared" si="1"/>
        <v>11.88984458</v>
      </c>
      <c r="D3066" s="268">
        <f t="shared" si="2"/>
        <v>3.930902111</v>
      </c>
    </row>
    <row r="3067" ht="13.5" customHeight="1">
      <c r="B3067" s="268">
        <v>12220.0</v>
      </c>
      <c r="C3067" s="268">
        <f t="shared" si="1"/>
        <v>11.89818437</v>
      </c>
      <c r="D3067" s="268">
        <f t="shared" si="2"/>
        <v>3.934678194</v>
      </c>
    </row>
    <row r="3068" ht="13.5" customHeight="1">
      <c r="B3068" s="268">
        <v>12224.0</v>
      </c>
      <c r="C3068" s="268">
        <f t="shared" si="1"/>
        <v>11.90653217</v>
      </c>
      <c r="D3068" s="268">
        <f t="shared" si="2"/>
        <v>3.938461538</v>
      </c>
    </row>
    <row r="3069" ht="13.5" customHeight="1">
      <c r="B3069" s="268">
        <v>12228.0</v>
      </c>
      <c r="C3069" s="268">
        <f t="shared" si="1"/>
        <v>11.91488801</v>
      </c>
      <c r="D3069" s="268">
        <f t="shared" si="2"/>
        <v>3.942252166</v>
      </c>
    </row>
    <row r="3070" ht="13.5" customHeight="1">
      <c r="B3070" s="268">
        <v>12232.0</v>
      </c>
      <c r="C3070" s="268">
        <f t="shared" si="1"/>
        <v>11.92325189</v>
      </c>
      <c r="D3070" s="268">
        <f t="shared" si="2"/>
        <v>3.946050096</v>
      </c>
    </row>
    <row r="3071" ht="13.5" customHeight="1">
      <c r="B3071" s="268">
        <v>12236.0</v>
      </c>
      <c r="C3071" s="268">
        <f t="shared" si="1"/>
        <v>11.93162383</v>
      </c>
      <c r="D3071" s="268">
        <f t="shared" si="2"/>
        <v>3.949855352</v>
      </c>
    </row>
    <row r="3072" ht="13.5" customHeight="1">
      <c r="B3072" s="268">
        <v>12240.0</v>
      </c>
      <c r="C3072" s="268">
        <f t="shared" si="1"/>
        <v>11.94000385</v>
      </c>
      <c r="D3072" s="268">
        <f t="shared" si="2"/>
        <v>3.953667954</v>
      </c>
    </row>
    <row r="3073" ht="13.5" customHeight="1">
      <c r="B3073" s="268">
        <v>12244.0</v>
      </c>
      <c r="C3073" s="268">
        <f t="shared" si="1"/>
        <v>11.94839196</v>
      </c>
      <c r="D3073" s="268">
        <f t="shared" si="2"/>
        <v>3.957487923</v>
      </c>
    </row>
    <row r="3074" ht="13.5" customHeight="1">
      <c r="B3074" s="268">
        <v>12248.0</v>
      </c>
      <c r="C3074" s="268">
        <f t="shared" si="1"/>
        <v>11.95678818</v>
      </c>
      <c r="D3074" s="268">
        <f t="shared" si="2"/>
        <v>3.96131528</v>
      </c>
    </row>
    <row r="3075" ht="13.5" customHeight="1">
      <c r="B3075" s="268">
        <v>12252.0</v>
      </c>
      <c r="C3075" s="268">
        <f t="shared" si="1"/>
        <v>11.96519253</v>
      </c>
      <c r="D3075" s="268">
        <f t="shared" si="2"/>
        <v>3.965150048</v>
      </c>
    </row>
    <row r="3076" ht="13.5" customHeight="1">
      <c r="B3076" s="268">
        <v>12256.0</v>
      </c>
      <c r="C3076" s="268">
        <f t="shared" si="1"/>
        <v>11.97360501</v>
      </c>
      <c r="D3076" s="268">
        <f t="shared" si="2"/>
        <v>3.968992248</v>
      </c>
    </row>
    <row r="3077" ht="13.5" customHeight="1">
      <c r="B3077" s="268">
        <v>12260.0</v>
      </c>
      <c r="C3077" s="268">
        <f t="shared" si="1"/>
        <v>11.98202565</v>
      </c>
      <c r="D3077" s="268">
        <f t="shared" si="2"/>
        <v>3.972841901</v>
      </c>
    </row>
    <row r="3078" ht="13.5" customHeight="1">
      <c r="B3078" s="268">
        <v>12264.0</v>
      </c>
      <c r="C3078" s="268">
        <f t="shared" si="1"/>
        <v>11.99045447</v>
      </c>
      <c r="D3078" s="268">
        <f t="shared" si="2"/>
        <v>3.976699029</v>
      </c>
    </row>
    <row r="3079" ht="13.5" customHeight="1">
      <c r="B3079" s="268">
        <v>12268.0</v>
      </c>
      <c r="C3079" s="268">
        <f t="shared" si="1"/>
        <v>11.99889146</v>
      </c>
      <c r="D3079" s="268">
        <f t="shared" si="2"/>
        <v>3.980563654</v>
      </c>
    </row>
    <row r="3080" ht="13.5" customHeight="1">
      <c r="B3080" s="268">
        <v>12272.0</v>
      </c>
      <c r="C3080" s="268">
        <f t="shared" si="1"/>
        <v>12.00733667</v>
      </c>
      <c r="D3080" s="268">
        <f t="shared" si="2"/>
        <v>3.984435798</v>
      </c>
    </row>
    <row r="3081" ht="13.5" customHeight="1">
      <c r="B3081" s="268">
        <v>12276.0</v>
      </c>
      <c r="C3081" s="268">
        <f t="shared" si="1"/>
        <v>12.01579009</v>
      </c>
      <c r="D3081" s="268">
        <f t="shared" si="2"/>
        <v>3.988315482</v>
      </c>
    </row>
    <row r="3082" ht="13.5" customHeight="1">
      <c r="B3082" s="268">
        <v>12280.0</v>
      </c>
      <c r="C3082" s="268">
        <f t="shared" si="1"/>
        <v>12.02425174</v>
      </c>
      <c r="D3082" s="268">
        <f t="shared" si="2"/>
        <v>3.992202729</v>
      </c>
    </row>
    <row r="3083" ht="13.5" customHeight="1">
      <c r="B3083" s="268">
        <v>12284.0</v>
      </c>
      <c r="C3083" s="268">
        <f t="shared" si="1"/>
        <v>12.03272165</v>
      </c>
      <c r="D3083" s="268">
        <f t="shared" si="2"/>
        <v>3.996097561</v>
      </c>
    </row>
    <row r="3084" ht="13.5" customHeight="1">
      <c r="B3084" s="268">
        <v>12288.0</v>
      </c>
      <c r="C3084" s="268">
        <f t="shared" si="1"/>
        <v>12.04119983</v>
      </c>
      <c r="D3084" s="268">
        <f t="shared" si="2"/>
        <v>4</v>
      </c>
    </row>
    <row r="3085" ht="13.5" customHeight="1">
      <c r="B3085" s="268">
        <v>12292.0</v>
      </c>
      <c r="C3085" s="268">
        <f t="shared" si="1"/>
        <v>12.04968629</v>
      </c>
      <c r="D3085" s="268">
        <f t="shared" si="2"/>
        <v>4.003910068</v>
      </c>
    </row>
    <row r="3086" ht="13.5" customHeight="1">
      <c r="B3086" s="268">
        <v>12296.0</v>
      </c>
      <c r="C3086" s="268">
        <f t="shared" si="1"/>
        <v>12.05818104</v>
      </c>
      <c r="D3086" s="268">
        <f t="shared" si="2"/>
        <v>4.007827789</v>
      </c>
    </row>
    <row r="3087" ht="13.5" customHeight="1">
      <c r="B3087" s="268">
        <v>12300.0</v>
      </c>
      <c r="C3087" s="268">
        <f t="shared" si="1"/>
        <v>12.06668412</v>
      </c>
      <c r="D3087" s="268">
        <f t="shared" si="2"/>
        <v>4.011753183</v>
      </c>
    </row>
    <row r="3088" ht="13.5" customHeight="1">
      <c r="B3088" s="268">
        <v>12304.0</v>
      </c>
      <c r="C3088" s="268">
        <f t="shared" si="1"/>
        <v>12.07519552</v>
      </c>
      <c r="D3088" s="268">
        <f t="shared" si="2"/>
        <v>4.015686275</v>
      </c>
    </row>
    <row r="3089" ht="13.5" customHeight="1">
      <c r="B3089" s="268">
        <v>12308.0</v>
      </c>
      <c r="C3089" s="268">
        <f t="shared" si="1"/>
        <v>12.08371528</v>
      </c>
      <c r="D3089" s="268">
        <f t="shared" si="2"/>
        <v>4.019627085</v>
      </c>
    </row>
    <row r="3090" ht="13.5" customHeight="1">
      <c r="B3090" s="268">
        <v>12312.0</v>
      </c>
      <c r="C3090" s="268">
        <f t="shared" si="1"/>
        <v>12.0922434</v>
      </c>
      <c r="D3090" s="268">
        <f t="shared" si="2"/>
        <v>4.023575639</v>
      </c>
    </row>
    <row r="3091" ht="13.5" customHeight="1">
      <c r="B3091" s="268">
        <v>12316.0</v>
      </c>
      <c r="C3091" s="268">
        <f t="shared" si="1"/>
        <v>12.1007799</v>
      </c>
      <c r="D3091" s="268">
        <f t="shared" si="2"/>
        <v>4.027531957</v>
      </c>
    </row>
    <row r="3092" ht="13.5" customHeight="1">
      <c r="B3092" s="268">
        <v>12320.0</v>
      </c>
      <c r="C3092" s="268">
        <f t="shared" si="1"/>
        <v>12.1093248</v>
      </c>
      <c r="D3092" s="268">
        <f t="shared" si="2"/>
        <v>4.031496063</v>
      </c>
    </row>
    <row r="3093" ht="13.5" customHeight="1">
      <c r="B3093" s="268">
        <v>12324.0</v>
      </c>
      <c r="C3093" s="268">
        <f t="shared" si="1"/>
        <v>12.11787811</v>
      </c>
      <c r="D3093" s="268">
        <f t="shared" si="2"/>
        <v>4.03546798</v>
      </c>
    </row>
    <row r="3094" ht="13.5" customHeight="1">
      <c r="B3094" s="268">
        <v>12328.0</v>
      </c>
      <c r="C3094" s="268">
        <f t="shared" si="1"/>
        <v>12.12643986</v>
      </c>
      <c r="D3094" s="268">
        <f t="shared" si="2"/>
        <v>4.039447732</v>
      </c>
    </row>
    <row r="3095" ht="13.5" customHeight="1">
      <c r="B3095" s="268">
        <v>12332.0</v>
      </c>
      <c r="C3095" s="268">
        <f t="shared" si="1"/>
        <v>12.13501005</v>
      </c>
      <c r="D3095" s="268">
        <f t="shared" si="2"/>
        <v>4.043435341</v>
      </c>
    </row>
    <row r="3096" ht="13.5" customHeight="1">
      <c r="B3096" s="268">
        <v>12336.0</v>
      </c>
      <c r="C3096" s="268">
        <f t="shared" si="1"/>
        <v>12.14358871</v>
      </c>
      <c r="D3096" s="268">
        <f t="shared" si="2"/>
        <v>4.04743083</v>
      </c>
    </row>
    <row r="3097" ht="13.5" customHeight="1">
      <c r="B3097" s="268">
        <v>12340.0</v>
      </c>
      <c r="C3097" s="268">
        <f t="shared" si="1"/>
        <v>12.15217585</v>
      </c>
      <c r="D3097" s="268">
        <f t="shared" si="2"/>
        <v>4.051434224</v>
      </c>
    </row>
    <row r="3098" ht="13.5" customHeight="1">
      <c r="B3098" s="268">
        <v>12344.0</v>
      </c>
      <c r="C3098" s="268">
        <f t="shared" si="1"/>
        <v>12.16077148</v>
      </c>
      <c r="D3098" s="268">
        <f t="shared" si="2"/>
        <v>4.055445545</v>
      </c>
    </row>
    <row r="3099" ht="13.5" customHeight="1">
      <c r="B3099" s="268">
        <v>12348.0</v>
      </c>
      <c r="C3099" s="268">
        <f t="shared" si="1"/>
        <v>12.16937563</v>
      </c>
      <c r="D3099" s="268">
        <f t="shared" si="2"/>
        <v>4.059464817</v>
      </c>
    </row>
    <row r="3100" ht="13.5" customHeight="1">
      <c r="B3100" s="268">
        <v>12352.0</v>
      </c>
      <c r="C3100" s="268">
        <f t="shared" si="1"/>
        <v>12.17798832</v>
      </c>
      <c r="D3100" s="268">
        <f t="shared" si="2"/>
        <v>4.063492063</v>
      </c>
    </row>
    <row r="3101" ht="13.5" customHeight="1">
      <c r="B3101" s="268">
        <v>12356.0</v>
      </c>
      <c r="C3101" s="268">
        <f t="shared" si="1"/>
        <v>12.18660955</v>
      </c>
      <c r="D3101" s="268">
        <f t="shared" si="2"/>
        <v>4.067527309</v>
      </c>
    </row>
    <row r="3102" ht="13.5" customHeight="1">
      <c r="B3102" s="268">
        <v>12360.0</v>
      </c>
      <c r="C3102" s="268">
        <f t="shared" si="1"/>
        <v>12.19523934</v>
      </c>
      <c r="D3102" s="268">
        <f t="shared" si="2"/>
        <v>4.071570577</v>
      </c>
    </row>
    <row r="3103" ht="13.5" customHeight="1">
      <c r="B3103" s="268">
        <v>12364.0</v>
      </c>
      <c r="C3103" s="268">
        <f t="shared" si="1"/>
        <v>12.20387772</v>
      </c>
      <c r="D3103" s="268">
        <f t="shared" si="2"/>
        <v>4.075621891</v>
      </c>
    </row>
    <row r="3104" ht="13.5" customHeight="1">
      <c r="B3104" s="268">
        <v>12368.0</v>
      </c>
      <c r="C3104" s="268">
        <f t="shared" si="1"/>
        <v>12.2125247</v>
      </c>
      <c r="D3104" s="268">
        <f t="shared" si="2"/>
        <v>4.079681275</v>
      </c>
    </row>
    <row r="3105" ht="13.5" customHeight="1">
      <c r="B3105" s="268">
        <v>12372.0</v>
      </c>
      <c r="C3105" s="268">
        <f t="shared" si="1"/>
        <v>12.2211803</v>
      </c>
      <c r="D3105" s="268">
        <f t="shared" si="2"/>
        <v>4.083748754</v>
      </c>
    </row>
    <row r="3106" ht="13.5" customHeight="1">
      <c r="B3106" s="268">
        <v>12376.0</v>
      </c>
      <c r="C3106" s="268">
        <f t="shared" si="1"/>
        <v>12.22984453</v>
      </c>
      <c r="D3106" s="268">
        <f t="shared" si="2"/>
        <v>4.087824351</v>
      </c>
    </row>
    <row r="3107" ht="13.5" customHeight="1">
      <c r="B3107" s="268">
        <v>12380.0</v>
      </c>
      <c r="C3107" s="268">
        <f t="shared" si="1"/>
        <v>12.23851741</v>
      </c>
      <c r="D3107" s="268">
        <f t="shared" si="2"/>
        <v>4.091908092</v>
      </c>
    </row>
    <row r="3108" ht="13.5" customHeight="1">
      <c r="B3108" s="268">
        <v>12384.0</v>
      </c>
      <c r="C3108" s="268">
        <f t="shared" si="1"/>
        <v>12.24719896</v>
      </c>
      <c r="D3108" s="268">
        <f t="shared" si="2"/>
        <v>4.096</v>
      </c>
    </row>
    <row r="3109" ht="13.5" customHeight="1">
      <c r="B3109" s="268">
        <v>12388.0</v>
      </c>
      <c r="C3109" s="268">
        <f t="shared" si="1"/>
        <v>12.25588919</v>
      </c>
      <c r="D3109" s="268">
        <f t="shared" si="2"/>
        <v>4.1001001</v>
      </c>
    </row>
    <row r="3110" ht="13.5" customHeight="1">
      <c r="B3110" s="268">
        <v>12392.0</v>
      </c>
      <c r="C3110" s="268">
        <f t="shared" si="1"/>
        <v>12.26458813</v>
      </c>
      <c r="D3110" s="268">
        <f t="shared" si="2"/>
        <v>4.104208417</v>
      </c>
    </row>
    <row r="3111" ht="13.5" customHeight="1">
      <c r="B3111" s="268">
        <v>12396.0</v>
      </c>
      <c r="C3111" s="268">
        <f t="shared" si="1"/>
        <v>12.27329579</v>
      </c>
      <c r="D3111" s="268">
        <f t="shared" si="2"/>
        <v>4.108324975</v>
      </c>
    </row>
    <row r="3112" ht="13.5" customHeight="1">
      <c r="B3112" s="268">
        <v>12400.0</v>
      </c>
      <c r="C3112" s="268">
        <f t="shared" si="1"/>
        <v>12.28201219</v>
      </c>
      <c r="D3112" s="268">
        <f t="shared" si="2"/>
        <v>4.112449799</v>
      </c>
    </row>
    <row r="3113" ht="13.5" customHeight="1">
      <c r="B3113" s="268">
        <v>12404.0</v>
      </c>
      <c r="C3113" s="268">
        <f t="shared" si="1"/>
        <v>12.29073734</v>
      </c>
      <c r="D3113" s="268">
        <f t="shared" si="2"/>
        <v>4.116582915</v>
      </c>
    </row>
    <row r="3114" ht="13.5" customHeight="1">
      <c r="B3114" s="268">
        <v>12408.0</v>
      </c>
      <c r="C3114" s="268">
        <f t="shared" si="1"/>
        <v>12.29947127</v>
      </c>
      <c r="D3114" s="268">
        <f t="shared" si="2"/>
        <v>4.120724346</v>
      </c>
    </row>
    <row r="3115" ht="13.5" customHeight="1">
      <c r="B3115" s="268">
        <v>12412.0</v>
      </c>
      <c r="C3115" s="268">
        <f t="shared" si="1"/>
        <v>12.30821399</v>
      </c>
      <c r="D3115" s="268">
        <f t="shared" si="2"/>
        <v>4.124874119</v>
      </c>
    </row>
    <row r="3116" ht="13.5" customHeight="1">
      <c r="B3116" s="268">
        <v>12416.0</v>
      </c>
      <c r="C3116" s="268">
        <f t="shared" si="1"/>
        <v>12.31696552</v>
      </c>
      <c r="D3116" s="268">
        <f t="shared" si="2"/>
        <v>4.129032258</v>
      </c>
    </row>
    <row r="3117" ht="13.5" customHeight="1">
      <c r="B3117" s="268">
        <v>12420.0</v>
      </c>
      <c r="C3117" s="268">
        <f t="shared" si="1"/>
        <v>12.32572587</v>
      </c>
      <c r="D3117" s="268">
        <f t="shared" si="2"/>
        <v>4.133198789</v>
      </c>
    </row>
    <row r="3118" ht="13.5" customHeight="1">
      <c r="B3118" s="268">
        <v>12424.0</v>
      </c>
      <c r="C3118" s="268">
        <f t="shared" si="1"/>
        <v>12.33449507</v>
      </c>
      <c r="D3118" s="268">
        <f t="shared" si="2"/>
        <v>4.137373737</v>
      </c>
    </row>
    <row r="3119" ht="13.5" customHeight="1">
      <c r="B3119" s="268">
        <v>12428.0</v>
      </c>
      <c r="C3119" s="268">
        <f t="shared" si="1"/>
        <v>12.34327313</v>
      </c>
      <c r="D3119" s="268">
        <f t="shared" si="2"/>
        <v>4.141557128</v>
      </c>
    </row>
    <row r="3120" ht="13.5" customHeight="1">
      <c r="B3120" s="268">
        <v>12432.0</v>
      </c>
      <c r="C3120" s="268">
        <f t="shared" si="1"/>
        <v>12.35206007</v>
      </c>
      <c r="D3120" s="268">
        <f t="shared" si="2"/>
        <v>4.145748988</v>
      </c>
    </row>
    <row r="3121" ht="13.5" customHeight="1">
      <c r="B3121" s="268">
        <v>12436.0</v>
      </c>
      <c r="C3121" s="268">
        <f t="shared" si="1"/>
        <v>12.36085591</v>
      </c>
      <c r="D3121" s="268">
        <f t="shared" si="2"/>
        <v>4.149949341</v>
      </c>
    </row>
    <row r="3122" ht="13.5" customHeight="1">
      <c r="B3122" s="268">
        <v>12440.0</v>
      </c>
      <c r="C3122" s="268">
        <f t="shared" si="1"/>
        <v>12.36966066</v>
      </c>
      <c r="D3122" s="268">
        <f t="shared" si="2"/>
        <v>4.154158215</v>
      </c>
    </row>
    <row r="3123" ht="13.5" customHeight="1">
      <c r="B3123" s="268">
        <v>12444.0</v>
      </c>
      <c r="C3123" s="268">
        <f t="shared" si="1"/>
        <v>12.37847435</v>
      </c>
      <c r="D3123" s="268">
        <f t="shared" si="2"/>
        <v>4.158375635</v>
      </c>
    </row>
    <row r="3124" ht="13.5" customHeight="1">
      <c r="B3124" s="268">
        <v>12448.0</v>
      </c>
      <c r="C3124" s="268">
        <f t="shared" si="1"/>
        <v>12.38729699</v>
      </c>
      <c r="D3124" s="268">
        <f t="shared" si="2"/>
        <v>4.162601626</v>
      </c>
    </row>
    <row r="3125" ht="13.5" customHeight="1">
      <c r="B3125" s="268">
        <v>12452.0</v>
      </c>
      <c r="C3125" s="268">
        <f t="shared" si="1"/>
        <v>12.3961286</v>
      </c>
      <c r="D3125" s="268">
        <f t="shared" si="2"/>
        <v>4.166836216</v>
      </c>
    </row>
    <row r="3126" ht="13.5" customHeight="1">
      <c r="B3126" s="268">
        <v>12456.0</v>
      </c>
      <c r="C3126" s="268">
        <f t="shared" si="1"/>
        <v>12.4049692</v>
      </c>
      <c r="D3126" s="268">
        <f t="shared" si="2"/>
        <v>4.17107943</v>
      </c>
    </row>
    <row r="3127" ht="13.5" customHeight="1">
      <c r="B3127" s="268">
        <v>12460.0</v>
      </c>
      <c r="C3127" s="268">
        <f t="shared" si="1"/>
        <v>12.41381881</v>
      </c>
      <c r="D3127" s="268">
        <f t="shared" si="2"/>
        <v>4.175331295</v>
      </c>
    </row>
    <row r="3128" ht="13.5" customHeight="1">
      <c r="B3128" s="268">
        <v>12464.0</v>
      </c>
      <c r="C3128" s="268">
        <f t="shared" si="1"/>
        <v>12.42267745</v>
      </c>
      <c r="D3128" s="268">
        <f t="shared" si="2"/>
        <v>4.179591837</v>
      </c>
    </row>
    <row r="3129" ht="13.5" customHeight="1">
      <c r="B3129" s="268">
        <v>12468.0</v>
      </c>
      <c r="C3129" s="268">
        <f t="shared" si="1"/>
        <v>12.43154512</v>
      </c>
      <c r="D3129" s="268">
        <f t="shared" si="2"/>
        <v>4.183861083</v>
      </c>
    </row>
    <row r="3130" ht="13.5" customHeight="1">
      <c r="B3130" s="268">
        <v>12472.0</v>
      </c>
      <c r="C3130" s="268">
        <f t="shared" si="1"/>
        <v>12.44042186</v>
      </c>
      <c r="D3130" s="268">
        <f t="shared" si="2"/>
        <v>4.188139059</v>
      </c>
    </row>
    <row r="3131" ht="13.5" customHeight="1">
      <c r="B3131" s="268">
        <v>12476.0</v>
      </c>
      <c r="C3131" s="268">
        <f t="shared" si="1"/>
        <v>12.44930768</v>
      </c>
      <c r="D3131" s="268">
        <f t="shared" si="2"/>
        <v>4.192425793</v>
      </c>
    </row>
    <row r="3132" ht="13.5" customHeight="1">
      <c r="B3132" s="268">
        <v>12480.0</v>
      </c>
      <c r="C3132" s="268">
        <f t="shared" si="1"/>
        <v>12.45820261</v>
      </c>
      <c r="D3132" s="268">
        <f t="shared" si="2"/>
        <v>4.196721311</v>
      </c>
    </row>
    <row r="3133" ht="13.5" customHeight="1">
      <c r="B3133" s="268">
        <v>12484.0</v>
      </c>
      <c r="C3133" s="268">
        <f t="shared" si="1"/>
        <v>12.46710665</v>
      </c>
      <c r="D3133" s="268">
        <f t="shared" si="2"/>
        <v>4.201025641</v>
      </c>
    </row>
    <row r="3134" ht="13.5" customHeight="1">
      <c r="B3134" s="268">
        <v>12488.0</v>
      </c>
      <c r="C3134" s="268">
        <f t="shared" si="1"/>
        <v>12.47601982</v>
      </c>
      <c r="D3134" s="268">
        <f t="shared" si="2"/>
        <v>4.205338809</v>
      </c>
    </row>
    <row r="3135" ht="13.5" customHeight="1">
      <c r="B3135" s="268">
        <v>12492.0</v>
      </c>
      <c r="C3135" s="268">
        <f t="shared" si="1"/>
        <v>12.48494215</v>
      </c>
      <c r="D3135" s="268">
        <f t="shared" si="2"/>
        <v>4.209660843</v>
      </c>
    </row>
    <row r="3136" ht="13.5" customHeight="1">
      <c r="B3136" s="268">
        <v>12496.0</v>
      </c>
      <c r="C3136" s="268">
        <f t="shared" si="1"/>
        <v>12.49387366</v>
      </c>
      <c r="D3136" s="268">
        <f t="shared" si="2"/>
        <v>4.21399177</v>
      </c>
    </row>
    <row r="3137" ht="13.5" customHeight="1">
      <c r="B3137" s="268">
        <v>12500.0</v>
      </c>
      <c r="C3137" s="268">
        <f t="shared" si="1"/>
        <v>12.50281436</v>
      </c>
      <c r="D3137" s="268">
        <f t="shared" si="2"/>
        <v>4.218331617</v>
      </c>
    </row>
    <row r="3138" ht="13.5" customHeight="1">
      <c r="B3138" s="268">
        <v>12504.0</v>
      </c>
      <c r="C3138" s="268">
        <f t="shared" si="1"/>
        <v>12.51176427</v>
      </c>
      <c r="D3138" s="268">
        <f t="shared" si="2"/>
        <v>4.222680412</v>
      </c>
    </row>
    <row r="3139" ht="13.5" customHeight="1">
      <c r="B3139" s="268">
        <v>12508.0</v>
      </c>
      <c r="C3139" s="268">
        <f t="shared" si="1"/>
        <v>12.52072342</v>
      </c>
      <c r="D3139" s="268">
        <f t="shared" si="2"/>
        <v>4.227038184</v>
      </c>
    </row>
    <row r="3140" ht="13.5" customHeight="1">
      <c r="B3140" s="268">
        <v>12512.0</v>
      </c>
      <c r="C3140" s="268">
        <f t="shared" si="1"/>
        <v>12.52969181</v>
      </c>
      <c r="D3140" s="268">
        <f t="shared" si="2"/>
        <v>4.231404959</v>
      </c>
    </row>
    <row r="3141" ht="13.5" customHeight="1">
      <c r="B3141" s="268">
        <v>12516.0</v>
      </c>
      <c r="C3141" s="268">
        <f t="shared" si="1"/>
        <v>12.53866948</v>
      </c>
      <c r="D3141" s="268">
        <f t="shared" si="2"/>
        <v>4.235780765</v>
      </c>
    </row>
    <row r="3142" ht="13.5" customHeight="1">
      <c r="B3142" s="268">
        <v>12520.0</v>
      </c>
      <c r="C3142" s="268">
        <f t="shared" si="1"/>
        <v>12.54765643</v>
      </c>
      <c r="D3142" s="268">
        <f t="shared" si="2"/>
        <v>4.240165631</v>
      </c>
    </row>
    <row r="3143" ht="13.5" customHeight="1">
      <c r="B3143" s="268">
        <v>12524.0</v>
      </c>
      <c r="C3143" s="268">
        <f t="shared" si="1"/>
        <v>12.55665269</v>
      </c>
      <c r="D3143" s="268">
        <f t="shared" si="2"/>
        <v>4.244559585</v>
      </c>
    </row>
    <row r="3144" ht="13.5" customHeight="1">
      <c r="B3144" s="268">
        <v>12528.0</v>
      </c>
      <c r="C3144" s="268">
        <f t="shared" si="1"/>
        <v>12.56565828</v>
      </c>
      <c r="D3144" s="268">
        <f t="shared" si="2"/>
        <v>4.248962656</v>
      </c>
    </row>
    <row r="3145" ht="13.5" customHeight="1">
      <c r="B3145" s="268">
        <v>12532.0</v>
      </c>
      <c r="C3145" s="268">
        <f t="shared" si="1"/>
        <v>12.57467322</v>
      </c>
      <c r="D3145" s="268">
        <f t="shared" si="2"/>
        <v>4.25337487</v>
      </c>
    </row>
    <row r="3146" ht="13.5" customHeight="1">
      <c r="B3146" s="268">
        <v>12536.0</v>
      </c>
      <c r="C3146" s="268">
        <f t="shared" si="1"/>
        <v>12.58369752</v>
      </c>
      <c r="D3146" s="268">
        <f t="shared" si="2"/>
        <v>4.257796258</v>
      </c>
    </row>
    <row r="3147" ht="13.5" customHeight="1">
      <c r="B3147" s="268">
        <v>12540.0</v>
      </c>
      <c r="C3147" s="268">
        <f t="shared" si="1"/>
        <v>12.59273121</v>
      </c>
      <c r="D3147" s="268">
        <f t="shared" si="2"/>
        <v>4.262226847</v>
      </c>
    </row>
    <row r="3148" ht="13.5" customHeight="1">
      <c r="B3148" s="268">
        <v>12544.0</v>
      </c>
      <c r="C3148" s="268">
        <f t="shared" si="1"/>
        <v>12.6017743</v>
      </c>
      <c r="D3148" s="268">
        <f t="shared" si="2"/>
        <v>4.266666667</v>
      </c>
    </row>
    <row r="3149" ht="13.5" customHeight="1">
      <c r="B3149" s="268">
        <v>12548.0</v>
      </c>
      <c r="C3149" s="268">
        <f t="shared" si="1"/>
        <v>12.61082682</v>
      </c>
      <c r="D3149" s="268">
        <f t="shared" si="2"/>
        <v>4.271115746</v>
      </c>
    </row>
    <row r="3150" ht="13.5" customHeight="1">
      <c r="B3150" s="268">
        <v>12552.0</v>
      </c>
      <c r="C3150" s="268">
        <f t="shared" si="1"/>
        <v>12.61988878</v>
      </c>
      <c r="D3150" s="268">
        <f t="shared" si="2"/>
        <v>4.275574113</v>
      </c>
    </row>
    <row r="3151" ht="13.5" customHeight="1">
      <c r="B3151" s="268">
        <v>12556.0</v>
      </c>
      <c r="C3151" s="268">
        <f t="shared" si="1"/>
        <v>12.6289602</v>
      </c>
      <c r="D3151" s="268">
        <f t="shared" si="2"/>
        <v>4.280041797</v>
      </c>
    </row>
    <row r="3152" ht="13.5" customHeight="1">
      <c r="B3152" s="268">
        <v>12560.0</v>
      </c>
      <c r="C3152" s="268">
        <f t="shared" si="1"/>
        <v>12.63804111</v>
      </c>
      <c r="D3152" s="268">
        <f t="shared" si="2"/>
        <v>4.284518828</v>
      </c>
    </row>
    <row r="3153" ht="13.5" customHeight="1">
      <c r="B3153" s="268">
        <v>12564.0</v>
      </c>
      <c r="C3153" s="268">
        <f t="shared" si="1"/>
        <v>12.64713153</v>
      </c>
      <c r="D3153" s="268">
        <f t="shared" si="2"/>
        <v>4.289005236</v>
      </c>
    </row>
    <row r="3154" ht="13.5" customHeight="1">
      <c r="B3154" s="268">
        <v>12568.0</v>
      </c>
      <c r="C3154" s="268">
        <f t="shared" si="1"/>
        <v>12.65623147</v>
      </c>
      <c r="D3154" s="268">
        <f t="shared" si="2"/>
        <v>4.293501048</v>
      </c>
    </row>
    <row r="3155" ht="13.5" customHeight="1">
      <c r="B3155" s="268">
        <v>12572.0</v>
      </c>
      <c r="C3155" s="268">
        <f t="shared" si="1"/>
        <v>12.66534095</v>
      </c>
      <c r="D3155" s="268">
        <f t="shared" si="2"/>
        <v>4.298006296</v>
      </c>
    </row>
    <row r="3156" ht="13.5" customHeight="1">
      <c r="B3156" s="268">
        <v>12576.0</v>
      </c>
      <c r="C3156" s="268">
        <f t="shared" si="1"/>
        <v>12.67445999</v>
      </c>
      <c r="D3156" s="268">
        <f t="shared" si="2"/>
        <v>4.302521008</v>
      </c>
    </row>
    <row r="3157" ht="13.5" customHeight="1">
      <c r="B3157" s="268">
        <v>12580.0</v>
      </c>
      <c r="C3157" s="268">
        <f t="shared" si="1"/>
        <v>12.68358862</v>
      </c>
      <c r="D3157" s="268">
        <f t="shared" si="2"/>
        <v>4.307045216</v>
      </c>
    </row>
    <row r="3158" ht="13.5" customHeight="1">
      <c r="B3158" s="268">
        <v>12584.0</v>
      </c>
      <c r="C3158" s="268">
        <f t="shared" si="1"/>
        <v>12.69272685</v>
      </c>
      <c r="D3158" s="268">
        <f t="shared" si="2"/>
        <v>4.311578947</v>
      </c>
    </row>
    <row r="3159" ht="13.5" customHeight="1">
      <c r="B3159" s="268">
        <v>12588.0</v>
      </c>
      <c r="C3159" s="268">
        <f t="shared" si="1"/>
        <v>12.70187471</v>
      </c>
      <c r="D3159" s="268">
        <f t="shared" si="2"/>
        <v>4.316122234</v>
      </c>
    </row>
    <row r="3160" ht="13.5" customHeight="1">
      <c r="B3160" s="268">
        <v>12592.0</v>
      </c>
      <c r="C3160" s="268">
        <f t="shared" si="1"/>
        <v>12.71103221</v>
      </c>
      <c r="D3160" s="268">
        <f t="shared" si="2"/>
        <v>4.320675105</v>
      </c>
    </row>
    <row r="3161" ht="13.5" customHeight="1">
      <c r="B3161" s="268">
        <v>12596.0</v>
      </c>
      <c r="C3161" s="268">
        <f t="shared" si="1"/>
        <v>12.72019938</v>
      </c>
      <c r="D3161" s="268">
        <f t="shared" si="2"/>
        <v>4.325237592</v>
      </c>
    </row>
    <row r="3162" ht="13.5" customHeight="1">
      <c r="B3162" s="268">
        <v>12600.0</v>
      </c>
      <c r="C3162" s="268">
        <f t="shared" si="1"/>
        <v>12.72937623</v>
      </c>
      <c r="D3162" s="268">
        <f t="shared" si="2"/>
        <v>4.329809725</v>
      </c>
    </row>
    <row r="3163" ht="13.5" customHeight="1">
      <c r="B3163" s="268">
        <v>12604.0</v>
      </c>
      <c r="C3163" s="268">
        <f t="shared" si="1"/>
        <v>12.73856279</v>
      </c>
      <c r="D3163" s="268">
        <f t="shared" si="2"/>
        <v>4.334391534</v>
      </c>
    </row>
    <row r="3164" ht="13.5" customHeight="1">
      <c r="B3164" s="268">
        <v>12608.0</v>
      </c>
      <c r="C3164" s="268">
        <f t="shared" si="1"/>
        <v>12.74775907</v>
      </c>
      <c r="D3164" s="268">
        <f t="shared" si="2"/>
        <v>4.338983051</v>
      </c>
    </row>
    <row r="3165" ht="13.5" customHeight="1">
      <c r="B3165" s="268">
        <v>12612.0</v>
      </c>
      <c r="C3165" s="268">
        <f t="shared" si="1"/>
        <v>12.7569651</v>
      </c>
      <c r="D3165" s="268">
        <f t="shared" si="2"/>
        <v>4.343584305</v>
      </c>
    </row>
    <row r="3166" ht="13.5" customHeight="1">
      <c r="B3166" s="268">
        <v>12616.0</v>
      </c>
      <c r="C3166" s="268">
        <f t="shared" si="1"/>
        <v>12.7661809</v>
      </c>
      <c r="D3166" s="268">
        <f t="shared" si="2"/>
        <v>4.348195329</v>
      </c>
    </row>
    <row r="3167" ht="13.5" customHeight="1">
      <c r="B3167" s="268">
        <v>12620.0</v>
      </c>
      <c r="C3167" s="268">
        <f t="shared" si="1"/>
        <v>12.77540649</v>
      </c>
      <c r="D3167" s="268">
        <f t="shared" si="2"/>
        <v>4.352816153</v>
      </c>
    </row>
    <row r="3168" ht="13.5" customHeight="1">
      <c r="B3168" s="268">
        <v>12624.0</v>
      </c>
      <c r="C3168" s="268">
        <f t="shared" si="1"/>
        <v>12.78464189</v>
      </c>
      <c r="D3168" s="268">
        <f t="shared" si="2"/>
        <v>4.357446809</v>
      </c>
    </row>
    <row r="3169" ht="13.5" customHeight="1">
      <c r="B3169" s="268">
        <v>12628.0</v>
      </c>
      <c r="C3169" s="268">
        <f t="shared" si="1"/>
        <v>12.79388711</v>
      </c>
      <c r="D3169" s="268">
        <f t="shared" si="2"/>
        <v>4.362087327</v>
      </c>
    </row>
    <row r="3170" ht="13.5" customHeight="1">
      <c r="B3170" s="268">
        <v>12632.0</v>
      </c>
      <c r="C3170" s="268">
        <f t="shared" si="1"/>
        <v>12.80314219</v>
      </c>
      <c r="D3170" s="268">
        <f t="shared" si="2"/>
        <v>4.36673774</v>
      </c>
    </row>
    <row r="3171" ht="13.5" customHeight="1">
      <c r="B3171" s="268">
        <v>12636.0</v>
      </c>
      <c r="C3171" s="268">
        <f t="shared" si="1"/>
        <v>12.81240714</v>
      </c>
      <c r="D3171" s="268">
        <f t="shared" si="2"/>
        <v>4.371398079</v>
      </c>
    </row>
    <row r="3172" ht="13.5" customHeight="1">
      <c r="B3172" s="268">
        <v>12640.0</v>
      </c>
      <c r="C3172" s="268">
        <f t="shared" si="1"/>
        <v>12.82168198</v>
      </c>
      <c r="D3172" s="268">
        <f t="shared" si="2"/>
        <v>4.376068376</v>
      </c>
    </row>
    <row r="3173" ht="13.5" customHeight="1">
      <c r="B3173" s="268">
        <v>12644.0</v>
      </c>
      <c r="C3173" s="268">
        <f t="shared" si="1"/>
        <v>12.83096674</v>
      </c>
      <c r="D3173" s="268">
        <f t="shared" si="2"/>
        <v>4.380748663</v>
      </c>
    </row>
    <row r="3174" ht="13.5" customHeight="1">
      <c r="B3174" s="268">
        <v>12648.0</v>
      </c>
      <c r="C3174" s="268">
        <f t="shared" si="1"/>
        <v>12.84026143</v>
      </c>
      <c r="D3174" s="268">
        <f t="shared" si="2"/>
        <v>4.385438972</v>
      </c>
    </row>
    <row r="3175" ht="13.5" customHeight="1">
      <c r="B3175" s="268">
        <v>12652.0</v>
      </c>
      <c r="C3175" s="268">
        <f t="shared" si="1"/>
        <v>12.84956608</v>
      </c>
      <c r="D3175" s="268">
        <f t="shared" si="2"/>
        <v>4.390139335</v>
      </c>
    </row>
    <row r="3176" ht="13.5" customHeight="1">
      <c r="B3176" s="268">
        <v>12656.0</v>
      </c>
      <c r="C3176" s="268">
        <f t="shared" si="1"/>
        <v>12.85888071</v>
      </c>
      <c r="D3176" s="268">
        <f t="shared" si="2"/>
        <v>4.394849785</v>
      </c>
    </row>
    <row r="3177" ht="13.5" customHeight="1">
      <c r="B3177" s="268">
        <v>12660.0</v>
      </c>
      <c r="C3177" s="268">
        <f t="shared" si="1"/>
        <v>12.86820534</v>
      </c>
      <c r="D3177" s="268">
        <f t="shared" si="2"/>
        <v>4.399570354</v>
      </c>
    </row>
    <row r="3178" ht="13.5" customHeight="1">
      <c r="B3178" s="268">
        <v>12664.0</v>
      </c>
      <c r="C3178" s="268">
        <f t="shared" si="1"/>
        <v>12.87753999</v>
      </c>
      <c r="D3178" s="268">
        <f t="shared" si="2"/>
        <v>4.404301075</v>
      </c>
    </row>
    <row r="3179" ht="13.5" customHeight="1">
      <c r="B3179" s="268">
        <v>12668.0</v>
      </c>
      <c r="C3179" s="268">
        <f t="shared" si="1"/>
        <v>12.88688468</v>
      </c>
      <c r="D3179" s="268">
        <f t="shared" si="2"/>
        <v>4.409041981</v>
      </c>
    </row>
    <row r="3180" ht="13.5" customHeight="1">
      <c r="B3180" s="268">
        <v>12672.0</v>
      </c>
      <c r="C3180" s="268">
        <f t="shared" si="1"/>
        <v>12.89623943</v>
      </c>
      <c r="D3180" s="268">
        <f t="shared" si="2"/>
        <v>4.413793103</v>
      </c>
    </row>
    <row r="3181" ht="13.5" customHeight="1">
      <c r="B3181" s="268">
        <v>12676.0</v>
      </c>
      <c r="C3181" s="268">
        <f t="shared" si="1"/>
        <v>12.90560428</v>
      </c>
      <c r="D3181" s="268">
        <f t="shared" si="2"/>
        <v>4.418554477</v>
      </c>
    </row>
    <row r="3182" ht="13.5" customHeight="1">
      <c r="B3182" s="268">
        <v>12680.0</v>
      </c>
      <c r="C3182" s="268">
        <f t="shared" si="1"/>
        <v>12.91497923</v>
      </c>
      <c r="D3182" s="268">
        <f t="shared" si="2"/>
        <v>4.423326134</v>
      </c>
    </row>
    <row r="3183" ht="13.5" customHeight="1">
      <c r="B3183" s="268">
        <v>12684.0</v>
      </c>
      <c r="C3183" s="268">
        <f t="shared" si="1"/>
        <v>12.9243643</v>
      </c>
      <c r="D3183" s="268">
        <f t="shared" si="2"/>
        <v>4.428108108</v>
      </c>
    </row>
    <row r="3184" ht="13.5" customHeight="1">
      <c r="B3184" s="268">
        <v>12688.0</v>
      </c>
      <c r="C3184" s="268">
        <f t="shared" si="1"/>
        <v>12.93375953</v>
      </c>
      <c r="D3184" s="268">
        <f t="shared" si="2"/>
        <v>4.432900433</v>
      </c>
    </row>
    <row r="3185" ht="13.5" customHeight="1">
      <c r="B3185" s="268">
        <v>12692.0</v>
      </c>
      <c r="C3185" s="268">
        <f t="shared" si="1"/>
        <v>12.94316494</v>
      </c>
      <c r="D3185" s="268">
        <f t="shared" si="2"/>
        <v>4.437703142</v>
      </c>
    </row>
    <row r="3186" ht="13.5" customHeight="1">
      <c r="B3186" s="268">
        <v>12696.0</v>
      </c>
      <c r="C3186" s="268">
        <f t="shared" si="1"/>
        <v>12.95258054</v>
      </c>
      <c r="D3186" s="268">
        <f t="shared" si="2"/>
        <v>4.442516269</v>
      </c>
    </row>
    <row r="3187" ht="13.5" customHeight="1">
      <c r="B3187" s="268">
        <v>12700.0</v>
      </c>
      <c r="C3187" s="268">
        <f t="shared" si="1"/>
        <v>12.96200636</v>
      </c>
      <c r="D3187" s="268">
        <f t="shared" si="2"/>
        <v>4.447339848</v>
      </c>
    </row>
    <row r="3188" ht="13.5" customHeight="1">
      <c r="B3188" s="268">
        <v>12704.0</v>
      </c>
      <c r="C3188" s="268">
        <f t="shared" si="1"/>
        <v>12.97144241</v>
      </c>
      <c r="D3188" s="268">
        <f t="shared" si="2"/>
        <v>4.452173913</v>
      </c>
    </row>
    <row r="3189" ht="13.5" customHeight="1">
      <c r="B3189" s="268">
        <v>12708.0</v>
      </c>
      <c r="C3189" s="268">
        <f t="shared" si="1"/>
        <v>12.98088873</v>
      </c>
      <c r="D3189" s="268">
        <f t="shared" si="2"/>
        <v>4.457018498</v>
      </c>
    </row>
    <row r="3190" ht="13.5" customHeight="1">
      <c r="B3190" s="268">
        <v>12712.0</v>
      </c>
      <c r="C3190" s="268">
        <f t="shared" si="1"/>
        <v>12.99034534</v>
      </c>
      <c r="D3190" s="268">
        <f t="shared" si="2"/>
        <v>4.461873638</v>
      </c>
    </row>
    <row r="3191" ht="13.5" customHeight="1">
      <c r="B3191" s="268">
        <v>12716.0</v>
      </c>
      <c r="C3191" s="268">
        <f t="shared" si="1"/>
        <v>12.99981225</v>
      </c>
      <c r="D3191" s="268">
        <f t="shared" si="2"/>
        <v>4.466739368</v>
      </c>
    </row>
    <row r="3192" ht="13.5" customHeight="1">
      <c r="B3192" s="268">
        <v>12720.0</v>
      </c>
      <c r="C3192" s="268">
        <f t="shared" si="1"/>
        <v>13.00928949</v>
      </c>
      <c r="D3192" s="268">
        <f t="shared" si="2"/>
        <v>4.471615721</v>
      </c>
    </row>
    <row r="3193" ht="13.5" customHeight="1">
      <c r="B3193" s="268">
        <v>12724.0</v>
      </c>
      <c r="C3193" s="268">
        <f t="shared" si="1"/>
        <v>13.01877708</v>
      </c>
      <c r="D3193" s="268">
        <f t="shared" si="2"/>
        <v>4.476502732</v>
      </c>
    </row>
    <row r="3194" ht="13.5" customHeight="1">
      <c r="B3194" s="268">
        <v>12728.0</v>
      </c>
      <c r="C3194" s="268">
        <f t="shared" si="1"/>
        <v>13.02827504</v>
      </c>
      <c r="D3194" s="268">
        <f t="shared" si="2"/>
        <v>4.481400438</v>
      </c>
    </row>
    <row r="3195" ht="13.5" customHeight="1">
      <c r="B3195" s="268">
        <v>12732.0</v>
      </c>
      <c r="C3195" s="268">
        <f t="shared" si="1"/>
        <v>13.03778341</v>
      </c>
      <c r="D3195" s="268">
        <f t="shared" si="2"/>
        <v>4.486308872</v>
      </c>
    </row>
    <row r="3196" ht="13.5" customHeight="1">
      <c r="B3196" s="268">
        <v>12736.0</v>
      </c>
      <c r="C3196" s="268">
        <f t="shared" si="1"/>
        <v>13.04730219</v>
      </c>
      <c r="D3196" s="268">
        <f t="shared" si="2"/>
        <v>4.49122807</v>
      </c>
    </row>
    <row r="3197" ht="13.5" customHeight="1">
      <c r="B3197" s="268">
        <v>12740.0</v>
      </c>
      <c r="C3197" s="268">
        <f t="shared" si="1"/>
        <v>13.05683142</v>
      </c>
      <c r="D3197" s="268">
        <f t="shared" si="2"/>
        <v>4.496158068</v>
      </c>
    </row>
    <row r="3198" ht="13.5" customHeight="1">
      <c r="B3198" s="268">
        <v>12744.0</v>
      </c>
      <c r="C3198" s="268">
        <f t="shared" si="1"/>
        <v>13.06637111</v>
      </c>
      <c r="D3198" s="268">
        <f t="shared" si="2"/>
        <v>4.501098901</v>
      </c>
    </row>
    <row r="3199" ht="13.5" customHeight="1">
      <c r="B3199" s="268">
        <v>12748.0</v>
      </c>
      <c r="C3199" s="268">
        <f t="shared" si="1"/>
        <v>13.07592129</v>
      </c>
      <c r="D3199" s="268">
        <f t="shared" si="2"/>
        <v>4.506050605</v>
      </c>
    </row>
    <row r="3200" ht="13.5" customHeight="1">
      <c r="B3200" s="268">
        <v>12752.0</v>
      </c>
      <c r="C3200" s="268">
        <f t="shared" si="1"/>
        <v>13.08548199</v>
      </c>
      <c r="D3200" s="268">
        <f t="shared" si="2"/>
        <v>4.511013216</v>
      </c>
    </row>
    <row r="3201" ht="13.5" customHeight="1">
      <c r="B3201" s="268">
        <v>12756.0</v>
      </c>
      <c r="C3201" s="268">
        <f t="shared" si="1"/>
        <v>13.09505322</v>
      </c>
      <c r="D3201" s="268">
        <f t="shared" si="2"/>
        <v>4.51598677</v>
      </c>
    </row>
    <row r="3202" ht="13.5" customHeight="1">
      <c r="B3202" s="268">
        <v>12760.0</v>
      </c>
      <c r="C3202" s="268">
        <f t="shared" si="1"/>
        <v>13.10463501</v>
      </c>
      <c r="D3202" s="268">
        <f t="shared" si="2"/>
        <v>4.520971302</v>
      </c>
    </row>
    <row r="3203" ht="13.5" customHeight="1">
      <c r="B3203" s="268">
        <v>12764.0</v>
      </c>
      <c r="C3203" s="268">
        <f t="shared" si="1"/>
        <v>13.11422738</v>
      </c>
      <c r="D3203" s="268">
        <f t="shared" si="2"/>
        <v>4.525966851</v>
      </c>
    </row>
    <row r="3204" ht="13.5" customHeight="1">
      <c r="B3204" s="268">
        <v>12768.0</v>
      </c>
      <c r="C3204" s="268">
        <f t="shared" si="1"/>
        <v>13.12383035</v>
      </c>
      <c r="D3204" s="268">
        <f t="shared" si="2"/>
        <v>4.530973451</v>
      </c>
    </row>
    <row r="3205" ht="13.5" customHeight="1">
      <c r="B3205" s="268">
        <v>12772.0</v>
      </c>
      <c r="C3205" s="268">
        <f t="shared" si="1"/>
        <v>13.13344395</v>
      </c>
      <c r="D3205" s="268">
        <f t="shared" si="2"/>
        <v>4.535991141</v>
      </c>
    </row>
    <row r="3206" ht="13.5" customHeight="1">
      <c r="B3206" s="268">
        <v>12776.0</v>
      </c>
      <c r="C3206" s="268">
        <f t="shared" si="1"/>
        <v>13.14306821</v>
      </c>
      <c r="D3206" s="268">
        <f t="shared" si="2"/>
        <v>4.541019956</v>
      </c>
    </row>
    <row r="3207" ht="13.5" customHeight="1">
      <c r="B3207" s="268">
        <v>12780.0</v>
      </c>
      <c r="C3207" s="268">
        <f t="shared" si="1"/>
        <v>13.15270314</v>
      </c>
      <c r="D3207" s="268">
        <f t="shared" si="2"/>
        <v>4.546059933</v>
      </c>
    </row>
    <row r="3208" ht="13.5" customHeight="1">
      <c r="B3208" s="268">
        <v>12784.0</v>
      </c>
      <c r="C3208" s="268">
        <f t="shared" si="1"/>
        <v>13.16234877</v>
      </c>
      <c r="D3208" s="268">
        <f t="shared" si="2"/>
        <v>4.551111111</v>
      </c>
    </row>
    <row r="3209" ht="13.5" customHeight="1">
      <c r="B3209" s="268">
        <v>12788.0</v>
      </c>
      <c r="C3209" s="268">
        <f t="shared" si="1"/>
        <v>13.17200512</v>
      </c>
      <c r="D3209" s="268">
        <f t="shared" si="2"/>
        <v>4.556173526</v>
      </c>
    </row>
    <row r="3210" ht="13.5" customHeight="1">
      <c r="B3210" s="268">
        <v>12792.0</v>
      </c>
      <c r="C3210" s="268">
        <f t="shared" si="1"/>
        <v>13.18167223</v>
      </c>
      <c r="D3210" s="268">
        <f t="shared" si="2"/>
        <v>4.561247216</v>
      </c>
    </row>
    <row r="3211" ht="13.5" customHeight="1">
      <c r="B3211" s="268">
        <v>12796.0</v>
      </c>
      <c r="C3211" s="268">
        <f t="shared" si="1"/>
        <v>13.1913501</v>
      </c>
      <c r="D3211" s="268">
        <f t="shared" si="2"/>
        <v>4.566332219</v>
      </c>
    </row>
    <row r="3212" ht="13.5" customHeight="1">
      <c r="B3212" s="268">
        <v>12800.0</v>
      </c>
      <c r="C3212" s="268">
        <f t="shared" si="1"/>
        <v>13.20103877</v>
      </c>
      <c r="D3212" s="268">
        <f t="shared" si="2"/>
        <v>4.571428571</v>
      </c>
    </row>
    <row r="3213" ht="13.5" customHeight="1">
      <c r="B3213" s="268">
        <v>12804.0</v>
      </c>
      <c r="C3213" s="268">
        <f t="shared" si="1"/>
        <v>13.21073825</v>
      </c>
      <c r="D3213" s="268">
        <f t="shared" si="2"/>
        <v>4.576536313</v>
      </c>
    </row>
    <row r="3214" ht="13.5" customHeight="1">
      <c r="B3214" s="268">
        <v>12808.0</v>
      </c>
      <c r="C3214" s="268">
        <f t="shared" si="1"/>
        <v>13.22044858</v>
      </c>
      <c r="D3214" s="268">
        <f t="shared" si="2"/>
        <v>4.581655481</v>
      </c>
    </row>
    <row r="3215" ht="13.5" customHeight="1">
      <c r="B3215" s="268">
        <v>12812.0</v>
      </c>
      <c r="C3215" s="268">
        <f t="shared" si="1"/>
        <v>13.23016978</v>
      </c>
      <c r="D3215" s="268">
        <f t="shared" si="2"/>
        <v>4.586786114</v>
      </c>
    </row>
    <row r="3216" ht="13.5" customHeight="1">
      <c r="B3216" s="268">
        <v>12816.0</v>
      </c>
      <c r="C3216" s="268">
        <f t="shared" si="1"/>
        <v>13.23990187</v>
      </c>
      <c r="D3216" s="268">
        <f t="shared" si="2"/>
        <v>4.591928251</v>
      </c>
    </row>
    <row r="3217" ht="13.5" customHeight="1">
      <c r="B3217" s="268">
        <v>12820.0</v>
      </c>
      <c r="C3217" s="268">
        <f t="shared" si="1"/>
        <v>13.24964488</v>
      </c>
      <c r="D3217" s="268">
        <f t="shared" si="2"/>
        <v>4.59708193</v>
      </c>
    </row>
    <row r="3218" ht="13.5" customHeight="1">
      <c r="B3218" s="268">
        <v>12824.0</v>
      </c>
      <c r="C3218" s="268">
        <f t="shared" si="1"/>
        <v>13.25939883</v>
      </c>
      <c r="D3218" s="268">
        <f t="shared" si="2"/>
        <v>4.602247191</v>
      </c>
    </row>
    <row r="3219" ht="13.5" customHeight="1">
      <c r="B3219" s="268">
        <v>12828.0</v>
      </c>
      <c r="C3219" s="268">
        <f t="shared" si="1"/>
        <v>13.26916374</v>
      </c>
      <c r="D3219" s="268">
        <f t="shared" si="2"/>
        <v>4.607424072</v>
      </c>
    </row>
    <row r="3220" ht="13.5" customHeight="1">
      <c r="B3220" s="268">
        <v>12832.0</v>
      </c>
      <c r="C3220" s="268">
        <f t="shared" si="1"/>
        <v>13.27893964</v>
      </c>
      <c r="D3220" s="268">
        <f t="shared" si="2"/>
        <v>4.612612613</v>
      </c>
    </row>
    <row r="3221" ht="13.5" customHeight="1">
      <c r="B3221" s="268">
        <v>12836.0</v>
      </c>
      <c r="C3221" s="268">
        <f t="shared" si="1"/>
        <v>13.28872656</v>
      </c>
      <c r="D3221" s="268">
        <f t="shared" si="2"/>
        <v>4.617812852</v>
      </c>
    </row>
    <row r="3222" ht="13.5" customHeight="1">
      <c r="B3222" s="268">
        <v>12840.0</v>
      </c>
      <c r="C3222" s="268">
        <f t="shared" si="1"/>
        <v>13.29852452</v>
      </c>
      <c r="D3222" s="268">
        <f t="shared" si="2"/>
        <v>4.623024831</v>
      </c>
    </row>
    <row r="3223" ht="13.5" customHeight="1">
      <c r="B3223" s="268">
        <v>12844.0</v>
      </c>
      <c r="C3223" s="268">
        <f t="shared" si="1"/>
        <v>13.30833355</v>
      </c>
      <c r="D3223" s="268">
        <f t="shared" si="2"/>
        <v>4.628248588</v>
      </c>
    </row>
    <row r="3224" ht="13.5" customHeight="1">
      <c r="B3224" s="268">
        <v>12848.0</v>
      </c>
      <c r="C3224" s="268">
        <f t="shared" si="1"/>
        <v>13.31815366</v>
      </c>
      <c r="D3224" s="268">
        <f t="shared" si="2"/>
        <v>4.633484163</v>
      </c>
    </row>
    <row r="3225" ht="13.5" customHeight="1">
      <c r="B3225" s="268">
        <v>12852.0</v>
      </c>
      <c r="C3225" s="268">
        <f t="shared" si="1"/>
        <v>13.32798489</v>
      </c>
      <c r="D3225" s="268">
        <f t="shared" si="2"/>
        <v>4.638731597</v>
      </c>
    </row>
    <row r="3226" ht="13.5" customHeight="1">
      <c r="B3226" s="268">
        <v>12856.0</v>
      </c>
      <c r="C3226" s="268">
        <f t="shared" si="1"/>
        <v>13.33782726</v>
      </c>
      <c r="D3226" s="268">
        <f t="shared" si="2"/>
        <v>4.64399093</v>
      </c>
    </row>
    <row r="3227" ht="13.5" customHeight="1">
      <c r="B3227" s="268">
        <v>12860.0</v>
      </c>
      <c r="C3227" s="268">
        <f t="shared" si="1"/>
        <v>13.34768079</v>
      </c>
      <c r="D3227" s="268">
        <f t="shared" si="2"/>
        <v>4.649262202</v>
      </c>
    </row>
    <row r="3228" ht="13.5" customHeight="1">
      <c r="B3228" s="268">
        <v>12864.0</v>
      </c>
      <c r="C3228" s="268">
        <f t="shared" si="1"/>
        <v>13.35754552</v>
      </c>
      <c r="D3228" s="268">
        <f t="shared" si="2"/>
        <v>4.654545455</v>
      </c>
    </row>
    <row r="3229" ht="13.5" customHeight="1">
      <c r="B3229" s="268">
        <v>12868.0</v>
      </c>
      <c r="C3229" s="268">
        <f t="shared" si="1"/>
        <v>13.36742146</v>
      </c>
      <c r="D3229" s="268">
        <f t="shared" si="2"/>
        <v>4.659840728</v>
      </c>
    </row>
    <row r="3230" ht="13.5" customHeight="1">
      <c r="B3230" s="268">
        <v>12872.0</v>
      </c>
      <c r="C3230" s="268">
        <f t="shared" si="1"/>
        <v>13.37730864</v>
      </c>
      <c r="D3230" s="268">
        <f t="shared" si="2"/>
        <v>4.665148064</v>
      </c>
    </row>
    <row r="3231" ht="13.5" customHeight="1">
      <c r="B3231" s="268">
        <v>12876.0</v>
      </c>
      <c r="C3231" s="268">
        <f t="shared" si="1"/>
        <v>13.38720709</v>
      </c>
      <c r="D3231" s="268">
        <f t="shared" si="2"/>
        <v>4.670467503</v>
      </c>
    </row>
    <row r="3232" ht="13.5" customHeight="1">
      <c r="B3232" s="268">
        <v>12880.0</v>
      </c>
      <c r="C3232" s="268">
        <f t="shared" si="1"/>
        <v>13.39711684</v>
      </c>
      <c r="D3232" s="268">
        <f t="shared" si="2"/>
        <v>4.675799087</v>
      </c>
    </row>
    <row r="3233" ht="13.5" customHeight="1">
      <c r="B3233" s="268">
        <v>12884.0</v>
      </c>
      <c r="C3233" s="268">
        <f t="shared" si="1"/>
        <v>13.4070379</v>
      </c>
      <c r="D3233" s="268">
        <f t="shared" si="2"/>
        <v>4.681142857</v>
      </c>
    </row>
    <row r="3234" ht="13.5" customHeight="1">
      <c r="B3234" s="268">
        <v>12888.0</v>
      </c>
      <c r="C3234" s="268">
        <f t="shared" si="1"/>
        <v>13.41697031</v>
      </c>
      <c r="D3234" s="268">
        <f t="shared" si="2"/>
        <v>4.686498856</v>
      </c>
    </row>
    <row r="3235" ht="13.5" customHeight="1">
      <c r="B3235" s="268">
        <v>12892.0</v>
      </c>
      <c r="C3235" s="268">
        <f t="shared" si="1"/>
        <v>13.42691409</v>
      </c>
      <c r="D3235" s="268">
        <f t="shared" si="2"/>
        <v>4.691867125</v>
      </c>
    </row>
    <row r="3236" ht="13.5" customHeight="1">
      <c r="B3236" s="268">
        <v>12896.0</v>
      </c>
      <c r="C3236" s="268">
        <f t="shared" si="1"/>
        <v>13.43686926</v>
      </c>
      <c r="D3236" s="268">
        <f t="shared" si="2"/>
        <v>4.697247706</v>
      </c>
    </row>
    <row r="3237" ht="13.5" customHeight="1">
      <c r="B3237" s="268">
        <v>12900.0</v>
      </c>
      <c r="C3237" s="268">
        <f t="shared" si="1"/>
        <v>13.44683586</v>
      </c>
      <c r="D3237" s="268">
        <f t="shared" si="2"/>
        <v>4.702640643</v>
      </c>
    </row>
    <row r="3238" ht="13.5" customHeight="1">
      <c r="B3238" s="268">
        <v>12904.0</v>
      </c>
      <c r="C3238" s="268">
        <f t="shared" si="1"/>
        <v>13.45681391</v>
      </c>
      <c r="D3238" s="268">
        <f t="shared" si="2"/>
        <v>4.708045977</v>
      </c>
    </row>
    <row r="3239" ht="13.5" customHeight="1">
      <c r="B3239" s="268">
        <v>12908.0</v>
      </c>
      <c r="C3239" s="268">
        <f t="shared" si="1"/>
        <v>13.46680343</v>
      </c>
      <c r="D3239" s="268">
        <f t="shared" si="2"/>
        <v>4.713463751</v>
      </c>
    </row>
    <row r="3240" ht="13.5" customHeight="1">
      <c r="B3240" s="268">
        <v>12912.0</v>
      </c>
      <c r="C3240" s="268">
        <f t="shared" si="1"/>
        <v>13.47680446</v>
      </c>
      <c r="D3240" s="268">
        <f t="shared" si="2"/>
        <v>4.718894009</v>
      </c>
    </row>
    <row r="3241" ht="13.5" customHeight="1">
      <c r="B3241" s="268">
        <v>12916.0</v>
      </c>
      <c r="C3241" s="268">
        <f t="shared" si="1"/>
        <v>13.48681701</v>
      </c>
      <c r="D3241" s="268">
        <f t="shared" si="2"/>
        <v>4.724336794</v>
      </c>
    </row>
    <row r="3242" ht="13.5" customHeight="1">
      <c r="B3242" s="268">
        <v>12920.0</v>
      </c>
      <c r="C3242" s="268">
        <f t="shared" si="1"/>
        <v>13.49684112</v>
      </c>
      <c r="D3242" s="268">
        <f t="shared" si="2"/>
        <v>4.729792148</v>
      </c>
    </row>
    <row r="3243" ht="13.5" customHeight="1">
      <c r="B3243" s="268">
        <v>12924.0</v>
      </c>
      <c r="C3243" s="268">
        <f t="shared" si="1"/>
        <v>13.50687681</v>
      </c>
      <c r="D3243" s="268">
        <f t="shared" si="2"/>
        <v>4.735260116</v>
      </c>
    </row>
    <row r="3244" ht="13.5" customHeight="1">
      <c r="B3244" s="268">
        <v>12928.0</v>
      </c>
      <c r="C3244" s="268">
        <f t="shared" si="1"/>
        <v>13.51692411</v>
      </c>
      <c r="D3244" s="268">
        <f t="shared" si="2"/>
        <v>4.740740741</v>
      </c>
    </row>
    <row r="3245" ht="13.5" customHeight="1">
      <c r="B3245" s="268">
        <v>12932.0</v>
      </c>
      <c r="C3245" s="268">
        <f t="shared" si="1"/>
        <v>13.52698305</v>
      </c>
      <c r="D3245" s="268">
        <f t="shared" si="2"/>
        <v>4.746234067</v>
      </c>
    </row>
    <row r="3246" ht="13.5" customHeight="1">
      <c r="B3246" s="268">
        <v>12936.0</v>
      </c>
      <c r="C3246" s="268">
        <f t="shared" si="1"/>
        <v>13.53705364</v>
      </c>
      <c r="D3246" s="268">
        <f t="shared" si="2"/>
        <v>4.751740139</v>
      </c>
    </row>
    <row r="3247" ht="13.5" customHeight="1">
      <c r="B3247" s="268">
        <v>12940.0</v>
      </c>
      <c r="C3247" s="268">
        <f t="shared" si="1"/>
        <v>13.54713593</v>
      </c>
      <c r="D3247" s="268">
        <f t="shared" si="2"/>
        <v>4.757259001</v>
      </c>
    </row>
    <row r="3248" ht="13.5" customHeight="1">
      <c r="B3248" s="268">
        <v>12944.0</v>
      </c>
      <c r="C3248" s="268">
        <f t="shared" si="1"/>
        <v>13.55722993</v>
      </c>
      <c r="D3248" s="268">
        <f t="shared" si="2"/>
        <v>4.762790698</v>
      </c>
    </row>
    <row r="3249" ht="13.5" customHeight="1">
      <c r="B3249" s="268">
        <v>12948.0</v>
      </c>
      <c r="C3249" s="268">
        <f t="shared" si="1"/>
        <v>13.56733568</v>
      </c>
      <c r="D3249" s="268">
        <f t="shared" si="2"/>
        <v>4.768335274</v>
      </c>
    </row>
    <row r="3250" ht="13.5" customHeight="1">
      <c r="B3250" s="268">
        <v>12952.0</v>
      </c>
      <c r="C3250" s="268">
        <f t="shared" si="1"/>
        <v>13.5774532</v>
      </c>
      <c r="D3250" s="268">
        <f t="shared" si="2"/>
        <v>4.773892774</v>
      </c>
    </row>
    <row r="3251" ht="13.5" customHeight="1">
      <c r="B3251" s="268">
        <v>12956.0</v>
      </c>
      <c r="C3251" s="268">
        <f t="shared" si="1"/>
        <v>13.58758252</v>
      </c>
      <c r="D3251" s="268">
        <f t="shared" si="2"/>
        <v>4.779463244</v>
      </c>
    </row>
    <row r="3252" ht="13.5" customHeight="1">
      <c r="B3252" s="268">
        <v>12960.0</v>
      </c>
      <c r="C3252" s="268">
        <f t="shared" si="1"/>
        <v>13.59772367</v>
      </c>
      <c r="D3252" s="268">
        <f t="shared" si="2"/>
        <v>4.785046729</v>
      </c>
    </row>
    <row r="3253" ht="13.5" customHeight="1">
      <c r="B3253" s="268">
        <v>12964.0</v>
      </c>
      <c r="C3253" s="268">
        <f t="shared" si="1"/>
        <v>13.60787666</v>
      </c>
      <c r="D3253" s="268">
        <f t="shared" si="2"/>
        <v>4.790643275</v>
      </c>
    </row>
    <row r="3254" ht="13.5" customHeight="1">
      <c r="B3254" s="268">
        <v>12968.0</v>
      </c>
      <c r="C3254" s="268">
        <f t="shared" si="1"/>
        <v>13.61804155</v>
      </c>
      <c r="D3254" s="268">
        <f t="shared" si="2"/>
        <v>4.796252927</v>
      </c>
    </row>
    <row r="3255" ht="13.5" customHeight="1">
      <c r="B3255" s="268">
        <v>12972.0</v>
      </c>
      <c r="C3255" s="268">
        <f t="shared" si="1"/>
        <v>13.62821834</v>
      </c>
      <c r="D3255" s="268">
        <f t="shared" si="2"/>
        <v>4.801875733</v>
      </c>
    </row>
    <row r="3256" ht="13.5" customHeight="1">
      <c r="B3256" s="268">
        <v>12976.0</v>
      </c>
      <c r="C3256" s="268">
        <f t="shared" si="1"/>
        <v>13.63840706</v>
      </c>
      <c r="D3256" s="268">
        <f t="shared" si="2"/>
        <v>4.807511737</v>
      </c>
    </row>
    <row r="3257" ht="13.5" customHeight="1">
      <c r="B3257" s="268">
        <v>12980.0</v>
      </c>
      <c r="C3257" s="268">
        <f t="shared" si="1"/>
        <v>13.64860776</v>
      </c>
      <c r="D3257" s="268">
        <f t="shared" si="2"/>
        <v>4.813160987</v>
      </c>
    </row>
    <row r="3258" ht="13.5" customHeight="1">
      <c r="B3258" s="268">
        <v>12984.0</v>
      </c>
      <c r="C3258" s="268">
        <f t="shared" si="1"/>
        <v>13.65882045</v>
      </c>
      <c r="D3258" s="268">
        <f t="shared" si="2"/>
        <v>4.818823529</v>
      </c>
    </row>
    <row r="3259" ht="13.5" customHeight="1">
      <c r="B3259" s="268">
        <v>12988.0</v>
      </c>
      <c r="C3259" s="268">
        <f t="shared" si="1"/>
        <v>13.66904515</v>
      </c>
      <c r="D3259" s="268">
        <f t="shared" si="2"/>
        <v>4.824499411</v>
      </c>
    </row>
    <row r="3260" ht="13.5" customHeight="1">
      <c r="B3260" s="268">
        <v>12992.0</v>
      </c>
      <c r="C3260" s="268">
        <f t="shared" si="1"/>
        <v>13.67928191</v>
      </c>
      <c r="D3260" s="268">
        <f t="shared" si="2"/>
        <v>4.830188679</v>
      </c>
    </row>
    <row r="3261" ht="13.5" customHeight="1">
      <c r="B3261" s="268">
        <v>12996.0</v>
      </c>
      <c r="C3261" s="268">
        <f t="shared" si="1"/>
        <v>13.68953075</v>
      </c>
      <c r="D3261" s="268">
        <f t="shared" si="2"/>
        <v>4.835891381</v>
      </c>
    </row>
    <row r="3262" ht="13.5" customHeight="1">
      <c r="B3262" s="268">
        <v>13000.0</v>
      </c>
      <c r="C3262" s="268">
        <f t="shared" si="1"/>
        <v>13.6997917</v>
      </c>
      <c r="D3262" s="268">
        <f t="shared" si="2"/>
        <v>4.841607565</v>
      </c>
    </row>
    <row r="3263" ht="13.5" customHeight="1">
      <c r="B3263" s="268">
        <v>13004.0</v>
      </c>
      <c r="C3263" s="268">
        <f t="shared" si="1"/>
        <v>13.71006478</v>
      </c>
      <c r="D3263" s="268">
        <f t="shared" si="2"/>
        <v>4.847337278</v>
      </c>
    </row>
    <row r="3264" ht="13.5" customHeight="1">
      <c r="B3264" s="268">
        <v>13008.0</v>
      </c>
      <c r="C3264" s="268">
        <f t="shared" si="1"/>
        <v>13.72035003</v>
      </c>
      <c r="D3264" s="268">
        <f t="shared" si="2"/>
        <v>4.853080569</v>
      </c>
    </row>
    <row r="3265" ht="13.5" customHeight="1">
      <c r="B3265" s="268">
        <v>13012.0</v>
      </c>
      <c r="C3265" s="268">
        <f t="shared" si="1"/>
        <v>13.73064747</v>
      </c>
      <c r="D3265" s="268">
        <f t="shared" si="2"/>
        <v>4.858837485</v>
      </c>
    </row>
    <row r="3266" ht="13.5" customHeight="1">
      <c r="B3266" s="268">
        <v>13016.0</v>
      </c>
      <c r="C3266" s="268">
        <f t="shared" si="1"/>
        <v>13.74095713</v>
      </c>
      <c r="D3266" s="268">
        <f t="shared" si="2"/>
        <v>4.864608076</v>
      </c>
    </row>
    <row r="3267" ht="13.5" customHeight="1">
      <c r="B3267" s="268">
        <v>13020.0</v>
      </c>
      <c r="C3267" s="268">
        <f t="shared" si="1"/>
        <v>13.75127904</v>
      </c>
      <c r="D3267" s="268">
        <f t="shared" si="2"/>
        <v>4.87039239</v>
      </c>
    </row>
    <row r="3268" ht="13.5" customHeight="1">
      <c r="B3268" s="268">
        <v>13024.0</v>
      </c>
      <c r="C3268" s="268">
        <f t="shared" si="1"/>
        <v>13.76161324</v>
      </c>
      <c r="D3268" s="268">
        <f t="shared" si="2"/>
        <v>4.876190476</v>
      </c>
    </row>
    <row r="3269" ht="13.5" customHeight="1">
      <c r="B3269" s="268">
        <v>13028.0</v>
      </c>
      <c r="C3269" s="268">
        <f t="shared" si="1"/>
        <v>13.77195974</v>
      </c>
      <c r="D3269" s="268">
        <f t="shared" si="2"/>
        <v>4.882002384</v>
      </c>
    </row>
    <row r="3270" ht="13.5" customHeight="1">
      <c r="B3270" s="268">
        <v>13032.0</v>
      </c>
      <c r="C3270" s="268">
        <f t="shared" si="1"/>
        <v>13.78231859</v>
      </c>
      <c r="D3270" s="268">
        <f t="shared" si="2"/>
        <v>4.887828162</v>
      </c>
    </row>
    <row r="3271" ht="13.5" customHeight="1">
      <c r="B3271" s="268">
        <v>13036.0</v>
      </c>
      <c r="C3271" s="268">
        <f t="shared" si="1"/>
        <v>13.7926898</v>
      </c>
      <c r="D3271" s="268">
        <f t="shared" si="2"/>
        <v>4.893667861</v>
      </c>
    </row>
    <row r="3272" ht="13.5" customHeight="1">
      <c r="B3272" s="268">
        <v>13040.0</v>
      </c>
      <c r="C3272" s="268">
        <f t="shared" si="1"/>
        <v>13.80307341</v>
      </c>
      <c r="D3272" s="268">
        <f t="shared" si="2"/>
        <v>4.899521531</v>
      </c>
    </row>
    <row r="3273" ht="13.5" customHeight="1">
      <c r="B3273" s="268">
        <v>13044.0</v>
      </c>
      <c r="C3273" s="268">
        <f t="shared" si="1"/>
        <v>13.81346945</v>
      </c>
      <c r="D3273" s="268">
        <f t="shared" si="2"/>
        <v>4.905389222</v>
      </c>
    </row>
    <row r="3274" ht="13.5" customHeight="1">
      <c r="B3274" s="268">
        <v>13048.0</v>
      </c>
      <c r="C3274" s="268">
        <f t="shared" si="1"/>
        <v>13.82387795</v>
      </c>
      <c r="D3274" s="268">
        <f t="shared" si="2"/>
        <v>4.911270983</v>
      </c>
    </row>
    <row r="3275" ht="13.5" customHeight="1">
      <c r="B3275" s="268">
        <v>13052.0</v>
      </c>
      <c r="C3275" s="268">
        <f t="shared" si="1"/>
        <v>13.83429893</v>
      </c>
      <c r="D3275" s="268">
        <f t="shared" si="2"/>
        <v>4.917166867</v>
      </c>
    </row>
    <row r="3276" ht="13.5" customHeight="1">
      <c r="B3276" s="268">
        <v>13056.0</v>
      </c>
      <c r="C3276" s="268">
        <f t="shared" si="1"/>
        <v>13.84473243</v>
      </c>
      <c r="D3276" s="268">
        <f t="shared" si="2"/>
        <v>4.923076923</v>
      </c>
    </row>
    <row r="3277" ht="13.5" customHeight="1">
      <c r="B3277" s="268">
        <v>13060.0</v>
      </c>
      <c r="C3277" s="268">
        <f t="shared" si="1"/>
        <v>13.85517848</v>
      </c>
      <c r="D3277" s="268">
        <f t="shared" si="2"/>
        <v>4.929001203</v>
      </c>
    </row>
    <row r="3278" ht="13.5" customHeight="1">
      <c r="B3278" s="268">
        <v>13064.0</v>
      </c>
      <c r="C3278" s="268">
        <f t="shared" si="1"/>
        <v>13.86563711</v>
      </c>
      <c r="D3278" s="268">
        <f t="shared" si="2"/>
        <v>4.934939759</v>
      </c>
    </row>
    <row r="3279" ht="13.5" customHeight="1">
      <c r="B3279" s="268">
        <v>13068.0</v>
      </c>
      <c r="C3279" s="268">
        <f t="shared" si="1"/>
        <v>13.87610835</v>
      </c>
      <c r="D3279" s="268">
        <f t="shared" si="2"/>
        <v>4.940892642</v>
      </c>
    </row>
    <row r="3280" ht="13.5" customHeight="1">
      <c r="B3280" s="268">
        <v>13072.0</v>
      </c>
      <c r="C3280" s="268">
        <f t="shared" si="1"/>
        <v>13.88659222</v>
      </c>
      <c r="D3280" s="268">
        <f t="shared" si="2"/>
        <v>4.946859903</v>
      </c>
    </row>
    <row r="3281" ht="13.5" customHeight="1">
      <c r="B3281" s="268">
        <v>13076.0</v>
      </c>
      <c r="C3281" s="268">
        <f t="shared" si="1"/>
        <v>13.89708877</v>
      </c>
      <c r="D3281" s="268">
        <f t="shared" si="2"/>
        <v>4.952841596</v>
      </c>
    </row>
    <row r="3282" ht="13.5" customHeight="1">
      <c r="B3282" s="268">
        <v>13080.0</v>
      </c>
      <c r="C3282" s="268">
        <f t="shared" si="1"/>
        <v>13.90759801</v>
      </c>
      <c r="D3282" s="268">
        <f t="shared" si="2"/>
        <v>4.958837772</v>
      </c>
    </row>
    <row r="3283" ht="13.5" customHeight="1">
      <c r="B3283" s="268">
        <v>13084.0</v>
      </c>
      <c r="C3283" s="268">
        <f t="shared" si="1"/>
        <v>13.91811999</v>
      </c>
      <c r="D3283" s="268">
        <f t="shared" si="2"/>
        <v>4.964848485</v>
      </c>
    </row>
    <row r="3284" ht="13.5" customHeight="1">
      <c r="B3284" s="268">
        <v>13088.0</v>
      </c>
      <c r="C3284" s="268">
        <f t="shared" si="1"/>
        <v>13.92865473</v>
      </c>
      <c r="D3284" s="268">
        <f t="shared" si="2"/>
        <v>4.970873786</v>
      </c>
    </row>
    <row r="3285" ht="13.5" customHeight="1">
      <c r="B3285" s="268">
        <v>13092.0</v>
      </c>
      <c r="C3285" s="268">
        <f t="shared" si="1"/>
        <v>13.93920226</v>
      </c>
      <c r="D3285" s="268">
        <f t="shared" si="2"/>
        <v>4.97691373</v>
      </c>
    </row>
    <row r="3286" ht="13.5" customHeight="1">
      <c r="B3286" s="268">
        <v>13096.0</v>
      </c>
      <c r="C3286" s="268">
        <f t="shared" si="1"/>
        <v>13.94976261</v>
      </c>
      <c r="D3286" s="268">
        <f t="shared" si="2"/>
        <v>4.98296837</v>
      </c>
    </row>
    <row r="3287" ht="13.5" customHeight="1">
      <c r="B3287" s="268">
        <v>13100.0</v>
      </c>
      <c r="C3287" s="268">
        <f t="shared" si="1"/>
        <v>13.96033582</v>
      </c>
      <c r="D3287" s="268">
        <f t="shared" si="2"/>
        <v>4.989037759</v>
      </c>
    </row>
    <row r="3288" ht="13.5" customHeight="1">
      <c r="B3288" s="268">
        <v>13104.0</v>
      </c>
      <c r="C3288" s="268">
        <f t="shared" si="1"/>
        <v>13.97092191</v>
      </c>
      <c r="D3288" s="268">
        <f t="shared" si="2"/>
        <v>4.995121951</v>
      </c>
    </row>
    <row r="3289" ht="13.5" customHeight="1">
      <c r="B3289" s="268">
        <v>13108.0</v>
      </c>
      <c r="C3289" s="268">
        <f t="shared" si="1"/>
        <v>13.98152092</v>
      </c>
      <c r="D3289" s="268">
        <f t="shared" si="2"/>
        <v>5.001221001</v>
      </c>
    </row>
    <row r="3290" ht="13.5" customHeight="1">
      <c r="B3290" s="268">
        <v>13112.0</v>
      </c>
      <c r="C3290" s="268">
        <f t="shared" si="1"/>
        <v>13.99213289</v>
      </c>
      <c r="D3290" s="268">
        <f t="shared" si="2"/>
        <v>5.007334963</v>
      </c>
    </row>
    <row r="3291" ht="13.5" customHeight="1">
      <c r="B3291" s="268">
        <v>13116.0</v>
      </c>
      <c r="C3291" s="268">
        <f t="shared" si="1"/>
        <v>14.00275783</v>
      </c>
      <c r="D3291" s="268">
        <f t="shared" si="2"/>
        <v>5.013463892</v>
      </c>
    </row>
    <row r="3292" ht="13.5" customHeight="1">
      <c r="B3292" s="268">
        <v>13120.0</v>
      </c>
      <c r="C3292" s="268">
        <f t="shared" si="1"/>
        <v>14.01339578</v>
      </c>
      <c r="D3292" s="268">
        <f t="shared" si="2"/>
        <v>5.019607843</v>
      </c>
    </row>
    <row r="3293" ht="13.5" customHeight="1">
      <c r="B3293" s="268">
        <v>13124.0</v>
      </c>
      <c r="C3293" s="268">
        <f t="shared" si="1"/>
        <v>14.02404678</v>
      </c>
      <c r="D3293" s="268">
        <f t="shared" si="2"/>
        <v>5.025766871</v>
      </c>
    </row>
    <row r="3294" ht="13.5" customHeight="1">
      <c r="B3294" s="268">
        <v>13128.0</v>
      </c>
      <c r="C3294" s="268">
        <f t="shared" si="1"/>
        <v>14.03471086</v>
      </c>
      <c r="D3294" s="268">
        <f t="shared" si="2"/>
        <v>5.031941032</v>
      </c>
    </row>
    <row r="3295" ht="13.5" customHeight="1">
      <c r="B3295" s="268">
        <v>13132.0</v>
      </c>
      <c r="C3295" s="268">
        <f t="shared" si="1"/>
        <v>14.04538805</v>
      </c>
      <c r="D3295" s="268">
        <f t="shared" si="2"/>
        <v>5.038130381</v>
      </c>
    </row>
    <row r="3296" ht="13.5" customHeight="1">
      <c r="B3296" s="268">
        <v>13136.0</v>
      </c>
      <c r="C3296" s="268">
        <f t="shared" si="1"/>
        <v>14.05607837</v>
      </c>
      <c r="D3296" s="268">
        <f t="shared" si="2"/>
        <v>5.044334975</v>
      </c>
    </row>
    <row r="3297" ht="13.5" customHeight="1">
      <c r="B3297" s="268">
        <v>13140.0</v>
      </c>
      <c r="C3297" s="268">
        <f t="shared" si="1"/>
        <v>14.06678188</v>
      </c>
      <c r="D3297" s="268">
        <f t="shared" si="2"/>
        <v>5.050554871</v>
      </c>
    </row>
    <row r="3298" ht="13.5" customHeight="1">
      <c r="B3298" s="268">
        <v>13144.0</v>
      </c>
      <c r="C3298" s="268">
        <f t="shared" si="1"/>
        <v>14.07749858</v>
      </c>
      <c r="D3298" s="268">
        <f t="shared" si="2"/>
        <v>5.056790123</v>
      </c>
    </row>
    <row r="3299" ht="13.5" customHeight="1">
      <c r="B3299" s="268">
        <v>13148.0</v>
      </c>
      <c r="C3299" s="268">
        <f t="shared" si="1"/>
        <v>14.08822853</v>
      </c>
      <c r="D3299" s="268">
        <f t="shared" si="2"/>
        <v>5.063040791</v>
      </c>
    </row>
    <row r="3300" ht="13.5" customHeight="1">
      <c r="B3300" s="268">
        <v>13152.0</v>
      </c>
      <c r="C3300" s="268">
        <f t="shared" si="1"/>
        <v>14.09897174</v>
      </c>
      <c r="D3300" s="268">
        <f t="shared" si="2"/>
        <v>5.069306931</v>
      </c>
    </row>
    <row r="3301" ht="13.5" customHeight="1">
      <c r="B3301" s="268">
        <v>13156.0</v>
      </c>
      <c r="C3301" s="268">
        <f t="shared" si="1"/>
        <v>14.10972826</v>
      </c>
      <c r="D3301" s="268">
        <f t="shared" si="2"/>
        <v>5.0755886</v>
      </c>
    </row>
    <row r="3302" ht="13.5" customHeight="1">
      <c r="B3302" s="268">
        <v>13160.0</v>
      </c>
      <c r="C3302" s="268">
        <f t="shared" si="1"/>
        <v>14.12049812</v>
      </c>
      <c r="D3302" s="268">
        <f t="shared" si="2"/>
        <v>5.081885856</v>
      </c>
    </row>
    <row r="3303" ht="13.5" customHeight="1">
      <c r="B3303" s="268">
        <v>13164.0</v>
      </c>
      <c r="C3303" s="268">
        <f t="shared" si="1"/>
        <v>14.13128135</v>
      </c>
      <c r="D3303" s="268">
        <f t="shared" si="2"/>
        <v>5.088198758</v>
      </c>
    </row>
    <row r="3304" ht="13.5" customHeight="1">
      <c r="B3304" s="268">
        <v>13168.0</v>
      </c>
      <c r="C3304" s="268">
        <f t="shared" si="1"/>
        <v>14.14207798</v>
      </c>
      <c r="D3304" s="268">
        <f t="shared" si="2"/>
        <v>5.094527363</v>
      </c>
    </row>
    <row r="3305" ht="13.5" customHeight="1">
      <c r="B3305" s="268">
        <v>13172.0</v>
      </c>
      <c r="C3305" s="268">
        <f t="shared" si="1"/>
        <v>14.15288805</v>
      </c>
      <c r="D3305" s="268">
        <f t="shared" si="2"/>
        <v>5.100871731</v>
      </c>
    </row>
    <row r="3306" ht="13.5" customHeight="1">
      <c r="B3306" s="268">
        <v>13176.0</v>
      </c>
      <c r="C3306" s="268">
        <f t="shared" si="1"/>
        <v>14.16371159</v>
      </c>
      <c r="D3306" s="268">
        <f t="shared" si="2"/>
        <v>5.10723192</v>
      </c>
    </row>
    <row r="3307" ht="13.5" customHeight="1">
      <c r="B3307" s="268">
        <v>13180.0</v>
      </c>
      <c r="C3307" s="268">
        <f t="shared" si="1"/>
        <v>14.17454864</v>
      </c>
      <c r="D3307" s="268">
        <f t="shared" si="2"/>
        <v>5.11360799</v>
      </c>
    </row>
    <row r="3308" ht="13.5" customHeight="1">
      <c r="B3308" s="268">
        <v>13184.0</v>
      </c>
      <c r="C3308" s="268">
        <f t="shared" si="1"/>
        <v>14.18539922</v>
      </c>
      <c r="D3308" s="268">
        <f t="shared" si="2"/>
        <v>5.12</v>
      </c>
    </row>
    <row r="3309" ht="13.5" customHeight="1">
      <c r="B3309" s="268">
        <v>13188.0</v>
      </c>
      <c r="C3309" s="268">
        <f t="shared" si="1"/>
        <v>14.19626337</v>
      </c>
      <c r="D3309" s="268">
        <f t="shared" si="2"/>
        <v>5.12640801</v>
      </c>
    </row>
    <row r="3310" ht="13.5" customHeight="1">
      <c r="B3310" s="268">
        <v>13192.0</v>
      </c>
      <c r="C3310" s="268">
        <f t="shared" si="1"/>
        <v>14.20714113</v>
      </c>
      <c r="D3310" s="268">
        <f t="shared" si="2"/>
        <v>5.13283208</v>
      </c>
    </row>
    <row r="3311" ht="13.5" customHeight="1">
      <c r="B3311" s="268">
        <v>13196.0</v>
      </c>
      <c r="C3311" s="268">
        <f t="shared" si="1"/>
        <v>14.21803253</v>
      </c>
      <c r="D3311" s="268">
        <f t="shared" si="2"/>
        <v>5.139272271</v>
      </c>
    </row>
    <row r="3312" ht="13.5" customHeight="1">
      <c r="B3312" s="268">
        <v>13200.0</v>
      </c>
      <c r="C3312" s="268">
        <f t="shared" si="1"/>
        <v>14.2289376</v>
      </c>
      <c r="D3312" s="268">
        <f t="shared" si="2"/>
        <v>5.145728643</v>
      </c>
    </row>
    <row r="3313" ht="13.5" customHeight="1">
      <c r="B3313" s="268">
        <v>13204.0</v>
      </c>
      <c r="C3313" s="268">
        <f t="shared" si="1"/>
        <v>14.23985639</v>
      </c>
      <c r="D3313" s="268">
        <f t="shared" si="2"/>
        <v>5.152201258</v>
      </c>
    </row>
    <row r="3314" ht="13.5" customHeight="1">
      <c r="B3314" s="268">
        <v>13208.0</v>
      </c>
      <c r="C3314" s="268">
        <f t="shared" si="1"/>
        <v>14.25078891</v>
      </c>
      <c r="D3314" s="268">
        <f t="shared" si="2"/>
        <v>5.158690176</v>
      </c>
    </row>
    <row r="3315" ht="13.5" customHeight="1">
      <c r="B3315" s="268">
        <v>13212.0</v>
      </c>
      <c r="C3315" s="268">
        <f t="shared" si="1"/>
        <v>14.26173521</v>
      </c>
      <c r="D3315" s="268">
        <f t="shared" si="2"/>
        <v>5.16519546</v>
      </c>
    </row>
    <row r="3316" ht="13.5" customHeight="1">
      <c r="B3316" s="268">
        <v>13216.0</v>
      </c>
      <c r="C3316" s="268">
        <f t="shared" si="1"/>
        <v>14.27269533</v>
      </c>
      <c r="D3316" s="268">
        <f t="shared" si="2"/>
        <v>5.171717172</v>
      </c>
    </row>
    <row r="3317" ht="13.5" customHeight="1">
      <c r="B3317" s="268">
        <v>13220.0</v>
      </c>
      <c r="C3317" s="268">
        <f t="shared" si="1"/>
        <v>14.28366929</v>
      </c>
      <c r="D3317" s="268">
        <f t="shared" si="2"/>
        <v>5.178255373</v>
      </c>
    </row>
    <row r="3318" ht="13.5" customHeight="1">
      <c r="B3318" s="268">
        <v>13224.0</v>
      </c>
      <c r="C3318" s="268">
        <f t="shared" si="1"/>
        <v>14.29465713</v>
      </c>
      <c r="D3318" s="268">
        <f t="shared" si="2"/>
        <v>5.184810127</v>
      </c>
    </row>
    <row r="3319" ht="13.5" customHeight="1">
      <c r="B3319" s="268">
        <v>13228.0</v>
      </c>
      <c r="C3319" s="268">
        <f t="shared" si="1"/>
        <v>14.3056589</v>
      </c>
      <c r="D3319" s="268">
        <f t="shared" si="2"/>
        <v>5.191381496</v>
      </c>
    </row>
    <row r="3320" ht="13.5" customHeight="1">
      <c r="B3320" s="268">
        <v>13232.0</v>
      </c>
      <c r="C3320" s="268">
        <f t="shared" si="1"/>
        <v>14.31667461</v>
      </c>
      <c r="D3320" s="268">
        <f t="shared" si="2"/>
        <v>5.197969543</v>
      </c>
    </row>
    <row r="3321" ht="13.5" customHeight="1">
      <c r="B3321" s="268">
        <v>13236.0</v>
      </c>
      <c r="C3321" s="268">
        <f t="shared" si="1"/>
        <v>14.32770431</v>
      </c>
      <c r="D3321" s="268">
        <f t="shared" si="2"/>
        <v>5.204574333</v>
      </c>
    </row>
    <row r="3322" ht="13.5" customHeight="1">
      <c r="B3322" s="268">
        <v>13240.0</v>
      </c>
      <c r="C3322" s="268">
        <f t="shared" si="1"/>
        <v>14.33874804</v>
      </c>
      <c r="D3322" s="268">
        <f t="shared" si="2"/>
        <v>5.211195929</v>
      </c>
    </row>
    <row r="3323" ht="13.5" customHeight="1">
      <c r="B3323" s="268">
        <v>13244.0</v>
      </c>
      <c r="C3323" s="268">
        <f t="shared" si="1"/>
        <v>14.34980582</v>
      </c>
      <c r="D3323" s="268">
        <f t="shared" si="2"/>
        <v>5.217834395</v>
      </c>
    </row>
    <row r="3324" ht="13.5" customHeight="1">
      <c r="B3324" s="268">
        <v>13248.0</v>
      </c>
      <c r="C3324" s="268">
        <f t="shared" si="1"/>
        <v>14.36087771</v>
      </c>
      <c r="D3324" s="268">
        <f t="shared" si="2"/>
        <v>5.224489796</v>
      </c>
    </row>
    <row r="3325" ht="13.5" customHeight="1">
      <c r="B3325" s="268">
        <v>13252.0</v>
      </c>
      <c r="C3325" s="268">
        <f t="shared" si="1"/>
        <v>14.37196372</v>
      </c>
      <c r="D3325" s="268">
        <f t="shared" si="2"/>
        <v>5.231162197</v>
      </c>
    </row>
    <row r="3326" ht="13.5" customHeight="1">
      <c r="B3326" s="268">
        <v>13256.0</v>
      </c>
      <c r="C3326" s="268">
        <f t="shared" si="1"/>
        <v>14.3830639</v>
      </c>
      <c r="D3326" s="268">
        <f t="shared" si="2"/>
        <v>5.237851662</v>
      </c>
    </row>
    <row r="3327" ht="13.5" customHeight="1">
      <c r="B3327" s="268">
        <v>13260.0</v>
      </c>
      <c r="C3327" s="268">
        <f t="shared" si="1"/>
        <v>14.39417828</v>
      </c>
      <c r="D3327" s="268">
        <f t="shared" si="2"/>
        <v>5.244558259</v>
      </c>
    </row>
    <row r="3328" ht="13.5" customHeight="1">
      <c r="B3328" s="268">
        <v>13264.0</v>
      </c>
      <c r="C3328" s="268">
        <f t="shared" si="1"/>
        <v>14.40530691</v>
      </c>
      <c r="D3328" s="268">
        <f t="shared" si="2"/>
        <v>5.251282051</v>
      </c>
    </row>
    <row r="3329" ht="13.5" customHeight="1">
      <c r="B3329" s="268">
        <v>13268.0</v>
      </c>
      <c r="C3329" s="268">
        <f t="shared" si="1"/>
        <v>14.41644981</v>
      </c>
      <c r="D3329" s="268">
        <f t="shared" si="2"/>
        <v>5.258023107</v>
      </c>
    </row>
    <row r="3330" ht="13.5" customHeight="1">
      <c r="B3330" s="268">
        <v>13272.0</v>
      </c>
      <c r="C3330" s="268">
        <f t="shared" si="1"/>
        <v>14.42760702</v>
      </c>
      <c r="D3330" s="268">
        <f t="shared" si="2"/>
        <v>5.264781491</v>
      </c>
    </row>
    <row r="3331" ht="13.5" customHeight="1">
      <c r="B3331" s="268">
        <v>13276.0</v>
      </c>
      <c r="C3331" s="268">
        <f t="shared" si="1"/>
        <v>14.43877858</v>
      </c>
      <c r="D3331" s="268">
        <f t="shared" si="2"/>
        <v>5.271557272</v>
      </c>
    </row>
    <row r="3332" ht="13.5" customHeight="1">
      <c r="B3332" s="268">
        <v>13280.0</v>
      </c>
      <c r="C3332" s="268">
        <f t="shared" si="1"/>
        <v>14.44996453</v>
      </c>
      <c r="D3332" s="268">
        <f t="shared" si="2"/>
        <v>5.278350515</v>
      </c>
    </row>
    <row r="3333" ht="13.5" customHeight="1">
      <c r="B3333" s="268">
        <v>13284.0</v>
      </c>
      <c r="C3333" s="268">
        <f t="shared" si="1"/>
        <v>14.46116491</v>
      </c>
      <c r="D3333" s="268">
        <f t="shared" si="2"/>
        <v>5.28516129</v>
      </c>
    </row>
    <row r="3334" ht="13.5" customHeight="1">
      <c r="B3334" s="268">
        <v>13288.0</v>
      </c>
      <c r="C3334" s="268">
        <f t="shared" si="1"/>
        <v>14.47237975</v>
      </c>
      <c r="D3334" s="268">
        <f t="shared" si="2"/>
        <v>5.291989664</v>
      </c>
    </row>
    <row r="3335" ht="13.5" customHeight="1">
      <c r="B3335" s="268">
        <v>13292.0</v>
      </c>
      <c r="C3335" s="268">
        <f t="shared" si="1"/>
        <v>14.48360908</v>
      </c>
      <c r="D3335" s="268">
        <f t="shared" si="2"/>
        <v>5.298835705</v>
      </c>
    </row>
    <row r="3336" ht="13.5" customHeight="1">
      <c r="B3336" s="268">
        <v>13296.0</v>
      </c>
      <c r="C3336" s="268">
        <f t="shared" si="1"/>
        <v>14.49485295</v>
      </c>
      <c r="D3336" s="268">
        <f t="shared" si="2"/>
        <v>5.305699482</v>
      </c>
    </row>
    <row r="3337" ht="13.5" customHeight="1">
      <c r="B3337" s="268">
        <v>13300.0</v>
      </c>
      <c r="C3337" s="268">
        <f t="shared" si="1"/>
        <v>14.5061114</v>
      </c>
      <c r="D3337" s="268">
        <f t="shared" si="2"/>
        <v>5.312581064</v>
      </c>
    </row>
    <row r="3338" ht="13.5" customHeight="1">
      <c r="B3338" s="268">
        <v>13304.0</v>
      </c>
      <c r="C3338" s="268">
        <f t="shared" si="1"/>
        <v>14.51738446</v>
      </c>
      <c r="D3338" s="268">
        <f t="shared" si="2"/>
        <v>5.319480519</v>
      </c>
    </row>
    <row r="3339" ht="13.5" customHeight="1">
      <c r="B3339" s="268">
        <v>13308.0</v>
      </c>
      <c r="C3339" s="268">
        <f t="shared" si="1"/>
        <v>14.52867216</v>
      </c>
      <c r="D3339" s="268">
        <f t="shared" si="2"/>
        <v>5.326397919</v>
      </c>
    </row>
    <row r="3340" ht="13.5" customHeight="1">
      <c r="B3340" s="268">
        <v>13312.0</v>
      </c>
      <c r="C3340" s="268">
        <f t="shared" si="1"/>
        <v>14.53997456</v>
      </c>
      <c r="D3340" s="268">
        <f t="shared" si="2"/>
        <v>5.333333333</v>
      </c>
    </row>
    <row r="3341" ht="13.5" customHeight="1">
      <c r="B3341" s="268">
        <v>13316.0</v>
      </c>
      <c r="C3341" s="268">
        <f t="shared" si="1"/>
        <v>14.55129168</v>
      </c>
      <c r="D3341" s="268">
        <f t="shared" si="2"/>
        <v>5.340286832</v>
      </c>
    </row>
    <row r="3342" ht="13.5" customHeight="1">
      <c r="B3342" s="268">
        <v>13320.0</v>
      </c>
      <c r="C3342" s="268">
        <f t="shared" si="1"/>
        <v>14.56262357</v>
      </c>
      <c r="D3342" s="268">
        <f t="shared" si="2"/>
        <v>5.347258486</v>
      </c>
    </row>
    <row r="3343" ht="13.5" customHeight="1">
      <c r="B3343" s="268">
        <v>13324.0</v>
      </c>
      <c r="C3343" s="268">
        <f t="shared" si="1"/>
        <v>14.57397026</v>
      </c>
      <c r="D3343" s="268">
        <f t="shared" si="2"/>
        <v>5.354248366</v>
      </c>
    </row>
    <row r="3344" ht="13.5" customHeight="1">
      <c r="B3344" s="268">
        <v>13328.0</v>
      </c>
      <c r="C3344" s="268">
        <f t="shared" si="1"/>
        <v>14.58533179</v>
      </c>
      <c r="D3344" s="268">
        <f t="shared" si="2"/>
        <v>5.361256545</v>
      </c>
    </row>
    <row r="3345" ht="13.5" customHeight="1">
      <c r="B3345" s="268">
        <v>13332.0</v>
      </c>
      <c r="C3345" s="268">
        <f t="shared" si="1"/>
        <v>14.5967082</v>
      </c>
      <c r="D3345" s="268">
        <f t="shared" si="2"/>
        <v>5.368283093</v>
      </c>
    </row>
    <row r="3346" ht="13.5" customHeight="1">
      <c r="B3346" s="268">
        <v>13336.0</v>
      </c>
      <c r="C3346" s="268">
        <f t="shared" si="1"/>
        <v>14.60809953</v>
      </c>
      <c r="D3346" s="268">
        <f t="shared" si="2"/>
        <v>5.375328084</v>
      </c>
    </row>
    <row r="3347" ht="13.5" customHeight="1">
      <c r="B3347" s="268">
        <v>13340.0</v>
      </c>
      <c r="C3347" s="268">
        <f t="shared" si="1"/>
        <v>14.61950582</v>
      </c>
      <c r="D3347" s="268">
        <f t="shared" si="2"/>
        <v>5.38239159</v>
      </c>
    </row>
    <row r="3348" ht="13.5" customHeight="1">
      <c r="B3348" s="268">
        <v>13344.0</v>
      </c>
      <c r="C3348" s="268">
        <f t="shared" si="1"/>
        <v>14.63092711</v>
      </c>
      <c r="D3348" s="268">
        <f t="shared" si="2"/>
        <v>5.389473684</v>
      </c>
    </row>
    <row r="3349" ht="13.5" customHeight="1">
      <c r="B3349" s="268">
        <v>13348.0</v>
      </c>
      <c r="C3349" s="268">
        <f t="shared" si="1"/>
        <v>14.64236344</v>
      </c>
      <c r="D3349" s="268">
        <f t="shared" si="2"/>
        <v>5.39657444</v>
      </c>
    </row>
    <row r="3350" ht="13.5" customHeight="1">
      <c r="B3350" s="268">
        <v>13352.0</v>
      </c>
      <c r="C3350" s="268">
        <f t="shared" si="1"/>
        <v>14.65381485</v>
      </c>
      <c r="D3350" s="268">
        <f t="shared" si="2"/>
        <v>5.403693931</v>
      </c>
    </row>
    <row r="3351" ht="13.5" customHeight="1">
      <c r="B3351" s="268">
        <v>13356.0</v>
      </c>
      <c r="C3351" s="268">
        <f t="shared" si="1"/>
        <v>14.66528137</v>
      </c>
      <c r="D3351" s="268">
        <f t="shared" si="2"/>
        <v>5.410832232</v>
      </c>
    </row>
    <row r="3352" ht="13.5" customHeight="1">
      <c r="B3352" s="268">
        <v>13360.0</v>
      </c>
      <c r="C3352" s="268">
        <f t="shared" si="1"/>
        <v>14.67676305</v>
      </c>
      <c r="D3352" s="268">
        <f t="shared" si="2"/>
        <v>5.417989418</v>
      </c>
    </row>
    <row r="3353" ht="13.5" customHeight="1">
      <c r="B3353" s="268">
        <v>13364.0</v>
      </c>
      <c r="C3353" s="268">
        <f t="shared" si="1"/>
        <v>14.68825993</v>
      </c>
      <c r="D3353" s="268">
        <f t="shared" si="2"/>
        <v>5.425165563</v>
      </c>
    </row>
    <row r="3354" ht="13.5" customHeight="1">
      <c r="B3354" s="268">
        <v>13368.0</v>
      </c>
      <c r="C3354" s="268">
        <f t="shared" si="1"/>
        <v>14.69977204</v>
      </c>
      <c r="D3354" s="268">
        <f t="shared" si="2"/>
        <v>5.432360743</v>
      </c>
    </row>
    <row r="3355" ht="13.5" customHeight="1">
      <c r="B3355" s="268">
        <v>13372.0</v>
      </c>
      <c r="C3355" s="268">
        <f t="shared" si="1"/>
        <v>14.71129944</v>
      </c>
      <c r="D3355" s="268">
        <f t="shared" si="2"/>
        <v>5.439575033</v>
      </c>
    </row>
    <row r="3356" ht="13.5" customHeight="1">
      <c r="B3356" s="268">
        <v>13376.0</v>
      </c>
      <c r="C3356" s="268">
        <f t="shared" si="1"/>
        <v>14.72284215</v>
      </c>
      <c r="D3356" s="268">
        <f t="shared" si="2"/>
        <v>5.446808511</v>
      </c>
    </row>
    <row r="3357" ht="13.5" customHeight="1">
      <c r="B3357" s="268">
        <v>13380.0</v>
      </c>
      <c r="C3357" s="268">
        <f t="shared" si="1"/>
        <v>14.73440022</v>
      </c>
      <c r="D3357" s="268">
        <f t="shared" si="2"/>
        <v>5.454061252</v>
      </c>
    </row>
    <row r="3358" ht="13.5" customHeight="1">
      <c r="B3358" s="268">
        <v>13384.0</v>
      </c>
      <c r="C3358" s="268">
        <f t="shared" si="1"/>
        <v>14.74597369</v>
      </c>
      <c r="D3358" s="268">
        <f t="shared" si="2"/>
        <v>5.461333333</v>
      </c>
    </row>
    <row r="3359" ht="13.5" customHeight="1">
      <c r="B3359" s="268">
        <v>13388.0</v>
      </c>
      <c r="C3359" s="268">
        <f t="shared" si="1"/>
        <v>14.75756261</v>
      </c>
      <c r="D3359" s="268">
        <f t="shared" si="2"/>
        <v>5.468624833</v>
      </c>
    </row>
    <row r="3360" ht="13.5" customHeight="1">
      <c r="B3360" s="268">
        <v>13392.0</v>
      </c>
      <c r="C3360" s="268">
        <f t="shared" si="1"/>
        <v>14.769167</v>
      </c>
      <c r="D3360" s="268">
        <f t="shared" si="2"/>
        <v>5.475935829</v>
      </c>
    </row>
    <row r="3361" ht="13.5" customHeight="1">
      <c r="B3361" s="268">
        <v>13396.0</v>
      </c>
      <c r="C3361" s="268">
        <f t="shared" si="1"/>
        <v>14.78078692</v>
      </c>
      <c r="D3361" s="268">
        <f t="shared" si="2"/>
        <v>5.483266399</v>
      </c>
    </row>
    <row r="3362" ht="13.5" customHeight="1">
      <c r="B3362" s="268">
        <v>13400.0</v>
      </c>
      <c r="C3362" s="268">
        <f t="shared" si="1"/>
        <v>14.79242241</v>
      </c>
      <c r="D3362" s="268">
        <f t="shared" si="2"/>
        <v>5.490616622</v>
      </c>
    </row>
    <row r="3363" ht="13.5" customHeight="1">
      <c r="B3363" s="268">
        <v>13404.0</v>
      </c>
      <c r="C3363" s="268">
        <f t="shared" si="1"/>
        <v>14.8040735</v>
      </c>
      <c r="D3363" s="268">
        <f t="shared" si="2"/>
        <v>5.497986577</v>
      </c>
    </row>
    <row r="3364" ht="13.5" customHeight="1">
      <c r="B3364" s="268">
        <v>13408.0</v>
      </c>
      <c r="C3364" s="268">
        <f t="shared" si="1"/>
        <v>14.81574025</v>
      </c>
      <c r="D3364" s="268">
        <f t="shared" si="2"/>
        <v>5.505376344</v>
      </c>
    </row>
    <row r="3365" ht="13.5" customHeight="1">
      <c r="B3365" s="268">
        <v>13412.0</v>
      </c>
      <c r="C3365" s="268">
        <f t="shared" si="1"/>
        <v>14.82742268</v>
      </c>
      <c r="D3365" s="268">
        <f t="shared" si="2"/>
        <v>5.512786003</v>
      </c>
    </row>
    <row r="3366" ht="13.5" customHeight="1">
      <c r="B3366" s="268">
        <v>13416.0</v>
      </c>
      <c r="C3366" s="268">
        <f t="shared" si="1"/>
        <v>14.83912085</v>
      </c>
      <c r="D3366" s="268">
        <f t="shared" si="2"/>
        <v>5.520215633</v>
      </c>
    </row>
    <row r="3367" ht="13.5" customHeight="1">
      <c r="B3367" s="268">
        <v>13420.0</v>
      </c>
      <c r="C3367" s="268">
        <f t="shared" si="1"/>
        <v>14.8508348</v>
      </c>
      <c r="D3367" s="268">
        <f t="shared" si="2"/>
        <v>5.527665317</v>
      </c>
    </row>
    <row r="3368" ht="13.5" customHeight="1">
      <c r="B3368" s="268">
        <v>13424.0</v>
      </c>
      <c r="C3368" s="268">
        <f t="shared" si="1"/>
        <v>14.86256456</v>
      </c>
      <c r="D3368" s="268">
        <f t="shared" si="2"/>
        <v>5.535135135</v>
      </c>
    </row>
    <row r="3369" ht="13.5" customHeight="1">
      <c r="B3369" s="268">
        <v>13428.0</v>
      </c>
      <c r="C3369" s="268">
        <f t="shared" si="1"/>
        <v>14.87431019</v>
      </c>
      <c r="D3369" s="268">
        <f t="shared" si="2"/>
        <v>5.542625169</v>
      </c>
    </row>
    <row r="3370" ht="13.5" customHeight="1">
      <c r="B3370" s="268">
        <v>13432.0</v>
      </c>
      <c r="C3370" s="268">
        <f t="shared" si="1"/>
        <v>14.88607172</v>
      </c>
      <c r="D3370" s="268">
        <f t="shared" si="2"/>
        <v>5.550135501</v>
      </c>
    </row>
    <row r="3371" ht="13.5" customHeight="1">
      <c r="B3371" s="268">
        <v>13436.0</v>
      </c>
      <c r="C3371" s="268">
        <f t="shared" si="1"/>
        <v>14.8978492</v>
      </c>
      <c r="D3371" s="268">
        <f t="shared" si="2"/>
        <v>5.557666214</v>
      </c>
    </row>
    <row r="3372" ht="13.5" customHeight="1">
      <c r="B3372" s="268">
        <v>13440.0</v>
      </c>
      <c r="C3372" s="268">
        <f t="shared" si="1"/>
        <v>14.90964267</v>
      </c>
      <c r="D3372" s="268">
        <f t="shared" si="2"/>
        <v>5.565217391</v>
      </c>
    </row>
    <row r="3373" ht="13.5" customHeight="1">
      <c r="B3373" s="268">
        <v>13444.0</v>
      </c>
      <c r="C3373" s="268">
        <f t="shared" si="1"/>
        <v>14.92145218</v>
      </c>
      <c r="D3373" s="268">
        <f t="shared" si="2"/>
        <v>5.572789116</v>
      </c>
    </row>
    <row r="3374" ht="13.5" customHeight="1">
      <c r="B3374" s="268">
        <v>13448.0</v>
      </c>
      <c r="C3374" s="268">
        <f t="shared" si="1"/>
        <v>14.93327776</v>
      </c>
      <c r="D3374" s="268">
        <f t="shared" si="2"/>
        <v>5.580381471</v>
      </c>
    </row>
    <row r="3375" ht="13.5" customHeight="1">
      <c r="B3375" s="268">
        <v>13452.0</v>
      </c>
      <c r="C3375" s="268">
        <f t="shared" si="1"/>
        <v>14.94511947</v>
      </c>
      <c r="D3375" s="268">
        <f t="shared" si="2"/>
        <v>5.587994543</v>
      </c>
    </row>
    <row r="3376" ht="13.5" customHeight="1">
      <c r="B3376" s="268">
        <v>13456.0</v>
      </c>
      <c r="C3376" s="268">
        <f t="shared" si="1"/>
        <v>14.95697734</v>
      </c>
      <c r="D3376" s="268">
        <f t="shared" si="2"/>
        <v>5.595628415</v>
      </c>
    </row>
    <row r="3377" ht="13.5" customHeight="1">
      <c r="B3377" s="268">
        <v>13460.0</v>
      </c>
      <c r="C3377" s="268">
        <f t="shared" si="1"/>
        <v>14.96885142</v>
      </c>
      <c r="D3377" s="268">
        <f t="shared" si="2"/>
        <v>5.603283174</v>
      </c>
    </row>
    <row r="3378" ht="13.5" customHeight="1">
      <c r="B3378" s="268">
        <v>13464.0</v>
      </c>
      <c r="C3378" s="268">
        <f t="shared" si="1"/>
        <v>14.98074176</v>
      </c>
      <c r="D3378" s="268">
        <f t="shared" si="2"/>
        <v>5.610958904</v>
      </c>
    </row>
    <row r="3379" ht="13.5" customHeight="1">
      <c r="B3379" s="268">
        <v>13468.0</v>
      </c>
      <c r="C3379" s="268">
        <f t="shared" si="1"/>
        <v>14.99264839</v>
      </c>
      <c r="D3379" s="268">
        <f t="shared" si="2"/>
        <v>5.618655693</v>
      </c>
    </row>
    <row r="3380" ht="13.5" customHeight="1">
      <c r="B3380" s="268">
        <v>13472.0</v>
      </c>
      <c r="C3380" s="268">
        <f t="shared" si="1"/>
        <v>15.00457137</v>
      </c>
      <c r="D3380" s="268">
        <f t="shared" si="2"/>
        <v>5.626373626</v>
      </c>
    </row>
    <row r="3381" ht="13.5" customHeight="1">
      <c r="B3381" s="268">
        <v>13476.0</v>
      </c>
      <c r="C3381" s="268">
        <f t="shared" si="1"/>
        <v>15.01651074</v>
      </c>
      <c r="D3381" s="268">
        <f t="shared" si="2"/>
        <v>5.634112792</v>
      </c>
    </row>
    <row r="3382" ht="13.5" customHeight="1">
      <c r="B3382" s="268">
        <v>13480.0</v>
      </c>
      <c r="C3382" s="268">
        <f t="shared" si="1"/>
        <v>15.02846655</v>
      </c>
      <c r="D3382" s="268">
        <f t="shared" si="2"/>
        <v>5.641873278</v>
      </c>
    </row>
    <row r="3383" ht="13.5" customHeight="1">
      <c r="B3383" s="268">
        <v>13484.0</v>
      </c>
      <c r="C3383" s="268">
        <f t="shared" si="1"/>
        <v>15.04043883</v>
      </c>
      <c r="D3383" s="268">
        <f t="shared" si="2"/>
        <v>5.649655172</v>
      </c>
    </row>
    <row r="3384" ht="13.5" customHeight="1">
      <c r="B3384" s="268">
        <v>13488.0</v>
      </c>
      <c r="C3384" s="268">
        <f t="shared" si="1"/>
        <v>15.05242764</v>
      </c>
      <c r="D3384" s="268">
        <f t="shared" si="2"/>
        <v>5.657458564</v>
      </c>
    </row>
    <row r="3385" ht="13.5" customHeight="1">
      <c r="B3385" s="268">
        <v>13492.0</v>
      </c>
      <c r="C3385" s="268">
        <f t="shared" si="1"/>
        <v>15.06443301</v>
      </c>
      <c r="D3385" s="268">
        <f t="shared" si="2"/>
        <v>5.665283541</v>
      </c>
    </row>
    <row r="3386" ht="13.5" customHeight="1">
      <c r="B3386" s="268">
        <v>13496.0</v>
      </c>
      <c r="C3386" s="268">
        <f t="shared" si="1"/>
        <v>15.07645501</v>
      </c>
      <c r="D3386" s="268">
        <f t="shared" si="2"/>
        <v>5.673130194</v>
      </c>
    </row>
    <row r="3387" ht="13.5" customHeight="1">
      <c r="B3387" s="268">
        <v>13500.0</v>
      </c>
      <c r="C3387" s="268">
        <f t="shared" si="1"/>
        <v>15.08849366</v>
      </c>
      <c r="D3387" s="268">
        <f t="shared" si="2"/>
        <v>5.680998613</v>
      </c>
    </row>
    <row r="3388" ht="13.5" customHeight="1">
      <c r="B3388" s="268">
        <v>13504.0</v>
      </c>
      <c r="C3388" s="268">
        <f t="shared" si="1"/>
        <v>15.10054903</v>
      </c>
      <c r="D3388" s="268">
        <f t="shared" si="2"/>
        <v>5.688888889</v>
      </c>
    </row>
    <row r="3389" ht="13.5" customHeight="1">
      <c r="B3389" s="268">
        <v>13508.0</v>
      </c>
      <c r="C3389" s="268">
        <f t="shared" si="1"/>
        <v>15.11262115</v>
      </c>
      <c r="D3389" s="268">
        <f t="shared" si="2"/>
        <v>5.696801113</v>
      </c>
    </row>
    <row r="3390" ht="13.5" customHeight="1">
      <c r="B3390" s="268">
        <v>13512.0</v>
      </c>
      <c r="C3390" s="268">
        <f t="shared" si="1"/>
        <v>15.12471007</v>
      </c>
      <c r="D3390" s="268">
        <f t="shared" si="2"/>
        <v>5.704735376</v>
      </c>
    </row>
    <row r="3391" ht="13.5" customHeight="1">
      <c r="B3391" s="268">
        <v>13516.0</v>
      </c>
      <c r="C3391" s="268">
        <f t="shared" si="1"/>
        <v>15.13681585</v>
      </c>
      <c r="D3391" s="268">
        <f t="shared" si="2"/>
        <v>5.712691771</v>
      </c>
    </row>
    <row r="3392" ht="13.5" customHeight="1">
      <c r="B3392" s="268">
        <v>13520.0</v>
      </c>
      <c r="C3392" s="268">
        <f t="shared" si="1"/>
        <v>15.14893851</v>
      </c>
      <c r="D3392" s="268">
        <f t="shared" si="2"/>
        <v>5.720670391</v>
      </c>
    </row>
    <row r="3393" ht="13.5" customHeight="1">
      <c r="B3393" s="268">
        <v>13524.0</v>
      </c>
      <c r="C3393" s="268">
        <f t="shared" si="1"/>
        <v>15.16107812</v>
      </c>
      <c r="D3393" s="268">
        <f t="shared" si="2"/>
        <v>5.728671329</v>
      </c>
    </row>
    <row r="3394" ht="13.5" customHeight="1">
      <c r="B3394" s="268">
        <v>13528.0</v>
      </c>
      <c r="C3394" s="268">
        <f t="shared" si="1"/>
        <v>15.17323472</v>
      </c>
      <c r="D3394" s="268">
        <f t="shared" si="2"/>
        <v>5.736694678</v>
      </c>
    </row>
    <row r="3395" ht="13.5" customHeight="1">
      <c r="B3395" s="268">
        <v>13532.0</v>
      </c>
      <c r="C3395" s="268">
        <f t="shared" si="1"/>
        <v>15.18540836</v>
      </c>
      <c r="D3395" s="268">
        <f t="shared" si="2"/>
        <v>5.744740533</v>
      </c>
    </row>
    <row r="3396" ht="13.5" customHeight="1">
      <c r="B3396" s="268">
        <v>13536.0</v>
      </c>
      <c r="C3396" s="268">
        <f t="shared" si="1"/>
        <v>15.19759909</v>
      </c>
      <c r="D3396" s="268">
        <f t="shared" si="2"/>
        <v>5.752808989</v>
      </c>
    </row>
    <row r="3397" ht="13.5" customHeight="1">
      <c r="B3397" s="268">
        <v>13540.0</v>
      </c>
      <c r="C3397" s="268">
        <f t="shared" si="1"/>
        <v>15.20980694</v>
      </c>
      <c r="D3397" s="268">
        <f t="shared" si="2"/>
        <v>5.760900141</v>
      </c>
    </row>
    <row r="3398" ht="13.5" customHeight="1">
      <c r="B3398" s="268">
        <v>13544.0</v>
      </c>
      <c r="C3398" s="268">
        <f t="shared" si="1"/>
        <v>15.22203198</v>
      </c>
      <c r="D3398" s="268">
        <f t="shared" si="2"/>
        <v>5.769014085</v>
      </c>
    </row>
    <row r="3399" ht="13.5" customHeight="1">
      <c r="B3399" s="268">
        <v>13548.0</v>
      </c>
      <c r="C3399" s="268">
        <f t="shared" si="1"/>
        <v>15.23427426</v>
      </c>
      <c r="D3399" s="268">
        <f t="shared" si="2"/>
        <v>5.777150917</v>
      </c>
    </row>
    <row r="3400" ht="13.5" customHeight="1">
      <c r="B3400" s="268">
        <v>13552.0</v>
      </c>
      <c r="C3400" s="268">
        <f t="shared" si="1"/>
        <v>15.24653381</v>
      </c>
      <c r="D3400" s="268">
        <f t="shared" si="2"/>
        <v>5.785310734</v>
      </c>
    </row>
    <row r="3401" ht="13.5" customHeight="1">
      <c r="B3401" s="268">
        <v>13556.0</v>
      </c>
      <c r="C3401" s="268">
        <f t="shared" si="1"/>
        <v>15.25881068</v>
      </c>
      <c r="D3401" s="268">
        <f t="shared" si="2"/>
        <v>5.793493635</v>
      </c>
    </row>
    <row r="3402" ht="13.5" customHeight="1">
      <c r="B3402" s="268">
        <v>13560.0</v>
      </c>
      <c r="C3402" s="268">
        <f t="shared" si="1"/>
        <v>15.27110494</v>
      </c>
      <c r="D3402" s="268">
        <f t="shared" si="2"/>
        <v>5.801699717</v>
      </c>
    </row>
    <row r="3403" ht="13.5" customHeight="1">
      <c r="B3403" s="268">
        <v>13564.0</v>
      </c>
      <c r="C3403" s="268">
        <f t="shared" si="1"/>
        <v>15.28341662</v>
      </c>
      <c r="D3403" s="268">
        <f t="shared" si="2"/>
        <v>5.809929078</v>
      </c>
    </row>
    <row r="3404" ht="13.5" customHeight="1">
      <c r="B3404" s="268">
        <v>13568.0</v>
      </c>
      <c r="C3404" s="268">
        <f t="shared" si="1"/>
        <v>15.29574578</v>
      </c>
      <c r="D3404" s="268">
        <f t="shared" si="2"/>
        <v>5.818181818</v>
      </c>
    </row>
    <row r="3405" ht="13.5" customHeight="1">
      <c r="B3405" s="268">
        <v>13572.0</v>
      </c>
      <c r="C3405" s="268">
        <f t="shared" si="1"/>
        <v>15.30809246</v>
      </c>
      <c r="D3405" s="268">
        <f t="shared" si="2"/>
        <v>5.826458037</v>
      </c>
    </row>
    <row r="3406" ht="13.5" customHeight="1">
      <c r="B3406" s="268">
        <v>13576.0</v>
      </c>
      <c r="C3406" s="268">
        <f t="shared" si="1"/>
        <v>15.32045672</v>
      </c>
      <c r="D3406" s="268">
        <f t="shared" si="2"/>
        <v>5.834757835</v>
      </c>
    </row>
    <row r="3407" ht="13.5" customHeight="1">
      <c r="B3407" s="268">
        <v>13580.0</v>
      </c>
      <c r="C3407" s="268">
        <f t="shared" si="1"/>
        <v>15.3328386</v>
      </c>
      <c r="D3407" s="268">
        <f t="shared" si="2"/>
        <v>5.843081312</v>
      </c>
    </row>
    <row r="3408" ht="13.5" customHeight="1">
      <c r="B3408" s="268">
        <v>13584.0</v>
      </c>
      <c r="C3408" s="268">
        <f t="shared" si="1"/>
        <v>15.34523816</v>
      </c>
      <c r="D3408" s="268">
        <f t="shared" si="2"/>
        <v>5.851428571</v>
      </c>
    </row>
    <row r="3409" ht="13.5" customHeight="1">
      <c r="B3409" s="268">
        <v>13588.0</v>
      </c>
      <c r="C3409" s="268">
        <f t="shared" si="1"/>
        <v>15.35765544</v>
      </c>
      <c r="D3409" s="268">
        <f t="shared" si="2"/>
        <v>5.859799714</v>
      </c>
    </row>
    <row r="3410" ht="13.5" customHeight="1">
      <c r="B3410" s="268">
        <v>13592.0</v>
      </c>
      <c r="C3410" s="268">
        <f t="shared" si="1"/>
        <v>15.37009051</v>
      </c>
      <c r="D3410" s="268">
        <f t="shared" si="2"/>
        <v>5.868194842</v>
      </c>
    </row>
    <row r="3411" ht="13.5" customHeight="1">
      <c r="B3411" s="268">
        <v>13596.0</v>
      </c>
      <c r="C3411" s="268">
        <f t="shared" si="1"/>
        <v>15.3825434</v>
      </c>
      <c r="D3411" s="268">
        <f t="shared" si="2"/>
        <v>5.87661406</v>
      </c>
    </row>
    <row r="3412" ht="13.5" customHeight="1">
      <c r="B3412" s="268">
        <v>13600.0</v>
      </c>
      <c r="C3412" s="268">
        <f t="shared" si="1"/>
        <v>15.39501417</v>
      </c>
      <c r="D3412" s="268">
        <f t="shared" si="2"/>
        <v>5.885057471</v>
      </c>
    </row>
    <row r="3413" ht="13.5" customHeight="1">
      <c r="B3413" s="268">
        <v>13604.0</v>
      </c>
      <c r="C3413" s="268">
        <f t="shared" si="1"/>
        <v>15.40750287</v>
      </c>
      <c r="D3413" s="268">
        <f t="shared" si="2"/>
        <v>5.89352518</v>
      </c>
    </row>
    <row r="3414" ht="13.5" customHeight="1">
      <c r="B3414" s="268">
        <v>13608.0</v>
      </c>
      <c r="C3414" s="268">
        <f t="shared" si="1"/>
        <v>15.42000955</v>
      </c>
      <c r="D3414" s="268">
        <f t="shared" si="2"/>
        <v>5.902017291</v>
      </c>
    </row>
    <row r="3415" ht="13.5" customHeight="1">
      <c r="B3415" s="268">
        <v>13612.0</v>
      </c>
      <c r="C3415" s="268">
        <f t="shared" si="1"/>
        <v>15.43253427</v>
      </c>
      <c r="D3415" s="268">
        <f t="shared" si="2"/>
        <v>5.910533911</v>
      </c>
    </row>
    <row r="3416" ht="13.5" customHeight="1">
      <c r="B3416" s="268">
        <v>13616.0</v>
      </c>
      <c r="C3416" s="268">
        <f t="shared" si="1"/>
        <v>15.44507707</v>
      </c>
      <c r="D3416" s="268">
        <f t="shared" si="2"/>
        <v>5.919075145</v>
      </c>
    </row>
    <row r="3417" ht="13.5" customHeight="1">
      <c r="B3417" s="268">
        <v>13620.0</v>
      </c>
      <c r="C3417" s="268">
        <f t="shared" si="1"/>
        <v>15.45763801</v>
      </c>
      <c r="D3417" s="268">
        <f t="shared" si="2"/>
        <v>5.9276411</v>
      </c>
    </row>
    <row r="3418" ht="13.5" customHeight="1">
      <c r="B3418" s="268">
        <v>13624.0</v>
      </c>
      <c r="C3418" s="268">
        <f t="shared" si="1"/>
        <v>15.47021714</v>
      </c>
      <c r="D3418" s="268">
        <f t="shared" si="2"/>
        <v>5.936231884</v>
      </c>
    </row>
    <row r="3419" ht="13.5" customHeight="1">
      <c r="B3419" s="268">
        <v>13628.0</v>
      </c>
      <c r="C3419" s="268">
        <f t="shared" si="1"/>
        <v>15.48281452</v>
      </c>
      <c r="D3419" s="268">
        <f t="shared" si="2"/>
        <v>5.944847605</v>
      </c>
    </row>
    <row r="3420" ht="13.5" customHeight="1">
      <c r="B3420" s="268">
        <v>13632.0</v>
      </c>
      <c r="C3420" s="268">
        <f t="shared" si="1"/>
        <v>15.49543019</v>
      </c>
      <c r="D3420" s="268">
        <f t="shared" si="2"/>
        <v>5.953488372</v>
      </c>
    </row>
    <row r="3421" ht="13.5" customHeight="1">
      <c r="B3421" s="268">
        <v>13636.0</v>
      </c>
      <c r="C3421" s="268">
        <f t="shared" si="1"/>
        <v>15.50806422</v>
      </c>
      <c r="D3421" s="268">
        <f t="shared" si="2"/>
        <v>5.962154294</v>
      </c>
    </row>
    <row r="3422" ht="13.5" customHeight="1">
      <c r="B3422" s="268">
        <v>13640.0</v>
      </c>
      <c r="C3422" s="268">
        <f t="shared" si="1"/>
        <v>15.52071665</v>
      </c>
      <c r="D3422" s="268">
        <f t="shared" si="2"/>
        <v>5.970845481</v>
      </c>
    </row>
    <row r="3423" ht="13.5" customHeight="1">
      <c r="B3423" s="268">
        <v>13644.0</v>
      </c>
      <c r="C3423" s="268">
        <f t="shared" si="1"/>
        <v>15.53338753</v>
      </c>
      <c r="D3423" s="268">
        <f t="shared" si="2"/>
        <v>5.979562044</v>
      </c>
    </row>
    <row r="3424" ht="13.5" customHeight="1">
      <c r="B3424" s="268">
        <v>13648.0</v>
      </c>
      <c r="C3424" s="268">
        <f t="shared" si="1"/>
        <v>15.54607692</v>
      </c>
      <c r="D3424" s="268">
        <f t="shared" si="2"/>
        <v>5.988304094</v>
      </c>
    </row>
    <row r="3425" ht="13.5" customHeight="1">
      <c r="B3425" s="268">
        <v>13652.0</v>
      </c>
      <c r="C3425" s="268">
        <f t="shared" si="1"/>
        <v>15.55878489</v>
      </c>
      <c r="D3425" s="268">
        <f t="shared" si="2"/>
        <v>5.997071742</v>
      </c>
    </row>
    <row r="3426" ht="13.5" customHeight="1">
      <c r="B3426" s="268">
        <v>13656.0</v>
      </c>
      <c r="C3426" s="268">
        <f t="shared" si="1"/>
        <v>15.57151147</v>
      </c>
      <c r="D3426" s="268">
        <f t="shared" si="2"/>
        <v>6.005865103</v>
      </c>
    </row>
    <row r="3427" ht="13.5" customHeight="1">
      <c r="B3427" s="268">
        <v>13660.0</v>
      </c>
      <c r="C3427" s="268">
        <f t="shared" si="1"/>
        <v>15.58425672</v>
      </c>
      <c r="D3427" s="268">
        <f t="shared" si="2"/>
        <v>6.014684288</v>
      </c>
    </row>
    <row r="3428" ht="13.5" customHeight="1">
      <c r="B3428" s="268">
        <v>13664.0</v>
      </c>
      <c r="C3428" s="268">
        <f t="shared" si="1"/>
        <v>15.59702071</v>
      </c>
      <c r="D3428" s="268">
        <f t="shared" si="2"/>
        <v>6.023529412</v>
      </c>
    </row>
    <row r="3429" ht="13.5" customHeight="1">
      <c r="B3429" s="268">
        <v>13668.0</v>
      </c>
      <c r="C3429" s="268">
        <f t="shared" si="1"/>
        <v>15.60980347</v>
      </c>
      <c r="D3429" s="268">
        <f t="shared" si="2"/>
        <v>6.032400589</v>
      </c>
    </row>
    <row r="3430" ht="13.5" customHeight="1">
      <c r="B3430" s="268">
        <v>13672.0</v>
      </c>
      <c r="C3430" s="268">
        <f t="shared" si="1"/>
        <v>15.62260508</v>
      </c>
      <c r="D3430" s="268">
        <f t="shared" si="2"/>
        <v>6.041297935</v>
      </c>
    </row>
    <row r="3431" ht="13.5" customHeight="1">
      <c r="B3431" s="268">
        <v>13676.0</v>
      </c>
      <c r="C3431" s="268">
        <f t="shared" si="1"/>
        <v>15.63542559</v>
      </c>
      <c r="D3431" s="268">
        <f t="shared" si="2"/>
        <v>6.050221566</v>
      </c>
    </row>
    <row r="3432" ht="13.5" customHeight="1">
      <c r="B3432" s="268">
        <v>13680.0</v>
      </c>
      <c r="C3432" s="268">
        <f t="shared" si="1"/>
        <v>15.64826504</v>
      </c>
      <c r="D3432" s="268">
        <f t="shared" si="2"/>
        <v>6.059171598</v>
      </c>
    </row>
    <row r="3433" ht="13.5" customHeight="1">
      <c r="B3433" s="268">
        <v>13684.0</v>
      </c>
      <c r="C3433" s="268">
        <f t="shared" si="1"/>
        <v>15.6611235</v>
      </c>
      <c r="D3433" s="268">
        <f t="shared" si="2"/>
        <v>6.068148148</v>
      </c>
    </row>
    <row r="3434" ht="13.5" customHeight="1">
      <c r="B3434" s="268">
        <v>13688.0</v>
      </c>
      <c r="C3434" s="268">
        <f t="shared" si="1"/>
        <v>15.67400103</v>
      </c>
      <c r="D3434" s="268">
        <f t="shared" si="2"/>
        <v>6.077151335</v>
      </c>
    </row>
    <row r="3435" ht="13.5" customHeight="1">
      <c r="B3435" s="268">
        <v>13692.0</v>
      </c>
      <c r="C3435" s="268">
        <f t="shared" si="1"/>
        <v>15.68689767</v>
      </c>
      <c r="D3435" s="268">
        <f t="shared" si="2"/>
        <v>6.086181278</v>
      </c>
    </row>
    <row r="3436" ht="13.5" customHeight="1">
      <c r="B3436" s="268">
        <v>13696.0</v>
      </c>
      <c r="C3436" s="268">
        <f t="shared" si="1"/>
        <v>15.6998135</v>
      </c>
      <c r="D3436" s="268">
        <f t="shared" si="2"/>
        <v>6.095238095</v>
      </c>
    </row>
    <row r="3437" ht="13.5" customHeight="1">
      <c r="B3437" s="268">
        <v>13700.0</v>
      </c>
      <c r="C3437" s="268">
        <f t="shared" si="1"/>
        <v>15.71274856</v>
      </c>
      <c r="D3437" s="268">
        <f t="shared" si="2"/>
        <v>6.104321908</v>
      </c>
    </row>
    <row r="3438" ht="13.5" customHeight="1">
      <c r="B3438" s="268">
        <v>13704.0</v>
      </c>
      <c r="C3438" s="268">
        <f t="shared" si="1"/>
        <v>15.72570291</v>
      </c>
      <c r="D3438" s="268">
        <f t="shared" si="2"/>
        <v>6.113432836</v>
      </c>
    </row>
    <row r="3439" ht="13.5" customHeight="1">
      <c r="B3439" s="268">
        <v>13708.0</v>
      </c>
      <c r="C3439" s="268">
        <f t="shared" si="1"/>
        <v>15.7386766</v>
      </c>
      <c r="D3439" s="268">
        <f t="shared" si="2"/>
        <v>6.122571001</v>
      </c>
    </row>
    <row r="3440" ht="13.5" customHeight="1">
      <c r="B3440" s="268">
        <v>13712.0</v>
      </c>
      <c r="C3440" s="268">
        <f t="shared" si="1"/>
        <v>15.75166971</v>
      </c>
      <c r="D3440" s="268">
        <f t="shared" si="2"/>
        <v>6.131736527</v>
      </c>
    </row>
    <row r="3441" ht="13.5" customHeight="1">
      <c r="B3441" s="268">
        <v>13716.0</v>
      </c>
      <c r="C3441" s="268">
        <f t="shared" si="1"/>
        <v>15.76468228</v>
      </c>
      <c r="D3441" s="268">
        <f t="shared" si="2"/>
        <v>6.140929535</v>
      </c>
    </row>
    <row r="3442" ht="13.5" customHeight="1">
      <c r="B3442" s="268">
        <v>13720.0</v>
      </c>
      <c r="C3442" s="268">
        <f t="shared" si="1"/>
        <v>15.77771438</v>
      </c>
      <c r="D3442" s="268">
        <f t="shared" si="2"/>
        <v>6.15015015</v>
      </c>
    </row>
    <row r="3443" ht="13.5" customHeight="1">
      <c r="B3443" s="268">
        <v>13724.0</v>
      </c>
      <c r="C3443" s="268">
        <f t="shared" si="1"/>
        <v>15.79076605</v>
      </c>
      <c r="D3443" s="268">
        <f t="shared" si="2"/>
        <v>6.159398496</v>
      </c>
    </row>
    <row r="3444" ht="13.5" customHeight="1">
      <c r="B3444" s="268">
        <v>13728.0</v>
      </c>
      <c r="C3444" s="268">
        <f t="shared" si="1"/>
        <v>15.80383737</v>
      </c>
      <c r="D3444" s="268">
        <f t="shared" si="2"/>
        <v>6.168674699</v>
      </c>
    </row>
    <row r="3445" ht="13.5" customHeight="1">
      <c r="B3445" s="268">
        <v>13732.0</v>
      </c>
      <c r="C3445" s="268">
        <f t="shared" si="1"/>
        <v>15.81692839</v>
      </c>
      <c r="D3445" s="268">
        <f t="shared" si="2"/>
        <v>6.177978884</v>
      </c>
    </row>
    <row r="3446" ht="13.5" customHeight="1">
      <c r="B3446" s="268">
        <v>13736.0</v>
      </c>
      <c r="C3446" s="268">
        <f t="shared" si="1"/>
        <v>15.83003917</v>
      </c>
      <c r="D3446" s="268">
        <f t="shared" si="2"/>
        <v>6.187311178</v>
      </c>
    </row>
    <row r="3447" ht="13.5" customHeight="1">
      <c r="B3447" s="268">
        <v>13740.0</v>
      </c>
      <c r="C3447" s="268">
        <f t="shared" si="1"/>
        <v>15.84316977</v>
      </c>
      <c r="D3447" s="268">
        <f t="shared" si="2"/>
        <v>6.19667171</v>
      </c>
    </row>
    <row r="3448" ht="13.5" customHeight="1">
      <c r="B3448" s="268">
        <v>13744.0</v>
      </c>
      <c r="C3448" s="268">
        <f t="shared" si="1"/>
        <v>15.85632025</v>
      </c>
      <c r="D3448" s="268">
        <f t="shared" si="2"/>
        <v>6.206060606</v>
      </c>
    </row>
    <row r="3449" ht="13.5" customHeight="1">
      <c r="B3449" s="268">
        <v>13748.0</v>
      </c>
      <c r="C3449" s="268">
        <f t="shared" si="1"/>
        <v>15.86949067</v>
      </c>
      <c r="D3449" s="268">
        <f t="shared" si="2"/>
        <v>6.215477997</v>
      </c>
    </row>
    <row r="3450" ht="13.5" customHeight="1">
      <c r="B3450" s="268">
        <v>13752.0</v>
      </c>
      <c r="C3450" s="268">
        <f t="shared" si="1"/>
        <v>15.88268109</v>
      </c>
      <c r="D3450" s="268">
        <f t="shared" si="2"/>
        <v>6.224924012</v>
      </c>
    </row>
    <row r="3451" ht="13.5" customHeight="1">
      <c r="B3451" s="268">
        <v>13756.0</v>
      </c>
      <c r="C3451" s="268">
        <f t="shared" si="1"/>
        <v>15.89589157</v>
      </c>
      <c r="D3451" s="268">
        <f t="shared" si="2"/>
        <v>6.234398782</v>
      </c>
    </row>
    <row r="3452" ht="13.5" customHeight="1">
      <c r="B3452" s="268">
        <v>13760.0</v>
      </c>
      <c r="C3452" s="268">
        <f t="shared" si="1"/>
        <v>15.90912217</v>
      </c>
      <c r="D3452" s="268">
        <f t="shared" si="2"/>
        <v>6.243902439</v>
      </c>
    </row>
    <row r="3453" ht="13.5" customHeight="1">
      <c r="B3453" s="268">
        <v>13764.0</v>
      </c>
      <c r="C3453" s="268">
        <f t="shared" si="1"/>
        <v>15.92237296</v>
      </c>
      <c r="D3453" s="268">
        <f t="shared" si="2"/>
        <v>6.253435115</v>
      </c>
    </row>
    <row r="3454" ht="13.5" customHeight="1">
      <c r="B3454" s="268">
        <v>13768.0</v>
      </c>
      <c r="C3454" s="268">
        <f t="shared" si="1"/>
        <v>15.93564399</v>
      </c>
      <c r="D3454" s="268">
        <f t="shared" si="2"/>
        <v>6.262996942</v>
      </c>
    </row>
    <row r="3455" ht="13.5" customHeight="1">
      <c r="B3455" s="268">
        <v>13772.0</v>
      </c>
      <c r="C3455" s="268">
        <f t="shared" si="1"/>
        <v>15.94893533</v>
      </c>
      <c r="D3455" s="268">
        <f t="shared" si="2"/>
        <v>6.272588055</v>
      </c>
    </row>
    <row r="3456" ht="13.5" customHeight="1">
      <c r="B3456" s="268">
        <v>13776.0</v>
      </c>
      <c r="C3456" s="268">
        <f t="shared" si="1"/>
        <v>15.96224704</v>
      </c>
      <c r="D3456" s="268">
        <f t="shared" si="2"/>
        <v>6.282208589</v>
      </c>
    </row>
    <row r="3457" ht="13.5" customHeight="1">
      <c r="B3457" s="268">
        <v>13780.0</v>
      </c>
      <c r="C3457" s="268">
        <f t="shared" si="1"/>
        <v>15.97557919</v>
      </c>
      <c r="D3457" s="268">
        <f t="shared" si="2"/>
        <v>6.291858679</v>
      </c>
    </row>
    <row r="3458" ht="13.5" customHeight="1">
      <c r="B3458" s="268">
        <v>13784.0</v>
      </c>
      <c r="C3458" s="268">
        <f t="shared" si="1"/>
        <v>15.98893183</v>
      </c>
      <c r="D3458" s="268">
        <f t="shared" si="2"/>
        <v>6.301538462</v>
      </c>
    </row>
    <row r="3459" ht="13.5" customHeight="1">
      <c r="B3459" s="268">
        <v>13788.0</v>
      </c>
      <c r="C3459" s="268">
        <f t="shared" si="1"/>
        <v>16.00230502</v>
      </c>
      <c r="D3459" s="268">
        <f t="shared" si="2"/>
        <v>6.311248074</v>
      </c>
    </row>
    <row r="3460" ht="13.5" customHeight="1">
      <c r="B3460" s="268">
        <v>13792.0</v>
      </c>
      <c r="C3460" s="268">
        <f t="shared" si="1"/>
        <v>16.01569884</v>
      </c>
      <c r="D3460" s="268">
        <f t="shared" si="2"/>
        <v>6.320987654</v>
      </c>
    </row>
    <row r="3461" ht="13.5" customHeight="1">
      <c r="B3461" s="268">
        <v>13796.0</v>
      </c>
      <c r="C3461" s="268">
        <f t="shared" si="1"/>
        <v>16.02911335</v>
      </c>
      <c r="D3461" s="268">
        <f t="shared" si="2"/>
        <v>6.330757342</v>
      </c>
    </row>
    <row r="3462" ht="13.5" customHeight="1">
      <c r="B3462" s="268">
        <v>13800.0</v>
      </c>
      <c r="C3462" s="268">
        <f t="shared" si="1"/>
        <v>16.0425486</v>
      </c>
      <c r="D3462" s="268">
        <f t="shared" si="2"/>
        <v>6.340557276</v>
      </c>
    </row>
    <row r="3463" ht="13.5" customHeight="1">
      <c r="B3463" s="268">
        <v>13804.0</v>
      </c>
      <c r="C3463" s="268">
        <f t="shared" si="1"/>
        <v>16.05600467</v>
      </c>
      <c r="D3463" s="268">
        <f t="shared" si="2"/>
        <v>6.350387597</v>
      </c>
    </row>
    <row r="3464" ht="13.5" customHeight="1">
      <c r="B3464" s="268">
        <v>13808.0</v>
      </c>
      <c r="C3464" s="268">
        <f t="shared" si="1"/>
        <v>16.06948161</v>
      </c>
      <c r="D3464" s="268">
        <f t="shared" si="2"/>
        <v>6.360248447</v>
      </c>
    </row>
    <row r="3465" ht="13.5" customHeight="1">
      <c r="B3465" s="268">
        <v>13812.0</v>
      </c>
      <c r="C3465" s="268">
        <f t="shared" si="1"/>
        <v>16.0829795</v>
      </c>
      <c r="D3465" s="268">
        <f t="shared" si="2"/>
        <v>6.370139969</v>
      </c>
    </row>
    <row r="3466" ht="13.5" customHeight="1">
      <c r="B3466" s="268">
        <v>13816.0</v>
      </c>
      <c r="C3466" s="268">
        <f t="shared" si="1"/>
        <v>16.0964984</v>
      </c>
      <c r="D3466" s="268">
        <f t="shared" si="2"/>
        <v>6.380062305</v>
      </c>
    </row>
    <row r="3467" ht="13.5" customHeight="1">
      <c r="B3467" s="268">
        <v>13820.0</v>
      </c>
      <c r="C3467" s="268">
        <f t="shared" si="1"/>
        <v>16.11003837</v>
      </c>
      <c r="D3467" s="268">
        <f t="shared" si="2"/>
        <v>6.390015601</v>
      </c>
    </row>
    <row r="3468" ht="13.5" customHeight="1">
      <c r="B3468" s="268">
        <v>13824.0</v>
      </c>
      <c r="C3468" s="268">
        <f t="shared" si="1"/>
        <v>16.12359948</v>
      </c>
      <c r="D3468" s="268">
        <f t="shared" si="2"/>
        <v>6.4</v>
      </c>
    </row>
    <row r="3469" ht="13.5" customHeight="1">
      <c r="B3469" s="268">
        <v>13828.0</v>
      </c>
      <c r="C3469" s="268">
        <f t="shared" si="1"/>
        <v>16.1371818</v>
      </c>
      <c r="D3469" s="268">
        <f t="shared" si="2"/>
        <v>6.410015649</v>
      </c>
    </row>
    <row r="3470" ht="13.5" customHeight="1">
      <c r="B3470" s="268">
        <v>13832.0</v>
      </c>
      <c r="C3470" s="268">
        <f t="shared" si="1"/>
        <v>16.15078538</v>
      </c>
      <c r="D3470" s="268">
        <f t="shared" si="2"/>
        <v>6.420062696</v>
      </c>
    </row>
    <row r="3471" ht="13.5" customHeight="1">
      <c r="B3471" s="268">
        <v>13836.0</v>
      </c>
      <c r="C3471" s="268">
        <f t="shared" si="1"/>
        <v>16.16441031</v>
      </c>
      <c r="D3471" s="268">
        <f t="shared" si="2"/>
        <v>6.430141287</v>
      </c>
    </row>
    <row r="3472" ht="13.5" customHeight="1">
      <c r="B3472" s="268">
        <v>13840.0</v>
      </c>
      <c r="C3472" s="268">
        <f t="shared" si="1"/>
        <v>16.17805665</v>
      </c>
      <c r="D3472" s="268">
        <f t="shared" si="2"/>
        <v>6.440251572</v>
      </c>
    </row>
    <row r="3473" ht="13.5" customHeight="1">
      <c r="B3473" s="268">
        <v>13844.0</v>
      </c>
      <c r="C3473" s="268">
        <f t="shared" si="1"/>
        <v>16.19172445</v>
      </c>
      <c r="D3473" s="268">
        <f t="shared" si="2"/>
        <v>6.450393701</v>
      </c>
    </row>
    <row r="3474" ht="13.5" customHeight="1">
      <c r="B3474" s="268">
        <v>13848.0</v>
      </c>
      <c r="C3474" s="268">
        <f t="shared" si="1"/>
        <v>16.2054138</v>
      </c>
      <c r="D3474" s="268">
        <f t="shared" si="2"/>
        <v>6.460567823</v>
      </c>
    </row>
    <row r="3475" ht="13.5" customHeight="1">
      <c r="B3475" s="268">
        <v>13852.0</v>
      </c>
      <c r="C3475" s="268">
        <f t="shared" si="1"/>
        <v>16.21912476</v>
      </c>
      <c r="D3475" s="268">
        <f t="shared" si="2"/>
        <v>6.470774092</v>
      </c>
    </row>
    <row r="3476" ht="13.5" customHeight="1">
      <c r="B3476" s="268">
        <v>13856.0</v>
      </c>
      <c r="C3476" s="268">
        <f t="shared" si="1"/>
        <v>16.23285739</v>
      </c>
      <c r="D3476" s="268">
        <f t="shared" si="2"/>
        <v>6.481012658</v>
      </c>
    </row>
    <row r="3477" ht="13.5" customHeight="1">
      <c r="B3477" s="268">
        <v>13860.0</v>
      </c>
      <c r="C3477" s="268">
        <f t="shared" si="1"/>
        <v>16.24661177</v>
      </c>
      <c r="D3477" s="268">
        <f t="shared" si="2"/>
        <v>6.491283677</v>
      </c>
    </row>
    <row r="3478" ht="13.5" customHeight="1">
      <c r="B3478" s="268">
        <v>13864.0</v>
      </c>
      <c r="C3478" s="268">
        <f t="shared" si="1"/>
        <v>16.26038797</v>
      </c>
      <c r="D3478" s="268">
        <f t="shared" si="2"/>
        <v>6.501587302</v>
      </c>
    </row>
    <row r="3479" ht="13.5" customHeight="1">
      <c r="B3479" s="268">
        <v>13868.0</v>
      </c>
      <c r="C3479" s="268">
        <f t="shared" si="1"/>
        <v>16.27418605</v>
      </c>
      <c r="D3479" s="268">
        <f t="shared" si="2"/>
        <v>6.511923688</v>
      </c>
    </row>
    <row r="3480" ht="13.5" customHeight="1">
      <c r="B3480" s="268">
        <v>13872.0</v>
      </c>
      <c r="C3480" s="268">
        <f t="shared" si="1"/>
        <v>16.28800608</v>
      </c>
      <c r="D3480" s="268">
        <f t="shared" si="2"/>
        <v>6.522292994</v>
      </c>
    </row>
    <row r="3481" ht="13.5" customHeight="1">
      <c r="B3481" s="268">
        <v>13876.0</v>
      </c>
      <c r="C3481" s="268">
        <f t="shared" si="1"/>
        <v>16.30184814</v>
      </c>
      <c r="D3481" s="268">
        <f t="shared" si="2"/>
        <v>6.532695375</v>
      </c>
    </row>
    <row r="3482" ht="13.5" customHeight="1">
      <c r="B3482" s="268">
        <v>13880.0</v>
      </c>
      <c r="C3482" s="268">
        <f t="shared" si="1"/>
        <v>16.3157123</v>
      </c>
      <c r="D3482" s="268">
        <f t="shared" si="2"/>
        <v>6.54313099</v>
      </c>
    </row>
    <row r="3483" ht="13.5" customHeight="1">
      <c r="B3483" s="268">
        <v>13884.0</v>
      </c>
      <c r="C3483" s="268">
        <f t="shared" si="1"/>
        <v>16.32959861</v>
      </c>
      <c r="D3483" s="268">
        <f t="shared" si="2"/>
        <v>6.5536</v>
      </c>
    </row>
    <row r="3484" ht="13.5" customHeight="1">
      <c r="B3484" s="268">
        <v>13888.0</v>
      </c>
      <c r="C3484" s="268">
        <f t="shared" si="1"/>
        <v>16.34350717</v>
      </c>
      <c r="D3484" s="268">
        <f t="shared" si="2"/>
        <v>6.564102564</v>
      </c>
    </row>
    <row r="3485" ht="13.5" customHeight="1">
      <c r="B3485" s="268">
        <v>13892.0</v>
      </c>
      <c r="C3485" s="268">
        <f t="shared" si="1"/>
        <v>16.35743803</v>
      </c>
      <c r="D3485" s="268">
        <f t="shared" si="2"/>
        <v>6.574638844</v>
      </c>
    </row>
    <row r="3486" ht="13.5" customHeight="1">
      <c r="B3486" s="268">
        <v>13896.0</v>
      </c>
      <c r="C3486" s="268">
        <f t="shared" si="1"/>
        <v>16.37139127</v>
      </c>
      <c r="D3486" s="268">
        <f t="shared" si="2"/>
        <v>6.585209003</v>
      </c>
    </row>
    <row r="3487" ht="13.5" customHeight="1">
      <c r="B3487" s="268">
        <v>13900.0</v>
      </c>
      <c r="C3487" s="268">
        <f t="shared" si="1"/>
        <v>16.38536696</v>
      </c>
      <c r="D3487" s="268">
        <f t="shared" si="2"/>
        <v>6.595813205</v>
      </c>
    </row>
    <row r="3488" ht="13.5" customHeight="1">
      <c r="B3488" s="268">
        <v>13904.0</v>
      </c>
      <c r="C3488" s="268">
        <f t="shared" si="1"/>
        <v>16.39936517</v>
      </c>
      <c r="D3488" s="268">
        <f t="shared" si="2"/>
        <v>6.606451613</v>
      </c>
    </row>
    <row r="3489" ht="13.5" customHeight="1">
      <c r="B3489" s="268">
        <v>13908.0</v>
      </c>
      <c r="C3489" s="268">
        <f t="shared" si="1"/>
        <v>16.41338598</v>
      </c>
      <c r="D3489" s="268">
        <f t="shared" si="2"/>
        <v>6.617124394</v>
      </c>
    </row>
    <row r="3490" ht="13.5" customHeight="1">
      <c r="B3490" s="268">
        <v>13912.0</v>
      </c>
      <c r="C3490" s="268">
        <f t="shared" si="1"/>
        <v>16.42742946</v>
      </c>
      <c r="D3490" s="268">
        <f t="shared" si="2"/>
        <v>6.627831715</v>
      </c>
    </row>
    <row r="3491" ht="13.5" customHeight="1">
      <c r="B3491" s="268">
        <v>13916.0</v>
      </c>
      <c r="C3491" s="268">
        <f t="shared" si="1"/>
        <v>16.44149568</v>
      </c>
      <c r="D3491" s="268">
        <f t="shared" si="2"/>
        <v>6.638573744</v>
      </c>
    </row>
    <row r="3492" ht="13.5" customHeight="1">
      <c r="B3492" s="268">
        <v>13920.0</v>
      </c>
      <c r="C3492" s="268">
        <f t="shared" si="1"/>
        <v>16.45558472</v>
      </c>
      <c r="D3492" s="268">
        <f t="shared" si="2"/>
        <v>6.649350649</v>
      </c>
    </row>
    <row r="3493" ht="13.5" customHeight="1">
      <c r="B3493" s="268">
        <v>13924.0</v>
      </c>
      <c r="C3493" s="268">
        <f t="shared" si="1"/>
        <v>16.46969664</v>
      </c>
      <c r="D3493" s="268">
        <f t="shared" si="2"/>
        <v>6.660162602</v>
      </c>
    </row>
    <row r="3494" ht="13.5" customHeight="1">
      <c r="B3494" s="268">
        <v>13928.0</v>
      </c>
      <c r="C3494" s="268">
        <f t="shared" si="1"/>
        <v>16.48383154</v>
      </c>
      <c r="D3494" s="268">
        <f t="shared" si="2"/>
        <v>6.671009772</v>
      </c>
    </row>
    <row r="3495" ht="13.5" customHeight="1">
      <c r="B3495" s="268">
        <v>13932.0</v>
      </c>
      <c r="C3495" s="268">
        <f t="shared" si="1"/>
        <v>16.49798947</v>
      </c>
      <c r="D3495" s="268">
        <f t="shared" si="2"/>
        <v>6.681892333</v>
      </c>
    </row>
    <row r="3496" ht="13.5" customHeight="1">
      <c r="B3496" s="268">
        <v>13936.0</v>
      </c>
      <c r="C3496" s="268">
        <f t="shared" si="1"/>
        <v>16.51217052</v>
      </c>
      <c r="D3496" s="268">
        <f t="shared" si="2"/>
        <v>6.692810458</v>
      </c>
    </row>
    <row r="3497" ht="13.5" customHeight="1">
      <c r="B3497" s="268">
        <v>13940.0</v>
      </c>
      <c r="C3497" s="268">
        <f t="shared" si="1"/>
        <v>16.52637475</v>
      </c>
      <c r="D3497" s="268">
        <f t="shared" si="2"/>
        <v>6.703764321</v>
      </c>
    </row>
    <row r="3498" ht="13.5" customHeight="1">
      <c r="B3498" s="268">
        <v>13944.0</v>
      </c>
      <c r="C3498" s="268">
        <f t="shared" si="1"/>
        <v>16.54060226</v>
      </c>
      <c r="D3498" s="268">
        <f t="shared" si="2"/>
        <v>6.714754098</v>
      </c>
    </row>
    <row r="3499" ht="13.5" customHeight="1">
      <c r="B3499" s="268">
        <v>13948.0</v>
      </c>
      <c r="C3499" s="268">
        <f t="shared" si="1"/>
        <v>16.55485311</v>
      </c>
      <c r="D3499" s="268">
        <f t="shared" si="2"/>
        <v>6.725779967</v>
      </c>
    </row>
    <row r="3500" ht="13.5" customHeight="1">
      <c r="B3500" s="268">
        <v>13952.0</v>
      </c>
      <c r="C3500" s="268">
        <f t="shared" si="1"/>
        <v>16.56912737</v>
      </c>
      <c r="D3500" s="268">
        <f t="shared" si="2"/>
        <v>6.736842105</v>
      </c>
    </row>
    <row r="3501" ht="13.5" customHeight="1">
      <c r="B3501" s="268">
        <v>13956.0</v>
      </c>
      <c r="C3501" s="268">
        <f t="shared" si="1"/>
        <v>16.58342514</v>
      </c>
      <c r="D3501" s="268">
        <f t="shared" si="2"/>
        <v>6.747940692</v>
      </c>
    </row>
    <row r="3502" ht="13.5" customHeight="1">
      <c r="B3502" s="268">
        <v>13960.0</v>
      </c>
      <c r="C3502" s="268">
        <f t="shared" si="1"/>
        <v>16.59774648</v>
      </c>
      <c r="D3502" s="268">
        <f t="shared" si="2"/>
        <v>6.759075908</v>
      </c>
    </row>
    <row r="3503" ht="13.5" customHeight="1">
      <c r="B3503" s="268">
        <v>13964.0</v>
      </c>
      <c r="C3503" s="268">
        <f t="shared" si="1"/>
        <v>16.61209147</v>
      </c>
      <c r="D3503" s="268">
        <f t="shared" si="2"/>
        <v>6.770247934</v>
      </c>
    </row>
    <row r="3504" ht="13.5" customHeight="1">
      <c r="B3504" s="268">
        <v>13968.0</v>
      </c>
      <c r="C3504" s="268">
        <f t="shared" si="1"/>
        <v>16.62646019</v>
      </c>
      <c r="D3504" s="268">
        <f t="shared" si="2"/>
        <v>6.781456954</v>
      </c>
    </row>
    <row r="3505" ht="13.5" customHeight="1">
      <c r="B3505" s="268">
        <v>13972.0</v>
      </c>
      <c r="C3505" s="268">
        <f t="shared" si="1"/>
        <v>16.64085272</v>
      </c>
      <c r="D3505" s="268">
        <f t="shared" si="2"/>
        <v>6.792703151</v>
      </c>
    </row>
    <row r="3506" ht="13.5" customHeight="1">
      <c r="B3506" s="268">
        <v>13976.0</v>
      </c>
      <c r="C3506" s="268">
        <f t="shared" si="1"/>
        <v>16.65526913</v>
      </c>
      <c r="D3506" s="268">
        <f t="shared" si="2"/>
        <v>6.803986711</v>
      </c>
    </row>
    <row r="3507" ht="13.5" customHeight="1">
      <c r="B3507" s="268">
        <v>13980.0</v>
      </c>
      <c r="C3507" s="268">
        <f t="shared" si="1"/>
        <v>16.66970952</v>
      </c>
      <c r="D3507" s="268">
        <f t="shared" si="2"/>
        <v>6.81530782</v>
      </c>
    </row>
    <row r="3508" ht="13.5" customHeight="1">
      <c r="B3508" s="268">
        <v>13984.0</v>
      </c>
      <c r="C3508" s="268">
        <f t="shared" si="1"/>
        <v>16.68417395</v>
      </c>
      <c r="D3508" s="268">
        <f t="shared" si="2"/>
        <v>6.826666667</v>
      </c>
    </row>
    <row r="3509" ht="13.5" customHeight="1">
      <c r="B3509" s="268">
        <v>13988.0</v>
      </c>
      <c r="C3509" s="268">
        <f t="shared" si="1"/>
        <v>16.69866251</v>
      </c>
      <c r="D3509" s="268">
        <f t="shared" si="2"/>
        <v>6.838063439</v>
      </c>
    </row>
    <row r="3510" ht="13.5" customHeight="1">
      <c r="B3510" s="268">
        <v>13992.0</v>
      </c>
      <c r="C3510" s="268">
        <f t="shared" si="1"/>
        <v>16.71317528</v>
      </c>
      <c r="D3510" s="268">
        <f t="shared" si="2"/>
        <v>6.849498328</v>
      </c>
    </row>
    <row r="3511" ht="13.5" customHeight="1">
      <c r="B3511" s="268">
        <v>13996.0</v>
      </c>
      <c r="C3511" s="268">
        <f t="shared" si="1"/>
        <v>16.72771234</v>
      </c>
      <c r="D3511" s="268">
        <f t="shared" si="2"/>
        <v>6.860971524</v>
      </c>
    </row>
    <row r="3512" ht="13.5" customHeight="1">
      <c r="B3512" s="268">
        <v>14000.0</v>
      </c>
      <c r="C3512" s="268">
        <f t="shared" si="1"/>
        <v>16.74227376</v>
      </c>
      <c r="D3512" s="268">
        <f t="shared" si="2"/>
        <v>6.872483221</v>
      </c>
    </row>
    <row r="3513" ht="13.5" customHeight="1">
      <c r="B3513" s="268">
        <v>14004.0</v>
      </c>
      <c r="C3513" s="268">
        <f t="shared" si="1"/>
        <v>16.75685964</v>
      </c>
      <c r="D3513" s="268">
        <f t="shared" si="2"/>
        <v>6.884033613</v>
      </c>
    </row>
    <row r="3514" ht="13.5" customHeight="1">
      <c r="B3514" s="268">
        <v>14008.0</v>
      </c>
      <c r="C3514" s="268">
        <f t="shared" si="1"/>
        <v>16.77147006</v>
      </c>
      <c r="D3514" s="268">
        <f t="shared" si="2"/>
        <v>6.895622896</v>
      </c>
    </row>
    <row r="3515" ht="13.5" customHeight="1">
      <c r="B3515" s="268">
        <v>14012.0</v>
      </c>
      <c r="C3515" s="268">
        <f t="shared" si="1"/>
        <v>16.78610509</v>
      </c>
      <c r="D3515" s="268">
        <f t="shared" si="2"/>
        <v>6.907251265</v>
      </c>
    </row>
    <row r="3516" ht="13.5" customHeight="1">
      <c r="B3516" s="268">
        <v>14016.0</v>
      </c>
      <c r="C3516" s="268">
        <f t="shared" si="1"/>
        <v>16.80076482</v>
      </c>
      <c r="D3516" s="268">
        <f t="shared" si="2"/>
        <v>6.918918919</v>
      </c>
    </row>
    <row r="3517" ht="13.5" customHeight="1">
      <c r="B3517" s="268">
        <v>14020.0</v>
      </c>
      <c r="C3517" s="268">
        <f t="shared" si="1"/>
        <v>16.81544934</v>
      </c>
      <c r="D3517" s="268">
        <f t="shared" si="2"/>
        <v>6.930626058</v>
      </c>
    </row>
    <row r="3518" ht="13.5" customHeight="1">
      <c r="B3518" s="268">
        <v>14024.0</v>
      </c>
      <c r="C3518" s="268">
        <f t="shared" si="1"/>
        <v>16.83015873</v>
      </c>
      <c r="D3518" s="268">
        <f t="shared" si="2"/>
        <v>6.942372881</v>
      </c>
    </row>
    <row r="3519" ht="13.5" customHeight="1">
      <c r="B3519" s="268">
        <v>14028.0</v>
      </c>
      <c r="C3519" s="268">
        <f t="shared" si="1"/>
        <v>16.84489306</v>
      </c>
      <c r="D3519" s="268">
        <f t="shared" si="2"/>
        <v>6.954159593</v>
      </c>
    </row>
    <row r="3520" ht="13.5" customHeight="1">
      <c r="B3520" s="268">
        <v>14032.0</v>
      </c>
      <c r="C3520" s="268">
        <f t="shared" si="1"/>
        <v>16.85965244</v>
      </c>
      <c r="D3520" s="268">
        <f t="shared" si="2"/>
        <v>6.965986395</v>
      </c>
    </row>
    <row r="3521" ht="13.5" customHeight="1">
      <c r="B3521" s="268">
        <v>14036.0</v>
      </c>
      <c r="C3521" s="268">
        <f t="shared" si="1"/>
        <v>16.87443693</v>
      </c>
      <c r="D3521" s="268">
        <f t="shared" si="2"/>
        <v>6.977853492</v>
      </c>
    </row>
    <row r="3522" ht="13.5" customHeight="1">
      <c r="B3522" s="268">
        <v>14040.0</v>
      </c>
      <c r="C3522" s="268">
        <f t="shared" si="1"/>
        <v>16.88924664</v>
      </c>
      <c r="D3522" s="268">
        <f t="shared" si="2"/>
        <v>6.989761092</v>
      </c>
    </row>
    <row r="3523" ht="13.5" customHeight="1">
      <c r="B3523" s="268">
        <v>14044.0</v>
      </c>
      <c r="C3523" s="268">
        <f t="shared" si="1"/>
        <v>16.90408164</v>
      </c>
      <c r="D3523" s="268">
        <f t="shared" si="2"/>
        <v>7.001709402</v>
      </c>
    </row>
    <row r="3524" ht="13.5" customHeight="1">
      <c r="B3524" s="268">
        <v>14048.0</v>
      </c>
      <c r="C3524" s="268">
        <f t="shared" si="1"/>
        <v>16.91894202</v>
      </c>
      <c r="D3524" s="268">
        <f t="shared" si="2"/>
        <v>7.01369863</v>
      </c>
    </row>
    <row r="3525" ht="13.5" customHeight="1">
      <c r="B3525" s="268">
        <v>14052.0</v>
      </c>
      <c r="C3525" s="268">
        <f t="shared" si="1"/>
        <v>16.93382786</v>
      </c>
      <c r="D3525" s="268">
        <f t="shared" si="2"/>
        <v>7.025728988</v>
      </c>
    </row>
    <row r="3526" ht="13.5" customHeight="1">
      <c r="B3526" s="268">
        <v>14056.0</v>
      </c>
      <c r="C3526" s="268">
        <f t="shared" si="1"/>
        <v>16.94873927</v>
      </c>
      <c r="D3526" s="268">
        <f t="shared" si="2"/>
        <v>7.037800687</v>
      </c>
    </row>
    <row r="3527" ht="13.5" customHeight="1">
      <c r="B3527" s="268">
        <v>14060.0</v>
      </c>
      <c r="C3527" s="268">
        <f t="shared" si="1"/>
        <v>16.96367631</v>
      </c>
      <c r="D3527" s="268">
        <f t="shared" si="2"/>
        <v>7.049913941</v>
      </c>
    </row>
    <row r="3528" ht="13.5" customHeight="1">
      <c r="B3528" s="268">
        <v>14064.0</v>
      </c>
      <c r="C3528" s="268">
        <f t="shared" si="1"/>
        <v>16.97863909</v>
      </c>
      <c r="D3528" s="268">
        <f t="shared" si="2"/>
        <v>7.062068966</v>
      </c>
    </row>
    <row r="3529" ht="13.5" customHeight="1">
      <c r="B3529" s="268">
        <v>14068.0</v>
      </c>
      <c r="C3529" s="268">
        <f t="shared" si="1"/>
        <v>16.99362768</v>
      </c>
      <c r="D3529" s="268">
        <f t="shared" si="2"/>
        <v>7.074265976</v>
      </c>
    </row>
    <row r="3530" ht="13.5" customHeight="1">
      <c r="B3530" s="268">
        <v>14072.0</v>
      </c>
      <c r="C3530" s="268">
        <f t="shared" si="1"/>
        <v>17.00864219</v>
      </c>
      <c r="D3530" s="268">
        <f t="shared" si="2"/>
        <v>7.08650519</v>
      </c>
    </row>
    <row r="3531" ht="13.5" customHeight="1">
      <c r="B3531" s="268">
        <v>14076.0</v>
      </c>
      <c r="C3531" s="268">
        <f t="shared" si="1"/>
        <v>17.0236827</v>
      </c>
      <c r="D3531" s="268">
        <f t="shared" si="2"/>
        <v>7.098786828</v>
      </c>
    </row>
    <row r="3532" ht="13.5" customHeight="1">
      <c r="B3532" s="268">
        <v>14080.0</v>
      </c>
      <c r="C3532" s="268">
        <f t="shared" si="1"/>
        <v>17.03874929</v>
      </c>
      <c r="D3532" s="268">
        <f t="shared" si="2"/>
        <v>7.111111111</v>
      </c>
    </row>
    <row r="3533" ht="13.5" customHeight="1">
      <c r="B3533" s="268">
        <v>14084.0</v>
      </c>
      <c r="C3533" s="268">
        <f t="shared" si="1"/>
        <v>17.05384207</v>
      </c>
      <c r="D3533" s="268">
        <f t="shared" si="2"/>
        <v>7.123478261</v>
      </c>
    </row>
    <row r="3534" ht="13.5" customHeight="1">
      <c r="B3534" s="268">
        <v>14088.0</v>
      </c>
      <c r="C3534" s="268">
        <f t="shared" si="1"/>
        <v>17.06896111</v>
      </c>
      <c r="D3534" s="268">
        <f t="shared" si="2"/>
        <v>7.135888502</v>
      </c>
    </row>
    <row r="3535" ht="13.5" customHeight="1">
      <c r="B3535" s="268">
        <v>14092.0</v>
      </c>
      <c r="C3535" s="268">
        <f t="shared" si="1"/>
        <v>17.08410652</v>
      </c>
      <c r="D3535" s="268">
        <f t="shared" si="2"/>
        <v>7.148342059</v>
      </c>
    </row>
    <row r="3536" ht="13.5" customHeight="1">
      <c r="B3536" s="268">
        <v>14096.0</v>
      </c>
      <c r="C3536" s="268">
        <f t="shared" si="1"/>
        <v>17.09927838</v>
      </c>
      <c r="D3536" s="268">
        <f t="shared" si="2"/>
        <v>7.160839161</v>
      </c>
    </row>
    <row r="3537" ht="13.5" customHeight="1">
      <c r="B3537" s="268">
        <v>14100.0</v>
      </c>
      <c r="C3537" s="268">
        <f t="shared" si="1"/>
        <v>17.11447679</v>
      </c>
      <c r="D3537" s="268">
        <f t="shared" si="2"/>
        <v>7.173380035</v>
      </c>
    </row>
    <row r="3538" ht="13.5" customHeight="1">
      <c r="B3538" s="268">
        <v>14104.0</v>
      </c>
      <c r="C3538" s="268">
        <f t="shared" si="1"/>
        <v>17.12970185</v>
      </c>
      <c r="D3538" s="268">
        <f t="shared" si="2"/>
        <v>7.185964912</v>
      </c>
    </row>
    <row r="3539" ht="13.5" customHeight="1">
      <c r="B3539" s="268">
        <v>14108.0</v>
      </c>
      <c r="C3539" s="268">
        <f t="shared" si="1"/>
        <v>17.14495363</v>
      </c>
      <c r="D3539" s="268">
        <f t="shared" si="2"/>
        <v>7.198594025</v>
      </c>
    </row>
    <row r="3540" ht="13.5" customHeight="1">
      <c r="B3540" s="268">
        <v>14112.0</v>
      </c>
      <c r="C3540" s="268">
        <f t="shared" si="1"/>
        <v>17.16023225</v>
      </c>
      <c r="D3540" s="268">
        <f t="shared" si="2"/>
        <v>7.211267606</v>
      </c>
    </row>
    <row r="3541" ht="13.5" customHeight="1">
      <c r="B3541" s="268">
        <v>14116.0</v>
      </c>
      <c r="C3541" s="268">
        <f t="shared" si="1"/>
        <v>17.17553778</v>
      </c>
      <c r="D3541" s="268">
        <f t="shared" si="2"/>
        <v>7.223985891</v>
      </c>
    </row>
    <row r="3542" ht="13.5" customHeight="1">
      <c r="B3542" s="268">
        <v>14120.0</v>
      </c>
      <c r="C3542" s="268">
        <f t="shared" si="1"/>
        <v>17.19087034</v>
      </c>
      <c r="D3542" s="268">
        <f t="shared" si="2"/>
        <v>7.236749117</v>
      </c>
    </row>
    <row r="3543" ht="13.5" customHeight="1">
      <c r="B3543" s="268">
        <v>14124.0</v>
      </c>
      <c r="C3543" s="268">
        <f t="shared" si="1"/>
        <v>17.20623</v>
      </c>
      <c r="D3543" s="268">
        <f t="shared" si="2"/>
        <v>7.249557522</v>
      </c>
    </row>
    <row r="3544" ht="13.5" customHeight="1">
      <c r="B3544" s="268">
        <v>14128.0</v>
      </c>
      <c r="C3544" s="268">
        <f t="shared" si="1"/>
        <v>17.22161688</v>
      </c>
      <c r="D3544" s="268">
        <f t="shared" si="2"/>
        <v>7.262411348</v>
      </c>
    </row>
    <row r="3545" ht="13.5" customHeight="1">
      <c r="B3545" s="268">
        <v>14132.0</v>
      </c>
      <c r="C3545" s="268">
        <f t="shared" si="1"/>
        <v>17.23703106</v>
      </c>
      <c r="D3545" s="268">
        <f t="shared" si="2"/>
        <v>7.275310835</v>
      </c>
    </row>
    <row r="3546" ht="13.5" customHeight="1">
      <c r="B3546" s="268">
        <v>14136.0</v>
      </c>
      <c r="C3546" s="268">
        <f t="shared" si="1"/>
        <v>17.25247265</v>
      </c>
      <c r="D3546" s="268">
        <f t="shared" si="2"/>
        <v>7.288256228</v>
      </c>
    </row>
    <row r="3547" ht="13.5" customHeight="1">
      <c r="B3547" s="268">
        <v>14140.0</v>
      </c>
      <c r="C3547" s="268">
        <f t="shared" si="1"/>
        <v>17.26794173</v>
      </c>
      <c r="D3547" s="268">
        <f t="shared" si="2"/>
        <v>7.301247772</v>
      </c>
    </row>
    <row r="3548" ht="13.5" customHeight="1">
      <c r="B3548" s="268">
        <v>14144.0</v>
      </c>
      <c r="C3548" s="268">
        <f t="shared" si="1"/>
        <v>17.28343842</v>
      </c>
      <c r="D3548" s="268">
        <f t="shared" si="2"/>
        <v>7.314285714</v>
      </c>
    </row>
    <row r="3549" ht="13.5" customHeight="1">
      <c r="B3549" s="268">
        <v>14148.0</v>
      </c>
      <c r="C3549" s="268">
        <f t="shared" si="1"/>
        <v>17.2989628</v>
      </c>
      <c r="D3549" s="268">
        <f t="shared" si="2"/>
        <v>7.327370304</v>
      </c>
    </row>
    <row r="3550" ht="13.5" customHeight="1">
      <c r="B3550" s="268">
        <v>14152.0</v>
      </c>
      <c r="C3550" s="268">
        <f t="shared" si="1"/>
        <v>17.31451498</v>
      </c>
      <c r="D3550" s="268">
        <f t="shared" si="2"/>
        <v>7.340501792</v>
      </c>
    </row>
    <row r="3551" ht="13.5" customHeight="1">
      <c r="B3551" s="268">
        <v>14156.0</v>
      </c>
      <c r="C3551" s="268">
        <f t="shared" si="1"/>
        <v>17.33009506</v>
      </c>
      <c r="D3551" s="268">
        <f t="shared" si="2"/>
        <v>7.353680431</v>
      </c>
    </row>
    <row r="3552" ht="13.5" customHeight="1">
      <c r="B3552" s="268">
        <v>14160.0</v>
      </c>
      <c r="C3552" s="268">
        <f t="shared" si="1"/>
        <v>17.34570313</v>
      </c>
      <c r="D3552" s="268">
        <f t="shared" si="2"/>
        <v>7.366906475</v>
      </c>
    </row>
    <row r="3553" ht="13.5" customHeight="1">
      <c r="B3553" s="268">
        <v>14164.0</v>
      </c>
      <c r="C3553" s="268">
        <f t="shared" si="1"/>
        <v>17.3613393</v>
      </c>
      <c r="D3553" s="268">
        <f t="shared" si="2"/>
        <v>7.38018018</v>
      </c>
    </row>
    <row r="3554" ht="13.5" customHeight="1">
      <c r="B3554" s="268">
        <v>14168.0</v>
      </c>
      <c r="C3554" s="268">
        <f t="shared" si="1"/>
        <v>17.37700366</v>
      </c>
      <c r="D3554" s="268">
        <f t="shared" si="2"/>
        <v>7.393501805</v>
      </c>
    </row>
    <row r="3555" ht="13.5" customHeight="1">
      <c r="B3555" s="268">
        <v>14172.0</v>
      </c>
      <c r="C3555" s="268">
        <f t="shared" si="1"/>
        <v>17.39269633</v>
      </c>
      <c r="D3555" s="268">
        <f t="shared" si="2"/>
        <v>7.406871609</v>
      </c>
    </row>
    <row r="3556" ht="13.5" customHeight="1">
      <c r="B3556" s="268">
        <v>14176.0</v>
      </c>
      <c r="C3556" s="268">
        <f t="shared" si="1"/>
        <v>17.4084174</v>
      </c>
      <c r="D3556" s="268">
        <f t="shared" si="2"/>
        <v>7.420289855</v>
      </c>
    </row>
    <row r="3557" ht="13.5" customHeight="1">
      <c r="B3557" s="268">
        <v>14180.0</v>
      </c>
      <c r="C3557" s="268">
        <f t="shared" si="1"/>
        <v>17.42416698</v>
      </c>
      <c r="D3557" s="268">
        <f t="shared" si="2"/>
        <v>7.433756806</v>
      </c>
    </row>
    <row r="3558" ht="13.5" customHeight="1">
      <c r="B3558" s="268">
        <v>14184.0</v>
      </c>
      <c r="C3558" s="268">
        <f t="shared" si="1"/>
        <v>17.43994517</v>
      </c>
      <c r="D3558" s="268">
        <f t="shared" si="2"/>
        <v>7.447272727</v>
      </c>
    </row>
    <row r="3559" ht="13.5" customHeight="1">
      <c r="B3559" s="268">
        <v>14188.0</v>
      </c>
      <c r="C3559" s="268">
        <f t="shared" si="1"/>
        <v>17.45575207</v>
      </c>
      <c r="D3559" s="268">
        <f t="shared" si="2"/>
        <v>7.460837887</v>
      </c>
    </row>
    <row r="3560" ht="13.5" customHeight="1">
      <c r="B3560" s="268">
        <v>14192.0</v>
      </c>
      <c r="C3560" s="268">
        <f t="shared" si="1"/>
        <v>17.47158779</v>
      </c>
      <c r="D3560" s="268">
        <f t="shared" si="2"/>
        <v>7.474452555</v>
      </c>
    </row>
    <row r="3561" ht="13.5" customHeight="1">
      <c r="B3561" s="268">
        <v>14196.0</v>
      </c>
      <c r="C3561" s="268">
        <f t="shared" si="1"/>
        <v>17.48745243</v>
      </c>
      <c r="D3561" s="268">
        <f t="shared" si="2"/>
        <v>7.488117002</v>
      </c>
    </row>
    <row r="3562" ht="13.5" customHeight="1">
      <c r="B3562" s="268">
        <v>14200.0</v>
      </c>
      <c r="C3562" s="268">
        <f t="shared" si="1"/>
        <v>17.50334611</v>
      </c>
      <c r="D3562" s="268">
        <f t="shared" si="2"/>
        <v>7.501831502</v>
      </c>
    </row>
    <row r="3563" ht="13.5" customHeight="1">
      <c r="B3563" s="268">
        <v>14204.0</v>
      </c>
      <c r="C3563" s="268">
        <f t="shared" si="1"/>
        <v>17.51926891</v>
      </c>
      <c r="D3563" s="268">
        <f t="shared" si="2"/>
        <v>7.51559633</v>
      </c>
    </row>
    <row r="3564" ht="13.5" customHeight="1">
      <c r="B3564" s="268">
        <v>14208.0</v>
      </c>
      <c r="C3564" s="268">
        <f t="shared" si="1"/>
        <v>17.53522097</v>
      </c>
      <c r="D3564" s="268">
        <f t="shared" si="2"/>
        <v>7.529411765</v>
      </c>
    </row>
    <row r="3565" ht="13.5" customHeight="1">
      <c r="B3565" s="268">
        <v>14212.0</v>
      </c>
      <c r="C3565" s="268">
        <f t="shared" si="1"/>
        <v>17.55120237</v>
      </c>
      <c r="D3565" s="268">
        <f t="shared" si="2"/>
        <v>7.543278085</v>
      </c>
    </row>
    <row r="3566" ht="13.5" customHeight="1">
      <c r="B3566" s="268">
        <v>14216.0</v>
      </c>
      <c r="C3566" s="268">
        <f t="shared" si="1"/>
        <v>17.56721323</v>
      </c>
      <c r="D3566" s="268">
        <f t="shared" si="2"/>
        <v>7.557195572</v>
      </c>
    </row>
    <row r="3567" ht="13.5" customHeight="1">
      <c r="B3567" s="268">
        <v>14220.0</v>
      </c>
      <c r="C3567" s="268">
        <f t="shared" si="1"/>
        <v>17.58325366</v>
      </c>
      <c r="D3567" s="268">
        <f t="shared" si="2"/>
        <v>7.57116451</v>
      </c>
    </row>
    <row r="3568" ht="13.5" customHeight="1">
      <c r="B3568" s="268">
        <v>14224.0</v>
      </c>
      <c r="C3568" s="268">
        <f t="shared" si="1"/>
        <v>17.59932376</v>
      </c>
      <c r="D3568" s="268">
        <f t="shared" si="2"/>
        <v>7.585185185</v>
      </c>
    </row>
    <row r="3569" ht="13.5" customHeight="1">
      <c r="B3569" s="268">
        <v>14228.0</v>
      </c>
      <c r="C3569" s="268">
        <f t="shared" si="1"/>
        <v>17.61542366</v>
      </c>
      <c r="D3569" s="268">
        <f t="shared" si="2"/>
        <v>7.599257885</v>
      </c>
    </row>
    <row r="3570" ht="13.5" customHeight="1">
      <c r="B3570" s="268">
        <v>14232.0</v>
      </c>
      <c r="C3570" s="268">
        <f t="shared" si="1"/>
        <v>17.63155345</v>
      </c>
      <c r="D3570" s="268">
        <f t="shared" si="2"/>
        <v>7.6133829</v>
      </c>
    </row>
    <row r="3571" ht="13.5" customHeight="1">
      <c r="B3571" s="268">
        <v>14236.0</v>
      </c>
      <c r="C3571" s="268">
        <f t="shared" si="1"/>
        <v>17.64771325</v>
      </c>
      <c r="D3571" s="268">
        <f t="shared" si="2"/>
        <v>7.627560521</v>
      </c>
    </row>
    <row r="3572" ht="13.5" customHeight="1">
      <c r="B3572" s="268">
        <v>14240.0</v>
      </c>
      <c r="C3572" s="268">
        <f t="shared" si="1"/>
        <v>17.66390317</v>
      </c>
      <c r="D3572" s="268">
        <f t="shared" si="2"/>
        <v>7.641791045</v>
      </c>
    </row>
    <row r="3573" ht="13.5" customHeight="1">
      <c r="B3573" s="268">
        <v>14244.0</v>
      </c>
      <c r="C3573" s="268">
        <f t="shared" si="1"/>
        <v>17.68012332</v>
      </c>
      <c r="D3573" s="268">
        <f t="shared" si="2"/>
        <v>7.656074766</v>
      </c>
    </row>
    <row r="3574" ht="13.5" customHeight="1">
      <c r="B3574" s="268">
        <v>14248.0</v>
      </c>
      <c r="C3574" s="268">
        <f t="shared" si="1"/>
        <v>17.69637382</v>
      </c>
      <c r="D3574" s="268">
        <f t="shared" si="2"/>
        <v>7.670411985</v>
      </c>
    </row>
    <row r="3575" ht="13.5" customHeight="1">
      <c r="B3575" s="268">
        <v>14252.0</v>
      </c>
      <c r="C3575" s="268">
        <f t="shared" si="1"/>
        <v>17.71265478</v>
      </c>
      <c r="D3575" s="268">
        <f t="shared" si="2"/>
        <v>7.684803002</v>
      </c>
    </row>
    <row r="3576" ht="13.5" customHeight="1">
      <c r="B3576" s="268">
        <v>14256.0</v>
      </c>
      <c r="C3576" s="268">
        <f t="shared" si="1"/>
        <v>17.72896631</v>
      </c>
      <c r="D3576" s="268">
        <f t="shared" si="2"/>
        <v>7.69924812</v>
      </c>
    </row>
    <row r="3577" ht="13.5" customHeight="1">
      <c r="B3577" s="268">
        <v>14260.0</v>
      </c>
      <c r="C3577" s="268">
        <f t="shared" si="1"/>
        <v>17.74530854</v>
      </c>
      <c r="D3577" s="268">
        <f t="shared" si="2"/>
        <v>7.713747646</v>
      </c>
    </row>
    <row r="3578" ht="13.5" customHeight="1">
      <c r="B3578" s="268">
        <v>14264.0</v>
      </c>
      <c r="C3578" s="268">
        <f t="shared" si="1"/>
        <v>17.76168157</v>
      </c>
      <c r="D3578" s="268">
        <f t="shared" si="2"/>
        <v>7.728301887</v>
      </c>
    </row>
    <row r="3579" ht="13.5" customHeight="1">
      <c r="B3579" s="268">
        <v>14268.0</v>
      </c>
      <c r="C3579" s="268">
        <f t="shared" si="1"/>
        <v>17.77808552</v>
      </c>
      <c r="D3579" s="268">
        <f t="shared" si="2"/>
        <v>7.742911153</v>
      </c>
    </row>
    <row r="3580" ht="13.5" customHeight="1">
      <c r="B3580" s="268">
        <v>14272.0</v>
      </c>
      <c r="C3580" s="268">
        <f t="shared" si="1"/>
        <v>17.79452051</v>
      </c>
      <c r="D3580" s="268">
        <f t="shared" si="2"/>
        <v>7.757575758</v>
      </c>
    </row>
    <row r="3581" ht="13.5" customHeight="1">
      <c r="B3581" s="268">
        <v>14276.0</v>
      </c>
      <c r="C3581" s="268">
        <f t="shared" si="1"/>
        <v>17.81098666</v>
      </c>
      <c r="D3581" s="268">
        <f t="shared" si="2"/>
        <v>7.772296015</v>
      </c>
    </row>
    <row r="3582" ht="13.5" customHeight="1">
      <c r="B3582" s="268">
        <v>14280.0</v>
      </c>
      <c r="C3582" s="268">
        <f t="shared" si="1"/>
        <v>17.82748408</v>
      </c>
      <c r="D3582" s="268">
        <f t="shared" si="2"/>
        <v>7.787072243</v>
      </c>
    </row>
    <row r="3583" ht="13.5" customHeight="1">
      <c r="B3583" s="268">
        <v>14284.0</v>
      </c>
      <c r="C3583" s="268">
        <f t="shared" si="1"/>
        <v>17.84401289</v>
      </c>
      <c r="D3583" s="268">
        <f t="shared" si="2"/>
        <v>7.801904762</v>
      </c>
    </row>
    <row r="3584" ht="13.5" customHeight="1">
      <c r="B3584" s="268">
        <v>14288.0</v>
      </c>
      <c r="C3584" s="268">
        <f t="shared" si="1"/>
        <v>17.86057322</v>
      </c>
      <c r="D3584" s="268">
        <f t="shared" si="2"/>
        <v>7.816793893</v>
      </c>
    </row>
    <row r="3585" ht="13.5" customHeight="1">
      <c r="B3585" s="268">
        <v>14292.0</v>
      </c>
      <c r="C3585" s="268">
        <f t="shared" si="1"/>
        <v>17.87716518</v>
      </c>
      <c r="D3585" s="268">
        <f t="shared" si="2"/>
        <v>7.831739962</v>
      </c>
    </row>
    <row r="3586" ht="13.5" customHeight="1">
      <c r="B3586" s="268">
        <v>14296.0</v>
      </c>
      <c r="C3586" s="268">
        <f t="shared" si="1"/>
        <v>17.8937889</v>
      </c>
      <c r="D3586" s="268">
        <f t="shared" si="2"/>
        <v>7.846743295</v>
      </c>
    </row>
    <row r="3587" ht="13.5" customHeight="1">
      <c r="B3587" s="268">
        <v>14300.0</v>
      </c>
      <c r="C3587" s="268">
        <f t="shared" si="1"/>
        <v>17.91044449</v>
      </c>
      <c r="D3587" s="268">
        <f t="shared" si="2"/>
        <v>7.861804223</v>
      </c>
    </row>
    <row r="3588" ht="13.5" customHeight="1">
      <c r="B3588" s="268">
        <v>14304.0</v>
      </c>
      <c r="C3588" s="268">
        <f t="shared" si="1"/>
        <v>17.92713209</v>
      </c>
      <c r="D3588" s="268">
        <f t="shared" si="2"/>
        <v>7.876923077</v>
      </c>
    </row>
    <row r="3589" ht="13.5" customHeight="1">
      <c r="B3589" s="268">
        <v>14308.0</v>
      </c>
      <c r="C3589" s="268">
        <f t="shared" si="1"/>
        <v>17.9438518</v>
      </c>
      <c r="D3589" s="268">
        <f t="shared" si="2"/>
        <v>7.892100193</v>
      </c>
    </row>
    <row r="3590" ht="13.5" customHeight="1">
      <c r="B3590" s="268">
        <v>14312.0</v>
      </c>
      <c r="C3590" s="268">
        <f t="shared" si="1"/>
        <v>17.96060376</v>
      </c>
      <c r="D3590" s="268">
        <f t="shared" si="2"/>
        <v>7.907335907</v>
      </c>
    </row>
    <row r="3591" ht="13.5" customHeight="1">
      <c r="B3591" s="268">
        <v>14316.0</v>
      </c>
      <c r="C3591" s="268">
        <f t="shared" si="1"/>
        <v>17.9773881</v>
      </c>
      <c r="D3591" s="268">
        <f t="shared" si="2"/>
        <v>7.922630561</v>
      </c>
    </row>
    <row r="3592" ht="13.5" customHeight="1">
      <c r="B3592" s="268">
        <v>14320.0</v>
      </c>
      <c r="C3592" s="268">
        <f t="shared" si="1"/>
        <v>17.99420493</v>
      </c>
      <c r="D3592" s="268">
        <f t="shared" si="2"/>
        <v>7.937984496</v>
      </c>
    </row>
    <row r="3593" ht="13.5" customHeight="1">
      <c r="B3593" s="268">
        <v>14324.0</v>
      </c>
      <c r="C3593" s="268">
        <f t="shared" si="1"/>
        <v>18.01105438</v>
      </c>
      <c r="D3593" s="268">
        <f t="shared" si="2"/>
        <v>7.953398058</v>
      </c>
    </row>
    <row r="3594" ht="13.5" customHeight="1">
      <c r="B3594" s="268">
        <v>14328.0</v>
      </c>
      <c r="C3594" s="268">
        <f t="shared" si="1"/>
        <v>18.02793658</v>
      </c>
      <c r="D3594" s="268">
        <f t="shared" si="2"/>
        <v>7.968871595</v>
      </c>
    </row>
    <row r="3595" ht="13.5" customHeight="1">
      <c r="B3595" s="268">
        <v>14332.0</v>
      </c>
      <c r="C3595" s="268">
        <f t="shared" si="1"/>
        <v>18.04485166</v>
      </c>
      <c r="D3595" s="268">
        <f t="shared" si="2"/>
        <v>7.984405458</v>
      </c>
    </row>
    <row r="3596" ht="13.5" customHeight="1">
      <c r="B3596" s="268">
        <v>14336.0</v>
      </c>
      <c r="C3596" s="268">
        <f t="shared" si="1"/>
        <v>18.06179974</v>
      </c>
      <c r="D3596" s="268">
        <f t="shared" si="2"/>
        <v>8</v>
      </c>
    </row>
    <row r="3597" ht="13.5" customHeight="1">
      <c r="B3597" s="268">
        <v>14340.0</v>
      </c>
      <c r="C3597" s="268">
        <f t="shared" si="1"/>
        <v>18.07878096</v>
      </c>
      <c r="D3597" s="268">
        <f t="shared" si="2"/>
        <v>8.015655577</v>
      </c>
    </row>
    <row r="3598" ht="13.5" customHeight="1">
      <c r="B3598" s="268">
        <v>14344.0</v>
      </c>
      <c r="C3598" s="268">
        <f t="shared" si="1"/>
        <v>18.09579544</v>
      </c>
      <c r="D3598" s="268">
        <f t="shared" si="2"/>
        <v>8.031372549</v>
      </c>
    </row>
    <row r="3599" ht="13.5" customHeight="1">
      <c r="B3599" s="268">
        <v>14348.0</v>
      </c>
      <c r="C3599" s="268">
        <f t="shared" si="1"/>
        <v>18.11284331</v>
      </c>
      <c r="D3599" s="268">
        <f t="shared" si="2"/>
        <v>8.047151277</v>
      </c>
    </row>
    <row r="3600" ht="13.5" customHeight="1">
      <c r="B3600" s="268">
        <v>14352.0</v>
      </c>
      <c r="C3600" s="268">
        <f t="shared" si="1"/>
        <v>18.12992471</v>
      </c>
      <c r="D3600" s="268">
        <f t="shared" si="2"/>
        <v>8.062992126</v>
      </c>
    </row>
    <row r="3601" ht="13.5" customHeight="1">
      <c r="B3601" s="268">
        <v>14356.0</v>
      </c>
      <c r="C3601" s="268">
        <f t="shared" si="1"/>
        <v>18.14703977</v>
      </c>
      <c r="D3601" s="268">
        <f t="shared" si="2"/>
        <v>8.078895464</v>
      </c>
    </row>
    <row r="3602" ht="13.5" customHeight="1">
      <c r="B3602" s="268">
        <v>14360.0</v>
      </c>
      <c r="C3602" s="268">
        <f t="shared" si="1"/>
        <v>18.16418862</v>
      </c>
      <c r="D3602" s="268">
        <f t="shared" si="2"/>
        <v>8.09486166</v>
      </c>
    </row>
    <row r="3603" ht="13.5" customHeight="1">
      <c r="B3603" s="268">
        <v>14364.0</v>
      </c>
      <c r="C3603" s="268">
        <f t="shared" si="1"/>
        <v>18.1813714</v>
      </c>
      <c r="D3603" s="268">
        <f t="shared" si="2"/>
        <v>8.110891089</v>
      </c>
    </row>
    <row r="3604" ht="13.5" customHeight="1">
      <c r="B3604" s="268">
        <v>14368.0</v>
      </c>
      <c r="C3604" s="268">
        <f t="shared" si="1"/>
        <v>18.19858823</v>
      </c>
      <c r="D3604" s="268">
        <f t="shared" si="2"/>
        <v>8.126984127</v>
      </c>
    </row>
    <row r="3605" ht="13.5" customHeight="1">
      <c r="B3605" s="268">
        <v>14372.0</v>
      </c>
      <c r="C3605" s="268">
        <f t="shared" si="1"/>
        <v>18.21583926</v>
      </c>
      <c r="D3605" s="268">
        <f t="shared" si="2"/>
        <v>8.143141153</v>
      </c>
    </row>
    <row r="3606" ht="13.5" customHeight="1">
      <c r="B3606" s="268">
        <v>14376.0</v>
      </c>
      <c r="C3606" s="268">
        <f t="shared" si="1"/>
        <v>18.23312462</v>
      </c>
      <c r="D3606" s="268">
        <f t="shared" si="2"/>
        <v>8.15936255</v>
      </c>
    </row>
    <row r="3607" ht="13.5" customHeight="1">
      <c r="B3607" s="268">
        <v>14380.0</v>
      </c>
      <c r="C3607" s="268">
        <f t="shared" si="1"/>
        <v>18.25044444</v>
      </c>
      <c r="D3607" s="268">
        <f t="shared" si="2"/>
        <v>8.175648703</v>
      </c>
    </row>
    <row r="3608" ht="13.5" customHeight="1">
      <c r="B3608" s="268">
        <v>14384.0</v>
      </c>
      <c r="C3608" s="268">
        <f t="shared" si="1"/>
        <v>18.26779887</v>
      </c>
      <c r="D3608" s="268">
        <f t="shared" si="2"/>
        <v>8.192</v>
      </c>
    </row>
    <row r="3609" ht="13.5" customHeight="1">
      <c r="B3609" s="268">
        <v>14388.0</v>
      </c>
      <c r="C3609" s="268">
        <f t="shared" si="1"/>
        <v>18.28518805</v>
      </c>
      <c r="D3609" s="268">
        <f t="shared" si="2"/>
        <v>8.208416834</v>
      </c>
    </row>
    <row r="3610" ht="13.5" customHeight="1">
      <c r="B3610" s="268">
        <v>14392.0</v>
      </c>
      <c r="C3610" s="268">
        <f t="shared" si="1"/>
        <v>18.3026121</v>
      </c>
      <c r="D3610" s="268">
        <f t="shared" si="2"/>
        <v>8.224899598</v>
      </c>
    </row>
    <row r="3611" ht="13.5" customHeight="1">
      <c r="B3611" s="268">
        <v>14396.0</v>
      </c>
      <c r="C3611" s="268">
        <f t="shared" si="1"/>
        <v>18.32007118</v>
      </c>
      <c r="D3611" s="268">
        <f t="shared" si="2"/>
        <v>8.241448692</v>
      </c>
    </row>
    <row r="3612" ht="13.5" customHeight="1">
      <c r="B3612" s="268">
        <v>14400.0</v>
      </c>
      <c r="C3612" s="268">
        <f t="shared" si="1"/>
        <v>18.33756543</v>
      </c>
      <c r="D3612" s="268">
        <f t="shared" si="2"/>
        <v>8.258064516</v>
      </c>
    </row>
    <row r="3613" ht="13.5" customHeight="1">
      <c r="B3613" s="268">
        <v>14404.0</v>
      </c>
      <c r="C3613" s="268">
        <f t="shared" si="1"/>
        <v>18.35509498</v>
      </c>
      <c r="D3613" s="268">
        <f t="shared" si="2"/>
        <v>8.274747475</v>
      </c>
    </row>
    <row r="3614" ht="13.5" customHeight="1">
      <c r="B3614" s="268">
        <v>14408.0</v>
      </c>
      <c r="C3614" s="268">
        <f t="shared" si="1"/>
        <v>18.37265998</v>
      </c>
      <c r="D3614" s="268">
        <f t="shared" si="2"/>
        <v>8.291497976</v>
      </c>
    </row>
    <row r="3615" ht="13.5" customHeight="1">
      <c r="B3615" s="268">
        <v>14412.0</v>
      </c>
      <c r="C3615" s="268">
        <f t="shared" si="1"/>
        <v>18.39026057</v>
      </c>
      <c r="D3615" s="268">
        <f t="shared" si="2"/>
        <v>8.30831643</v>
      </c>
    </row>
    <row r="3616" ht="13.5" customHeight="1">
      <c r="B3616" s="268">
        <v>14416.0</v>
      </c>
      <c r="C3616" s="268">
        <f t="shared" si="1"/>
        <v>18.4078969</v>
      </c>
      <c r="D3616" s="268">
        <f t="shared" si="2"/>
        <v>8.325203252</v>
      </c>
    </row>
    <row r="3617" ht="13.5" customHeight="1">
      <c r="B3617" s="268">
        <v>14420.0</v>
      </c>
      <c r="C3617" s="268">
        <f t="shared" si="1"/>
        <v>18.42556912</v>
      </c>
      <c r="D3617" s="268">
        <f t="shared" si="2"/>
        <v>8.342158859</v>
      </c>
    </row>
    <row r="3618" ht="13.5" customHeight="1">
      <c r="B3618" s="268">
        <v>14424.0</v>
      </c>
      <c r="C3618" s="268">
        <f t="shared" si="1"/>
        <v>18.44327736</v>
      </c>
      <c r="D3618" s="268">
        <f t="shared" si="2"/>
        <v>8.359183673</v>
      </c>
    </row>
    <row r="3619" ht="13.5" customHeight="1">
      <c r="B3619" s="268">
        <v>14428.0</v>
      </c>
      <c r="C3619" s="268">
        <f t="shared" si="1"/>
        <v>18.46102178</v>
      </c>
      <c r="D3619" s="268">
        <f t="shared" si="2"/>
        <v>8.376278119</v>
      </c>
    </row>
    <row r="3620" ht="13.5" customHeight="1">
      <c r="B3620" s="268">
        <v>14432.0</v>
      </c>
      <c r="C3620" s="268">
        <f t="shared" si="1"/>
        <v>18.47880252</v>
      </c>
      <c r="D3620" s="268">
        <f t="shared" si="2"/>
        <v>8.393442623</v>
      </c>
    </row>
    <row r="3621" ht="13.5" customHeight="1">
      <c r="B3621" s="268">
        <v>14436.0</v>
      </c>
      <c r="C3621" s="268">
        <f t="shared" si="1"/>
        <v>18.49661974</v>
      </c>
      <c r="D3621" s="268">
        <f t="shared" si="2"/>
        <v>8.410677618</v>
      </c>
    </row>
    <row r="3622" ht="13.5" customHeight="1">
      <c r="B3622" s="268">
        <v>14440.0</v>
      </c>
      <c r="C3622" s="268">
        <f t="shared" si="1"/>
        <v>18.51447357</v>
      </c>
      <c r="D3622" s="268">
        <f t="shared" si="2"/>
        <v>8.427983539</v>
      </c>
    </row>
    <row r="3623" ht="13.5" customHeight="1">
      <c r="B3623" s="268">
        <v>14444.0</v>
      </c>
      <c r="C3623" s="268">
        <f t="shared" si="1"/>
        <v>18.53236419</v>
      </c>
      <c r="D3623" s="268">
        <f t="shared" si="2"/>
        <v>8.445360825</v>
      </c>
    </row>
    <row r="3624" ht="13.5" customHeight="1">
      <c r="B3624" s="268">
        <v>14448.0</v>
      </c>
      <c r="C3624" s="268">
        <f t="shared" si="1"/>
        <v>18.55029173</v>
      </c>
      <c r="D3624" s="268">
        <f t="shared" si="2"/>
        <v>8.462809917</v>
      </c>
    </row>
    <row r="3625" ht="13.5" customHeight="1">
      <c r="B3625" s="268">
        <v>14452.0</v>
      </c>
      <c r="C3625" s="268">
        <f t="shared" si="1"/>
        <v>18.56825634</v>
      </c>
      <c r="D3625" s="268">
        <f t="shared" si="2"/>
        <v>8.480331263</v>
      </c>
    </row>
    <row r="3626" ht="13.5" customHeight="1">
      <c r="B3626" s="268">
        <v>14456.0</v>
      </c>
      <c r="C3626" s="268">
        <f t="shared" si="1"/>
        <v>18.58625819</v>
      </c>
      <c r="D3626" s="268">
        <f t="shared" si="2"/>
        <v>8.497925311</v>
      </c>
    </row>
    <row r="3627" ht="13.5" customHeight="1">
      <c r="B3627" s="268">
        <v>14460.0</v>
      </c>
      <c r="C3627" s="268">
        <f t="shared" si="1"/>
        <v>18.60429743</v>
      </c>
      <c r="D3627" s="268">
        <f t="shared" si="2"/>
        <v>8.515592516</v>
      </c>
    </row>
    <row r="3628" ht="13.5" customHeight="1">
      <c r="B3628" s="268">
        <v>14464.0</v>
      </c>
      <c r="C3628" s="268">
        <f t="shared" si="1"/>
        <v>18.62237421</v>
      </c>
      <c r="D3628" s="268">
        <f t="shared" si="2"/>
        <v>8.533333333</v>
      </c>
    </row>
    <row r="3629" ht="13.5" customHeight="1">
      <c r="B3629" s="268">
        <v>14468.0</v>
      </c>
      <c r="C3629" s="268">
        <f t="shared" si="1"/>
        <v>18.64048869</v>
      </c>
      <c r="D3629" s="268">
        <f t="shared" si="2"/>
        <v>8.551148225</v>
      </c>
    </row>
    <row r="3630" ht="13.5" customHeight="1">
      <c r="B3630" s="268">
        <v>14472.0</v>
      </c>
      <c r="C3630" s="268">
        <f t="shared" si="1"/>
        <v>18.65864103</v>
      </c>
      <c r="D3630" s="268">
        <f t="shared" si="2"/>
        <v>8.569037657</v>
      </c>
    </row>
    <row r="3631" ht="13.5" customHeight="1">
      <c r="B3631" s="268">
        <v>14476.0</v>
      </c>
      <c r="C3631" s="268">
        <f t="shared" si="1"/>
        <v>18.67683138</v>
      </c>
      <c r="D3631" s="268">
        <f t="shared" si="2"/>
        <v>8.587002096</v>
      </c>
    </row>
    <row r="3632" ht="13.5" customHeight="1">
      <c r="B3632" s="268">
        <v>14480.0</v>
      </c>
      <c r="C3632" s="268">
        <f t="shared" si="1"/>
        <v>18.6950599</v>
      </c>
      <c r="D3632" s="268">
        <f t="shared" si="2"/>
        <v>8.605042017</v>
      </c>
    </row>
    <row r="3633" ht="13.5" customHeight="1">
      <c r="B3633" s="268">
        <v>14484.0</v>
      </c>
      <c r="C3633" s="268">
        <f t="shared" si="1"/>
        <v>18.71332677</v>
      </c>
      <c r="D3633" s="268">
        <f t="shared" si="2"/>
        <v>8.623157895</v>
      </c>
    </row>
    <row r="3634" ht="13.5" customHeight="1">
      <c r="B3634" s="268">
        <v>14488.0</v>
      </c>
      <c r="C3634" s="268">
        <f t="shared" si="1"/>
        <v>18.73163213</v>
      </c>
      <c r="D3634" s="268">
        <f t="shared" si="2"/>
        <v>8.641350211</v>
      </c>
    </row>
    <row r="3635" ht="13.5" customHeight="1">
      <c r="B3635" s="268">
        <v>14492.0</v>
      </c>
      <c r="C3635" s="268">
        <f t="shared" si="1"/>
        <v>18.74997614</v>
      </c>
      <c r="D3635" s="268">
        <f t="shared" si="2"/>
        <v>8.65961945</v>
      </c>
    </row>
    <row r="3636" ht="13.5" customHeight="1">
      <c r="B3636" s="268">
        <v>14496.0</v>
      </c>
      <c r="C3636" s="268">
        <f t="shared" si="1"/>
        <v>18.76835899</v>
      </c>
      <c r="D3636" s="268">
        <f t="shared" si="2"/>
        <v>8.677966102</v>
      </c>
    </row>
    <row r="3637" ht="13.5" customHeight="1">
      <c r="B3637" s="268">
        <v>14500.0</v>
      </c>
      <c r="C3637" s="268">
        <f t="shared" si="1"/>
        <v>18.78678082</v>
      </c>
      <c r="D3637" s="268">
        <f t="shared" si="2"/>
        <v>8.696390658</v>
      </c>
    </row>
    <row r="3638" ht="13.5" customHeight="1">
      <c r="B3638" s="268">
        <v>14504.0</v>
      </c>
      <c r="C3638" s="268">
        <f t="shared" si="1"/>
        <v>18.8052418</v>
      </c>
      <c r="D3638" s="268">
        <f t="shared" si="2"/>
        <v>8.714893617</v>
      </c>
    </row>
    <row r="3639" ht="13.5" customHeight="1">
      <c r="B3639" s="268">
        <v>14508.0</v>
      </c>
      <c r="C3639" s="268">
        <f t="shared" si="1"/>
        <v>18.82374211</v>
      </c>
      <c r="D3639" s="268">
        <f t="shared" si="2"/>
        <v>8.73347548</v>
      </c>
    </row>
    <row r="3640" ht="13.5" customHeight="1">
      <c r="B3640" s="268">
        <v>14512.0</v>
      </c>
      <c r="C3640" s="268">
        <f t="shared" si="1"/>
        <v>18.8422819</v>
      </c>
      <c r="D3640" s="268">
        <f t="shared" si="2"/>
        <v>8.752136752</v>
      </c>
    </row>
    <row r="3641" ht="13.5" customHeight="1">
      <c r="B3641" s="268">
        <v>14516.0</v>
      </c>
      <c r="C3641" s="268">
        <f t="shared" si="1"/>
        <v>18.86086135</v>
      </c>
      <c r="D3641" s="268">
        <f t="shared" si="2"/>
        <v>8.770877944</v>
      </c>
    </row>
    <row r="3642" ht="13.5" customHeight="1">
      <c r="B3642" s="268">
        <v>14520.0</v>
      </c>
      <c r="C3642" s="268">
        <f t="shared" si="1"/>
        <v>18.87948063</v>
      </c>
      <c r="D3642" s="268">
        <f t="shared" si="2"/>
        <v>8.789699571</v>
      </c>
    </row>
    <row r="3643" ht="13.5" customHeight="1">
      <c r="B3643" s="268">
        <v>14524.0</v>
      </c>
      <c r="C3643" s="268">
        <f t="shared" si="1"/>
        <v>18.8981399</v>
      </c>
      <c r="D3643" s="268">
        <f t="shared" si="2"/>
        <v>8.808602151</v>
      </c>
    </row>
    <row r="3644" ht="13.5" customHeight="1">
      <c r="B3644" s="268">
        <v>14528.0</v>
      </c>
      <c r="C3644" s="268">
        <f t="shared" si="1"/>
        <v>18.91683935</v>
      </c>
      <c r="D3644" s="268">
        <f t="shared" si="2"/>
        <v>8.827586207</v>
      </c>
    </row>
    <row r="3645" ht="13.5" customHeight="1">
      <c r="B3645" s="268">
        <v>14532.0</v>
      </c>
      <c r="C3645" s="268">
        <f t="shared" si="1"/>
        <v>18.93557914</v>
      </c>
      <c r="D3645" s="268">
        <f t="shared" si="2"/>
        <v>8.846652268</v>
      </c>
    </row>
    <row r="3646" ht="13.5" customHeight="1">
      <c r="B3646" s="268">
        <v>14536.0</v>
      </c>
      <c r="C3646" s="268">
        <f t="shared" si="1"/>
        <v>18.95435945</v>
      </c>
      <c r="D3646" s="268">
        <f t="shared" si="2"/>
        <v>8.865800866</v>
      </c>
    </row>
    <row r="3647" ht="13.5" customHeight="1">
      <c r="B3647" s="268">
        <v>14540.0</v>
      </c>
      <c r="C3647" s="268">
        <f t="shared" si="1"/>
        <v>18.97318045</v>
      </c>
      <c r="D3647" s="268">
        <f t="shared" si="2"/>
        <v>8.885032538</v>
      </c>
    </row>
    <row r="3648" ht="13.5" customHeight="1">
      <c r="B3648" s="268">
        <v>14544.0</v>
      </c>
      <c r="C3648" s="268">
        <f t="shared" si="1"/>
        <v>18.99204233</v>
      </c>
      <c r="D3648" s="268">
        <f t="shared" si="2"/>
        <v>8.904347826</v>
      </c>
    </row>
    <row r="3649" ht="13.5" customHeight="1">
      <c r="B3649" s="268">
        <v>14548.0</v>
      </c>
      <c r="C3649" s="268">
        <f t="shared" si="1"/>
        <v>19.01094525</v>
      </c>
      <c r="D3649" s="268">
        <f t="shared" si="2"/>
        <v>8.923747277</v>
      </c>
    </row>
    <row r="3650" ht="13.5" customHeight="1">
      <c r="B3650" s="268">
        <v>14552.0</v>
      </c>
      <c r="C3650" s="268">
        <f t="shared" si="1"/>
        <v>19.0298894</v>
      </c>
      <c r="D3650" s="268">
        <f t="shared" si="2"/>
        <v>8.943231441</v>
      </c>
    </row>
    <row r="3651" ht="13.5" customHeight="1">
      <c r="B3651" s="268">
        <v>14556.0</v>
      </c>
      <c r="C3651" s="268">
        <f t="shared" si="1"/>
        <v>19.04887496</v>
      </c>
      <c r="D3651" s="268">
        <f t="shared" si="2"/>
        <v>8.962800875</v>
      </c>
    </row>
    <row r="3652" ht="13.5" customHeight="1">
      <c r="B3652" s="268">
        <v>14560.0</v>
      </c>
      <c r="C3652" s="268">
        <f t="shared" si="1"/>
        <v>19.06790211</v>
      </c>
      <c r="D3652" s="268">
        <f t="shared" si="2"/>
        <v>8.98245614</v>
      </c>
    </row>
    <row r="3653" ht="13.5" customHeight="1">
      <c r="B3653" s="268">
        <v>14564.0</v>
      </c>
      <c r="C3653" s="268">
        <f t="shared" si="1"/>
        <v>19.08697103</v>
      </c>
      <c r="D3653" s="268">
        <f t="shared" si="2"/>
        <v>9.002197802</v>
      </c>
    </row>
    <row r="3654" ht="13.5" customHeight="1">
      <c r="B3654" s="268">
        <v>14568.0</v>
      </c>
      <c r="C3654" s="268">
        <f t="shared" si="1"/>
        <v>19.1060819</v>
      </c>
      <c r="D3654" s="268">
        <f t="shared" si="2"/>
        <v>9.022026432</v>
      </c>
    </row>
    <row r="3655" ht="13.5" customHeight="1">
      <c r="B3655" s="268">
        <v>14572.0</v>
      </c>
      <c r="C3655" s="268">
        <f t="shared" si="1"/>
        <v>19.12523492</v>
      </c>
      <c r="D3655" s="268">
        <f t="shared" si="2"/>
        <v>9.041942605</v>
      </c>
    </row>
    <row r="3656" ht="13.5" customHeight="1">
      <c r="B3656" s="268">
        <v>14576.0</v>
      </c>
      <c r="C3656" s="268">
        <f t="shared" si="1"/>
        <v>19.14443026</v>
      </c>
      <c r="D3656" s="268">
        <f t="shared" si="2"/>
        <v>9.061946903</v>
      </c>
    </row>
    <row r="3657" ht="13.5" customHeight="1">
      <c r="B3657" s="268">
        <v>14580.0</v>
      </c>
      <c r="C3657" s="268">
        <f t="shared" si="1"/>
        <v>19.16366812</v>
      </c>
      <c r="D3657" s="268">
        <f t="shared" si="2"/>
        <v>9.082039911</v>
      </c>
    </row>
    <row r="3658" ht="13.5" customHeight="1">
      <c r="B3658" s="268">
        <v>14584.0</v>
      </c>
      <c r="C3658" s="268">
        <f t="shared" si="1"/>
        <v>19.18294868</v>
      </c>
      <c r="D3658" s="268">
        <f t="shared" si="2"/>
        <v>9.102222222</v>
      </c>
    </row>
    <row r="3659" ht="13.5" customHeight="1">
      <c r="B3659" s="268">
        <v>14588.0</v>
      </c>
      <c r="C3659" s="268">
        <f t="shared" si="1"/>
        <v>19.20227214</v>
      </c>
      <c r="D3659" s="268">
        <f t="shared" si="2"/>
        <v>9.122494432</v>
      </c>
    </row>
    <row r="3660" ht="13.5" customHeight="1">
      <c r="B3660" s="268">
        <v>14592.0</v>
      </c>
      <c r="C3660" s="268">
        <f t="shared" si="1"/>
        <v>19.22163868</v>
      </c>
      <c r="D3660" s="268">
        <f t="shared" si="2"/>
        <v>9.142857143</v>
      </c>
    </row>
    <row r="3661" ht="13.5" customHeight="1">
      <c r="B3661" s="268">
        <v>14596.0</v>
      </c>
      <c r="C3661" s="268">
        <f t="shared" si="1"/>
        <v>19.2410485</v>
      </c>
      <c r="D3661" s="268">
        <f t="shared" si="2"/>
        <v>9.163310962</v>
      </c>
    </row>
    <row r="3662" ht="13.5" customHeight="1">
      <c r="B3662" s="268">
        <v>14600.0</v>
      </c>
      <c r="C3662" s="268">
        <f t="shared" si="1"/>
        <v>19.26050179</v>
      </c>
      <c r="D3662" s="268">
        <f t="shared" si="2"/>
        <v>9.183856502</v>
      </c>
    </row>
    <row r="3663" ht="13.5" customHeight="1">
      <c r="B3663" s="268">
        <v>14604.0</v>
      </c>
      <c r="C3663" s="268">
        <f t="shared" si="1"/>
        <v>19.27999874</v>
      </c>
      <c r="D3663" s="268">
        <f t="shared" si="2"/>
        <v>9.204494382</v>
      </c>
    </row>
    <row r="3664" ht="13.5" customHeight="1">
      <c r="B3664" s="268">
        <v>14608.0</v>
      </c>
      <c r="C3664" s="268">
        <f t="shared" si="1"/>
        <v>19.29953956</v>
      </c>
      <c r="D3664" s="268">
        <f t="shared" si="2"/>
        <v>9.225225225</v>
      </c>
    </row>
    <row r="3665" ht="13.5" customHeight="1">
      <c r="B3665" s="268">
        <v>14612.0</v>
      </c>
      <c r="C3665" s="268">
        <f t="shared" si="1"/>
        <v>19.31912443</v>
      </c>
      <c r="D3665" s="268">
        <f t="shared" si="2"/>
        <v>9.246049661</v>
      </c>
    </row>
    <row r="3666" ht="13.5" customHeight="1">
      <c r="B3666" s="268">
        <v>14616.0</v>
      </c>
      <c r="C3666" s="268">
        <f t="shared" si="1"/>
        <v>19.33875357</v>
      </c>
      <c r="D3666" s="268">
        <f t="shared" si="2"/>
        <v>9.266968326</v>
      </c>
    </row>
    <row r="3667" ht="13.5" customHeight="1">
      <c r="B3667" s="268">
        <v>14620.0</v>
      </c>
      <c r="C3667" s="268">
        <f t="shared" si="1"/>
        <v>19.35842717</v>
      </c>
      <c r="D3667" s="268">
        <f t="shared" si="2"/>
        <v>9.287981859</v>
      </c>
    </row>
    <row r="3668" ht="13.5" customHeight="1">
      <c r="B3668" s="268">
        <v>14624.0</v>
      </c>
      <c r="C3668" s="268">
        <f t="shared" si="1"/>
        <v>19.37814543</v>
      </c>
      <c r="D3668" s="268">
        <f t="shared" si="2"/>
        <v>9.309090909</v>
      </c>
    </row>
    <row r="3669" ht="13.5" customHeight="1">
      <c r="B3669" s="268">
        <v>14628.0</v>
      </c>
      <c r="C3669" s="268">
        <f t="shared" si="1"/>
        <v>19.39790855</v>
      </c>
      <c r="D3669" s="268">
        <f t="shared" si="2"/>
        <v>9.330296128</v>
      </c>
    </row>
    <row r="3670" ht="13.5" customHeight="1">
      <c r="B3670" s="268">
        <v>14632.0</v>
      </c>
      <c r="C3670" s="268">
        <f t="shared" si="1"/>
        <v>19.41771675</v>
      </c>
      <c r="D3670" s="268">
        <f t="shared" si="2"/>
        <v>9.351598174</v>
      </c>
    </row>
    <row r="3671" ht="13.5" customHeight="1">
      <c r="B3671" s="268">
        <v>14636.0</v>
      </c>
      <c r="C3671" s="268">
        <f t="shared" si="1"/>
        <v>19.43757022</v>
      </c>
      <c r="D3671" s="268">
        <f t="shared" si="2"/>
        <v>9.372997712</v>
      </c>
    </row>
    <row r="3672" ht="13.5" customHeight="1">
      <c r="B3672" s="268">
        <v>14640.0</v>
      </c>
      <c r="C3672" s="268">
        <f t="shared" si="1"/>
        <v>19.45746917</v>
      </c>
      <c r="D3672" s="268">
        <f t="shared" si="2"/>
        <v>9.394495413</v>
      </c>
    </row>
    <row r="3673" ht="13.5" customHeight="1">
      <c r="B3673" s="268">
        <v>14644.0</v>
      </c>
      <c r="C3673" s="268">
        <f t="shared" si="1"/>
        <v>19.47741382</v>
      </c>
      <c r="D3673" s="268">
        <f t="shared" si="2"/>
        <v>9.416091954</v>
      </c>
    </row>
    <row r="3674" ht="13.5" customHeight="1">
      <c r="B3674" s="268">
        <v>14648.0</v>
      </c>
      <c r="C3674" s="268">
        <f t="shared" si="1"/>
        <v>19.49740437</v>
      </c>
      <c r="D3674" s="268">
        <f t="shared" si="2"/>
        <v>9.437788018</v>
      </c>
    </row>
    <row r="3675" ht="13.5" customHeight="1">
      <c r="B3675" s="268">
        <v>14652.0</v>
      </c>
      <c r="C3675" s="268">
        <f t="shared" si="1"/>
        <v>19.51744103</v>
      </c>
      <c r="D3675" s="268">
        <f t="shared" si="2"/>
        <v>9.459584296</v>
      </c>
    </row>
    <row r="3676" ht="13.5" customHeight="1">
      <c r="B3676" s="268">
        <v>14656.0</v>
      </c>
      <c r="C3676" s="268">
        <f t="shared" si="1"/>
        <v>19.53752402</v>
      </c>
      <c r="D3676" s="268">
        <f t="shared" si="2"/>
        <v>9.481481481</v>
      </c>
    </row>
    <row r="3677" ht="13.5" customHeight="1">
      <c r="B3677" s="268">
        <v>14660.0</v>
      </c>
      <c r="C3677" s="268">
        <f t="shared" si="1"/>
        <v>19.55765356</v>
      </c>
      <c r="D3677" s="268">
        <f t="shared" si="2"/>
        <v>9.503480278</v>
      </c>
    </row>
    <row r="3678" ht="13.5" customHeight="1">
      <c r="B3678" s="268">
        <v>14664.0</v>
      </c>
      <c r="C3678" s="268">
        <f t="shared" si="1"/>
        <v>19.57782985</v>
      </c>
      <c r="D3678" s="268">
        <f t="shared" si="2"/>
        <v>9.525581395</v>
      </c>
    </row>
    <row r="3679" ht="13.5" customHeight="1">
      <c r="B3679" s="268">
        <v>14668.0</v>
      </c>
      <c r="C3679" s="268">
        <f t="shared" si="1"/>
        <v>19.59805312</v>
      </c>
      <c r="D3679" s="268">
        <f t="shared" si="2"/>
        <v>9.547785548</v>
      </c>
    </row>
    <row r="3680" ht="13.5" customHeight="1">
      <c r="B3680" s="268">
        <v>14672.0</v>
      </c>
      <c r="C3680" s="268">
        <f t="shared" si="1"/>
        <v>19.61832358</v>
      </c>
      <c r="D3680" s="268">
        <f t="shared" si="2"/>
        <v>9.570093458</v>
      </c>
    </row>
    <row r="3681" ht="13.5" customHeight="1">
      <c r="B3681" s="268">
        <v>14676.0</v>
      </c>
      <c r="C3681" s="268">
        <f t="shared" si="1"/>
        <v>19.63864146</v>
      </c>
      <c r="D3681" s="268">
        <f t="shared" si="2"/>
        <v>9.592505855</v>
      </c>
    </row>
    <row r="3682" ht="13.5" customHeight="1">
      <c r="B3682" s="268">
        <v>14680.0</v>
      </c>
      <c r="C3682" s="268">
        <f t="shared" si="1"/>
        <v>19.65900698</v>
      </c>
      <c r="D3682" s="268">
        <f t="shared" si="2"/>
        <v>9.615023474</v>
      </c>
    </row>
    <row r="3683" ht="13.5" customHeight="1">
      <c r="B3683" s="268">
        <v>14684.0</v>
      </c>
      <c r="C3683" s="268">
        <f t="shared" si="1"/>
        <v>19.67942036</v>
      </c>
      <c r="D3683" s="268">
        <f t="shared" si="2"/>
        <v>9.637647059</v>
      </c>
    </row>
    <row r="3684" ht="13.5" customHeight="1">
      <c r="B3684" s="268">
        <v>14688.0</v>
      </c>
      <c r="C3684" s="268">
        <f t="shared" si="1"/>
        <v>19.69988183</v>
      </c>
      <c r="D3684" s="268">
        <f t="shared" si="2"/>
        <v>9.660377358</v>
      </c>
    </row>
    <row r="3685" ht="13.5" customHeight="1">
      <c r="B3685" s="268">
        <v>14692.0</v>
      </c>
      <c r="C3685" s="268">
        <f t="shared" si="1"/>
        <v>19.72039161</v>
      </c>
      <c r="D3685" s="268">
        <f t="shared" si="2"/>
        <v>9.68321513</v>
      </c>
    </row>
    <row r="3686" ht="13.5" customHeight="1">
      <c r="B3686" s="268">
        <v>14696.0</v>
      </c>
      <c r="C3686" s="268">
        <f t="shared" si="1"/>
        <v>19.74094994</v>
      </c>
      <c r="D3686" s="268">
        <f t="shared" si="2"/>
        <v>9.706161137</v>
      </c>
    </row>
    <row r="3687" ht="13.5" customHeight="1">
      <c r="B3687" s="268">
        <v>14700.0</v>
      </c>
      <c r="C3687" s="268">
        <f t="shared" si="1"/>
        <v>19.76155704</v>
      </c>
      <c r="D3687" s="268">
        <f t="shared" si="2"/>
        <v>9.729216152</v>
      </c>
    </row>
    <row r="3688" ht="13.5" customHeight="1">
      <c r="B3688" s="268">
        <v>14704.0</v>
      </c>
      <c r="C3688" s="268">
        <f t="shared" si="1"/>
        <v>19.78221315</v>
      </c>
      <c r="D3688" s="268">
        <f t="shared" si="2"/>
        <v>9.752380952</v>
      </c>
    </row>
    <row r="3689" ht="13.5" customHeight="1">
      <c r="B3689" s="268">
        <v>14708.0</v>
      </c>
      <c r="C3689" s="268">
        <f t="shared" si="1"/>
        <v>19.8029185</v>
      </c>
      <c r="D3689" s="268">
        <f t="shared" si="2"/>
        <v>9.775656325</v>
      </c>
    </row>
    <row r="3690" ht="13.5" customHeight="1">
      <c r="B3690" s="268">
        <v>14712.0</v>
      </c>
      <c r="C3690" s="268">
        <f t="shared" si="1"/>
        <v>19.82367332</v>
      </c>
      <c r="D3690" s="268">
        <f t="shared" si="2"/>
        <v>9.799043062</v>
      </c>
    </row>
    <row r="3691" ht="13.5" customHeight="1">
      <c r="B3691" s="268">
        <v>14716.0</v>
      </c>
      <c r="C3691" s="268">
        <f t="shared" si="1"/>
        <v>19.84447786</v>
      </c>
      <c r="D3691" s="268">
        <f t="shared" si="2"/>
        <v>9.822541966</v>
      </c>
    </row>
    <row r="3692" ht="13.5" customHeight="1">
      <c r="B3692" s="268">
        <v>14720.0</v>
      </c>
      <c r="C3692" s="268">
        <f t="shared" si="1"/>
        <v>19.86533235</v>
      </c>
      <c r="D3692" s="268">
        <f t="shared" si="2"/>
        <v>9.846153846</v>
      </c>
    </row>
    <row r="3693" ht="13.5" customHeight="1">
      <c r="B3693" s="268">
        <v>14724.0</v>
      </c>
      <c r="C3693" s="268">
        <f t="shared" si="1"/>
        <v>19.88623703</v>
      </c>
      <c r="D3693" s="268">
        <f t="shared" si="2"/>
        <v>9.869879518</v>
      </c>
    </row>
    <row r="3694" ht="13.5" customHeight="1">
      <c r="B3694" s="268">
        <v>14728.0</v>
      </c>
      <c r="C3694" s="268">
        <f t="shared" si="1"/>
        <v>19.90719214</v>
      </c>
      <c r="D3694" s="268">
        <f t="shared" si="2"/>
        <v>9.893719807</v>
      </c>
    </row>
    <row r="3695" ht="13.5" customHeight="1">
      <c r="B3695" s="268">
        <v>14732.0</v>
      </c>
      <c r="C3695" s="268">
        <f t="shared" si="1"/>
        <v>19.92819793</v>
      </c>
      <c r="D3695" s="268">
        <f t="shared" si="2"/>
        <v>9.917675545</v>
      </c>
    </row>
    <row r="3696" ht="13.5" customHeight="1">
      <c r="B3696" s="268">
        <v>14736.0</v>
      </c>
      <c r="C3696" s="268">
        <f t="shared" si="1"/>
        <v>19.94925464</v>
      </c>
      <c r="D3696" s="268">
        <f t="shared" si="2"/>
        <v>9.941747573</v>
      </c>
    </row>
    <row r="3697" ht="13.5" customHeight="1">
      <c r="B3697" s="268">
        <v>14740.0</v>
      </c>
      <c r="C3697" s="268">
        <f t="shared" si="1"/>
        <v>19.97036252</v>
      </c>
      <c r="D3697" s="268">
        <f t="shared" si="2"/>
        <v>9.96593674</v>
      </c>
    </row>
    <row r="3698" ht="13.5" customHeight="1">
      <c r="B3698" s="268">
        <v>14744.0</v>
      </c>
      <c r="C3698" s="268">
        <f t="shared" si="1"/>
        <v>19.99152182</v>
      </c>
      <c r="D3698" s="268">
        <f t="shared" si="2"/>
        <v>9.990243902</v>
      </c>
    </row>
    <row r="3699" ht="13.5" customHeight="1">
      <c r="B3699" s="268">
        <v>14748.0</v>
      </c>
      <c r="C3699" s="268">
        <f t="shared" si="1"/>
        <v>20.0127328</v>
      </c>
      <c r="D3699" s="268">
        <f t="shared" si="2"/>
        <v>10.01466993</v>
      </c>
    </row>
    <row r="3700" ht="13.5" customHeight="1">
      <c r="B3700" s="268">
        <v>14752.0</v>
      </c>
      <c r="C3700" s="268">
        <f t="shared" si="1"/>
        <v>20.0339957</v>
      </c>
      <c r="D3700" s="268">
        <f t="shared" si="2"/>
        <v>10.03921569</v>
      </c>
    </row>
    <row r="3701" ht="13.5" customHeight="1">
      <c r="B3701" s="268">
        <v>14756.0</v>
      </c>
      <c r="C3701" s="268">
        <f t="shared" si="1"/>
        <v>20.05531077</v>
      </c>
      <c r="D3701" s="268">
        <f t="shared" si="2"/>
        <v>10.06388206</v>
      </c>
    </row>
    <row r="3702" ht="13.5" customHeight="1">
      <c r="B3702" s="268">
        <v>14760.0</v>
      </c>
      <c r="C3702" s="268">
        <f t="shared" si="1"/>
        <v>20.07667829</v>
      </c>
      <c r="D3702" s="268">
        <f t="shared" si="2"/>
        <v>10.08866995</v>
      </c>
    </row>
    <row r="3703" ht="13.5" customHeight="1">
      <c r="B3703" s="268">
        <v>14764.0</v>
      </c>
      <c r="C3703" s="268">
        <f t="shared" si="1"/>
        <v>20.0980985</v>
      </c>
      <c r="D3703" s="268">
        <f t="shared" si="2"/>
        <v>10.11358025</v>
      </c>
    </row>
    <row r="3704" ht="13.5" customHeight="1">
      <c r="B3704" s="268">
        <v>14768.0</v>
      </c>
      <c r="C3704" s="268">
        <f t="shared" si="1"/>
        <v>20.11957166</v>
      </c>
      <c r="D3704" s="268">
        <f t="shared" si="2"/>
        <v>10.13861386</v>
      </c>
    </row>
    <row r="3705" ht="13.5" customHeight="1">
      <c r="B3705" s="268">
        <v>14772.0</v>
      </c>
      <c r="C3705" s="268">
        <f t="shared" si="1"/>
        <v>20.14109804</v>
      </c>
      <c r="D3705" s="268">
        <f t="shared" si="2"/>
        <v>10.16377171</v>
      </c>
    </row>
    <row r="3706" ht="13.5" customHeight="1">
      <c r="B3706" s="268">
        <v>14776.0</v>
      </c>
      <c r="C3706" s="268">
        <f t="shared" si="1"/>
        <v>20.1626779</v>
      </c>
      <c r="D3706" s="268">
        <f t="shared" si="2"/>
        <v>10.18905473</v>
      </c>
    </row>
    <row r="3707" ht="13.5" customHeight="1">
      <c r="B3707" s="268">
        <v>14780.0</v>
      </c>
      <c r="C3707" s="268">
        <f t="shared" si="1"/>
        <v>20.18431151</v>
      </c>
      <c r="D3707" s="268">
        <f t="shared" si="2"/>
        <v>10.21446384</v>
      </c>
    </row>
    <row r="3708" ht="13.5" customHeight="1">
      <c r="B3708" s="268">
        <v>14784.0</v>
      </c>
      <c r="C3708" s="268">
        <f t="shared" si="1"/>
        <v>20.20599913</v>
      </c>
      <c r="D3708" s="268">
        <f t="shared" si="2"/>
        <v>10.24</v>
      </c>
    </row>
    <row r="3709" ht="13.5" customHeight="1">
      <c r="B3709" s="268">
        <v>14788.0</v>
      </c>
      <c r="C3709" s="268">
        <f t="shared" si="1"/>
        <v>20.22774105</v>
      </c>
      <c r="D3709" s="268">
        <f t="shared" si="2"/>
        <v>10.26566416</v>
      </c>
    </row>
    <row r="3710" ht="13.5" customHeight="1">
      <c r="B3710" s="268">
        <v>14792.0</v>
      </c>
      <c r="C3710" s="268">
        <f t="shared" si="1"/>
        <v>20.24953752</v>
      </c>
      <c r="D3710" s="268">
        <f t="shared" si="2"/>
        <v>10.29145729</v>
      </c>
    </row>
    <row r="3711" ht="13.5" customHeight="1">
      <c r="B3711" s="268">
        <v>14796.0</v>
      </c>
      <c r="C3711" s="268">
        <f t="shared" si="1"/>
        <v>20.27138882</v>
      </c>
      <c r="D3711" s="268">
        <f t="shared" si="2"/>
        <v>10.31738035</v>
      </c>
    </row>
    <row r="3712" ht="13.5" customHeight="1">
      <c r="B3712" s="268">
        <v>14800.0</v>
      </c>
      <c r="C3712" s="268">
        <f t="shared" si="1"/>
        <v>20.29329524</v>
      </c>
      <c r="D3712" s="268">
        <f t="shared" si="2"/>
        <v>10.34343434</v>
      </c>
    </row>
    <row r="3713" ht="13.5" customHeight="1">
      <c r="B3713" s="268">
        <v>14804.0</v>
      </c>
      <c r="C3713" s="268">
        <f t="shared" si="1"/>
        <v>20.31525705</v>
      </c>
      <c r="D3713" s="268">
        <f t="shared" si="2"/>
        <v>10.36962025</v>
      </c>
    </row>
    <row r="3714" ht="13.5" customHeight="1">
      <c r="B3714" s="268">
        <v>14808.0</v>
      </c>
      <c r="C3714" s="268">
        <f t="shared" si="1"/>
        <v>20.33727452</v>
      </c>
      <c r="D3714" s="268">
        <f t="shared" si="2"/>
        <v>10.39593909</v>
      </c>
    </row>
    <row r="3715" ht="13.5" customHeight="1">
      <c r="B3715" s="268">
        <v>14812.0</v>
      </c>
      <c r="C3715" s="268">
        <f t="shared" si="1"/>
        <v>20.35934795</v>
      </c>
      <c r="D3715" s="268">
        <f t="shared" si="2"/>
        <v>10.42239186</v>
      </c>
    </row>
    <row r="3716" ht="13.5" customHeight="1">
      <c r="B3716" s="268">
        <v>14816.0</v>
      </c>
      <c r="C3716" s="268">
        <f t="shared" si="1"/>
        <v>20.38147762</v>
      </c>
      <c r="D3716" s="268">
        <f t="shared" si="2"/>
        <v>10.44897959</v>
      </c>
    </row>
    <row r="3717" ht="13.5" customHeight="1">
      <c r="B3717" s="268">
        <v>14820.0</v>
      </c>
      <c r="C3717" s="268">
        <f t="shared" si="1"/>
        <v>20.40366381</v>
      </c>
      <c r="D3717" s="268">
        <f t="shared" si="2"/>
        <v>10.47570332</v>
      </c>
    </row>
    <row r="3718" ht="13.5" customHeight="1">
      <c r="B3718" s="268">
        <v>14824.0</v>
      </c>
      <c r="C3718" s="268">
        <f t="shared" si="1"/>
        <v>20.42590682</v>
      </c>
      <c r="D3718" s="268">
        <f t="shared" si="2"/>
        <v>10.5025641</v>
      </c>
    </row>
    <row r="3719" ht="13.5" customHeight="1">
      <c r="B3719" s="268">
        <v>14828.0</v>
      </c>
      <c r="C3719" s="268">
        <f t="shared" si="1"/>
        <v>20.44820693</v>
      </c>
      <c r="D3719" s="268">
        <f t="shared" si="2"/>
        <v>10.52956298</v>
      </c>
    </row>
    <row r="3720" ht="13.5" customHeight="1">
      <c r="B3720" s="268">
        <v>14832.0</v>
      </c>
      <c r="C3720" s="268">
        <f t="shared" si="1"/>
        <v>20.47056445</v>
      </c>
      <c r="D3720" s="268">
        <f t="shared" si="2"/>
        <v>10.55670103</v>
      </c>
    </row>
    <row r="3721" ht="13.5" customHeight="1">
      <c r="B3721" s="268">
        <v>14836.0</v>
      </c>
      <c r="C3721" s="268">
        <f t="shared" si="1"/>
        <v>20.49297966</v>
      </c>
      <c r="D3721" s="268">
        <f t="shared" si="2"/>
        <v>10.58397933</v>
      </c>
    </row>
    <row r="3722" ht="13.5" customHeight="1">
      <c r="B3722" s="268">
        <v>14840.0</v>
      </c>
      <c r="C3722" s="268">
        <f t="shared" si="1"/>
        <v>20.51545287</v>
      </c>
      <c r="D3722" s="268">
        <f t="shared" si="2"/>
        <v>10.61139896</v>
      </c>
    </row>
    <row r="3723" ht="13.5" customHeight="1">
      <c r="B3723" s="268">
        <v>14844.0</v>
      </c>
      <c r="C3723" s="268">
        <f t="shared" si="1"/>
        <v>20.53798437</v>
      </c>
      <c r="D3723" s="268">
        <f t="shared" si="2"/>
        <v>10.63896104</v>
      </c>
    </row>
    <row r="3724" ht="13.5" customHeight="1">
      <c r="B3724" s="268">
        <v>14848.0</v>
      </c>
      <c r="C3724" s="268">
        <f t="shared" si="1"/>
        <v>20.56057447</v>
      </c>
      <c r="D3724" s="268">
        <f t="shared" si="2"/>
        <v>10.66666667</v>
      </c>
    </row>
    <row r="3725" ht="13.5" customHeight="1">
      <c r="B3725" s="268">
        <v>14852.0</v>
      </c>
      <c r="C3725" s="268">
        <f t="shared" si="1"/>
        <v>20.58322348</v>
      </c>
      <c r="D3725" s="268">
        <f t="shared" si="2"/>
        <v>10.69451697</v>
      </c>
    </row>
    <row r="3726" ht="13.5" customHeight="1">
      <c r="B3726" s="268">
        <v>14856.0</v>
      </c>
      <c r="C3726" s="268">
        <f t="shared" si="1"/>
        <v>20.6059317</v>
      </c>
      <c r="D3726" s="268">
        <f t="shared" si="2"/>
        <v>10.72251309</v>
      </c>
    </row>
    <row r="3727" ht="13.5" customHeight="1">
      <c r="B3727" s="268">
        <v>14860.0</v>
      </c>
      <c r="C3727" s="268">
        <f t="shared" si="1"/>
        <v>20.62869945</v>
      </c>
      <c r="D3727" s="268">
        <f t="shared" si="2"/>
        <v>10.75065617</v>
      </c>
    </row>
    <row r="3728" ht="13.5" customHeight="1">
      <c r="B3728" s="268">
        <v>14864.0</v>
      </c>
      <c r="C3728" s="268">
        <f t="shared" si="1"/>
        <v>20.65152703</v>
      </c>
      <c r="D3728" s="268">
        <f t="shared" si="2"/>
        <v>10.77894737</v>
      </c>
    </row>
    <row r="3729" ht="13.5" customHeight="1">
      <c r="B3729" s="268">
        <v>14868.0</v>
      </c>
      <c r="C3729" s="268">
        <f t="shared" si="1"/>
        <v>20.67441476</v>
      </c>
      <c r="D3729" s="268">
        <f t="shared" si="2"/>
        <v>10.80738786</v>
      </c>
    </row>
    <row r="3730" ht="13.5" customHeight="1">
      <c r="B3730" s="268">
        <v>14872.0</v>
      </c>
      <c r="C3730" s="268">
        <f t="shared" si="1"/>
        <v>20.69736296</v>
      </c>
      <c r="D3730" s="268">
        <f t="shared" si="2"/>
        <v>10.83597884</v>
      </c>
    </row>
    <row r="3731" ht="13.5" customHeight="1">
      <c r="B3731" s="268">
        <v>14876.0</v>
      </c>
      <c r="C3731" s="268">
        <f t="shared" si="1"/>
        <v>20.72037196</v>
      </c>
      <c r="D3731" s="268">
        <f t="shared" si="2"/>
        <v>10.86472149</v>
      </c>
    </row>
    <row r="3732" ht="13.5" customHeight="1">
      <c r="B3732" s="268">
        <v>14880.0</v>
      </c>
      <c r="C3732" s="268">
        <f t="shared" si="1"/>
        <v>20.74344206</v>
      </c>
      <c r="D3732" s="268">
        <f t="shared" si="2"/>
        <v>10.89361702</v>
      </c>
    </row>
    <row r="3733" ht="13.5" customHeight="1">
      <c r="B3733" s="268">
        <v>14884.0</v>
      </c>
      <c r="C3733" s="268">
        <f t="shared" si="1"/>
        <v>20.7665736</v>
      </c>
      <c r="D3733" s="268">
        <f t="shared" si="2"/>
        <v>10.92266667</v>
      </c>
    </row>
    <row r="3734" ht="13.5" customHeight="1">
      <c r="B3734" s="268">
        <v>14888.0</v>
      </c>
      <c r="C3734" s="268">
        <f t="shared" si="1"/>
        <v>20.78976692</v>
      </c>
      <c r="D3734" s="268">
        <f t="shared" si="2"/>
        <v>10.95187166</v>
      </c>
    </row>
    <row r="3735" ht="13.5" customHeight="1">
      <c r="B3735" s="268">
        <v>14892.0</v>
      </c>
      <c r="C3735" s="268">
        <f t="shared" si="1"/>
        <v>20.81302232</v>
      </c>
      <c r="D3735" s="268">
        <f t="shared" si="2"/>
        <v>10.98123324</v>
      </c>
    </row>
    <row r="3736" ht="13.5" customHeight="1">
      <c r="B3736" s="268">
        <v>14896.0</v>
      </c>
      <c r="C3736" s="268">
        <f t="shared" si="1"/>
        <v>20.83634016</v>
      </c>
      <c r="D3736" s="268">
        <f t="shared" si="2"/>
        <v>11.01075269</v>
      </c>
    </row>
    <row r="3737" ht="13.5" customHeight="1">
      <c r="B3737" s="268">
        <v>14900.0</v>
      </c>
      <c r="C3737" s="268">
        <f t="shared" si="1"/>
        <v>20.85972077</v>
      </c>
      <c r="D3737" s="268">
        <f t="shared" si="2"/>
        <v>11.04043127</v>
      </c>
    </row>
    <row r="3738" ht="13.5" customHeight="1">
      <c r="B3738" s="268">
        <v>14904.0</v>
      </c>
      <c r="C3738" s="268">
        <f t="shared" si="1"/>
        <v>20.88316448</v>
      </c>
      <c r="D3738" s="268">
        <f t="shared" si="2"/>
        <v>11.07027027</v>
      </c>
    </row>
    <row r="3739" ht="13.5" customHeight="1">
      <c r="B3739" s="268">
        <v>14908.0</v>
      </c>
      <c r="C3739" s="268">
        <f t="shared" si="1"/>
        <v>20.90667164</v>
      </c>
      <c r="D3739" s="268">
        <f t="shared" si="2"/>
        <v>11.100271</v>
      </c>
    </row>
    <row r="3740" ht="13.5" customHeight="1">
      <c r="B3740" s="268">
        <v>14912.0</v>
      </c>
      <c r="C3740" s="268">
        <f t="shared" si="1"/>
        <v>20.93024259</v>
      </c>
      <c r="D3740" s="268">
        <f t="shared" si="2"/>
        <v>11.13043478</v>
      </c>
    </row>
    <row r="3741" ht="13.5" customHeight="1">
      <c r="B3741" s="268">
        <v>14916.0</v>
      </c>
      <c r="C3741" s="268">
        <f t="shared" si="1"/>
        <v>20.95387767</v>
      </c>
      <c r="D3741" s="268">
        <f t="shared" si="2"/>
        <v>11.16076294</v>
      </c>
    </row>
    <row r="3742" ht="13.5" customHeight="1">
      <c r="B3742" s="268">
        <v>14920.0</v>
      </c>
      <c r="C3742" s="268">
        <f t="shared" si="1"/>
        <v>20.97757725</v>
      </c>
      <c r="D3742" s="268">
        <f t="shared" si="2"/>
        <v>11.19125683</v>
      </c>
    </row>
    <row r="3743" ht="13.5" customHeight="1">
      <c r="B3743" s="268">
        <v>14924.0</v>
      </c>
      <c r="C3743" s="268">
        <f t="shared" si="1"/>
        <v>21.00134167</v>
      </c>
      <c r="D3743" s="268">
        <f t="shared" si="2"/>
        <v>11.22191781</v>
      </c>
    </row>
    <row r="3744" ht="13.5" customHeight="1">
      <c r="B3744" s="268">
        <v>14928.0</v>
      </c>
      <c r="C3744" s="268">
        <f t="shared" si="1"/>
        <v>21.02517129</v>
      </c>
      <c r="D3744" s="268">
        <f t="shared" si="2"/>
        <v>11.25274725</v>
      </c>
    </row>
    <row r="3745" ht="13.5" customHeight="1">
      <c r="B3745" s="268">
        <v>14932.0</v>
      </c>
      <c r="C3745" s="268">
        <f t="shared" si="1"/>
        <v>21.04906646</v>
      </c>
      <c r="D3745" s="268">
        <f t="shared" si="2"/>
        <v>11.28374656</v>
      </c>
    </row>
    <row r="3746" ht="13.5" customHeight="1">
      <c r="B3746" s="268">
        <v>14936.0</v>
      </c>
      <c r="C3746" s="268">
        <f t="shared" si="1"/>
        <v>21.07302755</v>
      </c>
      <c r="D3746" s="268">
        <f t="shared" si="2"/>
        <v>11.31491713</v>
      </c>
    </row>
    <row r="3747" ht="13.5" customHeight="1">
      <c r="B3747" s="268">
        <v>14940.0</v>
      </c>
      <c r="C3747" s="268">
        <f t="shared" si="1"/>
        <v>21.09705492</v>
      </c>
      <c r="D3747" s="268">
        <f t="shared" si="2"/>
        <v>11.34626039</v>
      </c>
    </row>
    <row r="3748" ht="13.5" customHeight="1">
      <c r="B3748" s="268">
        <v>14944.0</v>
      </c>
      <c r="C3748" s="268">
        <f t="shared" si="1"/>
        <v>21.12114894</v>
      </c>
      <c r="D3748" s="268">
        <f t="shared" si="2"/>
        <v>11.37777778</v>
      </c>
    </row>
    <row r="3749" ht="13.5" customHeight="1">
      <c r="B3749" s="268">
        <v>14948.0</v>
      </c>
      <c r="C3749" s="268">
        <f t="shared" si="1"/>
        <v>21.14530999</v>
      </c>
      <c r="D3749" s="268">
        <f t="shared" si="2"/>
        <v>11.40947075</v>
      </c>
    </row>
    <row r="3750" ht="13.5" customHeight="1">
      <c r="B3750" s="268">
        <v>14952.0</v>
      </c>
      <c r="C3750" s="268">
        <f t="shared" si="1"/>
        <v>21.16953843</v>
      </c>
      <c r="D3750" s="268">
        <f t="shared" si="2"/>
        <v>11.44134078</v>
      </c>
    </row>
    <row r="3751" ht="13.5" customHeight="1">
      <c r="B3751" s="268">
        <v>14956.0</v>
      </c>
      <c r="C3751" s="268">
        <f t="shared" si="1"/>
        <v>21.19383464</v>
      </c>
      <c r="D3751" s="268">
        <f t="shared" si="2"/>
        <v>11.47338936</v>
      </c>
    </row>
    <row r="3752" ht="13.5" customHeight="1">
      <c r="B3752" s="268">
        <v>14960.0</v>
      </c>
      <c r="C3752" s="268">
        <f t="shared" si="1"/>
        <v>21.218199</v>
      </c>
      <c r="D3752" s="268">
        <f t="shared" si="2"/>
        <v>11.50561798</v>
      </c>
    </row>
    <row r="3753" ht="13.5" customHeight="1">
      <c r="B3753" s="268">
        <v>14964.0</v>
      </c>
      <c r="C3753" s="268">
        <f t="shared" si="1"/>
        <v>21.2426319</v>
      </c>
      <c r="D3753" s="268">
        <f t="shared" si="2"/>
        <v>11.53802817</v>
      </c>
    </row>
    <row r="3754" ht="13.5" customHeight="1">
      <c r="B3754" s="268">
        <v>14968.0</v>
      </c>
      <c r="C3754" s="268">
        <f t="shared" si="1"/>
        <v>21.26713372</v>
      </c>
      <c r="D3754" s="268">
        <f t="shared" si="2"/>
        <v>11.57062147</v>
      </c>
    </row>
    <row r="3755" ht="13.5" customHeight="1">
      <c r="B3755" s="268">
        <v>14972.0</v>
      </c>
      <c r="C3755" s="268">
        <f t="shared" si="1"/>
        <v>21.29170485</v>
      </c>
      <c r="D3755" s="268">
        <f t="shared" si="2"/>
        <v>11.60339943</v>
      </c>
    </row>
    <row r="3756" ht="13.5" customHeight="1">
      <c r="B3756" s="268">
        <v>14976.0</v>
      </c>
      <c r="C3756" s="268">
        <f t="shared" si="1"/>
        <v>21.31634569</v>
      </c>
      <c r="D3756" s="268">
        <f t="shared" si="2"/>
        <v>11.63636364</v>
      </c>
    </row>
    <row r="3757" ht="13.5" customHeight="1">
      <c r="B3757" s="268">
        <v>14980.0</v>
      </c>
      <c r="C3757" s="268">
        <f t="shared" si="1"/>
        <v>21.34105663</v>
      </c>
      <c r="D3757" s="268">
        <f t="shared" si="2"/>
        <v>11.66951567</v>
      </c>
    </row>
    <row r="3758" ht="13.5" customHeight="1">
      <c r="B3758" s="268">
        <v>14984.0</v>
      </c>
      <c r="C3758" s="268">
        <f t="shared" si="1"/>
        <v>21.36583807</v>
      </c>
      <c r="D3758" s="268">
        <f t="shared" si="2"/>
        <v>11.70285714</v>
      </c>
    </row>
    <row r="3759" ht="13.5" customHeight="1">
      <c r="B3759" s="268">
        <v>14988.0</v>
      </c>
      <c r="C3759" s="268">
        <f t="shared" si="1"/>
        <v>21.39069042</v>
      </c>
      <c r="D3759" s="268">
        <f t="shared" si="2"/>
        <v>11.73638968</v>
      </c>
    </row>
    <row r="3760" ht="13.5" customHeight="1">
      <c r="B3760" s="268">
        <v>14992.0</v>
      </c>
      <c r="C3760" s="268">
        <f t="shared" si="1"/>
        <v>21.41561408</v>
      </c>
      <c r="D3760" s="268">
        <f t="shared" si="2"/>
        <v>11.77011494</v>
      </c>
    </row>
    <row r="3761" ht="13.5" customHeight="1">
      <c r="B3761" s="268">
        <v>14996.0</v>
      </c>
      <c r="C3761" s="268">
        <f t="shared" si="1"/>
        <v>21.44060946</v>
      </c>
      <c r="D3761" s="268">
        <f t="shared" si="2"/>
        <v>11.80403458</v>
      </c>
    </row>
    <row r="3762" ht="13.5" customHeight="1">
      <c r="B3762" s="268">
        <v>15000.0</v>
      </c>
      <c r="C3762" s="268">
        <f t="shared" si="1"/>
        <v>21.46567698</v>
      </c>
      <c r="D3762" s="268">
        <f t="shared" si="2"/>
        <v>11.83815029</v>
      </c>
    </row>
    <row r="3763" ht="13.5" customHeight="1">
      <c r="B3763" s="268">
        <v>15004.0</v>
      </c>
      <c r="C3763" s="268">
        <f t="shared" si="1"/>
        <v>21.49081706</v>
      </c>
      <c r="D3763" s="268">
        <f t="shared" si="2"/>
        <v>11.87246377</v>
      </c>
    </row>
    <row r="3764" ht="13.5" customHeight="1">
      <c r="B3764" s="268">
        <v>15008.0</v>
      </c>
      <c r="C3764" s="268">
        <f t="shared" si="1"/>
        <v>21.51603011</v>
      </c>
      <c r="D3764" s="268">
        <f t="shared" si="2"/>
        <v>11.90697674</v>
      </c>
    </row>
    <row r="3765" ht="13.5" customHeight="1">
      <c r="B3765" s="268">
        <v>15012.0</v>
      </c>
      <c r="C3765" s="268">
        <f t="shared" si="1"/>
        <v>21.54131656</v>
      </c>
      <c r="D3765" s="268">
        <f t="shared" si="2"/>
        <v>11.94169096</v>
      </c>
    </row>
    <row r="3766" ht="13.5" customHeight="1">
      <c r="B3766" s="268">
        <v>15016.0</v>
      </c>
      <c r="C3766" s="268">
        <f t="shared" si="1"/>
        <v>21.56667684</v>
      </c>
      <c r="D3766" s="268">
        <f t="shared" si="2"/>
        <v>11.97660819</v>
      </c>
    </row>
    <row r="3767" ht="13.5" customHeight="1">
      <c r="B3767" s="268">
        <v>15020.0</v>
      </c>
      <c r="C3767" s="268">
        <f t="shared" si="1"/>
        <v>21.59211138</v>
      </c>
      <c r="D3767" s="268">
        <f t="shared" si="2"/>
        <v>12.01173021</v>
      </c>
    </row>
    <row r="3768" ht="13.5" customHeight="1">
      <c r="B3768" s="268">
        <v>15024.0</v>
      </c>
      <c r="C3768" s="268">
        <f t="shared" si="1"/>
        <v>21.61762062</v>
      </c>
      <c r="D3768" s="268">
        <f t="shared" si="2"/>
        <v>12.04705882</v>
      </c>
    </row>
    <row r="3769" ht="13.5" customHeight="1">
      <c r="B3769" s="268">
        <v>15028.0</v>
      </c>
      <c r="C3769" s="268">
        <f t="shared" si="1"/>
        <v>21.643205</v>
      </c>
      <c r="D3769" s="268">
        <f t="shared" si="2"/>
        <v>12.08259587</v>
      </c>
    </row>
    <row r="3770" ht="13.5" customHeight="1">
      <c r="B3770" s="268">
        <v>15032.0</v>
      </c>
      <c r="C3770" s="268">
        <f t="shared" si="1"/>
        <v>21.66886495</v>
      </c>
      <c r="D3770" s="268">
        <f t="shared" si="2"/>
        <v>12.1183432</v>
      </c>
    </row>
    <row r="3771" ht="13.5" customHeight="1">
      <c r="B3771" s="268">
        <v>15036.0</v>
      </c>
      <c r="C3771" s="268">
        <f t="shared" si="1"/>
        <v>21.69460094</v>
      </c>
      <c r="D3771" s="268">
        <f t="shared" si="2"/>
        <v>12.15430267</v>
      </c>
    </row>
    <row r="3772" ht="13.5" customHeight="1">
      <c r="B3772" s="268">
        <v>15040.0</v>
      </c>
      <c r="C3772" s="268">
        <f t="shared" si="1"/>
        <v>21.72041341</v>
      </c>
      <c r="D3772" s="268">
        <f t="shared" si="2"/>
        <v>12.19047619</v>
      </c>
    </row>
    <row r="3773" ht="13.5" customHeight="1">
      <c r="B3773" s="268">
        <v>15044.0</v>
      </c>
      <c r="C3773" s="268">
        <f t="shared" si="1"/>
        <v>21.74630282</v>
      </c>
      <c r="D3773" s="268">
        <f t="shared" si="2"/>
        <v>12.22686567</v>
      </c>
    </row>
    <row r="3774" ht="13.5" customHeight="1">
      <c r="B3774" s="268">
        <v>15048.0</v>
      </c>
      <c r="C3774" s="268">
        <f t="shared" si="1"/>
        <v>21.77226962</v>
      </c>
      <c r="D3774" s="268">
        <f t="shared" si="2"/>
        <v>12.26347305</v>
      </c>
    </row>
    <row r="3775" ht="13.5" customHeight="1">
      <c r="B3775" s="268">
        <v>15052.0</v>
      </c>
      <c r="C3775" s="268">
        <f t="shared" si="1"/>
        <v>21.79831429</v>
      </c>
      <c r="D3775" s="268">
        <f t="shared" si="2"/>
        <v>12.3003003</v>
      </c>
    </row>
    <row r="3776" ht="13.5" customHeight="1">
      <c r="B3776" s="268">
        <v>15056.0</v>
      </c>
      <c r="C3776" s="268">
        <f t="shared" si="1"/>
        <v>21.82443729</v>
      </c>
      <c r="D3776" s="268">
        <f t="shared" si="2"/>
        <v>12.3373494</v>
      </c>
    </row>
    <row r="3777" ht="13.5" customHeight="1">
      <c r="B3777" s="268">
        <v>15060.0</v>
      </c>
      <c r="C3777" s="268">
        <f t="shared" si="1"/>
        <v>21.85063908</v>
      </c>
      <c r="D3777" s="268">
        <f t="shared" si="2"/>
        <v>12.37462236</v>
      </c>
    </row>
    <row r="3778" ht="13.5" customHeight="1">
      <c r="B3778" s="268">
        <v>15064.0</v>
      </c>
      <c r="C3778" s="268">
        <f t="shared" si="1"/>
        <v>21.87692016</v>
      </c>
      <c r="D3778" s="268">
        <f t="shared" si="2"/>
        <v>12.41212121</v>
      </c>
    </row>
    <row r="3779" ht="13.5" customHeight="1">
      <c r="B3779" s="268">
        <v>15068.0</v>
      </c>
      <c r="C3779" s="268">
        <f t="shared" si="1"/>
        <v>21.903281</v>
      </c>
      <c r="D3779" s="268">
        <f t="shared" si="2"/>
        <v>12.44984802</v>
      </c>
    </row>
    <row r="3780" ht="13.5" customHeight="1">
      <c r="B3780" s="268">
        <v>15072.0</v>
      </c>
      <c r="C3780" s="268">
        <f t="shared" si="1"/>
        <v>21.92972209</v>
      </c>
      <c r="D3780" s="268">
        <f t="shared" si="2"/>
        <v>12.48780488</v>
      </c>
    </row>
    <row r="3781" ht="13.5" customHeight="1">
      <c r="B3781" s="268">
        <v>15076.0</v>
      </c>
      <c r="C3781" s="268">
        <f t="shared" si="1"/>
        <v>21.95624391</v>
      </c>
      <c r="D3781" s="268">
        <f t="shared" si="2"/>
        <v>12.52599388</v>
      </c>
    </row>
    <row r="3782" ht="13.5" customHeight="1">
      <c r="B3782" s="268">
        <v>15080.0</v>
      </c>
      <c r="C3782" s="268">
        <f t="shared" si="1"/>
        <v>21.98284696</v>
      </c>
      <c r="D3782" s="268">
        <f t="shared" si="2"/>
        <v>12.56441718</v>
      </c>
    </row>
    <row r="3783" ht="13.5" customHeight="1">
      <c r="B3783" s="268">
        <v>15084.0</v>
      </c>
      <c r="C3783" s="268">
        <f t="shared" si="1"/>
        <v>22.00953174</v>
      </c>
      <c r="D3783" s="268">
        <f t="shared" si="2"/>
        <v>12.60307692</v>
      </c>
    </row>
    <row r="3784" ht="13.5" customHeight="1">
      <c r="B3784" s="268">
        <v>15088.0</v>
      </c>
      <c r="C3784" s="268">
        <f t="shared" si="1"/>
        <v>22.03629876</v>
      </c>
      <c r="D3784" s="268">
        <f t="shared" si="2"/>
        <v>12.64197531</v>
      </c>
    </row>
    <row r="3785" ht="13.5" customHeight="1">
      <c r="B3785" s="268">
        <v>15092.0</v>
      </c>
      <c r="C3785" s="268">
        <f t="shared" si="1"/>
        <v>22.06314851</v>
      </c>
      <c r="D3785" s="268">
        <f t="shared" si="2"/>
        <v>12.68111455</v>
      </c>
    </row>
    <row r="3786" ht="13.5" customHeight="1">
      <c r="B3786" s="268">
        <v>15096.0</v>
      </c>
      <c r="C3786" s="268">
        <f t="shared" si="1"/>
        <v>22.09008153</v>
      </c>
      <c r="D3786" s="268">
        <f t="shared" si="2"/>
        <v>12.72049689</v>
      </c>
    </row>
    <row r="3787" ht="13.5" customHeight="1">
      <c r="B3787" s="268">
        <v>15100.0</v>
      </c>
      <c r="C3787" s="268">
        <f t="shared" si="1"/>
        <v>22.11709831</v>
      </c>
      <c r="D3787" s="268">
        <f t="shared" si="2"/>
        <v>12.76012461</v>
      </c>
    </row>
    <row r="3788" ht="13.5" customHeight="1">
      <c r="B3788" s="268">
        <v>15104.0</v>
      </c>
      <c r="C3788" s="268">
        <f t="shared" si="1"/>
        <v>22.14419939</v>
      </c>
      <c r="D3788" s="268">
        <f t="shared" si="2"/>
        <v>12.8</v>
      </c>
    </row>
    <row r="3789" ht="13.5" customHeight="1">
      <c r="B3789" s="268">
        <v>15108.0</v>
      </c>
      <c r="C3789" s="268">
        <f t="shared" si="1"/>
        <v>22.1713853</v>
      </c>
      <c r="D3789" s="268">
        <f t="shared" si="2"/>
        <v>12.84012539</v>
      </c>
    </row>
    <row r="3790" ht="13.5" customHeight="1">
      <c r="B3790" s="268">
        <v>15112.0</v>
      </c>
      <c r="C3790" s="268">
        <f t="shared" si="1"/>
        <v>22.19865656</v>
      </c>
      <c r="D3790" s="268">
        <f t="shared" si="2"/>
        <v>12.88050314</v>
      </c>
    </row>
    <row r="3791" ht="13.5" customHeight="1">
      <c r="B3791" s="268">
        <v>15116.0</v>
      </c>
      <c r="C3791" s="268">
        <f t="shared" si="1"/>
        <v>22.22601372</v>
      </c>
      <c r="D3791" s="268">
        <f t="shared" si="2"/>
        <v>12.92113565</v>
      </c>
    </row>
    <row r="3792" ht="13.5" customHeight="1">
      <c r="B3792" s="268">
        <v>15120.0</v>
      </c>
      <c r="C3792" s="268">
        <f t="shared" si="1"/>
        <v>22.25345731</v>
      </c>
      <c r="D3792" s="268">
        <f t="shared" si="2"/>
        <v>12.96202532</v>
      </c>
    </row>
    <row r="3793" ht="13.5" customHeight="1">
      <c r="B3793" s="268">
        <v>15124.0</v>
      </c>
      <c r="C3793" s="268">
        <f t="shared" si="1"/>
        <v>22.28098788</v>
      </c>
      <c r="D3793" s="268">
        <f t="shared" si="2"/>
        <v>13.0031746</v>
      </c>
    </row>
    <row r="3794" ht="13.5" customHeight="1">
      <c r="B3794" s="268">
        <v>15128.0</v>
      </c>
      <c r="C3794" s="268">
        <f t="shared" si="1"/>
        <v>22.308606</v>
      </c>
      <c r="D3794" s="268">
        <f t="shared" si="2"/>
        <v>13.04458599</v>
      </c>
    </row>
    <row r="3795" ht="13.5" customHeight="1">
      <c r="B3795" s="268">
        <v>15132.0</v>
      </c>
      <c r="C3795" s="268">
        <f t="shared" si="1"/>
        <v>22.33631221</v>
      </c>
      <c r="D3795" s="268">
        <f t="shared" si="2"/>
        <v>13.08626198</v>
      </c>
    </row>
    <row r="3796" ht="13.5" customHeight="1">
      <c r="B3796" s="268">
        <v>15136.0</v>
      </c>
      <c r="C3796" s="268">
        <f t="shared" si="1"/>
        <v>22.36410708</v>
      </c>
      <c r="D3796" s="268">
        <f t="shared" si="2"/>
        <v>13.12820513</v>
      </c>
    </row>
    <row r="3797" ht="13.5" customHeight="1">
      <c r="B3797" s="268">
        <v>15140.0</v>
      </c>
      <c r="C3797" s="268">
        <f t="shared" si="1"/>
        <v>22.39199118</v>
      </c>
      <c r="D3797" s="268">
        <f t="shared" si="2"/>
        <v>13.17041801</v>
      </c>
    </row>
    <row r="3798" ht="13.5" customHeight="1">
      <c r="B3798" s="268">
        <v>15144.0</v>
      </c>
      <c r="C3798" s="268">
        <f t="shared" si="1"/>
        <v>22.41996508</v>
      </c>
      <c r="D3798" s="268">
        <f t="shared" si="2"/>
        <v>13.21290323</v>
      </c>
    </row>
    <row r="3799" ht="13.5" customHeight="1">
      <c r="B3799" s="268">
        <v>15148.0</v>
      </c>
      <c r="C3799" s="268">
        <f t="shared" si="1"/>
        <v>22.44802937</v>
      </c>
      <c r="D3799" s="268">
        <f t="shared" si="2"/>
        <v>13.25566343</v>
      </c>
    </row>
    <row r="3800" ht="13.5" customHeight="1">
      <c r="B3800" s="268">
        <v>15152.0</v>
      </c>
      <c r="C3800" s="268">
        <f t="shared" si="1"/>
        <v>22.47618463</v>
      </c>
      <c r="D3800" s="268">
        <f t="shared" si="2"/>
        <v>13.2987013</v>
      </c>
    </row>
    <row r="3801" ht="13.5" customHeight="1">
      <c r="B3801" s="268">
        <v>15156.0</v>
      </c>
      <c r="C3801" s="268">
        <f t="shared" si="1"/>
        <v>22.50443145</v>
      </c>
      <c r="D3801" s="268">
        <f t="shared" si="2"/>
        <v>13.34201954</v>
      </c>
    </row>
    <row r="3802" ht="13.5" customHeight="1">
      <c r="B3802" s="268">
        <v>15160.0</v>
      </c>
      <c r="C3802" s="268">
        <f t="shared" si="1"/>
        <v>22.53277043</v>
      </c>
      <c r="D3802" s="268">
        <f t="shared" si="2"/>
        <v>13.38562092</v>
      </c>
    </row>
    <row r="3803" ht="13.5" customHeight="1">
      <c r="B3803" s="268">
        <v>15164.0</v>
      </c>
      <c r="C3803" s="268">
        <f t="shared" si="1"/>
        <v>22.56120217</v>
      </c>
      <c r="D3803" s="268">
        <f t="shared" si="2"/>
        <v>13.4295082</v>
      </c>
    </row>
    <row r="3804" ht="13.5" customHeight="1">
      <c r="B3804" s="268">
        <v>15168.0</v>
      </c>
      <c r="C3804" s="268">
        <f t="shared" si="1"/>
        <v>22.58972729</v>
      </c>
      <c r="D3804" s="268">
        <f t="shared" si="2"/>
        <v>13.47368421</v>
      </c>
    </row>
    <row r="3805" ht="13.5" customHeight="1">
      <c r="B3805" s="268">
        <v>15172.0</v>
      </c>
      <c r="C3805" s="268">
        <f t="shared" si="1"/>
        <v>22.61834639</v>
      </c>
      <c r="D3805" s="268">
        <f t="shared" si="2"/>
        <v>13.51815182</v>
      </c>
    </row>
    <row r="3806" ht="13.5" customHeight="1">
      <c r="B3806" s="268">
        <v>15176.0</v>
      </c>
      <c r="C3806" s="268">
        <f t="shared" si="1"/>
        <v>22.6470601</v>
      </c>
      <c r="D3806" s="268">
        <f t="shared" si="2"/>
        <v>13.56291391</v>
      </c>
    </row>
    <row r="3807" ht="13.5" customHeight="1">
      <c r="B3807" s="268">
        <v>15180.0</v>
      </c>
      <c r="C3807" s="268">
        <f t="shared" si="1"/>
        <v>22.67586905</v>
      </c>
      <c r="D3807" s="268">
        <f t="shared" si="2"/>
        <v>13.60797342</v>
      </c>
    </row>
    <row r="3808" ht="13.5" customHeight="1">
      <c r="B3808" s="268">
        <v>15184.0</v>
      </c>
      <c r="C3808" s="268">
        <f t="shared" si="1"/>
        <v>22.70477386</v>
      </c>
      <c r="D3808" s="268">
        <f t="shared" si="2"/>
        <v>13.65333333</v>
      </c>
    </row>
    <row r="3809" ht="13.5" customHeight="1">
      <c r="B3809" s="268">
        <v>15188.0</v>
      </c>
      <c r="C3809" s="268">
        <f t="shared" si="1"/>
        <v>22.73377519</v>
      </c>
      <c r="D3809" s="268">
        <f t="shared" si="2"/>
        <v>13.69899666</v>
      </c>
    </row>
    <row r="3810" ht="13.5" customHeight="1">
      <c r="B3810" s="268">
        <v>15192.0</v>
      </c>
      <c r="C3810" s="268">
        <f t="shared" si="1"/>
        <v>22.76287368</v>
      </c>
      <c r="D3810" s="268">
        <f t="shared" si="2"/>
        <v>13.74496644</v>
      </c>
    </row>
    <row r="3811" ht="13.5" customHeight="1">
      <c r="B3811" s="268">
        <v>15196.0</v>
      </c>
      <c r="C3811" s="268">
        <f t="shared" si="1"/>
        <v>22.79206997</v>
      </c>
      <c r="D3811" s="268">
        <f t="shared" si="2"/>
        <v>13.79124579</v>
      </c>
    </row>
    <row r="3812" ht="13.5" customHeight="1">
      <c r="B3812" s="268">
        <v>15200.0</v>
      </c>
      <c r="C3812" s="268">
        <f t="shared" si="1"/>
        <v>22.82136474</v>
      </c>
      <c r="D3812" s="268">
        <f t="shared" si="2"/>
        <v>13.83783784</v>
      </c>
    </row>
    <row r="3813" ht="13.5" customHeight="1">
      <c r="B3813" s="268">
        <v>15204.0</v>
      </c>
      <c r="C3813" s="268">
        <f t="shared" si="1"/>
        <v>22.85075864</v>
      </c>
      <c r="D3813" s="268">
        <f t="shared" si="2"/>
        <v>13.88474576</v>
      </c>
    </row>
    <row r="3814" ht="13.5" customHeight="1">
      <c r="B3814" s="268">
        <v>15208.0</v>
      </c>
      <c r="C3814" s="268">
        <f t="shared" si="1"/>
        <v>22.88025235</v>
      </c>
      <c r="D3814" s="268">
        <f t="shared" si="2"/>
        <v>13.93197279</v>
      </c>
    </row>
    <row r="3815" ht="13.5" customHeight="1">
      <c r="B3815" s="268">
        <v>15212.0</v>
      </c>
      <c r="C3815" s="268">
        <f t="shared" si="1"/>
        <v>22.90984655</v>
      </c>
      <c r="D3815" s="268">
        <f t="shared" si="2"/>
        <v>13.97952218</v>
      </c>
    </row>
    <row r="3816" ht="13.5" customHeight="1">
      <c r="B3816" s="268">
        <v>15216.0</v>
      </c>
      <c r="C3816" s="268">
        <f t="shared" si="1"/>
        <v>22.93954193</v>
      </c>
      <c r="D3816" s="268">
        <f t="shared" si="2"/>
        <v>14.02739726</v>
      </c>
    </row>
    <row r="3817" ht="13.5" customHeight="1">
      <c r="B3817" s="268">
        <v>15220.0</v>
      </c>
      <c r="C3817" s="268">
        <f t="shared" si="1"/>
        <v>22.96933918</v>
      </c>
      <c r="D3817" s="268">
        <f t="shared" si="2"/>
        <v>14.07560137</v>
      </c>
    </row>
    <row r="3818" ht="13.5" customHeight="1">
      <c r="B3818" s="268">
        <v>15224.0</v>
      </c>
      <c r="C3818" s="268">
        <f t="shared" si="1"/>
        <v>22.999239</v>
      </c>
      <c r="D3818" s="268">
        <f t="shared" si="2"/>
        <v>14.12413793</v>
      </c>
    </row>
    <row r="3819" ht="13.5" customHeight="1">
      <c r="B3819" s="268">
        <v>15228.0</v>
      </c>
      <c r="C3819" s="268">
        <f t="shared" si="1"/>
        <v>23.0292421</v>
      </c>
      <c r="D3819" s="268">
        <f t="shared" si="2"/>
        <v>14.17301038</v>
      </c>
    </row>
    <row r="3820" ht="13.5" customHeight="1">
      <c r="B3820" s="268">
        <v>15232.0</v>
      </c>
      <c r="C3820" s="268">
        <f t="shared" si="1"/>
        <v>23.0593492</v>
      </c>
      <c r="D3820" s="268">
        <f t="shared" si="2"/>
        <v>14.22222222</v>
      </c>
    </row>
    <row r="3821" ht="13.5" customHeight="1">
      <c r="B3821" s="268">
        <v>15236.0</v>
      </c>
      <c r="C3821" s="268">
        <f t="shared" si="1"/>
        <v>23.08956102</v>
      </c>
      <c r="D3821" s="268">
        <f t="shared" si="2"/>
        <v>14.271777</v>
      </c>
    </row>
    <row r="3822" ht="13.5" customHeight="1">
      <c r="B3822" s="268">
        <v>15240.0</v>
      </c>
      <c r="C3822" s="268">
        <f t="shared" si="1"/>
        <v>23.1198783</v>
      </c>
      <c r="D3822" s="268">
        <f t="shared" si="2"/>
        <v>14.32167832</v>
      </c>
    </row>
    <row r="3823" ht="13.5" customHeight="1">
      <c r="B3823" s="268">
        <v>15244.0</v>
      </c>
      <c r="C3823" s="268">
        <f t="shared" si="1"/>
        <v>23.15030176</v>
      </c>
      <c r="D3823" s="268">
        <f t="shared" si="2"/>
        <v>14.37192982</v>
      </c>
    </row>
    <row r="3824" ht="13.5" customHeight="1">
      <c r="B3824" s="268">
        <v>15248.0</v>
      </c>
      <c r="C3824" s="268">
        <f t="shared" si="1"/>
        <v>23.18083216</v>
      </c>
      <c r="D3824" s="268">
        <f t="shared" si="2"/>
        <v>14.42253521</v>
      </c>
    </row>
    <row r="3825" ht="13.5" customHeight="1">
      <c r="B3825" s="268">
        <v>15252.0</v>
      </c>
      <c r="C3825" s="268">
        <f t="shared" si="1"/>
        <v>23.21147025</v>
      </c>
      <c r="D3825" s="268">
        <f t="shared" si="2"/>
        <v>14.47349823</v>
      </c>
    </row>
    <row r="3826" ht="13.5" customHeight="1">
      <c r="B3826" s="268">
        <v>15256.0</v>
      </c>
      <c r="C3826" s="268">
        <f t="shared" si="1"/>
        <v>23.24221679</v>
      </c>
      <c r="D3826" s="268">
        <f t="shared" si="2"/>
        <v>14.5248227</v>
      </c>
    </row>
    <row r="3827" ht="13.5" customHeight="1">
      <c r="B3827" s="268">
        <v>15260.0</v>
      </c>
      <c r="C3827" s="268">
        <f t="shared" si="1"/>
        <v>23.27307256</v>
      </c>
      <c r="D3827" s="268">
        <f t="shared" si="2"/>
        <v>14.57651246</v>
      </c>
    </row>
    <row r="3828" ht="13.5" customHeight="1">
      <c r="B3828" s="268">
        <v>15264.0</v>
      </c>
      <c r="C3828" s="268">
        <f t="shared" si="1"/>
        <v>23.30403833</v>
      </c>
      <c r="D3828" s="268">
        <f t="shared" si="2"/>
        <v>14.62857143</v>
      </c>
    </row>
    <row r="3829" ht="13.5" customHeight="1">
      <c r="B3829" s="268">
        <v>15268.0</v>
      </c>
      <c r="C3829" s="268">
        <f t="shared" si="1"/>
        <v>23.33511489</v>
      </c>
      <c r="D3829" s="268">
        <f t="shared" si="2"/>
        <v>14.68100358</v>
      </c>
    </row>
    <row r="3830" ht="13.5" customHeight="1">
      <c r="B3830" s="268">
        <v>15272.0</v>
      </c>
      <c r="C3830" s="268">
        <f t="shared" si="1"/>
        <v>23.36630304</v>
      </c>
      <c r="D3830" s="268">
        <f t="shared" si="2"/>
        <v>14.73381295</v>
      </c>
    </row>
    <row r="3831" ht="13.5" customHeight="1">
      <c r="B3831" s="268">
        <v>15276.0</v>
      </c>
      <c r="C3831" s="268">
        <f t="shared" si="1"/>
        <v>23.39760358</v>
      </c>
      <c r="D3831" s="268">
        <f t="shared" si="2"/>
        <v>14.78700361</v>
      </c>
    </row>
    <row r="3832" ht="13.5" customHeight="1">
      <c r="B3832" s="268">
        <v>15280.0</v>
      </c>
      <c r="C3832" s="268">
        <f t="shared" si="1"/>
        <v>23.42901732</v>
      </c>
      <c r="D3832" s="268">
        <f t="shared" si="2"/>
        <v>14.84057971</v>
      </c>
    </row>
    <row r="3833" ht="13.5" customHeight="1">
      <c r="B3833" s="268">
        <v>15284.0</v>
      </c>
      <c r="C3833" s="268">
        <f t="shared" si="1"/>
        <v>23.46054508</v>
      </c>
      <c r="D3833" s="268">
        <f t="shared" si="2"/>
        <v>14.89454545</v>
      </c>
    </row>
    <row r="3834" ht="13.5" customHeight="1">
      <c r="B3834" s="268">
        <v>15288.0</v>
      </c>
      <c r="C3834" s="268">
        <f t="shared" si="1"/>
        <v>23.4921877</v>
      </c>
      <c r="D3834" s="268">
        <f t="shared" si="2"/>
        <v>14.94890511</v>
      </c>
    </row>
    <row r="3835" ht="13.5" customHeight="1">
      <c r="B3835" s="268">
        <v>15292.0</v>
      </c>
      <c r="C3835" s="268">
        <f t="shared" si="1"/>
        <v>23.52394602</v>
      </c>
      <c r="D3835" s="268">
        <f t="shared" si="2"/>
        <v>15.003663</v>
      </c>
    </row>
    <row r="3836" ht="13.5" customHeight="1">
      <c r="B3836" s="268">
        <v>15296.0</v>
      </c>
      <c r="C3836" s="268">
        <f t="shared" si="1"/>
        <v>23.55582088</v>
      </c>
      <c r="D3836" s="268">
        <f t="shared" si="2"/>
        <v>15.05882353</v>
      </c>
    </row>
    <row r="3837" ht="13.5" customHeight="1">
      <c r="B3837" s="268">
        <v>15300.0</v>
      </c>
      <c r="C3837" s="268">
        <f t="shared" si="1"/>
        <v>23.58781314</v>
      </c>
      <c r="D3837" s="268">
        <f t="shared" si="2"/>
        <v>15.11439114</v>
      </c>
    </row>
    <row r="3838" ht="13.5" customHeight="1">
      <c r="B3838" s="268">
        <v>15304.0</v>
      </c>
      <c r="C3838" s="268">
        <f t="shared" si="1"/>
        <v>23.61992368</v>
      </c>
      <c r="D3838" s="268">
        <f t="shared" si="2"/>
        <v>15.17037037</v>
      </c>
    </row>
    <row r="3839" ht="13.5" customHeight="1">
      <c r="B3839" s="268">
        <v>15308.0</v>
      </c>
      <c r="C3839" s="268">
        <f t="shared" si="1"/>
        <v>23.65215336</v>
      </c>
      <c r="D3839" s="268">
        <f t="shared" si="2"/>
        <v>15.2267658</v>
      </c>
    </row>
    <row r="3840" ht="13.5" customHeight="1">
      <c r="B3840" s="268">
        <v>15312.0</v>
      </c>
      <c r="C3840" s="268">
        <f t="shared" si="1"/>
        <v>23.68450308</v>
      </c>
      <c r="D3840" s="268">
        <f t="shared" si="2"/>
        <v>15.28358209</v>
      </c>
    </row>
    <row r="3841" ht="13.5" customHeight="1">
      <c r="B3841" s="268">
        <v>15316.0</v>
      </c>
      <c r="C3841" s="268">
        <f t="shared" si="1"/>
        <v>23.71697373</v>
      </c>
      <c r="D3841" s="268">
        <f t="shared" si="2"/>
        <v>15.34082397</v>
      </c>
    </row>
    <row r="3842" ht="13.5" customHeight="1">
      <c r="B3842" s="268">
        <v>15320.0</v>
      </c>
      <c r="C3842" s="268">
        <f t="shared" si="1"/>
        <v>23.74956623</v>
      </c>
      <c r="D3842" s="268">
        <f t="shared" si="2"/>
        <v>15.39849624</v>
      </c>
    </row>
    <row r="3843" ht="13.5" customHeight="1">
      <c r="B3843" s="268">
        <v>15324.0</v>
      </c>
      <c r="C3843" s="268">
        <f t="shared" si="1"/>
        <v>23.78228148</v>
      </c>
      <c r="D3843" s="268">
        <f t="shared" si="2"/>
        <v>15.45660377</v>
      </c>
    </row>
    <row r="3844" ht="13.5" customHeight="1">
      <c r="B3844" s="268">
        <v>15328.0</v>
      </c>
      <c r="C3844" s="268">
        <f t="shared" si="1"/>
        <v>23.81512042</v>
      </c>
      <c r="D3844" s="268">
        <f t="shared" si="2"/>
        <v>15.51515152</v>
      </c>
    </row>
    <row r="3845" ht="13.5" customHeight="1">
      <c r="B3845" s="268">
        <v>15332.0</v>
      </c>
      <c r="C3845" s="268">
        <f t="shared" si="1"/>
        <v>23.84808399</v>
      </c>
      <c r="D3845" s="268">
        <f t="shared" si="2"/>
        <v>15.57414449</v>
      </c>
    </row>
    <row r="3846" ht="13.5" customHeight="1">
      <c r="B3846" s="268">
        <v>15336.0</v>
      </c>
      <c r="C3846" s="268">
        <f t="shared" si="1"/>
        <v>23.88117313</v>
      </c>
      <c r="D3846" s="268">
        <f t="shared" si="2"/>
        <v>15.63358779</v>
      </c>
    </row>
    <row r="3847" ht="13.5" customHeight="1">
      <c r="B3847" s="268">
        <v>15340.0</v>
      </c>
      <c r="C3847" s="268">
        <f t="shared" si="1"/>
        <v>23.91438881</v>
      </c>
      <c r="D3847" s="268">
        <f t="shared" si="2"/>
        <v>15.69348659</v>
      </c>
    </row>
    <row r="3848" ht="13.5" customHeight="1">
      <c r="B3848" s="268">
        <v>15344.0</v>
      </c>
      <c r="C3848" s="268">
        <f t="shared" si="1"/>
        <v>23.947732</v>
      </c>
      <c r="D3848" s="268">
        <f t="shared" si="2"/>
        <v>15.75384615</v>
      </c>
    </row>
    <row r="3849" ht="13.5" customHeight="1">
      <c r="B3849" s="268">
        <v>15348.0</v>
      </c>
      <c r="C3849" s="268">
        <f t="shared" si="1"/>
        <v>23.98120368</v>
      </c>
      <c r="D3849" s="268">
        <f t="shared" si="2"/>
        <v>15.81467181</v>
      </c>
    </row>
    <row r="3850" ht="13.5" customHeight="1">
      <c r="B3850" s="268">
        <v>15352.0</v>
      </c>
      <c r="C3850" s="268">
        <f t="shared" si="1"/>
        <v>24.01480484</v>
      </c>
      <c r="D3850" s="268">
        <f t="shared" si="2"/>
        <v>15.87596899</v>
      </c>
    </row>
    <row r="3851" ht="13.5" customHeight="1">
      <c r="B3851" s="268">
        <v>15356.0</v>
      </c>
      <c r="C3851" s="268">
        <f t="shared" si="1"/>
        <v>24.04853649</v>
      </c>
      <c r="D3851" s="268">
        <f t="shared" si="2"/>
        <v>15.93774319</v>
      </c>
    </row>
    <row r="3852" ht="13.5" customHeight="1">
      <c r="B3852" s="268">
        <v>15360.0</v>
      </c>
      <c r="C3852" s="268">
        <f t="shared" si="1"/>
        <v>24.08239965</v>
      </c>
      <c r="D3852" s="268">
        <f t="shared" si="2"/>
        <v>16</v>
      </c>
    </row>
    <row r="3853" ht="13.5" customHeight="1">
      <c r="B3853" s="268">
        <v>15364.0</v>
      </c>
      <c r="C3853" s="268">
        <f t="shared" si="1"/>
        <v>24.11639535</v>
      </c>
      <c r="D3853" s="268">
        <f t="shared" si="2"/>
        <v>16.0627451</v>
      </c>
    </row>
    <row r="3854" ht="13.5" customHeight="1">
      <c r="B3854" s="268">
        <v>15368.0</v>
      </c>
      <c r="C3854" s="268">
        <f t="shared" si="1"/>
        <v>24.15052463</v>
      </c>
      <c r="D3854" s="268">
        <f t="shared" si="2"/>
        <v>16.12598425</v>
      </c>
    </row>
    <row r="3855" ht="13.5" customHeight="1">
      <c r="B3855" s="268">
        <v>15372.0</v>
      </c>
      <c r="C3855" s="268">
        <f t="shared" si="1"/>
        <v>24.18478854</v>
      </c>
      <c r="D3855" s="268">
        <f t="shared" si="2"/>
        <v>16.18972332</v>
      </c>
    </row>
    <row r="3856" ht="13.5" customHeight="1">
      <c r="B3856" s="268">
        <v>15376.0</v>
      </c>
      <c r="C3856" s="268">
        <f t="shared" si="1"/>
        <v>24.21918814</v>
      </c>
      <c r="D3856" s="268">
        <f t="shared" si="2"/>
        <v>16.25396825</v>
      </c>
    </row>
    <row r="3857" ht="13.5" customHeight="1">
      <c r="B3857" s="268">
        <v>15380.0</v>
      </c>
      <c r="C3857" s="268">
        <f t="shared" si="1"/>
        <v>24.25372453</v>
      </c>
      <c r="D3857" s="268">
        <f t="shared" si="2"/>
        <v>16.3187251</v>
      </c>
    </row>
    <row r="3858" ht="13.5" customHeight="1">
      <c r="B3858" s="268">
        <v>15384.0</v>
      </c>
      <c r="C3858" s="268">
        <f t="shared" si="1"/>
        <v>24.28839879</v>
      </c>
      <c r="D3858" s="268">
        <f t="shared" si="2"/>
        <v>16.384</v>
      </c>
    </row>
    <row r="3859" ht="13.5" customHeight="1">
      <c r="B3859" s="268">
        <v>15388.0</v>
      </c>
      <c r="C3859" s="268">
        <f t="shared" si="1"/>
        <v>24.32321202</v>
      </c>
      <c r="D3859" s="268">
        <f t="shared" si="2"/>
        <v>16.4497992</v>
      </c>
    </row>
    <row r="3860" ht="13.5" customHeight="1">
      <c r="B3860" s="268">
        <v>15392.0</v>
      </c>
      <c r="C3860" s="268">
        <f t="shared" si="1"/>
        <v>24.35816534</v>
      </c>
      <c r="D3860" s="268">
        <f t="shared" si="2"/>
        <v>16.51612903</v>
      </c>
    </row>
    <row r="3861" ht="13.5" customHeight="1">
      <c r="B3861" s="268">
        <v>15396.0</v>
      </c>
      <c r="C3861" s="268">
        <f t="shared" si="1"/>
        <v>24.39325989</v>
      </c>
      <c r="D3861" s="268">
        <f t="shared" si="2"/>
        <v>16.58299595</v>
      </c>
    </row>
    <row r="3862" ht="13.5" customHeight="1">
      <c r="B3862" s="268">
        <v>15400.0</v>
      </c>
      <c r="C3862" s="268">
        <f t="shared" si="1"/>
        <v>24.42849682</v>
      </c>
      <c r="D3862" s="268">
        <f t="shared" si="2"/>
        <v>16.6504065</v>
      </c>
    </row>
    <row r="3863" ht="13.5" customHeight="1">
      <c r="B3863" s="268">
        <v>15404.0</v>
      </c>
      <c r="C3863" s="268">
        <f t="shared" si="1"/>
        <v>24.46387727</v>
      </c>
      <c r="D3863" s="268">
        <f t="shared" si="2"/>
        <v>16.71836735</v>
      </c>
    </row>
    <row r="3864" ht="13.5" customHeight="1">
      <c r="B3864" s="268">
        <v>15408.0</v>
      </c>
      <c r="C3864" s="268">
        <f t="shared" si="1"/>
        <v>24.49940243</v>
      </c>
      <c r="D3864" s="268">
        <f t="shared" si="2"/>
        <v>16.78688525</v>
      </c>
    </row>
    <row r="3865" ht="13.5" customHeight="1">
      <c r="B3865" s="268">
        <v>15412.0</v>
      </c>
      <c r="C3865" s="268">
        <f t="shared" si="1"/>
        <v>24.53507349</v>
      </c>
      <c r="D3865" s="268">
        <f t="shared" si="2"/>
        <v>16.85596708</v>
      </c>
    </row>
    <row r="3866" ht="13.5" customHeight="1">
      <c r="B3866" s="268">
        <v>15416.0</v>
      </c>
      <c r="C3866" s="268">
        <f t="shared" si="1"/>
        <v>24.57089164</v>
      </c>
      <c r="D3866" s="268">
        <f t="shared" si="2"/>
        <v>16.92561983</v>
      </c>
    </row>
    <row r="3867" ht="13.5" customHeight="1">
      <c r="B3867" s="268">
        <v>15420.0</v>
      </c>
      <c r="C3867" s="268">
        <f t="shared" si="1"/>
        <v>24.60685811</v>
      </c>
      <c r="D3867" s="268">
        <f t="shared" si="2"/>
        <v>16.99585062</v>
      </c>
    </row>
    <row r="3868" ht="13.5" customHeight="1">
      <c r="B3868" s="268">
        <v>15424.0</v>
      </c>
      <c r="C3868" s="268">
        <f t="shared" si="1"/>
        <v>24.64297413</v>
      </c>
      <c r="D3868" s="268">
        <f t="shared" si="2"/>
        <v>17.06666667</v>
      </c>
    </row>
    <row r="3869" ht="13.5" customHeight="1">
      <c r="B3869" s="268">
        <v>15428.0</v>
      </c>
      <c r="C3869" s="268">
        <f t="shared" si="1"/>
        <v>24.67924094</v>
      </c>
      <c r="D3869" s="268">
        <f t="shared" si="2"/>
        <v>17.13807531</v>
      </c>
    </row>
    <row r="3870" ht="13.5" customHeight="1">
      <c r="B3870" s="268">
        <v>15432.0</v>
      </c>
      <c r="C3870" s="268">
        <f t="shared" si="1"/>
        <v>24.71565982</v>
      </c>
      <c r="D3870" s="268">
        <f t="shared" si="2"/>
        <v>17.21008403</v>
      </c>
    </row>
    <row r="3871" ht="13.5" customHeight="1">
      <c r="B3871" s="268">
        <v>15436.0</v>
      </c>
      <c r="C3871" s="268">
        <f t="shared" si="1"/>
        <v>24.75223204</v>
      </c>
      <c r="D3871" s="268">
        <f t="shared" si="2"/>
        <v>17.28270042</v>
      </c>
    </row>
    <row r="3872" ht="13.5" customHeight="1">
      <c r="B3872" s="268">
        <v>15440.0</v>
      </c>
      <c r="C3872" s="268">
        <f t="shared" si="1"/>
        <v>24.7889589</v>
      </c>
      <c r="D3872" s="268">
        <f t="shared" si="2"/>
        <v>17.3559322</v>
      </c>
    </row>
    <row r="3873" ht="13.5" customHeight="1">
      <c r="B3873" s="268">
        <v>15444.0</v>
      </c>
      <c r="C3873" s="268">
        <f t="shared" si="1"/>
        <v>24.82584171</v>
      </c>
      <c r="D3873" s="268">
        <f t="shared" si="2"/>
        <v>17.42978723</v>
      </c>
    </row>
    <row r="3874" ht="13.5" customHeight="1">
      <c r="B3874" s="268">
        <v>15448.0</v>
      </c>
      <c r="C3874" s="268">
        <f t="shared" si="1"/>
        <v>24.86288181</v>
      </c>
      <c r="D3874" s="268">
        <f t="shared" si="2"/>
        <v>17.5042735</v>
      </c>
    </row>
    <row r="3875" ht="13.5" customHeight="1">
      <c r="B3875" s="268">
        <v>15452.0</v>
      </c>
      <c r="C3875" s="268">
        <f t="shared" si="1"/>
        <v>24.90008054</v>
      </c>
      <c r="D3875" s="268">
        <f t="shared" si="2"/>
        <v>17.57939914</v>
      </c>
    </row>
    <row r="3876" ht="13.5" customHeight="1">
      <c r="B3876" s="268">
        <v>15456.0</v>
      </c>
      <c r="C3876" s="268">
        <f t="shared" si="1"/>
        <v>24.93743926</v>
      </c>
      <c r="D3876" s="268">
        <f t="shared" si="2"/>
        <v>17.65517241</v>
      </c>
    </row>
    <row r="3877" ht="13.5" customHeight="1">
      <c r="B3877" s="268">
        <v>15460.0</v>
      </c>
      <c r="C3877" s="268">
        <f t="shared" si="1"/>
        <v>24.97495936</v>
      </c>
      <c r="D3877" s="268">
        <f t="shared" si="2"/>
        <v>17.73160173</v>
      </c>
    </row>
    <row r="3878" ht="13.5" customHeight="1">
      <c r="B3878" s="268">
        <v>15464.0</v>
      </c>
      <c r="C3878" s="268">
        <f t="shared" si="1"/>
        <v>25.01264224</v>
      </c>
      <c r="D3878" s="268">
        <f t="shared" si="2"/>
        <v>17.80869565</v>
      </c>
    </row>
    <row r="3879" ht="13.5" customHeight="1">
      <c r="B3879" s="268">
        <v>15468.0</v>
      </c>
      <c r="C3879" s="268">
        <f t="shared" si="1"/>
        <v>25.05048931</v>
      </c>
      <c r="D3879" s="268">
        <f t="shared" si="2"/>
        <v>17.88646288</v>
      </c>
    </row>
    <row r="3880" ht="13.5" customHeight="1">
      <c r="B3880" s="268">
        <v>15472.0</v>
      </c>
      <c r="C3880" s="268">
        <f t="shared" si="1"/>
        <v>25.08850202</v>
      </c>
      <c r="D3880" s="268">
        <f t="shared" si="2"/>
        <v>17.96491228</v>
      </c>
    </row>
    <row r="3881" ht="13.5" customHeight="1">
      <c r="B3881" s="268">
        <v>15476.0</v>
      </c>
      <c r="C3881" s="268">
        <f t="shared" si="1"/>
        <v>25.12668182</v>
      </c>
      <c r="D3881" s="268">
        <f t="shared" si="2"/>
        <v>18.04405286</v>
      </c>
    </row>
    <row r="3882" ht="13.5" customHeight="1">
      <c r="B3882" s="268">
        <v>15480.0</v>
      </c>
      <c r="C3882" s="268">
        <f t="shared" si="1"/>
        <v>25.16503018</v>
      </c>
      <c r="D3882" s="268">
        <f t="shared" si="2"/>
        <v>18.12389381</v>
      </c>
    </row>
    <row r="3883" ht="13.5" customHeight="1">
      <c r="B3883" s="268">
        <v>15484.0</v>
      </c>
      <c r="C3883" s="268">
        <f t="shared" si="1"/>
        <v>25.2035486</v>
      </c>
      <c r="D3883" s="268">
        <f t="shared" si="2"/>
        <v>18.20444444</v>
      </c>
    </row>
    <row r="3884" ht="13.5" customHeight="1">
      <c r="B3884" s="268">
        <v>15488.0</v>
      </c>
      <c r="C3884" s="268">
        <f t="shared" si="1"/>
        <v>25.24223859</v>
      </c>
      <c r="D3884" s="268">
        <f t="shared" si="2"/>
        <v>18.28571429</v>
      </c>
    </row>
    <row r="3885" ht="13.5" customHeight="1">
      <c r="B3885" s="268">
        <v>15492.0</v>
      </c>
      <c r="C3885" s="268">
        <f t="shared" si="1"/>
        <v>25.2811017</v>
      </c>
      <c r="D3885" s="268">
        <f t="shared" si="2"/>
        <v>18.367713</v>
      </c>
    </row>
    <row r="3886" ht="13.5" customHeight="1">
      <c r="B3886" s="268">
        <v>15496.0</v>
      </c>
      <c r="C3886" s="268">
        <f t="shared" si="1"/>
        <v>25.32013947</v>
      </c>
      <c r="D3886" s="268">
        <f t="shared" si="2"/>
        <v>18.45045045</v>
      </c>
    </row>
    <row r="3887" ht="13.5" customHeight="1">
      <c r="B3887" s="268">
        <v>15500.0</v>
      </c>
      <c r="C3887" s="268">
        <f t="shared" si="1"/>
        <v>25.35935349</v>
      </c>
      <c r="D3887" s="268">
        <f t="shared" si="2"/>
        <v>18.53393665</v>
      </c>
    </row>
    <row r="3888" ht="13.5" customHeight="1">
      <c r="B3888" s="268">
        <v>15504.0</v>
      </c>
      <c r="C3888" s="268">
        <f t="shared" si="1"/>
        <v>25.39874534</v>
      </c>
      <c r="D3888" s="268">
        <f t="shared" si="2"/>
        <v>18.61818182</v>
      </c>
    </row>
    <row r="3889" ht="13.5" customHeight="1">
      <c r="B3889" s="268">
        <v>15508.0</v>
      </c>
      <c r="C3889" s="268">
        <f t="shared" si="1"/>
        <v>25.43831666</v>
      </c>
      <c r="D3889" s="268">
        <f t="shared" si="2"/>
        <v>18.70319635</v>
      </c>
    </row>
    <row r="3890" ht="13.5" customHeight="1">
      <c r="B3890" s="268">
        <v>15512.0</v>
      </c>
      <c r="C3890" s="268">
        <f t="shared" si="1"/>
        <v>25.47806909</v>
      </c>
      <c r="D3890" s="268">
        <f t="shared" si="2"/>
        <v>18.78899083</v>
      </c>
    </row>
    <row r="3891" ht="13.5" customHeight="1">
      <c r="B3891" s="268">
        <v>15516.0</v>
      </c>
      <c r="C3891" s="268">
        <f t="shared" si="1"/>
        <v>25.51800428</v>
      </c>
      <c r="D3891" s="268">
        <f t="shared" si="2"/>
        <v>18.87557604</v>
      </c>
    </row>
    <row r="3892" ht="13.5" customHeight="1">
      <c r="B3892" s="268">
        <v>15520.0</v>
      </c>
      <c r="C3892" s="268">
        <f t="shared" si="1"/>
        <v>25.55812394</v>
      </c>
      <c r="D3892" s="268">
        <f t="shared" si="2"/>
        <v>18.96296296</v>
      </c>
    </row>
    <row r="3893" ht="13.5" customHeight="1">
      <c r="B3893" s="268">
        <v>15524.0</v>
      </c>
      <c r="C3893" s="268">
        <f t="shared" si="1"/>
        <v>25.59842976</v>
      </c>
      <c r="D3893" s="268">
        <f t="shared" si="2"/>
        <v>19.05116279</v>
      </c>
    </row>
    <row r="3894" ht="13.5" customHeight="1">
      <c r="B3894" s="268">
        <v>15528.0</v>
      </c>
      <c r="C3894" s="268">
        <f t="shared" si="1"/>
        <v>25.63892349</v>
      </c>
      <c r="D3894" s="268">
        <f t="shared" si="2"/>
        <v>19.14018692</v>
      </c>
    </row>
    <row r="3895" ht="13.5" customHeight="1">
      <c r="B3895" s="268">
        <v>15532.0</v>
      </c>
      <c r="C3895" s="268">
        <f t="shared" si="1"/>
        <v>25.67960689</v>
      </c>
      <c r="D3895" s="268">
        <f t="shared" si="2"/>
        <v>19.23004695</v>
      </c>
    </row>
    <row r="3896" ht="13.5" customHeight="1">
      <c r="B3896" s="268">
        <v>15536.0</v>
      </c>
      <c r="C3896" s="268">
        <f t="shared" si="1"/>
        <v>25.72048174</v>
      </c>
      <c r="D3896" s="268">
        <f t="shared" si="2"/>
        <v>19.32075472</v>
      </c>
    </row>
    <row r="3897" ht="13.5" customHeight="1">
      <c r="B3897" s="268">
        <v>15540.0</v>
      </c>
      <c r="C3897" s="268">
        <f t="shared" si="1"/>
        <v>25.76154985</v>
      </c>
      <c r="D3897" s="268">
        <f t="shared" si="2"/>
        <v>19.41232227</v>
      </c>
    </row>
    <row r="3898" ht="13.5" customHeight="1">
      <c r="B3898" s="268">
        <v>15544.0</v>
      </c>
      <c r="C3898" s="268">
        <f t="shared" si="1"/>
        <v>25.80281306</v>
      </c>
      <c r="D3898" s="268">
        <f t="shared" si="2"/>
        <v>19.5047619</v>
      </c>
    </row>
    <row r="3899" ht="13.5" customHeight="1">
      <c r="B3899" s="268">
        <v>15548.0</v>
      </c>
      <c r="C3899" s="268">
        <f t="shared" si="1"/>
        <v>25.84427324</v>
      </c>
      <c r="D3899" s="268">
        <f t="shared" si="2"/>
        <v>19.59808612</v>
      </c>
    </row>
    <row r="3900" ht="13.5" customHeight="1">
      <c r="B3900" s="268">
        <v>15552.0</v>
      </c>
      <c r="C3900" s="268">
        <f t="shared" si="1"/>
        <v>25.88593226</v>
      </c>
      <c r="D3900" s="268">
        <f t="shared" si="2"/>
        <v>19.69230769</v>
      </c>
    </row>
    <row r="3901" ht="13.5" customHeight="1">
      <c r="B3901" s="268">
        <v>15556.0</v>
      </c>
      <c r="C3901" s="268">
        <f t="shared" si="1"/>
        <v>25.92779205</v>
      </c>
      <c r="D3901" s="268">
        <f t="shared" si="2"/>
        <v>19.78743961</v>
      </c>
    </row>
    <row r="3902" ht="13.5" customHeight="1">
      <c r="B3902" s="268">
        <v>15560.0</v>
      </c>
      <c r="C3902" s="268">
        <f t="shared" si="1"/>
        <v>25.96985455</v>
      </c>
      <c r="D3902" s="268">
        <f t="shared" si="2"/>
        <v>19.88349515</v>
      </c>
    </row>
    <row r="3903" ht="13.5" customHeight="1">
      <c r="B3903" s="268">
        <v>15564.0</v>
      </c>
      <c r="C3903" s="268">
        <f t="shared" si="1"/>
        <v>26.01212174</v>
      </c>
      <c r="D3903" s="268">
        <f t="shared" si="2"/>
        <v>19.9804878</v>
      </c>
    </row>
    <row r="3904" ht="13.5" customHeight="1">
      <c r="B3904" s="268">
        <v>15568.0</v>
      </c>
      <c r="C3904" s="268">
        <f t="shared" si="1"/>
        <v>26.05459561</v>
      </c>
      <c r="D3904" s="268">
        <f t="shared" si="2"/>
        <v>20.07843137</v>
      </c>
    </row>
    <row r="3905" ht="13.5" customHeight="1">
      <c r="B3905" s="268">
        <v>15572.0</v>
      </c>
      <c r="C3905" s="268">
        <f t="shared" si="1"/>
        <v>26.0972782</v>
      </c>
      <c r="D3905" s="268">
        <f t="shared" si="2"/>
        <v>20.1773399</v>
      </c>
    </row>
    <row r="3906" ht="13.5" customHeight="1">
      <c r="B3906" s="268">
        <v>15576.0</v>
      </c>
      <c r="C3906" s="268">
        <f t="shared" si="1"/>
        <v>26.14017157</v>
      </c>
      <c r="D3906" s="268">
        <f t="shared" si="2"/>
        <v>20.27722772</v>
      </c>
    </row>
    <row r="3907" ht="13.5" customHeight="1">
      <c r="B3907" s="268">
        <v>15580.0</v>
      </c>
      <c r="C3907" s="268">
        <f t="shared" si="1"/>
        <v>26.18327781</v>
      </c>
      <c r="D3907" s="268">
        <f t="shared" si="2"/>
        <v>20.37810945</v>
      </c>
    </row>
    <row r="3908" ht="13.5" customHeight="1">
      <c r="B3908" s="268">
        <v>15584.0</v>
      </c>
      <c r="C3908" s="268">
        <f t="shared" si="1"/>
        <v>26.22659905</v>
      </c>
      <c r="D3908" s="268">
        <f t="shared" si="2"/>
        <v>20.48</v>
      </c>
    </row>
    <row r="3909" ht="13.5" customHeight="1">
      <c r="B3909" s="268">
        <v>15588.0</v>
      </c>
      <c r="C3909" s="268">
        <f t="shared" si="1"/>
        <v>26.27013743</v>
      </c>
      <c r="D3909" s="268">
        <f t="shared" si="2"/>
        <v>20.58291457</v>
      </c>
    </row>
    <row r="3910" ht="13.5" customHeight="1">
      <c r="B3910" s="268">
        <v>15592.0</v>
      </c>
      <c r="C3910" s="268">
        <f t="shared" si="1"/>
        <v>26.31389515</v>
      </c>
      <c r="D3910" s="268">
        <f t="shared" si="2"/>
        <v>20.68686869</v>
      </c>
    </row>
    <row r="3911" ht="13.5" customHeight="1">
      <c r="B3911" s="268">
        <v>15596.0</v>
      </c>
      <c r="C3911" s="268">
        <f t="shared" si="1"/>
        <v>26.35787444</v>
      </c>
      <c r="D3911" s="268">
        <f t="shared" si="2"/>
        <v>20.79187817</v>
      </c>
    </row>
    <row r="3912" ht="13.5" customHeight="1">
      <c r="B3912" s="268">
        <v>15600.0</v>
      </c>
      <c r="C3912" s="268">
        <f t="shared" si="1"/>
        <v>26.40207753</v>
      </c>
      <c r="D3912" s="268">
        <f t="shared" si="2"/>
        <v>20.89795918</v>
      </c>
    </row>
    <row r="3913" ht="13.5" customHeight="1">
      <c r="B3913" s="268">
        <v>15604.0</v>
      </c>
      <c r="C3913" s="268">
        <f t="shared" si="1"/>
        <v>26.44650673</v>
      </c>
      <c r="D3913" s="268">
        <f t="shared" si="2"/>
        <v>21.00512821</v>
      </c>
    </row>
    <row r="3914" ht="13.5" customHeight="1">
      <c r="B3914" s="268">
        <v>15608.0</v>
      </c>
      <c r="C3914" s="268">
        <f t="shared" si="1"/>
        <v>26.49116436</v>
      </c>
      <c r="D3914" s="268">
        <f t="shared" si="2"/>
        <v>21.11340206</v>
      </c>
    </row>
    <row r="3915" ht="13.5" customHeight="1">
      <c r="B3915" s="268">
        <v>15612.0</v>
      </c>
      <c r="C3915" s="268">
        <f t="shared" si="1"/>
        <v>26.53605278</v>
      </c>
      <c r="D3915" s="268">
        <f t="shared" si="2"/>
        <v>21.22279793</v>
      </c>
    </row>
    <row r="3916" ht="13.5" customHeight="1">
      <c r="B3916" s="268">
        <v>15616.0</v>
      </c>
      <c r="C3916" s="268">
        <f t="shared" si="1"/>
        <v>26.58117439</v>
      </c>
      <c r="D3916" s="268">
        <f t="shared" si="2"/>
        <v>21.33333333</v>
      </c>
    </row>
    <row r="3917" ht="13.5" customHeight="1">
      <c r="B3917" s="268">
        <v>15620.0</v>
      </c>
      <c r="C3917" s="268">
        <f t="shared" si="1"/>
        <v>26.62653161</v>
      </c>
      <c r="D3917" s="268">
        <f t="shared" si="2"/>
        <v>21.44502618</v>
      </c>
    </row>
    <row r="3918" ht="13.5" customHeight="1">
      <c r="B3918" s="268">
        <v>15624.0</v>
      </c>
      <c r="C3918" s="268">
        <f t="shared" si="1"/>
        <v>26.67212694</v>
      </c>
      <c r="D3918" s="268">
        <f t="shared" si="2"/>
        <v>21.55789474</v>
      </c>
    </row>
    <row r="3919" ht="13.5" customHeight="1">
      <c r="B3919" s="268">
        <v>15628.0</v>
      </c>
      <c r="C3919" s="268">
        <f t="shared" si="1"/>
        <v>26.71796288</v>
      </c>
      <c r="D3919" s="268">
        <f t="shared" si="2"/>
        <v>21.67195767</v>
      </c>
    </row>
    <row r="3920" ht="13.5" customHeight="1">
      <c r="B3920" s="268">
        <v>15632.0</v>
      </c>
      <c r="C3920" s="268">
        <f t="shared" si="1"/>
        <v>26.76404197</v>
      </c>
      <c r="D3920" s="268">
        <f t="shared" si="2"/>
        <v>21.78723404</v>
      </c>
    </row>
    <row r="3921" ht="13.5" customHeight="1">
      <c r="B3921" s="268">
        <v>15636.0</v>
      </c>
      <c r="C3921" s="268">
        <f t="shared" si="1"/>
        <v>26.81036683</v>
      </c>
      <c r="D3921" s="268">
        <f t="shared" si="2"/>
        <v>21.90374332</v>
      </c>
    </row>
    <row r="3922" ht="13.5" customHeight="1">
      <c r="B3922" s="268">
        <v>15640.0</v>
      </c>
      <c r="C3922" s="268">
        <f t="shared" si="1"/>
        <v>26.85694007</v>
      </c>
      <c r="D3922" s="268">
        <f t="shared" si="2"/>
        <v>22.02150538</v>
      </c>
    </row>
    <row r="3923" ht="13.5" customHeight="1">
      <c r="B3923" s="268">
        <v>15644.0</v>
      </c>
      <c r="C3923" s="268">
        <f t="shared" si="1"/>
        <v>26.90376439</v>
      </c>
      <c r="D3923" s="268">
        <f t="shared" si="2"/>
        <v>22.14054054</v>
      </c>
    </row>
    <row r="3924" ht="13.5" customHeight="1">
      <c r="B3924" s="268">
        <v>15648.0</v>
      </c>
      <c r="C3924" s="268">
        <f t="shared" si="1"/>
        <v>26.9508425</v>
      </c>
      <c r="D3924" s="268">
        <f t="shared" si="2"/>
        <v>22.26086957</v>
      </c>
    </row>
    <row r="3925" ht="13.5" customHeight="1">
      <c r="B3925" s="268">
        <v>15652.0</v>
      </c>
      <c r="C3925" s="268">
        <f t="shared" si="1"/>
        <v>26.99817716</v>
      </c>
      <c r="D3925" s="268">
        <f t="shared" si="2"/>
        <v>22.38251366</v>
      </c>
    </row>
    <row r="3926" ht="13.5" customHeight="1">
      <c r="B3926" s="268">
        <v>15656.0</v>
      </c>
      <c r="C3926" s="268">
        <f t="shared" si="1"/>
        <v>27.0457712</v>
      </c>
      <c r="D3926" s="268">
        <f t="shared" si="2"/>
        <v>22.50549451</v>
      </c>
    </row>
    <row r="3927" ht="13.5" customHeight="1">
      <c r="B3927" s="268">
        <v>15660.0</v>
      </c>
      <c r="C3927" s="268">
        <f t="shared" si="1"/>
        <v>27.09362746</v>
      </c>
      <c r="D3927" s="268">
        <f t="shared" si="2"/>
        <v>22.62983425</v>
      </c>
    </row>
    <row r="3928" ht="13.5" customHeight="1">
      <c r="B3928" s="268">
        <v>15664.0</v>
      </c>
      <c r="C3928" s="268">
        <f t="shared" si="1"/>
        <v>27.14174886</v>
      </c>
      <c r="D3928" s="268">
        <f t="shared" si="2"/>
        <v>22.75555556</v>
      </c>
    </row>
    <row r="3929" ht="13.5" customHeight="1">
      <c r="B3929" s="268">
        <v>15668.0</v>
      </c>
      <c r="C3929" s="268">
        <f t="shared" si="1"/>
        <v>27.19013834</v>
      </c>
      <c r="D3929" s="268">
        <f t="shared" si="2"/>
        <v>22.88268156</v>
      </c>
    </row>
    <row r="3930" ht="13.5" customHeight="1">
      <c r="B3930" s="268">
        <v>15672.0</v>
      </c>
      <c r="C3930" s="268">
        <f t="shared" si="1"/>
        <v>27.23879891</v>
      </c>
      <c r="D3930" s="268">
        <f t="shared" si="2"/>
        <v>23.01123596</v>
      </c>
    </row>
    <row r="3931" ht="13.5" customHeight="1">
      <c r="B3931" s="268">
        <v>15676.0</v>
      </c>
      <c r="C3931" s="268">
        <f t="shared" si="1"/>
        <v>27.28773363</v>
      </c>
      <c r="D3931" s="268">
        <f t="shared" si="2"/>
        <v>23.14124294</v>
      </c>
    </row>
    <row r="3932" ht="13.5" customHeight="1">
      <c r="B3932" s="268">
        <v>15680.0</v>
      </c>
      <c r="C3932" s="268">
        <f t="shared" si="1"/>
        <v>27.3369456</v>
      </c>
      <c r="D3932" s="268">
        <f t="shared" si="2"/>
        <v>23.27272727</v>
      </c>
    </row>
    <row r="3933" ht="13.5" customHeight="1">
      <c r="B3933" s="268">
        <v>15684.0</v>
      </c>
      <c r="C3933" s="268">
        <f t="shared" si="1"/>
        <v>27.38643799</v>
      </c>
      <c r="D3933" s="268">
        <f t="shared" si="2"/>
        <v>23.40571429</v>
      </c>
    </row>
    <row r="3934" ht="13.5" customHeight="1">
      <c r="B3934" s="268">
        <v>15688.0</v>
      </c>
      <c r="C3934" s="268">
        <f t="shared" si="1"/>
        <v>27.43621399</v>
      </c>
      <c r="D3934" s="268">
        <f t="shared" si="2"/>
        <v>23.54022989</v>
      </c>
    </row>
    <row r="3935" ht="13.5" customHeight="1">
      <c r="B3935" s="268">
        <v>15692.0</v>
      </c>
      <c r="C3935" s="268">
        <f t="shared" si="1"/>
        <v>27.4862769</v>
      </c>
      <c r="D3935" s="268">
        <f t="shared" si="2"/>
        <v>23.67630058</v>
      </c>
    </row>
    <row r="3936" ht="13.5" customHeight="1">
      <c r="B3936" s="268">
        <v>15696.0</v>
      </c>
      <c r="C3936" s="268">
        <f t="shared" si="1"/>
        <v>27.53663002</v>
      </c>
      <c r="D3936" s="268">
        <f t="shared" si="2"/>
        <v>23.81395349</v>
      </c>
    </row>
    <row r="3937" ht="13.5" customHeight="1">
      <c r="B3937" s="268">
        <v>15700.0</v>
      </c>
      <c r="C3937" s="268">
        <f t="shared" si="1"/>
        <v>27.58727675</v>
      </c>
      <c r="D3937" s="268">
        <f t="shared" si="2"/>
        <v>23.95321637</v>
      </c>
    </row>
    <row r="3938" ht="13.5" customHeight="1">
      <c r="B3938" s="268">
        <v>15704.0</v>
      </c>
      <c r="C3938" s="268">
        <f t="shared" si="1"/>
        <v>27.63822053</v>
      </c>
      <c r="D3938" s="268">
        <f t="shared" si="2"/>
        <v>24.09411765</v>
      </c>
    </row>
    <row r="3939" ht="13.5" customHeight="1">
      <c r="B3939" s="268">
        <v>15708.0</v>
      </c>
      <c r="C3939" s="268">
        <f t="shared" si="1"/>
        <v>27.68946487</v>
      </c>
      <c r="D3939" s="268">
        <f t="shared" si="2"/>
        <v>24.23668639</v>
      </c>
    </row>
    <row r="3940" ht="13.5" customHeight="1">
      <c r="B3940" s="268">
        <v>15712.0</v>
      </c>
      <c r="C3940" s="268">
        <f t="shared" si="1"/>
        <v>27.74101332</v>
      </c>
      <c r="D3940" s="268">
        <f t="shared" si="2"/>
        <v>24.38095238</v>
      </c>
    </row>
    <row r="3941" ht="13.5" customHeight="1">
      <c r="B3941" s="268">
        <v>15716.0</v>
      </c>
      <c r="C3941" s="268">
        <f t="shared" si="1"/>
        <v>27.79286954</v>
      </c>
      <c r="D3941" s="268">
        <f t="shared" si="2"/>
        <v>24.52694611</v>
      </c>
    </row>
    <row r="3942" ht="13.5" customHeight="1">
      <c r="B3942" s="268">
        <v>15720.0</v>
      </c>
      <c r="C3942" s="268">
        <f t="shared" si="1"/>
        <v>27.8450372</v>
      </c>
      <c r="D3942" s="268">
        <f t="shared" si="2"/>
        <v>24.6746988</v>
      </c>
    </row>
    <row r="3943" ht="13.5" customHeight="1">
      <c r="B3943" s="268">
        <v>15724.0</v>
      </c>
      <c r="C3943" s="268">
        <f t="shared" si="1"/>
        <v>27.89752008</v>
      </c>
      <c r="D3943" s="268">
        <f t="shared" si="2"/>
        <v>24.82424242</v>
      </c>
    </row>
    <row r="3944" ht="13.5" customHeight="1">
      <c r="B3944" s="268">
        <v>15728.0</v>
      </c>
      <c r="C3944" s="268">
        <f t="shared" si="1"/>
        <v>27.950322</v>
      </c>
      <c r="D3944" s="268">
        <f t="shared" si="2"/>
        <v>24.97560976</v>
      </c>
    </row>
    <row r="3945" ht="13.5" customHeight="1">
      <c r="B3945" s="268">
        <v>15732.0</v>
      </c>
      <c r="C3945" s="268">
        <f t="shared" si="1"/>
        <v>28.00344687</v>
      </c>
      <c r="D3945" s="268">
        <f t="shared" si="2"/>
        <v>25.12883436</v>
      </c>
    </row>
    <row r="3946" ht="13.5" customHeight="1">
      <c r="B3946" s="268">
        <v>15736.0</v>
      </c>
      <c r="C3946" s="268">
        <f t="shared" si="1"/>
        <v>28.05689867</v>
      </c>
      <c r="D3946" s="268">
        <f t="shared" si="2"/>
        <v>25.28395062</v>
      </c>
    </row>
    <row r="3947" ht="13.5" customHeight="1">
      <c r="B3947" s="268">
        <v>15740.0</v>
      </c>
      <c r="C3947" s="268">
        <f t="shared" si="1"/>
        <v>28.11068144</v>
      </c>
      <c r="D3947" s="268">
        <f t="shared" si="2"/>
        <v>25.44099379</v>
      </c>
    </row>
    <row r="3948" ht="13.5" customHeight="1">
      <c r="B3948" s="268">
        <v>15744.0</v>
      </c>
      <c r="C3948" s="268">
        <f t="shared" si="1"/>
        <v>28.16479931</v>
      </c>
      <c r="D3948" s="268">
        <f t="shared" si="2"/>
        <v>25.6</v>
      </c>
    </row>
    <row r="3949" ht="13.5" customHeight="1">
      <c r="B3949" s="268">
        <v>15748.0</v>
      </c>
      <c r="C3949" s="268">
        <f t="shared" si="1"/>
        <v>28.21925647</v>
      </c>
      <c r="D3949" s="268">
        <f t="shared" si="2"/>
        <v>25.76100629</v>
      </c>
    </row>
    <row r="3950" ht="13.5" customHeight="1">
      <c r="B3950" s="268">
        <v>15752.0</v>
      </c>
      <c r="C3950" s="268">
        <f t="shared" si="1"/>
        <v>28.27405722</v>
      </c>
      <c r="D3950" s="268">
        <f t="shared" si="2"/>
        <v>25.92405063</v>
      </c>
    </row>
    <row r="3951" ht="13.5" customHeight="1">
      <c r="B3951" s="268">
        <v>15756.0</v>
      </c>
      <c r="C3951" s="268">
        <f t="shared" si="1"/>
        <v>28.32920591</v>
      </c>
      <c r="D3951" s="268">
        <f t="shared" si="2"/>
        <v>26.08917197</v>
      </c>
    </row>
    <row r="3952" ht="13.5" customHeight="1">
      <c r="B3952" s="268">
        <v>15760.0</v>
      </c>
      <c r="C3952" s="268">
        <f t="shared" si="1"/>
        <v>28.38470699</v>
      </c>
      <c r="D3952" s="268">
        <f t="shared" si="2"/>
        <v>26.25641026</v>
      </c>
    </row>
    <row r="3953" ht="13.5" customHeight="1">
      <c r="B3953" s="268">
        <v>15764.0</v>
      </c>
      <c r="C3953" s="268">
        <f t="shared" si="1"/>
        <v>28.440565</v>
      </c>
      <c r="D3953" s="268">
        <f t="shared" si="2"/>
        <v>26.42580645</v>
      </c>
    </row>
    <row r="3954" ht="13.5" customHeight="1">
      <c r="B3954" s="268">
        <v>15768.0</v>
      </c>
      <c r="C3954" s="268">
        <f t="shared" si="1"/>
        <v>28.49678454</v>
      </c>
      <c r="D3954" s="268">
        <f t="shared" si="2"/>
        <v>26.5974026</v>
      </c>
    </row>
    <row r="3955" ht="13.5" customHeight="1">
      <c r="B3955" s="268">
        <v>15772.0</v>
      </c>
      <c r="C3955" s="268">
        <f t="shared" si="1"/>
        <v>28.55337034</v>
      </c>
      <c r="D3955" s="268">
        <f t="shared" si="2"/>
        <v>26.77124183</v>
      </c>
    </row>
    <row r="3956" ht="13.5" customHeight="1">
      <c r="B3956" s="268">
        <v>15776.0</v>
      </c>
      <c r="C3956" s="268">
        <f t="shared" si="1"/>
        <v>28.6103272</v>
      </c>
      <c r="D3956" s="268">
        <f t="shared" si="2"/>
        <v>26.94736842</v>
      </c>
    </row>
    <row r="3957" ht="13.5" customHeight="1">
      <c r="B3957" s="268">
        <v>15780.0</v>
      </c>
      <c r="C3957" s="268">
        <f t="shared" si="1"/>
        <v>28.66766001</v>
      </c>
      <c r="D3957" s="268">
        <f t="shared" si="2"/>
        <v>27.12582781</v>
      </c>
    </row>
    <row r="3958" ht="13.5" customHeight="1">
      <c r="B3958" s="268">
        <v>15784.0</v>
      </c>
      <c r="C3958" s="268">
        <f t="shared" si="1"/>
        <v>28.72537378</v>
      </c>
      <c r="D3958" s="268">
        <f t="shared" si="2"/>
        <v>27.30666667</v>
      </c>
    </row>
    <row r="3959" ht="13.5" customHeight="1">
      <c r="B3959" s="268">
        <v>15788.0</v>
      </c>
      <c r="C3959" s="268">
        <f t="shared" si="1"/>
        <v>28.78347359</v>
      </c>
      <c r="D3959" s="268">
        <f t="shared" si="2"/>
        <v>27.48993289</v>
      </c>
    </row>
    <row r="3960" ht="13.5" customHeight="1">
      <c r="B3960" s="268">
        <v>15792.0</v>
      </c>
      <c r="C3960" s="268">
        <f t="shared" si="1"/>
        <v>28.84196465</v>
      </c>
      <c r="D3960" s="268">
        <f t="shared" si="2"/>
        <v>27.67567568</v>
      </c>
    </row>
    <row r="3961" ht="13.5" customHeight="1">
      <c r="B3961" s="268">
        <v>15796.0</v>
      </c>
      <c r="C3961" s="268">
        <f t="shared" si="1"/>
        <v>28.90085226</v>
      </c>
      <c r="D3961" s="268">
        <f t="shared" si="2"/>
        <v>27.86394558</v>
      </c>
    </row>
    <row r="3962" ht="13.5" customHeight="1">
      <c r="B3962" s="268">
        <v>15800.0</v>
      </c>
      <c r="C3962" s="268">
        <f t="shared" si="1"/>
        <v>28.96014184</v>
      </c>
      <c r="D3962" s="268">
        <f t="shared" si="2"/>
        <v>28.05479452</v>
      </c>
    </row>
    <row r="3963" ht="13.5" customHeight="1">
      <c r="B3963" s="268">
        <v>15804.0</v>
      </c>
      <c r="C3963" s="268">
        <f t="shared" si="1"/>
        <v>29.01983891</v>
      </c>
      <c r="D3963" s="268">
        <f t="shared" si="2"/>
        <v>28.24827586</v>
      </c>
    </row>
    <row r="3964" ht="13.5" customHeight="1">
      <c r="B3964" s="268">
        <v>15808.0</v>
      </c>
      <c r="C3964" s="268">
        <f t="shared" si="1"/>
        <v>29.07994912</v>
      </c>
      <c r="D3964" s="268">
        <f t="shared" si="2"/>
        <v>28.44444444</v>
      </c>
    </row>
    <row r="3965" ht="13.5" customHeight="1">
      <c r="B3965" s="268">
        <v>15812.0</v>
      </c>
      <c r="C3965" s="268">
        <f t="shared" si="1"/>
        <v>29.14047821</v>
      </c>
      <c r="D3965" s="268">
        <f t="shared" si="2"/>
        <v>28.64335664</v>
      </c>
    </row>
    <row r="3966" ht="13.5" customHeight="1">
      <c r="B3966" s="268">
        <v>15816.0</v>
      </c>
      <c r="C3966" s="268">
        <f t="shared" si="1"/>
        <v>29.20143207</v>
      </c>
      <c r="D3966" s="268">
        <f t="shared" si="2"/>
        <v>28.84507042</v>
      </c>
    </row>
    <row r="3967" ht="13.5" customHeight="1">
      <c r="B3967" s="268">
        <v>15820.0</v>
      </c>
      <c r="C3967" s="268">
        <f t="shared" si="1"/>
        <v>29.26281671</v>
      </c>
      <c r="D3967" s="268">
        <f t="shared" si="2"/>
        <v>29.04964539</v>
      </c>
    </row>
    <row r="3968" ht="13.5" customHeight="1">
      <c r="B3968" s="268">
        <v>15824.0</v>
      </c>
      <c r="C3968" s="268">
        <f t="shared" si="1"/>
        <v>29.32463825</v>
      </c>
      <c r="D3968" s="268">
        <f t="shared" si="2"/>
        <v>29.25714286</v>
      </c>
    </row>
    <row r="3969" ht="13.5" customHeight="1">
      <c r="B3969" s="268">
        <v>15828.0</v>
      </c>
      <c r="C3969" s="268">
        <f t="shared" si="1"/>
        <v>29.38690295</v>
      </c>
      <c r="D3969" s="268">
        <f t="shared" si="2"/>
        <v>29.4676259</v>
      </c>
    </row>
    <row r="3970" ht="13.5" customHeight="1">
      <c r="B3970" s="268">
        <v>15832.0</v>
      </c>
      <c r="C3970" s="268">
        <f t="shared" si="1"/>
        <v>29.44961723</v>
      </c>
      <c r="D3970" s="268">
        <f t="shared" si="2"/>
        <v>29.68115942</v>
      </c>
    </row>
    <row r="3971" ht="13.5" customHeight="1">
      <c r="B3971" s="268">
        <v>15836.0</v>
      </c>
      <c r="C3971" s="268">
        <f t="shared" si="1"/>
        <v>29.51278762</v>
      </c>
      <c r="D3971" s="268">
        <f t="shared" si="2"/>
        <v>29.89781022</v>
      </c>
    </row>
    <row r="3972" ht="13.5" customHeight="1">
      <c r="B3972" s="268">
        <v>15840.0</v>
      </c>
      <c r="C3972" s="268">
        <f t="shared" si="1"/>
        <v>29.57642079</v>
      </c>
      <c r="D3972" s="268">
        <f t="shared" si="2"/>
        <v>30.11764706</v>
      </c>
    </row>
    <row r="3973" ht="13.5" customHeight="1">
      <c r="B3973" s="268">
        <v>15844.0</v>
      </c>
      <c r="C3973" s="268">
        <f t="shared" si="1"/>
        <v>29.64052359</v>
      </c>
      <c r="D3973" s="268">
        <f t="shared" si="2"/>
        <v>30.34074074</v>
      </c>
    </row>
    <row r="3974" ht="13.5" customHeight="1">
      <c r="B3974" s="268">
        <v>15848.0</v>
      </c>
      <c r="C3974" s="268">
        <f t="shared" si="1"/>
        <v>29.70510299</v>
      </c>
      <c r="D3974" s="268">
        <f t="shared" si="2"/>
        <v>30.56716418</v>
      </c>
    </row>
    <row r="3975" ht="13.5" customHeight="1">
      <c r="B3975" s="268">
        <v>15852.0</v>
      </c>
      <c r="C3975" s="268">
        <f t="shared" si="1"/>
        <v>29.77016614</v>
      </c>
      <c r="D3975" s="268">
        <f t="shared" si="2"/>
        <v>30.79699248</v>
      </c>
    </row>
    <row r="3976" ht="13.5" customHeight="1">
      <c r="B3976" s="268">
        <v>15856.0</v>
      </c>
      <c r="C3976" s="268">
        <f t="shared" si="1"/>
        <v>29.83572034</v>
      </c>
      <c r="D3976" s="268">
        <f t="shared" si="2"/>
        <v>31.03030303</v>
      </c>
    </row>
    <row r="3977" ht="13.5" customHeight="1">
      <c r="B3977" s="268">
        <v>15860.0</v>
      </c>
      <c r="C3977" s="268">
        <f t="shared" si="1"/>
        <v>29.90177305</v>
      </c>
      <c r="D3977" s="268">
        <f t="shared" si="2"/>
        <v>31.26717557</v>
      </c>
    </row>
    <row r="3978" ht="13.5" customHeight="1">
      <c r="B3978" s="268">
        <v>15864.0</v>
      </c>
      <c r="C3978" s="268">
        <f t="shared" si="1"/>
        <v>29.96833191</v>
      </c>
      <c r="D3978" s="268">
        <f t="shared" si="2"/>
        <v>31.50769231</v>
      </c>
    </row>
    <row r="3979" ht="13.5" customHeight="1">
      <c r="B3979" s="268">
        <v>15868.0</v>
      </c>
      <c r="C3979" s="268">
        <f t="shared" si="1"/>
        <v>30.03540475</v>
      </c>
      <c r="D3979" s="268">
        <f t="shared" si="2"/>
        <v>31.75193798</v>
      </c>
    </row>
    <row r="3980" ht="13.5" customHeight="1">
      <c r="B3980" s="268">
        <v>15872.0</v>
      </c>
      <c r="C3980" s="268">
        <f t="shared" si="1"/>
        <v>30.10299957</v>
      </c>
      <c r="D3980" s="268">
        <f t="shared" si="2"/>
        <v>32</v>
      </c>
    </row>
    <row r="3981" ht="13.5" customHeight="1">
      <c r="B3981" s="268">
        <v>15876.0</v>
      </c>
      <c r="C3981" s="268">
        <f t="shared" si="1"/>
        <v>30.17112454</v>
      </c>
      <c r="D3981" s="268">
        <f t="shared" si="2"/>
        <v>32.2519685</v>
      </c>
    </row>
    <row r="3982" ht="13.5" customHeight="1">
      <c r="B3982" s="268">
        <v>15880.0</v>
      </c>
      <c r="C3982" s="268">
        <f t="shared" si="1"/>
        <v>30.23978806</v>
      </c>
      <c r="D3982" s="268">
        <f t="shared" si="2"/>
        <v>32.50793651</v>
      </c>
    </row>
    <row r="3983" ht="13.5" customHeight="1">
      <c r="B3983" s="268">
        <v>15884.0</v>
      </c>
      <c r="C3983" s="268">
        <f t="shared" si="1"/>
        <v>30.3089987</v>
      </c>
      <c r="D3983" s="268">
        <f t="shared" si="2"/>
        <v>32.768</v>
      </c>
    </row>
    <row r="3984" ht="13.5" customHeight="1">
      <c r="B3984" s="268">
        <v>15888.0</v>
      </c>
      <c r="C3984" s="268">
        <f t="shared" si="1"/>
        <v>30.37876526</v>
      </c>
      <c r="D3984" s="268">
        <f t="shared" si="2"/>
        <v>33.03225806</v>
      </c>
    </row>
    <row r="3985" ht="13.5" customHeight="1">
      <c r="B3985" s="268">
        <v>15892.0</v>
      </c>
      <c r="C3985" s="268">
        <f t="shared" si="1"/>
        <v>30.44909673</v>
      </c>
      <c r="D3985" s="268">
        <f t="shared" si="2"/>
        <v>33.30081301</v>
      </c>
    </row>
    <row r="3986" ht="13.5" customHeight="1">
      <c r="B3986" s="268">
        <v>15896.0</v>
      </c>
      <c r="C3986" s="268">
        <f t="shared" si="1"/>
        <v>30.52000235</v>
      </c>
      <c r="D3986" s="268">
        <f t="shared" si="2"/>
        <v>33.57377049</v>
      </c>
    </row>
    <row r="3987" ht="13.5" customHeight="1">
      <c r="B3987" s="268">
        <v>15900.0</v>
      </c>
      <c r="C3987" s="268">
        <f t="shared" si="1"/>
        <v>30.59149155</v>
      </c>
      <c r="D3987" s="268">
        <f t="shared" si="2"/>
        <v>33.85123967</v>
      </c>
    </row>
    <row r="3988" ht="13.5" customHeight="1">
      <c r="B3988" s="268">
        <v>15904.0</v>
      </c>
      <c r="C3988" s="268">
        <f t="shared" si="1"/>
        <v>30.66357404</v>
      </c>
      <c r="D3988" s="268">
        <f t="shared" si="2"/>
        <v>34.13333333</v>
      </c>
    </row>
    <row r="3989" ht="13.5" customHeight="1">
      <c r="B3989" s="268">
        <v>15908.0</v>
      </c>
      <c r="C3989" s="268">
        <f t="shared" si="1"/>
        <v>30.73625973</v>
      </c>
      <c r="D3989" s="268">
        <f t="shared" si="2"/>
        <v>34.42016807</v>
      </c>
    </row>
    <row r="3990" ht="13.5" customHeight="1">
      <c r="B3990" s="268">
        <v>15912.0</v>
      </c>
      <c r="C3990" s="268">
        <f t="shared" si="1"/>
        <v>30.80955881</v>
      </c>
      <c r="D3990" s="268">
        <f t="shared" si="2"/>
        <v>34.71186441</v>
      </c>
    </row>
    <row r="3991" ht="13.5" customHeight="1">
      <c r="B3991" s="268">
        <v>15916.0</v>
      </c>
      <c r="C3991" s="268">
        <f t="shared" si="1"/>
        <v>30.88348172</v>
      </c>
      <c r="D3991" s="268">
        <f t="shared" si="2"/>
        <v>35.00854701</v>
      </c>
    </row>
    <row r="3992" ht="13.5" customHeight="1">
      <c r="B3992" s="268">
        <v>15920.0</v>
      </c>
      <c r="C3992" s="268">
        <f t="shared" si="1"/>
        <v>30.95803917</v>
      </c>
      <c r="D3992" s="268">
        <f t="shared" si="2"/>
        <v>35.31034483</v>
      </c>
    </row>
    <row r="3993" ht="13.5" customHeight="1">
      <c r="B3993" s="268">
        <v>15924.0</v>
      </c>
      <c r="C3993" s="268">
        <f t="shared" si="1"/>
        <v>31.03324215</v>
      </c>
      <c r="D3993" s="268">
        <f t="shared" si="2"/>
        <v>35.6173913</v>
      </c>
    </row>
    <row r="3994" ht="13.5" customHeight="1">
      <c r="B3994" s="268">
        <v>15928.0</v>
      </c>
      <c r="C3994" s="268">
        <f t="shared" si="1"/>
        <v>31.10910193</v>
      </c>
      <c r="D3994" s="268">
        <f t="shared" si="2"/>
        <v>35.92982456</v>
      </c>
    </row>
    <row r="3995" ht="13.5" customHeight="1">
      <c r="B3995" s="268">
        <v>15932.0</v>
      </c>
      <c r="C3995" s="268">
        <f t="shared" si="1"/>
        <v>31.18563009</v>
      </c>
      <c r="D3995" s="268">
        <f t="shared" si="2"/>
        <v>36.24778761</v>
      </c>
    </row>
    <row r="3996" ht="13.5" customHeight="1">
      <c r="B3996" s="268">
        <v>15936.0</v>
      </c>
      <c r="C3996" s="268">
        <f t="shared" si="1"/>
        <v>31.26283851</v>
      </c>
      <c r="D3996" s="268">
        <f t="shared" si="2"/>
        <v>36.57142857</v>
      </c>
    </row>
    <row r="3997" ht="13.5" customHeight="1">
      <c r="B3997" s="268">
        <v>15940.0</v>
      </c>
      <c r="C3997" s="268">
        <f t="shared" si="1"/>
        <v>31.34073938</v>
      </c>
      <c r="D3997" s="268">
        <f t="shared" si="2"/>
        <v>36.9009009</v>
      </c>
    </row>
    <row r="3998" ht="13.5" customHeight="1">
      <c r="B3998" s="268">
        <v>15944.0</v>
      </c>
      <c r="C3998" s="268">
        <f t="shared" si="1"/>
        <v>31.41934526</v>
      </c>
      <c r="D3998" s="268">
        <f t="shared" si="2"/>
        <v>37.23636364</v>
      </c>
    </row>
    <row r="3999" ht="13.5" customHeight="1">
      <c r="B3999" s="268">
        <v>15948.0</v>
      </c>
      <c r="C3999" s="268">
        <f t="shared" si="1"/>
        <v>31.498669</v>
      </c>
      <c r="D3999" s="268">
        <f t="shared" si="2"/>
        <v>37.57798165</v>
      </c>
    </row>
    <row r="4000" ht="13.5" customHeight="1">
      <c r="B4000" s="268">
        <v>15952.0</v>
      </c>
      <c r="C4000" s="268">
        <f t="shared" si="1"/>
        <v>31.57872385</v>
      </c>
      <c r="D4000" s="268">
        <f t="shared" si="2"/>
        <v>37.92592593</v>
      </c>
    </row>
    <row r="4001" ht="13.5" customHeight="1">
      <c r="B4001" s="268">
        <v>15956.0</v>
      </c>
      <c r="C4001" s="268">
        <f t="shared" si="1"/>
        <v>31.65952341</v>
      </c>
      <c r="D4001" s="268">
        <f t="shared" si="2"/>
        <v>38.28037383</v>
      </c>
    </row>
    <row r="4002" ht="13.5" customHeight="1">
      <c r="B4002" s="268">
        <v>15960.0</v>
      </c>
      <c r="C4002" s="268">
        <f t="shared" si="1"/>
        <v>31.74108165</v>
      </c>
      <c r="D4002" s="268">
        <f t="shared" si="2"/>
        <v>38.64150943</v>
      </c>
    </row>
    <row r="4003" ht="13.5" customHeight="1">
      <c r="B4003" s="268">
        <v>15964.0</v>
      </c>
      <c r="C4003" s="268">
        <f t="shared" si="1"/>
        <v>31.82341298</v>
      </c>
      <c r="D4003" s="268">
        <f t="shared" si="2"/>
        <v>39.00952381</v>
      </c>
    </row>
    <row r="4004" ht="13.5" customHeight="1">
      <c r="B4004" s="268">
        <v>15968.0</v>
      </c>
      <c r="C4004" s="268">
        <f t="shared" si="1"/>
        <v>31.90653217</v>
      </c>
      <c r="D4004" s="268">
        <f t="shared" si="2"/>
        <v>39.38461538</v>
      </c>
    </row>
    <row r="4005" ht="13.5" customHeight="1">
      <c r="B4005" s="268">
        <v>15972.0</v>
      </c>
      <c r="C4005" s="268">
        <f t="shared" si="1"/>
        <v>31.99045447</v>
      </c>
      <c r="D4005" s="268">
        <f t="shared" si="2"/>
        <v>39.76699029</v>
      </c>
    </row>
    <row r="4006" ht="13.5" customHeight="1">
      <c r="B4006" s="268">
        <v>15976.0</v>
      </c>
      <c r="C4006" s="268">
        <f t="shared" si="1"/>
        <v>32.07519552</v>
      </c>
      <c r="D4006" s="268">
        <f t="shared" si="2"/>
        <v>40.15686275</v>
      </c>
    </row>
    <row r="4007" ht="13.5" customHeight="1">
      <c r="B4007" s="268">
        <v>15980.0</v>
      </c>
      <c r="C4007" s="268">
        <f t="shared" si="1"/>
        <v>32.16077148</v>
      </c>
      <c r="D4007" s="268">
        <f t="shared" si="2"/>
        <v>40.55445545</v>
      </c>
    </row>
    <row r="4008" ht="13.5" customHeight="1">
      <c r="B4008" s="268">
        <v>15984.0</v>
      </c>
      <c r="C4008" s="268">
        <f t="shared" si="1"/>
        <v>32.24719896</v>
      </c>
      <c r="D4008" s="268">
        <f t="shared" si="2"/>
        <v>40.96</v>
      </c>
    </row>
    <row r="4009" ht="13.5" customHeight="1">
      <c r="B4009" s="268">
        <v>15988.0</v>
      </c>
      <c r="C4009" s="268">
        <f t="shared" si="1"/>
        <v>32.33449507</v>
      </c>
      <c r="D4009" s="268">
        <f t="shared" si="2"/>
        <v>41.37373737</v>
      </c>
    </row>
    <row r="4010" ht="13.5" customHeight="1">
      <c r="B4010" s="268">
        <v>15992.0</v>
      </c>
      <c r="C4010" s="268">
        <f t="shared" si="1"/>
        <v>32.42267745</v>
      </c>
      <c r="D4010" s="268">
        <f t="shared" si="2"/>
        <v>41.79591837</v>
      </c>
    </row>
    <row r="4011" ht="13.5" customHeight="1">
      <c r="B4011" s="268">
        <v>15996.0</v>
      </c>
      <c r="C4011" s="268">
        <f t="shared" si="1"/>
        <v>32.51176427</v>
      </c>
      <c r="D4011" s="268">
        <f t="shared" si="2"/>
        <v>42.22680412</v>
      </c>
    </row>
    <row r="4012" ht="13.5" customHeight="1">
      <c r="B4012" s="268">
        <v>16000.0</v>
      </c>
      <c r="C4012" s="268">
        <f t="shared" si="1"/>
        <v>32.6017743</v>
      </c>
      <c r="D4012" s="268">
        <f t="shared" si="2"/>
        <v>42.66666667</v>
      </c>
    </row>
    <row r="4013" ht="13.5" customHeight="1">
      <c r="B4013" s="268">
        <v>16004.0</v>
      </c>
      <c r="C4013" s="268">
        <f t="shared" si="1"/>
        <v>32.69272685</v>
      </c>
      <c r="D4013" s="268">
        <f t="shared" si="2"/>
        <v>43.11578947</v>
      </c>
    </row>
    <row r="4014" ht="13.5" customHeight="1">
      <c r="B4014" s="268">
        <v>16008.0</v>
      </c>
      <c r="C4014" s="268">
        <f t="shared" si="1"/>
        <v>32.78464189</v>
      </c>
      <c r="D4014" s="268">
        <f t="shared" si="2"/>
        <v>43.57446809</v>
      </c>
    </row>
    <row r="4015" ht="13.5" customHeight="1">
      <c r="B4015" s="268">
        <v>16012.0</v>
      </c>
      <c r="C4015" s="268">
        <f t="shared" si="1"/>
        <v>32.87753999</v>
      </c>
      <c r="D4015" s="268">
        <f t="shared" si="2"/>
        <v>44.04301075</v>
      </c>
    </row>
    <row r="4016" ht="13.5" customHeight="1">
      <c r="B4016" s="268">
        <v>16016.0</v>
      </c>
      <c r="C4016" s="268">
        <f t="shared" si="1"/>
        <v>32.97144241</v>
      </c>
      <c r="D4016" s="268">
        <f t="shared" si="2"/>
        <v>44.52173913</v>
      </c>
    </row>
    <row r="4017" ht="13.5" customHeight="1">
      <c r="B4017" s="268">
        <v>16020.0</v>
      </c>
      <c r="C4017" s="268">
        <f t="shared" si="1"/>
        <v>33.06637111</v>
      </c>
      <c r="D4017" s="268">
        <f t="shared" si="2"/>
        <v>45.01098901</v>
      </c>
    </row>
    <row r="4018" ht="13.5" customHeight="1">
      <c r="B4018" s="268">
        <v>16024.0</v>
      </c>
      <c r="C4018" s="268">
        <f t="shared" si="1"/>
        <v>33.16234877</v>
      </c>
      <c r="D4018" s="268">
        <f t="shared" si="2"/>
        <v>45.51111111</v>
      </c>
    </row>
    <row r="4019" ht="13.5" customHeight="1">
      <c r="B4019" s="268">
        <v>16028.0</v>
      </c>
      <c r="C4019" s="268">
        <f t="shared" si="1"/>
        <v>33.25939883</v>
      </c>
      <c r="D4019" s="268">
        <f t="shared" si="2"/>
        <v>46.02247191</v>
      </c>
    </row>
    <row r="4020" ht="13.5" customHeight="1">
      <c r="B4020" s="268">
        <v>16032.0</v>
      </c>
      <c r="C4020" s="268">
        <f t="shared" si="1"/>
        <v>33.35754552</v>
      </c>
      <c r="D4020" s="268">
        <f t="shared" si="2"/>
        <v>46.54545455</v>
      </c>
    </row>
    <row r="4021" ht="13.5" customHeight="1">
      <c r="B4021" s="268">
        <v>16036.0</v>
      </c>
      <c r="C4021" s="268">
        <f t="shared" si="1"/>
        <v>33.45681391</v>
      </c>
      <c r="D4021" s="268">
        <f t="shared" si="2"/>
        <v>47.08045977</v>
      </c>
    </row>
    <row r="4022" ht="13.5" customHeight="1">
      <c r="B4022" s="268">
        <v>16040.0</v>
      </c>
      <c r="C4022" s="268">
        <f t="shared" si="1"/>
        <v>33.55722993</v>
      </c>
      <c r="D4022" s="268">
        <f t="shared" si="2"/>
        <v>47.62790698</v>
      </c>
    </row>
    <row r="4023" ht="13.5" customHeight="1">
      <c r="B4023" s="268">
        <v>16044.0</v>
      </c>
      <c r="C4023" s="268">
        <f t="shared" si="1"/>
        <v>33.65882045</v>
      </c>
      <c r="D4023" s="268">
        <f t="shared" si="2"/>
        <v>48.18823529</v>
      </c>
    </row>
    <row r="4024" ht="13.5" customHeight="1">
      <c r="B4024" s="268">
        <v>16048.0</v>
      </c>
      <c r="C4024" s="268">
        <f t="shared" si="1"/>
        <v>33.76161324</v>
      </c>
      <c r="D4024" s="268">
        <f t="shared" si="2"/>
        <v>48.76190476</v>
      </c>
    </row>
    <row r="4025" ht="13.5" customHeight="1">
      <c r="B4025" s="268">
        <v>16052.0</v>
      </c>
      <c r="C4025" s="268">
        <f t="shared" si="1"/>
        <v>33.86563711</v>
      </c>
      <c r="D4025" s="268">
        <f t="shared" si="2"/>
        <v>49.34939759</v>
      </c>
    </row>
    <row r="4026" ht="13.5" customHeight="1">
      <c r="B4026" s="268">
        <v>16056.0</v>
      </c>
      <c r="C4026" s="268">
        <f t="shared" si="1"/>
        <v>33.97092191</v>
      </c>
      <c r="D4026" s="268">
        <f t="shared" si="2"/>
        <v>49.95121951</v>
      </c>
    </row>
    <row r="4027" ht="13.5" customHeight="1">
      <c r="B4027" s="268">
        <v>16060.0</v>
      </c>
      <c r="C4027" s="268">
        <f t="shared" si="1"/>
        <v>34.07749858</v>
      </c>
      <c r="D4027" s="268">
        <f t="shared" si="2"/>
        <v>50.56790123</v>
      </c>
    </row>
    <row r="4028" ht="13.5" customHeight="1">
      <c r="B4028" s="268">
        <v>16064.0</v>
      </c>
      <c r="C4028" s="268">
        <f t="shared" si="1"/>
        <v>34.18539922</v>
      </c>
      <c r="D4028" s="268">
        <f t="shared" si="2"/>
        <v>51.2</v>
      </c>
    </row>
    <row r="4029" ht="13.5" customHeight="1">
      <c r="B4029" s="268">
        <v>16068.0</v>
      </c>
      <c r="C4029" s="268">
        <f t="shared" si="1"/>
        <v>34.29465713</v>
      </c>
      <c r="D4029" s="268">
        <f t="shared" si="2"/>
        <v>51.84810127</v>
      </c>
    </row>
    <row r="4030" ht="13.5" customHeight="1">
      <c r="B4030" s="268">
        <v>16072.0</v>
      </c>
      <c r="C4030" s="268">
        <f t="shared" si="1"/>
        <v>34.40530691</v>
      </c>
      <c r="D4030" s="268">
        <f t="shared" si="2"/>
        <v>52.51282051</v>
      </c>
    </row>
    <row r="4031" ht="13.5" customHeight="1">
      <c r="B4031" s="268">
        <v>16076.0</v>
      </c>
      <c r="C4031" s="268">
        <f t="shared" si="1"/>
        <v>34.51738446</v>
      </c>
      <c r="D4031" s="268">
        <f t="shared" si="2"/>
        <v>53.19480519</v>
      </c>
    </row>
    <row r="4032" ht="13.5" customHeight="1">
      <c r="B4032" s="268">
        <v>16080.0</v>
      </c>
      <c r="C4032" s="268">
        <f t="shared" si="1"/>
        <v>34.63092711</v>
      </c>
      <c r="D4032" s="268">
        <f t="shared" si="2"/>
        <v>53.89473684</v>
      </c>
    </row>
    <row r="4033" ht="13.5" customHeight="1">
      <c r="B4033" s="268">
        <v>16084.0</v>
      </c>
      <c r="C4033" s="268">
        <f t="shared" si="1"/>
        <v>34.74597369</v>
      </c>
      <c r="D4033" s="268">
        <f t="shared" si="2"/>
        <v>54.61333333</v>
      </c>
    </row>
    <row r="4034" ht="13.5" customHeight="1">
      <c r="B4034" s="268">
        <v>16088.0</v>
      </c>
      <c r="C4034" s="268">
        <f t="shared" si="1"/>
        <v>34.86256456</v>
      </c>
      <c r="D4034" s="268">
        <f t="shared" si="2"/>
        <v>55.35135135</v>
      </c>
    </row>
    <row r="4035" ht="13.5" customHeight="1">
      <c r="B4035" s="268">
        <v>16092.0</v>
      </c>
      <c r="C4035" s="268">
        <f t="shared" si="1"/>
        <v>34.98074176</v>
      </c>
      <c r="D4035" s="268">
        <f t="shared" si="2"/>
        <v>56.10958904</v>
      </c>
    </row>
    <row r="4036" ht="13.5" customHeight="1">
      <c r="B4036" s="268">
        <v>16096.0</v>
      </c>
      <c r="C4036" s="268">
        <f t="shared" si="1"/>
        <v>35.10054903</v>
      </c>
      <c r="D4036" s="268">
        <f t="shared" si="2"/>
        <v>56.88888889</v>
      </c>
    </row>
    <row r="4037" ht="13.5" customHeight="1">
      <c r="B4037" s="268">
        <v>16100.0</v>
      </c>
      <c r="C4037" s="268">
        <f t="shared" si="1"/>
        <v>35.22203198</v>
      </c>
      <c r="D4037" s="268">
        <f t="shared" si="2"/>
        <v>57.69014085</v>
      </c>
    </row>
    <row r="4038" ht="13.5" customHeight="1">
      <c r="B4038" s="268">
        <v>16104.0</v>
      </c>
      <c r="C4038" s="268">
        <f t="shared" si="1"/>
        <v>35.34523816</v>
      </c>
      <c r="D4038" s="268">
        <f t="shared" si="2"/>
        <v>58.51428571</v>
      </c>
    </row>
    <row r="4039" ht="13.5" customHeight="1">
      <c r="B4039" s="268">
        <v>16108.0</v>
      </c>
      <c r="C4039" s="268">
        <f t="shared" si="1"/>
        <v>35.47021714</v>
      </c>
      <c r="D4039" s="268">
        <f t="shared" si="2"/>
        <v>59.36231884</v>
      </c>
    </row>
    <row r="4040" ht="13.5" customHeight="1">
      <c r="B4040" s="268">
        <v>16112.0</v>
      </c>
      <c r="C4040" s="268">
        <f t="shared" si="1"/>
        <v>35.59702071</v>
      </c>
      <c r="D4040" s="268">
        <f t="shared" si="2"/>
        <v>60.23529412</v>
      </c>
    </row>
    <row r="4041" ht="13.5" customHeight="1">
      <c r="B4041" s="268">
        <v>16116.0</v>
      </c>
      <c r="C4041" s="268">
        <f t="shared" si="1"/>
        <v>35.72570291</v>
      </c>
      <c r="D4041" s="268">
        <f t="shared" si="2"/>
        <v>61.13432836</v>
      </c>
    </row>
    <row r="4042" ht="13.5" customHeight="1">
      <c r="B4042" s="268">
        <v>16120.0</v>
      </c>
      <c r="C4042" s="268">
        <f t="shared" si="1"/>
        <v>35.85632025</v>
      </c>
      <c r="D4042" s="268">
        <f t="shared" si="2"/>
        <v>62.06060606</v>
      </c>
    </row>
    <row r="4043" ht="13.5" customHeight="1">
      <c r="B4043" s="268">
        <v>16124.0</v>
      </c>
      <c r="C4043" s="268">
        <f t="shared" si="1"/>
        <v>35.98893183</v>
      </c>
      <c r="D4043" s="268">
        <f t="shared" si="2"/>
        <v>63.01538462</v>
      </c>
    </row>
    <row r="4044" ht="13.5" customHeight="1">
      <c r="B4044" s="268">
        <v>16128.0</v>
      </c>
      <c r="C4044" s="268">
        <f t="shared" si="1"/>
        <v>36.12359948</v>
      </c>
      <c r="D4044" s="268">
        <f t="shared" si="2"/>
        <v>64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2.0"/>
    <col customWidth="1" min="3" max="3" width="15.43"/>
    <col customWidth="1" min="4" max="4" width="12.57"/>
    <col customWidth="1" min="5" max="15" width="3.86"/>
    <col customWidth="1" min="16" max="26" width="9.0"/>
  </cols>
  <sheetData>
    <row r="1">
      <c r="A1" s="272"/>
      <c r="B1" s="272"/>
      <c r="C1" s="272"/>
      <c r="D1" s="272"/>
      <c r="E1" s="272"/>
      <c r="F1" s="272"/>
      <c r="G1" s="273"/>
      <c r="H1" s="273"/>
      <c r="I1" s="274"/>
      <c r="J1" s="274"/>
      <c r="K1" s="274"/>
      <c r="L1" s="274"/>
      <c r="M1" s="274"/>
      <c r="N1" s="274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>
      <c r="A2" s="272"/>
      <c r="B2" s="272"/>
      <c r="C2" s="272"/>
      <c r="D2" s="272"/>
      <c r="E2" s="274"/>
      <c r="F2" s="274"/>
      <c r="G2" s="274"/>
      <c r="H2" s="274"/>
      <c r="I2" s="274"/>
      <c r="J2" s="274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>
      <c r="A4" s="272"/>
      <c r="B4" s="272"/>
      <c r="C4" s="272"/>
      <c r="D4" s="272" t="s">
        <v>1124</v>
      </c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>
      <c r="A5" s="272"/>
      <c r="B5" s="272"/>
      <c r="C5" s="272"/>
      <c r="D5" s="272" t="s">
        <v>1125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>
      <c r="A6" s="272"/>
      <c r="B6" s="272"/>
      <c r="C6" s="272"/>
      <c r="D6" s="272"/>
      <c r="E6" s="275" t="s">
        <v>1126</v>
      </c>
      <c r="F6" s="209"/>
      <c r="G6" s="209"/>
      <c r="H6" s="209"/>
      <c r="I6" s="209"/>
      <c r="J6" s="209"/>
      <c r="K6" s="209"/>
      <c r="L6" s="209"/>
      <c r="M6" s="209"/>
      <c r="N6" s="218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>
      <c r="A7" s="273"/>
      <c r="B7" s="273"/>
      <c r="C7" s="273"/>
      <c r="D7" s="276" t="s">
        <v>1127</v>
      </c>
      <c r="E7" s="277" t="s">
        <v>1128</v>
      </c>
      <c r="F7" s="277" t="s">
        <v>1129</v>
      </c>
      <c r="G7" s="277" t="s">
        <v>1130</v>
      </c>
      <c r="H7" s="277" t="s">
        <v>1131</v>
      </c>
      <c r="I7" s="277" t="s">
        <v>1132</v>
      </c>
      <c r="J7" s="277" t="s">
        <v>1133</v>
      </c>
      <c r="K7" s="277" t="s">
        <v>1134</v>
      </c>
      <c r="L7" s="277" t="s">
        <v>1135</v>
      </c>
      <c r="M7" s="277" t="s">
        <v>1136</v>
      </c>
      <c r="N7" s="277" t="s">
        <v>1137</v>
      </c>
      <c r="O7" s="272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11.25" customHeight="1">
      <c r="A8" s="273"/>
      <c r="B8" s="273"/>
      <c r="C8" s="273"/>
      <c r="D8" s="278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2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>
      <c r="A9" s="274"/>
      <c r="B9" s="274"/>
      <c r="C9" s="274"/>
      <c r="D9" s="280" t="s">
        <v>1138</v>
      </c>
      <c r="E9" s="280">
        <v>6.0</v>
      </c>
      <c r="F9" s="280">
        <v>7.0</v>
      </c>
      <c r="G9" s="280">
        <v>8.0</v>
      </c>
      <c r="H9" s="280">
        <v>9.0</v>
      </c>
      <c r="I9" s="280">
        <v>10.0</v>
      </c>
      <c r="J9" s="280">
        <v>11.0</v>
      </c>
      <c r="K9" s="280">
        <v>12.0</v>
      </c>
      <c r="L9" s="280">
        <v>13.0</v>
      </c>
      <c r="M9" s="280">
        <v>14.0</v>
      </c>
      <c r="N9" s="280">
        <v>15.0</v>
      </c>
      <c r="O9" s="272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</row>
    <row r="10">
      <c r="A10" s="274"/>
      <c r="B10" s="274"/>
      <c r="C10" s="281" t="s">
        <v>1139</v>
      </c>
      <c r="D10" s="282" t="s">
        <v>1140</v>
      </c>
      <c r="E10" s="283">
        <v>3.0</v>
      </c>
      <c r="F10" s="283">
        <v>5.0</v>
      </c>
      <c r="G10" s="283">
        <v>7.0</v>
      </c>
      <c r="H10" s="283">
        <v>9.0</v>
      </c>
      <c r="I10" s="283">
        <v>11.0</v>
      </c>
      <c r="J10" s="284">
        <v>13.0</v>
      </c>
      <c r="K10" s="284">
        <v>15.0</v>
      </c>
      <c r="L10" s="284">
        <v>17.0</v>
      </c>
      <c r="M10" s="284">
        <v>19.0</v>
      </c>
      <c r="N10" s="284">
        <v>21.0</v>
      </c>
      <c r="O10" s="272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>
      <c r="A11" s="274"/>
      <c r="B11" s="274"/>
      <c r="C11" s="281" t="s">
        <v>1141</v>
      </c>
      <c r="D11" s="285" t="s">
        <v>1142</v>
      </c>
      <c r="E11" s="286">
        <v>3.0</v>
      </c>
      <c r="F11" s="286">
        <v>5.0</v>
      </c>
      <c r="G11" s="286">
        <v>7.0</v>
      </c>
      <c r="H11" s="286">
        <v>9.0</v>
      </c>
      <c r="I11" s="286">
        <v>9.0</v>
      </c>
      <c r="J11" s="284">
        <v>11.0</v>
      </c>
      <c r="K11" s="284">
        <v>13.0</v>
      </c>
      <c r="L11" s="284">
        <v>15.0</v>
      </c>
      <c r="M11" s="284">
        <v>17.0</v>
      </c>
      <c r="N11" s="284">
        <v>17.0</v>
      </c>
      <c r="O11" s="272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</row>
    <row r="12">
      <c r="A12" s="274"/>
      <c r="B12" s="274"/>
      <c r="C12" s="281" t="s">
        <v>1143</v>
      </c>
      <c r="D12" s="287" t="s">
        <v>1144</v>
      </c>
      <c r="E12" s="283">
        <v>7.0</v>
      </c>
      <c r="F12" s="283">
        <v>9.0</v>
      </c>
      <c r="G12" s="283">
        <v>13.0</v>
      </c>
      <c r="H12" s="283">
        <v>15.0</v>
      </c>
      <c r="I12" s="283">
        <v>19.0</v>
      </c>
      <c r="J12" s="284">
        <v>23.0</v>
      </c>
      <c r="K12" s="284">
        <v>25.0</v>
      </c>
      <c r="L12" s="284">
        <v>29.0</v>
      </c>
      <c r="M12" s="284">
        <v>31.0</v>
      </c>
      <c r="N12" s="284">
        <v>35.0</v>
      </c>
      <c r="O12" s="272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</row>
    <row r="13">
      <c r="A13" s="274"/>
      <c r="B13" s="274"/>
      <c r="C13" s="281" t="s">
        <v>1145</v>
      </c>
      <c r="D13" s="285" t="s">
        <v>1146</v>
      </c>
      <c r="E13" s="283">
        <v>41.0</v>
      </c>
      <c r="F13" s="283">
        <v>41.0</v>
      </c>
      <c r="G13" s="283">
        <v>41.0</v>
      </c>
      <c r="H13" s="283">
        <v>41.0</v>
      </c>
      <c r="I13" s="283">
        <v>41.0</v>
      </c>
      <c r="J13" s="284">
        <v>41.0</v>
      </c>
      <c r="K13" s="284">
        <v>41.0</v>
      </c>
      <c r="L13" s="284">
        <v>41.0</v>
      </c>
      <c r="M13" s="284">
        <v>41.0</v>
      </c>
      <c r="N13" s="284">
        <v>41.0</v>
      </c>
      <c r="O13" s="272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</row>
    <row r="14">
      <c r="A14" s="274"/>
      <c r="B14" s="274"/>
      <c r="C14" s="281" t="s">
        <v>1147</v>
      </c>
      <c r="D14" s="282" t="s">
        <v>1148</v>
      </c>
      <c r="E14" s="286">
        <v>25.0</v>
      </c>
      <c r="F14" s="286">
        <v>25.0</v>
      </c>
      <c r="G14" s="286">
        <v>25.0</v>
      </c>
      <c r="H14" s="286">
        <v>25.0</v>
      </c>
      <c r="I14" s="286">
        <v>25.0</v>
      </c>
      <c r="J14" s="284">
        <v>25.0</v>
      </c>
      <c r="K14" s="284">
        <v>25.0</v>
      </c>
      <c r="L14" s="284">
        <v>25.0</v>
      </c>
      <c r="M14" s="284">
        <v>25.0</v>
      </c>
      <c r="N14" s="284">
        <v>25.0</v>
      </c>
      <c r="O14" s="272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>
      <c r="A15" s="272"/>
      <c r="B15" s="272"/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>
      <c r="A16" s="272"/>
      <c r="B16" s="272"/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>
      <c r="A17" s="272"/>
      <c r="B17" s="272"/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>
      <c r="A18" s="272"/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>
      <c r="A19" s="272"/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>
      <c r="A20" s="272"/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ht="15.75" customHeight="1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ht="15.75" customHeight="1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ht="15.75" customHeight="1">
      <c r="A23" s="272"/>
      <c r="B23" s="272"/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ht="15.75" customHeight="1">
      <c r="A24" s="272"/>
      <c r="B24" s="272"/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ht="15.75" customHeight="1">
      <c r="A25" s="272"/>
      <c r="B25" s="272"/>
      <c r="C25" s="272"/>
      <c r="D25" s="272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ht="15.75" customHeight="1">
      <c r="A26" s="272"/>
      <c r="B26" s="272"/>
      <c r="C26" s="272"/>
      <c r="D26" s="272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ht="15.75" customHeight="1">
      <c r="A27" s="272"/>
      <c r="B27" s="272"/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ht="15.75" customHeight="1">
      <c r="A28" s="272"/>
      <c r="B28" s="272"/>
      <c r="C28" s="272"/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ht="15.75" customHeight="1">
      <c r="A29" s="272"/>
      <c r="B29" s="272"/>
      <c r="C29" s="272"/>
      <c r="D29" s="272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ht="15.75" customHeight="1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ht="15.75" customHeight="1">
      <c r="A31" s="272"/>
      <c r="B31" s="272"/>
      <c r="C31" s="272"/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ht="15.75" customHeight="1">
      <c r="A32" s="272"/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ht="15.75" customHeight="1">
      <c r="A33" s="272"/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ht="15.75" customHeight="1">
      <c r="A34" s="272"/>
      <c r="B34" s="272"/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ht="15.75" customHeight="1">
      <c r="A35" s="272"/>
      <c r="B35" s="272"/>
      <c r="C35" s="272"/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ht="15.75" customHeight="1">
      <c r="A36" s="272"/>
      <c r="B36" s="272"/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ht="15.75" customHeight="1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ht="15.75" customHeight="1">
      <c r="A38" s="272"/>
      <c r="B38" s="272"/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ht="15.75" customHeight="1">
      <c r="A39" s="272"/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ht="15.75" customHeight="1">
      <c r="A40" s="272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ht="15.75" customHeight="1">
      <c r="A41" s="272"/>
      <c r="B41" s="272"/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ht="15.75" customHeight="1">
      <c r="A42" s="272"/>
      <c r="B42" s="272"/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ht="15.75" customHeight="1">
      <c r="A43" s="272"/>
      <c r="B43" s="272"/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ht="15.75" customHeight="1">
      <c r="A44" s="272"/>
      <c r="B44" s="272"/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ht="15.75" customHeight="1">
      <c r="A45" s="272"/>
      <c r="B45" s="272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ht="15.75" customHeight="1">
      <c r="A46" s="272"/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ht="15.75" customHeight="1">
      <c r="A47" s="272"/>
      <c r="B47" s="272"/>
      <c r="C47" s="27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ht="15.75" customHeight="1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ht="15.75" customHeight="1">
      <c r="A49" s="272"/>
      <c r="B49" s="272"/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ht="15.75" customHeight="1">
      <c r="A50" s="272"/>
      <c r="B50" s="272"/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  <row r="51" ht="15.75" customHeight="1">
      <c r="A51" s="272"/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</row>
    <row r="52" ht="15.75" customHeight="1">
      <c r="A52" s="272"/>
      <c r="B52" s="272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</row>
    <row r="53" ht="15.75" customHeight="1">
      <c r="A53" s="272"/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</row>
    <row r="54" ht="15.75" customHeight="1">
      <c r="A54" s="272"/>
      <c r="B54" s="272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</row>
    <row r="55" ht="15.75" customHeight="1">
      <c r="A55" s="272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</row>
    <row r="56" ht="15.75" customHeight="1">
      <c r="A56" s="272"/>
      <c r="B56" s="272"/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</row>
    <row r="57" ht="15.75" customHeight="1">
      <c r="A57" s="272"/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</row>
    <row r="58" ht="15.75" customHeight="1">
      <c r="A58" s="272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</row>
    <row r="59" ht="15.75" customHeight="1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</row>
    <row r="60" ht="15.75" customHeight="1">
      <c r="A60" s="272"/>
      <c r="B60" s="272"/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</row>
    <row r="61" ht="15.75" customHeight="1">
      <c r="A61" s="272"/>
      <c r="B61" s="272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</row>
    <row r="62" ht="15.75" customHeight="1">
      <c r="A62" s="272"/>
      <c r="B62" s="272"/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</row>
    <row r="63" ht="15.75" customHeight="1">
      <c r="A63" s="272"/>
      <c r="B63" s="272"/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</row>
    <row r="64" ht="15.75" customHeight="1">
      <c r="A64" s="272"/>
      <c r="B64" s="272"/>
      <c r="C64" s="272"/>
      <c r="D64" s="272"/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</row>
    <row r="65" ht="15.75" customHeight="1">
      <c r="A65" s="272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</row>
    <row r="66" ht="15.75" customHeight="1">
      <c r="A66" s="272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</row>
    <row r="67" ht="15.75" customHeight="1">
      <c r="A67" s="272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</row>
    <row r="68" ht="15.75" customHeight="1">
      <c r="A68" s="272"/>
      <c r="B68" s="272"/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</row>
    <row r="69" ht="15.75" customHeight="1">
      <c r="A69" s="272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</row>
    <row r="70" ht="15.75" customHeight="1">
      <c r="A70" s="272"/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</row>
    <row r="71" ht="15.75" customHeight="1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</row>
    <row r="72" ht="15.75" customHeight="1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</row>
    <row r="73" ht="15.75" customHeight="1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</row>
    <row r="74" ht="15.75" customHeight="1">
      <c r="A74" s="272"/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</row>
    <row r="75" ht="15.75" customHeight="1">
      <c r="A75" s="272"/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</row>
    <row r="76" ht="15.75" customHeight="1">
      <c r="A76" s="272"/>
      <c r="B76" s="272"/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</row>
    <row r="77" ht="15.75" customHeight="1">
      <c r="A77" s="272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</row>
    <row r="78" ht="15.75" customHeight="1">
      <c r="A78" s="272"/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</row>
    <row r="79" ht="15.75" customHeight="1">
      <c r="A79" s="272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</row>
    <row r="80" ht="15.75" customHeight="1">
      <c r="A80" s="272"/>
      <c r="B80" s="272"/>
      <c r="C80" s="272"/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</row>
    <row r="81" ht="15.75" customHeight="1">
      <c r="A81" s="272"/>
      <c r="B81" s="272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</row>
    <row r="82" ht="15.75" customHeight="1">
      <c r="A82" s="272"/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</row>
    <row r="83" ht="15.75" customHeight="1">
      <c r="A83" s="272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</row>
    <row r="84" ht="15.75" customHeight="1">
      <c r="A84" s="272"/>
      <c r="B84" s="272"/>
      <c r="C84" s="272"/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</row>
    <row r="85" ht="15.75" customHeight="1">
      <c r="A85" s="272"/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</row>
    <row r="86" ht="15.75" customHeight="1">
      <c r="A86" s="272"/>
      <c r="B86" s="272"/>
      <c r="C86" s="272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</row>
    <row r="87" ht="15.75" customHeight="1">
      <c r="A87" s="272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</row>
    <row r="88" ht="15.75" customHeight="1">
      <c r="A88" s="272"/>
      <c r="B88" s="272"/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</row>
    <row r="89" ht="15.75" customHeight="1">
      <c r="A89" s="272"/>
      <c r="B89" s="272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</row>
    <row r="90" ht="15.75" customHeight="1">
      <c r="A90" s="272"/>
      <c r="B90" s="272"/>
      <c r="C90" s="272"/>
      <c r="D90" s="272"/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</row>
    <row r="91" ht="15.75" customHeight="1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</row>
    <row r="92" ht="15.75" customHeight="1">
      <c r="A92" s="272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</row>
    <row r="93" ht="15.75" customHeight="1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</row>
    <row r="94" ht="15.75" customHeight="1">
      <c r="A94" s="272"/>
      <c r="B94" s="272"/>
      <c r="C94" s="272"/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</row>
    <row r="95" ht="15.75" customHeight="1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</row>
    <row r="96" ht="15.75" customHeight="1">
      <c r="A96" s="272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</row>
    <row r="97" ht="15.75" customHeight="1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</row>
    <row r="98" ht="15.75" customHeight="1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</row>
    <row r="99" ht="15.75" customHeight="1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</row>
    <row r="100" ht="15.75" customHeight="1">
      <c r="A100" s="272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</row>
    <row r="101" ht="15.75" customHeight="1">
      <c r="A101" s="272"/>
      <c r="B101" s="272"/>
      <c r="C101" s="272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</row>
    <row r="102" ht="15.75" customHeight="1">
      <c r="A102" s="272"/>
      <c r="B102" s="272"/>
      <c r="C102" s="272"/>
      <c r="D102" s="272"/>
      <c r="E102" s="272"/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</row>
    <row r="103" ht="15.75" customHeight="1">
      <c r="A103" s="272"/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</row>
    <row r="104" ht="15.75" customHeight="1">
      <c r="A104" s="272"/>
      <c r="B104" s="272"/>
      <c r="C104" s="272"/>
      <c r="D104" s="272"/>
      <c r="E104" s="272"/>
      <c r="F104" s="272"/>
      <c r="G104" s="272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</row>
    <row r="105" ht="15.75" customHeight="1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</row>
    <row r="106" ht="15.75" customHeight="1">
      <c r="A106" s="272"/>
      <c r="B106" s="272"/>
      <c r="C106" s="272"/>
      <c r="D106" s="272"/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</row>
    <row r="107" ht="15.75" customHeight="1">
      <c r="A107" s="272"/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</row>
    <row r="108" ht="15.75" customHeight="1">
      <c r="A108" s="272"/>
      <c r="B108" s="272"/>
      <c r="C108" s="272"/>
      <c r="D108" s="272"/>
      <c r="E108" s="272"/>
      <c r="F108" s="272"/>
      <c r="G108" s="272"/>
      <c r="H108" s="272"/>
      <c r="I108" s="272"/>
      <c r="J108" s="272"/>
      <c r="K108" s="272"/>
      <c r="L108" s="272"/>
      <c r="M108" s="272"/>
      <c r="N108" s="272"/>
      <c r="O108" s="272"/>
      <c r="P108" s="272"/>
      <c r="Q108" s="272"/>
      <c r="R108" s="272"/>
      <c r="S108" s="272"/>
      <c r="T108" s="272"/>
      <c r="U108" s="272"/>
      <c r="V108" s="272"/>
      <c r="W108" s="272"/>
      <c r="X108" s="272"/>
      <c r="Y108" s="272"/>
      <c r="Z108" s="272"/>
    </row>
    <row r="109" ht="15.75" customHeight="1">
      <c r="A109" s="272"/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  <c r="P109" s="272"/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</row>
    <row r="110" ht="15.75" customHeight="1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  <c r="P110" s="272"/>
      <c r="Q110" s="272"/>
      <c r="R110" s="272"/>
      <c r="S110" s="272"/>
      <c r="T110" s="272"/>
      <c r="U110" s="272"/>
      <c r="V110" s="272"/>
      <c r="W110" s="272"/>
      <c r="X110" s="272"/>
      <c r="Y110" s="272"/>
      <c r="Z110" s="272"/>
    </row>
    <row r="111" ht="15.75" customHeight="1">
      <c r="A111" s="272"/>
      <c r="B111" s="272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2"/>
      <c r="T111" s="272"/>
      <c r="U111" s="272"/>
      <c r="V111" s="272"/>
      <c r="W111" s="272"/>
      <c r="X111" s="272"/>
      <c r="Y111" s="272"/>
      <c r="Z111" s="272"/>
    </row>
    <row r="112" ht="15.75" customHeight="1">
      <c r="A112" s="272"/>
      <c r="B112" s="272"/>
      <c r="C112" s="272"/>
      <c r="D112" s="272"/>
      <c r="E112" s="272"/>
      <c r="F112" s="272"/>
      <c r="G112" s="272"/>
      <c r="H112" s="272"/>
      <c r="I112" s="272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2"/>
      <c r="V112" s="272"/>
      <c r="W112" s="272"/>
      <c r="X112" s="272"/>
      <c r="Y112" s="272"/>
      <c r="Z112" s="272"/>
    </row>
    <row r="113" ht="15.75" customHeight="1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2"/>
      <c r="P113" s="272"/>
      <c r="Q113" s="272"/>
      <c r="R113" s="272"/>
      <c r="S113" s="272"/>
      <c r="T113" s="272"/>
      <c r="U113" s="272"/>
      <c r="V113" s="272"/>
      <c r="W113" s="272"/>
      <c r="X113" s="272"/>
      <c r="Y113" s="272"/>
      <c r="Z113" s="272"/>
    </row>
    <row r="114" ht="15.75" customHeight="1">
      <c r="A114" s="272"/>
      <c r="B114" s="272"/>
      <c r="C114" s="272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2"/>
      <c r="U114" s="272"/>
      <c r="V114" s="272"/>
      <c r="W114" s="272"/>
      <c r="X114" s="272"/>
      <c r="Y114" s="272"/>
      <c r="Z114" s="272"/>
    </row>
    <row r="115" ht="15.75" customHeight="1">
      <c r="A115" s="272"/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</row>
    <row r="116" ht="15.75" customHeight="1">
      <c r="A116" s="272"/>
      <c r="B116" s="272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72"/>
      <c r="X116" s="272"/>
      <c r="Y116" s="272"/>
      <c r="Z116" s="272"/>
    </row>
    <row r="117" ht="15.75" customHeight="1">
      <c r="A117" s="272"/>
      <c r="B117" s="272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</row>
    <row r="118" ht="15.75" customHeight="1">
      <c r="A118" s="272"/>
      <c r="B118" s="272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72"/>
      <c r="X118" s="272"/>
      <c r="Y118" s="272"/>
      <c r="Z118" s="272"/>
    </row>
    <row r="119" ht="15.75" customHeight="1">
      <c r="A119" s="272"/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</row>
    <row r="120" ht="15.75" customHeight="1">
      <c r="A120" s="272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</row>
    <row r="121" ht="15.75" customHeight="1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</row>
    <row r="122" ht="15.75" customHeight="1">
      <c r="A122" s="272"/>
      <c r="B122" s="272"/>
      <c r="C122" s="272"/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</row>
    <row r="123" ht="15.75" customHeight="1">
      <c r="A123" s="272"/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</row>
    <row r="124" ht="15.75" customHeight="1">
      <c r="A124" s="272"/>
      <c r="B124" s="272"/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</row>
    <row r="125" ht="15.75" customHeight="1">
      <c r="A125" s="272"/>
      <c r="B125" s="272"/>
      <c r="C125" s="272"/>
      <c r="D125" s="272"/>
      <c r="E125" s="272"/>
      <c r="F125" s="272"/>
      <c r="G125" s="272"/>
      <c r="H125" s="272"/>
      <c r="I125" s="272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</row>
    <row r="126" ht="15.75" customHeight="1">
      <c r="A126" s="272"/>
      <c r="B126" s="272"/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72"/>
    </row>
    <row r="127" ht="15.75" customHeight="1">
      <c r="A127" s="272"/>
      <c r="B127" s="272"/>
      <c r="C127" s="272"/>
      <c r="D127" s="272"/>
      <c r="E127" s="272"/>
      <c r="F127" s="272"/>
      <c r="G127" s="272"/>
      <c r="H127" s="272"/>
      <c r="I127" s="272"/>
      <c r="J127" s="272"/>
      <c r="K127" s="272"/>
      <c r="L127" s="272"/>
      <c r="M127" s="272"/>
      <c r="N127" s="272"/>
      <c r="O127" s="272"/>
      <c r="P127" s="272"/>
      <c r="Q127" s="272"/>
      <c r="R127" s="272"/>
      <c r="S127" s="272"/>
      <c r="T127" s="272"/>
      <c r="U127" s="272"/>
      <c r="V127" s="272"/>
      <c r="W127" s="272"/>
      <c r="X127" s="272"/>
      <c r="Y127" s="272"/>
      <c r="Z127" s="272"/>
    </row>
    <row r="128" ht="15.75" customHeight="1">
      <c r="A128" s="272"/>
      <c r="B128" s="272"/>
      <c r="C128" s="272"/>
      <c r="D128" s="272"/>
      <c r="E128" s="272"/>
      <c r="F128" s="272"/>
      <c r="G128" s="272"/>
      <c r="H128" s="272"/>
      <c r="I128" s="272"/>
      <c r="J128" s="272"/>
      <c r="K128" s="272"/>
      <c r="L128" s="272"/>
      <c r="M128" s="272"/>
      <c r="N128" s="272"/>
      <c r="O128" s="272"/>
      <c r="P128" s="272"/>
      <c r="Q128" s="272"/>
      <c r="R128" s="272"/>
      <c r="S128" s="272"/>
      <c r="T128" s="272"/>
      <c r="U128" s="272"/>
      <c r="V128" s="272"/>
      <c r="W128" s="272"/>
      <c r="X128" s="272"/>
      <c r="Y128" s="272"/>
      <c r="Z128" s="272"/>
    </row>
    <row r="129" ht="15.75" customHeight="1">
      <c r="A129" s="272"/>
      <c r="B129" s="272"/>
      <c r="C129" s="272"/>
      <c r="D129" s="272"/>
      <c r="E129" s="272"/>
      <c r="F129" s="272"/>
      <c r="G129" s="272"/>
      <c r="H129" s="272"/>
      <c r="I129" s="272"/>
      <c r="J129" s="272"/>
      <c r="K129" s="272"/>
      <c r="L129" s="272"/>
      <c r="M129" s="272"/>
      <c r="N129" s="272"/>
      <c r="O129" s="272"/>
      <c r="P129" s="272"/>
      <c r="Q129" s="272"/>
      <c r="R129" s="272"/>
      <c r="S129" s="272"/>
      <c r="T129" s="272"/>
      <c r="U129" s="272"/>
      <c r="V129" s="272"/>
      <c r="W129" s="272"/>
      <c r="X129" s="272"/>
      <c r="Y129" s="272"/>
      <c r="Z129" s="272"/>
    </row>
    <row r="130" ht="15.75" customHeight="1">
      <c r="A130" s="272"/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72"/>
      <c r="M130" s="272"/>
      <c r="N130" s="272"/>
      <c r="O130" s="272"/>
      <c r="P130" s="272"/>
      <c r="Q130" s="272"/>
      <c r="R130" s="272"/>
      <c r="S130" s="272"/>
      <c r="T130" s="272"/>
      <c r="U130" s="272"/>
      <c r="V130" s="272"/>
      <c r="W130" s="272"/>
      <c r="X130" s="272"/>
      <c r="Y130" s="272"/>
      <c r="Z130" s="272"/>
    </row>
    <row r="131" ht="15.75" customHeight="1">
      <c r="A131" s="272"/>
      <c r="B131" s="272"/>
      <c r="C131" s="272"/>
      <c r="D131" s="272"/>
      <c r="E131" s="272"/>
      <c r="F131" s="272"/>
      <c r="G131" s="272"/>
      <c r="H131" s="272"/>
      <c r="I131" s="272"/>
      <c r="J131" s="272"/>
      <c r="K131" s="272"/>
      <c r="L131" s="272"/>
      <c r="M131" s="272"/>
      <c r="N131" s="272"/>
      <c r="O131" s="272"/>
      <c r="P131" s="272"/>
      <c r="Q131" s="272"/>
      <c r="R131" s="272"/>
      <c r="S131" s="272"/>
      <c r="T131" s="272"/>
      <c r="U131" s="272"/>
      <c r="V131" s="272"/>
      <c r="W131" s="272"/>
      <c r="X131" s="272"/>
      <c r="Y131" s="272"/>
      <c r="Z131" s="272"/>
    </row>
    <row r="132" ht="15.75" customHeight="1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  <c r="S132" s="272"/>
      <c r="T132" s="272"/>
      <c r="U132" s="272"/>
      <c r="V132" s="272"/>
      <c r="W132" s="272"/>
      <c r="X132" s="272"/>
      <c r="Y132" s="272"/>
      <c r="Z132" s="272"/>
    </row>
    <row r="133" ht="15.75" customHeight="1">
      <c r="A133" s="272"/>
      <c r="B133" s="272"/>
      <c r="C133" s="272"/>
      <c r="D133" s="272"/>
      <c r="E133" s="272"/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</row>
    <row r="134" ht="15.75" customHeight="1">
      <c r="A134" s="272"/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2"/>
      <c r="T134" s="272"/>
      <c r="U134" s="272"/>
      <c r="V134" s="272"/>
      <c r="W134" s="272"/>
      <c r="X134" s="272"/>
      <c r="Y134" s="272"/>
      <c r="Z134" s="272"/>
    </row>
    <row r="135" ht="15.75" customHeight="1">
      <c r="A135" s="272"/>
      <c r="B135" s="272"/>
      <c r="C135" s="272"/>
      <c r="D135" s="272"/>
      <c r="E135" s="272"/>
      <c r="F135" s="272"/>
      <c r="G135" s="272"/>
      <c r="H135" s="272"/>
      <c r="I135" s="272"/>
      <c r="J135" s="272"/>
      <c r="K135" s="272"/>
      <c r="L135" s="272"/>
      <c r="M135" s="272"/>
      <c r="N135" s="272"/>
      <c r="O135" s="272"/>
      <c r="P135" s="272"/>
      <c r="Q135" s="272"/>
      <c r="R135" s="272"/>
      <c r="S135" s="272"/>
      <c r="T135" s="272"/>
      <c r="U135" s="272"/>
      <c r="V135" s="272"/>
      <c r="W135" s="272"/>
      <c r="X135" s="272"/>
      <c r="Y135" s="272"/>
      <c r="Z135" s="272"/>
    </row>
    <row r="136" ht="15.75" customHeight="1">
      <c r="A136" s="272"/>
      <c r="B136" s="272"/>
      <c r="C136" s="272"/>
      <c r="D136" s="272"/>
      <c r="E136" s="272"/>
      <c r="F136" s="272"/>
      <c r="G136" s="272"/>
      <c r="H136" s="272"/>
      <c r="I136" s="272"/>
      <c r="J136" s="272"/>
      <c r="K136" s="272"/>
      <c r="L136" s="272"/>
      <c r="M136" s="272"/>
      <c r="N136" s="272"/>
      <c r="O136" s="272"/>
      <c r="P136" s="272"/>
      <c r="Q136" s="272"/>
      <c r="R136" s="272"/>
      <c r="S136" s="272"/>
      <c r="T136" s="272"/>
      <c r="U136" s="272"/>
      <c r="V136" s="272"/>
      <c r="W136" s="272"/>
      <c r="X136" s="272"/>
      <c r="Y136" s="272"/>
      <c r="Z136" s="272"/>
    </row>
    <row r="137" ht="15.75" customHeight="1">
      <c r="A137" s="272"/>
      <c r="B137" s="272"/>
      <c r="C137" s="272"/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272"/>
      <c r="U137" s="272"/>
      <c r="V137" s="272"/>
      <c r="W137" s="272"/>
      <c r="X137" s="272"/>
      <c r="Y137" s="272"/>
      <c r="Z137" s="272"/>
    </row>
    <row r="138" ht="15.75" customHeight="1">
      <c r="A138" s="272"/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</row>
    <row r="139" ht="15.75" customHeight="1">
      <c r="A139" s="272"/>
      <c r="B139" s="272"/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72"/>
      <c r="V139" s="272"/>
      <c r="W139" s="272"/>
      <c r="X139" s="272"/>
      <c r="Y139" s="272"/>
      <c r="Z139" s="272"/>
    </row>
    <row r="140" ht="15.75" customHeight="1">
      <c r="A140" s="272"/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72"/>
      <c r="V140" s="272"/>
      <c r="W140" s="272"/>
      <c r="X140" s="272"/>
      <c r="Y140" s="272"/>
      <c r="Z140" s="272"/>
    </row>
    <row r="141" ht="15.75" customHeight="1">
      <c r="A141" s="272"/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</row>
    <row r="142" ht="15.75" customHeight="1">
      <c r="A142" s="272"/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72"/>
      <c r="V142" s="272"/>
      <c r="W142" s="272"/>
      <c r="X142" s="272"/>
      <c r="Y142" s="272"/>
      <c r="Z142" s="272"/>
    </row>
    <row r="143" ht="15.75" customHeight="1">
      <c r="A143" s="272"/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72"/>
      <c r="V143" s="272"/>
      <c r="W143" s="272"/>
      <c r="X143" s="272"/>
      <c r="Y143" s="272"/>
      <c r="Z143" s="272"/>
    </row>
    <row r="144" ht="15.75" customHeight="1">
      <c r="A144" s="272"/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72"/>
      <c r="V144" s="272"/>
      <c r="W144" s="272"/>
      <c r="X144" s="272"/>
      <c r="Y144" s="272"/>
      <c r="Z144" s="272"/>
    </row>
    <row r="145" ht="15.75" customHeight="1">
      <c r="A145" s="272"/>
      <c r="B145" s="272"/>
      <c r="C145" s="272"/>
      <c r="D145" s="272"/>
      <c r="E145" s="272"/>
      <c r="F145" s="272"/>
      <c r="G145" s="272"/>
      <c r="H145" s="272"/>
      <c r="I145" s="272"/>
      <c r="J145" s="272"/>
      <c r="K145" s="272"/>
      <c r="L145" s="272"/>
      <c r="M145" s="272"/>
      <c r="N145" s="272"/>
      <c r="O145" s="272"/>
      <c r="P145" s="272"/>
      <c r="Q145" s="272"/>
      <c r="R145" s="272"/>
      <c r="S145" s="272"/>
      <c r="T145" s="272"/>
      <c r="U145" s="272"/>
      <c r="V145" s="272"/>
      <c r="W145" s="272"/>
      <c r="X145" s="272"/>
      <c r="Y145" s="272"/>
      <c r="Z145" s="272"/>
    </row>
    <row r="146" ht="15.75" customHeight="1">
      <c r="A146" s="272"/>
      <c r="B146" s="272"/>
      <c r="C146" s="272"/>
      <c r="D146" s="272"/>
      <c r="E146" s="272"/>
      <c r="F146" s="272"/>
      <c r="G146" s="272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  <c r="V146" s="272"/>
      <c r="W146" s="272"/>
      <c r="X146" s="272"/>
      <c r="Y146" s="272"/>
      <c r="Z146" s="272"/>
    </row>
    <row r="147" ht="15.75" customHeight="1">
      <c r="A147" s="272"/>
      <c r="B147" s="272"/>
      <c r="C147" s="272"/>
      <c r="D147" s="272"/>
      <c r="E147" s="272"/>
      <c r="F147" s="272"/>
      <c r="G147" s="272"/>
      <c r="H147" s="272"/>
      <c r="I147" s="272"/>
      <c r="J147" s="272"/>
      <c r="K147" s="272"/>
      <c r="L147" s="272"/>
      <c r="M147" s="272"/>
      <c r="N147" s="272"/>
      <c r="O147" s="272"/>
      <c r="P147" s="272"/>
      <c r="Q147" s="272"/>
      <c r="R147" s="272"/>
      <c r="S147" s="272"/>
      <c r="T147" s="272"/>
      <c r="U147" s="272"/>
      <c r="V147" s="272"/>
      <c r="W147" s="272"/>
      <c r="X147" s="272"/>
      <c r="Y147" s="272"/>
      <c r="Z147" s="272"/>
    </row>
    <row r="148" ht="15.75" customHeight="1">
      <c r="A148" s="272"/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</row>
    <row r="149" ht="15.75" customHeight="1">
      <c r="A149" s="27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272"/>
      <c r="X149" s="272"/>
      <c r="Y149" s="272"/>
      <c r="Z149" s="272"/>
    </row>
    <row r="150" ht="15.75" customHeight="1">
      <c r="A150" s="272"/>
      <c r="B150" s="272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O150" s="272"/>
      <c r="P150" s="272"/>
      <c r="Q150" s="272"/>
      <c r="R150" s="272"/>
      <c r="S150" s="272"/>
      <c r="T150" s="272"/>
      <c r="U150" s="272"/>
      <c r="V150" s="272"/>
      <c r="W150" s="272"/>
      <c r="X150" s="272"/>
      <c r="Y150" s="272"/>
      <c r="Z150" s="272"/>
    </row>
    <row r="151" ht="15.75" customHeight="1">
      <c r="A151" s="272"/>
      <c r="B151" s="272"/>
      <c r="C151" s="272"/>
      <c r="D151" s="272"/>
      <c r="E151" s="272"/>
      <c r="F151" s="272"/>
      <c r="G151" s="272"/>
      <c r="H151" s="272"/>
      <c r="I151" s="272"/>
      <c r="J151" s="272"/>
      <c r="K151" s="272"/>
      <c r="L151" s="272"/>
      <c r="M151" s="272"/>
      <c r="N151" s="272"/>
      <c r="O151" s="272"/>
      <c r="P151" s="272"/>
      <c r="Q151" s="272"/>
      <c r="R151" s="272"/>
      <c r="S151" s="272"/>
      <c r="T151" s="272"/>
      <c r="U151" s="272"/>
      <c r="V151" s="272"/>
      <c r="W151" s="272"/>
      <c r="X151" s="272"/>
      <c r="Y151" s="272"/>
      <c r="Z151" s="272"/>
    </row>
    <row r="152" ht="15.75" customHeight="1">
      <c r="A152" s="272"/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2"/>
      <c r="N152" s="272"/>
      <c r="O152" s="272"/>
      <c r="P152" s="272"/>
      <c r="Q152" s="272"/>
      <c r="R152" s="272"/>
      <c r="S152" s="272"/>
      <c r="T152" s="272"/>
      <c r="U152" s="272"/>
      <c r="V152" s="272"/>
      <c r="W152" s="272"/>
      <c r="X152" s="272"/>
      <c r="Y152" s="272"/>
      <c r="Z152" s="272"/>
    </row>
    <row r="153" ht="15.75" customHeight="1">
      <c r="A153" s="272"/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272"/>
      <c r="X153" s="272"/>
      <c r="Y153" s="272"/>
      <c r="Z153" s="272"/>
    </row>
    <row r="154" ht="15.75" customHeight="1">
      <c r="A154" s="272"/>
      <c r="B154" s="272"/>
      <c r="C154" s="272"/>
      <c r="D154" s="272"/>
      <c r="E154" s="272"/>
      <c r="F154" s="272"/>
      <c r="G154" s="272"/>
      <c r="H154" s="272"/>
      <c r="I154" s="272"/>
      <c r="J154" s="272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272"/>
      <c r="X154" s="272"/>
      <c r="Y154" s="272"/>
      <c r="Z154" s="272"/>
    </row>
    <row r="155" ht="15.75" customHeight="1">
      <c r="A155" s="272"/>
      <c r="B155" s="272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272"/>
      <c r="X155" s="272"/>
      <c r="Y155" s="272"/>
      <c r="Z155" s="272"/>
    </row>
    <row r="156" ht="15.75" customHeight="1">
      <c r="A156" s="272"/>
      <c r="B156" s="272"/>
      <c r="C156" s="272"/>
      <c r="D156" s="272"/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O156" s="272"/>
      <c r="P156" s="272"/>
      <c r="Q156" s="272"/>
      <c r="R156" s="272"/>
      <c r="S156" s="272"/>
      <c r="T156" s="272"/>
      <c r="U156" s="272"/>
      <c r="V156" s="272"/>
      <c r="W156" s="272"/>
      <c r="X156" s="272"/>
      <c r="Y156" s="272"/>
      <c r="Z156" s="272"/>
    </row>
    <row r="157" ht="15.75" customHeight="1">
      <c r="A157" s="272"/>
      <c r="B157" s="272"/>
      <c r="C157" s="272"/>
      <c r="D157" s="272"/>
      <c r="E157" s="272"/>
      <c r="F157" s="272"/>
      <c r="G157" s="272"/>
      <c r="H157" s="272"/>
      <c r="I157" s="272"/>
      <c r="J157" s="272"/>
      <c r="K157" s="272"/>
      <c r="L157" s="272"/>
      <c r="M157" s="272"/>
      <c r="N157" s="272"/>
      <c r="O157" s="272"/>
      <c r="P157" s="272"/>
      <c r="Q157" s="272"/>
      <c r="R157" s="272"/>
      <c r="S157" s="272"/>
      <c r="T157" s="272"/>
      <c r="U157" s="272"/>
      <c r="V157" s="272"/>
      <c r="W157" s="272"/>
      <c r="X157" s="272"/>
      <c r="Y157" s="272"/>
      <c r="Z157" s="272"/>
    </row>
    <row r="158" ht="15.75" customHeight="1">
      <c r="A158" s="272"/>
      <c r="B158" s="272"/>
      <c r="C158" s="272"/>
      <c r="D158" s="272"/>
      <c r="E158" s="272"/>
      <c r="F158" s="272"/>
      <c r="G158" s="272"/>
      <c r="H158" s="272"/>
      <c r="I158" s="272"/>
      <c r="J158" s="272"/>
      <c r="K158" s="272"/>
      <c r="L158" s="272"/>
      <c r="M158" s="272"/>
      <c r="N158" s="272"/>
      <c r="O158" s="272"/>
      <c r="P158" s="272"/>
      <c r="Q158" s="272"/>
      <c r="R158" s="272"/>
      <c r="S158" s="272"/>
      <c r="T158" s="272"/>
      <c r="U158" s="272"/>
      <c r="V158" s="272"/>
      <c r="W158" s="272"/>
      <c r="X158" s="272"/>
      <c r="Y158" s="272"/>
      <c r="Z158" s="272"/>
    </row>
    <row r="159" ht="15.75" customHeight="1">
      <c r="A159" s="272"/>
      <c r="B159" s="272"/>
      <c r="C159" s="272"/>
      <c r="D159" s="272"/>
      <c r="E159" s="272"/>
      <c r="F159" s="272"/>
      <c r="G159" s="272"/>
      <c r="H159" s="272"/>
      <c r="I159" s="272"/>
      <c r="J159" s="272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</row>
    <row r="160" ht="15.75" customHeight="1">
      <c r="A160" s="272"/>
      <c r="B160" s="272"/>
      <c r="C160" s="272"/>
      <c r="D160" s="272"/>
      <c r="E160" s="272"/>
      <c r="F160" s="272"/>
      <c r="G160" s="272"/>
      <c r="H160" s="272"/>
      <c r="I160" s="272"/>
      <c r="J160" s="272"/>
      <c r="K160" s="272"/>
      <c r="L160" s="272"/>
      <c r="M160" s="272"/>
      <c r="N160" s="272"/>
      <c r="O160" s="272"/>
      <c r="P160" s="272"/>
      <c r="Q160" s="272"/>
      <c r="R160" s="272"/>
      <c r="S160" s="272"/>
      <c r="T160" s="272"/>
      <c r="U160" s="272"/>
      <c r="V160" s="272"/>
      <c r="W160" s="272"/>
      <c r="X160" s="272"/>
      <c r="Y160" s="272"/>
      <c r="Z160" s="272"/>
    </row>
    <row r="161" ht="15.75" customHeight="1">
      <c r="A161" s="272"/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72"/>
      <c r="W161" s="272"/>
      <c r="X161" s="272"/>
      <c r="Y161" s="272"/>
      <c r="Z161" s="272"/>
    </row>
    <row r="162" ht="15.75" customHeight="1">
      <c r="A162" s="272"/>
      <c r="B162" s="272"/>
      <c r="C162" s="272"/>
      <c r="D162" s="272"/>
      <c r="E162" s="272"/>
      <c r="F162" s="272"/>
      <c r="G162" s="272"/>
      <c r="H162" s="272"/>
      <c r="I162" s="272"/>
      <c r="J162" s="272"/>
      <c r="K162" s="272"/>
      <c r="L162" s="272"/>
      <c r="M162" s="272"/>
      <c r="N162" s="272"/>
      <c r="O162" s="272"/>
      <c r="P162" s="272"/>
      <c r="Q162" s="272"/>
      <c r="R162" s="272"/>
      <c r="S162" s="272"/>
      <c r="T162" s="272"/>
      <c r="U162" s="272"/>
      <c r="V162" s="272"/>
      <c r="W162" s="272"/>
      <c r="X162" s="272"/>
      <c r="Y162" s="272"/>
      <c r="Z162" s="272"/>
    </row>
    <row r="163" ht="15.75" customHeight="1">
      <c r="A163" s="272"/>
      <c r="B163" s="272"/>
      <c r="C163" s="272"/>
      <c r="D163" s="272"/>
      <c r="E163" s="272"/>
      <c r="F163" s="272"/>
      <c r="G163" s="272"/>
      <c r="H163" s="272"/>
      <c r="I163" s="272"/>
      <c r="J163" s="272"/>
      <c r="K163" s="272"/>
      <c r="L163" s="272"/>
      <c r="M163" s="272"/>
      <c r="N163" s="272"/>
      <c r="O163" s="272"/>
      <c r="P163" s="272"/>
      <c r="Q163" s="272"/>
      <c r="R163" s="272"/>
      <c r="S163" s="272"/>
      <c r="T163" s="272"/>
      <c r="U163" s="272"/>
      <c r="V163" s="272"/>
      <c r="W163" s="272"/>
      <c r="X163" s="272"/>
      <c r="Y163" s="272"/>
      <c r="Z163" s="272"/>
    </row>
    <row r="164" ht="15.75" customHeight="1">
      <c r="A164" s="272"/>
      <c r="B164" s="272"/>
      <c r="C164" s="272"/>
      <c r="D164" s="272"/>
      <c r="E164" s="272"/>
      <c r="F164" s="272"/>
      <c r="G164" s="272"/>
      <c r="H164" s="272"/>
      <c r="I164" s="272"/>
      <c r="J164" s="272"/>
      <c r="K164" s="272"/>
      <c r="L164" s="272"/>
      <c r="M164" s="272"/>
      <c r="N164" s="272"/>
      <c r="O164" s="272"/>
      <c r="P164" s="272"/>
      <c r="Q164" s="272"/>
      <c r="R164" s="272"/>
      <c r="S164" s="272"/>
      <c r="T164" s="272"/>
      <c r="U164" s="272"/>
      <c r="V164" s="272"/>
      <c r="W164" s="272"/>
      <c r="X164" s="272"/>
      <c r="Y164" s="272"/>
      <c r="Z164" s="272"/>
    </row>
    <row r="165" ht="15.75" customHeight="1">
      <c r="A165" s="272"/>
      <c r="B165" s="272"/>
      <c r="C165" s="272"/>
      <c r="D165" s="272"/>
      <c r="E165" s="272"/>
      <c r="F165" s="272"/>
      <c r="G165" s="272"/>
      <c r="H165" s="272"/>
      <c r="I165" s="272"/>
      <c r="J165" s="272"/>
      <c r="K165" s="272"/>
      <c r="L165" s="272"/>
      <c r="M165" s="272"/>
      <c r="N165" s="272"/>
      <c r="O165" s="272"/>
      <c r="P165" s="272"/>
      <c r="Q165" s="272"/>
      <c r="R165" s="272"/>
      <c r="S165" s="272"/>
      <c r="T165" s="272"/>
      <c r="U165" s="272"/>
      <c r="V165" s="272"/>
      <c r="W165" s="272"/>
      <c r="X165" s="272"/>
      <c r="Y165" s="272"/>
      <c r="Z165" s="272"/>
    </row>
    <row r="166" ht="15.75" customHeight="1">
      <c r="A166" s="272"/>
      <c r="B166" s="272"/>
      <c r="C166" s="272"/>
      <c r="D166" s="272"/>
      <c r="E166" s="272"/>
      <c r="F166" s="272"/>
      <c r="G166" s="272"/>
      <c r="H166" s="272"/>
      <c r="I166" s="272"/>
      <c r="J166" s="272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</row>
    <row r="167" ht="15.75" customHeight="1">
      <c r="A167" s="272"/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2"/>
      <c r="M167" s="272"/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</row>
    <row r="168" ht="15.75" customHeight="1">
      <c r="A168" s="272"/>
      <c r="B168" s="272"/>
      <c r="C168" s="272"/>
      <c r="D168" s="272"/>
      <c r="E168" s="272"/>
      <c r="F168" s="272"/>
      <c r="G168" s="272"/>
      <c r="H168" s="272"/>
      <c r="I168" s="272"/>
      <c r="J168" s="272"/>
      <c r="K168" s="272"/>
      <c r="L168" s="272"/>
      <c r="M168" s="272"/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</row>
    <row r="169" ht="15.75" customHeight="1">
      <c r="A169" s="272"/>
      <c r="B169" s="272"/>
      <c r="C169" s="272"/>
      <c r="D169" s="272"/>
      <c r="E169" s="272"/>
      <c r="F169" s="272"/>
      <c r="G169" s="272"/>
      <c r="H169" s="272"/>
      <c r="I169" s="272"/>
      <c r="J169" s="272"/>
      <c r="K169" s="272"/>
      <c r="L169" s="272"/>
      <c r="M169" s="272"/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</row>
    <row r="170" ht="15.75" customHeight="1">
      <c r="A170" s="272"/>
      <c r="B170" s="272"/>
      <c r="C170" s="272"/>
      <c r="D170" s="272"/>
      <c r="E170" s="272"/>
      <c r="F170" s="272"/>
      <c r="G170" s="272"/>
      <c r="H170" s="272"/>
      <c r="I170" s="272"/>
      <c r="J170" s="272"/>
      <c r="K170" s="272"/>
      <c r="L170" s="272"/>
      <c r="M170" s="272"/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</row>
    <row r="171" ht="15.75" customHeight="1">
      <c r="A171" s="272"/>
      <c r="B171" s="272"/>
      <c r="C171" s="272"/>
      <c r="D171" s="272"/>
      <c r="E171" s="272"/>
      <c r="F171" s="272"/>
      <c r="G171" s="272"/>
      <c r="H171" s="272"/>
      <c r="I171" s="272"/>
      <c r="J171" s="272"/>
      <c r="K171" s="272"/>
      <c r="L171" s="272"/>
      <c r="M171" s="272"/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</row>
    <row r="172" ht="15.75" customHeight="1">
      <c r="A172" s="272"/>
      <c r="B172" s="272"/>
      <c r="C172" s="272"/>
      <c r="D172" s="272"/>
      <c r="E172" s="272"/>
      <c r="F172" s="272"/>
      <c r="G172" s="272"/>
      <c r="H172" s="272"/>
      <c r="I172" s="272"/>
      <c r="J172" s="272"/>
      <c r="K172" s="272"/>
      <c r="L172" s="272"/>
      <c r="M172" s="272"/>
      <c r="N172" s="272"/>
      <c r="O172" s="272"/>
      <c r="P172" s="272"/>
      <c r="Q172" s="272"/>
      <c r="R172" s="272"/>
      <c r="S172" s="272"/>
      <c r="T172" s="272"/>
      <c r="U172" s="272"/>
      <c r="V172" s="272"/>
      <c r="W172" s="272"/>
      <c r="X172" s="272"/>
      <c r="Y172" s="272"/>
      <c r="Z172" s="272"/>
    </row>
    <row r="173" ht="15.75" customHeight="1">
      <c r="A173" s="272"/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</row>
    <row r="174" ht="15.75" customHeight="1">
      <c r="A174" s="272"/>
      <c r="B174" s="272"/>
      <c r="C174" s="272"/>
      <c r="D174" s="272"/>
      <c r="E174" s="272"/>
      <c r="F174" s="272"/>
      <c r="G174" s="272"/>
      <c r="H174" s="272"/>
      <c r="I174" s="272"/>
      <c r="J174" s="272"/>
      <c r="K174" s="272"/>
      <c r="L174" s="272"/>
      <c r="M174" s="272"/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</row>
    <row r="175" ht="15.75" customHeight="1">
      <c r="A175" s="272"/>
      <c r="B175" s="272"/>
      <c r="C175" s="272"/>
      <c r="D175" s="272"/>
      <c r="E175" s="272"/>
      <c r="F175" s="272"/>
      <c r="G175" s="272"/>
      <c r="H175" s="272"/>
      <c r="I175" s="272"/>
      <c r="J175" s="272"/>
      <c r="K175" s="272"/>
      <c r="L175" s="272"/>
      <c r="M175" s="272"/>
      <c r="N175" s="272"/>
      <c r="O175" s="272"/>
      <c r="P175" s="272"/>
      <c r="Q175" s="272"/>
      <c r="R175" s="272"/>
      <c r="S175" s="272"/>
      <c r="T175" s="272"/>
      <c r="U175" s="272"/>
      <c r="V175" s="272"/>
      <c r="W175" s="272"/>
      <c r="X175" s="272"/>
      <c r="Y175" s="272"/>
      <c r="Z175" s="272"/>
    </row>
    <row r="176" ht="15.75" customHeight="1">
      <c r="A176" s="272"/>
      <c r="B176" s="272"/>
      <c r="C176" s="272"/>
      <c r="D176" s="272"/>
      <c r="E176" s="272"/>
      <c r="F176" s="272"/>
      <c r="G176" s="272"/>
      <c r="H176" s="272"/>
      <c r="I176" s="272"/>
      <c r="J176" s="272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</row>
    <row r="177" ht="15.75" customHeight="1">
      <c r="A177" s="272"/>
      <c r="B177" s="272"/>
      <c r="C177" s="272"/>
      <c r="D177" s="272"/>
      <c r="E177" s="272"/>
      <c r="F177" s="272"/>
      <c r="G177" s="272"/>
      <c r="H177" s="272"/>
      <c r="I177" s="272"/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</row>
    <row r="178" ht="15.75" customHeight="1">
      <c r="A178" s="272"/>
      <c r="B178" s="272"/>
      <c r="C178" s="272"/>
      <c r="D178" s="272"/>
      <c r="E178" s="272"/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</row>
    <row r="179" ht="15.75" customHeight="1">
      <c r="A179" s="272"/>
      <c r="B179" s="272"/>
      <c r="C179" s="272"/>
      <c r="D179" s="272"/>
      <c r="E179" s="272"/>
      <c r="F179" s="272"/>
      <c r="G179" s="272"/>
      <c r="H179" s="272"/>
      <c r="I179" s="272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</row>
    <row r="180" ht="15.75" customHeight="1">
      <c r="A180" s="272"/>
      <c r="B180" s="272"/>
      <c r="C180" s="272"/>
      <c r="D180" s="272"/>
      <c r="E180" s="272"/>
      <c r="F180" s="272"/>
      <c r="G180" s="272"/>
      <c r="H180" s="272"/>
      <c r="I180" s="272"/>
      <c r="J180" s="272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</row>
    <row r="181" ht="15.75" customHeight="1">
      <c r="A181" s="272"/>
      <c r="B181" s="272"/>
      <c r="C181" s="272"/>
      <c r="D181" s="272"/>
      <c r="E181" s="272"/>
      <c r="F181" s="272"/>
      <c r="G181" s="272"/>
      <c r="H181" s="272"/>
      <c r="I181" s="272"/>
      <c r="J181" s="272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</row>
    <row r="182" ht="15.75" customHeight="1">
      <c r="A182" s="272"/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</row>
    <row r="183" ht="15.75" customHeight="1">
      <c r="A183" s="272"/>
      <c r="B183" s="272"/>
      <c r="C183" s="272"/>
      <c r="D183" s="272"/>
      <c r="E183" s="272"/>
      <c r="F183" s="272"/>
      <c r="G183" s="272"/>
      <c r="H183" s="272"/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</row>
    <row r="184" ht="15.75" customHeight="1">
      <c r="A184" s="272"/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</row>
    <row r="185" ht="15.75" customHeight="1">
      <c r="A185" s="272"/>
      <c r="B185" s="272"/>
      <c r="C185" s="272"/>
      <c r="D185" s="272"/>
      <c r="E185" s="272"/>
      <c r="F185" s="272"/>
      <c r="G185" s="272"/>
      <c r="H185" s="272"/>
      <c r="I185" s="272"/>
      <c r="J185" s="272"/>
      <c r="K185" s="272"/>
      <c r="L185" s="272"/>
      <c r="M185" s="272"/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</row>
    <row r="186" ht="15.75" customHeight="1">
      <c r="A186" s="272"/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/>
      <c r="X186" s="272"/>
      <c r="Y186" s="272"/>
      <c r="Z186" s="272"/>
    </row>
    <row r="187" ht="15.75" customHeight="1">
      <c r="A187" s="272"/>
      <c r="B187" s="272"/>
      <c r="C187" s="272"/>
      <c r="D187" s="272"/>
      <c r="E187" s="272"/>
      <c r="F187" s="272"/>
      <c r="G187" s="272"/>
      <c r="H187" s="272"/>
      <c r="I187" s="272"/>
      <c r="J187" s="272"/>
      <c r="K187" s="272"/>
      <c r="L187" s="272"/>
      <c r="M187" s="272"/>
      <c r="N187" s="272"/>
      <c r="O187" s="272"/>
      <c r="P187" s="272"/>
      <c r="Q187" s="272"/>
      <c r="R187" s="272"/>
      <c r="S187" s="272"/>
      <c r="T187" s="272"/>
      <c r="U187" s="272"/>
      <c r="V187" s="272"/>
      <c r="W187" s="272"/>
      <c r="X187" s="272"/>
      <c r="Y187" s="272"/>
      <c r="Z187" s="272"/>
    </row>
    <row r="188" ht="15.75" customHeight="1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2"/>
      <c r="N188" s="272"/>
      <c r="O188" s="272"/>
      <c r="P188" s="272"/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</row>
    <row r="189" ht="15.75" customHeight="1">
      <c r="A189" s="272"/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2"/>
      <c r="N189" s="272"/>
      <c r="O189" s="272"/>
      <c r="P189" s="272"/>
      <c r="Q189" s="272"/>
      <c r="R189" s="272"/>
      <c r="S189" s="272"/>
      <c r="T189" s="272"/>
      <c r="U189" s="272"/>
      <c r="V189" s="272"/>
      <c r="W189" s="272"/>
      <c r="X189" s="272"/>
      <c r="Y189" s="272"/>
      <c r="Z189" s="272"/>
    </row>
    <row r="190" ht="15.75" customHeight="1">
      <c r="A190" s="272"/>
      <c r="B190" s="272"/>
      <c r="C190" s="272"/>
      <c r="D190" s="272"/>
      <c r="E190" s="272"/>
      <c r="F190" s="272"/>
      <c r="G190" s="272"/>
      <c r="H190" s="272"/>
      <c r="I190" s="272"/>
      <c r="J190" s="272"/>
      <c r="K190" s="272"/>
      <c r="L190" s="272"/>
      <c r="M190" s="272"/>
      <c r="N190" s="272"/>
      <c r="O190" s="272"/>
      <c r="P190" s="272"/>
      <c r="Q190" s="272"/>
      <c r="R190" s="272"/>
      <c r="S190" s="272"/>
      <c r="T190" s="272"/>
      <c r="U190" s="272"/>
      <c r="V190" s="272"/>
      <c r="W190" s="272"/>
      <c r="X190" s="272"/>
      <c r="Y190" s="272"/>
      <c r="Z190" s="272"/>
    </row>
    <row r="191" ht="15.75" customHeight="1">
      <c r="A191" s="272"/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2"/>
      <c r="N191" s="272"/>
      <c r="O191" s="272"/>
      <c r="P191" s="272"/>
      <c r="Q191" s="272"/>
      <c r="R191" s="272"/>
      <c r="S191" s="272"/>
      <c r="T191" s="272"/>
      <c r="U191" s="272"/>
      <c r="V191" s="272"/>
      <c r="W191" s="272"/>
      <c r="X191" s="272"/>
      <c r="Y191" s="272"/>
      <c r="Z191" s="272"/>
    </row>
    <row r="192" ht="15.75" customHeight="1">
      <c r="A192" s="272"/>
      <c r="B192" s="272"/>
      <c r="C192" s="272"/>
      <c r="D192" s="272"/>
      <c r="E192" s="272"/>
      <c r="F192" s="272"/>
      <c r="G192" s="272"/>
      <c r="H192" s="272"/>
      <c r="I192" s="272"/>
      <c r="J192" s="272"/>
      <c r="K192" s="272"/>
      <c r="L192" s="272"/>
      <c r="M192" s="272"/>
      <c r="N192" s="272"/>
      <c r="O192" s="272"/>
      <c r="P192" s="272"/>
      <c r="Q192" s="272"/>
      <c r="R192" s="272"/>
      <c r="S192" s="272"/>
      <c r="T192" s="272"/>
      <c r="U192" s="272"/>
      <c r="V192" s="272"/>
      <c r="W192" s="272"/>
      <c r="X192" s="272"/>
      <c r="Y192" s="272"/>
      <c r="Z192" s="272"/>
    </row>
    <row r="193" ht="15.75" customHeight="1">
      <c r="A193" s="272"/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2"/>
      <c r="N193" s="272"/>
      <c r="O193" s="272"/>
      <c r="P193" s="272"/>
      <c r="Q193" s="272"/>
      <c r="R193" s="272"/>
      <c r="S193" s="272"/>
      <c r="T193" s="272"/>
      <c r="U193" s="272"/>
      <c r="V193" s="272"/>
      <c r="W193" s="272"/>
      <c r="X193" s="272"/>
      <c r="Y193" s="272"/>
      <c r="Z193" s="272"/>
    </row>
    <row r="194" ht="15.75" customHeight="1">
      <c r="A194" s="272"/>
      <c r="B194" s="272"/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</row>
    <row r="195" ht="15.75" customHeight="1">
      <c r="A195" s="272"/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272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</row>
    <row r="196" ht="15.75" customHeight="1">
      <c r="A196" s="272"/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72"/>
      <c r="R196" s="272"/>
      <c r="S196" s="272"/>
      <c r="T196" s="272"/>
      <c r="U196" s="272"/>
      <c r="V196" s="272"/>
      <c r="W196" s="272"/>
      <c r="X196" s="272"/>
      <c r="Y196" s="272"/>
      <c r="Z196" s="272"/>
    </row>
    <row r="197" ht="15.75" customHeight="1">
      <c r="A197" s="272"/>
      <c r="B197" s="272"/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2"/>
      <c r="N197" s="272"/>
      <c r="O197" s="272"/>
      <c r="P197" s="272"/>
      <c r="Q197" s="272"/>
      <c r="R197" s="272"/>
      <c r="S197" s="272"/>
      <c r="T197" s="272"/>
      <c r="U197" s="272"/>
      <c r="V197" s="272"/>
      <c r="W197" s="272"/>
      <c r="X197" s="272"/>
      <c r="Y197" s="272"/>
      <c r="Z197" s="272"/>
    </row>
    <row r="198" ht="15.75" customHeight="1">
      <c r="A198" s="272"/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</row>
    <row r="199" ht="15.75" customHeight="1">
      <c r="A199" s="272"/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</row>
    <row r="200" ht="15.75" customHeight="1">
      <c r="A200" s="272"/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272"/>
      <c r="P200" s="272"/>
      <c r="Q200" s="272"/>
      <c r="R200" s="272"/>
      <c r="S200" s="272"/>
      <c r="T200" s="272"/>
      <c r="U200" s="272"/>
      <c r="V200" s="272"/>
      <c r="W200" s="272"/>
      <c r="X200" s="272"/>
      <c r="Y200" s="272"/>
      <c r="Z200" s="272"/>
    </row>
    <row r="201" ht="15.75" customHeight="1">
      <c r="A201" s="272"/>
      <c r="B201" s="272"/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2"/>
      <c r="T201" s="272"/>
      <c r="U201" s="272"/>
      <c r="V201" s="272"/>
      <c r="W201" s="272"/>
      <c r="X201" s="272"/>
      <c r="Y201" s="272"/>
      <c r="Z201" s="272"/>
    </row>
    <row r="202" ht="15.75" customHeight="1">
      <c r="A202" s="272"/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  <c r="U202" s="272"/>
      <c r="V202" s="272"/>
      <c r="W202" s="272"/>
      <c r="X202" s="272"/>
      <c r="Y202" s="272"/>
      <c r="Z202" s="272"/>
    </row>
    <row r="203" ht="15.75" customHeight="1">
      <c r="A203" s="272"/>
      <c r="B203" s="272"/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272"/>
      <c r="P203" s="272"/>
      <c r="Q203" s="272"/>
      <c r="R203" s="272"/>
      <c r="S203" s="272"/>
      <c r="T203" s="272"/>
      <c r="U203" s="272"/>
      <c r="V203" s="272"/>
      <c r="W203" s="272"/>
      <c r="X203" s="272"/>
      <c r="Y203" s="272"/>
      <c r="Z203" s="272"/>
    </row>
    <row r="204" ht="15.75" customHeight="1">
      <c r="A204" s="272"/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72"/>
      <c r="R204" s="272"/>
      <c r="S204" s="272"/>
      <c r="T204" s="272"/>
      <c r="U204" s="272"/>
      <c r="V204" s="272"/>
      <c r="W204" s="272"/>
      <c r="X204" s="272"/>
      <c r="Y204" s="272"/>
      <c r="Z204" s="272"/>
    </row>
    <row r="205" ht="15.75" customHeight="1">
      <c r="A205" s="272"/>
      <c r="B205" s="272"/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2"/>
      <c r="N205" s="272"/>
      <c r="O205" s="272"/>
      <c r="P205" s="272"/>
      <c r="Q205" s="272"/>
      <c r="R205" s="272"/>
      <c r="S205" s="272"/>
      <c r="T205" s="272"/>
      <c r="U205" s="272"/>
      <c r="V205" s="272"/>
      <c r="W205" s="272"/>
      <c r="X205" s="272"/>
      <c r="Y205" s="272"/>
      <c r="Z205" s="272"/>
    </row>
    <row r="206" ht="15.75" customHeight="1">
      <c r="A206" s="272"/>
      <c r="B206" s="272"/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2"/>
      <c r="N206" s="272"/>
      <c r="O206" s="272"/>
      <c r="P206" s="272"/>
      <c r="Q206" s="272"/>
      <c r="R206" s="272"/>
      <c r="S206" s="272"/>
      <c r="T206" s="272"/>
      <c r="U206" s="272"/>
      <c r="V206" s="272"/>
      <c r="W206" s="272"/>
      <c r="X206" s="272"/>
      <c r="Y206" s="272"/>
      <c r="Z206" s="272"/>
    </row>
    <row r="207" ht="15.75" customHeight="1">
      <c r="A207" s="272"/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2"/>
      <c r="N207" s="272"/>
      <c r="O207" s="272"/>
      <c r="P207" s="272"/>
      <c r="Q207" s="272"/>
      <c r="R207" s="272"/>
      <c r="S207" s="272"/>
      <c r="T207" s="272"/>
      <c r="U207" s="272"/>
      <c r="V207" s="272"/>
      <c r="W207" s="272"/>
      <c r="X207" s="272"/>
      <c r="Y207" s="272"/>
      <c r="Z207" s="272"/>
    </row>
    <row r="208" ht="15.75" customHeight="1">
      <c r="A208" s="272"/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</row>
    <row r="209" ht="15.75" customHeight="1">
      <c r="A209" s="272"/>
      <c r="B209" s="272"/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2"/>
      <c r="N209" s="272"/>
      <c r="O209" s="272"/>
      <c r="P209" s="272"/>
      <c r="Q209" s="272"/>
      <c r="R209" s="272"/>
      <c r="S209" s="272"/>
      <c r="T209" s="272"/>
      <c r="U209" s="272"/>
      <c r="V209" s="272"/>
      <c r="W209" s="272"/>
      <c r="X209" s="272"/>
      <c r="Y209" s="272"/>
      <c r="Z209" s="272"/>
    </row>
    <row r="210" ht="15.75" customHeight="1">
      <c r="A210" s="272"/>
      <c r="B210" s="272"/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2"/>
    </row>
    <row r="211" ht="15.75" customHeight="1">
      <c r="A211" s="272"/>
      <c r="B211" s="272"/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2"/>
    </row>
    <row r="212" ht="15.75" customHeight="1">
      <c r="A212" s="272"/>
      <c r="B212" s="272"/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272"/>
      <c r="P212" s="272"/>
      <c r="Q212" s="272"/>
      <c r="R212" s="272"/>
      <c r="S212" s="272"/>
      <c r="T212" s="272"/>
      <c r="U212" s="272"/>
      <c r="V212" s="272"/>
      <c r="W212" s="272"/>
      <c r="X212" s="272"/>
      <c r="Y212" s="272"/>
      <c r="Z212" s="272"/>
    </row>
    <row r="213" ht="15.75" customHeight="1">
      <c r="A213" s="272"/>
      <c r="B213" s="272"/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2"/>
      <c r="N213" s="272"/>
      <c r="O213" s="272"/>
      <c r="P213" s="272"/>
      <c r="Q213" s="272"/>
      <c r="R213" s="272"/>
      <c r="S213" s="272"/>
      <c r="T213" s="272"/>
      <c r="U213" s="272"/>
      <c r="V213" s="272"/>
      <c r="W213" s="272"/>
      <c r="X213" s="272"/>
      <c r="Y213" s="272"/>
      <c r="Z213" s="272"/>
    </row>
    <row r="214" ht="15.75" customHeight="1">
      <c r="A214" s="272"/>
      <c r="B214" s="272"/>
      <c r="C214" s="272"/>
      <c r="D214" s="272"/>
      <c r="E214" s="272"/>
      <c r="F214" s="272"/>
      <c r="G214" s="272"/>
      <c r="H214" s="272"/>
      <c r="I214" s="272"/>
      <c r="J214" s="272"/>
      <c r="K214" s="272"/>
      <c r="L214" s="272"/>
      <c r="M214" s="272"/>
      <c r="N214" s="272"/>
      <c r="O214" s="272"/>
      <c r="P214" s="272"/>
      <c r="Q214" s="272"/>
      <c r="R214" s="272"/>
      <c r="S214" s="272"/>
      <c r="T214" s="272"/>
      <c r="U214" s="272"/>
      <c r="V214" s="272"/>
      <c r="W214" s="272"/>
      <c r="X214" s="272"/>
      <c r="Y214" s="272"/>
      <c r="Z214" s="272"/>
    </row>
    <row r="215" ht="15.75" customHeight="1">
      <c r="A215" s="272"/>
      <c r="B215" s="272"/>
      <c r="C215" s="272"/>
      <c r="D215" s="272"/>
      <c r="E215" s="272"/>
      <c r="F215" s="272"/>
      <c r="G215" s="272"/>
      <c r="H215" s="272"/>
      <c r="I215" s="272"/>
      <c r="J215" s="272"/>
      <c r="K215" s="272"/>
      <c r="L215" s="272"/>
      <c r="M215" s="272"/>
      <c r="N215" s="272"/>
      <c r="O215" s="272"/>
      <c r="P215" s="272"/>
      <c r="Q215" s="272"/>
      <c r="R215" s="272"/>
      <c r="S215" s="272"/>
      <c r="T215" s="272"/>
      <c r="U215" s="272"/>
      <c r="V215" s="272"/>
      <c r="W215" s="272"/>
      <c r="X215" s="272"/>
      <c r="Y215" s="272"/>
      <c r="Z215" s="272"/>
    </row>
    <row r="216" ht="15.75" customHeight="1">
      <c r="A216" s="272"/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272"/>
      <c r="N216" s="272"/>
      <c r="O216" s="272"/>
      <c r="P216" s="272"/>
      <c r="Q216" s="272"/>
      <c r="R216" s="272"/>
      <c r="S216" s="272"/>
      <c r="T216" s="272"/>
      <c r="U216" s="272"/>
      <c r="V216" s="272"/>
      <c r="W216" s="272"/>
      <c r="X216" s="272"/>
      <c r="Y216" s="272"/>
      <c r="Z216" s="272"/>
    </row>
    <row r="217" ht="15.75" customHeight="1">
      <c r="A217" s="272"/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2"/>
      <c r="N217" s="272"/>
      <c r="O217" s="272"/>
      <c r="P217" s="272"/>
      <c r="Q217" s="272"/>
      <c r="R217" s="272"/>
      <c r="S217" s="272"/>
      <c r="T217" s="272"/>
      <c r="U217" s="272"/>
      <c r="V217" s="272"/>
      <c r="W217" s="272"/>
      <c r="X217" s="272"/>
      <c r="Y217" s="272"/>
      <c r="Z217" s="272"/>
    </row>
    <row r="218" ht="15.75" customHeight="1">
      <c r="A218" s="272"/>
      <c r="B218" s="272"/>
      <c r="C218" s="272"/>
      <c r="D218" s="272"/>
      <c r="E218" s="272"/>
      <c r="F218" s="272"/>
      <c r="G218" s="272"/>
      <c r="H218" s="272"/>
      <c r="I218" s="272"/>
      <c r="J218" s="272"/>
      <c r="K218" s="272"/>
      <c r="L218" s="272"/>
      <c r="M218" s="272"/>
      <c r="N218" s="272"/>
      <c r="O218" s="272"/>
      <c r="P218" s="272"/>
      <c r="Q218" s="272"/>
      <c r="R218" s="272"/>
      <c r="S218" s="272"/>
      <c r="T218" s="272"/>
      <c r="U218" s="272"/>
      <c r="V218" s="272"/>
      <c r="W218" s="272"/>
      <c r="X218" s="272"/>
      <c r="Y218" s="272"/>
      <c r="Z218" s="272"/>
    </row>
    <row r="219" ht="15.75" customHeight="1">
      <c r="A219" s="272"/>
      <c r="B219" s="272"/>
      <c r="C219" s="272"/>
      <c r="D219" s="272"/>
      <c r="E219" s="272"/>
      <c r="F219" s="272"/>
      <c r="G219" s="272"/>
      <c r="H219" s="272"/>
      <c r="I219" s="272"/>
      <c r="J219" s="272"/>
      <c r="K219" s="272"/>
      <c r="L219" s="272"/>
      <c r="M219" s="272"/>
      <c r="N219" s="272"/>
      <c r="O219" s="272"/>
      <c r="P219" s="272"/>
      <c r="Q219" s="272"/>
      <c r="R219" s="272"/>
      <c r="S219" s="272"/>
      <c r="T219" s="272"/>
      <c r="U219" s="272"/>
      <c r="V219" s="272"/>
      <c r="W219" s="272"/>
      <c r="X219" s="272"/>
      <c r="Y219" s="272"/>
      <c r="Z219" s="272"/>
    </row>
    <row r="220" ht="15.75" customHeight="1">
      <c r="A220" s="272"/>
      <c r="B220" s="272"/>
      <c r="C220" s="272"/>
      <c r="D220" s="272"/>
      <c r="E220" s="272"/>
      <c r="F220" s="272"/>
      <c r="G220" s="272"/>
      <c r="H220" s="272"/>
      <c r="I220" s="272"/>
      <c r="J220" s="272"/>
      <c r="K220" s="272"/>
      <c r="L220" s="272"/>
      <c r="M220" s="272"/>
      <c r="N220" s="272"/>
      <c r="O220" s="272"/>
      <c r="P220" s="272"/>
      <c r="Q220" s="272"/>
      <c r="R220" s="272"/>
      <c r="S220" s="272"/>
      <c r="T220" s="272"/>
      <c r="U220" s="272"/>
      <c r="V220" s="272"/>
      <c r="W220" s="272"/>
      <c r="X220" s="272"/>
      <c r="Y220" s="272"/>
      <c r="Z220" s="272"/>
    </row>
    <row r="221" ht="15.75" customHeight="1">
      <c r="A221" s="272"/>
      <c r="B221" s="272"/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2"/>
      <c r="N221" s="272"/>
      <c r="O221" s="272"/>
      <c r="P221" s="272"/>
      <c r="Q221" s="272"/>
      <c r="R221" s="272"/>
      <c r="S221" s="272"/>
      <c r="T221" s="272"/>
      <c r="U221" s="272"/>
      <c r="V221" s="272"/>
      <c r="W221" s="272"/>
      <c r="X221" s="272"/>
      <c r="Y221" s="272"/>
      <c r="Z221" s="272"/>
    </row>
    <row r="222" ht="15.75" customHeight="1">
      <c r="A222" s="272"/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O222" s="272"/>
      <c r="P222" s="272"/>
      <c r="Q222" s="272"/>
      <c r="R222" s="272"/>
      <c r="S222" s="272"/>
      <c r="T222" s="272"/>
      <c r="U222" s="272"/>
      <c r="V222" s="272"/>
      <c r="W222" s="272"/>
      <c r="X222" s="272"/>
      <c r="Y222" s="272"/>
      <c r="Z222" s="272"/>
    </row>
    <row r="223" ht="15.75" customHeight="1">
      <c r="A223" s="272"/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</row>
    <row r="224" ht="15.75" customHeight="1">
      <c r="A224" s="272"/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2"/>
      <c r="N224" s="272"/>
      <c r="O224" s="272"/>
      <c r="P224" s="272"/>
      <c r="Q224" s="272"/>
      <c r="R224" s="272"/>
      <c r="S224" s="272"/>
      <c r="T224" s="272"/>
      <c r="U224" s="272"/>
      <c r="V224" s="272"/>
      <c r="W224" s="272"/>
      <c r="X224" s="272"/>
      <c r="Y224" s="272"/>
      <c r="Z224" s="272"/>
    </row>
    <row r="225" ht="15.75" customHeight="1">
      <c r="A225" s="272"/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</row>
    <row r="226" ht="15.75" customHeight="1">
      <c r="A226" s="272"/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</row>
    <row r="227" ht="15.75" customHeight="1">
      <c r="A227" s="272"/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</row>
    <row r="228" ht="15.75" customHeight="1">
      <c r="A228" s="272"/>
      <c r="B228" s="272"/>
      <c r="C228" s="272"/>
      <c r="D228" s="272"/>
      <c r="E228" s="272"/>
      <c r="F228" s="272"/>
      <c r="G228" s="272"/>
      <c r="H228" s="272"/>
      <c r="I228" s="272"/>
      <c r="J228" s="272"/>
      <c r="K228" s="272"/>
      <c r="L228" s="272"/>
      <c r="M228" s="272"/>
      <c r="N228" s="272"/>
      <c r="O228" s="272"/>
      <c r="P228" s="272"/>
      <c r="Q228" s="272"/>
      <c r="R228" s="272"/>
      <c r="S228" s="272"/>
      <c r="T228" s="272"/>
      <c r="U228" s="272"/>
      <c r="V228" s="272"/>
      <c r="W228" s="272"/>
      <c r="X228" s="272"/>
      <c r="Y228" s="272"/>
      <c r="Z228" s="272"/>
    </row>
    <row r="229" ht="15.75" customHeight="1">
      <c r="A229" s="272"/>
      <c r="B229" s="272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72"/>
      <c r="R229" s="272"/>
      <c r="S229" s="272"/>
      <c r="T229" s="272"/>
      <c r="U229" s="272"/>
      <c r="V229" s="272"/>
      <c r="W229" s="272"/>
      <c r="X229" s="272"/>
      <c r="Y229" s="272"/>
      <c r="Z229" s="272"/>
    </row>
    <row r="230" ht="15.75" customHeight="1">
      <c r="A230" s="272"/>
      <c r="B230" s="272"/>
      <c r="C230" s="272"/>
      <c r="D230" s="272"/>
      <c r="E230" s="272"/>
      <c r="F230" s="272"/>
      <c r="G230" s="272"/>
      <c r="H230" s="272"/>
      <c r="I230" s="272"/>
      <c r="J230" s="272"/>
      <c r="K230" s="272"/>
      <c r="L230" s="272"/>
      <c r="M230" s="272"/>
      <c r="N230" s="272"/>
      <c r="O230" s="272"/>
      <c r="P230" s="272"/>
      <c r="Q230" s="272"/>
      <c r="R230" s="272"/>
      <c r="S230" s="272"/>
      <c r="T230" s="272"/>
      <c r="U230" s="272"/>
      <c r="V230" s="272"/>
      <c r="W230" s="272"/>
      <c r="X230" s="272"/>
      <c r="Y230" s="272"/>
      <c r="Z230" s="272"/>
    </row>
    <row r="231" ht="15.75" customHeight="1">
      <c r="A231" s="272"/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2"/>
      <c r="N231" s="272"/>
      <c r="O231" s="272"/>
      <c r="P231" s="272"/>
      <c r="Q231" s="272"/>
      <c r="R231" s="272"/>
      <c r="S231" s="272"/>
      <c r="T231" s="272"/>
      <c r="U231" s="272"/>
      <c r="V231" s="272"/>
      <c r="W231" s="272"/>
      <c r="X231" s="272"/>
      <c r="Y231" s="272"/>
      <c r="Z231" s="272"/>
    </row>
    <row r="232" ht="15.75" customHeight="1">
      <c r="A232" s="272"/>
      <c r="B232" s="272"/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2"/>
      <c r="N232" s="272"/>
      <c r="O232" s="272"/>
      <c r="P232" s="272"/>
      <c r="Q232" s="272"/>
      <c r="R232" s="272"/>
      <c r="S232" s="272"/>
      <c r="T232" s="272"/>
      <c r="U232" s="272"/>
      <c r="V232" s="272"/>
      <c r="W232" s="272"/>
      <c r="X232" s="272"/>
      <c r="Y232" s="272"/>
      <c r="Z232" s="272"/>
    </row>
    <row r="233" ht="15.75" customHeight="1">
      <c r="A233" s="272"/>
      <c r="B233" s="272"/>
      <c r="C233" s="272"/>
      <c r="D233" s="272"/>
      <c r="E233" s="272"/>
      <c r="F233" s="272"/>
      <c r="G233" s="272"/>
      <c r="H233" s="272"/>
      <c r="I233" s="272"/>
      <c r="J233" s="272"/>
      <c r="K233" s="272"/>
      <c r="L233" s="272"/>
      <c r="M233" s="272"/>
      <c r="N233" s="272"/>
      <c r="O233" s="272"/>
      <c r="P233" s="272"/>
      <c r="Q233" s="272"/>
      <c r="R233" s="272"/>
      <c r="S233" s="272"/>
      <c r="T233" s="272"/>
      <c r="U233" s="272"/>
      <c r="V233" s="272"/>
      <c r="W233" s="272"/>
      <c r="X233" s="272"/>
      <c r="Y233" s="272"/>
      <c r="Z233" s="272"/>
    </row>
    <row r="234" ht="15.75" customHeight="1">
      <c r="A234" s="272"/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O234" s="272"/>
      <c r="P234" s="272"/>
      <c r="Q234" s="272"/>
      <c r="R234" s="272"/>
      <c r="S234" s="272"/>
      <c r="T234" s="272"/>
      <c r="U234" s="272"/>
      <c r="V234" s="272"/>
      <c r="W234" s="272"/>
      <c r="X234" s="272"/>
      <c r="Y234" s="272"/>
      <c r="Z234" s="272"/>
    </row>
    <row r="235" ht="15.75" customHeight="1">
      <c r="A235" s="272"/>
      <c r="B235" s="272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72"/>
      <c r="R235" s="272"/>
      <c r="S235" s="272"/>
      <c r="T235" s="272"/>
      <c r="U235" s="272"/>
      <c r="V235" s="272"/>
      <c r="W235" s="272"/>
      <c r="X235" s="272"/>
      <c r="Y235" s="272"/>
      <c r="Z235" s="272"/>
    </row>
    <row r="236" ht="15.75" customHeight="1">
      <c r="A236" s="272"/>
      <c r="B236" s="272"/>
      <c r="C236" s="272"/>
      <c r="D236" s="272"/>
      <c r="E236" s="272"/>
      <c r="F236" s="272"/>
      <c r="G236" s="272"/>
      <c r="H236" s="272"/>
      <c r="I236" s="272"/>
      <c r="J236" s="272"/>
      <c r="K236" s="272"/>
      <c r="L236" s="272"/>
      <c r="M236" s="272"/>
      <c r="N236" s="272"/>
      <c r="O236" s="272"/>
      <c r="P236" s="272"/>
      <c r="Q236" s="272"/>
      <c r="R236" s="272"/>
      <c r="S236" s="272"/>
      <c r="T236" s="272"/>
      <c r="U236" s="272"/>
      <c r="V236" s="272"/>
      <c r="W236" s="272"/>
      <c r="X236" s="272"/>
      <c r="Y236" s="272"/>
      <c r="Z236" s="272"/>
    </row>
    <row r="237" ht="15.75" customHeight="1">
      <c r="A237" s="272"/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2"/>
      <c r="N237" s="272"/>
      <c r="O237" s="272"/>
      <c r="P237" s="272"/>
      <c r="Q237" s="272"/>
      <c r="R237" s="272"/>
      <c r="S237" s="272"/>
      <c r="T237" s="272"/>
      <c r="U237" s="272"/>
      <c r="V237" s="272"/>
      <c r="W237" s="272"/>
      <c r="X237" s="272"/>
      <c r="Y237" s="272"/>
      <c r="Z237" s="272"/>
    </row>
    <row r="238" ht="15.75" customHeight="1">
      <c r="A238" s="272"/>
      <c r="B238" s="272"/>
      <c r="C238" s="272"/>
      <c r="D238" s="272"/>
      <c r="E238" s="272"/>
      <c r="F238" s="272"/>
      <c r="G238" s="272"/>
      <c r="H238" s="272"/>
      <c r="I238" s="272"/>
      <c r="J238" s="272"/>
      <c r="K238" s="272"/>
      <c r="L238" s="272"/>
      <c r="M238" s="272"/>
      <c r="N238" s="272"/>
      <c r="O238" s="272"/>
      <c r="P238" s="272"/>
      <c r="Q238" s="272"/>
      <c r="R238" s="272"/>
      <c r="S238" s="272"/>
      <c r="T238" s="272"/>
      <c r="U238" s="272"/>
      <c r="V238" s="272"/>
      <c r="W238" s="272"/>
      <c r="X238" s="272"/>
      <c r="Y238" s="272"/>
      <c r="Z238" s="272"/>
    </row>
    <row r="239" ht="15.75" customHeight="1">
      <c r="A239" s="272"/>
      <c r="B239" s="272"/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2"/>
      <c r="N239" s="272"/>
      <c r="O239" s="272"/>
      <c r="P239" s="272"/>
      <c r="Q239" s="272"/>
      <c r="R239" s="272"/>
      <c r="S239" s="272"/>
      <c r="T239" s="272"/>
      <c r="U239" s="272"/>
      <c r="V239" s="272"/>
      <c r="W239" s="272"/>
      <c r="X239" s="272"/>
      <c r="Y239" s="272"/>
      <c r="Z239" s="272"/>
    </row>
    <row r="240" ht="15.75" customHeight="1">
      <c r="A240" s="272"/>
      <c r="B240" s="272"/>
      <c r="C240" s="272"/>
      <c r="D240" s="272"/>
      <c r="E240" s="272"/>
      <c r="F240" s="272"/>
      <c r="G240" s="272"/>
      <c r="H240" s="272"/>
      <c r="I240" s="272"/>
      <c r="J240" s="272"/>
      <c r="K240" s="272"/>
      <c r="L240" s="272"/>
      <c r="M240" s="272"/>
      <c r="N240" s="272"/>
      <c r="O240" s="272"/>
      <c r="P240" s="272"/>
      <c r="Q240" s="272"/>
      <c r="R240" s="272"/>
      <c r="S240" s="272"/>
      <c r="T240" s="272"/>
      <c r="U240" s="272"/>
      <c r="V240" s="272"/>
      <c r="W240" s="272"/>
      <c r="X240" s="272"/>
      <c r="Y240" s="272"/>
      <c r="Z240" s="272"/>
    </row>
    <row r="241" ht="15.75" customHeight="1">
      <c r="A241" s="272"/>
      <c r="B241" s="272"/>
      <c r="C241" s="272"/>
      <c r="D241" s="272"/>
      <c r="E241" s="272"/>
      <c r="F241" s="272"/>
      <c r="G241" s="272"/>
      <c r="H241" s="272"/>
      <c r="I241" s="272"/>
      <c r="J241" s="272"/>
      <c r="K241" s="272"/>
      <c r="L241" s="272"/>
      <c r="M241" s="272"/>
      <c r="N241" s="272"/>
      <c r="O241" s="272"/>
      <c r="P241" s="272"/>
      <c r="Q241" s="272"/>
      <c r="R241" s="272"/>
      <c r="S241" s="272"/>
      <c r="T241" s="272"/>
      <c r="U241" s="272"/>
      <c r="V241" s="272"/>
      <c r="W241" s="272"/>
      <c r="X241" s="272"/>
      <c r="Y241" s="272"/>
      <c r="Z241" s="272"/>
    </row>
    <row r="242" ht="15.75" customHeight="1">
      <c r="A242" s="272"/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</row>
    <row r="243" ht="15.75" customHeight="1">
      <c r="A243" s="272"/>
      <c r="B243" s="272"/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2"/>
      <c r="N243" s="272"/>
      <c r="O243" s="272"/>
      <c r="P243" s="272"/>
      <c r="Q243" s="272"/>
      <c r="R243" s="272"/>
      <c r="S243" s="272"/>
      <c r="T243" s="272"/>
      <c r="U243" s="272"/>
      <c r="V243" s="272"/>
      <c r="W243" s="272"/>
      <c r="X243" s="272"/>
      <c r="Y243" s="272"/>
      <c r="Z243" s="272"/>
    </row>
    <row r="244" ht="15.75" customHeight="1">
      <c r="A244" s="272"/>
      <c r="B244" s="272"/>
      <c r="C244" s="272"/>
      <c r="D244" s="272"/>
      <c r="E244" s="272"/>
      <c r="F244" s="272"/>
      <c r="G244" s="272"/>
      <c r="H244" s="272"/>
      <c r="I244" s="272"/>
      <c r="J244" s="272"/>
      <c r="K244" s="272"/>
      <c r="L244" s="272"/>
      <c r="M244" s="272"/>
      <c r="N244" s="272"/>
      <c r="O244" s="272"/>
      <c r="P244" s="272"/>
      <c r="Q244" s="272"/>
      <c r="R244" s="272"/>
      <c r="S244" s="272"/>
      <c r="T244" s="272"/>
      <c r="U244" s="272"/>
      <c r="V244" s="272"/>
      <c r="W244" s="272"/>
      <c r="X244" s="272"/>
      <c r="Y244" s="272"/>
      <c r="Z244" s="272"/>
    </row>
    <row r="245" ht="15.75" customHeight="1">
      <c r="A245" s="272"/>
      <c r="B245" s="272"/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2"/>
      <c r="N245" s="272"/>
      <c r="O245" s="272"/>
      <c r="P245" s="272"/>
      <c r="Q245" s="272"/>
      <c r="R245" s="272"/>
      <c r="S245" s="272"/>
      <c r="T245" s="272"/>
      <c r="U245" s="272"/>
      <c r="V245" s="272"/>
      <c r="W245" s="272"/>
      <c r="X245" s="272"/>
      <c r="Y245" s="272"/>
      <c r="Z245" s="272"/>
    </row>
    <row r="246" ht="15.75" customHeight="1">
      <c r="A246" s="272"/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O246" s="272"/>
      <c r="P246" s="272"/>
      <c r="Q246" s="272"/>
      <c r="R246" s="272"/>
      <c r="S246" s="272"/>
      <c r="T246" s="272"/>
      <c r="U246" s="272"/>
      <c r="V246" s="272"/>
      <c r="W246" s="272"/>
      <c r="X246" s="272"/>
      <c r="Y246" s="272"/>
      <c r="Z246" s="272"/>
    </row>
    <row r="247" ht="15.75" customHeight="1">
      <c r="A247" s="272"/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2"/>
      <c r="N247" s="272"/>
      <c r="O247" s="272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</row>
    <row r="248" ht="15.75" customHeight="1">
      <c r="A248" s="272"/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  <c r="L248" s="272"/>
      <c r="M248" s="272"/>
      <c r="N248" s="272"/>
      <c r="O248" s="272"/>
      <c r="P248" s="272"/>
      <c r="Q248" s="272"/>
      <c r="R248" s="272"/>
      <c r="S248" s="272"/>
      <c r="T248" s="272"/>
      <c r="U248" s="272"/>
      <c r="V248" s="272"/>
      <c r="W248" s="272"/>
      <c r="X248" s="272"/>
      <c r="Y248" s="272"/>
      <c r="Z248" s="272"/>
    </row>
    <row r="249" ht="15.75" customHeight="1">
      <c r="A249" s="272"/>
      <c r="B249" s="272"/>
      <c r="C249" s="272"/>
      <c r="D249" s="272"/>
      <c r="E249" s="272"/>
      <c r="F249" s="272"/>
      <c r="G249" s="272"/>
      <c r="H249" s="272"/>
      <c r="I249" s="272"/>
      <c r="J249" s="272"/>
      <c r="K249" s="272"/>
      <c r="L249" s="272"/>
      <c r="M249" s="272"/>
      <c r="N249" s="272"/>
      <c r="O249" s="272"/>
      <c r="P249" s="272"/>
      <c r="Q249" s="272"/>
      <c r="R249" s="272"/>
      <c r="S249" s="272"/>
      <c r="T249" s="272"/>
      <c r="U249" s="272"/>
      <c r="V249" s="272"/>
      <c r="W249" s="272"/>
      <c r="X249" s="272"/>
      <c r="Y249" s="272"/>
      <c r="Z249" s="272"/>
    </row>
    <row r="250" ht="15.75" customHeight="1">
      <c r="A250" s="272"/>
      <c r="B250" s="272"/>
      <c r="C250" s="272"/>
      <c r="D250" s="272"/>
      <c r="E250" s="272"/>
      <c r="F250" s="272"/>
      <c r="G250" s="272"/>
      <c r="H250" s="272"/>
      <c r="I250" s="272"/>
      <c r="J250" s="272"/>
      <c r="K250" s="272"/>
      <c r="L250" s="272"/>
      <c r="M250" s="272"/>
      <c r="N250" s="272"/>
      <c r="O250" s="272"/>
      <c r="P250" s="272"/>
      <c r="Q250" s="272"/>
      <c r="R250" s="272"/>
      <c r="S250" s="272"/>
      <c r="T250" s="272"/>
      <c r="U250" s="272"/>
      <c r="V250" s="272"/>
      <c r="W250" s="272"/>
      <c r="X250" s="272"/>
      <c r="Y250" s="272"/>
      <c r="Z250" s="272"/>
    </row>
    <row r="251" ht="15.75" customHeight="1">
      <c r="A251" s="272"/>
      <c r="B251" s="272"/>
      <c r="C251" s="272"/>
      <c r="D251" s="272"/>
      <c r="E251" s="272"/>
      <c r="F251" s="272"/>
      <c r="G251" s="272"/>
      <c r="H251" s="272"/>
      <c r="I251" s="272"/>
      <c r="J251" s="272"/>
      <c r="K251" s="272"/>
      <c r="L251" s="272"/>
      <c r="M251" s="272"/>
      <c r="N251" s="272"/>
      <c r="O251" s="272"/>
      <c r="P251" s="272"/>
      <c r="Q251" s="272"/>
      <c r="R251" s="272"/>
      <c r="S251" s="272"/>
      <c r="T251" s="272"/>
      <c r="U251" s="272"/>
      <c r="V251" s="272"/>
      <c r="W251" s="272"/>
      <c r="X251" s="272"/>
      <c r="Y251" s="272"/>
      <c r="Z251" s="272"/>
    </row>
    <row r="252" ht="15.75" customHeight="1">
      <c r="A252" s="272"/>
      <c r="B252" s="272"/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72"/>
      <c r="R252" s="272"/>
      <c r="S252" s="272"/>
      <c r="T252" s="272"/>
      <c r="U252" s="272"/>
      <c r="V252" s="272"/>
      <c r="W252" s="272"/>
      <c r="X252" s="272"/>
      <c r="Y252" s="272"/>
      <c r="Z252" s="272"/>
    </row>
    <row r="253" ht="15.75" customHeight="1">
      <c r="A253" s="272"/>
      <c r="B253" s="272"/>
      <c r="C253" s="272"/>
      <c r="D253" s="272"/>
      <c r="E253" s="272"/>
      <c r="F253" s="272"/>
      <c r="G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72"/>
      <c r="R253" s="272"/>
      <c r="S253" s="272"/>
      <c r="T253" s="272"/>
      <c r="U253" s="272"/>
      <c r="V253" s="272"/>
      <c r="W253" s="272"/>
      <c r="X253" s="272"/>
      <c r="Y253" s="272"/>
      <c r="Z253" s="272"/>
    </row>
    <row r="254" ht="15.75" customHeight="1">
      <c r="A254" s="272"/>
      <c r="B254" s="272"/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272"/>
      <c r="S254" s="272"/>
      <c r="T254" s="272"/>
      <c r="U254" s="272"/>
      <c r="V254" s="272"/>
      <c r="W254" s="272"/>
      <c r="X254" s="272"/>
      <c r="Y254" s="272"/>
      <c r="Z254" s="272"/>
    </row>
    <row r="255" ht="15.75" customHeight="1">
      <c r="A255" s="272"/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272"/>
      <c r="S255" s="272"/>
      <c r="T255" s="272"/>
      <c r="U255" s="272"/>
      <c r="V255" s="272"/>
      <c r="W255" s="272"/>
      <c r="X255" s="272"/>
      <c r="Y255" s="272"/>
      <c r="Z255" s="272"/>
    </row>
    <row r="256" ht="15.75" customHeight="1">
      <c r="A256" s="272"/>
      <c r="B256" s="272"/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272"/>
      <c r="S256" s="272"/>
      <c r="T256" s="272"/>
      <c r="U256" s="272"/>
      <c r="V256" s="272"/>
      <c r="W256" s="272"/>
      <c r="X256" s="272"/>
      <c r="Y256" s="272"/>
      <c r="Z256" s="272"/>
    </row>
    <row r="257" ht="15.75" customHeight="1">
      <c r="A257" s="272"/>
      <c r="B257" s="272"/>
      <c r="C257" s="272"/>
      <c r="D257" s="272"/>
      <c r="E257" s="272"/>
      <c r="F257" s="272"/>
      <c r="G257" s="272"/>
      <c r="H257" s="272"/>
      <c r="I257" s="272"/>
      <c r="J257" s="272"/>
      <c r="K257" s="272"/>
      <c r="L257" s="272"/>
      <c r="M257" s="272"/>
      <c r="N257" s="272"/>
      <c r="O257" s="272"/>
      <c r="P257" s="272"/>
      <c r="Q257" s="272"/>
      <c r="R257" s="272"/>
      <c r="S257" s="272"/>
      <c r="T257" s="272"/>
      <c r="U257" s="272"/>
      <c r="V257" s="272"/>
      <c r="W257" s="272"/>
      <c r="X257" s="272"/>
      <c r="Y257" s="272"/>
      <c r="Z257" s="272"/>
    </row>
    <row r="258" ht="15.75" customHeight="1">
      <c r="A258" s="272"/>
      <c r="B258" s="272"/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</row>
    <row r="259" ht="15.75" customHeight="1">
      <c r="A259" s="272"/>
      <c r="B259" s="272"/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2"/>
      <c r="N259" s="272"/>
      <c r="O259" s="272"/>
      <c r="P259" s="272"/>
      <c r="Q259" s="272"/>
      <c r="R259" s="272"/>
      <c r="S259" s="272"/>
      <c r="T259" s="272"/>
      <c r="U259" s="272"/>
      <c r="V259" s="272"/>
      <c r="W259" s="272"/>
      <c r="X259" s="272"/>
      <c r="Y259" s="272"/>
      <c r="Z259" s="272"/>
    </row>
    <row r="260" ht="15.75" customHeight="1">
      <c r="A260" s="272"/>
      <c r="B260" s="272"/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72"/>
      <c r="R260" s="272"/>
      <c r="S260" s="272"/>
      <c r="T260" s="272"/>
      <c r="U260" s="272"/>
      <c r="V260" s="272"/>
      <c r="W260" s="272"/>
      <c r="X260" s="272"/>
      <c r="Y260" s="272"/>
      <c r="Z260" s="272"/>
    </row>
    <row r="261" ht="15.75" customHeight="1">
      <c r="A261" s="272"/>
      <c r="B261" s="272"/>
      <c r="C261" s="272"/>
      <c r="D261" s="272"/>
      <c r="E261" s="272"/>
      <c r="F261" s="272"/>
      <c r="G261" s="272"/>
      <c r="H261" s="272"/>
      <c r="I261" s="272"/>
      <c r="J261" s="272"/>
      <c r="K261" s="272"/>
      <c r="L261" s="272"/>
      <c r="M261" s="272"/>
      <c r="N261" s="272"/>
      <c r="O261" s="272"/>
      <c r="P261" s="272"/>
      <c r="Q261" s="272"/>
      <c r="R261" s="272"/>
      <c r="S261" s="272"/>
      <c r="T261" s="272"/>
      <c r="U261" s="272"/>
      <c r="V261" s="272"/>
      <c r="W261" s="272"/>
      <c r="X261" s="272"/>
      <c r="Y261" s="272"/>
      <c r="Z261" s="272"/>
    </row>
    <row r="262" ht="15.75" customHeight="1">
      <c r="A262" s="272"/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2"/>
      <c r="N262" s="272"/>
      <c r="O262" s="272"/>
      <c r="P262" s="272"/>
      <c r="Q262" s="272"/>
      <c r="R262" s="272"/>
      <c r="S262" s="272"/>
      <c r="T262" s="272"/>
      <c r="U262" s="272"/>
      <c r="V262" s="272"/>
      <c r="W262" s="272"/>
      <c r="X262" s="272"/>
      <c r="Y262" s="272"/>
      <c r="Z262" s="272"/>
    </row>
    <row r="263" ht="15.75" customHeight="1">
      <c r="A263" s="272"/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  <c r="L263" s="272"/>
      <c r="M263" s="272"/>
      <c r="N263" s="272"/>
      <c r="O263" s="272"/>
      <c r="P263" s="272"/>
      <c r="Q263" s="272"/>
      <c r="R263" s="272"/>
      <c r="S263" s="272"/>
      <c r="T263" s="272"/>
      <c r="U263" s="272"/>
      <c r="V263" s="272"/>
      <c r="W263" s="272"/>
      <c r="X263" s="272"/>
      <c r="Y263" s="272"/>
      <c r="Z263" s="272"/>
    </row>
    <row r="264" ht="15.75" customHeight="1">
      <c r="A264" s="272"/>
      <c r="B264" s="272"/>
      <c r="C264" s="272"/>
      <c r="D264" s="272"/>
      <c r="E264" s="272"/>
      <c r="F264" s="272"/>
      <c r="G264" s="272"/>
      <c r="H264" s="272"/>
      <c r="I264" s="272"/>
      <c r="J264" s="272"/>
      <c r="K264" s="272"/>
      <c r="L264" s="272"/>
      <c r="M264" s="272"/>
      <c r="N264" s="272"/>
      <c r="O264" s="272"/>
      <c r="P264" s="272"/>
      <c r="Q264" s="272"/>
      <c r="R264" s="272"/>
      <c r="S264" s="272"/>
      <c r="T264" s="272"/>
      <c r="U264" s="272"/>
      <c r="V264" s="272"/>
      <c r="W264" s="272"/>
      <c r="X264" s="272"/>
      <c r="Y264" s="272"/>
      <c r="Z264" s="272"/>
    </row>
    <row r="265" ht="15.75" customHeight="1">
      <c r="A265" s="272"/>
      <c r="B265" s="272"/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72"/>
      <c r="R265" s="272"/>
      <c r="S265" s="272"/>
      <c r="T265" s="272"/>
      <c r="U265" s="272"/>
      <c r="V265" s="272"/>
      <c r="W265" s="272"/>
      <c r="X265" s="272"/>
      <c r="Y265" s="272"/>
      <c r="Z265" s="272"/>
    </row>
    <row r="266" ht="15.75" customHeight="1">
      <c r="A266" s="272"/>
      <c r="B266" s="272"/>
      <c r="C266" s="272"/>
      <c r="D266" s="272"/>
      <c r="E266" s="272"/>
      <c r="F266" s="272"/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272"/>
      <c r="S266" s="272"/>
      <c r="T266" s="272"/>
      <c r="U266" s="272"/>
      <c r="V266" s="272"/>
      <c r="W266" s="272"/>
      <c r="X266" s="272"/>
      <c r="Y266" s="272"/>
      <c r="Z266" s="272"/>
    </row>
    <row r="267" ht="15.75" customHeight="1">
      <c r="A267" s="272"/>
      <c r="B267" s="272"/>
      <c r="C267" s="272"/>
      <c r="D267" s="272"/>
      <c r="E267" s="272"/>
      <c r="F267" s="272"/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272"/>
      <c r="S267" s="272"/>
      <c r="T267" s="272"/>
      <c r="U267" s="272"/>
      <c r="V267" s="272"/>
      <c r="W267" s="272"/>
      <c r="X267" s="272"/>
      <c r="Y267" s="272"/>
      <c r="Z267" s="272"/>
    </row>
    <row r="268" ht="15.75" customHeight="1">
      <c r="A268" s="272"/>
      <c r="B268" s="272"/>
      <c r="C268" s="272"/>
      <c r="D268" s="272"/>
      <c r="E268" s="272"/>
      <c r="F268" s="272"/>
      <c r="G268" s="272"/>
      <c r="H268" s="272"/>
      <c r="I268" s="272"/>
      <c r="J268" s="272"/>
      <c r="K268" s="272"/>
      <c r="L268" s="272"/>
      <c r="M268" s="272"/>
      <c r="N268" s="272"/>
      <c r="O268" s="272"/>
      <c r="P268" s="272"/>
      <c r="Q268" s="272"/>
      <c r="R268" s="272"/>
      <c r="S268" s="272"/>
      <c r="T268" s="272"/>
      <c r="U268" s="272"/>
      <c r="V268" s="272"/>
      <c r="W268" s="272"/>
      <c r="X268" s="272"/>
      <c r="Y268" s="272"/>
      <c r="Z268" s="272"/>
    </row>
    <row r="269" ht="15.75" customHeight="1">
      <c r="A269" s="272"/>
      <c r="B269" s="272"/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2"/>
      <c r="N269" s="272"/>
      <c r="O269" s="272"/>
      <c r="P269" s="272"/>
      <c r="Q269" s="272"/>
      <c r="R269" s="272"/>
      <c r="S269" s="272"/>
      <c r="T269" s="272"/>
      <c r="U269" s="272"/>
      <c r="V269" s="272"/>
      <c r="W269" s="272"/>
      <c r="X269" s="272"/>
      <c r="Y269" s="272"/>
      <c r="Z269" s="272"/>
    </row>
    <row r="270" ht="15.75" customHeight="1">
      <c r="A270" s="272"/>
      <c r="B270" s="272"/>
      <c r="C270" s="272"/>
      <c r="D270" s="272"/>
      <c r="E270" s="272"/>
      <c r="F270" s="272"/>
      <c r="G270" s="272"/>
      <c r="H270" s="272"/>
      <c r="I270" s="272"/>
      <c r="J270" s="272"/>
      <c r="K270" s="272"/>
      <c r="L270" s="272"/>
      <c r="M270" s="272"/>
      <c r="N270" s="272"/>
      <c r="O270" s="272"/>
      <c r="P270" s="272"/>
      <c r="Q270" s="272"/>
      <c r="R270" s="272"/>
      <c r="S270" s="272"/>
      <c r="T270" s="272"/>
      <c r="U270" s="272"/>
      <c r="V270" s="272"/>
      <c r="W270" s="272"/>
      <c r="X270" s="272"/>
      <c r="Y270" s="272"/>
      <c r="Z270" s="272"/>
    </row>
    <row r="271" ht="15.75" customHeight="1">
      <c r="A271" s="272"/>
      <c r="B271" s="272"/>
      <c r="C271" s="272"/>
      <c r="D271" s="272"/>
      <c r="E271" s="272"/>
      <c r="F271" s="272"/>
      <c r="G271" s="272"/>
      <c r="H271" s="272"/>
      <c r="I271" s="272"/>
      <c r="J271" s="272"/>
      <c r="K271" s="272"/>
      <c r="L271" s="272"/>
      <c r="M271" s="272"/>
      <c r="N271" s="272"/>
      <c r="O271" s="272"/>
      <c r="P271" s="272"/>
      <c r="Q271" s="272"/>
      <c r="R271" s="272"/>
      <c r="S271" s="272"/>
      <c r="T271" s="272"/>
      <c r="U271" s="272"/>
      <c r="V271" s="272"/>
      <c r="W271" s="272"/>
      <c r="X271" s="272"/>
      <c r="Y271" s="272"/>
      <c r="Z271" s="272"/>
    </row>
    <row r="272" ht="15.75" customHeight="1">
      <c r="A272" s="272"/>
      <c r="B272" s="272"/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72"/>
      <c r="R272" s="272"/>
      <c r="S272" s="272"/>
      <c r="T272" s="272"/>
      <c r="U272" s="272"/>
      <c r="V272" s="272"/>
      <c r="W272" s="272"/>
      <c r="X272" s="272"/>
      <c r="Y272" s="272"/>
      <c r="Z272" s="272"/>
    </row>
    <row r="273" ht="15.75" customHeight="1">
      <c r="A273" s="272"/>
      <c r="B273" s="272"/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2"/>
      <c r="X273" s="272"/>
      <c r="Y273" s="272"/>
      <c r="Z273" s="272"/>
    </row>
    <row r="274" ht="15.75" customHeight="1">
      <c r="A274" s="272"/>
      <c r="B274" s="272"/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2"/>
      <c r="N274" s="272"/>
      <c r="O274" s="272"/>
      <c r="P274" s="272"/>
      <c r="Q274" s="272"/>
      <c r="R274" s="272"/>
      <c r="S274" s="272"/>
      <c r="T274" s="272"/>
      <c r="U274" s="272"/>
      <c r="V274" s="272"/>
      <c r="W274" s="272"/>
      <c r="X274" s="272"/>
      <c r="Y274" s="272"/>
      <c r="Z274" s="272"/>
    </row>
    <row r="275" ht="15.75" customHeight="1">
      <c r="A275" s="272"/>
      <c r="B275" s="272"/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</row>
    <row r="276" ht="15.75" customHeight="1">
      <c r="A276" s="272"/>
      <c r="B276" s="272"/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2"/>
      <c r="X276" s="272"/>
      <c r="Y276" s="272"/>
      <c r="Z276" s="272"/>
    </row>
    <row r="277" ht="15.75" customHeight="1">
      <c r="A277" s="272"/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</row>
    <row r="278" ht="15.75" customHeight="1">
      <c r="A278" s="272"/>
      <c r="B278" s="272"/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2"/>
      <c r="X278" s="272"/>
      <c r="Y278" s="272"/>
      <c r="Z278" s="272"/>
    </row>
    <row r="279" ht="15.75" customHeight="1">
      <c r="A279" s="272"/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72"/>
      <c r="R279" s="272"/>
      <c r="S279" s="272"/>
      <c r="T279" s="272"/>
      <c r="U279" s="272"/>
      <c r="V279" s="272"/>
      <c r="W279" s="272"/>
      <c r="X279" s="272"/>
      <c r="Y279" s="272"/>
      <c r="Z279" s="272"/>
    </row>
    <row r="280" ht="15.75" customHeight="1">
      <c r="A280" s="272"/>
      <c r="B280" s="272"/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2"/>
      <c r="N280" s="272"/>
      <c r="O280" s="272"/>
      <c r="P280" s="272"/>
      <c r="Q280" s="272"/>
      <c r="R280" s="272"/>
      <c r="S280" s="272"/>
      <c r="T280" s="272"/>
      <c r="U280" s="272"/>
      <c r="V280" s="272"/>
      <c r="W280" s="272"/>
      <c r="X280" s="272"/>
      <c r="Y280" s="272"/>
      <c r="Z280" s="272"/>
    </row>
    <row r="281" ht="15.75" customHeight="1">
      <c r="A281" s="272"/>
      <c r="B281" s="272"/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2"/>
      <c r="N281" s="272"/>
      <c r="O281" s="272"/>
      <c r="P281" s="272"/>
      <c r="Q281" s="272"/>
      <c r="R281" s="272"/>
      <c r="S281" s="272"/>
      <c r="T281" s="272"/>
      <c r="U281" s="272"/>
      <c r="V281" s="272"/>
      <c r="W281" s="272"/>
      <c r="X281" s="272"/>
      <c r="Y281" s="272"/>
      <c r="Z281" s="272"/>
    </row>
    <row r="282" ht="15.75" customHeight="1">
      <c r="A282" s="272"/>
      <c r="B282" s="272"/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O282" s="272"/>
      <c r="P282" s="272"/>
      <c r="Q282" s="272"/>
      <c r="R282" s="272"/>
      <c r="S282" s="272"/>
      <c r="T282" s="272"/>
      <c r="U282" s="272"/>
      <c r="V282" s="272"/>
      <c r="W282" s="272"/>
      <c r="X282" s="272"/>
      <c r="Y282" s="272"/>
      <c r="Z282" s="272"/>
    </row>
    <row r="283" ht="15.75" customHeight="1">
      <c r="A283" s="272"/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272"/>
      <c r="O283" s="272"/>
      <c r="P283" s="272"/>
      <c r="Q283" s="272"/>
      <c r="R283" s="272"/>
      <c r="S283" s="272"/>
      <c r="T283" s="272"/>
      <c r="U283" s="272"/>
      <c r="V283" s="272"/>
      <c r="W283" s="272"/>
      <c r="X283" s="272"/>
      <c r="Y283" s="272"/>
      <c r="Z283" s="272"/>
    </row>
    <row r="284" ht="15.75" customHeight="1">
      <c r="A284" s="272"/>
      <c r="B284" s="272"/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2"/>
      <c r="N284" s="272"/>
      <c r="O284" s="272"/>
      <c r="P284" s="272"/>
      <c r="Q284" s="272"/>
      <c r="R284" s="272"/>
      <c r="S284" s="272"/>
      <c r="T284" s="272"/>
      <c r="U284" s="272"/>
      <c r="V284" s="272"/>
      <c r="W284" s="272"/>
      <c r="X284" s="272"/>
      <c r="Y284" s="272"/>
      <c r="Z284" s="272"/>
    </row>
    <row r="285" ht="15.75" customHeight="1">
      <c r="A285" s="272"/>
      <c r="B285" s="272"/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2"/>
      <c r="N285" s="272"/>
      <c r="O285" s="272"/>
      <c r="P285" s="272"/>
      <c r="Q285" s="272"/>
      <c r="R285" s="272"/>
      <c r="S285" s="272"/>
      <c r="T285" s="272"/>
      <c r="U285" s="272"/>
      <c r="V285" s="272"/>
      <c r="W285" s="272"/>
      <c r="X285" s="272"/>
      <c r="Y285" s="272"/>
      <c r="Z285" s="272"/>
    </row>
    <row r="286" ht="15.75" customHeight="1">
      <c r="A286" s="272"/>
      <c r="B286" s="272"/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2"/>
      <c r="N286" s="272"/>
      <c r="O286" s="272"/>
      <c r="P286" s="272"/>
      <c r="Q286" s="272"/>
      <c r="R286" s="272"/>
      <c r="S286" s="272"/>
      <c r="T286" s="272"/>
      <c r="U286" s="272"/>
      <c r="V286" s="272"/>
      <c r="W286" s="272"/>
      <c r="X286" s="272"/>
      <c r="Y286" s="272"/>
      <c r="Z286" s="272"/>
    </row>
    <row r="287" ht="15.75" customHeight="1">
      <c r="A287" s="272"/>
      <c r="B287" s="272"/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2"/>
      <c r="N287" s="272"/>
      <c r="O287" s="272"/>
      <c r="P287" s="272"/>
      <c r="Q287" s="272"/>
      <c r="R287" s="272"/>
      <c r="S287" s="272"/>
      <c r="T287" s="272"/>
      <c r="U287" s="272"/>
      <c r="V287" s="272"/>
      <c r="W287" s="272"/>
      <c r="X287" s="272"/>
      <c r="Y287" s="272"/>
      <c r="Z287" s="272"/>
    </row>
    <row r="288" ht="15.75" customHeight="1">
      <c r="A288" s="272"/>
      <c r="B288" s="272"/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O288" s="272"/>
      <c r="P288" s="272"/>
      <c r="Q288" s="272"/>
      <c r="R288" s="272"/>
      <c r="S288" s="272"/>
      <c r="T288" s="272"/>
      <c r="U288" s="272"/>
      <c r="V288" s="272"/>
      <c r="W288" s="272"/>
      <c r="X288" s="272"/>
      <c r="Y288" s="272"/>
      <c r="Z288" s="272"/>
    </row>
    <row r="289" ht="15.75" customHeight="1">
      <c r="A289" s="272"/>
      <c r="B289" s="272"/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72"/>
      <c r="R289" s="272"/>
      <c r="S289" s="272"/>
      <c r="T289" s="272"/>
      <c r="U289" s="272"/>
      <c r="V289" s="272"/>
      <c r="W289" s="272"/>
      <c r="X289" s="272"/>
      <c r="Y289" s="272"/>
      <c r="Z289" s="272"/>
    </row>
    <row r="290" ht="15.75" customHeight="1">
      <c r="A290" s="272"/>
      <c r="B290" s="272"/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2"/>
      <c r="N290" s="272"/>
      <c r="O290" s="272"/>
      <c r="P290" s="272"/>
      <c r="Q290" s="272"/>
      <c r="R290" s="272"/>
      <c r="S290" s="272"/>
      <c r="T290" s="272"/>
      <c r="U290" s="272"/>
      <c r="V290" s="272"/>
      <c r="W290" s="272"/>
      <c r="X290" s="272"/>
      <c r="Y290" s="272"/>
      <c r="Z290" s="272"/>
    </row>
    <row r="291" ht="15.75" customHeight="1">
      <c r="A291" s="272"/>
      <c r="B291" s="272"/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2"/>
      <c r="N291" s="272"/>
      <c r="O291" s="272"/>
      <c r="P291" s="272"/>
      <c r="Q291" s="272"/>
      <c r="R291" s="272"/>
      <c r="S291" s="272"/>
      <c r="T291" s="272"/>
      <c r="U291" s="272"/>
      <c r="V291" s="272"/>
      <c r="W291" s="272"/>
      <c r="X291" s="272"/>
      <c r="Y291" s="272"/>
      <c r="Z291" s="272"/>
    </row>
    <row r="292" ht="15.75" customHeight="1">
      <c r="A292" s="272"/>
      <c r="B292" s="272"/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2"/>
      <c r="N292" s="272"/>
      <c r="O292" s="272"/>
      <c r="P292" s="272"/>
      <c r="Q292" s="272"/>
      <c r="R292" s="272"/>
      <c r="S292" s="272"/>
      <c r="T292" s="272"/>
      <c r="U292" s="272"/>
      <c r="V292" s="272"/>
      <c r="W292" s="272"/>
      <c r="X292" s="272"/>
      <c r="Y292" s="272"/>
      <c r="Z292" s="272"/>
    </row>
    <row r="293" ht="15.75" customHeight="1">
      <c r="A293" s="272"/>
      <c r="B293" s="272"/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2"/>
      <c r="N293" s="272"/>
      <c r="O293" s="272"/>
      <c r="P293" s="272"/>
      <c r="Q293" s="272"/>
      <c r="R293" s="272"/>
      <c r="S293" s="272"/>
      <c r="T293" s="272"/>
      <c r="U293" s="272"/>
      <c r="V293" s="272"/>
      <c r="W293" s="272"/>
      <c r="X293" s="272"/>
      <c r="Y293" s="272"/>
      <c r="Z293" s="272"/>
    </row>
    <row r="294" ht="15.75" customHeight="1">
      <c r="A294" s="272"/>
      <c r="B294" s="272"/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O294" s="272"/>
      <c r="P294" s="272"/>
      <c r="Q294" s="272"/>
      <c r="R294" s="272"/>
      <c r="S294" s="272"/>
      <c r="T294" s="272"/>
      <c r="U294" s="272"/>
      <c r="V294" s="272"/>
      <c r="W294" s="272"/>
      <c r="X294" s="272"/>
      <c r="Y294" s="272"/>
      <c r="Z294" s="272"/>
    </row>
    <row r="295" ht="15.75" customHeight="1">
      <c r="A295" s="272"/>
      <c r="B295" s="272"/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2"/>
      <c r="N295" s="272"/>
      <c r="O295" s="272"/>
      <c r="P295" s="272"/>
      <c r="Q295" s="272"/>
      <c r="R295" s="272"/>
      <c r="S295" s="272"/>
      <c r="T295" s="272"/>
      <c r="U295" s="272"/>
      <c r="V295" s="272"/>
      <c r="W295" s="272"/>
      <c r="X295" s="272"/>
      <c r="Y295" s="272"/>
      <c r="Z295" s="272"/>
    </row>
    <row r="296" ht="15.75" customHeight="1">
      <c r="A296" s="272"/>
      <c r="B296" s="272"/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2"/>
      <c r="N296" s="272"/>
      <c r="O296" s="272"/>
      <c r="P296" s="272"/>
      <c r="Q296" s="272"/>
      <c r="R296" s="272"/>
      <c r="S296" s="272"/>
      <c r="T296" s="272"/>
      <c r="U296" s="272"/>
      <c r="V296" s="272"/>
      <c r="W296" s="272"/>
      <c r="X296" s="272"/>
      <c r="Y296" s="272"/>
      <c r="Z296" s="272"/>
    </row>
    <row r="297" ht="15.75" customHeight="1">
      <c r="A297" s="272"/>
      <c r="B297" s="272"/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2"/>
      <c r="X297" s="272"/>
      <c r="Y297" s="272"/>
      <c r="Z297" s="272"/>
    </row>
    <row r="298" ht="15.75" customHeight="1">
      <c r="A298" s="272"/>
      <c r="B298" s="272"/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2"/>
      <c r="N298" s="272"/>
      <c r="O298" s="272"/>
      <c r="P298" s="272"/>
      <c r="Q298" s="272"/>
      <c r="R298" s="272"/>
      <c r="S298" s="272"/>
      <c r="T298" s="272"/>
      <c r="U298" s="272"/>
      <c r="V298" s="272"/>
      <c r="W298" s="272"/>
      <c r="X298" s="272"/>
      <c r="Y298" s="272"/>
      <c r="Z298" s="272"/>
    </row>
    <row r="299" ht="15.75" customHeight="1">
      <c r="A299" s="272"/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2"/>
      <c r="X299" s="272"/>
      <c r="Y299" s="272"/>
      <c r="Z299" s="272"/>
    </row>
    <row r="300" ht="15.75" customHeight="1">
      <c r="A300" s="272"/>
      <c r="B300" s="272"/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2"/>
      <c r="Z300" s="272"/>
    </row>
    <row r="301" ht="15.75" customHeight="1">
      <c r="A301" s="272"/>
      <c r="B301" s="272"/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2"/>
      <c r="N301" s="272"/>
      <c r="O301" s="272"/>
      <c r="P301" s="272"/>
      <c r="Q301" s="272"/>
      <c r="R301" s="272"/>
      <c r="S301" s="272"/>
      <c r="T301" s="272"/>
      <c r="U301" s="272"/>
      <c r="V301" s="272"/>
      <c r="W301" s="272"/>
      <c r="X301" s="272"/>
      <c r="Y301" s="272"/>
      <c r="Z301" s="272"/>
    </row>
    <row r="302" ht="15.75" customHeight="1">
      <c r="A302" s="272"/>
      <c r="B302" s="272"/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2"/>
      <c r="N302" s="272"/>
      <c r="O302" s="272"/>
      <c r="P302" s="272"/>
      <c r="Q302" s="272"/>
      <c r="R302" s="272"/>
      <c r="S302" s="272"/>
      <c r="T302" s="272"/>
      <c r="U302" s="272"/>
      <c r="V302" s="272"/>
      <c r="W302" s="272"/>
      <c r="X302" s="272"/>
      <c r="Y302" s="272"/>
      <c r="Z302" s="272"/>
    </row>
    <row r="303" ht="15.75" customHeight="1">
      <c r="A303" s="272"/>
      <c r="B303" s="272"/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2"/>
      <c r="N303" s="272"/>
      <c r="O303" s="272"/>
      <c r="P303" s="272"/>
      <c r="Q303" s="272"/>
      <c r="R303" s="272"/>
      <c r="S303" s="272"/>
      <c r="T303" s="272"/>
      <c r="U303" s="272"/>
      <c r="V303" s="272"/>
      <c r="W303" s="272"/>
      <c r="X303" s="272"/>
      <c r="Y303" s="272"/>
      <c r="Z303" s="272"/>
    </row>
    <row r="304" ht="15.75" customHeight="1">
      <c r="A304" s="272"/>
      <c r="B304" s="272"/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2"/>
      <c r="N304" s="272"/>
      <c r="O304" s="272"/>
      <c r="P304" s="272"/>
      <c r="Q304" s="272"/>
      <c r="R304" s="272"/>
      <c r="S304" s="272"/>
      <c r="T304" s="272"/>
      <c r="U304" s="272"/>
      <c r="V304" s="272"/>
      <c r="W304" s="272"/>
      <c r="X304" s="272"/>
      <c r="Y304" s="272"/>
      <c r="Z304" s="272"/>
    </row>
    <row r="305" ht="15.75" customHeight="1">
      <c r="A305" s="272"/>
      <c r="B305" s="272"/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2"/>
      <c r="N305" s="272"/>
      <c r="O305" s="272"/>
      <c r="P305" s="272"/>
      <c r="Q305" s="272"/>
      <c r="R305" s="272"/>
      <c r="S305" s="272"/>
      <c r="T305" s="272"/>
      <c r="U305" s="272"/>
      <c r="V305" s="272"/>
      <c r="W305" s="272"/>
      <c r="X305" s="272"/>
      <c r="Y305" s="272"/>
      <c r="Z305" s="272"/>
    </row>
    <row r="306" ht="15.75" customHeight="1">
      <c r="A306" s="272"/>
      <c r="B306" s="272"/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O306" s="272"/>
      <c r="P306" s="272"/>
      <c r="Q306" s="272"/>
      <c r="R306" s="272"/>
      <c r="S306" s="272"/>
      <c r="T306" s="272"/>
      <c r="U306" s="272"/>
      <c r="V306" s="272"/>
      <c r="W306" s="272"/>
      <c r="X306" s="272"/>
      <c r="Y306" s="272"/>
      <c r="Z306" s="272"/>
    </row>
    <row r="307" ht="15.75" customHeight="1">
      <c r="A307" s="272"/>
      <c r="B307" s="272"/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2"/>
      <c r="N307" s="272"/>
      <c r="O307" s="272"/>
      <c r="P307" s="272"/>
      <c r="Q307" s="272"/>
      <c r="R307" s="272"/>
      <c r="S307" s="272"/>
      <c r="T307" s="272"/>
      <c r="U307" s="272"/>
      <c r="V307" s="272"/>
      <c r="W307" s="272"/>
      <c r="X307" s="272"/>
      <c r="Y307" s="272"/>
      <c r="Z307" s="272"/>
    </row>
    <row r="308" ht="15.75" customHeight="1">
      <c r="A308" s="272"/>
      <c r="B308" s="272"/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2"/>
      <c r="N308" s="272"/>
      <c r="O308" s="272"/>
      <c r="P308" s="272"/>
      <c r="Q308" s="272"/>
      <c r="R308" s="272"/>
      <c r="S308" s="272"/>
      <c r="T308" s="272"/>
      <c r="U308" s="272"/>
      <c r="V308" s="272"/>
      <c r="W308" s="272"/>
      <c r="X308" s="272"/>
      <c r="Y308" s="272"/>
      <c r="Z308" s="272"/>
    </row>
    <row r="309" ht="15.75" customHeight="1">
      <c r="A309" s="272"/>
      <c r="B309" s="272"/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2"/>
      <c r="N309" s="272"/>
      <c r="O309" s="272"/>
      <c r="P309" s="272"/>
      <c r="Q309" s="272"/>
      <c r="R309" s="272"/>
      <c r="S309" s="272"/>
      <c r="T309" s="272"/>
      <c r="U309" s="272"/>
      <c r="V309" s="272"/>
      <c r="W309" s="272"/>
      <c r="X309" s="272"/>
      <c r="Y309" s="272"/>
      <c r="Z309" s="272"/>
    </row>
    <row r="310" ht="15.75" customHeight="1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2"/>
      <c r="N310" s="272"/>
      <c r="O310" s="272"/>
      <c r="P310" s="272"/>
      <c r="Q310" s="272"/>
      <c r="R310" s="272"/>
      <c r="S310" s="272"/>
      <c r="T310" s="272"/>
      <c r="U310" s="272"/>
      <c r="V310" s="272"/>
      <c r="W310" s="272"/>
      <c r="X310" s="272"/>
      <c r="Y310" s="272"/>
      <c r="Z310" s="272"/>
    </row>
    <row r="311" ht="15.75" customHeight="1">
      <c r="A311" s="272"/>
      <c r="B311" s="272"/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2"/>
      <c r="N311" s="272"/>
      <c r="O311" s="272"/>
      <c r="P311" s="272"/>
      <c r="Q311" s="272"/>
      <c r="R311" s="272"/>
      <c r="S311" s="272"/>
      <c r="T311" s="272"/>
      <c r="U311" s="272"/>
      <c r="V311" s="272"/>
      <c r="W311" s="272"/>
      <c r="X311" s="272"/>
      <c r="Y311" s="272"/>
      <c r="Z311" s="272"/>
    </row>
    <row r="312" ht="15.75" customHeight="1">
      <c r="A312" s="272"/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2"/>
      <c r="X312" s="272"/>
      <c r="Y312" s="272"/>
      <c r="Z312" s="272"/>
    </row>
    <row r="313" ht="15.75" customHeight="1">
      <c r="A313" s="272"/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2"/>
      <c r="N313" s="272"/>
      <c r="O313" s="272"/>
      <c r="P313" s="272"/>
      <c r="Q313" s="272"/>
      <c r="R313" s="272"/>
      <c r="S313" s="272"/>
      <c r="T313" s="272"/>
      <c r="U313" s="272"/>
      <c r="V313" s="272"/>
      <c r="W313" s="272"/>
      <c r="X313" s="272"/>
      <c r="Y313" s="272"/>
      <c r="Z313" s="272"/>
    </row>
    <row r="314" ht="15.75" customHeight="1">
      <c r="A314" s="272"/>
      <c r="B314" s="272"/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</row>
    <row r="315" ht="15.75" customHeight="1">
      <c r="A315" s="272"/>
      <c r="B315" s="272"/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2"/>
      <c r="N315" s="272"/>
      <c r="O315" s="272"/>
      <c r="P315" s="272"/>
      <c r="Q315" s="272"/>
      <c r="R315" s="272"/>
      <c r="S315" s="272"/>
      <c r="T315" s="272"/>
      <c r="U315" s="272"/>
      <c r="V315" s="272"/>
      <c r="W315" s="272"/>
      <c r="X315" s="272"/>
      <c r="Y315" s="272"/>
      <c r="Z315" s="272"/>
    </row>
    <row r="316" ht="15.75" customHeight="1">
      <c r="A316" s="272"/>
      <c r="B316" s="272"/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2"/>
      <c r="N316" s="272"/>
      <c r="O316" s="272"/>
      <c r="P316" s="272"/>
      <c r="Q316" s="272"/>
      <c r="R316" s="272"/>
      <c r="S316" s="272"/>
      <c r="T316" s="272"/>
      <c r="U316" s="272"/>
      <c r="V316" s="272"/>
      <c r="W316" s="272"/>
      <c r="X316" s="272"/>
      <c r="Y316" s="272"/>
      <c r="Z316" s="272"/>
    </row>
    <row r="317" ht="15.75" customHeight="1">
      <c r="A317" s="272"/>
      <c r="B317" s="272"/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2"/>
      <c r="N317" s="272"/>
      <c r="O317" s="272"/>
      <c r="P317" s="272"/>
      <c r="Q317" s="272"/>
      <c r="R317" s="272"/>
      <c r="S317" s="272"/>
      <c r="T317" s="272"/>
      <c r="U317" s="272"/>
      <c r="V317" s="272"/>
      <c r="W317" s="272"/>
      <c r="X317" s="272"/>
      <c r="Y317" s="272"/>
      <c r="Z317" s="272"/>
    </row>
    <row r="318" ht="15.75" customHeight="1">
      <c r="A318" s="272"/>
      <c r="B318" s="272"/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O318" s="272"/>
      <c r="P318" s="272"/>
      <c r="Q318" s="272"/>
      <c r="R318" s="272"/>
      <c r="S318" s="272"/>
      <c r="T318" s="272"/>
      <c r="U318" s="272"/>
      <c r="V318" s="272"/>
      <c r="W318" s="272"/>
      <c r="X318" s="272"/>
      <c r="Y318" s="272"/>
      <c r="Z318" s="272"/>
    </row>
    <row r="319" ht="15.75" customHeight="1">
      <c r="A319" s="272"/>
      <c r="B319" s="272"/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2"/>
      <c r="N319" s="272"/>
      <c r="O319" s="272"/>
      <c r="P319" s="272"/>
      <c r="Q319" s="272"/>
      <c r="R319" s="272"/>
      <c r="S319" s="272"/>
      <c r="T319" s="272"/>
      <c r="U319" s="272"/>
      <c r="V319" s="272"/>
      <c r="W319" s="272"/>
      <c r="X319" s="272"/>
      <c r="Y319" s="272"/>
      <c r="Z319" s="272"/>
    </row>
    <row r="320" ht="15.75" customHeight="1">
      <c r="A320" s="272"/>
      <c r="B320" s="272"/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2"/>
      <c r="X320" s="272"/>
      <c r="Y320" s="272"/>
      <c r="Z320" s="272"/>
    </row>
    <row r="321" ht="15.75" customHeight="1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  <c r="Z321" s="272"/>
    </row>
    <row r="322" ht="15.75" customHeight="1">
      <c r="A322" s="272"/>
      <c r="B322" s="272"/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2"/>
      <c r="N322" s="272"/>
      <c r="O322" s="272"/>
      <c r="P322" s="272"/>
      <c r="Q322" s="272"/>
      <c r="R322" s="272"/>
      <c r="S322" s="272"/>
      <c r="T322" s="272"/>
      <c r="U322" s="272"/>
      <c r="V322" s="272"/>
      <c r="W322" s="272"/>
      <c r="X322" s="272"/>
      <c r="Y322" s="272"/>
      <c r="Z322" s="272"/>
    </row>
    <row r="323" ht="15.75" customHeight="1">
      <c r="A323" s="272"/>
      <c r="B323" s="272"/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72"/>
      <c r="R323" s="272"/>
      <c r="S323" s="272"/>
      <c r="T323" s="272"/>
      <c r="U323" s="272"/>
      <c r="V323" s="272"/>
      <c r="W323" s="272"/>
      <c r="X323" s="272"/>
      <c r="Y323" s="272"/>
      <c r="Z323" s="272"/>
    </row>
    <row r="324" ht="15.75" customHeight="1">
      <c r="A324" s="272"/>
      <c r="B324" s="272"/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O324" s="272"/>
      <c r="P324" s="272"/>
      <c r="Q324" s="272"/>
      <c r="R324" s="272"/>
      <c r="S324" s="272"/>
      <c r="T324" s="272"/>
      <c r="U324" s="272"/>
      <c r="V324" s="272"/>
      <c r="W324" s="272"/>
      <c r="X324" s="272"/>
      <c r="Y324" s="272"/>
      <c r="Z324" s="272"/>
    </row>
    <row r="325" ht="15.75" customHeight="1">
      <c r="A325" s="272"/>
      <c r="B325" s="272"/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2"/>
      <c r="N325" s="272"/>
      <c r="O325" s="272"/>
      <c r="P325" s="272"/>
      <c r="Q325" s="272"/>
      <c r="R325" s="272"/>
      <c r="S325" s="272"/>
      <c r="T325" s="272"/>
      <c r="U325" s="272"/>
      <c r="V325" s="272"/>
      <c r="W325" s="272"/>
      <c r="X325" s="272"/>
      <c r="Y325" s="272"/>
      <c r="Z325" s="272"/>
    </row>
    <row r="326" ht="15.75" customHeight="1">
      <c r="A326" s="272"/>
      <c r="B326" s="272"/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2"/>
      <c r="N326" s="272"/>
      <c r="O326" s="272"/>
      <c r="P326" s="272"/>
      <c r="Q326" s="272"/>
      <c r="R326" s="272"/>
      <c r="S326" s="272"/>
      <c r="T326" s="272"/>
      <c r="U326" s="272"/>
      <c r="V326" s="272"/>
      <c r="W326" s="272"/>
      <c r="X326" s="272"/>
      <c r="Y326" s="272"/>
      <c r="Z326" s="272"/>
    </row>
    <row r="327" ht="15.75" customHeight="1">
      <c r="A327" s="272"/>
      <c r="B327" s="272"/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2"/>
      <c r="N327" s="272"/>
      <c r="O327" s="272"/>
      <c r="P327" s="272"/>
      <c r="Q327" s="272"/>
      <c r="R327" s="272"/>
      <c r="S327" s="272"/>
      <c r="T327" s="272"/>
      <c r="U327" s="272"/>
      <c r="V327" s="272"/>
      <c r="W327" s="272"/>
      <c r="X327" s="272"/>
      <c r="Y327" s="272"/>
      <c r="Z327" s="272"/>
    </row>
    <row r="328" ht="15.75" customHeight="1">
      <c r="A328" s="272"/>
      <c r="B328" s="272"/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2"/>
      <c r="N328" s="272"/>
      <c r="O328" s="272"/>
      <c r="P328" s="272"/>
      <c r="Q328" s="272"/>
      <c r="R328" s="272"/>
      <c r="S328" s="272"/>
      <c r="T328" s="272"/>
      <c r="U328" s="272"/>
      <c r="V328" s="272"/>
      <c r="W328" s="272"/>
      <c r="X328" s="272"/>
      <c r="Y328" s="272"/>
      <c r="Z328" s="272"/>
    </row>
    <row r="329" ht="15.75" customHeight="1">
      <c r="A329" s="272"/>
      <c r="B329" s="272"/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2"/>
      <c r="X329" s="272"/>
      <c r="Y329" s="272"/>
      <c r="Z329" s="272"/>
    </row>
    <row r="330" ht="15.75" customHeight="1">
      <c r="A330" s="272"/>
      <c r="B330" s="272"/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</row>
    <row r="331" ht="15.75" customHeight="1">
      <c r="A331" s="272"/>
      <c r="B331" s="272"/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2"/>
      <c r="N331" s="272"/>
      <c r="O331" s="272"/>
      <c r="P331" s="272"/>
      <c r="Q331" s="272"/>
      <c r="R331" s="272"/>
      <c r="S331" s="272"/>
      <c r="T331" s="272"/>
      <c r="U331" s="272"/>
      <c r="V331" s="272"/>
      <c r="W331" s="272"/>
      <c r="X331" s="272"/>
      <c r="Y331" s="272"/>
      <c r="Z331" s="272"/>
    </row>
    <row r="332" ht="15.75" customHeight="1">
      <c r="A332" s="272"/>
      <c r="B332" s="272"/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2"/>
      <c r="N332" s="272"/>
      <c r="O332" s="272"/>
      <c r="P332" s="272"/>
      <c r="Q332" s="272"/>
      <c r="R332" s="272"/>
      <c r="S332" s="272"/>
      <c r="T332" s="272"/>
      <c r="U332" s="272"/>
      <c r="V332" s="272"/>
      <c r="W332" s="272"/>
      <c r="X332" s="272"/>
      <c r="Y332" s="272"/>
      <c r="Z332" s="272"/>
    </row>
    <row r="333" ht="15.75" customHeight="1">
      <c r="A333" s="272"/>
      <c r="B333" s="272"/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2"/>
      <c r="N333" s="272"/>
      <c r="O333" s="272"/>
      <c r="P333" s="272"/>
      <c r="Q333" s="272"/>
      <c r="R333" s="272"/>
      <c r="S333" s="272"/>
      <c r="T333" s="272"/>
      <c r="U333" s="272"/>
      <c r="V333" s="272"/>
      <c r="W333" s="272"/>
      <c r="X333" s="272"/>
      <c r="Y333" s="272"/>
      <c r="Z333" s="272"/>
    </row>
    <row r="334" ht="15.75" customHeight="1">
      <c r="A334" s="272"/>
      <c r="B334" s="272"/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2"/>
      <c r="N334" s="272"/>
      <c r="O334" s="272"/>
      <c r="P334" s="272"/>
      <c r="Q334" s="272"/>
      <c r="R334" s="272"/>
      <c r="S334" s="272"/>
      <c r="T334" s="272"/>
      <c r="U334" s="272"/>
      <c r="V334" s="272"/>
      <c r="W334" s="272"/>
      <c r="X334" s="272"/>
      <c r="Y334" s="272"/>
      <c r="Z334" s="272"/>
    </row>
    <row r="335" ht="15.75" customHeight="1">
      <c r="A335" s="272"/>
      <c r="B335" s="272"/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2"/>
      <c r="N335" s="272"/>
      <c r="O335" s="272"/>
      <c r="P335" s="272"/>
      <c r="Q335" s="272"/>
      <c r="R335" s="272"/>
      <c r="S335" s="272"/>
      <c r="T335" s="272"/>
      <c r="U335" s="272"/>
      <c r="V335" s="272"/>
      <c r="W335" s="272"/>
      <c r="X335" s="272"/>
      <c r="Y335" s="272"/>
      <c r="Z335" s="272"/>
    </row>
    <row r="336" ht="15.75" customHeight="1">
      <c r="A336" s="272"/>
      <c r="B336" s="272"/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O336" s="272"/>
      <c r="P336" s="272"/>
      <c r="Q336" s="272"/>
      <c r="R336" s="272"/>
      <c r="S336" s="272"/>
      <c r="T336" s="272"/>
      <c r="U336" s="272"/>
      <c r="V336" s="272"/>
      <c r="W336" s="272"/>
      <c r="X336" s="272"/>
      <c r="Y336" s="272"/>
      <c r="Z336" s="272"/>
    </row>
    <row r="337" ht="15.75" customHeight="1">
      <c r="A337" s="272"/>
      <c r="B337" s="272"/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2"/>
      <c r="N337" s="272"/>
      <c r="O337" s="272"/>
      <c r="P337" s="272"/>
      <c r="Q337" s="272"/>
      <c r="R337" s="272"/>
      <c r="S337" s="272"/>
      <c r="T337" s="272"/>
      <c r="U337" s="272"/>
      <c r="V337" s="272"/>
      <c r="W337" s="272"/>
      <c r="X337" s="272"/>
      <c r="Y337" s="272"/>
      <c r="Z337" s="272"/>
    </row>
    <row r="338" ht="15.75" customHeight="1">
      <c r="A338" s="272"/>
      <c r="B338" s="272"/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2"/>
      <c r="O338" s="272"/>
      <c r="P338" s="272"/>
      <c r="Q338" s="272"/>
      <c r="R338" s="272"/>
      <c r="S338" s="272"/>
      <c r="T338" s="272"/>
      <c r="U338" s="272"/>
      <c r="V338" s="272"/>
      <c r="W338" s="272"/>
      <c r="X338" s="272"/>
      <c r="Y338" s="272"/>
      <c r="Z338" s="272"/>
    </row>
    <row r="339" ht="15.75" customHeight="1">
      <c r="A339" s="272"/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2"/>
      <c r="X339" s="272"/>
      <c r="Y339" s="272"/>
      <c r="Z339" s="272"/>
    </row>
    <row r="340" ht="15.75" customHeight="1">
      <c r="A340" s="272"/>
      <c r="B340" s="272"/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2"/>
      <c r="N340" s="272"/>
      <c r="O340" s="272"/>
      <c r="P340" s="272"/>
      <c r="Q340" s="272"/>
      <c r="R340" s="272"/>
      <c r="S340" s="272"/>
      <c r="T340" s="272"/>
      <c r="U340" s="272"/>
      <c r="V340" s="272"/>
      <c r="W340" s="272"/>
      <c r="X340" s="272"/>
      <c r="Y340" s="272"/>
      <c r="Z340" s="272"/>
    </row>
    <row r="341" ht="15.75" customHeight="1">
      <c r="A341" s="272"/>
      <c r="B341" s="272"/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2"/>
      <c r="N341" s="272"/>
      <c r="O341" s="272"/>
      <c r="P341" s="272"/>
      <c r="Q341" s="272"/>
      <c r="R341" s="272"/>
      <c r="S341" s="272"/>
      <c r="T341" s="272"/>
      <c r="U341" s="272"/>
      <c r="V341" s="272"/>
      <c r="W341" s="272"/>
      <c r="X341" s="272"/>
      <c r="Y341" s="272"/>
      <c r="Z341" s="272"/>
    </row>
    <row r="342" ht="15.75" customHeight="1">
      <c r="A342" s="272"/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O342" s="272"/>
      <c r="P342" s="272"/>
      <c r="Q342" s="272"/>
      <c r="R342" s="272"/>
      <c r="S342" s="272"/>
      <c r="T342" s="272"/>
      <c r="U342" s="272"/>
      <c r="V342" s="272"/>
      <c r="W342" s="272"/>
      <c r="X342" s="272"/>
      <c r="Y342" s="272"/>
      <c r="Z342" s="272"/>
    </row>
    <row r="343" ht="15.75" customHeight="1">
      <c r="A343" s="272"/>
      <c r="B343" s="272"/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2"/>
      <c r="N343" s="272"/>
      <c r="O343" s="272"/>
      <c r="P343" s="272"/>
      <c r="Q343" s="272"/>
      <c r="R343" s="272"/>
      <c r="S343" s="272"/>
      <c r="T343" s="272"/>
      <c r="U343" s="272"/>
      <c r="V343" s="272"/>
      <c r="W343" s="272"/>
      <c r="X343" s="272"/>
      <c r="Y343" s="272"/>
      <c r="Z343" s="272"/>
    </row>
    <row r="344" ht="15.75" customHeight="1">
      <c r="A344" s="272"/>
      <c r="B344" s="272"/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2"/>
      <c r="O344" s="272"/>
      <c r="P344" s="272"/>
      <c r="Q344" s="272"/>
      <c r="R344" s="272"/>
      <c r="S344" s="272"/>
      <c r="T344" s="272"/>
      <c r="U344" s="272"/>
      <c r="V344" s="272"/>
      <c r="W344" s="272"/>
      <c r="X344" s="272"/>
      <c r="Y344" s="272"/>
      <c r="Z344" s="272"/>
    </row>
    <row r="345" ht="15.75" customHeight="1">
      <c r="A345" s="272"/>
      <c r="B345" s="272"/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2"/>
      <c r="N345" s="272"/>
      <c r="O345" s="272"/>
      <c r="P345" s="272"/>
      <c r="Q345" s="272"/>
      <c r="R345" s="272"/>
      <c r="S345" s="272"/>
      <c r="T345" s="272"/>
      <c r="U345" s="272"/>
      <c r="V345" s="272"/>
      <c r="W345" s="272"/>
      <c r="X345" s="272"/>
      <c r="Y345" s="272"/>
      <c r="Z345" s="272"/>
    </row>
    <row r="346" ht="15.75" customHeight="1">
      <c r="A346" s="272"/>
      <c r="B346" s="272"/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2"/>
      <c r="N346" s="272"/>
      <c r="O346" s="272"/>
      <c r="P346" s="272"/>
      <c r="Q346" s="272"/>
      <c r="R346" s="272"/>
      <c r="S346" s="272"/>
      <c r="T346" s="272"/>
      <c r="U346" s="272"/>
      <c r="V346" s="272"/>
      <c r="W346" s="272"/>
      <c r="X346" s="272"/>
      <c r="Y346" s="272"/>
      <c r="Z346" s="272"/>
    </row>
    <row r="347" ht="15.75" customHeight="1">
      <c r="A347" s="272"/>
      <c r="B347" s="272"/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2"/>
      <c r="N347" s="272"/>
      <c r="O347" s="272"/>
      <c r="P347" s="272"/>
      <c r="Q347" s="272"/>
      <c r="R347" s="272"/>
      <c r="S347" s="272"/>
      <c r="T347" s="272"/>
      <c r="U347" s="272"/>
      <c r="V347" s="272"/>
      <c r="W347" s="272"/>
      <c r="X347" s="272"/>
      <c r="Y347" s="272"/>
      <c r="Z347" s="272"/>
    </row>
    <row r="348" ht="15.75" customHeight="1">
      <c r="A348" s="272"/>
      <c r="B348" s="272"/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O348" s="272"/>
      <c r="P348" s="272"/>
      <c r="Q348" s="272"/>
      <c r="R348" s="272"/>
      <c r="S348" s="272"/>
      <c r="T348" s="272"/>
      <c r="U348" s="272"/>
      <c r="V348" s="272"/>
      <c r="W348" s="272"/>
      <c r="X348" s="272"/>
      <c r="Y348" s="272"/>
      <c r="Z348" s="272"/>
    </row>
    <row r="349" ht="15.75" customHeight="1">
      <c r="A349" s="272"/>
      <c r="B349" s="272"/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2"/>
      <c r="X349" s="272"/>
      <c r="Y349" s="272"/>
      <c r="Z349" s="272"/>
    </row>
    <row r="350" ht="15.75" customHeight="1">
      <c r="A350" s="272"/>
      <c r="B350" s="272"/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2"/>
      <c r="X350" s="272"/>
      <c r="Y350" s="272"/>
      <c r="Z350" s="272"/>
    </row>
    <row r="351" ht="15.75" customHeight="1">
      <c r="A351" s="272"/>
      <c r="B351" s="272"/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  <c r="Z351" s="272"/>
    </row>
    <row r="352" ht="15.75" customHeight="1">
      <c r="A352" s="272"/>
      <c r="B352" s="272"/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2"/>
      <c r="X352" s="272"/>
      <c r="Y352" s="272"/>
      <c r="Z352" s="272"/>
    </row>
    <row r="353" ht="15.75" customHeight="1">
      <c r="A353" s="272"/>
      <c r="B353" s="272"/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2"/>
      <c r="X353" s="272"/>
      <c r="Y353" s="272"/>
      <c r="Z353" s="272"/>
    </row>
    <row r="354" ht="15.75" customHeight="1">
      <c r="A354" s="272"/>
      <c r="B354" s="272"/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2"/>
      <c r="X354" s="272"/>
      <c r="Y354" s="272"/>
      <c r="Z354" s="272"/>
    </row>
    <row r="355" ht="15.75" customHeight="1">
      <c r="A355" s="272"/>
      <c r="B355" s="272"/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2"/>
      <c r="X355" s="272"/>
      <c r="Y355" s="272"/>
      <c r="Z355" s="272"/>
    </row>
    <row r="356" ht="15.75" customHeight="1">
      <c r="A356" s="272"/>
      <c r="B356" s="272"/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2"/>
      <c r="X356" s="272"/>
      <c r="Y356" s="272"/>
      <c r="Z356" s="272"/>
    </row>
    <row r="357" ht="15.75" customHeight="1">
      <c r="A357" s="272"/>
      <c r="B357" s="272"/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2"/>
      <c r="X357" s="272"/>
      <c r="Y357" s="272"/>
      <c r="Z357" s="272"/>
    </row>
    <row r="358" ht="15.75" customHeight="1">
      <c r="A358" s="272"/>
      <c r="B358" s="272"/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2"/>
      <c r="X358" s="272"/>
      <c r="Y358" s="272"/>
      <c r="Z358" s="272"/>
    </row>
    <row r="359" ht="15.75" customHeight="1">
      <c r="A359" s="272"/>
      <c r="B359" s="272"/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2"/>
      <c r="X359" s="272"/>
      <c r="Y359" s="272"/>
      <c r="Z359" s="272"/>
    </row>
    <row r="360" ht="15.75" customHeight="1">
      <c r="A360" s="272"/>
      <c r="B360" s="272"/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2"/>
      <c r="X360" s="272"/>
      <c r="Y360" s="272"/>
      <c r="Z360" s="272"/>
    </row>
    <row r="361" ht="15.75" customHeight="1">
      <c r="A361" s="272"/>
      <c r="B361" s="272"/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2"/>
      <c r="X361" s="272"/>
      <c r="Y361" s="272"/>
      <c r="Z361" s="272"/>
    </row>
    <row r="362" ht="15.75" customHeight="1">
      <c r="A362" s="272"/>
      <c r="B362" s="272"/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2"/>
      <c r="N362" s="272"/>
      <c r="O362" s="272"/>
      <c r="P362" s="272"/>
      <c r="Q362" s="272"/>
      <c r="R362" s="272"/>
      <c r="S362" s="272"/>
      <c r="T362" s="272"/>
      <c r="U362" s="272"/>
      <c r="V362" s="272"/>
      <c r="W362" s="272"/>
      <c r="X362" s="272"/>
      <c r="Y362" s="272"/>
      <c r="Z362" s="272"/>
    </row>
    <row r="363" ht="15.75" customHeight="1">
      <c r="A363" s="272"/>
      <c r="B363" s="272"/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2"/>
      <c r="N363" s="272"/>
      <c r="O363" s="272"/>
      <c r="P363" s="272"/>
      <c r="Q363" s="272"/>
      <c r="R363" s="272"/>
      <c r="S363" s="272"/>
      <c r="T363" s="272"/>
      <c r="U363" s="272"/>
      <c r="V363" s="272"/>
      <c r="W363" s="272"/>
      <c r="X363" s="272"/>
      <c r="Y363" s="272"/>
      <c r="Z363" s="272"/>
    </row>
    <row r="364" ht="15.75" customHeight="1">
      <c r="A364" s="272"/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2"/>
      <c r="N364" s="272"/>
      <c r="O364" s="272"/>
      <c r="P364" s="272"/>
      <c r="Q364" s="272"/>
      <c r="R364" s="272"/>
      <c r="S364" s="272"/>
      <c r="T364" s="272"/>
      <c r="U364" s="272"/>
      <c r="V364" s="272"/>
      <c r="W364" s="272"/>
      <c r="X364" s="272"/>
      <c r="Y364" s="272"/>
      <c r="Z364" s="272"/>
    </row>
    <row r="365" ht="15.75" customHeight="1">
      <c r="A365" s="272"/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2"/>
      <c r="N365" s="272"/>
      <c r="O365" s="272"/>
      <c r="P365" s="272"/>
      <c r="Q365" s="272"/>
      <c r="R365" s="272"/>
      <c r="S365" s="272"/>
      <c r="T365" s="272"/>
      <c r="U365" s="272"/>
      <c r="V365" s="272"/>
      <c r="W365" s="272"/>
      <c r="X365" s="272"/>
      <c r="Y365" s="272"/>
      <c r="Z365" s="272"/>
    </row>
    <row r="366" ht="15.75" customHeight="1">
      <c r="A366" s="272"/>
      <c r="B366" s="272"/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O366" s="272"/>
      <c r="P366" s="272"/>
      <c r="Q366" s="272"/>
      <c r="R366" s="272"/>
      <c r="S366" s="272"/>
      <c r="T366" s="272"/>
      <c r="U366" s="272"/>
      <c r="V366" s="272"/>
      <c r="W366" s="272"/>
      <c r="X366" s="272"/>
      <c r="Y366" s="272"/>
      <c r="Z366" s="272"/>
    </row>
    <row r="367" ht="15.75" customHeight="1">
      <c r="A367" s="272"/>
      <c r="B367" s="272"/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2"/>
      <c r="N367" s="272"/>
      <c r="O367" s="272"/>
      <c r="P367" s="272"/>
      <c r="Q367" s="272"/>
      <c r="R367" s="272"/>
      <c r="S367" s="272"/>
      <c r="T367" s="272"/>
      <c r="U367" s="272"/>
      <c r="V367" s="272"/>
      <c r="W367" s="272"/>
      <c r="X367" s="272"/>
      <c r="Y367" s="272"/>
      <c r="Z367" s="272"/>
    </row>
    <row r="368" ht="15.75" customHeight="1">
      <c r="A368" s="272"/>
      <c r="B368" s="272"/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2"/>
      <c r="N368" s="272"/>
      <c r="O368" s="272"/>
      <c r="P368" s="272"/>
      <c r="Q368" s="272"/>
      <c r="R368" s="272"/>
      <c r="S368" s="272"/>
      <c r="T368" s="272"/>
      <c r="U368" s="272"/>
      <c r="V368" s="272"/>
      <c r="W368" s="272"/>
      <c r="X368" s="272"/>
      <c r="Y368" s="272"/>
      <c r="Z368" s="272"/>
    </row>
    <row r="369" ht="15.75" customHeight="1">
      <c r="A369" s="272"/>
      <c r="B369" s="272"/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2"/>
      <c r="X369" s="272"/>
      <c r="Y369" s="272"/>
      <c r="Z369" s="272"/>
    </row>
    <row r="370" ht="15.75" customHeight="1">
      <c r="A370" s="272"/>
      <c r="B370" s="272"/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2"/>
      <c r="N370" s="272"/>
      <c r="O370" s="272"/>
      <c r="P370" s="272"/>
      <c r="Q370" s="272"/>
      <c r="R370" s="272"/>
      <c r="S370" s="272"/>
      <c r="T370" s="272"/>
      <c r="U370" s="272"/>
      <c r="V370" s="272"/>
      <c r="W370" s="272"/>
      <c r="X370" s="272"/>
      <c r="Y370" s="272"/>
      <c r="Z370" s="272"/>
    </row>
    <row r="371" ht="15.75" customHeight="1">
      <c r="A371" s="272"/>
      <c r="B371" s="272"/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2"/>
      <c r="X371" s="272"/>
      <c r="Y371" s="272"/>
      <c r="Z371" s="272"/>
    </row>
    <row r="372" ht="15.75" customHeight="1">
      <c r="A372" s="272"/>
      <c r="B372" s="272"/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2"/>
      <c r="X372" s="272"/>
      <c r="Y372" s="272"/>
      <c r="Z372" s="272"/>
    </row>
    <row r="373" ht="15.75" customHeight="1">
      <c r="A373" s="272"/>
      <c r="B373" s="272"/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2"/>
      <c r="N373" s="272"/>
      <c r="O373" s="272"/>
      <c r="P373" s="272"/>
      <c r="Q373" s="272"/>
      <c r="R373" s="272"/>
      <c r="S373" s="272"/>
      <c r="T373" s="272"/>
      <c r="U373" s="272"/>
      <c r="V373" s="272"/>
      <c r="W373" s="272"/>
      <c r="X373" s="272"/>
      <c r="Y373" s="272"/>
      <c r="Z373" s="272"/>
    </row>
    <row r="374" ht="15.75" customHeight="1">
      <c r="A374" s="272"/>
      <c r="B374" s="272"/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2"/>
      <c r="N374" s="272"/>
      <c r="O374" s="272"/>
      <c r="P374" s="272"/>
      <c r="Q374" s="272"/>
      <c r="R374" s="272"/>
      <c r="S374" s="272"/>
      <c r="T374" s="272"/>
      <c r="U374" s="272"/>
      <c r="V374" s="272"/>
      <c r="W374" s="272"/>
      <c r="X374" s="272"/>
      <c r="Y374" s="272"/>
      <c r="Z374" s="272"/>
    </row>
    <row r="375" ht="15.75" customHeight="1">
      <c r="A375" s="272"/>
      <c r="B375" s="272"/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72"/>
      <c r="R375" s="272"/>
      <c r="S375" s="272"/>
      <c r="T375" s="272"/>
      <c r="U375" s="272"/>
      <c r="V375" s="272"/>
      <c r="W375" s="272"/>
      <c r="X375" s="272"/>
      <c r="Y375" s="272"/>
      <c r="Z375" s="272"/>
    </row>
    <row r="376" ht="15.75" customHeight="1">
      <c r="A376" s="272"/>
      <c r="B376" s="272"/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2"/>
      <c r="N376" s="272"/>
      <c r="O376" s="272"/>
      <c r="P376" s="272"/>
      <c r="Q376" s="272"/>
      <c r="R376" s="272"/>
      <c r="S376" s="272"/>
      <c r="T376" s="272"/>
      <c r="U376" s="272"/>
      <c r="V376" s="272"/>
      <c r="W376" s="272"/>
      <c r="X376" s="272"/>
      <c r="Y376" s="272"/>
      <c r="Z376" s="272"/>
    </row>
    <row r="377" ht="15.75" customHeight="1">
      <c r="A377" s="272"/>
      <c r="B377" s="272"/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2"/>
      <c r="N377" s="272"/>
      <c r="O377" s="272"/>
      <c r="P377" s="272"/>
      <c r="Q377" s="272"/>
      <c r="R377" s="272"/>
      <c r="S377" s="272"/>
      <c r="T377" s="272"/>
      <c r="U377" s="272"/>
      <c r="V377" s="272"/>
      <c r="W377" s="272"/>
      <c r="X377" s="272"/>
      <c r="Y377" s="272"/>
      <c r="Z377" s="272"/>
    </row>
    <row r="378" ht="15.75" customHeight="1">
      <c r="A378" s="272"/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2"/>
      <c r="X378" s="272"/>
      <c r="Y378" s="272"/>
      <c r="Z378" s="272"/>
    </row>
    <row r="379" ht="15.75" customHeight="1">
      <c r="A379" s="272"/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2"/>
      <c r="N379" s="272"/>
      <c r="O379" s="272"/>
      <c r="P379" s="272"/>
      <c r="Q379" s="272"/>
      <c r="R379" s="272"/>
      <c r="S379" s="272"/>
      <c r="T379" s="272"/>
      <c r="U379" s="272"/>
      <c r="V379" s="272"/>
      <c r="W379" s="272"/>
      <c r="X379" s="272"/>
      <c r="Y379" s="272"/>
      <c r="Z379" s="272"/>
    </row>
    <row r="380" ht="15.75" customHeight="1">
      <c r="A380" s="272"/>
      <c r="B380" s="272"/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2"/>
      <c r="N380" s="272"/>
      <c r="O380" s="272"/>
      <c r="P380" s="272"/>
      <c r="Q380" s="272"/>
      <c r="R380" s="272"/>
      <c r="S380" s="272"/>
      <c r="T380" s="272"/>
      <c r="U380" s="272"/>
      <c r="V380" s="272"/>
      <c r="W380" s="272"/>
      <c r="X380" s="272"/>
      <c r="Y380" s="272"/>
      <c r="Z380" s="272"/>
    </row>
    <row r="381" ht="15.75" customHeight="1">
      <c r="A381" s="272"/>
      <c r="B381" s="272"/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2"/>
      <c r="N381" s="272"/>
      <c r="O381" s="272"/>
      <c r="P381" s="272"/>
      <c r="Q381" s="272"/>
      <c r="R381" s="272"/>
      <c r="S381" s="272"/>
      <c r="T381" s="272"/>
      <c r="U381" s="272"/>
      <c r="V381" s="272"/>
      <c r="W381" s="272"/>
      <c r="X381" s="272"/>
      <c r="Y381" s="272"/>
      <c r="Z381" s="272"/>
    </row>
    <row r="382" ht="15.75" customHeight="1">
      <c r="A382" s="272"/>
      <c r="B382" s="272"/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2"/>
      <c r="N382" s="272"/>
      <c r="O382" s="272"/>
      <c r="P382" s="272"/>
      <c r="Q382" s="272"/>
      <c r="R382" s="272"/>
      <c r="S382" s="272"/>
      <c r="T382" s="272"/>
      <c r="U382" s="272"/>
      <c r="V382" s="272"/>
      <c r="W382" s="272"/>
      <c r="X382" s="272"/>
      <c r="Y382" s="272"/>
      <c r="Z382" s="272"/>
    </row>
    <row r="383" ht="15.75" customHeight="1">
      <c r="A383" s="272"/>
      <c r="B383" s="272"/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2"/>
      <c r="N383" s="272"/>
      <c r="O383" s="272"/>
      <c r="P383" s="272"/>
      <c r="Q383" s="272"/>
      <c r="R383" s="272"/>
      <c r="S383" s="272"/>
      <c r="T383" s="272"/>
      <c r="U383" s="272"/>
      <c r="V383" s="272"/>
      <c r="W383" s="272"/>
      <c r="X383" s="272"/>
      <c r="Y383" s="272"/>
      <c r="Z383" s="272"/>
    </row>
    <row r="384" ht="15.75" customHeight="1">
      <c r="A384" s="272"/>
      <c r="B384" s="272"/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2"/>
      <c r="X384" s="272"/>
      <c r="Y384" s="272"/>
      <c r="Z384" s="272"/>
    </row>
    <row r="385" ht="15.75" customHeight="1">
      <c r="A385" s="272"/>
      <c r="B385" s="272"/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72"/>
      <c r="R385" s="272"/>
      <c r="S385" s="272"/>
      <c r="T385" s="272"/>
      <c r="U385" s="272"/>
      <c r="V385" s="272"/>
      <c r="W385" s="272"/>
      <c r="X385" s="272"/>
      <c r="Y385" s="272"/>
      <c r="Z385" s="272"/>
    </row>
    <row r="386" ht="15.75" customHeight="1">
      <c r="A386" s="272"/>
      <c r="B386" s="272"/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2"/>
      <c r="N386" s="272"/>
      <c r="O386" s="272"/>
      <c r="P386" s="272"/>
      <c r="Q386" s="272"/>
      <c r="R386" s="272"/>
      <c r="S386" s="272"/>
      <c r="T386" s="272"/>
      <c r="U386" s="272"/>
      <c r="V386" s="272"/>
      <c r="W386" s="272"/>
      <c r="X386" s="272"/>
      <c r="Y386" s="272"/>
      <c r="Z386" s="272"/>
    </row>
    <row r="387" ht="15.75" customHeight="1">
      <c r="A387" s="272"/>
      <c r="B387" s="272"/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2"/>
      <c r="N387" s="272"/>
      <c r="O387" s="272"/>
      <c r="P387" s="272"/>
      <c r="Q387" s="272"/>
      <c r="R387" s="272"/>
      <c r="S387" s="272"/>
      <c r="T387" s="272"/>
      <c r="U387" s="272"/>
      <c r="V387" s="272"/>
      <c r="W387" s="272"/>
      <c r="X387" s="272"/>
      <c r="Y387" s="272"/>
      <c r="Z387" s="272"/>
    </row>
    <row r="388" ht="15.75" customHeight="1">
      <c r="A388" s="272"/>
      <c r="B388" s="272"/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2"/>
      <c r="N388" s="272"/>
      <c r="O388" s="272"/>
      <c r="P388" s="272"/>
      <c r="Q388" s="272"/>
      <c r="R388" s="272"/>
      <c r="S388" s="272"/>
      <c r="T388" s="272"/>
      <c r="U388" s="272"/>
      <c r="V388" s="272"/>
      <c r="W388" s="272"/>
      <c r="X388" s="272"/>
      <c r="Y388" s="272"/>
      <c r="Z388" s="272"/>
    </row>
    <row r="389" ht="15.75" customHeight="1">
      <c r="A389" s="272"/>
      <c r="B389" s="272"/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2"/>
      <c r="W389" s="272"/>
      <c r="X389" s="272"/>
      <c r="Y389" s="272"/>
      <c r="Z389" s="272"/>
    </row>
    <row r="390" ht="15.75" customHeight="1">
      <c r="A390" s="272"/>
      <c r="B390" s="272"/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O390" s="272"/>
      <c r="P390" s="272"/>
      <c r="Q390" s="272"/>
      <c r="R390" s="272"/>
      <c r="S390" s="272"/>
      <c r="T390" s="272"/>
      <c r="U390" s="272"/>
      <c r="V390" s="272"/>
      <c r="W390" s="272"/>
      <c r="X390" s="272"/>
      <c r="Y390" s="272"/>
      <c r="Z390" s="272"/>
    </row>
    <row r="391" ht="15.75" customHeight="1">
      <c r="A391" s="272"/>
      <c r="B391" s="272"/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2"/>
      <c r="N391" s="272"/>
      <c r="O391" s="272"/>
      <c r="P391" s="272"/>
      <c r="Q391" s="272"/>
      <c r="R391" s="272"/>
      <c r="S391" s="272"/>
      <c r="T391" s="272"/>
      <c r="U391" s="272"/>
      <c r="V391" s="272"/>
      <c r="W391" s="272"/>
      <c r="X391" s="272"/>
      <c r="Y391" s="272"/>
      <c r="Z391" s="272"/>
    </row>
    <row r="392" ht="15.75" customHeight="1">
      <c r="A392" s="272"/>
      <c r="B392" s="272"/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2"/>
      <c r="X392" s="272"/>
      <c r="Y392" s="272"/>
      <c r="Z392" s="272"/>
    </row>
    <row r="393" ht="15.75" customHeight="1">
      <c r="A393" s="272"/>
      <c r="B393" s="272"/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2"/>
      <c r="N393" s="272"/>
      <c r="O393" s="272"/>
      <c r="P393" s="272"/>
      <c r="Q393" s="272"/>
      <c r="R393" s="272"/>
      <c r="S393" s="272"/>
      <c r="T393" s="272"/>
      <c r="U393" s="272"/>
      <c r="V393" s="272"/>
      <c r="W393" s="272"/>
      <c r="X393" s="272"/>
      <c r="Y393" s="272"/>
      <c r="Z393" s="272"/>
    </row>
    <row r="394" ht="15.75" customHeight="1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72"/>
      <c r="R394" s="272"/>
      <c r="S394" s="272"/>
      <c r="T394" s="272"/>
      <c r="U394" s="272"/>
      <c r="V394" s="272"/>
      <c r="W394" s="272"/>
      <c r="X394" s="272"/>
      <c r="Y394" s="272"/>
      <c r="Z394" s="272"/>
    </row>
    <row r="395" ht="15.75" customHeight="1">
      <c r="A395" s="272"/>
      <c r="B395" s="272"/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72"/>
      <c r="R395" s="272"/>
      <c r="S395" s="272"/>
      <c r="T395" s="272"/>
      <c r="U395" s="272"/>
      <c r="V395" s="272"/>
      <c r="W395" s="272"/>
      <c r="X395" s="272"/>
      <c r="Y395" s="272"/>
      <c r="Z395" s="272"/>
    </row>
    <row r="396" ht="15.75" customHeight="1">
      <c r="A396" s="272"/>
      <c r="B396" s="272"/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O396" s="272"/>
      <c r="P396" s="272"/>
      <c r="Q396" s="272"/>
      <c r="R396" s="272"/>
      <c r="S396" s="272"/>
      <c r="T396" s="272"/>
      <c r="U396" s="272"/>
      <c r="V396" s="272"/>
      <c r="W396" s="272"/>
      <c r="X396" s="272"/>
      <c r="Y396" s="272"/>
      <c r="Z396" s="272"/>
    </row>
    <row r="397" ht="15.75" customHeight="1">
      <c r="A397" s="272"/>
      <c r="B397" s="272"/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2"/>
      <c r="N397" s="272"/>
      <c r="O397" s="272"/>
      <c r="P397" s="272"/>
      <c r="Q397" s="272"/>
      <c r="R397" s="272"/>
      <c r="S397" s="272"/>
      <c r="T397" s="272"/>
      <c r="U397" s="272"/>
      <c r="V397" s="272"/>
      <c r="W397" s="272"/>
      <c r="X397" s="272"/>
      <c r="Y397" s="272"/>
      <c r="Z397" s="272"/>
    </row>
    <row r="398" ht="15.75" customHeight="1">
      <c r="A398" s="272"/>
      <c r="B398" s="272"/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2"/>
      <c r="N398" s="272"/>
      <c r="O398" s="272"/>
      <c r="P398" s="272"/>
      <c r="Q398" s="272"/>
      <c r="R398" s="272"/>
      <c r="S398" s="272"/>
      <c r="T398" s="272"/>
      <c r="U398" s="272"/>
      <c r="V398" s="272"/>
      <c r="W398" s="272"/>
      <c r="X398" s="272"/>
      <c r="Y398" s="272"/>
      <c r="Z398" s="272"/>
    </row>
    <row r="399" ht="15.75" customHeight="1">
      <c r="A399" s="272"/>
      <c r="B399" s="272"/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2"/>
      <c r="N399" s="272"/>
      <c r="O399" s="272"/>
      <c r="P399" s="272"/>
      <c r="Q399" s="272"/>
      <c r="R399" s="272"/>
      <c r="S399" s="272"/>
      <c r="T399" s="272"/>
      <c r="U399" s="272"/>
      <c r="V399" s="272"/>
      <c r="W399" s="272"/>
      <c r="X399" s="272"/>
      <c r="Y399" s="272"/>
      <c r="Z399" s="272"/>
    </row>
    <row r="400" ht="15.75" customHeight="1">
      <c r="A400" s="272"/>
      <c r="B400" s="272"/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2"/>
      <c r="N400" s="272"/>
      <c r="O400" s="272"/>
      <c r="P400" s="272"/>
      <c r="Q400" s="272"/>
      <c r="R400" s="272"/>
      <c r="S400" s="272"/>
      <c r="T400" s="272"/>
      <c r="U400" s="272"/>
      <c r="V400" s="272"/>
      <c r="W400" s="272"/>
      <c r="X400" s="272"/>
      <c r="Y400" s="272"/>
      <c r="Z400" s="272"/>
    </row>
    <row r="401" ht="15.75" customHeight="1">
      <c r="A401" s="272"/>
      <c r="B401" s="272"/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2"/>
      <c r="N401" s="272"/>
      <c r="O401" s="272"/>
      <c r="P401" s="272"/>
      <c r="Q401" s="272"/>
      <c r="R401" s="272"/>
      <c r="S401" s="272"/>
      <c r="T401" s="272"/>
      <c r="U401" s="272"/>
      <c r="V401" s="272"/>
      <c r="W401" s="272"/>
      <c r="X401" s="272"/>
      <c r="Y401" s="272"/>
      <c r="Z401" s="272"/>
    </row>
    <row r="402" ht="15.75" customHeight="1">
      <c r="A402" s="272"/>
      <c r="B402" s="272"/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O402" s="272"/>
      <c r="P402" s="272"/>
      <c r="Q402" s="272"/>
      <c r="R402" s="272"/>
      <c r="S402" s="272"/>
      <c r="T402" s="272"/>
      <c r="U402" s="272"/>
      <c r="V402" s="272"/>
      <c r="W402" s="272"/>
      <c r="X402" s="272"/>
      <c r="Y402" s="272"/>
      <c r="Z402" s="272"/>
    </row>
    <row r="403" ht="15.75" customHeight="1">
      <c r="A403" s="272"/>
      <c r="B403" s="272"/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2"/>
      <c r="N403" s="272"/>
      <c r="O403" s="272"/>
      <c r="P403" s="272"/>
      <c r="Q403" s="272"/>
      <c r="R403" s="272"/>
      <c r="S403" s="272"/>
      <c r="T403" s="272"/>
      <c r="U403" s="272"/>
      <c r="V403" s="272"/>
      <c r="W403" s="272"/>
      <c r="X403" s="272"/>
      <c r="Y403" s="272"/>
      <c r="Z403" s="272"/>
    </row>
    <row r="404" ht="15.75" customHeight="1">
      <c r="A404" s="272"/>
      <c r="B404" s="272"/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2"/>
      <c r="N404" s="272"/>
      <c r="O404" s="272"/>
      <c r="P404" s="272"/>
      <c r="Q404" s="272"/>
      <c r="R404" s="272"/>
      <c r="S404" s="272"/>
      <c r="T404" s="272"/>
      <c r="U404" s="272"/>
      <c r="V404" s="272"/>
      <c r="W404" s="272"/>
      <c r="X404" s="272"/>
      <c r="Y404" s="272"/>
      <c r="Z404" s="272"/>
    </row>
    <row r="405" ht="15.75" customHeight="1">
      <c r="A405" s="272"/>
      <c r="B405" s="272"/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2"/>
      <c r="X405" s="272"/>
      <c r="Y405" s="272"/>
      <c r="Z405" s="272"/>
    </row>
    <row r="406" ht="15.75" customHeight="1">
      <c r="A406" s="272"/>
      <c r="B406" s="272"/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2"/>
      <c r="N406" s="272"/>
      <c r="O406" s="272"/>
      <c r="P406" s="272"/>
      <c r="Q406" s="272"/>
      <c r="R406" s="272"/>
      <c r="S406" s="272"/>
      <c r="T406" s="272"/>
      <c r="U406" s="272"/>
      <c r="V406" s="272"/>
      <c r="W406" s="272"/>
      <c r="X406" s="272"/>
      <c r="Y406" s="272"/>
      <c r="Z406" s="272"/>
    </row>
    <row r="407" ht="15.75" customHeight="1">
      <c r="A407" s="272"/>
      <c r="B407" s="272"/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2"/>
      <c r="N407" s="272"/>
      <c r="O407" s="272"/>
      <c r="P407" s="272"/>
      <c r="Q407" s="272"/>
      <c r="R407" s="272"/>
      <c r="S407" s="272"/>
      <c r="T407" s="272"/>
      <c r="U407" s="272"/>
      <c r="V407" s="272"/>
      <c r="W407" s="272"/>
      <c r="X407" s="272"/>
      <c r="Y407" s="272"/>
      <c r="Z407" s="272"/>
    </row>
    <row r="408" ht="15.75" customHeight="1">
      <c r="A408" s="272"/>
      <c r="B408" s="272"/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O408" s="272"/>
      <c r="P408" s="272"/>
      <c r="Q408" s="272"/>
      <c r="R408" s="272"/>
      <c r="S408" s="272"/>
      <c r="T408" s="272"/>
      <c r="U408" s="272"/>
      <c r="V408" s="272"/>
      <c r="W408" s="272"/>
      <c r="X408" s="272"/>
      <c r="Y408" s="272"/>
      <c r="Z408" s="272"/>
    </row>
    <row r="409" ht="15.75" customHeight="1">
      <c r="A409" s="272"/>
      <c r="B409" s="272"/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2"/>
      <c r="N409" s="272"/>
      <c r="O409" s="272"/>
      <c r="P409" s="272"/>
      <c r="Q409" s="272"/>
      <c r="R409" s="272"/>
      <c r="S409" s="272"/>
      <c r="T409" s="272"/>
      <c r="U409" s="272"/>
      <c r="V409" s="272"/>
      <c r="W409" s="272"/>
      <c r="X409" s="272"/>
      <c r="Y409" s="272"/>
      <c r="Z409" s="272"/>
    </row>
    <row r="410" ht="15.75" customHeight="1">
      <c r="A410" s="272"/>
      <c r="B410" s="272"/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2"/>
      <c r="N410" s="272"/>
      <c r="O410" s="272"/>
      <c r="P410" s="272"/>
      <c r="Q410" s="272"/>
      <c r="R410" s="272"/>
      <c r="S410" s="272"/>
      <c r="T410" s="272"/>
      <c r="U410" s="272"/>
      <c r="V410" s="272"/>
      <c r="W410" s="272"/>
      <c r="X410" s="272"/>
      <c r="Y410" s="272"/>
      <c r="Z410" s="272"/>
    </row>
    <row r="411" ht="15.75" customHeight="1">
      <c r="A411" s="272"/>
      <c r="B411" s="272"/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72"/>
      <c r="R411" s="272"/>
      <c r="S411" s="272"/>
      <c r="T411" s="272"/>
      <c r="U411" s="272"/>
      <c r="V411" s="272"/>
      <c r="W411" s="272"/>
      <c r="X411" s="272"/>
      <c r="Y411" s="272"/>
      <c r="Z411" s="272"/>
    </row>
    <row r="412" ht="15.75" customHeight="1">
      <c r="A412" s="272"/>
      <c r="B412" s="272"/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2"/>
      <c r="N412" s="272"/>
      <c r="O412" s="272"/>
      <c r="P412" s="272"/>
      <c r="Q412" s="272"/>
      <c r="R412" s="272"/>
      <c r="S412" s="272"/>
      <c r="T412" s="272"/>
      <c r="U412" s="272"/>
      <c r="V412" s="272"/>
      <c r="W412" s="272"/>
      <c r="X412" s="272"/>
      <c r="Y412" s="272"/>
      <c r="Z412" s="272"/>
    </row>
    <row r="413" ht="15.75" customHeight="1">
      <c r="A413" s="272"/>
      <c r="B413" s="272"/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2"/>
      <c r="N413" s="272"/>
      <c r="O413" s="272"/>
      <c r="P413" s="272"/>
      <c r="Q413" s="272"/>
      <c r="R413" s="272"/>
      <c r="S413" s="272"/>
      <c r="T413" s="272"/>
      <c r="U413" s="272"/>
      <c r="V413" s="272"/>
      <c r="W413" s="272"/>
      <c r="X413" s="272"/>
      <c r="Y413" s="272"/>
      <c r="Z413" s="272"/>
    </row>
    <row r="414" ht="15.75" customHeight="1">
      <c r="A414" s="272"/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O414" s="272"/>
      <c r="P414" s="272"/>
      <c r="Q414" s="272"/>
      <c r="R414" s="272"/>
      <c r="S414" s="272"/>
      <c r="T414" s="272"/>
      <c r="U414" s="272"/>
      <c r="V414" s="272"/>
      <c r="W414" s="272"/>
      <c r="X414" s="272"/>
      <c r="Y414" s="272"/>
      <c r="Z414" s="272"/>
    </row>
    <row r="415" ht="15.75" customHeight="1">
      <c r="A415" s="272"/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2"/>
      <c r="N415" s="272"/>
      <c r="O415" s="272"/>
      <c r="P415" s="272"/>
      <c r="Q415" s="272"/>
      <c r="R415" s="272"/>
      <c r="S415" s="272"/>
      <c r="T415" s="272"/>
      <c r="U415" s="272"/>
      <c r="V415" s="272"/>
      <c r="W415" s="272"/>
      <c r="X415" s="272"/>
      <c r="Y415" s="272"/>
      <c r="Z415" s="272"/>
    </row>
    <row r="416" ht="15.75" customHeight="1">
      <c r="A416" s="272"/>
      <c r="B416" s="272"/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2"/>
      <c r="N416" s="272"/>
      <c r="O416" s="272"/>
      <c r="P416" s="272"/>
      <c r="Q416" s="272"/>
      <c r="R416" s="272"/>
      <c r="S416" s="272"/>
      <c r="T416" s="272"/>
      <c r="U416" s="272"/>
      <c r="V416" s="272"/>
      <c r="W416" s="272"/>
      <c r="X416" s="272"/>
      <c r="Y416" s="272"/>
      <c r="Z416" s="272"/>
    </row>
    <row r="417" ht="15.75" customHeight="1">
      <c r="A417" s="272"/>
      <c r="B417" s="272"/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2"/>
      <c r="N417" s="272"/>
      <c r="O417" s="272"/>
      <c r="P417" s="272"/>
      <c r="Q417" s="272"/>
      <c r="R417" s="272"/>
      <c r="S417" s="272"/>
      <c r="T417" s="272"/>
      <c r="U417" s="272"/>
      <c r="V417" s="272"/>
      <c r="W417" s="272"/>
      <c r="X417" s="272"/>
      <c r="Y417" s="272"/>
      <c r="Z417" s="272"/>
    </row>
    <row r="418" ht="15.75" customHeight="1">
      <c r="A418" s="272"/>
      <c r="B418" s="272"/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2"/>
      <c r="X418" s="272"/>
      <c r="Y418" s="272"/>
      <c r="Z418" s="272"/>
    </row>
    <row r="419" ht="15.75" customHeight="1">
      <c r="A419" s="272"/>
      <c r="B419" s="272"/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2"/>
      <c r="N419" s="272"/>
      <c r="O419" s="272"/>
      <c r="P419" s="272"/>
      <c r="Q419" s="272"/>
      <c r="R419" s="272"/>
      <c r="S419" s="272"/>
      <c r="T419" s="272"/>
      <c r="U419" s="272"/>
      <c r="V419" s="272"/>
      <c r="W419" s="272"/>
      <c r="X419" s="272"/>
      <c r="Y419" s="272"/>
      <c r="Z419" s="272"/>
    </row>
    <row r="420" ht="15.75" customHeight="1">
      <c r="A420" s="272"/>
      <c r="B420" s="272"/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O420" s="272"/>
      <c r="P420" s="272"/>
      <c r="Q420" s="272"/>
      <c r="R420" s="272"/>
      <c r="S420" s="272"/>
      <c r="T420" s="272"/>
      <c r="U420" s="272"/>
      <c r="V420" s="272"/>
      <c r="W420" s="272"/>
      <c r="X420" s="272"/>
      <c r="Y420" s="272"/>
      <c r="Z420" s="272"/>
    </row>
    <row r="421" ht="15.75" customHeight="1">
      <c r="A421" s="272"/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2"/>
      <c r="N421" s="272"/>
      <c r="O421" s="272"/>
      <c r="P421" s="272"/>
      <c r="Q421" s="272"/>
      <c r="R421" s="272"/>
      <c r="S421" s="272"/>
      <c r="T421" s="272"/>
      <c r="U421" s="272"/>
      <c r="V421" s="272"/>
      <c r="W421" s="272"/>
      <c r="X421" s="272"/>
      <c r="Y421" s="272"/>
      <c r="Z421" s="272"/>
    </row>
    <row r="422" ht="15.75" customHeight="1">
      <c r="A422" s="272"/>
      <c r="B422" s="272"/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2"/>
      <c r="N422" s="272"/>
      <c r="O422" s="272"/>
      <c r="P422" s="272"/>
      <c r="Q422" s="272"/>
      <c r="R422" s="272"/>
      <c r="S422" s="272"/>
      <c r="T422" s="272"/>
      <c r="U422" s="272"/>
      <c r="V422" s="272"/>
      <c r="W422" s="272"/>
      <c r="X422" s="272"/>
      <c r="Y422" s="272"/>
      <c r="Z422" s="272"/>
    </row>
    <row r="423" ht="15.75" customHeight="1">
      <c r="A423" s="272"/>
      <c r="B423" s="272"/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2"/>
      <c r="X423" s="272"/>
      <c r="Y423" s="272"/>
      <c r="Z423" s="272"/>
    </row>
    <row r="424" ht="15.75" customHeight="1">
      <c r="A424" s="272"/>
      <c r="B424" s="272"/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2"/>
      <c r="N424" s="272"/>
      <c r="O424" s="272"/>
      <c r="P424" s="272"/>
      <c r="Q424" s="272"/>
      <c r="R424" s="272"/>
      <c r="S424" s="272"/>
      <c r="T424" s="272"/>
      <c r="U424" s="272"/>
      <c r="V424" s="272"/>
      <c r="W424" s="272"/>
      <c r="X424" s="272"/>
      <c r="Y424" s="272"/>
      <c r="Z424" s="272"/>
    </row>
    <row r="425" ht="15.75" customHeight="1">
      <c r="A425" s="272"/>
      <c r="B425" s="272"/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2"/>
      <c r="N425" s="272"/>
      <c r="O425" s="272"/>
      <c r="P425" s="272"/>
      <c r="Q425" s="272"/>
      <c r="R425" s="272"/>
      <c r="S425" s="272"/>
      <c r="T425" s="272"/>
      <c r="U425" s="272"/>
      <c r="V425" s="272"/>
      <c r="W425" s="272"/>
      <c r="X425" s="272"/>
      <c r="Y425" s="272"/>
      <c r="Z425" s="272"/>
    </row>
    <row r="426" ht="15.75" customHeight="1">
      <c r="A426" s="272"/>
      <c r="B426" s="272"/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O426" s="272"/>
      <c r="P426" s="272"/>
      <c r="Q426" s="272"/>
      <c r="R426" s="272"/>
      <c r="S426" s="272"/>
      <c r="T426" s="272"/>
      <c r="U426" s="272"/>
      <c r="V426" s="272"/>
      <c r="W426" s="272"/>
      <c r="X426" s="272"/>
      <c r="Y426" s="272"/>
      <c r="Z426" s="272"/>
    </row>
    <row r="427" ht="15.75" customHeight="1">
      <c r="A427" s="272"/>
      <c r="B427" s="272"/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2"/>
      <c r="N427" s="272"/>
      <c r="O427" s="272"/>
      <c r="P427" s="272"/>
      <c r="Q427" s="272"/>
      <c r="R427" s="272"/>
      <c r="S427" s="272"/>
      <c r="T427" s="272"/>
      <c r="U427" s="272"/>
      <c r="V427" s="272"/>
      <c r="W427" s="272"/>
      <c r="X427" s="272"/>
      <c r="Y427" s="272"/>
      <c r="Z427" s="272"/>
    </row>
    <row r="428" ht="15.75" customHeight="1">
      <c r="A428" s="272"/>
      <c r="B428" s="272"/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72"/>
      <c r="R428" s="272"/>
      <c r="S428" s="272"/>
      <c r="T428" s="272"/>
      <c r="U428" s="272"/>
      <c r="V428" s="272"/>
      <c r="W428" s="272"/>
      <c r="X428" s="272"/>
      <c r="Y428" s="272"/>
      <c r="Z428" s="272"/>
    </row>
    <row r="429" ht="15.75" customHeight="1">
      <c r="A429" s="272"/>
      <c r="B429" s="272"/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2"/>
      <c r="N429" s="272"/>
      <c r="O429" s="272"/>
      <c r="P429" s="272"/>
      <c r="Q429" s="272"/>
      <c r="R429" s="272"/>
      <c r="S429" s="272"/>
      <c r="T429" s="272"/>
      <c r="U429" s="272"/>
      <c r="V429" s="272"/>
      <c r="W429" s="272"/>
      <c r="X429" s="272"/>
      <c r="Y429" s="272"/>
      <c r="Z429" s="272"/>
    </row>
    <row r="430" ht="15.75" customHeight="1">
      <c r="A430" s="272"/>
      <c r="B430" s="272"/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2"/>
      <c r="N430" s="272"/>
      <c r="O430" s="272"/>
      <c r="P430" s="272"/>
      <c r="Q430" s="272"/>
      <c r="R430" s="272"/>
      <c r="S430" s="272"/>
      <c r="T430" s="272"/>
      <c r="U430" s="272"/>
      <c r="V430" s="272"/>
      <c r="W430" s="272"/>
      <c r="X430" s="272"/>
      <c r="Y430" s="272"/>
      <c r="Z430" s="272"/>
    </row>
    <row r="431" ht="15.75" customHeight="1">
      <c r="A431" s="272"/>
      <c r="B431" s="272"/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2"/>
      <c r="X431" s="272"/>
      <c r="Y431" s="272"/>
      <c r="Z431" s="272"/>
    </row>
    <row r="432" ht="15.75" customHeight="1">
      <c r="A432" s="272"/>
      <c r="B432" s="272"/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272"/>
      <c r="P432" s="272"/>
      <c r="Q432" s="272"/>
      <c r="R432" s="272"/>
      <c r="S432" s="272"/>
      <c r="T432" s="272"/>
      <c r="U432" s="272"/>
      <c r="V432" s="272"/>
      <c r="W432" s="272"/>
      <c r="X432" s="272"/>
      <c r="Y432" s="272"/>
      <c r="Z432" s="272"/>
    </row>
    <row r="433" ht="15.75" customHeight="1">
      <c r="A433" s="272"/>
      <c r="B433" s="272"/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2"/>
      <c r="X433" s="272"/>
      <c r="Y433" s="272"/>
      <c r="Z433" s="272"/>
    </row>
    <row r="434" ht="15.75" customHeight="1">
      <c r="A434" s="272"/>
      <c r="B434" s="272"/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2"/>
      <c r="X434" s="272"/>
      <c r="Y434" s="272"/>
      <c r="Z434" s="272"/>
    </row>
    <row r="435" ht="15.75" customHeight="1">
      <c r="A435" s="272"/>
      <c r="B435" s="272"/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272"/>
      <c r="P435" s="272"/>
      <c r="Q435" s="272"/>
      <c r="R435" s="272"/>
      <c r="S435" s="272"/>
      <c r="T435" s="272"/>
      <c r="U435" s="272"/>
      <c r="V435" s="272"/>
      <c r="W435" s="272"/>
      <c r="X435" s="272"/>
      <c r="Y435" s="272"/>
      <c r="Z435" s="272"/>
    </row>
    <row r="436" ht="15.75" customHeight="1">
      <c r="A436" s="272"/>
      <c r="B436" s="272"/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272"/>
      <c r="P436" s="272"/>
      <c r="Q436" s="272"/>
      <c r="R436" s="272"/>
      <c r="S436" s="272"/>
      <c r="T436" s="272"/>
      <c r="U436" s="272"/>
      <c r="V436" s="272"/>
      <c r="W436" s="272"/>
      <c r="X436" s="272"/>
      <c r="Y436" s="272"/>
      <c r="Z436" s="272"/>
    </row>
    <row r="437" ht="15.75" customHeight="1">
      <c r="A437" s="272"/>
      <c r="B437" s="272"/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272"/>
      <c r="P437" s="272"/>
      <c r="Q437" s="272"/>
      <c r="R437" s="272"/>
      <c r="S437" s="272"/>
      <c r="T437" s="272"/>
      <c r="U437" s="272"/>
      <c r="V437" s="272"/>
      <c r="W437" s="272"/>
      <c r="X437" s="272"/>
      <c r="Y437" s="272"/>
      <c r="Z437" s="272"/>
    </row>
    <row r="438" ht="15.75" customHeight="1">
      <c r="A438" s="272"/>
      <c r="B438" s="272"/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272"/>
      <c r="P438" s="272"/>
      <c r="Q438" s="272"/>
      <c r="R438" s="272"/>
      <c r="S438" s="272"/>
      <c r="T438" s="272"/>
      <c r="U438" s="272"/>
      <c r="V438" s="272"/>
      <c r="W438" s="272"/>
      <c r="X438" s="272"/>
      <c r="Y438" s="272"/>
      <c r="Z438" s="272"/>
    </row>
    <row r="439" ht="15.75" customHeight="1">
      <c r="A439" s="272"/>
      <c r="B439" s="272"/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272"/>
      <c r="P439" s="272"/>
      <c r="Q439" s="272"/>
      <c r="R439" s="272"/>
      <c r="S439" s="272"/>
      <c r="T439" s="272"/>
      <c r="U439" s="272"/>
      <c r="V439" s="272"/>
      <c r="W439" s="272"/>
      <c r="X439" s="272"/>
      <c r="Y439" s="272"/>
      <c r="Z439" s="272"/>
    </row>
    <row r="440" ht="15.75" customHeight="1">
      <c r="A440" s="272"/>
      <c r="B440" s="272"/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272"/>
      <c r="P440" s="272"/>
      <c r="Q440" s="272"/>
      <c r="R440" s="272"/>
      <c r="S440" s="272"/>
      <c r="T440" s="272"/>
      <c r="U440" s="272"/>
      <c r="V440" s="272"/>
      <c r="W440" s="272"/>
      <c r="X440" s="272"/>
      <c r="Y440" s="272"/>
      <c r="Z440" s="272"/>
    </row>
    <row r="441" ht="15.75" customHeight="1">
      <c r="A441" s="272"/>
      <c r="B441" s="272"/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272"/>
      <c r="P441" s="272"/>
      <c r="Q441" s="272"/>
      <c r="R441" s="272"/>
      <c r="S441" s="272"/>
      <c r="T441" s="272"/>
      <c r="U441" s="272"/>
      <c r="V441" s="272"/>
      <c r="W441" s="272"/>
      <c r="X441" s="272"/>
      <c r="Y441" s="272"/>
      <c r="Z441" s="272"/>
    </row>
    <row r="442" ht="15.75" customHeight="1">
      <c r="A442" s="272"/>
      <c r="B442" s="272"/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272"/>
      <c r="P442" s="272"/>
      <c r="Q442" s="272"/>
      <c r="R442" s="272"/>
      <c r="S442" s="272"/>
      <c r="T442" s="272"/>
      <c r="U442" s="272"/>
      <c r="V442" s="272"/>
      <c r="W442" s="272"/>
      <c r="X442" s="272"/>
      <c r="Y442" s="272"/>
      <c r="Z442" s="272"/>
    </row>
    <row r="443" ht="15.75" customHeight="1">
      <c r="A443" s="272"/>
      <c r="B443" s="272"/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272"/>
      <c r="P443" s="272"/>
      <c r="Q443" s="272"/>
      <c r="R443" s="272"/>
      <c r="S443" s="272"/>
      <c r="T443" s="272"/>
      <c r="U443" s="272"/>
      <c r="V443" s="272"/>
      <c r="W443" s="272"/>
      <c r="X443" s="272"/>
      <c r="Y443" s="272"/>
      <c r="Z443" s="272"/>
    </row>
    <row r="444" ht="15.75" customHeight="1">
      <c r="A444" s="272"/>
      <c r="B444" s="272"/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272"/>
      <c r="P444" s="272"/>
      <c r="Q444" s="272"/>
      <c r="R444" s="272"/>
      <c r="S444" s="272"/>
      <c r="T444" s="272"/>
      <c r="U444" s="272"/>
      <c r="V444" s="272"/>
      <c r="W444" s="272"/>
      <c r="X444" s="272"/>
      <c r="Y444" s="272"/>
      <c r="Z444" s="272"/>
    </row>
    <row r="445" ht="15.75" customHeight="1">
      <c r="A445" s="272"/>
      <c r="B445" s="272"/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2"/>
      <c r="X445" s="272"/>
      <c r="Y445" s="272"/>
      <c r="Z445" s="272"/>
    </row>
    <row r="446" ht="15.75" customHeight="1">
      <c r="A446" s="272"/>
      <c r="B446" s="272"/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272"/>
      <c r="P446" s="272"/>
      <c r="Q446" s="272"/>
      <c r="R446" s="272"/>
      <c r="S446" s="272"/>
      <c r="T446" s="272"/>
      <c r="U446" s="272"/>
      <c r="V446" s="272"/>
      <c r="W446" s="272"/>
      <c r="X446" s="272"/>
      <c r="Y446" s="272"/>
      <c r="Z446" s="272"/>
    </row>
    <row r="447" ht="15.75" customHeight="1">
      <c r="A447" s="272"/>
      <c r="B447" s="272"/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272"/>
      <c r="P447" s="272"/>
      <c r="Q447" s="272"/>
      <c r="R447" s="272"/>
      <c r="S447" s="272"/>
      <c r="T447" s="272"/>
      <c r="U447" s="272"/>
      <c r="V447" s="272"/>
      <c r="W447" s="272"/>
      <c r="X447" s="272"/>
      <c r="Y447" s="272"/>
      <c r="Z447" s="272"/>
    </row>
    <row r="448" ht="15.75" customHeight="1">
      <c r="A448" s="272"/>
      <c r="B448" s="272"/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2"/>
      <c r="N448" s="272"/>
      <c r="O448" s="272"/>
      <c r="P448" s="272"/>
      <c r="Q448" s="272"/>
      <c r="R448" s="272"/>
      <c r="S448" s="272"/>
      <c r="T448" s="272"/>
      <c r="U448" s="272"/>
      <c r="V448" s="272"/>
      <c r="W448" s="272"/>
      <c r="X448" s="272"/>
      <c r="Y448" s="272"/>
      <c r="Z448" s="272"/>
    </row>
    <row r="449" ht="15.75" customHeight="1">
      <c r="A449" s="272"/>
      <c r="B449" s="272"/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2"/>
      <c r="X449" s="272"/>
      <c r="Y449" s="272"/>
      <c r="Z449" s="272"/>
    </row>
    <row r="450" ht="15.75" customHeight="1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  <c r="S450" s="272"/>
      <c r="T450" s="272"/>
      <c r="U450" s="272"/>
      <c r="V450" s="272"/>
      <c r="W450" s="272"/>
      <c r="X450" s="272"/>
      <c r="Y450" s="272"/>
      <c r="Z450" s="272"/>
    </row>
    <row r="451" ht="15.75" customHeight="1">
      <c r="A451" s="272"/>
      <c r="B451" s="272"/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2"/>
      <c r="N451" s="272"/>
      <c r="O451" s="272"/>
      <c r="P451" s="272"/>
      <c r="Q451" s="272"/>
      <c r="R451" s="272"/>
      <c r="S451" s="272"/>
      <c r="T451" s="272"/>
      <c r="U451" s="272"/>
      <c r="V451" s="272"/>
      <c r="W451" s="272"/>
      <c r="X451" s="272"/>
      <c r="Y451" s="272"/>
      <c r="Z451" s="272"/>
    </row>
    <row r="452" ht="15.75" customHeight="1">
      <c r="A452" s="272"/>
      <c r="B452" s="272"/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2"/>
      <c r="N452" s="272"/>
      <c r="O452" s="272"/>
      <c r="P452" s="272"/>
      <c r="Q452" s="272"/>
      <c r="R452" s="272"/>
      <c r="S452" s="272"/>
      <c r="T452" s="272"/>
      <c r="U452" s="272"/>
      <c r="V452" s="272"/>
      <c r="W452" s="272"/>
      <c r="X452" s="272"/>
      <c r="Y452" s="272"/>
      <c r="Z452" s="272"/>
    </row>
    <row r="453" ht="15.75" customHeight="1">
      <c r="A453" s="272"/>
      <c r="B453" s="272"/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  <c r="Z453" s="272"/>
    </row>
    <row r="454" ht="15.75" customHeight="1">
      <c r="A454" s="272"/>
      <c r="B454" s="272"/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2"/>
      <c r="N454" s="272"/>
      <c r="O454" s="272"/>
      <c r="P454" s="272"/>
      <c r="Q454" s="272"/>
      <c r="R454" s="272"/>
      <c r="S454" s="272"/>
      <c r="T454" s="272"/>
      <c r="U454" s="272"/>
      <c r="V454" s="272"/>
      <c r="W454" s="272"/>
      <c r="X454" s="272"/>
      <c r="Y454" s="272"/>
      <c r="Z454" s="272"/>
    </row>
    <row r="455" ht="15.75" customHeight="1">
      <c r="A455" s="272"/>
      <c r="B455" s="272"/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2"/>
      <c r="N455" s="272"/>
      <c r="O455" s="272"/>
      <c r="P455" s="272"/>
      <c r="Q455" s="272"/>
      <c r="R455" s="272"/>
      <c r="S455" s="272"/>
      <c r="T455" s="272"/>
      <c r="U455" s="272"/>
      <c r="V455" s="272"/>
      <c r="W455" s="272"/>
      <c r="X455" s="272"/>
      <c r="Y455" s="272"/>
      <c r="Z455" s="272"/>
    </row>
    <row r="456" ht="15.75" customHeight="1">
      <c r="A456" s="272"/>
      <c r="B456" s="272"/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2"/>
      <c r="N456" s="272"/>
      <c r="O456" s="272"/>
      <c r="P456" s="272"/>
      <c r="Q456" s="272"/>
      <c r="R456" s="272"/>
      <c r="S456" s="272"/>
      <c r="T456" s="272"/>
      <c r="U456" s="272"/>
      <c r="V456" s="272"/>
      <c r="W456" s="272"/>
      <c r="X456" s="272"/>
      <c r="Y456" s="272"/>
      <c r="Z456" s="272"/>
    </row>
    <row r="457" ht="15.75" customHeight="1">
      <c r="A457" s="272"/>
      <c r="B457" s="272"/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2"/>
      <c r="X457" s="272"/>
      <c r="Y457" s="272"/>
      <c r="Z457" s="272"/>
    </row>
    <row r="458" ht="15.75" customHeight="1">
      <c r="A458" s="272"/>
      <c r="B458" s="272"/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2"/>
      <c r="X458" s="272"/>
      <c r="Y458" s="272"/>
      <c r="Z458" s="272"/>
    </row>
    <row r="459" ht="15.75" customHeight="1">
      <c r="A459" s="272"/>
      <c r="B459" s="272"/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2"/>
      <c r="N459" s="272"/>
      <c r="O459" s="272"/>
      <c r="P459" s="272"/>
      <c r="Q459" s="272"/>
      <c r="R459" s="272"/>
      <c r="S459" s="272"/>
      <c r="T459" s="272"/>
      <c r="U459" s="272"/>
      <c r="V459" s="272"/>
      <c r="W459" s="272"/>
      <c r="X459" s="272"/>
      <c r="Y459" s="272"/>
      <c r="Z459" s="272"/>
    </row>
    <row r="460" ht="15.75" customHeight="1">
      <c r="A460" s="272"/>
      <c r="B460" s="272"/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272"/>
      <c r="P460" s="272"/>
      <c r="Q460" s="272"/>
      <c r="R460" s="272"/>
      <c r="S460" s="272"/>
      <c r="T460" s="272"/>
      <c r="U460" s="272"/>
      <c r="V460" s="272"/>
      <c r="W460" s="272"/>
      <c r="X460" s="272"/>
      <c r="Y460" s="272"/>
      <c r="Z460" s="272"/>
    </row>
    <row r="461" ht="15.75" customHeight="1">
      <c r="A461" s="272"/>
      <c r="B461" s="272"/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272"/>
      <c r="P461" s="272"/>
      <c r="Q461" s="272"/>
      <c r="R461" s="272"/>
      <c r="S461" s="272"/>
      <c r="T461" s="272"/>
      <c r="U461" s="272"/>
      <c r="V461" s="272"/>
      <c r="W461" s="272"/>
      <c r="X461" s="272"/>
      <c r="Y461" s="272"/>
      <c r="Z461" s="272"/>
    </row>
    <row r="462" ht="15.75" customHeight="1">
      <c r="A462" s="272"/>
      <c r="B462" s="272"/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272"/>
      <c r="P462" s="272"/>
      <c r="Q462" s="272"/>
      <c r="R462" s="272"/>
      <c r="S462" s="272"/>
      <c r="T462" s="272"/>
      <c r="U462" s="272"/>
      <c r="V462" s="272"/>
      <c r="W462" s="272"/>
      <c r="X462" s="272"/>
      <c r="Y462" s="272"/>
      <c r="Z462" s="272"/>
    </row>
    <row r="463" ht="15.75" customHeight="1">
      <c r="A463" s="272"/>
      <c r="B463" s="272"/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272"/>
      <c r="P463" s="272"/>
      <c r="Q463" s="272"/>
      <c r="R463" s="272"/>
      <c r="S463" s="272"/>
      <c r="T463" s="272"/>
      <c r="U463" s="272"/>
      <c r="V463" s="272"/>
      <c r="W463" s="272"/>
      <c r="X463" s="272"/>
      <c r="Y463" s="272"/>
      <c r="Z463" s="272"/>
    </row>
    <row r="464" ht="15.75" customHeight="1">
      <c r="A464" s="272"/>
      <c r="B464" s="272"/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272"/>
      <c r="P464" s="272"/>
      <c r="Q464" s="272"/>
      <c r="R464" s="272"/>
      <c r="S464" s="272"/>
      <c r="T464" s="272"/>
      <c r="U464" s="272"/>
      <c r="V464" s="272"/>
      <c r="W464" s="272"/>
      <c r="X464" s="272"/>
      <c r="Y464" s="272"/>
      <c r="Z464" s="272"/>
    </row>
    <row r="465" ht="15.75" customHeight="1">
      <c r="A465" s="272"/>
      <c r="B465" s="272"/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272"/>
      <c r="P465" s="272"/>
      <c r="Q465" s="272"/>
      <c r="R465" s="272"/>
      <c r="S465" s="272"/>
      <c r="T465" s="272"/>
      <c r="U465" s="272"/>
      <c r="V465" s="272"/>
      <c r="W465" s="272"/>
      <c r="X465" s="272"/>
      <c r="Y465" s="272"/>
      <c r="Z465" s="272"/>
    </row>
    <row r="466" ht="15.75" customHeight="1">
      <c r="A466" s="272"/>
      <c r="B466" s="272"/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272"/>
      <c r="P466" s="272"/>
      <c r="Q466" s="272"/>
      <c r="R466" s="272"/>
      <c r="S466" s="272"/>
      <c r="T466" s="272"/>
      <c r="U466" s="272"/>
      <c r="V466" s="272"/>
      <c r="W466" s="272"/>
      <c r="X466" s="272"/>
      <c r="Y466" s="272"/>
      <c r="Z466" s="272"/>
    </row>
    <row r="467" ht="15.75" customHeight="1">
      <c r="A467" s="272"/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272"/>
      <c r="P467" s="272"/>
      <c r="Q467" s="272"/>
      <c r="R467" s="272"/>
      <c r="S467" s="272"/>
      <c r="T467" s="272"/>
      <c r="U467" s="272"/>
      <c r="V467" s="272"/>
      <c r="W467" s="272"/>
      <c r="X467" s="272"/>
      <c r="Y467" s="272"/>
      <c r="Z467" s="272"/>
    </row>
    <row r="468" ht="15.75" customHeight="1">
      <c r="A468" s="272"/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  <c r="Z468" s="272"/>
    </row>
    <row r="469" ht="15.75" customHeight="1">
      <c r="A469" s="272"/>
      <c r="B469" s="272"/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272"/>
      <c r="P469" s="272"/>
      <c r="Q469" s="272"/>
      <c r="R469" s="272"/>
      <c r="S469" s="272"/>
      <c r="T469" s="272"/>
      <c r="U469" s="272"/>
      <c r="V469" s="272"/>
      <c r="W469" s="272"/>
      <c r="X469" s="272"/>
      <c r="Y469" s="272"/>
      <c r="Z469" s="272"/>
    </row>
    <row r="470" ht="15.75" customHeight="1">
      <c r="A470" s="272"/>
      <c r="B470" s="272"/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272"/>
      <c r="P470" s="272"/>
      <c r="Q470" s="272"/>
      <c r="R470" s="272"/>
      <c r="S470" s="272"/>
      <c r="T470" s="272"/>
      <c r="U470" s="272"/>
      <c r="V470" s="272"/>
      <c r="W470" s="272"/>
      <c r="X470" s="272"/>
      <c r="Y470" s="272"/>
      <c r="Z470" s="272"/>
    </row>
    <row r="471" ht="15.75" customHeight="1">
      <c r="A471" s="272"/>
      <c r="B471" s="272"/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2"/>
      <c r="X471" s="272"/>
      <c r="Y471" s="272"/>
      <c r="Z471" s="272"/>
    </row>
    <row r="472" ht="15.75" customHeight="1">
      <c r="A472" s="272"/>
      <c r="B472" s="272"/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272"/>
      <c r="P472" s="272"/>
      <c r="Q472" s="272"/>
      <c r="R472" s="272"/>
      <c r="S472" s="272"/>
      <c r="T472" s="272"/>
      <c r="U472" s="272"/>
      <c r="V472" s="272"/>
      <c r="W472" s="272"/>
      <c r="X472" s="272"/>
      <c r="Y472" s="272"/>
      <c r="Z472" s="272"/>
    </row>
    <row r="473" ht="15.75" customHeight="1">
      <c r="A473" s="272"/>
      <c r="B473" s="272"/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272"/>
      <c r="P473" s="272"/>
      <c r="Q473" s="272"/>
      <c r="R473" s="272"/>
      <c r="S473" s="272"/>
      <c r="T473" s="272"/>
      <c r="U473" s="272"/>
      <c r="V473" s="272"/>
      <c r="W473" s="272"/>
      <c r="X473" s="272"/>
      <c r="Y473" s="272"/>
      <c r="Z473" s="272"/>
    </row>
    <row r="474" ht="15.75" customHeight="1">
      <c r="A474" s="272"/>
      <c r="B474" s="272"/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272"/>
      <c r="P474" s="272"/>
      <c r="Q474" s="272"/>
      <c r="R474" s="272"/>
      <c r="S474" s="272"/>
      <c r="T474" s="272"/>
      <c r="U474" s="272"/>
      <c r="V474" s="272"/>
      <c r="W474" s="272"/>
      <c r="X474" s="272"/>
      <c r="Y474" s="272"/>
      <c r="Z474" s="272"/>
    </row>
    <row r="475" ht="15.75" customHeight="1">
      <c r="A475" s="272"/>
      <c r="B475" s="272"/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272"/>
      <c r="P475" s="272"/>
      <c r="Q475" s="272"/>
      <c r="R475" s="272"/>
      <c r="S475" s="272"/>
      <c r="T475" s="272"/>
      <c r="U475" s="272"/>
      <c r="V475" s="272"/>
      <c r="W475" s="272"/>
      <c r="X475" s="272"/>
      <c r="Y475" s="272"/>
      <c r="Z475" s="272"/>
    </row>
    <row r="476" ht="15.75" customHeight="1">
      <c r="A476" s="272"/>
      <c r="B476" s="272"/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2"/>
      <c r="N476" s="272"/>
      <c r="O476" s="272"/>
      <c r="P476" s="272"/>
      <c r="Q476" s="272"/>
      <c r="R476" s="272"/>
      <c r="S476" s="272"/>
      <c r="T476" s="272"/>
      <c r="U476" s="272"/>
      <c r="V476" s="272"/>
      <c r="W476" s="272"/>
      <c r="X476" s="272"/>
      <c r="Y476" s="272"/>
      <c r="Z476" s="272"/>
    </row>
    <row r="477" ht="15.75" customHeight="1">
      <c r="A477" s="272"/>
      <c r="B477" s="272"/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2"/>
      <c r="N477" s="272"/>
      <c r="O477" s="272"/>
      <c r="P477" s="272"/>
      <c r="Q477" s="272"/>
      <c r="R477" s="272"/>
      <c r="S477" s="272"/>
      <c r="T477" s="272"/>
      <c r="U477" s="272"/>
      <c r="V477" s="272"/>
      <c r="W477" s="272"/>
      <c r="X477" s="272"/>
      <c r="Y477" s="272"/>
      <c r="Z477" s="272"/>
    </row>
    <row r="478" ht="15.75" customHeight="1">
      <c r="A478" s="272"/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2"/>
      <c r="N478" s="272"/>
      <c r="O478" s="272"/>
      <c r="P478" s="272"/>
      <c r="Q478" s="272"/>
      <c r="R478" s="272"/>
      <c r="S478" s="272"/>
      <c r="T478" s="272"/>
      <c r="U478" s="272"/>
      <c r="V478" s="272"/>
      <c r="W478" s="272"/>
      <c r="X478" s="272"/>
      <c r="Y478" s="272"/>
      <c r="Z478" s="272"/>
    </row>
    <row r="479" ht="15.75" customHeight="1">
      <c r="A479" s="272"/>
      <c r="B479" s="272"/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2"/>
      <c r="N479" s="272"/>
      <c r="O479" s="272"/>
      <c r="P479" s="272"/>
      <c r="Q479" s="272"/>
      <c r="R479" s="272"/>
      <c r="S479" s="272"/>
      <c r="T479" s="272"/>
      <c r="U479" s="272"/>
      <c r="V479" s="272"/>
      <c r="W479" s="272"/>
      <c r="X479" s="272"/>
      <c r="Y479" s="272"/>
      <c r="Z479" s="272"/>
    </row>
    <row r="480" ht="15.75" customHeight="1">
      <c r="A480" s="272"/>
      <c r="B480" s="272"/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2"/>
      <c r="N480" s="272"/>
      <c r="O480" s="272"/>
      <c r="P480" s="272"/>
      <c r="Q480" s="272"/>
      <c r="R480" s="272"/>
      <c r="S480" s="272"/>
      <c r="T480" s="272"/>
      <c r="U480" s="272"/>
      <c r="V480" s="272"/>
      <c r="W480" s="272"/>
      <c r="X480" s="272"/>
      <c r="Y480" s="272"/>
      <c r="Z480" s="272"/>
    </row>
    <row r="481" ht="15.75" customHeight="1">
      <c r="A481" s="272"/>
      <c r="B481" s="272"/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2"/>
      <c r="N481" s="272"/>
      <c r="O481" s="272"/>
      <c r="P481" s="272"/>
      <c r="Q481" s="272"/>
      <c r="R481" s="272"/>
      <c r="S481" s="272"/>
      <c r="T481" s="272"/>
      <c r="U481" s="272"/>
      <c r="V481" s="272"/>
      <c r="W481" s="272"/>
      <c r="X481" s="272"/>
      <c r="Y481" s="272"/>
      <c r="Z481" s="272"/>
    </row>
    <row r="482" ht="15.75" customHeight="1">
      <c r="A482" s="272"/>
      <c r="B482" s="272"/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2"/>
      <c r="N482" s="272"/>
      <c r="O482" s="272"/>
      <c r="P482" s="272"/>
      <c r="Q482" s="272"/>
      <c r="R482" s="272"/>
      <c r="S482" s="272"/>
      <c r="T482" s="272"/>
      <c r="U482" s="272"/>
      <c r="V482" s="272"/>
      <c r="W482" s="272"/>
      <c r="X482" s="272"/>
      <c r="Y482" s="272"/>
      <c r="Z482" s="272"/>
    </row>
    <row r="483" ht="15.75" customHeight="1">
      <c r="A483" s="272"/>
      <c r="B483" s="272"/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2"/>
      <c r="N483" s="272"/>
      <c r="O483" s="272"/>
      <c r="P483" s="272"/>
      <c r="Q483" s="272"/>
      <c r="R483" s="272"/>
      <c r="S483" s="272"/>
      <c r="T483" s="272"/>
      <c r="U483" s="272"/>
      <c r="V483" s="272"/>
      <c r="W483" s="272"/>
      <c r="X483" s="272"/>
      <c r="Y483" s="272"/>
      <c r="Z483" s="272"/>
    </row>
    <row r="484" ht="15.75" customHeight="1">
      <c r="A484" s="272"/>
      <c r="B484" s="272"/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2"/>
      <c r="X484" s="272"/>
      <c r="Y484" s="272"/>
      <c r="Z484" s="272"/>
    </row>
    <row r="485" ht="15.75" customHeight="1">
      <c r="A485" s="272"/>
      <c r="B485" s="272"/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2"/>
      <c r="N485" s="272"/>
      <c r="O485" s="272"/>
      <c r="P485" s="272"/>
      <c r="Q485" s="272"/>
      <c r="R485" s="272"/>
      <c r="S485" s="272"/>
      <c r="T485" s="272"/>
      <c r="U485" s="272"/>
      <c r="V485" s="272"/>
      <c r="W485" s="272"/>
      <c r="X485" s="272"/>
      <c r="Y485" s="272"/>
      <c r="Z485" s="272"/>
    </row>
    <row r="486" ht="15.75" customHeight="1">
      <c r="A486" s="272"/>
      <c r="B486" s="272"/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2"/>
      <c r="N486" s="272"/>
      <c r="O486" s="272"/>
      <c r="P486" s="272"/>
      <c r="Q486" s="272"/>
      <c r="R486" s="272"/>
      <c r="S486" s="272"/>
      <c r="T486" s="272"/>
      <c r="U486" s="272"/>
      <c r="V486" s="272"/>
      <c r="W486" s="272"/>
      <c r="X486" s="272"/>
      <c r="Y486" s="272"/>
      <c r="Z486" s="272"/>
    </row>
    <row r="487" ht="15.75" customHeight="1">
      <c r="A487" s="272"/>
      <c r="B487" s="272"/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2"/>
      <c r="N487" s="272"/>
      <c r="O487" s="272"/>
      <c r="P487" s="272"/>
      <c r="Q487" s="272"/>
      <c r="R487" s="272"/>
      <c r="S487" s="272"/>
      <c r="T487" s="272"/>
      <c r="U487" s="272"/>
      <c r="V487" s="272"/>
      <c r="W487" s="272"/>
      <c r="X487" s="272"/>
      <c r="Y487" s="272"/>
      <c r="Z487" s="272"/>
    </row>
    <row r="488" ht="15.75" customHeight="1">
      <c r="A488" s="272"/>
      <c r="B488" s="272"/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2"/>
      <c r="N488" s="272"/>
      <c r="O488" s="272"/>
      <c r="P488" s="272"/>
      <c r="Q488" s="272"/>
      <c r="R488" s="272"/>
      <c r="S488" s="272"/>
      <c r="T488" s="272"/>
      <c r="U488" s="272"/>
      <c r="V488" s="272"/>
      <c r="W488" s="272"/>
      <c r="X488" s="272"/>
      <c r="Y488" s="272"/>
      <c r="Z488" s="272"/>
    </row>
    <row r="489" ht="15.75" customHeight="1">
      <c r="A489" s="272"/>
      <c r="B489" s="272"/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2"/>
      <c r="X489" s="272"/>
      <c r="Y489" s="272"/>
      <c r="Z489" s="272"/>
    </row>
    <row r="490" ht="15.75" customHeight="1">
      <c r="A490" s="272"/>
      <c r="B490" s="272"/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2"/>
      <c r="N490" s="272"/>
      <c r="O490" s="272"/>
      <c r="P490" s="272"/>
      <c r="Q490" s="272"/>
      <c r="R490" s="272"/>
      <c r="S490" s="272"/>
      <c r="T490" s="272"/>
      <c r="U490" s="272"/>
      <c r="V490" s="272"/>
      <c r="W490" s="272"/>
      <c r="X490" s="272"/>
      <c r="Y490" s="272"/>
      <c r="Z490" s="272"/>
    </row>
    <row r="491" ht="15.75" customHeight="1">
      <c r="A491" s="272"/>
      <c r="B491" s="272"/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2"/>
      <c r="N491" s="272"/>
      <c r="O491" s="272"/>
      <c r="P491" s="272"/>
      <c r="Q491" s="272"/>
      <c r="R491" s="272"/>
      <c r="S491" s="272"/>
      <c r="T491" s="272"/>
      <c r="U491" s="272"/>
      <c r="V491" s="272"/>
      <c r="W491" s="272"/>
      <c r="X491" s="272"/>
      <c r="Y491" s="272"/>
      <c r="Z491" s="272"/>
    </row>
    <row r="492" ht="15.75" customHeight="1">
      <c r="A492" s="272"/>
      <c r="B492" s="272"/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2"/>
      <c r="N492" s="272"/>
      <c r="O492" s="272"/>
      <c r="P492" s="272"/>
      <c r="Q492" s="272"/>
      <c r="R492" s="272"/>
      <c r="S492" s="272"/>
      <c r="T492" s="272"/>
      <c r="U492" s="272"/>
      <c r="V492" s="272"/>
      <c r="W492" s="272"/>
      <c r="X492" s="272"/>
      <c r="Y492" s="272"/>
      <c r="Z492" s="272"/>
    </row>
    <row r="493" ht="15.75" customHeight="1">
      <c r="A493" s="272"/>
      <c r="B493" s="272"/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2"/>
      <c r="N493" s="272"/>
      <c r="O493" s="272"/>
      <c r="P493" s="272"/>
      <c r="Q493" s="272"/>
      <c r="R493" s="272"/>
      <c r="S493" s="272"/>
      <c r="T493" s="272"/>
      <c r="U493" s="272"/>
      <c r="V493" s="272"/>
      <c r="W493" s="272"/>
      <c r="X493" s="272"/>
      <c r="Y493" s="272"/>
      <c r="Z493" s="272"/>
    </row>
    <row r="494" ht="15.75" customHeight="1">
      <c r="A494" s="272"/>
      <c r="B494" s="272"/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2"/>
      <c r="N494" s="272"/>
      <c r="O494" s="272"/>
      <c r="P494" s="272"/>
      <c r="Q494" s="272"/>
      <c r="R494" s="272"/>
      <c r="S494" s="272"/>
      <c r="T494" s="272"/>
      <c r="U494" s="272"/>
      <c r="V494" s="272"/>
      <c r="W494" s="272"/>
      <c r="X494" s="272"/>
      <c r="Y494" s="272"/>
      <c r="Z494" s="272"/>
    </row>
    <row r="495" ht="15.75" customHeight="1">
      <c r="A495" s="272"/>
      <c r="B495" s="272"/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2"/>
      <c r="N495" s="272"/>
      <c r="O495" s="272"/>
      <c r="P495" s="272"/>
      <c r="Q495" s="272"/>
      <c r="R495" s="272"/>
      <c r="S495" s="272"/>
      <c r="T495" s="272"/>
      <c r="U495" s="272"/>
      <c r="V495" s="272"/>
      <c r="W495" s="272"/>
      <c r="X495" s="272"/>
      <c r="Y495" s="272"/>
      <c r="Z495" s="272"/>
    </row>
    <row r="496" ht="15.75" customHeight="1">
      <c r="A496" s="272"/>
      <c r="B496" s="272"/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2"/>
      <c r="N496" s="272"/>
      <c r="O496" s="272"/>
      <c r="P496" s="272"/>
      <c r="Q496" s="272"/>
      <c r="R496" s="272"/>
      <c r="S496" s="272"/>
      <c r="T496" s="272"/>
      <c r="U496" s="272"/>
      <c r="V496" s="272"/>
      <c r="W496" s="272"/>
      <c r="X496" s="272"/>
      <c r="Y496" s="272"/>
      <c r="Z496" s="272"/>
    </row>
    <row r="497" ht="15.75" customHeight="1">
      <c r="A497" s="272"/>
      <c r="B497" s="272"/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2"/>
      <c r="N497" s="272"/>
      <c r="O497" s="272"/>
      <c r="P497" s="272"/>
      <c r="Q497" s="272"/>
      <c r="R497" s="272"/>
      <c r="S497" s="272"/>
      <c r="T497" s="272"/>
      <c r="U497" s="272"/>
      <c r="V497" s="272"/>
      <c r="W497" s="272"/>
      <c r="X497" s="272"/>
      <c r="Y497" s="272"/>
      <c r="Z497" s="272"/>
    </row>
    <row r="498" ht="15.75" customHeight="1">
      <c r="A498" s="272"/>
      <c r="B498" s="272"/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2"/>
      <c r="N498" s="272"/>
      <c r="O498" s="272"/>
      <c r="P498" s="272"/>
      <c r="Q498" s="272"/>
      <c r="R498" s="272"/>
      <c r="S498" s="272"/>
      <c r="T498" s="272"/>
      <c r="U498" s="272"/>
      <c r="V498" s="272"/>
      <c r="W498" s="272"/>
      <c r="X498" s="272"/>
      <c r="Y498" s="272"/>
      <c r="Z498" s="272"/>
    </row>
    <row r="499" ht="15.75" customHeight="1">
      <c r="A499" s="272"/>
      <c r="B499" s="272"/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2"/>
      <c r="N499" s="272"/>
      <c r="O499" s="272"/>
      <c r="P499" s="272"/>
      <c r="Q499" s="272"/>
      <c r="R499" s="272"/>
      <c r="S499" s="272"/>
      <c r="T499" s="272"/>
      <c r="U499" s="272"/>
      <c r="V499" s="272"/>
      <c r="W499" s="272"/>
      <c r="X499" s="272"/>
      <c r="Y499" s="272"/>
      <c r="Z499" s="272"/>
    </row>
    <row r="500" ht="15.75" customHeight="1">
      <c r="A500" s="272"/>
      <c r="B500" s="272"/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2"/>
      <c r="N500" s="272"/>
      <c r="O500" s="272"/>
      <c r="P500" s="272"/>
      <c r="Q500" s="272"/>
      <c r="R500" s="272"/>
      <c r="S500" s="272"/>
      <c r="T500" s="272"/>
      <c r="U500" s="272"/>
      <c r="V500" s="272"/>
      <c r="W500" s="272"/>
      <c r="X500" s="272"/>
      <c r="Y500" s="272"/>
      <c r="Z500" s="272"/>
    </row>
    <row r="501" ht="15.75" customHeight="1">
      <c r="A501" s="272"/>
      <c r="B501" s="272"/>
      <c r="C501" s="272"/>
      <c r="D501" s="272"/>
      <c r="E501" s="272"/>
      <c r="F501" s="272"/>
      <c r="G501" s="272"/>
      <c r="H501" s="272"/>
      <c r="I501" s="272"/>
      <c r="J501" s="272"/>
      <c r="K501" s="272"/>
      <c r="L501" s="272"/>
      <c r="M501" s="272"/>
      <c r="N501" s="272"/>
      <c r="O501" s="272"/>
      <c r="P501" s="272"/>
      <c r="Q501" s="272"/>
      <c r="R501" s="272"/>
      <c r="S501" s="272"/>
      <c r="T501" s="272"/>
      <c r="U501" s="272"/>
      <c r="V501" s="272"/>
      <c r="W501" s="272"/>
      <c r="X501" s="272"/>
      <c r="Y501" s="272"/>
      <c r="Z501" s="272"/>
    </row>
    <row r="502" ht="15.75" customHeight="1">
      <c r="A502" s="272"/>
      <c r="B502" s="272"/>
      <c r="C502" s="272"/>
      <c r="D502" s="272"/>
      <c r="E502" s="272"/>
      <c r="F502" s="272"/>
      <c r="G502" s="272"/>
      <c r="H502" s="272"/>
      <c r="I502" s="272"/>
      <c r="J502" s="272"/>
      <c r="K502" s="272"/>
      <c r="L502" s="272"/>
      <c r="M502" s="272"/>
      <c r="N502" s="272"/>
      <c r="O502" s="272"/>
      <c r="P502" s="272"/>
      <c r="Q502" s="272"/>
      <c r="R502" s="272"/>
      <c r="S502" s="272"/>
      <c r="T502" s="272"/>
      <c r="U502" s="272"/>
      <c r="V502" s="272"/>
      <c r="W502" s="272"/>
      <c r="X502" s="272"/>
      <c r="Y502" s="272"/>
      <c r="Z502" s="272"/>
    </row>
    <row r="503" ht="15.75" customHeight="1">
      <c r="A503" s="272"/>
      <c r="B503" s="272"/>
      <c r="C503" s="272"/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2"/>
      <c r="X503" s="272"/>
      <c r="Y503" s="272"/>
      <c r="Z503" s="272"/>
    </row>
    <row r="504" ht="15.75" customHeight="1">
      <c r="A504" s="272"/>
      <c r="B504" s="272"/>
      <c r="C504" s="272"/>
      <c r="D504" s="272"/>
      <c r="E504" s="272"/>
      <c r="F504" s="272"/>
      <c r="G504" s="272"/>
      <c r="H504" s="272"/>
      <c r="I504" s="272"/>
      <c r="J504" s="272"/>
      <c r="K504" s="272"/>
      <c r="L504" s="272"/>
      <c r="M504" s="272"/>
      <c r="N504" s="272"/>
      <c r="O504" s="272"/>
      <c r="P504" s="272"/>
      <c r="Q504" s="272"/>
      <c r="R504" s="272"/>
      <c r="S504" s="272"/>
      <c r="T504" s="272"/>
      <c r="U504" s="272"/>
      <c r="V504" s="272"/>
      <c r="W504" s="272"/>
      <c r="X504" s="272"/>
      <c r="Y504" s="272"/>
      <c r="Z504" s="272"/>
    </row>
    <row r="505" ht="15.75" customHeight="1">
      <c r="A505" s="272"/>
      <c r="B505" s="272"/>
      <c r="C505" s="272"/>
      <c r="D505" s="272"/>
      <c r="E505" s="272"/>
      <c r="F505" s="272"/>
      <c r="G505" s="272"/>
      <c r="H505" s="272"/>
      <c r="I505" s="272"/>
      <c r="J505" s="272"/>
      <c r="K505" s="272"/>
      <c r="L505" s="272"/>
      <c r="M505" s="272"/>
      <c r="N505" s="272"/>
      <c r="O505" s="272"/>
      <c r="P505" s="272"/>
      <c r="Q505" s="272"/>
      <c r="R505" s="272"/>
      <c r="S505" s="272"/>
      <c r="T505" s="272"/>
      <c r="U505" s="272"/>
      <c r="V505" s="272"/>
      <c r="W505" s="272"/>
      <c r="X505" s="272"/>
      <c r="Y505" s="272"/>
      <c r="Z505" s="272"/>
    </row>
    <row r="506" ht="15.75" customHeight="1">
      <c r="A506" s="272"/>
      <c r="B506" s="272"/>
      <c r="C506" s="272"/>
      <c r="D506" s="272"/>
      <c r="E506" s="272"/>
      <c r="F506" s="272"/>
      <c r="G506" s="272"/>
      <c r="H506" s="272"/>
      <c r="I506" s="272"/>
      <c r="J506" s="272"/>
      <c r="K506" s="272"/>
      <c r="L506" s="272"/>
      <c r="M506" s="272"/>
      <c r="N506" s="272"/>
      <c r="O506" s="272"/>
      <c r="P506" s="272"/>
      <c r="Q506" s="272"/>
      <c r="R506" s="272"/>
      <c r="S506" s="272"/>
      <c r="T506" s="272"/>
      <c r="U506" s="272"/>
      <c r="V506" s="272"/>
      <c r="W506" s="272"/>
      <c r="X506" s="272"/>
      <c r="Y506" s="272"/>
      <c r="Z506" s="272"/>
    </row>
    <row r="507" ht="15.75" customHeight="1">
      <c r="A507" s="272"/>
      <c r="B507" s="272"/>
      <c r="C507" s="272"/>
      <c r="D507" s="272"/>
      <c r="E507" s="272"/>
      <c r="F507" s="272"/>
      <c r="G507" s="272"/>
      <c r="H507" s="272"/>
      <c r="I507" s="272"/>
      <c r="J507" s="272"/>
      <c r="K507" s="272"/>
      <c r="L507" s="272"/>
      <c r="M507" s="272"/>
      <c r="N507" s="272"/>
      <c r="O507" s="272"/>
      <c r="P507" s="272"/>
      <c r="Q507" s="272"/>
      <c r="R507" s="272"/>
      <c r="S507" s="272"/>
      <c r="T507" s="272"/>
      <c r="U507" s="272"/>
      <c r="V507" s="272"/>
      <c r="W507" s="272"/>
      <c r="X507" s="272"/>
      <c r="Y507" s="272"/>
      <c r="Z507" s="272"/>
    </row>
    <row r="508" ht="15.75" customHeight="1">
      <c r="A508" s="272"/>
      <c r="B508" s="272"/>
      <c r="C508" s="272"/>
      <c r="D508" s="272"/>
      <c r="E508" s="272"/>
      <c r="F508" s="272"/>
      <c r="G508" s="272"/>
      <c r="H508" s="272"/>
      <c r="I508" s="272"/>
      <c r="J508" s="272"/>
      <c r="K508" s="272"/>
      <c r="L508" s="272"/>
      <c r="M508" s="272"/>
      <c r="N508" s="272"/>
      <c r="O508" s="272"/>
      <c r="P508" s="272"/>
      <c r="Q508" s="272"/>
      <c r="R508" s="272"/>
      <c r="S508" s="272"/>
      <c r="T508" s="272"/>
      <c r="U508" s="272"/>
      <c r="V508" s="272"/>
      <c r="W508" s="272"/>
      <c r="X508" s="272"/>
      <c r="Y508" s="272"/>
      <c r="Z508" s="272"/>
    </row>
    <row r="509" ht="15.75" customHeight="1">
      <c r="A509" s="272"/>
      <c r="B509" s="272"/>
      <c r="C509" s="272"/>
      <c r="D509" s="272"/>
      <c r="E509" s="272"/>
      <c r="F509" s="272"/>
      <c r="G509" s="272"/>
      <c r="H509" s="272"/>
      <c r="I509" s="272"/>
      <c r="J509" s="272"/>
      <c r="K509" s="272"/>
      <c r="L509" s="272"/>
      <c r="M509" s="272"/>
      <c r="N509" s="272"/>
      <c r="O509" s="272"/>
      <c r="P509" s="272"/>
      <c r="Q509" s="272"/>
      <c r="R509" s="272"/>
      <c r="S509" s="272"/>
      <c r="T509" s="272"/>
      <c r="U509" s="272"/>
      <c r="V509" s="272"/>
      <c r="W509" s="272"/>
      <c r="X509" s="272"/>
      <c r="Y509" s="272"/>
      <c r="Z509" s="272"/>
    </row>
    <row r="510" ht="15.75" customHeight="1">
      <c r="A510" s="272"/>
      <c r="B510" s="272"/>
      <c r="C510" s="272"/>
      <c r="D510" s="272"/>
      <c r="E510" s="272"/>
      <c r="F510" s="272"/>
      <c r="G510" s="272"/>
      <c r="H510" s="272"/>
      <c r="I510" s="272"/>
      <c r="J510" s="272"/>
      <c r="K510" s="272"/>
      <c r="L510" s="272"/>
      <c r="M510" s="272"/>
      <c r="N510" s="272"/>
      <c r="O510" s="272"/>
      <c r="P510" s="272"/>
      <c r="Q510" s="272"/>
      <c r="R510" s="272"/>
      <c r="S510" s="272"/>
      <c r="T510" s="272"/>
      <c r="U510" s="272"/>
      <c r="V510" s="272"/>
      <c r="W510" s="272"/>
      <c r="X510" s="272"/>
      <c r="Y510" s="272"/>
      <c r="Z510" s="272"/>
    </row>
    <row r="511" ht="15.75" customHeight="1">
      <c r="A511" s="272"/>
      <c r="B511" s="272"/>
      <c r="C511" s="272"/>
      <c r="D511" s="272"/>
      <c r="E511" s="272"/>
      <c r="F511" s="272"/>
      <c r="G511" s="272"/>
      <c r="H511" s="272"/>
      <c r="I511" s="272"/>
      <c r="J511" s="272"/>
      <c r="K511" s="272"/>
      <c r="L511" s="272"/>
      <c r="M511" s="272"/>
      <c r="N511" s="272"/>
      <c r="O511" s="272"/>
      <c r="P511" s="272"/>
      <c r="Q511" s="272"/>
      <c r="R511" s="272"/>
      <c r="S511" s="272"/>
      <c r="T511" s="272"/>
      <c r="U511" s="272"/>
      <c r="V511" s="272"/>
      <c r="W511" s="272"/>
      <c r="X511" s="272"/>
      <c r="Y511" s="272"/>
      <c r="Z511" s="272"/>
    </row>
    <row r="512" ht="15.75" customHeight="1">
      <c r="A512" s="272"/>
      <c r="B512" s="272"/>
      <c r="C512" s="272"/>
      <c r="D512" s="272"/>
      <c r="E512" s="272"/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  <c r="Z512" s="272"/>
    </row>
    <row r="513" ht="15.75" customHeight="1">
      <c r="A513" s="272"/>
      <c r="B513" s="272"/>
      <c r="C513" s="272"/>
      <c r="D513" s="272"/>
      <c r="E513" s="272"/>
      <c r="F513" s="272"/>
      <c r="G513" s="272"/>
      <c r="H513" s="272"/>
      <c r="I513" s="272"/>
      <c r="J513" s="272"/>
      <c r="K513" s="272"/>
      <c r="L513" s="272"/>
      <c r="M513" s="272"/>
      <c r="N513" s="272"/>
      <c r="O513" s="272"/>
      <c r="P513" s="272"/>
      <c r="Q513" s="272"/>
      <c r="R513" s="272"/>
      <c r="S513" s="272"/>
      <c r="T513" s="272"/>
      <c r="U513" s="272"/>
      <c r="V513" s="272"/>
      <c r="W513" s="272"/>
      <c r="X513" s="272"/>
      <c r="Y513" s="272"/>
      <c r="Z513" s="272"/>
    </row>
    <row r="514" ht="15.75" customHeight="1">
      <c r="A514" s="272"/>
      <c r="B514" s="272"/>
      <c r="C514" s="272"/>
      <c r="D514" s="272"/>
      <c r="E514" s="272"/>
      <c r="F514" s="272"/>
      <c r="G514" s="272"/>
      <c r="H514" s="272"/>
      <c r="I514" s="272"/>
      <c r="J514" s="272"/>
      <c r="K514" s="272"/>
      <c r="L514" s="272"/>
      <c r="M514" s="272"/>
      <c r="N514" s="272"/>
      <c r="O514" s="272"/>
      <c r="P514" s="272"/>
      <c r="Q514" s="272"/>
      <c r="R514" s="272"/>
      <c r="S514" s="272"/>
      <c r="T514" s="272"/>
      <c r="U514" s="272"/>
      <c r="V514" s="272"/>
      <c r="W514" s="272"/>
      <c r="X514" s="272"/>
      <c r="Y514" s="272"/>
      <c r="Z514" s="272"/>
    </row>
    <row r="515" ht="15.75" customHeight="1">
      <c r="A515" s="272"/>
      <c r="B515" s="272"/>
      <c r="C515" s="272"/>
      <c r="D515" s="272"/>
      <c r="E515" s="272"/>
      <c r="F515" s="272"/>
      <c r="G515" s="272"/>
      <c r="H515" s="272"/>
      <c r="I515" s="272"/>
      <c r="J515" s="272"/>
      <c r="K515" s="272"/>
      <c r="L515" s="272"/>
      <c r="M515" s="272"/>
      <c r="N515" s="272"/>
      <c r="O515" s="272"/>
      <c r="P515" s="272"/>
      <c r="Q515" s="272"/>
      <c r="R515" s="272"/>
      <c r="S515" s="272"/>
      <c r="T515" s="272"/>
      <c r="U515" s="272"/>
      <c r="V515" s="272"/>
      <c r="W515" s="272"/>
      <c r="X515" s="272"/>
      <c r="Y515" s="272"/>
      <c r="Z515" s="272"/>
    </row>
    <row r="516" ht="15.75" customHeight="1">
      <c r="A516" s="272"/>
      <c r="B516" s="272"/>
      <c r="C516" s="272"/>
      <c r="D516" s="272"/>
      <c r="E516" s="272"/>
      <c r="F516" s="272"/>
      <c r="G516" s="272"/>
      <c r="H516" s="272"/>
      <c r="I516" s="272"/>
      <c r="J516" s="272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2"/>
      <c r="X516" s="272"/>
      <c r="Y516" s="272"/>
      <c r="Z516" s="272"/>
    </row>
    <row r="517" ht="15.75" customHeight="1">
      <c r="A517" s="272"/>
      <c r="B517" s="272"/>
      <c r="C517" s="272"/>
      <c r="D517" s="272"/>
      <c r="E517" s="272"/>
      <c r="F517" s="272"/>
      <c r="G517" s="272"/>
      <c r="H517" s="272"/>
      <c r="I517" s="272"/>
      <c r="J517" s="272"/>
      <c r="K517" s="272"/>
      <c r="L517" s="272"/>
      <c r="M517" s="272"/>
      <c r="N517" s="272"/>
      <c r="O517" s="272"/>
      <c r="P517" s="272"/>
      <c r="Q517" s="272"/>
      <c r="R517" s="272"/>
      <c r="S517" s="272"/>
      <c r="T517" s="272"/>
      <c r="U517" s="272"/>
      <c r="V517" s="272"/>
      <c r="W517" s="272"/>
      <c r="X517" s="272"/>
      <c r="Y517" s="272"/>
      <c r="Z517" s="272"/>
    </row>
    <row r="518" ht="15.75" customHeight="1">
      <c r="A518" s="272"/>
      <c r="B518" s="272"/>
      <c r="C518" s="272"/>
      <c r="D518" s="272"/>
      <c r="E518" s="272"/>
      <c r="F518" s="272"/>
      <c r="G518" s="272"/>
      <c r="H518" s="272"/>
      <c r="I518" s="272"/>
      <c r="J518" s="272"/>
      <c r="K518" s="272"/>
      <c r="L518" s="272"/>
      <c r="M518" s="272"/>
      <c r="N518" s="272"/>
      <c r="O518" s="272"/>
      <c r="P518" s="272"/>
      <c r="Q518" s="272"/>
      <c r="R518" s="272"/>
      <c r="S518" s="272"/>
      <c r="T518" s="272"/>
      <c r="U518" s="272"/>
      <c r="V518" s="272"/>
      <c r="W518" s="272"/>
      <c r="X518" s="272"/>
      <c r="Y518" s="272"/>
      <c r="Z518" s="272"/>
    </row>
    <row r="519" ht="15.75" customHeight="1">
      <c r="A519" s="272"/>
      <c r="B519" s="272"/>
      <c r="C519" s="272"/>
      <c r="D519" s="272"/>
      <c r="E519" s="272"/>
      <c r="F519" s="272"/>
      <c r="G519" s="272"/>
      <c r="H519" s="272"/>
      <c r="I519" s="272"/>
      <c r="J519" s="272"/>
      <c r="K519" s="272"/>
      <c r="L519" s="272"/>
      <c r="M519" s="272"/>
      <c r="N519" s="272"/>
      <c r="O519" s="272"/>
      <c r="P519" s="272"/>
      <c r="Q519" s="272"/>
      <c r="R519" s="272"/>
      <c r="S519" s="272"/>
      <c r="T519" s="272"/>
      <c r="U519" s="272"/>
      <c r="V519" s="272"/>
      <c r="W519" s="272"/>
      <c r="X519" s="272"/>
      <c r="Y519" s="272"/>
      <c r="Z519" s="272"/>
    </row>
    <row r="520" ht="15.75" customHeight="1">
      <c r="A520" s="272"/>
      <c r="B520" s="272"/>
      <c r="C520" s="272"/>
      <c r="D520" s="272"/>
      <c r="E520" s="272"/>
      <c r="F520" s="272"/>
      <c r="G520" s="272"/>
      <c r="H520" s="272"/>
      <c r="I520" s="272"/>
      <c r="J520" s="272"/>
      <c r="K520" s="272"/>
      <c r="L520" s="272"/>
      <c r="M520" s="272"/>
      <c r="N520" s="272"/>
      <c r="O520" s="272"/>
      <c r="P520" s="272"/>
      <c r="Q520" s="272"/>
      <c r="R520" s="272"/>
      <c r="S520" s="272"/>
      <c r="T520" s="272"/>
      <c r="U520" s="272"/>
      <c r="V520" s="272"/>
      <c r="W520" s="272"/>
      <c r="X520" s="272"/>
      <c r="Y520" s="272"/>
      <c r="Z520" s="272"/>
    </row>
    <row r="521" ht="15.75" customHeight="1">
      <c r="A521" s="272"/>
      <c r="B521" s="272"/>
      <c r="C521" s="272"/>
      <c r="D521" s="272"/>
      <c r="E521" s="272"/>
      <c r="F521" s="272"/>
      <c r="G521" s="272"/>
      <c r="H521" s="272"/>
      <c r="I521" s="272"/>
      <c r="J521" s="272"/>
      <c r="K521" s="272"/>
      <c r="L521" s="272"/>
      <c r="M521" s="272"/>
      <c r="N521" s="272"/>
      <c r="O521" s="272"/>
      <c r="P521" s="272"/>
      <c r="Q521" s="272"/>
      <c r="R521" s="272"/>
      <c r="S521" s="272"/>
      <c r="T521" s="272"/>
      <c r="U521" s="272"/>
      <c r="V521" s="272"/>
      <c r="W521" s="272"/>
      <c r="X521" s="272"/>
      <c r="Y521" s="272"/>
      <c r="Z521" s="272"/>
    </row>
    <row r="522" ht="15.75" customHeight="1">
      <c r="A522" s="272"/>
      <c r="B522" s="272"/>
      <c r="C522" s="272"/>
      <c r="D522" s="272"/>
      <c r="E522" s="272"/>
      <c r="F522" s="272"/>
      <c r="G522" s="272"/>
      <c r="H522" s="272"/>
      <c r="I522" s="272"/>
      <c r="J522" s="272"/>
      <c r="K522" s="272"/>
      <c r="L522" s="272"/>
      <c r="M522" s="272"/>
      <c r="N522" s="272"/>
      <c r="O522" s="272"/>
      <c r="P522" s="272"/>
      <c r="Q522" s="272"/>
      <c r="R522" s="272"/>
      <c r="S522" s="272"/>
      <c r="T522" s="272"/>
      <c r="U522" s="272"/>
      <c r="V522" s="272"/>
      <c r="W522" s="272"/>
      <c r="X522" s="272"/>
      <c r="Y522" s="272"/>
      <c r="Z522" s="272"/>
    </row>
    <row r="523" ht="15.75" customHeight="1">
      <c r="A523" s="272"/>
      <c r="B523" s="272"/>
      <c r="C523" s="272"/>
      <c r="D523" s="272"/>
      <c r="E523" s="272"/>
      <c r="F523" s="272"/>
      <c r="G523" s="272"/>
      <c r="H523" s="272"/>
      <c r="I523" s="272"/>
      <c r="J523" s="272"/>
      <c r="K523" s="272"/>
      <c r="L523" s="272"/>
      <c r="M523" s="272"/>
      <c r="N523" s="272"/>
      <c r="O523" s="272"/>
      <c r="P523" s="272"/>
      <c r="Q523" s="272"/>
      <c r="R523" s="272"/>
      <c r="S523" s="272"/>
      <c r="T523" s="272"/>
      <c r="U523" s="272"/>
      <c r="V523" s="272"/>
      <c r="W523" s="272"/>
      <c r="X523" s="272"/>
      <c r="Y523" s="272"/>
      <c r="Z523" s="272"/>
    </row>
    <row r="524" ht="15.75" customHeight="1">
      <c r="A524" s="272"/>
      <c r="B524" s="272"/>
      <c r="C524" s="272"/>
      <c r="D524" s="272"/>
      <c r="E524" s="272"/>
      <c r="F524" s="272"/>
      <c r="G524" s="272"/>
      <c r="H524" s="272"/>
      <c r="I524" s="272"/>
      <c r="J524" s="272"/>
      <c r="K524" s="272"/>
      <c r="L524" s="272"/>
      <c r="M524" s="272"/>
      <c r="N524" s="272"/>
      <c r="O524" s="272"/>
      <c r="P524" s="272"/>
      <c r="Q524" s="272"/>
      <c r="R524" s="272"/>
      <c r="S524" s="272"/>
      <c r="T524" s="272"/>
      <c r="U524" s="272"/>
      <c r="V524" s="272"/>
      <c r="W524" s="272"/>
      <c r="X524" s="272"/>
      <c r="Y524" s="272"/>
      <c r="Z524" s="272"/>
    </row>
    <row r="525" ht="15.75" customHeight="1">
      <c r="A525" s="272"/>
      <c r="B525" s="272"/>
      <c r="C525" s="272"/>
      <c r="D525" s="272"/>
      <c r="E525" s="272"/>
      <c r="F525" s="272"/>
      <c r="G525" s="272"/>
      <c r="H525" s="272"/>
      <c r="I525" s="272"/>
      <c r="J525" s="272"/>
      <c r="K525" s="272"/>
      <c r="L525" s="272"/>
      <c r="M525" s="272"/>
      <c r="N525" s="272"/>
      <c r="O525" s="272"/>
      <c r="P525" s="272"/>
      <c r="Q525" s="272"/>
      <c r="R525" s="272"/>
      <c r="S525" s="272"/>
      <c r="T525" s="272"/>
      <c r="U525" s="272"/>
      <c r="V525" s="272"/>
      <c r="W525" s="272"/>
      <c r="X525" s="272"/>
      <c r="Y525" s="272"/>
      <c r="Z525" s="272"/>
    </row>
    <row r="526" ht="15.75" customHeight="1">
      <c r="A526" s="272"/>
      <c r="B526" s="272"/>
      <c r="C526" s="272"/>
      <c r="D526" s="272"/>
      <c r="E526" s="272"/>
      <c r="F526" s="272"/>
      <c r="G526" s="272"/>
      <c r="H526" s="272"/>
      <c r="I526" s="272"/>
      <c r="J526" s="272"/>
      <c r="K526" s="272"/>
      <c r="L526" s="272"/>
      <c r="M526" s="272"/>
      <c r="N526" s="272"/>
      <c r="O526" s="272"/>
      <c r="P526" s="272"/>
      <c r="Q526" s="272"/>
      <c r="R526" s="272"/>
      <c r="S526" s="272"/>
      <c r="T526" s="272"/>
      <c r="U526" s="272"/>
      <c r="V526" s="272"/>
      <c r="W526" s="272"/>
      <c r="X526" s="272"/>
      <c r="Y526" s="272"/>
      <c r="Z526" s="272"/>
    </row>
    <row r="527" ht="15.75" customHeight="1">
      <c r="A527" s="272"/>
      <c r="B527" s="272"/>
      <c r="C527" s="272"/>
      <c r="D527" s="272"/>
      <c r="E527" s="272"/>
      <c r="F527" s="272"/>
      <c r="G527" s="272"/>
      <c r="H527" s="272"/>
      <c r="I527" s="272"/>
      <c r="J527" s="272"/>
      <c r="K527" s="272"/>
      <c r="L527" s="272"/>
      <c r="M527" s="272"/>
      <c r="N527" s="272"/>
      <c r="O527" s="272"/>
      <c r="P527" s="272"/>
      <c r="Q527" s="272"/>
      <c r="R527" s="272"/>
      <c r="S527" s="272"/>
      <c r="T527" s="272"/>
      <c r="U527" s="272"/>
      <c r="V527" s="272"/>
      <c r="W527" s="272"/>
      <c r="X527" s="272"/>
      <c r="Y527" s="272"/>
      <c r="Z527" s="272"/>
    </row>
    <row r="528" ht="15.75" customHeight="1">
      <c r="A528" s="272"/>
      <c r="B528" s="272"/>
      <c r="C528" s="272"/>
      <c r="D528" s="272"/>
      <c r="E528" s="272"/>
      <c r="F528" s="272"/>
      <c r="G528" s="272"/>
      <c r="H528" s="272"/>
      <c r="I528" s="272"/>
      <c r="J528" s="272"/>
      <c r="K528" s="272"/>
      <c r="L528" s="272"/>
      <c r="M528" s="272"/>
      <c r="N528" s="272"/>
      <c r="O528" s="272"/>
      <c r="P528" s="272"/>
      <c r="Q528" s="272"/>
      <c r="R528" s="272"/>
      <c r="S528" s="272"/>
      <c r="T528" s="272"/>
      <c r="U528" s="272"/>
      <c r="V528" s="272"/>
      <c r="W528" s="272"/>
      <c r="X528" s="272"/>
      <c r="Y528" s="272"/>
      <c r="Z528" s="272"/>
    </row>
    <row r="529" ht="15.75" customHeight="1">
      <c r="A529" s="272"/>
      <c r="B529" s="272"/>
      <c r="C529" s="272"/>
      <c r="D529" s="272"/>
      <c r="E529" s="272"/>
      <c r="F529" s="272"/>
      <c r="G529" s="272"/>
      <c r="H529" s="272"/>
      <c r="I529" s="272"/>
      <c r="J529" s="272"/>
      <c r="K529" s="272"/>
      <c r="L529" s="272"/>
      <c r="M529" s="272"/>
      <c r="N529" s="272"/>
      <c r="O529" s="272"/>
      <c r="P529" s="272"/>
      <c r="Q529" s="272"/>
      <c r="R529" s="272"/>
      <c r="S529" s="272"/>
      <c r="T529" s="272"/>
      <c r="U529" s="272"/>
      <c r="V529" s="272"/>
      <c r="W529" s="272"/>
      <c r="X529" s="272"/>
      <c r="Y529" s="272"/>
      <c r="Z529" s="272"/>
    </row>
    <row r="530" ht="15.75" customHeight="1">
      <c r="A530" s="272"/>
      <c r="B530" s="272"/>
      <c r="C530" s="272"/>
      <c r="D530" s="272"/>
      <c r="E530" s="272"/>
      <c r="F530" s="272"/>
      <c r="G530" s="272"/>
      <c r="H530" s="272"/>
      <c r="I530" s="272"/>
      <c r="J530" s="272"/>
      <c r="K530" s="272"/>
      <c r="L530" s="272"/>
      <c r="M530" s="272"/>
      <c r="N530" s="272"/>
      <c r="O530" s="272"/>
      <c r="P530" s="272"/>
      <c r="Q530" s="272"/>
      <c r="R530" s="272"/>
      <c r="S530" s="272"/>
      <c r="T530" s="272"/>
      <c r="U530" s="272"/>
      <c r="V530" s="272"/>
      <c r="W530" s="272"/>
      <c r="X530" s="272"/>
      <c r="Y530" s="272"/>
      <c r="Z530" s="272"/>
    </row>
    <row r="531" ht="15.75" customHeight="1">
      <c r="A531" s="272"/>
      <c r="B531" s="272"/>
      <c r="C531" s="272"/>
      <c r="D531" s="272"/>
      <c r="E531" s="272"/>
      <c r="F531" s="272"/>
      <c r="G531" s="272"/>
      <c r="H531" s="272"/>
      <c r="I531" s="272"/>
      <c r="J531" s="272"/>
      <c r="K531" s="272"/>
      <c r="L531" s="272"/>
      <c r="M531" s="272"/>
      <c r="N531" s="272"/>
      <c r="O531" s="272"/>
      <c r="P531" s="272"/>
      <c r="Q531" s="272"/>
      <c r="R531" s="272"/>
      <c r="S531" s="272"/>
      <c r="T531" s="272"/>
      <c r="U531" s="272"/>
      <c r="V531" s="272"/>
      <c r="W531" s="272"/>
      <c r="X531" s="272"/>
      <c r="Y531" s="272"/>
      <c r="Z531" s="272"/>
    </row>
    <row r="532" ht="15.75" customHeight="1">
      <c r="A532" s="272"/>
      <c r="B532" s="272"/>
      <c r="C532" s="272"/>
      <c r="D532" s="272"/>
      <c r="E532" s="272"/>
      <c r="F532" s="272"/>
      <c r="G532" s="272"/>
      <c r="H532" s="272"/>
      <c r="I532" s="272"/>
      <c r="J532" s="272"/>
      <c r="K532" s="272"/>
      <c r="L532" s="272"/>
      <c r="M532" s="272"/>
      <c r="N532" s="272"/>
      <c r="O532" s="272"/>
      <c r="P532" s="272"/>
      <c r="Q532" s="272"/>
      <c r="R532" s="272"/>
      <c r="S532" s="272"/>
      <c r="T532" s="272"/>
      <c r="U532" s="272"/>
      <c r="V532" s="272"/>
      <c r="W532" s="272"/>
      <c r="X532" s="272"/>
      <c r="Y532" s="272"/>
      <c r="Z532" s="272"/>
    </row>
    <row r="533" ht="15.75" customHeight="1">
      <c r="A533" s="272"/>
      <c r="B533" s="272"/>
      <c r="C533" s="272"/>
      <c r="D533" s="272"/>
      <c r="E533" s="272"/>
      <c r="F533" s="272"/>
      <c r="G533" s="272"/>
      <c r="H533" s="272"/>
      <c r="I533" s="272"/>
      <c r="J533" s="272"/>
      <c r="K533" s="272"/>
      <c r="L533" s="272"/>
      <c r="M533" s="272"/>
      <c r="N533" s="272"/>
      <c r="O533" s="272"/>
      <c r="P533" s="272"/>
      <c r="Q533" s="272"/>
      <c r="R533" s="272"/>
      <c r="S533" s="272"/>
      <c r="T533" s="272"/>
      <c r="U533" s="272"/>
      <c r="V533" s="272"/>
      <c r="W533" s="272"/>
      <c r="X533" s="272"/>
      <c r="Y533" s="272"/>
      <c r="Z533" s="272"/>
    </row>
    <row r="534" ht="15.75" customHeight="1">
      <c r="A534" s="272"/>
      <c r="B534" s="272"/>
      <c r="C534" s="272"/>
      <c r="D534" s="272"/>
      <c r="E534" s="272"/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</row>
    <row r="535" ht="15.75" customHeight="1">
      <c r="A535" s="272"/>
      <c r="B535" s="272"/>
      <c r="C535" s="272"/>
      <c r="D535" s="272"/>
      <c r="E535" s="272"/>
      <c r="F535" s="272"/>
      <c r="G535" s="272"/>
      <c r="H535" s="272"/>
      <c r="I535" s="272"/>
      <c r="J535" s="272"/>
      <c r="K535" s="272"/>
      <c r="L535" s="272"/>
      <c r="M535" s="272"/>
      <c r="N535" s="272"/>
      <c r="O535" s="272"/>
      <c r="P535" s="272"/>
      <c r="Q535" s="272"/>
      <c r="R535" s="272"/>
      <c r="S535" s="272"/>
      <c r="T535" s="272"/>
      <c r="U535" s="272"/>
      <c r="V535" s="272"/>
      <c r="W535" s="272"/>
      <c r="X535" s="272"/>
      <c r="Y535" s="272"/>
      <c r="Z535" s="272"/>
    </row>
    <row r="536" ht="15.75" customHeight="1">
      <c r="A536" s="272"/>
      <c r="B536" s="272"/>
      <c r="C536" s="272"/>
      <c r="D536" s="272"/>
      <c r="E536" s="272"/>
      <c r="F536" s="272"/>
      <c r="G536" s="272"/>
      <c r="H536" s="272"/>
      <c r="I536" s="272"/>
      <c r="J536" s="272"/>
      <c r="K536" s="272"/>
      <c r="L536" s="272"/>
      <c r="M536" s="272"/>
      <c r="N536" s="272"/>
      <c r="O536" s="272"/>
      <c r="P536" s="272"/>
      <c r="Q536" s="272"/>
      <c r="R536" s="272"/>
      <c r="S536" s="272"/>
      <c r="T536" s="272"/>
      <c r="U536" s="272"/>
      <c r="V536" s="272"/>
      <c r="W536" s="272"/>
      <c r="X536" s="272"/>
      <c r="Y536" s="272"/>
      <c r="Z536" s="272"/>
    </row>
    <row r="537" ht="15.75" customHeight="1">
      <c r="A537" s="272"/>
      <c r="B537" s="272"/>
      <c r="C537" s="272"/>
      <c r="D537" s="272"/>
      <c r="E537" s="272"/>
      <c r="F537" s="272"/>
      <c r="G537" s="272"/>
      <c r="H537" s="272"/>
      <c r="I537" s="272"/>
      <c r="J537" s="272"/>
      <c r="K537" s="272"/>
      <c r="L537" s="272"/>
      <c r="M537" s="272"/>
      <c r="N537" s="272"/>
      <c r="O537" s="272"/>
      <c r="P537" s="272"/>
      <c r="Q537" s="272"/>
      <c r="R537" s="272"/>
      <c r="S537" s="272"/>
      <c r="T537" s="272"/>
      <c r="U537" s="272"/>
      <c r="V537" s="272"/>
      <c r="W537" s="272"/>
      <c r="X537" s="272"/>
      <c r="Y537" s="272"/>
      <c r="Z537" s="272"/>
    </row>
    <row r="538" ht="15.75" customHeight="1">
      <c r="A538" s="272"/>
      <c r="B538" s="272"/>
      <c r="C538" s="272"/>
      <c r="D538" s="272"/>
      <c r="E538" s="272"/>
      <c r="F538" s="272"/>
      <c r="G538" s="272"/>
      <c r="H538" s="272"/>
      <c r="I538" s="272"/>
      <c r="J538" s="272"/>
      <c r="K538" s="272"/>
      <c r="L538" s="272"/>
      <c r="M538" s="272"/>
      <c r="N538" s="272"/>
      <c r="O538" s="272"/>
      <c r="P538" s="272"/>
      <c r="Q538" s="272"/>
      <c r="R538" s="272"/>
      <c r="S538" s="272"/>
      <c r="T538" s="272"/>
      <c r="U538" s="272"/>
      <c r="V538" s="272"/>
      <c r="W538" s="272"/>
      <c r="X538" s="272"/>
      <c r="Y538" s="272"/>
      <c r="Z538" s="272"/>
    </row>
    <row r="539" ht="15.75" customHeight="1">
      <c r="A539" s="272"/>
      <c r="B539" s="272"/>
      <c r="C539" s="272"/>
      <c r="D539" s="272"/>
      <c r="E539" s="272"/>
      <c r="F539" s="272"/>
      <c r="G539" s="272"/>
      <c r="H539" s="272"/>
      <c r="I539" s="272"/>
      <c r="J539" s="272"/>
      <c r="K539" s="272"/>
      <c r="L539" s="272"/>
      <c r="M539" s="272"/>
      <c r="N539" s="272"/>
      <c r="O539" s="272"/>
      <c r="P539" s="272"/>
      <c r="Q539" s="272"/>
      <c r="R539" s="272"/>
      <c r="S539" s="272"/>
      <c r="T539" s="272"/>
      <c r="U539" s="272"/>
      <c r="V539" s="272"/>
      <c r="W539" s="272"/>
      <c r="X539" s="272"/>
      <c r="Y539" s="272"/>
      <c r="Z539" s="272"/>
    </row>
    <row r="540" ht="15.75" customHeight="1">
      <c r="A540" s="272"/>
      <c r="B540" s="272"/>
      <c r="C540" s="272"/>
      <c r="D540" s="272"/>
      <c r="E540" s="272"/>
      <c r="F540" s="272"/>
      <c r="G540" s="272"/>
      <c r="H540" s="272"/>
      <c r="I540" s="272"/>
      <c r="J540" s="272"/>
      <c r="K540" s="272"/>
      <c r="L540" s="272"/>
      <c r="M540" s="272"/>
      <c r="N540" s="272"/>
      <c r="O540" s="272"/>
      <c r="P540" s="272"/>
      <c r="Q540" s="272"/>
      <c r="R540" s="272"/>
      <c r="S540" s="272"/>
      <c r="T540" s="272"/>
      <c r="U540" s="272"/>
      <c r="V540" s="272"/>
      <c r="W540" s="272"/>
      <c r="X540" s="272"/>
      <c r="Y540" s="272"/>
      <c r="Z540" s="272"/>
    </row>
    <row r="541" ht="15.75" customHeight="1">
      <c r="A541" s="272"/>
      <c r="B541" s="272"/>
      <c r="C541" s="272"/>
      <c r="D541" s="272"/>
      <c r="E541" s="272"/>
      <c r="F541" s="272"/>
      <c r="G541" s="272"/>
      <c r="H541" s="272"/>
      <c r="I541" s="272"/>
      <c r="J541" s="272"/>
      <c r="K541" s="272"/>
      <c r="L541" s="272"/>
      <c r="M541" s="272"/>
      <c r="N541" s="272"/>
      <c r="O541" s="272"/>
      <c r="P541" s="272"/>
      <c r="Q541" s="272"/>
      <c r="R541" s="272"/>
      <c r="S541" s="272"/>
      <c r="T541" s="272"/>
      <c r="U541" s="272"/>
      <c r="V541" s="272"/>
      <c r="W541" s="272"/>
      <c r="X541" s="272"/>
      <c r="Y541" s="272"/>
      <c r="Z541" s="272"/>
    </row>
    <row r="542" ht="15.75" customHeight="1">
      <c r="A542" s="272"/>
      <c r="B542" s="272"/>
      <c r="C542" s="272"/>
      <c r="D542" s="272"/>
      <c r="E542" s="272"/>
      <c r="F542" s="272"/>
      <c r="G542" s="272"/>
      <c r="H542" s="272"/>
      <c r="I542" s="272"/>
      <c r="J542" s="272"/>
      <c r="K542" s="272"/>
      <c r="L542" s="272"/>
      <c r="M542" s="272"/>
      <c r="N542" s="272"/>
      <c r="O542" s="272"/>
      <c r="P542" s="272"/>
      <c r="Q542" s="272"/>
      <c r="R542" s="272"/>
      <c r="S542" s="272"/>
      <c r="T542" s="272"/>
      <c r="U542" s="272"/>
      <c r="V542" s="272"/>
      <c r="W542" s="272"/>
      <c r="X542" s="272"/>
      <c r="Y542" s="272"/>
      <c r="Z542" s="272"/>
    </row>
    <row r="543" ht="15.75" customHeight="1">
      <c r="A543" s="272"/>
      <c r="B543" s="272"/>
      <c r="C543" s="272"/>
      <c r="D543" s="272"/>
      <c r="E543" s="272"/>
      <c r="F543" s="272"/>
      <c r="G543" s="272"/>
      <c r="H543" s="272"/>
      <c r="I543" s="272"/>
      <c r="J543" s="272"/>
      <c r="K543" s="272"/>
      <c r="L543" s="272"/>
      <c r="M543" s="272"/>
      <c r="N543" s="272"/>
      <c r="O543" s="272"/>
      <c r="P543" s="272"/>
      <c r="Q543" s="272"/>
      <c r="R543" s="272"/>
      <c r="S543" s="272"/>
      <c r="T543" s="272"/>
      <c r="U543" s="272"/>
      <c r="V543" s="272"/>
      <c r="W543" s="272"/>
      <c r="X543" s="272"/>
      <c r="Y543" s="272"/>
      <c r="Z543" s="272"/>
    </row>
    <row r="544" ht="15.75" customHeight="1">
      <c r="A544" s="272"/>
      <c r="B544" s="272"/>
      <c r="C544" s="272"/>
      <c r="D544" s="272"/>
      <c r="E544" s="272"/>
      <c r="F544" s="272"/>
      <c r="G544" s="272"/>
      <c r="H544" s="272"/>
      <c r="I544" s="272"/>
      <c r="J544" s="272"/>
      <c r="K544" s="272"/>
      <c r="L544" s="272"/>
      <c r="M544" s="272"/>
      <c r="N544" s="272"/>
      <c r="O544" s="272"/>
      <c r="P544" s="272"/>
      <c r="Q544" s="272"/>
      <c r="R544" s="272"/>
      <c r="S544" s="272"/>
      <c r="T544" s="272"/>
      <c r="U544" s="272"/>
      <c r="V544" s="272"/>
      <c r="W544" s="272"/>
      <c r="X544" s="272"/>
      <c r="Y544" s="272"/>
      <c r="Z544" s="272"/>
    </row>
    <row r="545" ht="15.75" customHeight="1">
      <c r="A545" s="272"/>
      <c r="B545" s="272"/>
      <c r="C545" s="272"/>
      <c r="D545" s="272"/>
      <c r="E545" s="272"/>
      <c r="F545" s="272"/>
      <c r="G545" s="272"/>
      <c r="H545" s="272"/>
      <c r="I545" s="272"/>
      <c r="J545" s="272"/>
      <c r="K545" s="272"/>
      <c r="L545" s="272"/>
      <c r="M545" s="272"/>
      <c r="N545" s="272"/>
      <c r="O545" s="272"/>
      <c r="P545" s="272"/>
      <c r="Q545" s="272"/>
      <c r="R545" s="272"/>
      <c r="S545" s="272"/>
      <c r="T545" s="272"/>
      <c r="U545" s="272"/>
      <c r="V545" s="272"/>
      <c r="W545" s="272"/>
      <c r="X545" s="272"/>
      <c r="Y545" s="272"/>
      <c r="Z545" s="272"/>
    </row>
    <row r="546" ht="15.75" customHeight="1">
      <c r="A546" s="272"/>
      <c r="B546" s="272"/>
      <c r="C546" s="272"/>
      <c r="D546" s="272"/>
      <c r="E546" s="272"/>
      <c r="F546" s="272"/>
      <c r="G546" s="272"/>
      <c r="H546" s="272"/>
      <c r="I546" s="272"/>
      <c r="J546" s="272"/>
      <c r="K546" s="272"/>
      <c r="L546" s="272"/>
      <c r="M546" s="272"/>
      <c r="N546" s="272"/>
      <c r="O546" s="272"/>
      <c r="P546" s="272"/>
      <c r="Q546" s="272"/>
      <c r="R546" s="272"/>
      <c r="S546" s="272"/>
      <c r="T546" s="272"/>
      <c r="U546" s="272"/>
      <c r="V546" s="272"/>
      <c r="W546" s="272"/>
      <c r="X546" s="272"/>
      <c r="Y546" s="272"/>
      <c r="Z546" s="272"/>
    </row>
    <row r="547" ht="15.75" customHeight="1">
      <c r="A547" s="272"/>
      <c r="B547" s="272"/>
      <c r="C547" s="272"/>
      <c r="D547" s="272"/>
      <c r="E547" s="272"/>
      <c r="F547" s="272"/>
      <c r="G547" s="272"/>
      <c r="H547" s="272"/>
      <c r="I547" s="272"/>
      <c r="J547" s="272"/>
      <c r="K547" s="272"/>
      <c r="L547" s="272"/>
      <c r="M547" s="272"/>
      <c r="N547" s="272"/>
      <c r="O547" s="272"/>
      <c r="P547" s="272"/>
      <c r="Q547" s="272"/>
      <c r="R547" s="272"/>
      <c r="S547" s="272"/>
      <c r="T547" s="272"/>
      <c r="U547" s="272"/>
      <c r="V547" s="272"/>
      <c r="W547" s="272"/>
      <c r="X547" s="272"/>
      <c r="Y547" s="272"/>
      <c r="Z547" s="272"/>
    </row>
    <row r="548" ht="15.75" customHeight="1">
      <c r="A548" s="272"/>
      <c r="B548" s="272"/>
      <c r="C548" s="272"/>
      <c r="D548" s="272"/>
      <c r="E548" s="272"/>
      <c r="F548" s="272"/>
      <c r="G548" s="272"/>
      <c r="H548" s="272"/>
      <c r="I548" s="272"/>
      <c r="J548" s="272"/>
      <c r="K548" s="272"/>
      <c r="L548" s="272"/>
      <c r="M548" s="272"/>
      <c r="N548" s="272"/>
      <c r="O548" s="272"/>
      <c r="P548" s="272"/>
      <c r="Q548" s="272"/>
      <c r="R548" s="272"/>
      <c r="S548" s="272"/>
      <c r="T548" s="272"/>
      <c r="U548" s="272"/>
      <c r="V548" s="272"/>
      <c r="W548" s="272"/>
      <c r="X548" s="272"/>
      <c r="Y548" s="272"/>
      <c r="Z548" s="272"/>
    </row>
    <row r="549" ht="15.75" customHeight="1">
      <c r="A549" s="272"/>
      <c r="B549" s="272"/>
      <c r="C549" s="272"/>
      <c r="D549" s="272"/>
      <c r="E549" s="272"/>
      <c r="F549" s="272"/>
      <c r="G549" s="272"/>
      <c r="H549" s="272"/>
      <c r="I549" s="272"/>
      <c r="J549" s="272"/>
      <c r="K549" s="272"/>
      <c r="L549" s="272"/>
      <c r="M549" s="272"/>
      <c r="N549" s="272"/>
      <c r="O549" s="272"/>
      <c r="P549" s="272"/>
      <c r="Q549" s="272"/>
      <c r="R549" s="272"/>
      <c r="S549" s="272"/>
      <c r="T549" s="272"/>
      <c r="U549" s="272"/>
      <c r="V549" s="272"/>
      <c r="W549" s="272"/>
      <c r="X549" s="272"/>
      <c r="Y549" s="272"/>
      <c r="Z549" s="272"/>
    </row>
    <row r="550" ht="15.75" customHeight="1">
      <c r="A550" s="272"/>
      <c r="B550" s="272"/>
      <c r="C550" s="272"/>
      <c r="D550" s="272"/>
      <c r="E550" s="272"/>
      <c r="F550" s="272"/>
      <c r="G550" s="272"/>
      <c r="H550" s="272"/>
      <c r="I550" s="272"/>
      <c r="J550" s="272"/>
      <c r="K550" s="272"/>
      <c r="L550" s="272"/>
      <c r="M550" s="272"/>
      <c r="N550" s="272"/>
      <c r="O550" s="272"/>
      <c r="P550" s="272"/>
      <c r="Q550" s="272"/>
      <c r="R550" s="272"/>
      <c r="S550" s="272"/>
      <c r="T550" s="272"/>
      <c r="U550" s="272"/>
      <c r="V550" s="272"/>
      <c r="W550" s="272"/>
      <c r="X550" s="272"/>
      <c r="Y550" s="272"/>
      <c r="Z550" s="272"/>
    </row>
    <row r="551" ht="15.75" customHeight="1">
      <c r="A551" s="272"/>
      <c r="B551" s="272"/>
      <c r="C551" s="272"/>
      <c r="D551" s="272"/>
      <c r="E551" s="272"/>
      <c r="F551" s="272"/>
      <c r="G551" s="272"/>
      <c r="H551" s="272"/>
      <c r="I551" s="272"/>
      <c r="J551" s="272"/>
      <c r="K551" s="272"/>
      <c r="L551" s="272"/>
      <c r="M551" s="272"/>
      <c r="N551" s="272"/>
      <c r="O551" s="272"/>
      <c r="P551" s="272"/>
      <c r="Q551" s="272"/>
      <c r="R551" s="272"/>
      <c r="S551" s="272"/>
      <c r="T551" s="272"/>
      <c r="U551" s="272"/>
      <c r="V551" s="272"/>
      <c r="W551" s="272"/>
      <c r="X551" s="272"/>
      <c r="Y551" s="272"/>
      <c r="Z551" s="272"/>
    </row>
    <row r="552" ht="15.75" customHeight="1">
      <c r="A552" s="272"/>
      <c r="B552" s="272"/>
      <c r="C552" s="272"/>
      <c r="D552" s="272"/>
      <c r="E552" s="272"/>
      <c r="F552" s="272"/>
      <c r="G552" s="272"/>
      <c r="H552" s="272"/>
      <c r="I552" s="272"/>
      <c r="J552" s="272"/>
      <c r="K552" s="272"/>
      <c r="L552" s="272"/>
      <c r="M552" s="272"/>
      <c r="N552" s="272"/>
      <c r="O552" s="272"/>
      <c r="P552" s="272"/>
      <c r="Q552" s="272"/>
      <c r="R552" s="272"/>
      <c r="S552" s="272"/>
      <c r="T552" s="272"/>
      <c r="U552" s="272"/>
      <c r="V552" s="272"/>
      <c r="W552" s="272"/>
      <c r="X552" s="272"/>
      <c r="Y552" s="272"/>
      <c r="Z552" s="272"/>
    </row>
    <row r="553" ht="15.75" customHeight="1">
      <c r="A553" s="272"/>
      <c r="B553" s="272"/>
      <c r="C553" s="272"/>
      <c r="D553" s="272"/>
      <c r="E553" s="272"/>
      <c r="F553" s="272"/>
      <c r="G553" s="272"/>
      <c r="H553" s="272"/>
      <c r="I553" s="272"/>
      <c r="J553" s="272"/>
      <c r="K553" s="272"/>
      <c r="L553" s="272"/>
      <c r="M553" s="272"/>
      <c r="N553" s="272"/>
      <c r="O553" s="272"/>
      <c r="P553" s="272"/>
      <c r="Q553" s="272"/>
      <c r="R553" s="272"/>
      <c r="S553" s="272"/>
      <c r="T553" s="272"/>
      <c r="U553" s="272"/>
      <c r="V553" s="272"/>
      <c r="W553" s="272"/>
      <c r="X553" s="272"/>
      <c r="Y553" s="272"/>
      <c r="Z553" s="272"/>
    </row>
    <row r="554" ht="15.75" customHeight="1">
      <c r="A554" s="272"/>
      <c r="B554" s="272"/>
      <c r="C554" s="272"/>
      <c r="D554" s="272"/>
      <c r="E554" s="272"/>
      <c r="F554" s="272"/>
      <c r="G554" s="272"/>
      <c r="H554" s="272"/>
      <c r="I554" s="272"/>
      <c r="J554" s="272"/>
      <c r="K554" s="272"/>
      <c r="L554" s="272"/>
      <c r="M554" s="272"/>
      <c r="N554" s="272"/>
      <c r="O554" s="272"/>
      <c r="P554" s="272"/>
      <c r="Q554" s="272"/>
      <c r="R554" s="272"/>
      <c r="S554" s="272"/>
      <c r="T554" s="272"/>
      <c r="U554" s="272"/>
      <c r="V554" s="272"/>
      <c r="W554" s="272"/>
      <c r="X554" s="272"/>
      <c r="Y554" s="272"/>
      <c r="Z554" s="272"/>
    </row>
    <row r="555" ht="15.75" customHeight="1">
      <c r="A555" s="272"/>
      <c r="B555" s="272"/>
      <c r="C555" s="272"/>
      <c r="D555" s="272"/>
      <c r="E555" s="272"/>
      <c r="F555" s="272"/>
      <c r="G555" s="272"/>
      <c r="H555" s="272"/>
      <c r="I555" s="272"/>
      <c r="J555" s="272"/>
      <c r="K555" s="272"/>
      <c r="L555" s="272"/>
      <c r="M555" s="272"/>
      <c r="N555" s="272"/>
      <c r="O555" s="272"/>
      <c r="P555" s="272"/>
      <c r="Q555" s="272"/>
      <c r="R555" s="272"/>
      <c r="S555" s="272"/>
      <c r="T555" s="272"/>
      <c r="U555" s="272"/>
      <c r="V555" s="272"/>
      <c r="W555" s="272"/>
      <c r="X555" s="272"/>
      <c r="Y555" s="272"/>
      <c r="Z555" s="272"/>
    </row>
    <row r="556" ht="15.75" customHeight="1">
      <c r="A556" s="272"/>
      <c r="B556" s="272"/>
      <c r="C556" s="272"/>
      <c r="D556" s="272"/>
      <c r="E556" s="272"/>
      <c r="F556" s="272"/>
      <c r="G556" s="272"/>
      <c r="H556" s="272"/>
      <c r="I556" s="272"/>
      <c r="J556" s="272"/>
      <c r="K556" s="272"/>
      <c r="L556" s="272"/>
      <c r="M556" s="272"/>
      <c r="N556" s="272"/>
      <c r="O556" s="272"/>
      <c r="P556" s="272"/>
      <c r="Q556" s="272"/>
      <c r="R556" s="272"/>
      <c r="S556" s="272"/>
      <c r="T556" s="272"/>
      <c r="U556" s="272"/>
      <c r="V556" s="272"/>
      <c r="W556" s="272"/>
      <c r="X556" s="272"/>
      <c r="Y556" s="272"/>
      <c r="Z556" s="272"/>
    </row>
    <row r="557" ht="15.75" customHeight="1">
      <c r="A557" s="272"/>
      <c r="B557" s="272"/>
      <c r="C557" s="272"/>
      <c r="D557" s="272"/>
      <c r="E557" s="272"/>
      <c r="F557" s="272"/>
      <c r="G557" s="272"/>
      <c r="H557" s="272"/>
      <c r="I557" s="272"/>
      <c r="J557" s="272"/>
      <c r="K557" s="272"/>
      <c r="L557" s="272"/>
      <c r="M557" s="272"/>
      <c r="N557" s="272"/>
      <c r="O557" s="272"/>
      <c r="P557" s="272"/>
      <c r="Q557" s="272"/>
      <c r="R557" s="272"/>
      <c r="S557" s="272"/>
      <c r="T557" s="272"/>
      <c r="U557" s="272"/>
      <c r="V557" s="272"/>
      <c r="W557" s="272"/>
      <c r="X557" s="272"/>
      <c r="Y557" s="272"/>
      <c r="Z557" s="272"/>
    </row>
    <row r="558" ht="15.75" customHeight="1">
      <c r="A558" s="272"/>
      <c r="B558" s="272"/>
      <c r="C558" s="272"/>
      <c r="D558" s="272"/>
      <c r="E558" s="272"/>
      <c r="F558" s="272"/>
      <c r="G558" s="272"/>
      <c r="H558" s="272"/>
      <c r="I558" s="272"/>
      <c r="J558" s="272"/>
      <c r="K558" s="272"/>
      <c r="L558" s="272"/>
      <c r="M558" s="272"/>
      <c r="N558" s="272"/>
      <c r="O558" s="272"/>
      <c r="P558" s="272"/>
      <c r="Q558" s="272"/>
      <c r="R558" s="272"/>
      <c r="S558" s="272"/>
      <c r="T558" s="272"/>
      <c r="U558" s="272"/>
      <c r="V558" s="272"/>
      <c r="W558" s="272"/>
      <c r="X558" s="272"/>
      <c r="Y558" s="272"/>
      <c r="Z558" s="272"/>
    </row>
    <row r="559" ht="15.75" customHeight="1">
      <c r="A559" s="272"/>
      <c r="B559" s="272"/>
      <c r="C559" s="272"/>
      <c r="D559" s="272"/>
      <c r="E559" s="272"/>
      <c r="F559" s="272"/>
      <c r="G559" s="272"/>
      <c r="H559" s="272"/>
      <c r="I559" s="272"/>
      <c r="J559" s="272"/>
      <c r="K559" s="272"/>
      <c r="L559" s="272"/>
      <c r="M559" s="272"/>
      <c r="N559" s="272"/>
      <c r="O559" s="272"/>
      <c r="P559" s="272"/>
      <c r="Q559" s="272"/>
      <c r="R559" s="272"/>
      <c r="S559" s="272"/>
      <c r="T559" s="272"/>
      <c r="U559" s="272"/>
      <c r="V559" s="272"/>
      <c r="W559" s="272"/>
      <c r="X559" s="272"/>
      <c r="Y559" s="272"/>
      <c r="Z559" s="272"/>
    </row>
    <row r="560" ht="15.75" customHeight="1">
      <c r="A560" s="272"/>
      <c r="B560" s="272"/>
      <c r="C560" s="272"/>
      <c r="D560" s="272"/>
      <c r="E560" s="272"/>
      <c r="F560" s="272"/>
      <c r="G560" s="272"/>
      <c r="H560" s="272"/>
      <c r="I560" s="272"/>
      <c r="J560" s="272"/>
      <c r="K560" s="272"/>
      <c r="L560" s="272"/>
      <c r="M560" s="272"/>
      <c r="N560" s="272"/>
      <c r="O560" s="272"/>
      <c r="P560" s="272"/>
      <c r="Q560" s="272"/>
      <c r="R560" s="272"/>
      <c r="S560" s="272"/>
      <c r="T560" s="272"/>
      <c r="U560" s="272"/>
      <c r="V560" s="272"/>
      <c r="W560" s="272"/>
      <c r="X560" s="272"/>
      <c r="Y560" s="272"/>
      <c r="Z560" s="272"/>
    </row>
    <row r="561" ht="15.75" customHeight="1">
      <c r="A561" s="272"/>
      <c r="B561" s="272"/>
      <c r="C561" s="272"/>
      <c r="D561" s="272"/>
      <c r="E561" s="272"/>
      <c r="F561" s="272"/>
      <c r="G561" s="272"/>
      <c r="H561" s="272"/>
      <c r="I561" s="272"/>
      <c r="J561" s="272"/>
      <c r="K561" s="272"/>
      <c r="L561" s="272"/>
      <c r="M561" s="272"/>
      <c r="N561" s="272"/>
      <c r="O561" s="272"/>
      <c r="P561" s="272"/>
      <c r="Q561" s="272"/>
      <c r="R561" s="272"/>
      <c r="S561" s="272"/>
      <c r="T561" s="272"/>
      <c r="U561" s="272"/>
      <c r="V561" s="272"/>
      <c r="W561" s="272"/>
      <c r="X561" s="272"/>
      <c r="Y561" s="272"/>
      <c r="Z561" s="272"/>
    </row>
    <row r="562" ht="15.75" customHeight="1">
      <c r="A562" s="272"/>
      <c r="B562" s="272"/>
      <c r="C562" s="272"/>
      <c r="D562" s="272"/>
      <c r="E562" s="272"/>
      <c r="F562" s="272"/>
      <c r="G562" s="272"/>
      <c r="H562" s="272"/>
      <c r="I562" s="272"/>
      <c r="J562" s="272"/>
      <c r="K562" s="272"/>
      <c r="L562" s="272"/>
      <c r="M562" s="272"/>
      <c r="N562" s="272"/>
      <c r="O562" s="272"/>
      <c r="P562" s="272"/>
      <c r="Q562" s="272"/>
      <c r="R562" s="272"/>
      <c r="S562" s="272"/>
      <c r="T562" s="272"/>
      <c r="U562" s="272"/>
      <c r="V562" s="272"/>
      <c r="W562" s="272"/>
      <c r="X562" s="272"/>
      <c r="Y562" s="272"/>
      <c r="Z562" s="272"/>
    </row>
    <row r="563" ht="15.75" customHeight="1">
      <c r="A563" s="272"/>
      <c r="B563" s="272"/>
      <c r="C563" s="272"/>
      <c r="D563" s="272"/>
      <c r="E563" s="272"/>
      <c r="F563" s="272"/>
      <c r="G563" s="272"/>
      <c r="H563" s="272"/>
      <c r="I563" s="272"/>
      <c r="J563" s="272"/>
      <c r="K563" s="272"/>
      <c r="L563" s="272"/>
      <c r="M563" s="272"/>
      <c r="N563" s="272"/>
      <c r="O563" s="272"/>
      <c r="P563" s="272"/>
      <c r="Q563" s="272"/>
      <c r="R563" s="272"/>
      <c r="S563" s="272"/>
      <c r="T563" s="272"/>
      <c r="U563" s="272"/>
      <c r="V563" s="272"/>
      <c r="W563" s="272"/>
      <c r="X563" s="272"/>
      <c r="Y563" s="272"/>
      <c r="Z563" s="272"/>
    </row>
    <row r="564" ht="15.75" customHeight="1">
      <c r="A564" s="272"/>
      <c r="B564" s="272"/>
      <c r="C564" s="272"/>
      <c r="D564" s="272"/>
      <c r="E564" s="272"/>
      <c r="F564" s="272"/>
      <c r="G564" s="272"/>
      <c r="H564" s="272"/>
      <c r="I564" s="272"/>
      <c r="J564" s="272"/>
      <c r="K564" s="272"/>
      <c r="L564" s="272"/>
      <c r="M564" s="272"/>
      <c r="N564" s="272"/>
      <c r="O564" s="272"/>
      <c r="P564" s="272"/>
      <c r="Q564" s="272"/>
      <c r="R564" s="272"/>
      <c r="S564" s="272"/>
      <c r="T564" s="272"/>
      <c r="U564" s="272"/>
      <c r="V564" s="272"/>
      <c r="W564" s="272"/>
      <c r="X564" s="272"/>
      <c r="Y564" s="272"/>
      <c r="Z564" s="272"/>
    </row>
    <row r="565" ht="15.75" customHeight="1">
      <c r="A565" s="272"/>
      <c r="B565" s="272"/>
      <c r="C565" s="272"/>
      <c r="D565" s="272"/>
      <c r="E565" s="272"/>
      <c r="F565" s="272"/>
      <c r="G565" s="272"/>
      <c r="H565" s="272"/>
      <c r="I565" s="272"/>
      <c r="J565" s="272"/>
      <c r="K565" s="272"/>
      <c r="L565" s="272"/>
      <c r="M565" s="272"/>
      <c r="N565" s="272"/>
      <c r="O565" s="272"/>
      <c r="P565" s="272"/>
      <c r="Q565" s="272"/>
      <c r="R565" s="272"/>
      <c r="S565" s="272"/>
      <c r="T565" s="272"/>
      <c r="U565" s="272"/>
      <c r="V565" s="272"/>
      <c r="W565" s="272"/>
      <c r="X565" s="272"/>
      <c r="Y565" s="272"/>
      <c r="Z565" s="272"/>
    </row>
    <row r="566" ht="15.75" customHeight="1">
      <c r="A566" s="272"/>
      <c r="B566" s="272"/>
      <c r="C566" s="272"/>
      <c r="D566" s="272"/>
      <c r="E566" s="272"/>
      <c r="F566" s="272"/>
      <c r="G566" s="272"/>
      <c r="H566" s="272"/>
      <c r="I566" s="272"/>
      <c r="J566" s="272"/>
      <c r="K566" s="272"/>
      <c r="L566" s="272"/>
      <c r="M566" s="272"/>
      <c r="N566" s="272"/>
      <c r="O566" s="272"/>
      <c r="P566" s="272"/>
      <c r="Q566" s="272"/>
      <c r="R566" s="272"/>
      <c r="S566" s="272"/>
      <c r="T566" s="272"/>
      <c r="U566" s="272"/>
      <c r="V566" s="272"/>
      <c r="W566" s="272"/>
      <c r="X566" s="272"/>
      <c r="Y566" s="272"/>
      <c r="Z566" s="272"/>
    </row>
    <row r="567" ht="15.75" customHeight="1">
      <c r="A567" s="272"/>
      <c r="B567" s="272"/>
      <c r="C567" s="272"/>
      <c r="D567" s="272"/>
      <c r="E567" s="272"/>
      <c r="F567" s="272"/>
      <c r="G567" s="272"/>
      <c r="H567" s="272"/>
      <c r="I567" s="272"/>
      <c r="J567" s="272"/>
      <c r="K567" s="272"/>
      <c r="L567" s="272"/>
      <c r="M567" s="272"/>
      <c r="N567" s="272"/>
      <c r="O567" s="272"/>
      <c r="P567" s="272"/>
      <c r="Q567" s="272"/>
      <c r="R567" s="272"/>
      <c r="S567" s="272"/>
      <c r="T567" s="272"/>
      <c r="U567" s="272"/>
      <c r="V567" s="272"/>
      <c r="W567" s="272"/>
      <c r="X567" s="272"/>
      <c r="Y567" s="272"/>
      <c r="Z567" s="272"/>
    </row>
    <row r="568" ht="15.75" customHeight="1">
      <c r="A568" s="272"/>
      <c r="B568" s="272"/>
      <c r="C568" s="272"/>
      <c r="D568" s="272"/>
      <c r="E568" s="272"/>
      <c r="F568" s="272"/>
      <c r="G568" s="272"/>
      <c r="H568" s="272"/>
      <c r="I568" s="272"/>
      <c r="J568" s="272"/>
      <c r="K568" s="272"/>
      <c r="L568" s="272"/>
      <c r="M568" s="272"/>
      <c r="N568" s="272"/>
      <c r="O568" s="272"/>
      <c r="P568" s="272"/>
      <c r="Q568" s="272"/>
      <c r="R568" s="272"/>
      <c r="S568" s="272"/>
      <c r="T568" s="272"/>
      <c r="U568" s="272"/>
      <c r="V568" s="272"/>
      <c r="W568" s="272"/>
      <c r="X568" s="272"/>
      <c r="Y568" s="272"/>
      <c r="Z568" s="272"/>
    </row>
    <row r="569" ht="15.75" customHeight="1">
      <c r="A569" s="272"/>
      <c r="B569" s="272"/>
      <c r="C569" s="272"/>
      <c r="D569" s="272"/>
      <c r="E569" s="272"/>
      <c r="F569" s="272"/>
      <c r="G569" s="272"/>
      <c r="H569" s="272"/>
      <c r="I569" s="272"/>
      <c r="J569" s="272"/>
      <c r="K569" s="272"/>
      <c r="L569" s="272"/>
      <c r="M569" s="272"/>
      <c r="N569" s="272"/>
      <c r="O569" s="272"/>
      <c r="P569" s="272"/>
      <c r="Q569" s="272"/>
      <c r="R569" s="272"/>
      <c r="S569" s="272"/>
      <c r="T569" s="272"/>
      <c r="U569" s="272"/>
      <c r="V569" s="272"/>
      <c r="W569" s="272"/>
      <c r="X569" s="272"/>
      <c r="Y569" s="272"/>
      <c r="Z569" s="272"/>
    </row>
    <row r="570" ht="15.75" customHeight="1">
      <c r="A570" s="272"/>
      <c r="B570" s="272"/>
      <c r="C570" s="272"/>
      <c r="D570" s="272"/>
      <c r="E570" s="272"/>
      <c r="F570" s="272"/>
      <c r="G570" s="272"/>
      <c r="H570" s="272"/>
      <c r="I570" s="272"/>
      <c r="J570" s="272"/>
      <c r="K570" s="272"/>
      <c r="L570" s="272"/>
      <c r="M570" s="272"/>
      <c r="N570" s="272"/>
      <c r="O570" s="272"/>
      <c r="P570" s="272"/>
      <c r="Q570" s="272"/>
      <c r="R570" s="272"/>
      <c r="S570" s="272"/>
      <c r="T570" s="272"/>
      <c r="U570" s="272"/>
      <c r="V570" s="272"/>
      <c r="W570" s="272"/>
      <c r="X570" s="272"/>
      <c r="Y570" s="272"/>
      <c r="Z570" s="272"/>
    </row>
    <row r="571" ht="15.75" customHeight="1">
      <c r="A571" s="272"/>
      <c r="B571" s="272"/>
      <c r="C571" s="272"/>
      <c r="D571" s="272"/>
      <c r="E571" s="272"/>
      <c r="F571" s="272"/>
      <c r="G571" s="272"/>
      <c r="H571" s="272"/>
      <c r="I571" s="272"/>
      <c r="J571" s="272"/>
      <c r="K571" s="272"/>
      <c r="L571" s="272"/>
      <c r="M571" s="272"/>
      <c r="N571" s="272"/>
      <c r="O571" s="272"/>
      <c r="P571" s="272"/>
      <c r="Q571" s="272"/>
      <c r="R571" s="272"/>
      <c r="S571" s="272"/>
      <c r="T571" s="272"/>
      <c r="U571" s="272"/>
      <c r="V571" s="272"/>
      <c r="W571" s="272"/>
      <c r="X571" s="272"/>
      <c r="Y571" s="272"/>
      <c r="Z571" s="272"/>
    </row>
    <row r="572" ht="15.75" customHeight="1">
      <c r="A572" s="272"/>
      <c r="B572" s="272"/>
      <c r="C572" s="272"/>
      <c r="D572" s="272"/>
      <c r="E572" s="272"/>
      <c r="F572" s="272"/>
      <c r="G572" s="272"/>
      <c r="H572" s="272"/>
      <c r="I572" s="272"/>
      <c r="J572" s="272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  <c r="Z572" s="272"/>
    </row>
    <row r="573" ht="15.75" customHeight="1">
      <c r="A573" s="272"/>
      <c r="B573" s="272"/>
      <c r="C573" s="272"/>
      <c r="D573" s="272"/>
      <c r="E573" s="272"/>
      <c r="F573" s="272"/>
      <c r="G573" s="272"/>
      <c r="H573" s="272"/>
      <c r="I573" s="272"/>
      <c r="J573" s="272"/>
      <c r="K573" s="272"/>
      <c r="L573" s="272"/>
      <c r="M573" s="272"/>
      <c r="N573" s="272"/>
      <c r="O573" s="272"/>
      <c r="P573" s="272"/>
      <c r="Q573" s="272"/>
      <c r="R573" s="272"/>
      <c r="S573" s="272"/>
      <c r="T573" s="272"/>
      <c r="U573" s="272"/>
      <c r="V573" s="272"/>
      <c r="W573" s="272"/>
      <c r="X573" s="272"/>
      <c r="Y573" s="272"/>
      <c r="Z573" s="272"/>
    </row>
    <row r="574" ht="15.75" customHeight="1">
      <c r="A574" s="272"/>
      <c r="B574" s="272"/>
      <c r="C574" s="272"/>
      <c r="D574" s="272"/>
      <c r="E574" s="272"/>
      <c r="F574" s="272"/>
      <c r="G574" s="272"/>
      <c r="H574" s="272"/>
      <c r="I574" s="272"/>
      <c r="J574" s="272"/>
      <c r="K574" s="272"/>
      <c r="L574" s="272"/>
      <c r="M574" s="272"/>
      <c r="N574" s="272"/>
      <c r="O574" s="272"/>
      <c r="P574" s="272"/>
      <c r="Q574" s="272"/>
      <c r="R574" s="272"/>
      <c r="S574" s="272"/>
      <c r="T574" s="272"/>
      <c r="U574" s="272"/>
      <c r="V574" s="272"/>
      <c r="W574" s="272"/>
      <c r="X574" s="272"/>
      <c r="Y574" s="272"/>
      <c r="Z574" s="272"/>
    </row>
    <row r="575" ht="15.75" customHeight="1">
      <c r="A575" s="272"/>
      <c r="B575" s="272"/>
      <c r="C575" s="272"/>
      <c r="D575" s="272"/>
      <c r="E575" s="272"/>
      <c r="F575" s="272"/>
      <c r="G575" s="272"/>
      <c r="H575" s="272"/>
      <c r="I575" s="272"/>
      <c r="J575" s="272"/>
      <c r="K575" s="272"/>
      <c r="L575" s="272"/>
      <c r="M575" s="272"/>
      <c r="N575" s="272"/>
      <c r="O575" s="272"/>
      <c r="P575" s="272"/>
      <c r="Q575" s="272"/>
      <c r="R575" s="272"/>
      <c r="S575" s="272"/>
      <c r="T575" s="272"/>
      <c r="U575" s="272"/>
      <c r="V575" s="272"/>
      <c r="W575" s="272"/>
      <c r="X575" s="272"/>
      <c r="Y575" s="272"/>
      <c r="Z575" s="272"/>
    </row>
    <row r="576" ht="15.75" customHeight="1">
      <c r="A576" s="272"/>
      <c r="B576" s="272"/>
      <c r="C576" s="272"/>
      <c r="D576" s="272"/>
      <c r="E576" s="272"/>
      <c r="F576" s="272"/>
      <c r="G576" s="272"/>
      <c r="H576" s="272"/>
      <c r="I576" s="272"/>
      <c r="J576" s="272"/>
      <c r="K576" s="272"/>
      <c r="L576" s="272"/>
      <c r="M576" s="272"/>
      <c r="N576" s="272"/>
      <c r="O576" s="272"/>
      <c r="P576" s="272"/>
      <c r="Q576" s="272"/>
      <c r="R576" s="272"/>
      <c r="S576" s="272"/>
      <c r="T576" s="272"/>
      <c r="U576" s="272"/>
      <c r="V576" s="272"/>
      <c r="W576" s="272"/>
      <c r="X576" s="272"/>
      <c r="Y576" s="272"/>
      <c r="Z576" s="272"/>
    </row>
    <row r="577" ht="15.75" customHeight="1">
      <c r="A577" s="272"/>
      <c r="B577" s="272"/>
      <c r="C577" s="272"/>
      <c r="D577" s="272"/>
      <c r="E577" s="272"/>
      <c r="F577" s="272"/>
      <c r="G577" s="272"/>
      <c r="H577" s="272"/>
      <c r="I577" s="272"/>
      <c r="J577" s="272"/>
      <c r="K577" s="272"/>
      <c r="L577" s="272"/>
      <c r="M577" s="272"/>
      <c r="N577" s="272"/>
      <c r="O577" s="272"/>
      <c r="P577" s="272"/>
      <c r="Q577" s="272"/>
      <c r="R577" s="272"/>
      <c r="S577" s="272"/>
      <c r="T577" s="272"/>
      <c r="U577" s="272"/>
      <c r="V577" s="272"/>
      <c r="W577" s="272"/>
      <c r="X577" s="272"/>
      <c r="Y577" s="272"/>
      <c r="Z577" s="272"/>
    </row>
    <row r="578" ht="15.75" customHeight="1">
      <c r="A578" s="272"/>
      <c r="B578" s="272"/>
      <c r="C578" s="272"/>
      <c r="D578" s="272"/>
      <c r="E578" s="272"/>
      <c r="F578" s="272"/>
      <c r="G578" s="272"/>
      <c r="H578" s="272"/>
      <c r="I578" s="272"/>
      <c r="J578" s="272"/>
      <c r="K578" s="272"/>
      <c r="L578" s="272"/>
      <c r="M578" s="272"/>
      <c r="N578" s="272"/>
      <c r="O578" s="272"/>
      <c r="P578" s="272"/>
      <c r="Q578" s="272"/>
      <c r="R578" s="272"/>
      <c r="S578" s="272"/>
      <c r="T578" s="272"/>
      <c r="U578" s="272"/>
      <c r="V578" s="272"/>
      <c r="W578" s="272"/>
      <c r="X578" s="272"/>
      <c r="Y578" s="272"/>
      <c r="Z578" s="272"/>
    </row>
    <row r="579" ht="15.75" customHeight="1">
      <c r="A579" s="272"/>
      <c r="B579" s="272"/>
      <c r="C579" s="272"/>
      <c r="D579" s="272"/>
      <c r="E579" s="272"/>
      <c r="F579" s="272"/>
      <c r="G579" s="272"/>
      <c r="H579" s="272"/>
      <c r="I579" s="272"/>
      <c r="J579" s="272"/>
      <c r="K579" s="272"/>
      <c r="L579" s="272"/>
      <c r="M579" s="272"/>
      <c r="N579" s="272"/>
      <c r="O579" s="272"/>
      <c r="P579" s="272"/>
      <c r="Q579" s="272"/>
      <c r="R579" s="272"/>
      <c r="S579" s="272"/>
      <c r="T579" s="272"/>
      <c r="U579" s="272"/>
      <c r="V579" s="272"/>
      <c r="W579" s="272"/>
      <c r="X579" s="272"/>
      <c r="Y579" s="272"/>
      <c r="Z579" s="272"/>
    </row>
    <row r="580" ht="15.75" customHeight="1">
      <c r="A580" s="272"/>
      <c r="B580" s="272"/>
      <c r="C580" s="272"/>
      <c r="D580" s="272"/>
      <c r="E580" s="272"/>
      <c r="F580" s="272"/>
      <c r="G580" s="272"/>
      <c r="H580" s="272"/>
      <c r="I580" s="272"/>
      <c r="J580" s="272"/>
      <c r="K580" s="272"/>
      <c r="L580" s="272"/>
      <c r="M580" s="272"/>
      <c r="N580" s="272"/>
      <c r="O580" s="272"/>
      <c r="P580" s="272"/>
      <c r="Q580" s="272"/>
      <c r="R580" s="272"/>
      <c r="S580" s="272"/>
      <c r="T580" s="272"/>
      <c r="U580" s="272"/>
      <c r="V580" s="272"/>
      <c r="W580" s="272"/>
      <c r="X580" s="272"/>
      <c r="Y580" s="272"/>
      <c r="Z580" s="272"/>
    </row>
    <row r="581" ht="15.75" customHeight="1">
      <c r="A581" s="272"/>
      <c r="B581" s="272"/>
      <c r="C581" s="272"/>
      <c r="D581" s="272"/>
      <c r="E581" s="272"/>
      <c r="F581" s="272"/>
      <c r="G581" s="272"/>
      <c r="H581" s="272"/>
      <c r="I581" s="272"/>
      <c r="J581" s="272"/>
      <c r="K581" s="272"/>
      <c r="L581" s="272"/>
      <c r="M581" s="272"/>
      <c r="N581" s="272"/>
      <c r="O581" s="272"/>
      <c r="P581" s="272"/>
      <c r="Q581" s="272"/>
      <c r="R581" s="272"/>
      <c r="S581" s="272"/>
      <c r="T581" s="272"/>
      <c r="U581" s="272"/>
      <c r="V581" s="272"/>
      <c r="W581" s="272"/>
      <c r="X581" s="272"/>
      <c r="Y581" s="272"/>
      <c r="Z581" s="272"/>
    </row>
    <row r="582" ht="15.75" customHeight="1">
      <c r="A582" s="272"/>
      <c r="B582" s="272"/>
      <c r="C582" s="272"/>
      <c r="D582" s="272"/>
      <c r="E582" s="272"/>
      <c r="F582" s="272"/>
      <c r="G582" s="272"/>
      <c r="H582" s="272"/>
      <c r="I582" s="272"/>
      <c r="J582" s="272"/>
      <c r="K582" s="272"/>
      <c r="L582" s="272"/>
      <c r="M582" s="272"/>
      <c r="N582" s="272"/>
      <c r="O582" s="272"/>
      <c r="P582" s="272"/>
      <c r="Q582" s="272"/>
      <c r="R582" s="272"/>
      <c r="S582" s="272"/>
      <c r="T582" s="272"/>
      <c r="U582" s="272"/>
      <c r="V582" s="272"/>
      <c r="W582" s="272"/>
      <c r="X582" s="272"/>
      <c r="Y582" s="272"/>
      <c r="Z582" s="272"/>
    </row>
    <row r="583" ht="15.75" customHeight="1">
      <c r="A583" s="272"/>
      <c r="B583" s="272"/>
      <c r="C583" s="272"/>
      <c r="D583" s="272"/>
      <c r="E583" s="272"/>
      <c r="F583" s="272"/>
      <c r="G583" s="272"/>
      <c r="H583" s="272"/>
      <c r="I583" s="272"/>
      <c r="J583" s="272"/>
      <c r="K583" s="272"/>
      <c r="L583" s="272"/>
      <c r="M583" s="272"/>
      <c r="N583" s="272"/>
      <c r="O583" s="272"/>
      <c r="P583" s="272"/>
      <c r="Q583" s="272"/>
      <c r="R583" s="272"/>
      <c r="S583" s="272"/>
      <c r="T583" s="272"/>
      <c r="U583" s="272"/>
      <c r="V583" s="272"/>
      <c r="W583" s="272"/>
      <c r="X583" s="272"/>
      <c r="Y583" s="272"/>
      <c r="Z583" s="272"/>
    </row>
    <row r="584" ht="15.75" customHeight="1">
      <c r="A584" s="272"/>
      <c r="B584" s="272"/>
      <c r="C584" s="272"/>
      <c r="D584" s="272"/>
      <c r="E584" s="272"/>
      <c r="F584" s="272"/>
      <c r="G584" s="272"/>
      <c r="H584" s="272"/>
      <c r="I584" s="272"/>
      <c r="J584" s="272"/>
      <c r="K584" s="272"/>
      <c r="L584" s="272"/>
      <c r="M584" s="272"/>
      <c r="N584" s="272"/>
      <c r="O584" s="272"/>
      <c r="P584" s="272"/>
      <c r="Q584" s="272"/>
      <c r="R584" s="272"/>
      <c r="S584" s="272"/>
      <c r="T584" s="272"/>
      <c r="U584" s="272"/>
      <c r="V584" s="272"/>
      <c r="W584" s="272"/>
      <c r="X584" s="272"/>
      <c r="Y584" s="272"/>
      <c r="Z584" s="272"/>
    </row>
    <row r="585" ht="15.75" customHeight="1">
      <c r="A585" s="272"/>
      <c r="B585" s="272"/>
      <c r="C585" s="272"/>
      <c r="D585" s="272"/>
      <c r="E585" s="272"/>
      <c r="F585" s="272"/>
      <c r="G585" s="272"/>
      <c r="H585" s="272"/>
      <c r="I585" s="272"/>
      <c r="J585" s="272"/>
      <c r="K585" s="272"/>
      <c r="L585" s="272"/>
      <c r="M585" s="272"/>
      <c r="N585" s="272"/>
      <c r="O585" s="272"/>
      <c r="P585" s="272"/>
      <c r="Q585" s="272"/>
      <c r="R585" s="272"/>
      <c r="S585" s="272"/>
      <c r="T585" s="272"/>
      <c r="U585" s="272"/>
      <c r="V585" s="272"/>
      <c r="W585" s="272"/>
      <c r="X585" s="272"/>
      <c r="Y585" s="272"/>
      <c r="Z585" s="272"/>
    </row>
    <row r="586" ht="15.75" customHeight="1">
      <c r="A586" s="272"/>
      <c r="B586" s="272"/>
      <c r="C586" s="272"/>
      <c r="D586" s="272"/>
      <c r="E586" s="272"/>
      <c r="F586" s="272"/>
      <c r="G586" s="272"/>
      <c r="H586" s="272"/>
      <c r="I586" s="272"/>
      <c r="J586" s="272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  <c r="Z586" s="272"/>
    </row>
    <row r="587" ht="15.75" customHeight="1">
      <c r="A587" s="272"/>
      <c r="B587" s="272"/>
      <c r="C587" s="272"/>
      <c r="D587" s="272"/>
      <c r="E587" s="272"/>
      <c r="F587" s="272"/>
      <c r="G587" s="272"/>
      <c r="H587" s="272"/>
      <c r="I587" s="272"/>
      <c r="J587" s="272"/>
      <c r="K587" s="272"/>
      <c r="L587" s="272"/>
      <c r="M587" s="272"/>
      <c r="N587" s="272"/>
      <c r="O587" s="272"/>
      <c r="P587" s="272"/>
      <c r="Q587" s="272"/>
      <c r="R587" s="272"/>
      <c r="S587" s="272"/>
      <c r="T587" s="272"/>
      <c r="U587" s="272"/>
      <c r="V587" s="272"/>
      <c r="W587" s="272"/>
      <c r="X587" s="272"/>
      <c r="Y587" s="272"/>
      <c r="Z587" s="272"/>
    </row>
    <row r="588" ht="15.75" customHeight="1">
      <c r="A588" s="272"/>
      <c r="B588" s="272"/>
      <c r="C588" s="272"/>
      <c r="D588" s="272"/>
      <c r="E588" s="272"/>
      <c r="F588" s="272"/>
      <c r="G588" s="272"/>
      <c r="H588" s="272"/>
      <c r="I588" s="272"/>
      <c r="J588" s="272"/>
      <c r="K588" s="272"/>
      <c r="L588" s="272"/>
      <c r="M588" s="272"/>
      <c r="N588" s="272"/>
      <c r="O588" s="272"/>
      <c r="P588" s="272"/>
      <c r="Q588" s="272"/>
      <c r="R588" s="272"/>
      <c r="S588" s="272"/>
      <c r="T588" s="272"/>
      <c r="U588" s="272"/>
      <c r="V588" s="272"/>
      <c r="W588" s="272"/>
      <c r="X588" s="272"/>
      <c r="Y588" s="272"/>
      <c r="Z588" s="272"/>
    </row>
    <row r="589" ht="15.75" customHeight="1">
      <c r="A589" s="272"/>
      <c r="B589" s="272"/>
      <c r="C589" s="272"/>
      <c r="D589" s="272"/>
      <c r="E589" s="272"/>
      <c r="F589" s="272"/>
      <c r="G589" s="272"/>
      <c r="H589" s="272"/>
      <c r="I589" s="272"/>
      <c r="J589" s="272"/>
      <c r="K589" s="272"/>
      <c r="L589" s="272"/>
      <c r="M589" s="272"/>
      <c r="N589" s="272"/>
      <c r="O589" s="272"/>
      <c r="P589" s="272"/>
      <c r="Q589" s="272"/>
      <c r="R589" s="272"/>
      <c r="S589" s="272"/>
      <c r="T589" s="272"/>
      <c r="U589" s="272"/>
      <c r="V589" s="272"/>
      <c r="W589" s="272"/>
      <c r="X589" s="272"/>
      <c r="Y589" s="272"/>
      <c r="Z589" s="272"/>
    </row>
    <row r="590" ht="15.75" customHeight="1">
      <c r="A590" s="272"/>
      <c r="B590" s="272"/>
      <c r="C590" s="272"/>
      <c r="D590" s="272"/>
      <c r="E590" s="272"/>
      <c r="F590" s="272"/>
      <c r="G590" s="272"/>
      <c r="H590" s="272"/>
      <c r="I590" s="272"/>
      <c r="J590" s="272"/>
      <c r="K590" s="272"/>
      <c r="L590" s="272"/>
      <c r="M590" s="272"/>
      <c r="N590" s="272"/>
      <c r="O590" s="272"/>
      <c r="P590" s="272"/>
      <c r="Q590" s="272"/>
      <c r="R590" s="272"/>
      <c r="S590" s="272"/>
      <c r="T590" s="272"/>
      <c r="U590" s="272"/>
      <c r="V590" s="272"/>
      <c r="W590" s="272"/>
      <c r="X590" s="272"/>
      <c r="Y590" s="272"/>
      <c r="Z590" s="272"/>
    </row>
    <row r="591" ht="15.75" customHeight="1">
      <c r="A591" s="272"/>
      <c r="B591" s="272"/>
      <c r="C591" s="272"/>
      <c r="D591" s="272"/>
      <c r="E591" s="272"/>
      <c r="F591" s="272"/>
      <c r="G591" s="272"/>
      <c r="H591" s="272"/>
      <c r="I591" s="272"/>
      <c r="J591" s="272"/>
      <c r="K591" s="272"/>
      <c r="L591" s="272"/>
      <c r="M591" s="272"/>
      <c r="N591" s="272"/>
      <c r="O591" s="272"/>
      <c r="P591" s="272"/>
      <c r="Q591" s="272"/>
      <c r="R591" s="272"/>
      <c r="S591" s="272"/>
      <c r="T591" s="272"/>
      <c r="U591" s="272"/>
      <c r="V591" s="272"/>
      <c r="W591" s="272"/>
      <c r="X591" s="272"/>
      <c r="Y591" s="272"/>
      <c r="Z591" s="272"/>
    </row>
    <row r="592" ht="15.75" customHeight="1">
      <c r="A592" s="272"/>
      <c r="B592" s="272"/>
      <c r="C592" s="272"/>
      <c r="D592" s="272"/>
      <c r="E592" s="272"/>
      <c r="F592" s="272"/>
      <c r="G592" s="272"/>
      <c r="H592" s="272"/>
      <c r="I592" s="272"/>
      <c r="J592" s="272"/>
      <c r="K592" s="272"/>
      <c r="L592" s="272"/>
      <c r="M592" s="272"/>
      <c r="N592" s="272"/>
      <c r="O592" s="272"/>
      <c r="P592" s="272"/>
      <c r="Q592" s="272"/>
      <c r="R592" s="272"/>
      <c r="S592" s="272"/>
      <c r="T592" s="272"/>
      <c r="U592" s="272"/>
      <c r="V592" s="272"/>
      <c r="W592" s="272"/>
      <c r="X592" s="272"/>
      <c r="Y592" s="272"/>
      <c r="Z592" s="272"/>
    </row>
    <row r="593" ht="15.75" customHeight="1">
      <c r="A593" s="272"/>
      <c r="B593" s="272"/>
      <c r="C593" s="272"/>
      <c r="D593" s="272"/>
      <c r="E593" s="272"/>
      <c r="F593" s="272"/>
      <c r="G593" s="272"/>
      <c r="H593" s="272"/>
      <c r="I593" s="272"/>
      <c r="J593" s="272"/>
      <c r="K593" s="272"/>
      <c r="L593" s="272"/>
      <c r="M593" s="272"/>
      <c r="N593" s="272"/>
      <c r="O593" s="272"/>
      <c r="P593" s="272"/>
      <c r="Q593" s="272"/>
      <c r="R593" s="272"/>
      <c r="S593" s="272"/>
      <c r="T593" s="272"/>
      <c r="U593" s="272"/>
      <c r="V593" s="272"/>
      <c r="W593" s="272"/>
      <c r="X593" s="272"/>
      <c r="Y593" s="272"/>
      <c r="Z593" s="272"/>
    </row>
    <row r="594" ht="15.75" customHeight="1">
      <c r="A594" s="272"/>
      <c r="B594" s="272"/>
      <c r="C594" s="272"/>
      <c r="D594" s="272"/>
      <c r="E594" s="272"/>
      <c r="F594" s="272"/>
      <c r="G594" s="272"/>
      <c r="H594" s="272"/>
      <c r="I594" s="272"/>
      <c r="J594" s="272"/>
      <c r="K594" s="272"/>
      <c r="L594" s="272"/>
      <c r="M594" s="272"/>
      <c r="N594" s="272"/>
      <c r="O594" s="272"/>
      <c r="P594" s="272"/>
      <c r="Q594" s="272"/>
      <c r="R594" s="272"/>
      <c r="S594" s="272"/>
      <c r="T594" s="272"/>
      <c r="U594" s="272"/>
      <c r="V594" s="272"/>
      <c r="W594" s="272"/>
      <c r="X594" s="272"/>
      <c r="Y594" s="272"/>
      <c r="Z594" s="272"/>
    </row>
    <row r="595" ht="15.75" customHeight="1">
      <c r="A595" s="272"/>
      <c r="B595" s="272"/>
      <c r="C595" s="272"/>
      <c r="D595" s="272"/>
      <c r="E595" s="272"/>
      <c r="F595" s="272"/>
      <c r="G595" s="272"/>
      <c r="H595" s="272"/>
      <c r="I595" s="272"/>
      <c r="J595" s="272"/>
      <c r="K595" s="272"/>
      <c r="L595" s="272"/>
      <c r="M595" s="272"/>
      <c r="N595" s="272"/>
      <c r="O595" s="272"/>
      <c r="P595" s="272"/>
      <c r="Q595" s="272"/>
      <c r="R595" s="272"/>
      <c r="S595" s="272"/>
      <c r="T595" s="272"/>
      <c r="U595" s="272"/>
      <c r="V595" s="272"/>
      <c r="W595" s="272"/>
      <c r="X595" s="272"/>
      <c r="Y595" s="272"/>
      <c r="Z595" s="272"/>
    </row>
    <row r="596" ht="15.75" customHeight="1">
      <c r="A596" s="272"/>
      <c r="B596" s="272"/>
      <c r="C596" s="272"/>
      <c r="D596" s="272"/>
      <c r="E596" s="272"/>
      <c r="F596" s="272"/>
      <c r="G596" s="272"/>
      <c r="H596" s="272"/>
      <c r="I596" s="272"/>
      <c r="J596" s="272"/>
      <c r="K596" s="272"/>
      <c r="L596" s="272"/>
      <c r="M596" s="272"/>
      <c r="N596" s="272"/>
      <c r="O596" s="272"/>
      <c r="P596" s="272"/>
      <c r="Q596" s="272"/>
      <c r="R596" s="272"/>
      <c r="S596" s="272"/>
      <c r="T596" s="272"/>
      <c r="U596" s="272"/>
      <c r="V596" s="272"/>
      <c r="W596" s="272"/>
      <c r="X596" s="272"/>
      <c r="Y596" s="272"/>
      <c r="Z596" s="272"/>
    </row>
    <row r="597" ht="15.75" customHeight="1">
      <c r="A597" s="272"/>
      <c r="B597" s="272"/>
      <c r="C597" s="272"/>
      <c r="D597" s="272"/>
      <c r="E597" s="272"/>
      <c r="F597" s="272"/>
      <c r="G597" s="272"/>
      <c r="H597" s="272"/>
      <c r="I597" s="272"/>
      <c r="J597" s="272"/>
      <c r="K597" s="272"/>
      <c r="L597" s="272"/>
      <c r="M597" s="272"/>
      <c r="N597" s="272"/>
      <c r="O597" s="272"/>
      <c r="P597" s="272"/>
      <c r="Q597" s="272"/>
      <c r="R597" s="272"/>
      <c r="S597" s="272"/>
      <c r="T597" s="272"/>
      <c r="U597" s="272"/>
      <c r="V597" s="272"/>
      <c r="W597" s="272"/>
      <c r="X597" s="272"/>
      <c r="Y597" s="272"/>
      <c r="Z597" s="272"/>
    </row>
    <row r="598" ht="15.75" customHeight="1">
      <c r="A598" s="272"/>
      <c r="B598" s="272"/>
      <c r="C598" s="272"/>
      <c r="D598" s="272"/>
      <c r="E598" s="272"/>
      <c r="F598" s="272"/>
      <c r="G598" s="272"/>
      <c r="H598" s="272"/>
      <c r="I598" s="272"/>
      <c r="J598" s="272"/>
      <c r="K598" s="272"/>
      <c r="L598" s="272"/>
      <c r="M598" s="272"/>
      <c r="N598" s="272"/>
      <c r="O598" s="272"/>
      <c r="P598" s="272"/>
      <c r="Q598" s="272"/>
      <c r="R598" s="272"/>
      <c r="S598" s="272"/>
      <c r="T598" s="272"/>
      <c r="U598" s="272"/>
      <c r="V598" s="272"/>
      <c r="W598" s="272"/>
      <c r="X598" s="272"/>
      <c r="Y598" s="272"/>
      <c r="Z598" s="272"/>
    </row>
    <row r="599" ht="15.75" customHeight="1">
      <c r="A599" s="272"/>
      <c r="B599" s="272"/>
      <c r="C599" s="272"/>
      <c r="D599" s="272"/>
      <c r="E599" s="272"/>
      <c r="F599" s="272"/>
      <c r="G599" s="272"/>
      <c r="H599" s="272"/>
      <c r="I599" s="272"/>
      <c r="J599" s="272"/>
      <c r="K599" s="272"/>
      <c r="L599" s="272"/>
      <c r="M599" s="272"/>
      <c r="N599" s="272"/>
      <c r="O599" s="272"/>
      <c r="P599" s="272"/>
      <c r="Q599" s="272"/>
      <c r="R599" s="272"/>
      <c r="S599" s="272"/>
      <c r="T599" s="272"/>
      <c r="U599" s="272"/>
      <c r="V599" s="272"/>
      <c r="W599" s="272"/>
      <c r="X599" s="272"/>
      <c r="Y599" s="272"/>
      <c r="Z599" s="272"/>
    </row>
    <row r="600" ht="15.75" customHeight="1">
      <c r="A600" s="272"/>
      <c r="B600" s="272"/>
      <c r="C600" s="272"/>
      <c r="D600" s="272"/>
      <c r="E600" s="272"/>
      <c r="F600" s="272"/>
      <c r="G600" s="272"/>
      <c r="H600" s="272"/>
      <c r="I600" s="272"/>
      <c r="J600" s="272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  <c r="Z600" s="272"/>
    </row>
    <row r="601" ht="15.75" customHeight="1">
      <c r="A601" s="272"/>
      <c r="B601" s="272"/>
      <c r="C601" s="272"/>
      <c r="D601" s="272"/>
      <c r="E601" s="272"/>
      <c r="F601" s="272"/>
      <c r="G601" s="272"/>
      <c r="H601" s="272"/>
      <c r="I601" s="272"/>
      <c r="J601" s="272"/>
      <c r="K601" s="272"/>
      <c r="L601" s="272"/>
      <c r="M601" s="272"/>
      <c r="N601" s="272"/>
      <c r="O601" s="272"/>
      <c r="P601" s="272"/>
      <c r="Q601" s="272"/>
      <c r="R601" s="272"/>
      <c r="S601" s="272"/>
      <c r="T601" s="272"/>
      <c r="U601" s="272"/>
      <c r="V601" s="272"/>
      <c r="W601" s="272"/>
      <c r="X601" s="272"/>
      <c r="Y601" s="272"/>
      <c r="Z601" s="272"/>
    </row>
    <row r="602" ht="15.75" customHeight="1">
      <c r="A602" s="272"/>
      <c r="B602" s="272"/>
      <c r="C602" s="272"/>
      <c r="D602" s="272"/>
      <c r="E602" s="272"/>
      <c r="F602" s="272"/>
      <c r="G602" s="272"/>
      <c r="H602" s="272"/>
      <c r="I602" s="272"/>
      <c r="J602" s="272"/>
      <c r="K602" s="272"/>
      <c r="L602" s="272"/>
      <c r="M602" s="272"/>
      <c r="N602" s="272"/>
      <c r="O602" s="272"/>
      <c r="P602" s="272"/>
      <c r="Q602" s="272"/>
      <c r="R602" s="272"/>
      <c r="S602" s="272"/>
      <c r="T602" s="272"/>
      <c r="U602" s="272"/>
      <c r="V602" s="272"/>
      <c r="W602" s="272"/>
      <c r="X602" s="272"/>
      <c r="Y602" s="272"/>
      <c r="Z602" s="272"/>
    </row>
    <row r="603" ht="15.75" customHeight="1">
      <c r="A603" s="272"/>
      <c r="B603" s="272"/>
      <c r="C603" s="272"/>
      <c r="D603" s="272"/>
      <c r="E603" s="272"/>
      <c r="F603" s="272"/>
      <c r="G603" s="272"/>
      <c r="H603" s="272"/>
      <c r="I603" s="272"/>
      <c r="J603" s="272"/>
      <c r="K603" s="272"/>
      <c r="L603" s="272"/>
      <c r="M603" s="272"/>
      <c r="N603" s="272"/>
      <c r="O603" s="272"/>
      <c r="P603" s="272"/>
      <c r="Q603" s="272"/>
      <c r="R603" s="272"/>
      <c r="S603" s="272"/>
      <c r="T603" s="272"/>
      <c r="U603" s="272"/>
      <c r="V603" s="272"/>
      <c r="W603" s="272"/>
      <c r="X603" s="272"/>
      <c r="Y603" s="272"/>
      <c r="Z603" s="272"/>
    </row>
    <row r="604" ht="15.75" customHeight="1">
      <c r="A604" s="272"/>
      <c r="B604" s="272"/>
      <c r="C604" s="272"/>
      <c r="D604" s="272"/>
      <c r="E604" s="272"/>
      <c r="F604" s="272"/>
      <c r="G604" s="272"/>
      <c r="H604" s="272"/>
      <c r="I604" s="272"/>
      <c r="J604" s="272"/>
      <c r="K604" s="272"/>
      <c r="L604" s="272"/>
      <c r="M604" s="272"/>
      <c r="N604" s="272"/>
      <c r="O604" s="272"/>
      <c r="P604" s="272"/>
      <c r="Q604" s="272"/>
      <c r="R604" s="272"/>
      <c r="S604" s="272"/>
      <c r="T604" s="272"/>
      <c r="U604" s="272"/>
      <c r="V604" s="272"/>
      <c r="W604" s="272"/>
      <c r="X604" s="272"/>
      <c r="Y604" s="272"/>
      <c r="Z604" s="272"/>
    </row>
    <row r="605" ht="15.75" customHeight="1">
      <c r="A605" s="272"/>
      <c r="B605" s="272"/>
      <c r="C605" s="272"/>
      <c r="D605" s="272"/>
      <c r="E605" s="272"/>
      <c r="F605" s="272"/>
      <c r="G605" s="272"/>
      <c r="H605" s="272"/>
      <c r="I605" s="272"/>
      <c r="J605" s="272"/>
      <c r="K605" s="272"/>
      <c r="L605" s="272"/>
      <c r="M605" s="272"/>
      <c r="N605" s="272"/>
      <c r="O605" s="272"/>
      <c r="P605" s="272"/>
      <c r="Q605" s="272"/>
      <c r="R605" s="272"/>
      <c r="S605" s="272"/>
      <c r="T605" s="272"/>
      <c r="U605" s="272"/>
      <c r="V605" s="272"/>
      <c r="W605" s="272"/>
      <c r="X605" s="272"/>
      <c r="Y605" s="272"/>
      <c r="Z605" s="272"/>
    </row>
    <row r="606" ht="15.75" customHeight="1">
      <c r="A606" s="272"/>
      <c r="B606" s="272"/>
      <c r="C606" s="272"/>
      <c r="D606" s="272"/>
      <c r="E606" s="272"/>
      <c r="F606" s="272"/>
      <c r="G606" s="272"/>
      <c r="H606" s="272"/>
      <c r="I606" s="272"/>
      <c r="J606" s="272"/>
      <c r="K606" s="272"/>
      <c r="L606" s="272"/>
      <c r="M606" s="272"/>
      <c r="N606" s="272"/>
      <c r="O606" s="272"/>
      <c r="P606" s="272"/>
      <c r="Q606" s="272"/>
      <c r="R606" s="272"/>
      <c r="S606" s="272"/>
      <c r="T606" s="272"/>
      <c r="U606" s="272"/>
      <c r="V606" s="272"/>
      <c r="W606" s="272"/>
      <c r="X606" s="272"/>
      <c r="Y606" s="272"/>
      <c r="Z606" s="272"/>
    </row>
    <row r="607" ht="15.75" customHeight="1">
      <c r="A607" s="272"/>
      <c r="B607" s="272"/>
      <c r="C607" s="272"/>
      <c r="D607" s="272"/>
      <c r="E607" s="272"/>
      <c r="F607" s="272"/>
      <c r="G607" s="272"/>
      <c r="H607" s="272"/>
      <c r="I607" s="272"/>
      <c r="J607" s="272"/>
      <c r="K607" s="272"/>
      <c r="L607" s="272"/>
      <c r="M607" s="272"/>
      <c r="N607" s="272"/>
      <c r="O607" s="272"/>
      <c r="P607" s="272"/>
      <c r="Q607" s="272"/>
      <c r="R607" s="272"/>
      <c r="S607" s="272"/>
      <c r="T607" s="272"/>
      <c r="U607" s="272"/>
      <c r="V607" s="272"/>
      <c r="W607" s="272"/>
      <c r="X607" s="272"/>
      <c r="Y607" s="272"/>
      <c r="Z607" s="272"/>
    </row>
    <row r="608" ht="15.75" customHeight="1">
      <c r="A608" s="272"/>
      <c r="B608" s="272"/>
      <c r="C608" s="272"/>
      <c r="D608" s="272"/>
      <c r="E608" s="272"/>
      <c r="F608" s="272"/>
      <c r="G608" s="272"/>
      <c r="H608" s="272"/>
      <c r="I608" s="272"/>
      <c r="J608" s="272"/>
      <c r="K608" s="272"/>
      <c r="L608" s="272"/>
      <c r="M608" s="272"/>
      <c r="N608" s="272"/>
      <c r="O608" s="272"/>
      <c r="P608" s="272"/>
      <c r="Q608" s="272"/>
      <c r="R608" s="272"/>
      <c r="S608" s="272"/>
      <c r="T608" s="272"/>
      <c r="U608" s="272"/>
      <c r="V608" s="272"/>
      <c r="W608" s="272"/>
      <c r="X608" s="272"/>
      <c r="Y608" s="272"/>
      <c r="Z608" s="272"/>
    </row>
    <row r="609" ht="15.75" customHeight="1">
      <c r="A609" s="272"/>
      <c r="B609" s="272"/>
      <c r="C609" s="272"/>
      <c r="D609" s="272"/>
      <c r="E609" s="272"/>
      <c r="F609" s="272"/>
      <c r="G609" s="272"/>
      <c r="H609" s="272"/>
      <c r="I609" s="272"/>
      <c r="J609" s="272"/>
      <c r="K609" s="272"/>
      <c r="L609" s="272"/>
      <c r="M609" s="272"/>
      <c r="N609" s="272"/>
      <c r="O609" s="272"/>
      <c r="P609" s="272"/>
      <c r="Q609" s="272"/>
      <c r="R609" s="272"/>
      <c r="S609" s="272"/>
      <c r="T609" s="272"/>
      <c r="U609" s="272"/>
      <c r="V609" s="272"/>
      <c r="W609" s="272"/>
      <c r="X609" s="272"/>
      <c r="Y609" s="272"/>
      <c r="Z609" s="272"/>
    </row>
    <row r="610" ht="15.75" customHeight="1">
      <c r="A610" s="272"/>
      <c r="B610" s="272"/>
      <c r="C610" s="272"/>
      <c r="D610" s="272"/>
      <c r="E610" s="272"/>
      <c r="F610" s="272"/>
      <c r="G610" s="272"/>
      <c r="H610" s="272"/>
      <c r="I610" s="272"/>
      <c r="J610" s="272"/>
      <c r="K610" s="272"/>
      <c r="L610" s="272"/>
      <c r="M610" s="272"/>
      <c r="N610" s="272"/>
      <c r="O610" s="272"/>
      <c r="P610" s="272"/>
      <c r="Q610" s="272"/>
      <c r="R610" s="272"/>
      <c r="S610" s="272"/>
      <c r="T610" s="272"/>
      <c r="U610" s="272"/>
      <c r="V610" s="272"/>
      <c r="W610" s="272"/>
      <c r="X610" s="272"/>
      <c r="Y610" s="272"/>
      <c r="Z610" s="272"/>
    </row>
    <row r="611" ht="15.75" customHeight="1">
      <c r="A611" s="272"/>
      <c r="B611" s="272"/>
      <c r="C611" s="272"/>
      <c r="D611" s="272"/>
      <c r="E611" s="272"/>
      <c r="F611" s="272"/>
      <c r="G611" s="272"/>
      <c r="H611" s="272"/>
      <c r="I611" s="272"/>
      <c r="J611" s="272"/>
      <c r="K611" s="272"/>
      <c r="L611" s="272"/>
      <c r="M611" s="272"/>
      <c r="N611" s="272"/>
      <c r="O611" s="272"/>
      <c r="P611" s="272"/>
      <c r="Q611" s="272"/>
      <c r="R611" s="272"/>
      <c r="S611" s="272"/>
      <c r="T611" s="272"/>
      <c r="U611" s="272"/>
      <c r="V611" s="272"/>
      <c r="W611" s="272"/>
      <c r="X611" s="272"/>
      <c r="Y611" s="272"/>
      <c r="Z611" s="272"/>
    </row>
    <row r="612" ht="15.75" customHeight="1">
      <c r="A612" s="272"/>
      <c r="B612" s="272"/>
      <c r="C612" s="272"/>
      <c r="D612" s="272"/>
      <c r="E612" s="272"/>
      <c r="F612" s="272"/>
      <c r="G612" s="272"/>
      <c r="H612" s="272"/>
      <c r="I612" s="272"/>
      <c r="J612" s="272"/>
      <c r="K612" s="272"/>
      <c r="L612" s="272"/>
      <c r="M612" s="272"/>
      <c r="N612" s="272"/>
      <c r="O612" s="272"/>
      <c r="P612" s="272"/>
      <c r="Q612" s="272"/>
      <c r="R612" s="272"/>
      <c r="S612" s="272"/>
      <c r="T612" s="272"/>
      <c r="U612" s="272"/>
      <c r="V612" s="272"/>
      <c r="W612" s="272"/>
      <c r="X612" s="272"/>
      <c r="Y612" s="272"/>
      <c r="Z612" s="272"/>
    </row>
    <row r="613" ht="15.75" customHeight="1">
      <c r="A613" s="272"/>
      <c r="B613" s="272"/>
      <c r="C613" s="272"/>
      <c r="D613" s="272"/>
      <c r="E613" s="272"/>
      <c r="F613" s="272"/>
      <c r="G613" s="272"/>
      <c r="H613" s="272"/>
      <c r="I613" s="272"/>
      <c r="J613" s="272"/>
      <c r="K613" s="272"/>
      <c r="L613" s="272"/>
      <c r="M613" s="272"/>
      <c r="N613" s="272"/>
      <c r="O613" s="272"/>
      <c r="P613" s="272"/>
      <c r="Q613" s="272"/>
      <c r="R613" s="272"/>
      <c r="S613" s="272"/>
      <c r="T613" s="272"/>
      <c r="U613" s="272"/>
      <c r="V613" s="272"/>
      <c r="W613" s="272"/>
      <c r="X613" s="272"/>
      <c r="Y613" s="272"/>
      <c r="Z613" s="272"/>
    </row>
    <row r="614" ht="15.75" customHeight="1">
      <c r="A614" s="272"/>
      <c r="B614" s="272"/>
      <c r="C614" s="272"/>
      <c r="D614" s="272"/>
      <c r="E614" s="272"/>
      <c r="F614" s="272"/>
      <c r="G614" s="272"/>
      <c r="H614" s="272"/>
      <c r="I614" s="272"/>
      <c r="J614" s="272"/>
      <c r="K614" s="272"/>
      <c r="L614" s="272"/>
      <c r="M614" s="272"/>
      <c r="N614" s="272"/>
      <c r="O614" s="272"/>
      <c r="P614" s="272"/>
      <c r="Q614" s="272"/>
      <c r="R614" s="272"/>
      <c r="S614" s="272"/>
      <c r="T614" s="272"/>
      <c r="U614" s="272"/>
      <c r="V614" s="272"/>
      <c r="W614" s="272"/>
      <c r="X614" s="272"/>
      <c r="Y614" s="272"/>
      <c r="Z614" s="272"/>
    </row>
    <row r="615" ht="15.75" customHeight="1">
      <c r="A615" s="272"/>
      <c r="B615" s="272"/>
      <c r="C615" s="272"/>
      <c r="D615" s="272"/>
      <c r="E615" s="272"/>
      <c r="F615" s="272"/>
      <c r="G615" s="272"/>
      <c r="H615" s="272"/>
      <c r="I615" s="272"/>
      <c r="J615" s="272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</row>
    <row r="616" ht="15.75" customHeight="1">
      <c r="A616" s="272"/>
      <c r="B616" s="272"/>
      <c r="C616" s="272"/>
      <c r="D616" s="272"/>
      <c r="E616" s="272"/>
      <c r="F616" s="272"/>
      <c r="G616" s="272"/>
      <c r="H616" s="272"/>
      <c r="I616" s="272"/>
      <c r="J616" s="272"/>
      <c r="K616" s="272"/>
      <c r="L616" s="272"/>
      <c r="M616" s="272"/>
      <c r="N616" s="272"/>
      <c r="O616" s="272"/>
      <c r="P616" s="272"/>
      <c r="Q616" s="272"/>
      <c r="R616" s="272"/>
      <c r="S616" s="272"/>
      <c r="T616" s="272"/>
      <c r="U616" s="272"/>
      <c r="V616" s="272"/>
      <c r="W616" s="272"/>
      <c r="X616" s="272"/>
      <c r="Y616" s="272"/>
      <c r="Z616" s="272"/>
    </row>
    <row r="617" ht="15.75" customHeight="1">
      <c r="A617" s="272"/>
      <c r="B617" s="272"/>
      <c r="C617" s="272"/>
      <c r="D617" s="272"/>
      <c r="E617" s="272"/>
      <c r="F617" s="272"/>
      <c r="G617" s="272"/>
      <c r="H617" s="272"/>
      <c r="I617" s="272"/>
      <c r="J617" s="272"/>
      <c r="K617" s="272"/>
      <c r="L617" s="272"/>
      <c r="M617" s="272"/>
      <c r="N617" s="272"/>
      <c r="O617" s="272"/>
      <c r="P617" s="272"/>
      <c r="Q617" s="272"/>
      <c r="R617" s="272"/>
      <c r="S617" s="272"/>
      <c r="T617" s="272"/>
      <c r="U617" s="272"/>
      <c r="V617" s="272"/>
      <c r="W617" s="272"/>
      <c r="X617" s="272"/>
      <c r="Y617" s="272"/>
      <c r="Z617" s="272"/>
    </row>
    <row r="618" ht="15.75" customHeight="1">
      <c r="A618" s="272"/>
      <c r="B618" s="272"/>
      <c r="C618" s="272"/>
      <c r="D618" s="272"/>
      <c r="E618" s="272"/>
      <c r="F618" s="272"/>
      <c r="G618" s="272"/>
      <c r="H618" s="272"/>
      <c r="I618" s="272"/>
      <c r="J618" s="272"/>
      <c r="K618" s="272"/>
      <c r="L618" s="272"/>
      <c r="M618" s="272"/>
      <c r="N618" s="272"/>
      <c r="O618" s="272"/>
      <c r="P618" s="272"/>
      <c r="Q618" s="272"/>
      <c r="R618" s="272"/>
      <c r="S618" s="272"/>
      <c r="T618" s="272"/>
      <c r="U618" s="272"/>
      <c r="V618" s="272"/>
      <c r="W618" s="272"/>
      <c r="X618" s="272"/>
      <c r="Y618" s="272"/>
      <c r="Z618" s="272"/>
    </row>
    <row r="619" ht="15.75" customHeight="1">
      <c r="A619" s="272"/>
      <c r="B619" s="272"/>
      <c r="C619" s="272"/>
      <c r="D619" s="272"/>
      <c r="E619" s="272"/>
      <c r="F619" s="272"/>
      <c r="G619" s="272"/>
      <c r="H619" s="272"/>
      <c r="I619" s="272"/>
      <c r="J619" s="272"/>
      <c r="K619" s="272"/>
      <c r="L619" s="272"/>
      <c r="M619" s="272"/>
      <c r="N619" s="272"/>
      <c r="O619" s="272"/>
      <c r="P619" s="272"/>
      <c r="Q619" s="272"/>
      <c r="R619" s="272"/>
      <c r="S619" s="272"/>
      <c r="T619" s="272"/>
      <c r="U619" s="272"/>
      <c r="V619" s="272"/>
      <c r="W619" s="272"/>
      <c r="X619" s="272"/>
      <c r="Y619" s="272"/>
      <c r="Z619" s="272"/>
    </row>
    <row r="620" ht="15.75" customHeight="1">
      <c r="A620" s="272"/>
      <c r="B620" s="272"/>
      <c r="C620" s="272"/>
      <c r="D620" s="272"/>
      <c r="E620" s="272"/>
      <c r="F620" s="272"/>
      <c r="G620" s="272"/>
      <c r="H620" s="272"/>
      <c r="I620" s="272"/>
      <c r="J620" s="272"/>
      <c r="K620" s="272"/>
      <c r="L620" s="272"/>
      <c r="M620" s="272"/>
      <c r="N620" s="272"/>
      <c r="O620" s="272"/>
      <c r="P620" s="272"/>
      <c r="Q620" s="272"/>
      <c r="R620" s="272"/>
      <c r="S620" s="272"/>
      <c r="T620" s="272"/>
      <c r="U620" s="272"/>
      <c r="V620" s="272"/>
      <c r="W620" s="272"/>
      <c r="X620" s="272"/>
      <c r="Y620" s="272"/>
      <c r="Z620" s="272"/>
    </row>
    <row r="621" ht="15.75" customHeight="1">
      <c r="A621" s="272"/>
      <c r="B621" s="272"/>
      <c r="C621" s="272"/>
      <c r="D621" s="272"/>
      <c r="E621" s="272"/>
      <c r="F621" s="272"/>
      <c r="G621" s="272"/>
      <c r="H621" s="272"/>
      <c r="I621" s="272"/>
      <c r="J621" s="272"/>
      <c r="K621" s="272"/>
      <c r="L621" s="272"/>
      <c r="M621" s="272"/>
      <c r="N621" s="272"/>
      <c r="O621" s="272"/>
      <c r="P621" s="272"/>
      <c r="Q621" s="272"/>
      <c r="R621" s="272"/>
      <c r="S621" s="272"/>
      <c r="T621" s="272"/>
      <c r="U621" s="272"/>
      <c r="V621" s="272"/>
      <c r="W621" s="272"/>
      <c r="X621" s="272"/>
      <c r="Y621" s="272"/>
      <c r="Z621" s="272"/>
    </row>
    <row r="622" ht="15.75" customHeight="1">
      <c r="A622" s="272"/>
      <c r="B622" s="272"/>
      <c r="C622" s="272"/>
      <c r="D622" s="272"/>
      <c r="E622" s="272"/>
      <c r="F622" s="272"/>
      <c r="G622" s="272"/>
      <c r="H622" s="272"/>
      <c r="I622" s="272"/>
      <c r="J622" s="272"/>
      <c r="K622" s="272"/>
      <c r="L622" s="272"/>
      <c r="M622" s="272"/>
      <c r="N622" s="272"/>
      <c r="O622" s="272"/>
      <c r="P622" s="272"/>
      <c r="Q622" s="272"/>
      <c r="R622" s="272"/>
      <c r="S622" s="272"/>
      <c r="T622" s="272"/>
      <c r="U622" s="272"/>
      <c r="V622" s="272"/>
      <c r="W622" s="272"/>
      <c r="X622" s="272"/>
      <c r="Y622" s="272"/>
      <c r="Z622" s="272"/>
    </row>
    <row r="623" ht="15.75" customHeight="1">
      <c r="A623" s="272"/>
      <c r="B623" s="272"/>
      <c r="C623" s="272"/>
      <c r="D623" s="272"/>
      <c r="E623" s="272"/>
      <c r="F623" s="272"/>
      <c r="G623" s="272"/>
      <c r="H623" s="272"/>
      <c r="I623" s="272"/>
      <c r="J623" s="272"/>
      <c r="K623" s="272"/>
      <c r="L623" s="272"/>
      <c r="M623" s="272"/>
      <c r="N623" s="272"/>
      <c r="O623" s="272"/>
      <c r="P623" s="272"/>
      <c r="Q623" s="272"/>
      <c r="R623" s="272"/>
      <c r="S623" s="272"/>
      <c r="T623" s="272"/>
      <c r="U623" s="272"/>
      <c r="V623" s="272"/>
      <c r="W623" s="272"/>
      <c r="X623" s="272"/>
      <c r="Y623" s="272"/>
      <c r="Z623" s="272"/>
    </row>
    <row r="624" ht="15.75" customHeight="1">
      <c r="A624" s="272"/>
      <c r="B624" s="272"/>
      <c r="C624" s="272"/>
      <c r="D624" s="272"/>
      <c r="E624" s="272"/>
      <c r="F624" s="272"/>
      <c r="G624" s="272"/>
      <c r="H624" s="272"/>
      <c r="I624" s="272"/>
      <c r="J624" s="272"/>
      <c r="K624" s="272"/>
      <c r="L624" s="272"/>
      <c r="M624" s="272"/>
      <c r="N624" s="272"/>
      <c r="O624" s="272"/>
      <c r="P624" s="272"/>
      <c r="Q624" s="272"/>
      <c r="R624" s="272"/>
      <c r="S624" s="272"/>
      <c r="T624" s="272"/>
      <c r="U624" s="272"/>
      <c r="V624" s="272"/>
      <c r="W624" s="272"/>
      <c r="X624" s="272"/>
      <c r="Y624" s="272"/>
      <c r="Z624" s="272"/>
    </row>
    <row r="625" ht="15.75" customHeight="1">
      <c r="A625" s="272"/>
      <c r="B625" s="272"/>
      <c r="C625" s="272"/>
      <c r="D625" s="272"/>
      <c r="E625" s="272"/>
      <c r="F625" s="272"/>
      <c r="G625" s="272"/>
      <c r="H625" s="272"/>
      <c r="I625" s="272"/>
      <c r="J625" s="272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  <c r="Z625" s="272"/>
    </row>
    <row r="626" ht="15.75" customHeight="1">
      <c r="A626" s="272"/>
      <c r="B626" s="272"/>
      <c r="C626" s="272"/>
      <c r="D626" s="272"/>
      <c r="E626" s="272"/>
      <c r="F626" s="272"/>
      <c r="G626" s="272"/>
      <c r="H626" s="272"/>
      <c r="I626" s="272"/>
      <c r="J626" s="272"/>
      <c r="K626" s="272"/>
      <c r="L626" s="272"/>
      <c r="M626" s="272"/>
      <c r="N626" s="272"/>
      <c r="O626" s="272"/>
      <c r="P626" s="272"/>
      <c r="Q626" s="272"/>
      <c r="R626" s="272"/>
      <c r="S626" s="272"/>
      <c r="T626" s="272"/>
      <c r="U626" s="272"/>
      <c r="V626" s="272"/>
      <c r="W626" s="272"/>
      <c r="X626" s="272"/>
      <c r="Y626" s="272"/>
      <c r="Z626" s="272"/>
    </row>
    <row r="627" ht="15.75" customHeight="1">
      <c r="A627" s="272"/>
      <c r="B627" s="272"/>
      <c r="C627" s="272"/>
      <c r="D627" s="272"/>
      <c r="E627" s="272"/>
      <c r="F627" s="272"/>
      <c r="G627" s="272"/>
      <c r="H627" s="272"/>
      <c r="I627" s="272"/>
      <c r="J627" s="272"/>
      <c r="K627" s="272"/>
      <c r="L627" s="272"/>
      <c r="M627" s="272"/>
      <c r="N627" s="272"/>
      <c r="O627" s="272"/>
      <c r="P627" s="272"/>
      <c r="Q627" s="272"/>
      <c r="R627" s="272"/>
      <c r="S627" s="272"/>
      <c r="T627" s="272"/>
      <c r="U627" s="272"/>
      <c r="V627" s="272"/>
      <c r="W627" s="272"/>
      <c r="X627" s="272"/>
      <c r="Y627" s="272"/>
      <c r="Z627" s="272"/>
    </row>
    <row r="628" ht="15.75" customHeight="1">
      <c r="A628" s="272"/>
      <c r="B628" s="272"/>
      <c r="C628" s="272"/>
      <c r="D628" s="272"/>
      <c r="E628" s="272"/>
      <c r="F628" s="272"/>
      <c r="G628" s="272"/>
      <c r="H628" s="272"/>
      <c r="I628" s="272"/>
      <c r="J628" s="272"/>
      <c r="K628" s="272"/>
      <c r="L628" s="272"/>
      <c r="M628" s="272"/>
      <c r="N628" s="272"/>
      <c r="O628" s="272"/>
      <c r="P628" s="272"/>
      <c r="Q628" s="272"/>
      <c r="R628" s="272"/>
      <c r="S628" s="272"/>
      <c r="T628" s="272"/>
      <c r="U628" s="272"/>
      <c r="V628" s="272"/>
      <c r="W628" s="272"/>
      <c r="X628" s="272"/>
      <c r="Y628" s="272"/>
      <c r="Z628" s="272"/>
    </row>
    <row r="629" ht="15.75" customHeight="1">
      <c r="A629" s="272"/>
      <c r="B629" s="272"/>
      <c r="C629" s="272"/>
      <c r="D629" s="272"/>
      <c r="E629" s="272"/>
      <c r="F629" s="272"/>
      <c r="G629" s="272"/>
      <c r="H629" s="272"/>
      <c r="I629" s="272"/>
      <c r="J629" s="272"/>
      <c r="K629" s="272"/>
      <c r="L629" s="272"/>
      <c r="M629" s="272"/>
      <c r="N629" s="272"/>
      <c r="O629" s="272"/>
      <c r="P629" s="272"/>
      <c r="Q629" s="272"/>
      <c r="R629" s="272"/>
      <c r="S629" s="272"/>
      <c r="T629" s="272"/>
      <c r="U629" s="272"/>
      <c r="V629" s="272"/>
      <c r="W629" s="272"/>
      <c r="X629" s="272"/>
      <c r="Y629" s="272"/>
      <c r="Z629" s="272"/>
    </row>
    <row r="630" ht="15.75" customHeight="1">
      <c r="A630" s="272"/>
      <c r="B630" s="272"/>
      <c r="C630" s="272"/>
      <c r="D630" s="272"/>
      <c r="E630" s="272"/>
      <c r="F630" s="272"/>
      <c r="G630" s="272"/>
      <c r="H630" s="272"/>
      <c r="I630" s="272"/>
      <c r="J630" s="272"/>
      <c r="K630" s="272"/>
      <c r="L630" s="272"/>
      <c r="M630" s="272"/>
      <c r="N630" s="272"/>
      <c r="O630" s="272"/>
      <c r="P630" s="272"/>
      <c r="Q630" s="272"/>
      <c r="R630" s="272"/>
      <c r="S630" s="272"/>
      <c r="T630" s="272"/>
      <c r="U630" s="272"/>
      <c r="V630" s="272"/>
      <c r="W630" s="272"/>
      <c r="X630" s="272"/>
      <c r="Y630" s="272"/>
      <c r="Z630" s="272"/>
    </row>
    <row r="631" ht="15.75" customHeight="1">
      <c r="A631" s="272"/>
      <c r="B631" s="272"/>
      <c r="C631" s="272"/>
      <c r="D631" s="272"/>
      <c r="E631" s="272"/>
      <c r="F631" s="272"/>
      <c r="G631" s="272"/>
      <c r="H631" s="272"/>
      <c r="I631" s="272"/>
      <c r="J631" s="272"/>
      <c r="K631" s="272"/>
      <c r="L631" s="272"/>
      <c r="M631" s="272"/>
      <c r="N631" s="272"/>
      <c r="O631" s="272"/>
      <c r="P631" s="272"/>
      <c r="Q631" s="272"/>
      <c r="R631" s="272"/>
      <c r="S631" s="272"/>
      <c r="T631" s="272"/>
      <c r="U631" s="272"/>
      <c r="V631" s="272"/>
      <c r="W631" s="272"/>
      <c r="X631" s="272"/>
      <c r="Y631" s="272"/>
      <c r="Z631" s="272"/>
    </row>
    <row r="632" ht="15.75" customHeight="1">
      <c r="A632" s="272"/>
      <c r="B632" s="272"/>
      <c r="C632" s="272"/>
      <c r="D632" s="272"/>
      <c r="E632" s="272"/>
      <c r="F632" s="272"/>
      <c r="G632" s="272"/>
      <c r="H632" s="272"/>
      <c r="I632" s="272"/>
      <c r="J632" s="272"/>
      <c r="K632" s="272"/>
      <c r="L632" s="272"/>
      <c r="M632" s="272"/>
      <c r="N632" s="272"/>
      <c r="O632" s="272"/>
      <c r="P632" s="272"/>
      <c r="Q632" s="272"/>
      <c r="R632" s="272"/>
      <c r="S632" s="272"/>
      <c r="T632" s="272"/>
      <c r="U632" s="272"/>
      <c r="V632" s="272"/>
      <c r="W632" s="272"/>
      <c r="X632" s="272"/>
      <c r="Y632" s="272"/>
      <c r="Z632" s="272"/>
    </row>
    <row r="633" ht="15.75" customHeight="1">
      <c r="A633" s="272"/>
      <c r="B633" s="272"/>
      <c r="C633" s="272"/>
      <c r="D633" s="272"/>
      <c r="E633" s="272"/>
      <c r="F633" s="272"/>
      <c r="G633" s="272"/>
      <c r="H633" s="272"/>
      <c r="I633" s="272"/>
      <c r="J633" s="272"/>
      <c r="K633" s="272"/>
      <c r="L633" s="272"/>
      <c r="M633" s="272"/>
      <c r="N633" s="272"/>
      <c r="O633" s="272"/>
      <c r="P633" s="272"/>
      <c r="Q633" s="272"/>
      <c r="R633" s="272"/>
      <c r="S633" s="272"/>
      <c r="T633" s="272"/>
      <c r="U633" s="272"/>
      <c r="V633" s="272"/>
      <c r="W633" s="272"/>
      <c r="X633" s="272"/>
      <c r="Y633" s="272"/>
      <c r="Z633" s="272"/>
    </row>
    <row r="634" ht="15.75" customHeight="1">
      <c r="A634" s="272"/>
      <c r="B634" s="272"/>
      <c r="C634" s="272"/>
      <c r="D634" s="272"/>
      <c r="E634" s="272"/>
      <c r="F634" s="272"/>
      <c r="G634" s="272"/>
      <c r="H634" s="272"/>
      <c r="I634" s="272"/>
      <c r="J634" s="272"/>
      <c r="K634" s="272"/>
      <c r="L634" s="272"/>
      <c r="M634" s="272"/>
      <c r="N634" s="272"/>
      <c r="O634" s="272"/>
      <c r="P634" s="272"/>
      <c r="Q634" s="272"/>
      <c r="R634" s="272"/>
      <c r="S634" s="272"/>
      <c r="T634" s="272"/>
      <c r="U634" s="272"/>
      <c r="V634" s="272"/>
      <c r="W634" s="272"/>
      <c r="X634" s="272"/>
      <c r="Y634" s="272"/>
      <c r="Z634" s="272"/>
    </row>
    <row r="635" ht="15.75" customHeight="1">
      <c r="A635" s="272"/>
      <c r="B635" s="272"/>
      <c r="C635" s="272"/>
      <c r="D635" s="272"/>
      <c r="E635" s="272"/>
      <c r="F635" s="272"/>
      <c r="G635" s="272"/>
      <c r="H635" s="272"/>
      <c r="I635" s="272"/>
      <c r="J635" s="272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  <c r="Z635" s="272"/>
    </row>
    <row r="636" ht="15.75" customHeight="1">
      <c r="A636" s="272"/>
      <c r="B636" s="272"/>
      <c r="C636" s="272"/>
      <c r="D636" s="272"/>
      <c r="E636" s="272"/>
      <c r="F636" s="272"/>
      <c r="G636" s="272"/>
      <c r="H636" s="272"/>
      <c r="I636" s="272"/>
      <c r="J636" s="272"/>
      <c r="K636" s="272"/>
      <c r="L636" s="272"/>
      <c r="M636" s="272"/>
      <c r="N636" s="272"/>
      <c r="O636" s="272"/>
      <c r="P636" s="272"/>
      <c r="Q636" s="272"/>
      <c r="R636" s="272"/>
      <c r="S636" s="272"/>
      <c r="T636" s="272"/>
      <c r="U636" s="272"/>
      <c r="V636" s="272"/>
      <c r="W636" s="272"/>
      <c r="X636" s="272"/>
      <c r="Y636" s="272"/>
      <c r="Z636" s="272"/>
    </row>
    <row r="637" ht="15.75" customHeight="1">
      <c r="A637" s="272"/>
      <c r="B637" s="272"/>
      <c r="C637" s="272"/>
      <c r="D637" s="272"/>
      <c r="E637" s="272"/>
      <c r="F637" s="272"/>
      <c r="G637" s="272"/>
      <c r="H637" s="272"/>
      <c r="I637" s="272"/>
      <c r="J637" s="272"/>
      <c r="K637" s="272"/>
      <c r="L637" s="272"/>
      <c r="M637" s="272"/>
      <c r="N637" s="272"/>
      <c r="O637" s="272"/>
      <c r="P637" s="272"/>
      <c r="Q637" s="272"/>
      <c r="R637" s="272"/>
      <c r="S637" s="272"/>
      <c r="T637" s="272"/>
      <c r="U637" s="272"/>
      <c r="V637" s="272"/>
      <c r="W637" s="272"/>
      <c r="X637" s="272"/>
      <c r="Y637" s="272"/>
      <c r="Z637" s="272"/>
    </row>
    <row r="638" ht="15.75" customHeight="1">
      <c r="A638" s="272"/>
      <c r="B638" s="272"/>
      <c r="C638" s="272"/>
      <c r="D638" s="272"/>
      <c r="E638" s="272"/>
      <c r="F638" s="272"/>
      <c r="G638" s="272"/>
      <c r="H638" s="272"/>
      <c r="I638" s="272"/>
      <c r="J638" s="272"/>
      <c r="K638" s="272"/>
      <c r="L638" s="272"/>
      <c r="M638" s="272"/>
      <c r="N638" s="272"/>
      <c r="O638" s="272"/>
      <c r="P638" s="272"/>
      <c r="Q638" s="272"/>
      <c r="R638" s="272"/>
      <c r="S638" s="272"/>
      <c r="T638" s="272"/>
      <c r="U638" s="272"/>
      <c r="V638" s="272"/>
      <c r="W638" s="272"/>
      <c r="X638" s="272"/>
      <c r="Y638" s="272"/>
      <c r="Z638" s="272"/>
    </row>
    <row r="639" ht="15.75" customHeight="1">
      <c r="A639" s="272"/>
      <c r="B639" s="272"/>
      <c r="C639" s="272"/>
      <c r="D639" s="272"/>
      <c r="E639" s="272"/>
      <c r="F639" s="272"/>
      <c r="G639" s="272"/>
      <c r="H639" s="272"/>
      <c r="I639" s="272"/>
      <c r="J639" s="272"/>
      <c r="K639" s="272"/>
      <c r="L639" s="272"/>
      <c r="M639" s="272"/>
      <c r="N639" s="272"/>
      <c r="O639" s="272"/>
      <c r="P639" s="272"/>
      <c r="Q639" s="272"/>
      <c r="R639" s="272"/>
      <c r="S639" s="272"/>
      <c r="T639" s="272"/>
      <c r="U639" s="272"/>
      <c r="V639" s="272"/>
      <c r="W639" s="272"/>
      <c r="X639" s="272"/>
      <c r="Y639" s="272"/>
      <c r="Z639" s="272"/>
    </row>
    <row r="640" ht="15.75" customHeight="1">
      <c r="A640" s="272"/>
      <c r="B640" s="272"/>
      <c r="C640" s="272"/>
      <c r="D640" s="272"/>
      <c r="E640" s="272"/>
      <c r="F640" s="272"/>
      <c r="G640" s="272"/>
      <c r="H640" s="272"/>
      <c r="I640" s="272"/>
      <c r="J640" s="272"/>
      <c r="K640" s="272"/>
      <c r="L640" s="272"/>
      <c r="M640" s="272"/>
      <c r="N640" s="272"/>
      <c r="O640" s="272"/>
      <c r="P640" s="272"/>
      <c r="Q640" s="272"/>
      <c r="R640" s="272"/>
      <c r="S640" s="272"/>
      <c r="T640" s="272"/>
      <c r="U640" s="272"/>
      <c r="V640" s="272"/>
      <c r="W640" s="272"/>
      <c r="X640" s="272"/>
      <c r="Y640" s="272"/>
      <c r="Z640" s="272"/>
    </row>
    <row r="641" ht="15.75" customHeight="1">
      <c r="A641" s="272"/>
      <c r="B641" s="272"/>
      <c r="C641" s="272"/>
      <c r="D641" s="272"/>
      <c r="E641" s="272"/>
      <c r="F641" s="272"/>
      <c r="G641" s="272"/>
      <c r="H641" s="272"/>
      <c r="I641" s="272"/>
      <c r="J641" s="272"/>
      <c r="K641" s="272"/>
      <c r="L641" s="272"/>
      <c r="M641" s="272"/>
      <c r="N641" s="272"/>
      <c r="O641" s="272"/>
      <c r="P641" s="272"/>
      <c r="Q641" s="272"/>
      <c r="R641" s="272"/>
      <c r="S641" s="272"/>
      <c r="T641" s="272"/>
      <c r="U641" s="272"/>
      <c r="V641" s="272"/>
      <c r="W641" s="272"/>
      <c r="X641" s="272"/>
      <c r="Y641" s="272"/>
      <c r="Z641" s="272"/>
    </row>
    <row r="642" ht="15.75" customHeight="1">
      <c r="A642" s="272"/>
      <c r="B642" s="272"/>
      <c r="C642" s="272"/>
      <c r="D642" s="272"/>
      <c r="E642" s="272"/>
      <c r="F642" s="272"/>
      <c r="G642" s="272"/>
      <c r="H642" s="272"/>
      <c r="I642" s="272"/>
      <c r="J642" s="272"/>
      <c r="K642" s="272"/>
      <c r="L642" s="272"/>
      <c r="M642" s="272"/>
      <c r="N642" s="272"/>
      <c r="O642" s="272"/>
      <c r="P642" s="272"/>
      <c r="Q642" s="272"/>
      <c r="R642" s="272"/>
      <c r="S642" s="272"/>
      <c r="T642" s="272"/>
      <c r="U642" s="272"/>
      <c r="V642" s="272"/>
      <c r="W642" s="272"/>
      <c r="X642" s="272"/>
      <c r="Y642" s="272"/>
      <c r="Z642" s="272"/>
    </row>
    <row r="643" ht="15.75" customHeight="1">
      <c r="A643" s="272"/>
      <c r="B643" s="272"/>
      <c r="C643" s="272"/>
      <c r="D643" s="272"/>
      <c r="E643" s="272"/>
      <c r="F643" s="272"/>
      <c r="G643" s="272"/>
      <c r="H643" s="272"/>
      <c r="I643" s="272"/>
      <c r="J643" s="272"/>
      <c r="K643" s="272"/>
      <c r="L643" s="272"/>
      <c r="M643" s="272"/>
      <c r="N643" s="272"/>
      <c r="O643" s="272"/>
      <c r="P643" s="272"/>
      <c r="Q643" s="272"/>
      <c r="R643" s="272"/>
      <c r="S643" s="272"/>
      <c r="T643" s="272"/>
      <c r="U643" s="272"/>
      <c r="V643" s="272"/>
      <c r="W643" s="272"/>
      <c r="X643" s="272"/>
      <c r="Y643" s="272"/>
      <c r="Z643" s="272"/>
    </row>
    <row r="644" ht="15.75" customHeight="1">
      <c r="A644" s="272"/>
      <c r="B644" s="272"/>
      <c r="C644" s="272"/>
      <c r="D644" s="272"/>
      <c r="E644" s="272"/>
      <c r="F644" s="272"/>
      <c r="G644" s="272"/>
      <c r="H644" s="272"/>
      <c r="I644" s="272"/>
      <c r="J644" s="272"/>
      <c r="K644" s="272"/>
      <c r="L644" s="272"/>
      <c r="M644" s="272"/>
      <c r="N644" s="272"/>
      <c r="O644" s="272"/>
      <c r="P644" s="272"/>
      <c r="Q644" s="272"/>
      <c r="R644" s="272"/>
      <c r="S644" s="272"/>
      <c r="T644" s="272"/>
      <c r="U644" s="272"/>
      <c r="V644" s="272"/>
      <c r="W644" s="272"/>
      <c r="X644" s="272"/>
      <c r="Y644" s="272"/>
      <c r="Z644" s="272"/>
    </row>
    <row r="645" ht="15.75" customHeight="1">
      <c r="A645" s="272"/>
      <c r="B645" s="272"/>
      <c r="C645" s="272"/>
      <c r="D645" s="272"/>
      <c r="E645" s="272"/>
      <c r="F645" s="272"/>
      <c r="G645" s="272"/>
      <c r="H645" s="272"/>
      <c r="I645" s="272"/>
      <c r="J645" s="272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  <c r="Z645" s="272"/>
    </row>
    <row r="646" ht="15.75" customHeight="1">
      <c r="A646" s="272"/>
      <c r="B646" s="272"/>
      <c r="C646" s="272"/>
      <c r="D646" s="272"/>
      <c r="E646" s="272"/>
      <c r="F646" s="272"/>
      <c r="G646" s="272"/>
      <c r="H646" s="272"/>
      <c r="I646" s="272"/>
      <c r="J646" s="272"/>
      <c r="K646" s="272"/>
      <c r="L646" s="272"/>
      <c r="M646" s="272"/>
      <c r="N646" s="272"/>
      <c r="O646" s="272"/>
      <c r="P646" s="272"/>
      <c r="Q646" s="272"/>
      <c r="R646" s="272"/>
      <c r="S646" s="272"/>
      <c r="T646" s="272"/>
      <c r="U646" s="272"/>
      <c r="V646" s="272"/>
      <c r="W646" s="272"/>
      <c r="X646" s="272"/>
      <c r="Y646" s="272"/>
      <c r="Z646" s="272"/>
    </row>
    <row r="647" ht="15.75" customHeight="1">
      <c r="A647" s="272"/>
      <c r="B647" s="272"/>
      <c r="C647" s="272"/>
      <c r="D647" s="272"/>
      <c r="E647" s="272"/>
      <c r="F647" s="272"/>
      <c r="G647" s="272"/>
      <c r="H647" s="272"/>
      <c r="I647" s="272"/>
      <c r="J647" s="272"/>
      <c r="K647" s="272"/>
      <c r="L647" s="272"/>
      <c r="M647" s="272"/>
      <c r="N647" s="272"/>
      <c r="O647" s="272"/>
      <c r="P647" s="272"/>
      <c r="Q647" s="272"/>
      <c r="R647" s="272"/>
      <c r="S647" s="272"/>
      <c r="T647" s="272"/>
      <c r="U647" s="272"/>
      <c r="V647" s="272"/>
      <c r="W647" s="272"/>
      <c r="X647" s="272"/>
      <c r="Y647" s="272"/>
      <c r="Z647" s="272"/>
    </row>
    <row r="648" ht="15.75" customHeight="1">
      <c r="A648" s="272"/>
      <c r="B648" s="272"/>
      <c r="C648" s="272"/>
      <c r="D648" s="272"/>
      <c r="E648" s="272"/>
      <c r="F648" s="272"/>
      <c r="G648" s="272"/>
      <c r="H648" s="272"/>
      <c r="I648" s="272"/>
      <c r="J648" s="272"/>
      <c r="K648" s="272"/>
      <c r="L648" s="272"/>
      <c r="M648" s="272"/>
      <c r="N648" s="272"/>
      <c r="O648" s="272"/>
      <c r="P648" s="272"/>
      <c r="Q648" s="272"/>
      <c r="R648" s="272"/>
      <c r="S648" s="272"/>
      <c r="T648" s="272"/>
      <c r="U648" s="272"/>
      <c r="V648" s="272"/>
      <c r="W648" s="272"/>
      <c r="X648" s="272"/>
      <c r="Y648" s="272"/>
      <c r="Z648" s="272"/>
    </row>
    <row r="649" ht="15.75" customHeight="1">
      <c r="A649" s="272"/>
      <c r="B649" s="272"/>
      <c r="C649" s="272"/>
      <c r="D649" s="272"/>
      <c r="E649" s="272"/>
      <c r="F649" s="272"/>
      <c r="G649" s="272"/>
      <c r="H649" s="272"/>
      <c r="I649" s="272"/>
      <c r="J649" s="272"/>
      <c r="K649" s="272"/>
      <c r="L649" s="272"/>
      <c r="M649" s="272"/>
      <c r="N649" s="272"/>
      <c r="O649" s="272"/>
      <c r="P649" s="272"/>
      <c r="Q649" s="272"/>
      <c r="R649" s="272"/>
      <c r="S649" s="272"/>
      <c r="T649" s="272"/>
      <c r="U649" s="272"/>
      <c r="V649" s="272"/>
      <c r="W649" s="272"/>
      <c r="X649" s="272"/>
      <c r="Y649" s="272"/>
      <c r="Z649" s="272"/>
    </row>
    <row r="650" ht="15.75" customHeight="1">
      <c r="A650" s="272"/>
      <c r="B650" s="272"/>
      <c r="C650" s="272"/>
      <c r="D650" s="272"/>
      <c r="E650" s="272"/>
      <c r="F650" s="272"/>
      <c r="G650" s="272"/>
      <c r="H650" s="272"/>
      <c r="I650" s="272"/>
      <c r="J650" s="272"/>
      <c r="K650" s="272"/>
      <c r="L650" s="272"/>
      <c r="M650" s="272"/>
      <c r="N650" s="272"/>
      <c r="O650" s="272"/>
      <c r="P650" s="272"/>
      <c r="Q650" s="272"/>
      <c r="R650" s="272"/>
      <c r="S650" s="272"/>
      <c r="T650" s="272"/>
      <c r="U650" s="272"/>
      <c r="V650" s="272"/>
      <c r="W650" s="272"/>
      <c r="X650" s="272"/>
      <c r="Y650" s="272"/>
      <c r="Z650" s="272"/>
    </row>
    <row r="651" ht="15.75" customHeight="1">
      <c r="A651" s="272"/>
      <c r="B651" s="272"/>
      <c r="C651" s="272"/>
      <c r="D651" s="272"/>
      <c r="E651" s="272"/>
      <c r="F651" s="272"/>
      <c r="G651" s="272"/>
      <c r="H651" s="272"/>
      <c r="I651" s="272"/>
      <c r="J651" s="272"/>
      <c r="K651" s="272"/>
      <c r="L651" s="272"/>
      <c r="M651" s="272"/>
      <c r="N651" s="272"/>
      <c r="O651" s="272"/>
      <c r="P651" s="272"/>
      <c r="Q651" s="272"/>
      <c r="R651" s="272"/>
      <c r="S651" s="272"/>
      <c r="T651" s="272"/>
      <c r="U651" s="272"/>
      <c r="V651" s="272"/>
      <c r="W651" s="272"/>
      <c r="X651" s="272"/>
      <c r="Y651" s="272"/>
      <c r="Z651" s="272"/>
    </row>
    <row r="652" ht="15.75" customHeight="1">
      <c r="A652" s="272"/>
      <c r="B652" s="272"/>
      <c r="C652" s="272"/>
      <c r="D652" s="272"/>
      <c r="E652" s="272"/>
      <c r="F652" s="272"/>
      <c r="G652" s="272"/>
      <c r="H652" s="272"/>
      <c r="I652" s="272"/>
      <c r="J652" s="272"/>
      <c r="K652" s="272"/>
      <c r="L652" s="272"/>
      <c r="M652" s="272"/>
      <c r="N652" s="272"/>
      <c r="O652" s="272"/>
      <c r="P652" s="272"/>
      <c r="Q652" s="272"/>
      <c r="R652" s="272"/>
      <c r="S652" s="272"/>
      <c r="T652" s="272"/>
      <c r="U652" s="272"/>
      <c r="V652" s="272"/>
      <c r="W652" s="272"/>
      <c r="X652" s="272"/>
      <c r="Y652" s="272"/>
      <c r="Z652" s="272"/>
    </row>
    <row r="653" ht="15.75" customHeight="1">
      <c r="A653" s="272"/>
      <c r="B653" s="272"/>
      <c r="C653" s="272"/>
      <c r="D653" s="272"/>
      <c r="E653" s="272"/>
      <c r="F653" s="272"/>
      <c r="G653" s="272"/>
      <c r="H653" s="272"/>
      <c r="I653" s="272"/>
      <c r="J653" s="272"/>
      <c r="K653" s="272"/>
      <c r="L653" s="272"/>
      <c r="M653" s="272"/>
      <c r="N653" s="272"/>
      <c r="O653" s="272"/>
      <c r="P653" s="272"/>
      <c r="Q653" s="272"/>
      <c r="R653" s="272"/>
      <c r="S653" s="272"/>
      <c r="T653" s="272"/>
      <c r="U653" s="272"/>
      <c r="V653" s="272"/>
      <c r="W653" s="272"/>
      <c r="X653" s="272"/>
      <c r="Y653" s="272"/>
      <c r="Z653" s="272"/>
    </row>
    <row r="654" ht="15.75" customHeight="1">
      <c r="A654" s="272"/>
      <c r="B654" s="272"/>
      <c r="C654" s="272"/>
      <c r="D654" s="272"/>
      <c r="E654" s="272"/>
      <c r="F654" s="272"/>
      <c r="G654" s="272"/>
      <c r="H654" s="272"/>
      <c r="I654" s="272"/>
      <c r="J654" s="272"/>
      <c r="K654" s="272"/>
      <c r="L654" s="272"/>
      <c r="M654" s="272"/>
      <c r="N654" s="272"/>
      <c r="O654" s="272"/>
      <c r="P654" s="272"/>
      <c r="Q654" s="272"/>
      <c r="R654" s="272"/>
      <c r="S654" s="272"/>
      <c r="T654" s="272"/>
      <c r="U654" s="272"/>
      <c r="V654" s="272"/>
      <c r="W654" s="272"/>
      <c r="X654" s="272"/>
      <c r="Y654" s="272"/>
      <c r="Z654" s="272"/>
    </row>
    <row r="655" ht="15.75" customHeight="1">
      <c r="A655" s="272"/>
      <c r="B655" s="272"/>
      <c r="C655" s="272"/>
      <c r="D655" s="272"/>
      <c r="E655" s="272"/>
      <c r="F655" s="272"/>
      <c r="G655" s="272"/>
      <c r="H655" s="272"/>
      <c r="I655" s="272"/>
      <c r="J655" s="272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  <c r="Z655" s="272"/>
    </row>
    <row r="656" ht="15.75" customHeight="1">
      <c r="A656" s="272"/>
      <c r="B656" s="272"/>
      <c r="C656" s="272"/>
      <c r="D656" s="272"/>
      <c r="E656" s="272"/>
      <c r="F656" s="272"/>
      <c r="G656" s="272"/>
      <c r="H656" s="272"/>
      <c r="I656" s="272"/>
      <c r="J656" s="272"/>
      <c r="K656" s="272"/>
      <c r="L656" s="272"/>
      <c r="M656" s="272"/>
      <c r="N656" s="272"/>
      <c r="O656" s="272"/>
      <c r="P656" s="272"/>
      <c r="Q656" s="272"/>
      <c r="R656" s="272"/>
      <c r="S656" s="272"/>
      <c r="T656" s="272"/>
      <c r="U656" s="272"/>
      <c r="V656" s="272"/>
      <c r="W656" s="272"/>
      <c r="X656" s="272"/>
      <c r="Y656" s="272"/>
      <c r="Z656" s="272"/>
    </row>
    <row r="657" ht="15.75" customHeight="1">
      <c r="A657" s="272"/>
      <c r="B657" s="272"/>
      <c r="C657" s="272"/>
      <c r="D657" s="272"/>
      <c r="E657" s="272"/>
      <c r="F657" s="272"/>
      <c r="G657" s="272"/>
      <c r="H657" s="272"/>
      <c r="I657" s="272"/>
      <c r="J657" s="272"/>
      <c r="K657" s="272"/>
      <c r="L657" s="272"/>
      <c r="M657" s="272"/>
      <c r="N657" s="272"/>
      <c r="O657" s="272"/>
      <c r="P657" s="272"/>
      <c r="Q657" s="272"/>
      <c r="R657" s="272"/>
      <c r="S657" s="272"/>
      <c r="T657" s="272"/>
      <c r="U657" s="272"/>
      <c r="V657" s="272"/>
      <c r="W657" s="272"/>
      <c r="X657" s="272"/>
      <c r="Y657" s="272"/>
      <c r="Z657" s="272"/>
    </row>
    <row r="658" ht="15.75" customHeight="1">
      <c r="A658" s="272"/>
      <c r="B658" s="272"/>
      <c r="C658" s="272"/>
      <c r="D658" s="272"/>
      <c r="E658" s="272"/>
      <c r="F658" s="272"/>
      <c r="G658" s="272"/>
      <c r="H658" s="272"/>
      <c r="I658" s="272"/>
      <c r="J658" s="272"/>
      <c r="K658" s="272"/>
      <c r="L658" s="272"/>
      <c r="M658" s="272"/>
      <c r="N658" s="272"/>
      <c r="O658" s="272"/>
      <c r="P658" s="272"/>
      <c r="Q658" s="272"/>
      <c r="R658" s="272"/>
      <c r="S658" s="272"/>
      <c r="T658" s="272"/>
      <c r="U658" s="272"/>
      <c r="V658" s="272"/>
      <c r="W658" s="272"/>
      <c r="X658" s="272"/>
      <c r="Y658" s="272"/>
      <c r="Z658" s="272"/>
    </row>
    <row r="659" ht="15.75" customHeight="1">
      <c r="A659" s="272"/>
      <c r="B659" s="272"/>
      <c r="C659" s="272"/>
      <c r="D659" s="272"/>
      <c r="E659" s="272"/>
      <c r="F659" s="272"/>
      <c r="G659" s="272"/>
      <c r="H659" s="272"/>
      <c r="I659" s="272"/>
      <c r="J659" s="272"/>
      <c r="K659" s="272"/>
      <c r="L659" s="272"/>
      <c r="M659" s="272"/>
      <c r="N659" s="272"/>
      <c r="O659" s="272"/>
      <c r="P659" s="272"/>
      <c r="Q659" s="272"/>
      <c r="R659" s="272"/>
      <c r="S659" s="272"/>
      <c r="T659" s="272"/>
      <c r="U659" s="272"/>
      <c r="V659" s="272"/>
      <c r="W659" s="272"/>
      <c r="X659" s="272"/>
      <c r="Y659" s="272"/>
      <c r="Z659" s="272"/>
    </row>
    <row r="660" ht="15.75" customHeight="1">
      <c r="A660" s="272"/>
      <c r="B660" s="272"/>
      <c r="C660" s="272"/>
      <c r="D660" s="272"/>
      <c r="E660" s="272"/>
      <c r="F660" s="272"/>
      <c r="G660" s="272"/>
      <c r="H660" s="272"/>
      <c r="I660" s="272"/>
      <c r="J660" s="272"/>
      <c r="K660" s="272"/>
      <c r="L660" s="272"/>
      <c r="M660" s="272"/>
      <c r="N660" s="272"/>
      <c r="O660" s="272"/>
      <c r="P660" s="272"/>
      <c r="Q660" s="272"/>
      <c r="R660" s="272"/>
      <c r="S660" s="272"/>
      <c r="T660" s="272"/>
      <c r="U660" s="272"/>
      <c r="V660" s="272"/>
      <c r="W660" s="272"/>
      <c r="X660" s="272"/>
      <c r="Y660" s="272"/>
      <c r="Z660" s="272"/>
    </row>
    <row r="661" ht="15.75" customHeight="1">
      <c r="A661" s="272"/>
      <c r="B661" s="272"/>
      <c r="C661" s="272"/>
      <c r="D661" s="272"/>
      <c r="E661" s="272"/>
      <c r="F661" s="272"/>
      <c r="G661" s="272"/>
      <c r="H661" s="272"/>
      <c r="I661" s="272"/>
      <c r="J661" s="272"/>
      <c r="K661" s="272"/>
      <c r="L661" s="272"/>
      <c r="M661" s="272"/>
      <c r="N661" s="272"/>
      <c r="O661" s="272"/>
      <c r="P661" s="272"/>
      <c r="Q661" s="272"/>
      <c r="R661" s="272"/>
      <c r="S661" s="272"/>
      <c r="T661" s="272"/>
      <c r="U661" s="272"/>
      <c r="V661" s="272"/>
      <c r="W661" s="272"/>
      <c r="X661" s="272"/>
      <c r="Y661" s="272"/>
      <c r="Z661" s="272"/>
    </row>
    <row r="662" ht="15.75" customHeight="1">
      <c r="A662" s="272"/>
      <c r="B662" s="272"/>
      <c r="C662" s="272"/>
      <c r="D662" s="272"/>
      <c r="E662" s="272"/>
      <c r="F662" s="272"/>
      <c r="G662" s="272"/>
      <c r="H662" s="272"/>
      <c r="I662" s="272"/>
      <c r="J662" s="272"/>
      <c r="K662" s="272"/>
      <c r="L662" s="272"/>
      <c r="M662" s="272"/>
      <c r="N662" s="272"/>
      <c r="O662" s="272"/>
      <c r="P662" s="272"/>
      <c r="Q662" s="272"/>
      <c r="R662" s="272"/>
      <c r="S662" s="272"/>
      <c r="T662" s="272"/>
      <c r="U662" s="272"/>
      <c r="V662" s="272"/>
      <c r="W662" s="272"/>
      <c r="X662" s="272"/>
      <c r="Y662" s="272"/>
      <c r="Z662" s="272"/>
    </row>
    <row r="663" ht="15.75" customHeight="1">
      <c r="A663" s="272"/>
      <c r="B663" s="272"/>
      <c r="C663" s="272"/>
      <c r="D663" s="272"/>
      <c r="E663" s="272"/>
      <c r="F663" s="272"/>
      <c r="G663" s="272"/>
      <c r="H663" s="272"/>
      <c r="I663" s="272"/>
      <c r="J663" s="272"/>
      <c r="K663" s="272"/>
      <c r="L663" s="272"/>
      <c r="M663" s="272"/>
      <c r="N663" s="272"/>
      <c r="O663" s="272"/>
      <c r="P663" s="272"/>
      <c r="Q663" s="272"/>
      <c r="R663" s="272"/>
      <c r="S663" s="272"/>
      <c r="T663" s="272"/>
      <c r="U663" s="272"/>
      <c r="V663" s="272"/>
      <c r="W663" s="272"/>
      <c r="X663" s="272"/>
      <c r="Y663" s="272"/>
      <c r="Z663" s="272"/>
    </row>
    <row r="664" ht="15.75" customHeight="1">
      <c r="A664" s="272"/>
      <c r="B664" s="272"/>
      <c r="C664" s="272"/>
      <c r="D664" s="272"/>
      <c r="E664" s="272"/>
      <c r="F664" s="272"/>
      <c r="G664" s="272"/>
      <c r="H664" s="272"/>
      <c r="I664" s="272"/>
      <c r="J664" s="272"/>
      <c r="K664" s="272"/>
      <c r="L664" s="272"/>
      <c r="M664" s="272"/>
      <c r="N664" s="272"/>
      <c r="O664" s="272"/>
      <c r="P664" s="272"/>
      <c r="Q664" s="272"/>
      <c r="R664" s="272"/>
      <c r="S664" s="272"/>
      <c r="T664" s="272"/>
      <c r="U664" s="272"/>
      <c r="V664" s="272"/>
      <c r="W664" s="272"/>
      <c r="X664" s="272"/>
      <c r="Y664" s="272"/>
      <c r="Z664" s="272"/>
    </row>
    <row r="665" ht="15.75" customHeight="1">
      <c r="A665" s="272"/>
      <c r="B665" s="272"/>
      <c r="C665" s="272"/>
      <c r="D665" s="272"/>
      <c r="E665" s="272"/>
      <c r="F665" s="272"/>
      <c r="G665" s="272"/>
      <c r="H665" s="272"/>
      <c r="I665" s="272"/>
      <c r="J665" s="272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  <c r="Z665" s="272"/>
    </row>
    <row r="666" ht="15.75" customHeight="1">
      <c r="A666" s="272"/>
      <c r="B666" s="272"/>
      <c r="C666" s="272"/>
      <c r="D666" s="272"/>
      <c r="E666" s="272"/>
      <c r="F666" s="272"/>
      <c r="G666" s="272"/>
      <c r="H666" s="272"/>
      <c r="I666" s="272"/>
      <c r="J666" s="272"/>
      <c r="K666" s="272"/>
      <c r="L666" s="272"/>
      <c r="M666" s="272"/>
      <c r="N666" s="272"/>
      <c r="O666" s="272"/>
      <c r="P666" s="272"/>
      <c r="Q666" s="272"/>
      <c r="R666" s="272"/>
      <c r="S666" s="272"/>
      <c r="T666" s="272"/>
      <c r="U666" s="272"/>
      <c r="V666" s="272"/>
      <c r="W666" s="272"/>
      <c r="X666" s="272"/>
      <c r="Y666" s="272"/>
      <c r="Z666" s="272"/>
    </row>
    <row r="667" ht="15.75" customHeight="1">
      <c r="A667" s="272"/>
      <c r="B667" s="272"/>
      <c r="C667" s="272"/>
      <c r="D667" s="272"/>
      <c r="E667" s="272"/>
      <c r="F667" s="272"/>
      <c r="G667" s="272"/>
      <c r="H667" s="272"/>
      <c r="I667" s="272"/>
      <c r="J667" s="272"/>
      <c r="K667" s="272"/>
      <c r="L667" s="272"/>
      <c r="M667" s="272"/>
      <c r="N667" s="272"/>
      <c r="O667" s="272"/>
      <c r="P667" s="272"/>
      <c r="Q667" s="272"/>
      <c r="R667" s="272"/>
      <c r="S667" s="272"/>
      <c r="T667" s="272"/>
      <c r="U667" s="272"/>
      <c r="V667" s="272"/>
      <c r="W667" s="272"/>
      <c r="X667" s="272"/>
      <c r="Y667" s="272"/>
      <c r="Z667" s="272"/>
    </row>
    <row r="668" ht="15.75" customHeight="1">
      <c r="A668" s="272"/>
      <c r="B668" s="272"/>
      <c r="C668" s="272"/>
      <c r="D668" s="272"/>
      <c r="E668" s="272"/>
      <c r="F668" s="272"/>
      <c r="G668" s="272"/>
      <c r="H668" s="272"/>
      <c r="I668" s="272"/>
      <c r="J668" s="272"/>
      <c r="K668" s="272"/>
      <c r="L668" s="272"/>
      <c r="M668" s="272"/>
      <c r="N668" s="272"/>
      <c r="O668" s="272"/>
      <c r="P668" s="272"/>
      <c r="Q668" s="272"/>
      <c r="R668" s="272"/>
      <c r="S668" s="272"/>
      <c r="T668" s="272"/>
      <c r="U668" s="272"/>
      <c r="V668" s="272"/>
      <c r="W668" s="272"/>
      <c r="X668" s="272"/>
      <c r="Y668" s="272"/>
      <c r="Z668" s="272"/>
    </row>
    <row r="669" ht="15.75" customHeight="1">
      <c r="A669" s="272"/>
      <c r="B669" s="272"/>
      <c r="C669" s="272"/>
      <c r="D669" s="272"/>
      <c r="E669" s="272"/>
      <c r="F669" s="272"/>
      <c r="G669" s="272"/>
      <c r="H669" s="272"/>
      <c r="I669" s="272"/>
      <c r="J669" s="272"/>
      <c r="K669" s="272"/>
      <c r="L669" s="272"/>
      <c r="M669" s="272"/>
      <c r="N669" s="272"/>
      <c r="O669" s="272"/>
      <c r="P669" s="272"/>
      <c r="Q669" s="272"/>
      <c r="R669" s="272"/>
      <c r="S669" s="272"/>
      <c r="T669" s="272"/>
      <c r="U669" s="272"/>
      <c r="V669" s="272"/>
      <c r="W669" s="272"/>
      <c r="X669" s="272"/>
      <c r="Y669" s="272"/>
      <c r="Z669" s="272"/>
    </row>
    <row r="670" ht="15.75" customHeight="1">
      <c r="A670" s="272"/>
      <c r="B670" s="272"/>
      <c r="C670" s="272"/>
      <c r="D670" s="272"/>
      <c r="E670" s="272"/>
      <c r="F670" s="272"/>
      <c r="G670" s="272"/>
      <c r="H670" s="272"/>
      <c r="I670" s="272"/>
      <c r="J670" s="272"/>
      <c r="K670" s="272"/>
      <c r="L670" s="272"/>
      <c r="M670" s="272"/>
      <c r="N670" s="272"/>
      <c r="O670" s="272"/>
      <c r="P670" s="272"/>
      <c r="Q670" s="272"/>
      <c r="R670" s="272"/>
      <c r="S670" s="272"/>
      <c r="T670" s="272"/>
      <c r="U670" s="272"/>
      <c r="V670" s="272"/>
      <c r="W670" s="272"/>
      <c r="X670" s="272"/>
      <c r="Y670" s="272"/>
      <c r="Z670" s="272"/>
    </row>
    <row r="671" ht="15.75" customHeight="1">
      <c r="A671" s="272"/>
      <c r="B671" s="272"/>
      <c r="C671" s="272"/>
      <c r="D671" s="272"/>
      <c r="E671" s="272"/>
      <c r="F671" s="272"/>
      <c r="G671" s="272"/>
      <c r="H671" s="272"/>
      <c r="I671" s="272"/>
      <c r="J671" s="272"/>
      <c r="K671" s="272"/>
      <c r="L671" s="272"/>
      <c r="M671" s="272"/>
      <c r="N671" s="272"/>
      <c r="O671" s="272"/>
      <c r="P671" s="272"/>
      <c r="Q671" s="272"/>
      <c r="R671" s="272"/>
      <c r="S671" s="272"/>
      <c r="T671" s="272"/>
      <c r="U671" s="272"/>
      <c r="V671" s="272"/>
      <c r="W671" s="272"/>
      <c r="X671" s="272"/>
      <c r="Y671" s="272"/>
      <c r="Z671" s="272"/>
    </row>
    <row r="672" ht="15.75" customHeight="1">
      <c r="A672" s="272"/>
      <c r="B672" s="272"/>
      <c r="C672" s="272"/>
      <c r="D672" s="272"/>
      <c r="E672" s="272"/>
      <c r="F672" s="272"/>
      <c r="G672" s="272"/>
      <c r="H672" s="272"/>
      <c r="I672" s="272"/>
      <c r="J672" s="272"/>
      <c r="K672" s="272"/>
      <c r="L672" s="272"/>
      <c r="M672" s="272"/>
      <c r="N672" s="272"/>
      <c r="O672" s="272"/>
      <c r="P672" s="272"/>
      <c r="Q672" s="272"/>
      <c r="R672" s="272"/>
      <c r="S672" s="272"/>
      <c r="T672" s="272"/>
      <c r="U672" s="272"/>
      <c r="V672" s="272"/>
      <c r="W672" s="272"/>
      <c r="X672" s="272"/>
      <c r="Y672" s="272"/>
      <c r="Z672" s="272"/>
    </row>
    <row r="673" ht="15.75" customHeight="1">
      <c r="A673" s="272"/>
      <c r="B673" s="272"/>
      <c r="C673" s="272"/>
      <c r="D673" s="272"/>
      <c r="E673" s="272"/>
      <c r="F673" s="272"/>
      <c r="G673" s="272"/>
      <c r="H673" s="272"/>
      <c r="I673" s="272"/>
      <c r="J673" s="272"/>
      <c r="K673" s="272"/>
      <c r="L673" s="272"/>
      <c r="M673" s="272"/>
      <c r="N673" s="272"/>
      <c r="O673" s="272"/>
      <c r="P673" s="272"/>
      <c r="Q673" s="272"/>
      <c r="R673" s="272"/>
      <c r="S673" s="272"/>
      <c r="T673" s="272"/>
      <c r="U673" s="272"/>
      <c r="V673" s="272"/>
      <c r="W673" s="272"/>
      <c r="X673" s="272"/>
      <c r="Y673" s="272"/>
      <c r="Z673" s="272"/>
    </row>
    <row r="674" ht="15.75" customHeight="1">
      <c r="A674" s="272"/>
      <c r="B674" s="272"/>
      <c r="C674" s="272"/>
      <c r="D674" s="272"/>
      <c r="E674" s="272"/>
      <c r="F674" s="272"/>
      <c r="G674" s="272"/>
      <c r="H674" s="272"/>
      <c r="I674" s="272"/>
      <c r="J674" s="272"/>
      <c r="K674" s="272"/>
      <c r="L674" s="272"/>
      <c r="M674" s="272"/>
      <c r="N674" s="272"/>
      <c r="O674" s="272"/>
      <c r="P674" s="272"/>
      <c r="Q674" s="272"/>
      <c r="R674" s="272"/>
      <c r="S674" s="272"/>
      <c r="T674" s="272"/>
      <c r="U674" s="272"/>
      <c r="V674" s="272"/>
      <c r="W674" s="272"/>
      <c r="X674" s="272"/>
      <c r="Y674" s="272"/>
      <c r="Z674" s="272"/>
    </row>
    <row r="675" ht="15.75" customHeight="1">
      <c r="A675" s="272"/>
      <c r="B675" s="272"/>
      <c r="C675" s="272"/>
      <c r="D675" s="272"/>
      <c r="E675" s="272"/>
      <c r="F675" s="272"/>
      <c r="G675" s="272"/>
      <c r="H675" s="272"/>
      <c r="I675" s="272"/>
      <c r="J675" s="272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  <c r="Z675" s="272"/>
    </row>
    <row r="676" ht="15.75" customHeight="1">
      <c r="A676" s="272"/>
      <c r="B676" s="272"/>
      <c r="C676" s="272"/>
      <c r="D676" s="272"/>
      <c r="E676" s="272"/>
      <c r="F676" s="272"/>
      <c r="G676" s="272"/>
      <c r="H676" s="272"/>
      <c r="I676" s="272"/>
      <c r="J676" s="272"/>
      <c r="K676" s="272"/>
      <c r="L676" s="272"/>
      <c r="M676" s="272"/>
      <c r="N676" s="272"/>
      <c r="O676" s="272"/>
      <c r="P676" s="272"/>
      <c r="Q676" s="272"/>
      <c r="R676" s="272"/>
      <c r="S676" s="272"/>
      <c r="T676" s="272"/>
      <c r="U676" s="272"/>
      <c r="V676" s="272"/>
      <c r="W676" s="272"/>
      <c r="X676" s="272"/>
      <c r="Y676" s="272"/>
      <c r="Z676" s="272"/>
    </row>
    <row r="677" ht="15.75" customHeight="1">
      <c r="A677" s="272"/>
      <c r="B677" s="272"/>
      <c r="C677" s="272"/>
      <c r="D677" s="272"/>
      <c r="E677" s="272"/>
      <c r="F677" s="272"/>
      <c r="G677" s="272"/>
      <c r="H677" s="272"/>
      <c r="I677" s="272"/>
      <c r="J677" s="272"/>
      <c r="K677" s="272"/>
      <c r="L677" s="272"/>
      <c r="M677" s="272"/>
      <c r="N677" s="272"/>
      <c r="O677" s="272"/>
      <c r="P677" s="272"/>
      <c r="Q677" s="272"/>
      <c r="R677" s="272"/>
      <c r="S677" s="272"/>
      <c r="T677" s="272"/>
      <c r="U677" s="272"/>
      <c r="V677" s="272"/>
      <c r="W677" s="272"/>
      <c r="X677" s="272"/>
      <c r="Y677" s="272"/>
      <c r="Z677" s="272"/>
    </row>
    <row r="678" ht="15.75" customHeight="1">
      <c r="A678" s="272"/>
      <c r="B678" s="272"/>
      <c r="C678" s="272"/>
      <c r="D678" s="272"/>
      <c r="E678" s="272"/>
      <c r="F678" s="272"/>
      <c r="G678" s="272"/>
      <c r="H678" s="272"/>
      <c r="I678" s="272"/>
      <c r="J678" s="272"/>
      <c r="K678" s="272"/>
      <c r="L678" s="272"/>
      <c r="M678" s="272"/>
      <c r="N678" s="272"/>
      <c r="O678" s="272"/>
      <c r="P678" s="272"/>
      <c r="Q678" s="272"/>
      <c r="R678" s="272"/>
      <c r="S678" s="272"/>
      <c r="T678" s="272"/>
      <c r="U678" s="272"/>
      <c r="V678" s="272"/>
      <c r="W678" s="272"/>
      <c r="X678" s="272"/>
      <c r="Y678" s="272"/>
      <c r="Z678" s="272"/>
    </row>
    <row r="679" ht="15.75" customHeight="1">
      <c r="A679" s="272"/>
      <c r="B679" s="272"/>
      <c r="C679" s="272"/>
      <c r="D679" s="272"/>
      <c r="E679" s="272"/>
      <c r="F679" s="272"/>
      <c r="G679" s="272"/>
      <c r="H679" s="272"/>
      <c r="I679" s="272"/>
      <c r="J679" s="272"/>
      <c r="K679" s="272"/>
      <c r="L679" s="272"/>
      <c r="M679" s="272"/>
      <c r="N679" s="272"/>
      <c r="O679" s="272"/>
      <c r="P679" s="272"/>
      <c r="Q679" s="272"/>
      <c r="R679" s="272"/>
      <c r="S679" s="272"/>
      <c r="T679" s="272"/>
      <c r="U679" s="272"/>
      <c r="V679" s="272"/>
      <c r="W679" s="272"/>
      <c r="X679" s="272"/>
      <c r="Y679" s="272"/>
      <c r="Z679" s="272"/>
    </row>
    <row r="680" ht="15.75" customHeight="1">
      <c r="A680" s="272"/>
      <c r="B680" s="272"/>
      <c r="C680" s="272"/>
      <c r="D680" s="272"/>
      <c r="E680" s="272"/>
      <c r="F680" s="272"/>
      <c r="G680" s="272"/>
      <c r="H680" s="272"/>
      <c r="I680" s="272"/>
      <c r="J680" s="272"/>
      <c r="K680" s="272"/>
      <c r="L680" s="272"/>
      <c r="M680" s="272"/>
      <c r="N680" s="272"/>
      <c r="O680" s="272"/>
      <c r="P680" s="272"/>
      <c r="Q680" s="272"/>
      <c r="R680" s="272"/>
      <c r="S680" s="272"/>
      <c r="T680" s="272"/>
      <c r="U680" s="272"/>
      <c r="V680" s="272"/>
      <c r="W680" s="272"/>
      <c r="X680" s="272"/>
      <c r="Y680" s="272"/>
      <c r="Z680" s="272"/>
    </row>
    <row r="681" ht="15.75" customHeight="1">
      <c r="A681" s="272"/>
      <c r="B681" s="272"/>
      <c r="C681" s="272"/>
      <c r="D681" s="272"/>
      <c r="E681" s="272"/>
      <c r="F681" s="272"/>
      <c r="G681" s="272"/>
      <c r="H681" s="272"/>
      <c r="I681" s="272"/>
      <c r="J681" s="272"/>
      <c r="K681" s="272"/>
      <c r="L681" s="272"/>
      <c r="M681" s="272"/>
      <c r="N681" s="272"/>
      <c r="O681" s="272"/>
      <c r="P681" s="272"/>
      <c r="Q681" s="272"/>
      <c r="R681" s="272"/>
      <c r="S681" s="272"/>
      <c r="T681" s="272"/>
      <c r="U681" s="272"/>
      <c r="V681" s="272"/>
      <c r="W681" s="272"/>
      <c r="X681" s="272"/>
      <c r="Y681" s="272"/>
      <c r="Z681" s="272"/>
    </row>
    <row r="682" ht="15.75" customHeight="1">
      <c r="A682" s="272"/>
      <c r="B682" s="272"/>
      <c r="C682" s="272"/>
      <c r="D682" s="272"/>
      <c r="E682" s="272"/>
      <c r="F682" s="272"/>
      <c r="G682" s="272"/>
      <c r="H682" s="272"/>
      <c r="I682" s="272"/>
      <c r="J682" s="272"/>
      <c r="K682" s="272"/>
      <c r="L682" s="272"/>
      <c r="M682" s="272"/>
      <c r="N682" s="272"/>
      <c r="O682" s="272"/>
      <c r="P682" s="272"/>
      <c r="Q682" s="272"/>
      <c r="R682" s="272"/>
      <c r="S682" s="272"/>
      <c r="T682" s="272"/>
      <c r="U682" s="272"/>
      <c r="V682" s="272"/>
      <c r="W682" s="272"/>
      <c r="X682" s="272"/>
      <c r="Y682" s="272"/>
      <c r="Z682" s="272"/>
    </row>
    <row r="683" ht="15.75" customHeight="1">
      <c r="A683" s="272"/>
      <c r="B683" s="272"/>
      <c r="C683" s="272"/>
      <c r="D683" s="272"/>
      <c r="E683" s="272"/>
      <c r="F683" s="272"/>
      <c r="G683" s="272"/>
      <c r="H683" s="272"/>
      <c r="I683" s="272"/>
      <c r="J683" s="272"/>
      <c r="K683" s="272"/>
      <c r="L683" s="272"/>
      <c r="M683" s="272"/>
      <c r="N683" s="272"/>
      <c r="O683" s="272"/>
      <c r="P683" s="272"/>
      <c r="Q683" s="272"/>
      <c r="R683" s="272"/>
      <c r="S683" s="272"/>
      <c r="T683" s="272"/>
      <c r="U683" s="272"/>
      <c r="V683" s="272"/>
      <c r="W683" s="272"/>
      <c r="X683" s="272"/>
      <c r="Y683" s="272"/>
      <c r="Z683" s="272"/>
    </row>
    <row r="684" ht="15.75" customHeight="1">
      <c r="A684" s="272"/>
      <c r="B684" s="272"/>
      <c r="C684" s="272"/>
      <c r="D684" s="272"/>
      <c r="E684" s="272"/>
      <c r="F684" s="272"/>
      <c r="G684" s="272"/>
      <c r="H684" s="272"/>
      <c r="I684" s="272"/>
      <c r="J684" s="272"/>
      <c r="K684" s="272"/>
      <c r="L684" s="272"/>
      <c r="M684" s="272"/>
      <c r="N684" s="272"/>
      <c r="O684" s="272"/>
      <c r="P684" s="272"/>
      <c r="Q684" s="272"/>
      <c r="R684" s="272"/>
      <c r="S684" s="272"/>
      <c r="T684" s="272"/>
      <c r="U684" s="272"/>
      <c r="V684" s="272"/>
      <c r="W684" s="272"/>
      <c r="X684" s="272"/>
      <c r="Y684" s="272"/>
      <c r="Z684" s="272"/>
    </row>
    <row r="685" ht="15.75" customHeight="1">
      <c r="A685" s="272"/>
      <c r="B685" s="272"/>
      <c r="C685" s="272"/>
      <c r="D685" s="272"/>
      <c r="E685" s="272"/>
      <c r="F685" s="272"/>
      <c r="G685" s="272"/>
      <c r="H685" s="272"/>
      <c r="I685" s="272"/>
      <c r="J685" s="272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  <c r="Z685" s="272"/>
    </row>
    <row r="686" ht="15.75" customHeight="1">
      <c r="A686" s="272"/>
      <c r="B686" s="272"/>
      <c r="C686" s="272"/>
      <c r="D686" s="272"/>
      <c r="E686" s="272"/>
      <c r="F686" s="272"/>
      <c r="G686" s="272"/>
      <c r="H686" s="272"/>
      <c r="I686" s="272"/>
      <c r="J686" s="272"/>
      <c r="K686" s="272"/>
      <c r="L686" s="272"/>
      <c r="M686" s="272"/>
      <c r="N686" s="272"/>
      <c r="O686" s="272"/>
      <c r="P686" s="272"/>
      <c r="Q686" s="272"/>
      <c r="R686" s="272"/>
      <c r="S686" s="272"/>
      <c r="T686" s="272"/>
      <c r="U686" s="272"/>
      <c r="V686" s="272"/>
      <c r="W686" s="272"/>
      <c r="X686" s="272"/>
      <c r="Y686" s="272"/>
      <c r="Z686" s="272"/>
    </row>
    <row r="687" ht="15.75" customHeight="1">
      <c r="A687" s="272"/>
      <c r="B687" s="272"/>
      <c r="C687" s="272"/>
      <c r="D687" s="272"/>
      <c r="E687" s="272"/>
      <c r="F687" s="272"/>
      <c r="G687" s="272"/>
      <c r="H687" s="272"/>
      <c r="I687" s="272"/>
      <c r="J687" s="272"/>
      <c r="K687" s="272"/>
      <c r="L687" s="272"/>
      <c r="M687" s="272"/>
      <c r="N687" s="272"/>
      <c r="O687" s="272"/>
      <c r="P687" s="272"/>
      <c r="Q687" s="272"/>
      <c r="R687" s="272"/>
      <c r="S687" s="272"/>
      <c r="T687" s="272"/>
      <c r="U687" s="272"/>
      <c r="V687" s="272"/>
      <c r="W687" s="272"/>
      <c r="X687" s="272"/>
      <c r="Y687" s="272"/>
      <c r="Z687" s="272"/>
    </row>
    <row r="688" ht="15.75" customHeight="1">
      <c r="A688" s="272"/>
      <c r="B688" s="272"/>
      <c r="C688" s="272"/>
      <c r="D688" s="272"/>
      <c r="E688" s="272"/>
      <c r="F688" s="272"/>
      <c r="G688" s="272"/>
      <c r="H688" s="272"/>
      <c r="I688" s="272"/>
      <c r="J688" s="272"/>
      <c r="K688" s="272"/>
      <c r="L688" s="272"/>
      <c r="M688" s="272"/>
      <c r="N688" s="272"/>
      <c r="O688" s="272"/>
      <c r="P688" s="272"/>
      <c r="Q688" s="272"/>
      <c r="R688" s="272"/>
      <c r="S688" s="272"/>
      <c r="T688" s="272"/>
      <c r="U688" s="272"/>
      <c r="V688" s="272"/>
      <c r="W688" s="272"/>
      <c r="X688" s="272"/>
      <c r="Y688" s="272"/>
      <c r="Z688" s="272"/>
    </row>
    <row r="689" ht="15.75" customHeight="1">
      <c r="A689" s="272"/>
      <c r="B689" s="272"/>
      <c r="C689" s="272"/>
      <c r="D689" s="272"/>
      <c r="E689" s="272"/>
      <c r="F689" s="272"/>
      <c r="G689" s="272"/>
      <c r="H689" s="272"/>
      <c r="I689" s="272"/>
      <c r="J689" s="272"/>
      <c r="K689" s="272"/>
      <c r="L689" s="272"/>
      <c r="M689" s="272"/>
      <c r="N689" s="272"/>
      <c r="O689" s="272"/>
      <c r="P689" s="272"/>
      <c r="Q689" s="272"/>
      <c r="R689" s="272"/>
      <c r="S689" s="272"/>
      <c r="T689" s="272"/>
      <c r="U689" s="272"/>
      <c r="V689" s="272"/>
      <c r="W689" s="272"/>
      <c r="X689" s="272"/>
      <c r="Y689" s="272"/>
      <c r="Z689" s="272"/>
    </row>
    <row r="690" ht="15.75" customHeight="1">
      <c r="A690" s="272"/>
      <c r="B690" s="272"/>
      <c r="C690" s="272"/>
      <c r="D690" s="272"/>
      <c r="E690" s="272"/>
      <c r="F690" s="272"/>
      <c r="G690" s="272"/>
      <c r="H690" s="272"/>
      <c r="I690" s="272"/>
      <c r="J690" s="272"/>
      <c r="K690" s="272"/>
      <c r="L690" s="272"/>
      <c r="M690" s="272"/>
      <c r="N690" s="272"/>
      <c r="O690" s="272"/>
      <c r="P690" s="272"/>
      <c r="Q690" s="272"/>
      <c r="R690" s="272"/>
      <c r="S690" s="272"/>
      <c r="T690" s="272"/>
      <c r="U690" s="272"/>
      <c r="V690" s="272"/>
      <c r="W690" s="272"/>
      <c r="X690" s="272"/>
      <c r="Y690" s="272"/>
      <c r="Z690" s="272"/>
    </row>
    <row r="691" ht="15.75" customHeight="1">
      <c r="A691" s="272"/>
      <c r="B691" s="272"/>
      <c r="C691" s="272"/>
      <c r="D691" s="272"/>
      <c r="E691" s="272"/>
      <c r="F691" s="272"/>
      <c r="G691" s="272"/>
      <c r="H691" s="272"/>
      <c r="I691" s="272"/>
      <c r="J691" s="272"/>
      <c r="K691" s="272"/>
      <c r="L691" s="272"/>
      <c r="M691" s="272"/>
      <c r="N691" s="272"/>
      <c r="O691" s="272"/>
      <c r="P691" s="272"/>
      <c r="Q691" s="272"/>
      <c r="R691" s="272"/>
      <c r="S691" s="272"/>
      <c r="T691" s="272"/>
      <c r="U691" s="272"/>
      <c r="V691" s="272"/>
      <c r="W691" s="272"/>
      <c r="X691" s="272"/>
      <c r="Y691" s="272"/>
      <c r="Z691" s="272"/>
    </row>
    <row r="692" ht="15.75" customHeight="1">
      <c r="A692" s="272"/>
      <c r="B692" s="272"/>
      <c r="C692" s="272"/>
      <c r="D692" s="272"/>
      <c r="E692" s="272"/>
      <c r="F692" s="272"/>
      <c r="G692" s="272"/>
      <c r="H692" s="272"/>
      <c r="I692" s="272"/>
      <c r="J692" s="272"/>
      <c r="K692" s="272"/>
      <c r="L692" s="272"/>
      <c r="M692" s="272"/>
      <c r="N692" s="272"/>
      <c r="O692" s="272"/>
      <c r="P692" s="272"/>
      <c r="Q692" s="272"/>
      <c r="R692" s="272"/>
      <c r="S692" s="272"/>
      <c r="T692" s="272"/>
      <c r="U692" s="272"/>
      <c r="V692" s="272"/>
      <c r="W692" s="272"/>
      <c r="X692" s="272"/>
      <c r="Y692" s="272"/>
      <c r="Z692" s="272"/>
    </row>
    <row r="693" ht="15.75" customHeight="1">
      <c r="A693" s="272"/>
      <c r="B693" s="272"/>
      <c r="C693" s="272"/>
      <c r="D693" s="272"/>
      <c r="E693" s="272"/>
      <c r="F693" s="272"/>
      <c r="G693" s="272"/>
      <c r="H693" s="272"/>
      <c r="I693" s="272"/>
      <c r="J693" s="272"/>
      <c r="K693" s="272"/>
      <c r="L693" s="272"/>
      <c r="M693" s="272"/>
      <c r="N693" s="272"/>
      <c r="O693" s="272"/>
      <c r="P693" s="272"/>
      <c r="Q693" s="272"/>
      <c r="R693" s="272"/>
      <c r="S693" s="272"/>
      <c r="T693" s="272"/>
      <c r="U693" s="272"/>
      <c r="V693" s="272"/>
      <c r="W693" s="272"/>
      <c r="X693" s="272"/>
      <c r="Y693" s="272"/>
      <c r="Z693" s="272"/>
    </row>
    <row r="694" ht="15.75" customHeight="1">
      <c r="A694" s="272"/>
      <c r="B694" s="272"/>
      <c r="C694" s="272"/>
      <c r="D694" s="272"/>
      <c r="E694" s="272"/>
      <c r="F694" s="272"/>
      <c r="G694" s="272"/>
      <c r="H694" s="272"/>
      <c r="I694" s="272"/>
      <c r="J694" s="272"/>
      <c r="K694" s="272"/>
      <c r="L694" s="272"/>
      <c r="M694" s="272"/>
      <c r="N694" s="272"/>
      <c r="O694" s="272"/>
      <c r="P694" s="272"/>
      <c r="Q694" s="272"/>
      <c r="R694" s="272"/>
      <c r="S694" s="272"/>
      <c r="T694" s="272"/>
      <c r="U694" s="272"/>
      <c r="V694" s="272"/>
      <c r="W694" s="272"/>
      <c r="X694" s="272"/>
      <c r="Y694" s="272"/>
      <c r="Z694" s="272"/>
    </row>
    <row r="695" ht="15.75" customHeight="1">
      <c r="A695" s="272"/>
      <c r="B695" s="272"/>
      <c r="C695" s="272"/>
      <c r="D695" s="272"/>
      <c r="E695" s="272"/>
      <c r="F695" s="272"/>
      <c r="G695" s="272"/>
      <c r="H695" s="272"/>
      <c r="I695" s="272"/>
      <c r="J695" s="272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  <c r="Z695" s="272"/>
    </row>
    <row r="696" ht="15.75" customHeight="1">
      <c r="A696" s="272"/>
      <c r="B696" s="272"/>
      <c r="C696" s="272"/>
      <c r="D696" s="272"/>
      <c r="E696" s="272"/>
      <c r="F696" s="272"/>
      <c r="G696" s="272"/>
      <c r="H696" s="272"/>
      <c r="I696" s="272"/>
      <c r="J696" s="272"/>
      <c r="K696" s="272"/>
      <c r="L696" s="272"/>
      <c r="M696" s="272"/>
      <c r="N696" s="272"/>
      <c r="O696" s="272"/>
      <c r="P696" s="272"/>
      <c r="Q696" s="272"/>
      <c r="R696" s="272"/>
      <c r="S696" s="272"/>
      <c r="T696" s="272"/>
      <c r="U696" s="272"/>
      <c r="V696" s="272"/>
      <c r="W696" s="272"/>
      <c r="X696" s="272"/>
      <c r="Y696" s="272"/>
      <c r="Z696" s="272"/>
    </row>
    <row r="697" ht="15.75" customHeight="1">
      <c r="A697" s="272"/>
      <c r="B697" s="272"/>
      <c r="C697" s="272"/>
      <c r="D697" s="272"/>
      <c r="E697" s="272"/>
      <c r="F697" s="272"/>
      <c r="G697" s="272"/>
      <c r="H697" s="272"/>
      <c r="I697" s="272"/>
      <c r="J697" s="272"/>
      <c r="K697" s="272"/>
      <c r="L697" s="272"/>
      <c r="M697" s="272"/>
      <c r="N697" s="272"/>
      <c r="O697" s="272"/>
      <c r="P697" s="272"/>
      <c r="Q697" s="272"/>
      <c r="R697" s="272"/>
      <c r="S697" s="272"/>
      <c r="T697" s="272"/>
      <c r="U697" s="272"/>
      <c r="V697" s="272"/>
      <c r="W697" s="272"/>
      <c r="X697" s="272"/>
      <c r="Y697" s="272"/>
      <c r="Z697" s="272"/>
    </row>
    <row r="698" ht="15.75" customHeight="1">
      <c r="A698" s="272"/>
      <c r="B698" s="272"/>
      <c r="C698" s="272"/>
      <c r="D698" s="272"/>
      <c r="E698" s="272"/>
      <c r="F698" s="272"/>
      <c r="G698" s="272"/>
      <c r="H698" s="272"/>
      <c r="I698" s="272"/>
      <c r="J698" s="272"/>
      <c r="K698" s="272"/>
      <c r="L698" s="272"/>
      <c r="M698" s="272"/>
      <c r="N698" s="272"/>
      <c r="O698" s="272"/>
      <c r="P698" s="272"/>
      <c r="Q698" s="272"/>
      <c r="R698" s="272"/>
      <c r="S698" s="272"/>
      <c r="T698" s="272"/>
      <c r="U698" s="272"/>
      <c r="V698" s="272"/>
      <c r="W698" s="272"/>
      <c r="X698" s="272"/>
      <c r="Y698" s="272"/>
      <c r="Z698" s="272"/>
    </row>
    <row r="699" ht="15.75" customHeight="1">
      <c r="A699" s="272"/>
      <c r="B699" s="272"/>
      <c r="C699" s="272"/>
      <c r="D699" s="272"/>
      <c r="E699" s="272"/>
      <c r="F699" s="272"/>
      <c r="G699" s="272"/>
      <c r="H699" s="272"/>
      <c r="I699" s="272"/>
      <c r="J699" s="272"/>
      <c r="K699" s="272"/>
      <c r="L699" s="272"/>
      <c r="M699" s="272"/>
      <c r="N699" s="272"/>
      <c r="O699" s="272"/>
      <c r="P699" s="272"/>
      <c r="Q699" s="272"/>
      <c r="R699" s="272"/>
      <c r="S699" s="272"/>
      <c r="T699" s="272"/>
      <c r="U699" s="272"/>
      <c r="V699" s="272"/>
      <c r="W699" s="272"/>
      <c r="X699" s="272"/>
      <c r="Y699" s="272"/>
      <c r="Z699" s="272"/>
    </row>
    <row r="700" ht="15.75" customHeight="1">
      <c r="A700" s="272"/>
      <c r="B700" s="272"/>
      <c r="C700" s="272"/>
      <c r="D700" s="272"/>
      <c r="E700" s="272"/>
      <c r="F700" s="272"/>
      <c r="G700" s="272"/>
      <c r="H700" s="272"/>
      <c r="I700" s="272"/>
      <c r="J700" s="272"/>
      <c r="K700" s="272"/>
      <c r="L700" s="272"/>
      <c r="M700" s="272"/>
      <c r="N700" s="272"/>
      <c r="O700" s="272"/>
      <c r="P700" s="272"/>
      <c r="Q700" s="272"/>
      <c r="R700" s="272"/>
      <c r="S700" s="272"/>
      <c r="T700" s="272"/>
      <c r="U700" s="272"/>
      <c r="V700" s="272"/>
      <c r="W700" s="272"/>
      <c r="X700" s="272"/>
      <c r="Y700" s="272"/>
      <c r="Z700" s="272"/>
    </row>
    <row r="701" ht="15.75" customHeight="1">
      <c r="A701" s="272"/>
      <c r="B701" s="272"/>
      <c r="C701" s="272"/>
      <c r="D701" s="272"/>
      <c r="E701" s="272"/>
      <c r="F701" s="272"/>
      <c r="G701" s="272"/>
      <c r="H701" s="272"/>
      <c r="I701" s="272"/>
      <c r="J701" s="272"/>
      <c r="K701" s="272"/>
      <c r="L701" s="272"/>
      <c r="M701" s="272"/>
      <c r="N701" s="272"/>
      <c r="O701" s="272"/>
      <c r="P701" s="272"/>
      <c r="Q701" s="272"/>
      <c r="R701" s="272"/>
      <c r="S701" s="272"/>
      <c r="T701" s="272"/>
      <c r="U701" s="272"/>
      <c r="V701" s="272"/>
      <c r="W701" s="272"/>
      <c r="X701" s="272"/>
      <c r="Y701" s="272"/>
      <c r="Z701" s="272"/>
    </row>
    <row r="702" ht="15.75" customHeight="1">
      <c r="A702" s="272"/>
      <c r="B702" s="272"/>
      <c r="C702" s="272"/>
      <c r="D702" s="272"/>
      <c r="E702" s="272"/>
      <c r="F702" s="272"/>
      <c r="G702" s="272"/>
      <c r="H702" s="272"/>
      <c r="I702" s="272"/>
      <c r="J702" s="272"/>
      <c r="K702" s="272"/>
      <c r="L702" s="272"/>
      <c r="M702" s="272"/>
      <c r="N702" s="272"/>
      <c r="O702" s="272"/>
      <c r="P702" s="272"/>
      <c r="Q702" s="272"/>
      <c r="R702" s="272"/>
      <c r="S702" s="272"/>
      <c r="T702" s="272"/>
      <c r="U702" s="272"/>
      <c r="V702" s="272"/>
      <c r="W702" s="272"/>
      <c r="X702" s="272"/>
      <c r="Y702" s="272"/>
      <c r="Z702" s="272"/>
    </row>
    <row r="703" ht="15.75" customHeight="1">
      <c r="A703" s="272"/>
      <c r="B703" s="272"/>
      <c r="C703" s="272"/>
      <c r="D703" s="272"/>
      <c r="E703" s="272"/>
      <c r="F703" s="272"/>
      <c r="G703" s="272"/>
      <c r="H703" s="272"/>
      <c r="I703" s="272"/>
      <c r="J703" s="272"/>
      <c r="K703" s="272"/>
      <c r="L703" s="272"/>
      <c r="M703" s="272"/>
      <c r="N703" s="272"/>
      <c r="O703" s="272"/>
      <c r="P703" s="272"/>
      <c r="Q703" s="272"/>
      <c r="R703" s="272"/>
      <c r="S703" s="272"/>
      <c r="T703" s="272"/>
      <c r="U703" s="272"/>
      <c r="V703" s="272"/>
      <c r="W703" s="272"/>
      <c r="X703" s="272"/>
      <c r="Y703" s="272"/>
      <c r="Z703" s="272"/>
    </row>
    <row r="704" ht="15.75" customHeight="1">
      <c r="A704" s="272"/>
      <c r="B704" s="272"/>
      <c r="C704" s="272"/>
      <c r="D704" s="272"/>
      <c r="E704" s="272"/>
      <c r="F704" s="272"/>
      <c r="G704" s="272"/>
      <c r="H704" s="272"/>
      <c r="I704" s="272"/>
      <c r="J704" s="272"/>
      <c r="K704" s="272"/>
      <c r="L704" s="272"/>
      <c r="M704" s="272"/>
      <c r="N704" s="272"/>
      <c r="O704" s="272"/>
      <c r="P704" s="272"/>
      <c r="Q704" s="272"/>
      <c r="R704" s="272"/>
      <c r="S704" s="272"/>
      <c r="T704" s="272"/>
      <c r="U704" s="272"/>
      <c r="V704" s="272"/>
      <c r="W704" s="272"/>
      <c r="X704" s="272"/>
      <c r="Y704" s="272"/>
      <c r="Z704" s="272"/>
    </row>
    <row r="705" ht="15.75" customHeight="1">
      <c r="A705" s="272"/>
      <c r="B705" s="272"/>
      <c r="C705" s="272"/>
      <c r="D705" s="272"/>
      <c r="E705" s="272"/>
      <c r="F705" s="272"/>
      <c r="G705" s="272"/>
      <c r="H705" s="272"/>
      <c r="I705" s="272"/>
      <c r="J705" s="272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  <c r="Z705" s="272"/>
    </row>
    <row r="706" ht="15.75" customHeight="1">
      <c r="A706" s="272"/>
      <c r="B706" s="272"/>
      <c r="C706" s="272"/>
      <c r="D706" s="272"/>
      <c r="E706" s="272"/>
      <c r="F706" s="272"/>
      <c r="G706" s="272"/>
      <c r="H706" s="272"/>
      <c r="I706" s="272"/>
      <c r="J706" s="272"/>
      <c r="K706" s="272"/>
      <c r="L706" s="272"/>
      <c r="M706" s="272"/>
      <c r="N706" s="272"/>
      <c r="O706" s="272"/>
      <c r="P706" s="272"/>
      <c r="Q706" s="272"/>
      <c r="R706" s="272"/>
      <c r="S706" s="272"/>
      <c r="T706" s="272"/>
      <c r="U706" s="272"/>
      <c r="V706" s="272"/>
      <c r="W706" s="272"/>
      <c r="X706" s="272"/>
      <c r="Y706" s="272"/>
      <c r="Z706" s="272"/>
    </row>
    <row r="707" ht="15.75" customHeight="1">
      <c r="A707" s="272"/>
      <c r="B707" s="272"/>
      <c r="C707" s="272"/>
      <c r="D707" s="272"/>
      <c r="E707" s="272"/>
      <c r="F707" s="272"/>
      <c r="G707" s="272"/>
      <c r="H707" s="272"/>
      <c r="I707" s="272"/>
      <c r="J707" s="272"/>
      <c r="K707" s="272"/>
      <c r="L707" s="272"/>
      <c r="M707" s="272"/>
      <c r="N707" s="272"/>
      <c r="O707" s="272"/>
      <c r="P707" s="272"/>
      <c r="Q707" s="272"/>
      <c r="R707" s="272"/>
      <c r="S707" s="272"/>
      <c r="T707" s="272"/>
      <c r="U707" s="272"/>
      <c r="V707" s="272"/>
      <c r="W707" s="272"/>
      <c r="X707" s="272"/>
      <c r="Y707" s="272"/>
      <c r="Z707" s="272"/>
    </row>
    <row r="708" ht="15.75" customHeight="1">
      <c r="A708" s="272"/>
      <c r="B708" s="272"/>
      <c r="C708" s="272"/>
      <c r="D708" s="272"/>
      <c r="E708" s="272"/>
      <c r="F708" s="272"/>
      <c r="G708" s="272"/>
      <c r="H708" s="272"/>
      <c r="I708" s="272"/>
      <c r="J708" s="272"/>
      <c r="K708" s="272"/>
      <c r="L708" s="272"/>
      <c r="M708" s="272"/>
      <c r="N708" s="272"/>
      <c r="O708" s="272"/>
      <c r="P708" s="272"/>
      <c r="Q708" s="272"/>
      <c r="R708" s="272"/>
      <c r="S708" s="272"/>
      <c r="T708" s="272"/>
      <c r="U708" s="272"/>
      <c r="V708" s="272"/>
      <c r="W708" s="272"/>
      <c r="X708" s="272"/>
      <c r="Y708" s="272"/>
      <c r="Z708" s="272"/>
    </row>
    <row r="709" ht="15.75" customHeight="1">
      <c r="A709" s="272"/>
      <c r="B709" s="272"/>
      <c r="C709" s="272"/>
      <c r="D709" s="272"/>
      <c r="E709" s="272"/>
      <c r="F709" s="272"/>
      <c r="G709" s="272"/>
      <c r="H709" s="272"/>
      <c r="I709" s="272"/>
      <c r="J709" s="272"/>
      <c r="K709" s="272"/>
      <c r="L709" s="272"/>
      <c r="M709" s="272"/>
      <c r="N709" s="272"/>
      <c r="O709" s="272"/>
      <c r="P709" s="272"/>
      <c r="Q709" s="272"/>
      <c r="R709" s="272"/>
      <c r="S709" s="272"/>
      <c r="T709" s="272"/>
      <c r="U709" s="272"/>
      <c r="V709" s="272"/>
      <c r="W709" s="272"/>
      <c r="X709" s="272"/>
      <c r="Y709" s="272"/>
      <c r="Z709" s="272"/>
    </row>
    <row r="710" ht="15.75" customHeight="1">
      <c r="A710" s="272"/>
      <c r="B710" s="272"/>
      <c r="C710" s="272"/>
      <c r="D710" s="272"/>
      <c r="E710" s="272"/>
      <c r="F710" s="272"/>
      <c r="G710" s="272"/>
      <c r="H710" s="272"/>
      <c r="I710" s="272"/>
      <c r="J710" s="272"/>
      <c r="K710" s="272"/>
      <c r="L710" s="272"/>
      <c r="M710" s="272"/>
      <c r="N710" s="272"/>
      <c r="O710" s="272"/>
      <c r="P710" s="272"/>
      <c r="Q710" s="272"/>
      <c r="R710" s="272"/>
      <c r="S710" s="272"/>
      <c r="T710" s="272"/>
      <c r="U710" s="272"/>
      <c r="V710" s="272"/>
      <c r="W710" s="272"/>
      <c r="X710" s="272"/>
      <c r="Y710" s="272"/>
      <c r="Z710" s="272"/>
    </row>
    <row r="711" ht="15.75" customHeight="1">
      <c r="A711" s="272"/>
      <c r="B711" s="272"/>
      <c r="C711" s="272"/>
      <c r="D711" s="272"/>
      <c r="E711" s="272"/>
      <c r="F711" s="272"/>
      <c r="G711" s="272"/>
      <c r="H711" s="272"/>
      <c r="I711" s="272"/>
      <c r="J711" s="272"/>
      <c r="K711" s="272"/>
      <c r="L711" s="272"/>
      <c r="M711" s="272"/>
      <c r="N711" s="272"/>
      <c r="O711" s="272"/>
      <c r="P711" s="272"/>
      <c r="Q711" s="272"/>
      <c r="R711" s="272"/>
      <c r="S711" s="272"/>
      <c r="T711" s="272"/>
      <c r="U711" s="272"/>
      <c r="V711" s="272"/>
      <c r="W711" s="272"/>
      <c r="X711" s="272"/>
      <c r="Y711" s="272"/>
      <c r="Z711" s="272"/>
    </row>
    <row r="712" ht="15.75" customHeight="1">
      <c r="A712" s="272"/>
      <c r="B712" s="272"/>
      <c r="C712" s="272"/>
      <c r="D712" s="272"/>
      <c r="E712" s="272"/>
      <c r="F712" s="272"/>
      <c r="G712" s="272"/>
      <c r="H712" s="272"/>
      <c r="I712" s="272"/>
      <c r="J712" s="272"/>
      <c r="K712" s="272"/>
      <c r="L712" s="272"/>
      <c r="M712" s="272"/>
      <c r="N712" s="272"/>
      <c r="O712" s="272"/>
      <c r="P712" s="272"/>
      <c r="Q712" s="272"/>
      <c r="R712" s="272"/>
      <c r="S712" s="272"/>
      <c r="T712" s="272"/>
      <c r="U712" s="272"/>
      <c r="V712" s="272"/>
      <c r="W712" s="272"/>
      <c r="X712" s="272"/>
      <c r="Y712" s="272"/>
      <c r="Z712" s="272"/>
    </row>
    <row r="713" ht="15.75" customHeight="1">
      <c r="A713" s="272"/>
      <c r="B713" s="272"/>
      <c r="C713" s="272"/>
      <c r="D713" s="272"/>
      <c r="E713" s="272"/>
      <c r="F713" s="272"/>
      <c r="G713" s="272"/>
      <c r="H713" s="272"/>
      <c r="I713" s="272"/>
      <c r="J713" s="272"/>
      <c r="K713" s="272"/>
      <c r="L713" s="272"/>
      <c r="M713" s="272"/>
      <c r="N713" s="272"/>
      <c r="O713" s="272"/>
      <c r="P713" s="272"/>
      <c r="Q713" s="272"/>
      <c r="R713" s="272"/>
      <c r="S713" s="272"/>
      <c r="T713" s="272"/>
      <c r="U713" s="272"/>
      <c r="V713" s="272"/>
      <c r="W713" s="272"/>
      <c r="X713" s="272"/>
      <c r="Y713" s="272"/>
      <c r="Z713" s="272"/>
    </row>
    <row r="714" ht="15.75" customHeight="1">
      <c r="A714" s="272"/>
      <c r="B714" s="272"/>
      <c r="C714" s="272"/>
      <c r="D714" s="272"/>
      <c r="E714" s="272"/>
      <c r="F714" s="272"/>
      <c r="G714" s="272"/>
      <c r="H714" s="272"/>
      <c r="I714" s="272"/>
      <c r="J714" s="272"/>
      <c r="K714" s="272"/>
      <c r="L714" s="272"/>
      <c r="M714" s="272"/>
      <c r="N714" s="272"/>
      <c r="O714" s="272"/>
      <c r="P714" s="272"/>
      <c r="Q714" s="272"/>
      <c r="R714" s="272"/>
      <c r="S714" s="272"/>
      <c r="T714" s="272"/>
      <c r="U714" s="272"/>
      <c r="V714" s="272"/>
      <c r="W714" s="272"/>
      <c r="X714" s="272"/>
      <c r="Y714" s="272"/>
      <c r="Z714" s="272"/>
    </row>
    <row r="715" ht="15.75" customHeight="1">
      <c r="A715" s="272"/>
      <c r="B715" s="272"/>
      <c r="C715" s="272"/>
      <c r="D715" s="272"/>
      <c r="E715" s="272"/>
      <c r="F715" s="272"/>
      <c r="G715" s="272"/>
      <c r="H715" s="272"/>
      <c r="I715" s="272"/>
      <c r="J715" s="272"/>
      <c r="K715" s="272"/>
      <c r="L715" s="272"/>
      <c r="M715" s="272"/>
      <c r="N715" s="272"/>
      <c r="O715" s="272"/>
      <c r="P715" s="272"/>
      <c r="Q715" s="272"/>
      <c r="R715" s="272"/>
      <c r="S715" s="272"/>
      <c r="T715" s="272"/>
      <c r="U715" s="272"/>
      <c r="V715" s="272"/>
      <c r="W715" s="272"/>
      <c r="X715" s="272"/>
      <c r="Y715" s="272"/>
      <c r="Z715" s="272"/>
    </row>
    <row r="716" ht="15.75" customHeight="1">
      <c r="A716" s="272"/>
      <c r="B716" s="272"/>
      <c r="C716" s="272"/>
      <c r="D716" s="272"/>
      <c r="E716" s="272"/>
      <c r="F716" s="272"/>
      <c r="G716" s="272"/>
      <c r="H716" s="272"/>
      <c r="I716" s="272"/>
      <c r="J716" s="272"/>
      <c r="K716" s="272"/>
      <c r="L716" s="272"/>
      <c r="M716" s="272"/>
      <c r="N716" s="272"/>
      <c r="O716" s="272"/>
      <c r="P716" s="272"/>
      <c r="Q716" s="272"/>
      <c r="R716" s="272"/>
      <c r="S716" s="272"/>
      <c r="T716" s="272"/>
      <c r="U716" s="272"/>
      <c r="V716" s="272"/>
      <c r="W716" s="272"/>
      <c r="X716" s="272"/>
      <c r="Y716" s="272"/>
      <c r="Z716" s="272"/>
    </row>
    <row r="717" ht="15.75" customHeight="1">
      <c r="A717" s="272"/>
      <c r="B717" s="272"/>
      <c r="C717" s="272"/>
      <c r="D717" s="272"/>
      <c r="E717" s="272"/>
      <c r="F717" s="272"/>
      <c r="G717" s="272"/>
      <c r="H717" s="272"/>
      <c r="I717" s="272"/>
      <c r="J717" s="272"/>
      <c r="K717" s="272"/>
      <c r="L717" s="272"/>
      <c r="M717" s="272"/>
      <c r="N717" s="272"/>
      <c r="O717" s="272"/>
      <c r="P717" s="272"/>
      <c r="Q717" s="272"/>
      <c r="R717" s="272"/>
      <c r="S717" s="272"/>
      <c r="T717" s="272"/>
      <c r="U717" s="272"/>
      <c r="V717" s="272"/>
      <c r="W717" s="272"/>
      <c r="X717" s="272"/>
      <c r="Y717" s="272"/>
      <c r="Z717" s="272"/>
    </row>
    <row r="718" ht="15.75" customHeight="1">
      <c r="A718" s="272"/>
      <c r="B718" s="272"/>
      <c r="C718" s="272"/>
      <c r="D718" s="272"/>
      <c r="E718" s="272"/>
      <c r="F718" s="272"/>
      <c r="G718" s="272"/>
      <c r="H718" s="272"/>
      <c r="I718" s="272"/>
      <c r="J718" s="272"/>
      <c r="K718" s="272"/>
      <c r="L718" s="272"/>
      <c r="M718" s="272"/>
      <c r="N718" s="272"/>
      <c r="O718" s="272"/>
      <c r="P718" s="272"/>
      <c r="Q718" s="272"/>
      <c r="R718" s="272"/>
      <c r="S718" s="272"/>
      <c r="T718" s="272"/>
      <c r="U718" s="272"/>
      <c r="V718" s="272"/>
      <c r="W718" s="272"/>
      <c r="X718" s="272"/>
      <c r="Y718" s="272"/>
      <c r="Z718" s="272"/>
    </row>
    <row r="719" ht="15.75" customHeight="1">
      <c r="A719" s="272"/>
      <c r="B719" s="272"/>
      <c r="C719" s="272"/>
      <c r="D719" s="272"/>
      <c r="E719" s="272"/>
      <c r="F719" s="272"/>
      <c r="G719" s="272"/>
      <c r="H719" s="272"/>
      <c r="I719" s="272"/>
      <c r="J719" s="272"/>
      <c r="K719" s="272"/>
      <c r="L719" s="272"/>
      <c r="M719" s="272"/>
      <c r="N719" s="272"/>
      <c r="O719" s="272"/>
      <c r="P719" s="272"/>
      <c r="Q719" s="272"/>
      <c r="R719" s="272"/>
      <c r="S719" s="272"/>
      <c r="T719" s="272"/>
      <c r="U719" s="272"/>
      <c r="V719" s="272"/>
      <c r="W719" s="272"/>
      <c r="X719" s="272"/>
      <c r="Y719" s="272"/>
      <c r="Z719" s="272"/>
    </row>
    <row r="720" ht="15.75" customHeight="1">
      <c r="A720" s="272"/>
      <c r="B720" s="272"/>
      <c r="C720" s="272"/>
      <c r="D720" s="272"/>
      <c r="E720" s="272"/>
      <c r="F720" s="272"/>
      <c r="G720" s="272"/>
      <c r="H720" s="272"/>
      <c r="I720" s="272"/>
      <c r="J720" s="272"/>
      <c r="K720" s="272"/>
      <c r="L720" s="272"/>
      <c r="M720" s="272"/>
      <c r="N720" s="272"/>
      <c r="O720" s="272"/>
      <c r="P720" s="272"/>
      <c r="Q720" s="272"/>
      <c r="R720" s="272"/>
      <c r="S720" s="272"/>
      <c r="T720" s="272"/>
      <c r="U720" s="272"/>
      <c r="V720" s="272"/>
      <c r="W720" s="272"/>
      <c r="X720" s="272"/>
      <c r="Y720" s="272"/>
      <c r="Z720" s="272"/>
    </row>
    <row r="721" ht="15.75" customHeight="1">
      <c r="A721" s="272"/>
      <c r="B721" s="272"/>
      <c r="C721" s="272"/>
      <c r="D721" s="272"/>
      <c r="E721" s="272"/>
      <c r="F721" s="272"/>
      <c r="G721" s="272"/>
      <c r="H721" s="272"/>
      <c r="I721" s="272"/>
      <c r="J721" s="272"/>
      <c r="K721" s="272"/>
      <c r="L721" s="272"/>
      <c r="M721" s="272"/>
      <c r="N721" s="272"/>
      <c r="O721" s="272"/>
      <c r="P721" s="272"/>
      <c r="Q721" s="272"/>
      <c r="R721" s="272"/>
      <c r="S721" s="272"/>
      <c r="T721" s="272"/>
      <c r="U721" s="272"/>
      <c r="V721" s="272"/>
      <c r="W721" s="272"/>
      <c r="X721" s="272"/>
      <c r="Y721" s="272"/>
      <c r="Z721" s="272"/>
    </row>
    <row r="722" ht="15.75" customHeight="1">
      <c r="A722" s="272"/>
      <c r="B722" s="272"/>
      <c r="C722" s="272"/>
      <c r="D722" s="272"/>
      <c r="E722" s="272"/>
      <c r="F722" s="272"/>
      <c r="G722" s="272"/>
      <c r="H722" s="272"/>
      <c r="I722" s="272"/>
      <c r="J722" s="272"/>
      <c r="K722" s="272"/>
      <c r="L722" s="272"/>
      <c r="M722" s="272"/>
      <c r="N722" s="272"/>
      <c r="O722" s="272"/>
      <c r="P722" s="272"/>
      <c r="Q722" s="272"/>
      <c r="R722" s="272"/>
      <c r="S722" s="272"/>
      <c r="T722" s="272"/>
      <c r="U722" s="272"/>
      <c r="V722" s="272"/>
      <c r="W722" s="272"/>
      <c r="X722" s="272"/>
      <c r="Y722" s="272"/>
      <c r="Z722" s="272"/>
    </row>
    <row r="723" ht="15.75" customHeight="1">
      <c r="A723" s="272"/>
      <c r="B723" s="272"/>
      <c r="C723" s="272"/>
      <c r="D723" s="272"/>
      <c r="E723" s="272"/>
      <c r="F723" s="272"/>
      <c r="G723" s="272"/>
      <c r="H723" s="272"/>
      <c r="I723" s="272"/>
      <c r="J723" s="272"/>
      <c r="K723" s="272"/>
      <c r="L723" s="272"/>
      <c r="M723" s="272"/>
      <c r="N723" s="272"/>
      <c r="O723" s="272"/>
      <c r="P723" s="272"/>
      <c r="Q723" s="272"/>
      <c r="R723" s="272"/>
      <c r="S723" s="272"/>
      <c r="T723" s="272"/>
      <c r="U723" s="272"/>
      <c r="V723" s="272"/>
      <c r="W723" s="272"/>
      <c r="X723" s="272"/>
      <c r="Y723" s="272"/>
      <c r="Z723" s="272"/>
    </row>
    <row r="724" ht="15.75" customHeight="1">
      <c r="A724" s="272"/>
      <c r="B724" s="272"/>
      <c r="C724" s="272"/>
      <c r="D724" s="272"/>
      <c r="E724" s="272"/>
      <c r="F724" s="272"/>
      <c r="G724" s="272"/>
      <c r="H724" s="272"/>
      <c r="I724" s="272"/>
      <c r="J724" s="272"/>
      <c r="K724" s="272"/>
      <c r="L724" s="272"/>
      <c r="M724" s="272"/>
      <c r="N724" s="272"/>
      <c r="O724" s="272"/>
      <c r="P724" s="272"/>
      <c r="Q724" s="272"/>
      <c r="R724" s="272"/>
      <c r="S724" s="272"/>
      <c r="T724" s="272"/>
      <c r="U724" s="272"/>
      <c r="V724" s="272"/>
      <c r="W724" s="272"/>
      <c r="X724" s="272"/>
      <c r="Y724" s="272"/>
      <c r="Z724" s="272"/>
    </row>
    <row r="725" ht="15.75" customHeight="1">
      <c r="A725" s="272"/>
      <c r="B725" s="272"/>
      <c r="C725" s="272"/>
      <c r="D725" s="272"/>
      <c r="E725" s="272"/>
      <c r="F725" s="272"/>
      <c r="G725" s="272"/>
      <c r="H725" s="272"/>
      <c r="I725" s="272"/>
      <c r="J725" s="272"/>
      <c r="K725" s="272"/>
      <c r="L725" s="272"/>
      <c r="M725" s="272"/>
      <c r="N725" s="272"/>
      <c r="O725" s="272"/>
      <c r="P725" s="272"/>
      <c r="Q725" s="272"/>
      <c r="R725" s="272"/>
      <c r="S725" s="272"/>
      <c r="T725" s="272"/>
      <c r="U725" s="272"/>
      <c r="V725" s="272"/>
      <c r="W725" s="272"/>
      <c r="X725" s="272"/>
      <c r="Y725" s="272"/>
      <c r="Z725" s="272"/>
    </row>
    <row r="726" ht="15.75" customHeight="1">
      <c r="A726" s="272"/>
      <c r="B726" s="272"/>
      <c r="C726" s="272"/>
      <c r="D726" s="272"/>
      <c r="E726" s="272"/>
      <c r="F726" s="272"/>
      <c r="G726" s="272"/>
      <c r="H726" s="272"/>
      <c r="I726" s="272"/>
      <c r="J726" s="272"/>
      <c r="K726" s="272"/>
      <c r="L726" s="272"/>
      <c r="M726" s="272"/>
      <c r="N726" s="272"/>
      <c r="O726" s="272"/>
      <c r="P726" s="272"/>
      <c r="Q726" s="272"/>
      <c r="R726" s="272"/>
      <c r="S726" s="272"/>
      <c r="T726" s="272"/>
      <c r="U726" s="272"/>
      <c r="V726" s="272"/>
      <c r="W726" s="272"/>
      <c r="X726" s="272"/>
      <c r="Y726" s="272"/>
      <c r="Z726" s="272"/>
    </row>
    <row r="727" ht="15.75" customHeight="1">
      <c r="A727" s="272"/>
      <c r="B727" s="272"/>
      <c r="C727" s="272"/>
      <c r="D727" s="272"/>
      <c r="E727" s="272"/>
      <c r="F727" s="272"/>
      <c r="G727" s="272"/>
      <c r="H727" s="272"/>
      <c r="I727" s="272"/>
      <c r="J727" s="272"/>
      <c r="K727" s="272"/>
      <c r="L727" s="272"/>
      <c r="M727" s="272"/>
      <c r="N727" s="272"/>
      <c r="O727" s="272"/>
      <c r="P727" s="272"/>
      <c r="Q727" s="272"/>
      <c r="R727" s="272"/>
      <c r="S727" s="272"/>
      <c r="T727" s="272"/>
      <c r="U727" s="272"/>
      <c r="V727" s="272"/>
      <c r="W727" s="272"/>
      <c r="X727" s="272"/>
      <c r="Y727" s="272"/>
      <c r="Z727" s="272"/>
    </row>
    <row r="728" ht="15.75" customHeight="1">
      <c r="A728" s="272"/>
      <c r="B728" s="272"/>
      <c r="C728" s="272"/>
      <c r="D728" s="272"/>
      <c r="E728" s="272"/>
      <c r="F728" s="272"/>
      <c r="G728" s="272"/>
      <c r="H728" s="272"/>
      <c r="I728" s="272"/>
      <c r="J728" s="272"/>
      <c r="K728" s="272"/>
      <c r="L728" s="272"/>
      <c r="M728" s="272"/>
      <c r="N728" s="272"/>
      <c r="O728" s="272"/>
      <c r="P728" s="272"/>
      <c r="Q728" s="272"/>
      <c r="R728" s="272"/>
      <c r="S728" s="272"/>
      <c r="T728" s="272"/>
      <c r="U728" s="272"/>
      <c r="V728" s="272"/>
      <c r="W728" s="272"/>
      <c r="X728" s="272"/>
      <c r="Y728" s="272"/>
      <c r="Z728" s="272"/>
    </row>
    <row r="729" ht="15.75" customHeight="1">
      <c r="A729" s="272"/>
      <c r="B729" s="272"/>
      <c r="C729" s="272"/>
      <c r="D729" s="272"/>
      <c r="E729" s="272"/>
      <c r="F729" s="272"/>
      <c r="G729" s="272"/>
      <c r="H729" s="272"/>
      <c r="I729" s="272"/>
      <c r="J729" s="272"/>
      <c r="K729" s="272"/>
      <c r="L729" s="272"/>
      <c r="M729" s="272"/>
      <c r="N729" s="272"/>
      <c r="O729" s="272"/>
      <c r="P729" s="272"/>
      <c r="Q729" s="272"/>
      <c r="R729" s="272"/>
      <c r="S729" s="272"/>
      <c r="T729" s="272"/>
      <c r="U729" s="272"/>
      <c r="V729" s="272"/>
      <c r="W729" s="272"/>
      <c r="X729" s="272"/>
      <c r="Y729" s="272"/>
      <c r="Z729" s="272"/>
    </row>
    <row r="730" ht="15.75" customHeight="1">
      <c r="A730" s="272"/>
      <c r="B730" s="272"/>
      <c r="C730" s="272"/>
      <c r="D730" s="272"/>
      <c r="E730" s="272"/>
      <c r="F730" s="272"/>
      <c r="G730" s="272"/>
      <c r="H730" s="272"/>
      <c r="I730" s="272"/>
      <c r="J730" s="272"/>
      <c r="K730" s="272"/>
      <c r="L730" s="272"/>
      <c r="M730" s="272"/>
      <c r="N730" s="272"/>
      <c r="O730" s="272"/>
      <c r="P730" s="272"/>
      <c r="Q730" s="272"/>
      <c r="R730" s="272"/>
      <c r="S730" s="272"/>
      <c r="T730" s="272"/>
      <c r="U730" s="272"/>
      <c r="V730" s="272"/>
      <c r="W730" s="272"/>
      <c r="X730" s="272"/>
      <c r="Y730" s="272"/>
      <c r="Z730" s="272"/>
    </row>
    <row r="731" ht="15.75" customHeight="1">
      <c r="A731" s="272"/>
      <c r="B731" s="272"/>
      <c r="C731" s="272"/>
      <c r="D731" s="272"/>
      <c r="E731" s="272"/>
      <c r="F731" s="272"/>
      <c r="G731" s="272"/>
      <c r="H731" s="272"/>
      <c r="I731" s="272"/>
      <c r="J731" s="272"/>
      <c r="K731" s="272"/>
      <c r="L731" s="272"/>
      <c r="M731" s="272"/>
      <c r="N731" s="272"/>
      <c r="O731" s="272"/>
      <c r="P731" s="272"/>
      <c r="Q731" s="272"/>
      <c r="R731" s="272"/>
      <c r="S731" s="272"/>
      <c r="T731" s="272"/>
      <c r="U731" s="272"/>
      <c r="V731" s="272"/>
      <c r="W731" s="272"/>
      <c r="X731" s="272"/>
      <c r="Y731" s="272"/>
      <c r="Z731" s="272"/>
    </row>
    <row r="732" ht="15.75" customHeight="1">
      <c r="A732" s="272"/>
      <c r="B732" s="272"/>
      <c r="C732" s="272"/>
      <c r="D732" s="272"/>
      <c r="E732" s="272"/>
      <c r="F732" s="272"/>
      <c r="G732" s="272"/>
      <c r="H732" s="272"/>
      <c r="I732" s="272"/>
      <c r="J732" s="272"/>
      <c r="K732" s="272"/>
      <c r="L732" s="272"/>
      <c r="M732" s="272"/>
      <c r="N732" s="272"/>
      <c r="O732" s="272"/>
      <c r="P732" s="272"/>
      <c r="Q732" s="272"/>
      <c r="R732" s="272"/>
      <c r="S732" s="272"/>
      <c r="T732" s="272"/>
      <c r="U732" s="272"/>
      <c r="V732" s="272"/>
      <c r="W732" s="272"/>
      <c r="X732" s="272"/>
      <c r="Y732" s="272"/>
      <c r="Z732" s="272"/>
    </row>
    <row r="733" ht="15.75" customHeight="1">
      <c r="A733" s="272"/>
      <c r="B733" s="272"/>
      <c r="C733" s="272"/>
      <c r="D733" s="272"/>
      <c r="E733" s="272"/>
      <c r="F733" s="272"/>
      <c r="G733" s="272"/>
      <c r="H733" s="272"/>
      <c r="I733" s="272"/>
      <c r="J733" s="272"/>
      <c r="K733" s="272"/>
      <c r="L733" s="272"/>
      <c r="M733" s="272"/>
      <c r="N733" s="272"/>
      <c r="O733" s="272"/>
      <c r="P733" s="272"/>
      <c r="Q733" s="272"/>
      <c r="R733" s="272"/>
      <c r="S733" s="272"/>
      <c r="T733" s="272"/>
      <c r="U733" s="272"/>
      <c r="V733" s="272"/>
      <c r="W733" s="272"/>
      <c r="X733" s="272"/>
      <c r="Y733" s="272"/>
      <c r="Z733" s="272"/>
    </row>
    <row r="734" ht="15.75" customHeight="1">
      <c r="A734" s="272"/>
      <c r="B734" s="272"/>
      <c r="C734" s="272"/>
      <c r="D734" s="272"/>
      <c r="E734" s="272"/>
      <c r="F734" s="272"/>
      <c r="G734" s="272"/>
      <c r="H734" s="272"/>
      <c r="I734" s="272"/>
      <c r="J734" s="272"/>
      <c r="K734" s="272"/>
      <c r="L734" s="272"/>
      <c r="M734" s="272"/>
      <c r="N734" s="272"/>
      <c r="O734" s="272"/>
      <c r="P734" s="272"/>
      <c r="Q734" s="272"/>
      <c r="R734" s="272"/>
      <c r="S734" s="272"/>
      <c r="T734" s="272"/>
      <c r="U734" s="272"/>
      <c r="V734" s="272"/>
      <c r="W734" s="272"/>
      <c r="X734" s="272"/>
      <c r="Y734" s="272"/>
      <c r="Z734" s="272"/>
    </row>
    <row r="735" ht="15.75" customHeight="1">
      <c r="A735" s="272"/>
      <c r="B735" s="272"/>
      <c r="C735" s="272"/>
      <c r="D735" s="272"/>
      <c r="E735" s="272"/>
      <c r="F735" s="272"/>
      <c r="G735" s="272"/>
      <c r="H735" s="272"/>
      <c r="I735" s="272"/>
      <c r="J735" s="272"/>
      <c r="K735" s="272"/>
      <c r="L735" s="272"/>
      <c r="M735" s="272"/>
      <c r="N735" s="272"/>
      <c r="O735" s="272"/>
      <c r="P735" s="272"/>
      <c r="Q735" s="272"/>
      <c r="R735" s="272"/>
      <c r="S735" s="272"/>
      <c r="T735" s="272"/>
      <c r="U735" s="272"/>
      <c r="V735" s="272"/>
      <c r="W735" s="272"/>
      <c r="X735" s="272"/>
      <c r="Y735" s="272"/>
      <c r="Z735" s="272"/>
    </row>
    <row r="736" ht="15.75" customHeight="1">
      <c r="A736" s="272"/>
      <c r="B736" s="272"/>
      <c r="C736" s="272"/>
      <c r="D736" s="272"/>
      <c r="E736" s="272"/>
      <c r="F736" s="272"/>
      <c r="G736" s="272"/>
      <c r="H736" s="272"/>
      <c r="I736" s="272"/>
      <c r="J736" s="272"/>
      <c r="K736" s="272"/>
      <c r="L736" s="272"/>
      <c r="M736" s="272"/>
      <c r="N736" s="272"/>
      <c r="O736" s="272"/>
      <c r="P736" s="272"/>
      <c r="Q736" s="272"/>
      <c r="R736" s="272"/>
      <c r="S736" s="272"/>
      <c r="T736" s="272"/>
      <c r="U736" s="272"/>
      <c r="V736" s="272"/>
      <c r="W736" s="272"/>
      <c r="X736" s="272"/>
      <c r="Y736" s="272"/>
      <c r="Z736" s="272"/>
    </row>
    <row r="737" ht="15.75" customHeight="1">
      <c r="A737" s="272"/>
      <c r="B737" s="272"/>
      <c r="C737" s="272"/>
      <c r="D737" s="272"/>
      <c r="E737" s="272"/>
      <c r="F737" s="272"/>
      <c r="G737" s="272"/>
      <c r="H737" s="272"/>
      <c r="I737" s="272"/>
      <c r="J737" s="272"/>
      <c r="K737" s="272"/>
      <c r="L737" s="272"/>
      <c r="M737" s="272"/>
      <c r="N737" s="272"/>
      <c r="O737" s="272"/>
      <c r="P737" s="272"/>
      <c r="Q737" s="272"/>
      <c r="R737" s="272"/>
      <c r="S737" s="272"/>
      <c r="T737" s="272"/>
      <c r="U737" s="272"/>
      <c r="V737" s="272"/>
      <c r="W737" s="272"/>
      <c r="X737" s="272"/>
      <c r="Y737" s="272"/>
      <c r="Z737" s="272"/>
    </row>
    <row r="738" ht="15.75" customHeight="1">
      <c r="A738" s="272"/>
      <c r="B738" s="272"/>
      <c r="C738" s="272"/>
      <c r="D738" s="272"/>
      <c r="E738" s="272"/>
      <c r="F738" s="272"/>
      <c r="G738" s="272"/>
      <c r="H738" s="272"/>
      <c r="I738" s="272"/>
      <c r="J738" s="272"/>
      <c r="K738" s="272"/>
      <c r="L738" s="272"/>
      <c r="M738" s="272"/>
      <c r="N738" s="272"/>
      <c r="O738" s="272"/>
      <c r="P738" s="272"/>
      <c r="Q738" s="272"/>
      <c r="R738" s="272"/>
      <c r="S738" s="272"/>
      <c r="T738" s="272"/>
      <c r="U738" s="272"/>
      <c r="V738" s="272"/>
      <c r="W738" s="272"/>
      <c r="X738" s="272"/>
      <c r="Y738" s="272"/>
      <c r="Z738" s="272"/>
    </row>
    <row r="739" ht="15.75" customHeight="1">
      <c r="A739" s="272"/>
      <c r="B739" s="272"/>
      <c r="C739" s="272"/>
      <c r="D739" s="272"/>
      <c r="E739" s="272"/>
      <c r="F739" s="272"/>
      <c r="G739" s="272"/>
      <c r="H739" s="272"/>
      <c r="I739" s="272"/>
      <c r="J739" s="272"/>
      <c r="K739" s="272"/>
      <c r="L739" s="272"/>
      <c r="M739" s="272"/>
      <c r="N739" s="272"/>
      <c r="O739" s="272"/>
      <c r="P739" s="272"/>
      <c r="Q739" s="272"/>
      <c r="R739" s="272"/>
      <c r="S739" s="272"/>
      <c r="T739" s="272"/>
      <c r="U739" s="272"/>
      <c r="V739" s="272"/>
      <c r="W739" s="272"/>
      <c r="X739" s="272"/>
      <c r="Y739" s="272"/>
      <c r="Z739" s="272"/>
    </row>
    <row r="740" ht="15.75" customHeight="1">
      <c r="A740" s="272"/>
      <c r="B740" s="272"/>
      <c r="C740" s="272"/>
      <c r="D740" s="272"/>
      <c r="E740" s="272"/>
      <c r="F740" s="272"/>
      <c r="G740" s="272"/>
      <c r="H740" s="272"/>
      <c r="I740" s="272"/>
      <c r="J740" s="272"/>
      <c r="K740" s="272"/>
      <c r="L740" s="272"/>
      <c r="M740" s="272"/>
      <c r="N740" s="272"/>
      <c r="O740" s="272"/>
      <c r="P740" s="272"/>
      <c r="Q740" s="272"/>
      <c r="R740" s="272"/>
      <c r="S740" s="272"/>
      <c r="T740" s="272"/>
      <c r="U740" s="272"/>
      <c r="V740" s="272"/>
      <c r="W740" s="272"/>
      <c r="X740" s="272"/>
      <c r="Y740" s="272"/>
      <c r="Z740" s="272"/>
    </row>
    <row r="741" ht="15.75" customHeight="1">
      <c r="A741" s="272"/>
      <c r="B741" s="272"/>
      <c r="C741" s="272"/>
      <c r="D741" s="272"/>
      <c r="E741" s="272"/>
      <c r="F741" s="272"/>
      <c r="G741" s="272"/>
      <c r="H741" s="272"/>
      <c r="I741" s="272"/>
      <c r="J741" s="272"/>
      <c r="K741" s="272"/>
      <c r="L741" s="272"/>
      <c r="M741" s="272"/>
      <c r="N741" s="272"/>
      <c r="O741" s="272"/>
      <c r="P741" s="272"/>
      <c r="Q741" s="272"/>
      <c r="R741" s="272"/>
      <c r="S741" s="272"/>
      <c r="T741" s="272"/>
      <c r="U741" s="272"/>
      <c r="V741" s="272"/>
      <c r="W741" s="272"/>
      <c r="X741" s="272"/>
      <c r="Y741" s="272"/>
      <c r="Z741" s="272"/>
    </row>
    <row r="742" ht="15.75" customHeight="1">
      <c r="A742" s="272"/>
      <c r="B742" s="272"/>
      <c r="C742" s="272"/>
      <c r="D742" s="272"/>
      <c r="E742" s="272"/>
      <c r="F742" s="272"/>
      <c r="G742" s="272"/>
      <c r="H742" s="272"/>
      <c r="I742" s="272"/>
      <c r="J742" s="272"/>
      <c r="K742" s="272"/>
      <c r="L742" s="272"/>
      <c r="M742" s="272"/>
      <c r="N742" s="272"/>
      <c r="O742" s="272"/>
      <c r="P742" s="272"/>
      <c r="Q742" s="272"/>
      <c r="R742" s="272"/>
      <c r="S742" s="272"/>
      <c r="T742" s="272"/>
      <c r="U742" s="272"/>
      <c r="V742" s="272"/>
      <c r="W742" s="272"/>
      <c r="X742" s="272"/>
      <c r="Y742" s="272"/>
      <c r="Z742" s="272"/>
    </row>
    <row r="743" ht="15.75" customHeight="1">
      <c r="A743" s="272"/>
      <c r="B743" s="272"/>
      <c r="C743" s="272"/>
      <c r="D743" s="272"/>
      <c r="E743" s="272"/>
      <c r="F743" s="272"/>
      <c r="G743" s="272"/>
      <c r="H743" s="272"/>
      <c r="I743" s="272"/>
      <c r="J743" s="272"/>
      <c r="K743" s="272"/>
      <c r="L743" s="272"/>
      <c r="M743" s="272"/>
      <c r="N743" s="272"/>
      <c r="O743" s="272"/>
      <c r="P743" s="272"/>
      <c r="Q743" s="272"/>
      <c r="R743" s="272"/>
      <c r="S743" s="272"/>
      <c r="T743" s="272"/>
      <c r="U743" s="272"/>
      <c r="V743" s="272"/>
      <c r="W743" s="272"/>
      <c r="X743" s="272"/>
      <c r="Y743" s="272"/>
      <c r="Z743" s="272"/>
    </row>
    <row r="744" ht="15.75" customHeight="1">
      <c r="A744" s="272"/>
      <c r="B744" s="272"/>
      <c r="C744" s="272"/>
      <c r="D744" s="272"/>
      <c r="E744" s="272"/>
      <c r="F744" s="272"/>
      <c r="G744" s="272"/>
      <c r="H744" s="272"/>
      <c r="I744" s="272"/>
      <c r="J744" s="272"/>
      <c r="K744" s="272"/>
      <c r="L744" s="272"/>
      <c r="M744" s="272"/>
      <c r="N744" s="272"/>
      <c r="O744" s="272"/>
      <c r="P744" s="272"/>
      <c r="Q744" s="272"/>
      <c r="R744" s="272"/>
      <c r="S744" s="272"/>
      <c r="T744" s="272"/>
      <c r="U744" s="272"/>
      <c r="V744" s="272"/>
      <c r="W744" s="272"/>
      <c r="X744" s="272"/>
      <c r="Y744" s="272"/>
      <c r="Z744" s="272"/>
    </row>
    <row r="745" ht="15.75" customHeight="1">
      <c r="A745" s="272"/>
      <c r="B745" s="272"/>
      <c r="C745" s="272"/>
      <c r="D745" s="272"/>
      <c r="E745" s="272"/>
      <c r="F745" s="272"/>
      <c r="G745" s="272"/>
      <c r="H745" s="272"/>
      <c r="I745" s="272"/>
      <c r="J745" s="272"/>
      <c r="K745" s="272"/>
      <c r="L745" s="272"/>
      <c r="M745" s="272"/>
      <c r="N745" s="272"/>
      <c r="O745" s="272"/>
      <c r="P745" s="272"/>
      <c r="Q745" s="272"/>
      <c r="R745" s="272"/>
      <c r="S745" s="272"/>
      <c r="T745" s="272"/>
      <c r="U745" s="272"/>
      <c r="V745" s="272"/>
      <c r="W745" s="272"/>
      <c r="X745" s="272"/>
      <c r="Y745" s="272"/>
      <c r="Z745" s="272"/>
    </row>
    <row r="746" ht="15.75" customHeight="1">
      <c r="A746" s="272"/>
      <c r="B746" s="272"/>
      <c r="C746" s="272"/>
      <c r="D746" s="272"/>
      <c r="E746" s="272"/>
      <c r="F746" s="272"/>
      <c r="G746" s="272"/>
      <c r="H746" s="272"/>
      <c r="I746" s="272"/>
      <c r="J746" s="272"/>
      <c r="K746" s="272"/>
      <c r="L746" s="272"/>
      <c r="M746" s="272"/>
      <c r="N746" s="272"/>
      <c r="O746" s="272"/>
      <c r="P746" s="272"/>
      <c r="Q746" s="272"/>
      <c r="R746" s="272"/>
      <c r="S746" s="272"/>
      <c r="T746" s="272"/>
      <c r="U746" s="272"/>
      <c r="V746" s="272"/>
      <c r="W746" s="272"/>
      <c r="X746" s="272"/>
      <c r="Y746" s="272"/>
      <c r="Z746" s="272"/>
    </row>
    <row r="747" ht="15.75" customHeight="1">
      <c r="A747" s="272"/>
      <c r="B747" s="272"/>
      <c r="C747" s="272"/>
      <c r="D747" s="272"/>
      <c r="E747" s="272"/>
      <c r="F747" s="272"/>
      <c r="G747" s="272"/>
      <c r="H747" s="272"/>
      <c r="I747" s="272"/>
      <c r="J747" s="272"/>
      <c r="K747" s="272"/>
      <c r="L747" s="272"/>
      <c r="M747" s="272"/>
      <c r="N747" s="272"/>
      <c r="O747" s="272"/>
      <c r="P747" s="272"/>
      <c r="Q747" s="272"/>
      <c r="R747" s="272"/>
      <c r="S747" s="272"/>
      <c r="T747" s="272"/>
      <c r="U747" s="272"/>
      <c r="V747" s="272"/>
      <c r="W747" s="272"/>
      <c r="X747" s="272"/>
      <c r="Y747" s="272"/>
      <c r="Z747" s="272"/>
    </row>
    <row r="748" ht="15.75" customHeight="1">
      <c r="A748" s="272"/>
      <c r="B748" s="272"/>
      <c r="C748" s="272"/>
      <c r="D748" s="272"/>
      <c r="E748" s="272"/>
      <c r="F748" s="272"/>
      <c r="G748" s="272"/>
      <c r="H748" s="272"/>
      <c r="I748" s="272"/>
      <c r="J748" s="272"/>
      <c r="K748" s="272"/>
      <c r="L748" s="272"/>
      <c r="M748" s="272"/>
      <c r="N748" s="272"/>
      <c r="O748" s="272"/>
      <c r="P748" s="272"/>
      <c r="Q748" s="272"/>
      <c r="R748" s="272"/>
      <c r="S748" s="272"/>
      <c r="T748" s="272"/>
      <c r="U748" s="272"/>
      <c r="V748" s="272"/>
      <c r="W748" s="272"/>
      <c r="X748" s="272"/>
      <c r="Y748" s="272"/>
      <c r="Z748" s="272"/>
    </row>
    <row r="749" ht="15.75" customHeight="1">
      <c r="A749" s="272"/>
      <c r="B749" s="272"/>
      <c r="C749" s="272"/>
      <c r="D749" s="272"/>
      <c r="E749" s="272"/>
      <c r="F749" s="272"/>
      <c r="G749" s="272"/>
      <c r="H749" s="272"/>
      <c r="I749" s="272"/>
      <c r="J749" s="272"/>
      <c r="K749" s="272"/>
      <c r="L749" s="272"/>
      <c r="M749" s="272"/>
      <c r="N749" s="272"/>
      <c r="O749" s="272"/>
      <c r="P749" s="272"/>
      <c r="Q749" s="272"/>
      <c r="R749" s="272"/>
      <c r="S749" s="272"/>
      <c r="T749" s="272"/>
      <c r="U749" s="272"/>
      <c r="V749" s="272"/>
      <c r="W749" s="272"/>
      <c r="X749" s="272"/>
      <c r="Y749" s="272"/>
      <c r="Z749" s="272"/>
    </row>
    <row r="750" ht="15.75" customHeight="1">
      <c r="A750" s="272"/>
      <c r="B750" s="272"/>
      <c r="C750" s="272"/>
      <c r="D750" s="272"/>
      <c r="E750" s="272"/>
      <c r="F750" s="272"/>
      <c r="G750" s="272"/>
      <c r="H750" s="272"/>
      <c r="I750" s="272"/>
      <c r="J750" s="272"/>
      <c r="K750" s="272"/>
      <c r="L750" s="272"/>
      <c r="M750" s="272"/>
      <c r="N750" s="272"/>
      <c r="O750" s="272"/>
      <c r="P750" s="272"/>
      <c r="Q750" s="272"/>
      <c r="R750" s="272"/>
      <c r="S750" s="272"/>
      <c r="T750" s="272"/>
      <c r="U750" s="272"/>
      <c r="V750" s="272"/>
      <c r="W750" s="272"/>
      <c r="X750" s="272"/>
      <c r="Y750" s="272"/>
      <c r="Z750" s="272"/>
    </row>
    <row r="751" ht="15.75" customHeight="1">
      <c r="A751" s="272"/>
      <c r="B751" s="272"/>
      <c r="C751" s="272"/>
      <c r="D751" s="272"/>
      <c r="E751" s="272"/>
      <c r="F751" s="272"/>
      <c r="G751" s="272"/>
      <c r="H751" s="272"/>
      <c r="I751" s="272"/>
      <c r="J751" s="272"/>
      <c r="K751" s="272"/>
      <c r="L751" s="272"/>
      <c r="M751" s="272"/>
      <c r="N751" s="272"/>
      <c r="O751" s="272"/>
      <c r="P751" s="272"/>
      <c r="Q751" s="272"/>
      <c r="R751" s="272"/>
      <c r="S751" s="272"/>
      <c r="T751" s="272"/>
      <c r="U751" s="272"/>
      <c r="V751" s="272"/>
      <c r="W751" s="272"/>
      <c r="X751" s="272"/>
      <c r="Y751" s="272"/>
      <c r="Z751" s="272"/>
    </row>
    <row r="752" ht="15.75" customHeight="1">
      <c r="A752" s="272"/>
      <c r="B752" s="272"/>
      <c r="C752" s="272"/>
      <c r="D752" s="272"/>
      <c r="E752" s="272"/>
      <c r="F752" s="272"/>
      <c r="G752" s="272"/>
      <c r="H752" s="272"/>
      <c r="I752" s="272"/>
      <c r="J752" s="272"/>
      <c r="K752" s="272"/>
      <c r="L752" s="272"/>
      <c r="M752" s="272"/>
      <c r="N752" s="272"/>
      <c r="O752" s="272"/>
      <c r="P752" s="272"/>
      <c r="Q752" s="272"/>
      <c r="R752" s="272"/>
      <c r="S752" s="272"/>
      <c r="T752" s="272"/>
      <c r="U752" s="272"/>
      <c r="V752" s="272"/>
      <c r="W752" s="272"/>
      <c r="X752" s="272"/>
      <c r="Y752" s="272"/>
      <c r="Z752" s="272"/>
    </row>
    <row r="753" ht="15.75" customHeight="1">
      <c r="A753" s="272"/>
      <c r="B753" s="272"/>
      <c r="C753" s="272"/>
      <c r="D753" s="272"/>
      <c r="E753" s="272"/>
      <c r="F753" s="272"/>
      <c r="G753" s="272"/>
      <c r="H753" s="272"/>
      <c r="I753" s="272"/>
      <c r="J753" s="272"/>
      <c r="K753" s="272"/>
      <c r="L753" s="272"/>
      <c r="M753" s="272"/>
      <c r="N753" s="272"/>
      <c r="O753" s="272"/>
      <c r="P753" s="272"/>
      <c r="Q753" s="272"/>
      <c r="R753" s="272"/>
      <c r="S753" s="272"/>
      <c r="T753" s="272"/>
      <c r="U753" s="272"/>
      <c r="V753" s="272"/>
      <c r="W753" s="272"/>
      <c r="X753" s="272"/>
      <c r="Y753" s="272"/>
      <c r="Z753" s="272"/>
    </row>
    <row r="754" ht="15.75" customHeight="1">
      <c r="A754" s="272"/>
      <c r="B754" s="272"/>
      <c r="C754" s="272"/>
      <c r="D754" s="272"/>
      <c r="E754" s="272"/>
      <c r="F754" s="272"/>
      <c r="G754" s="272"/>
      <c r="H754" s="272"/>
      <c r="I754" s="272"/>
      <c r="J754" s="272"/>
      <c r="K754" s="272"/>
      <c r="L754" s="272"/>
      <c r="M754" s="272"/>
      <c r="N754" s="272"/>
      <c r="O754" s="272"/>
      <c r="P754" s="272"/>
      <c r="Q754" s="272"/>
      <c r="R754" s="272"/>
      <c r="S754" s="272"/>
      <c r="T754" s="272"/>
      <c r="U754" s="272"/>
      <c r="V754" s="272"/>
      <c r="W754" s="272"/>
      <c r="X754" s="272"/>
      <c r="Y754" s="272"/>
      <c r="Z754" s="272"/>
    </row>
    <row r="755" ht="15.75" customHeight="1">
      <c r="A755" s="272"/>
      <c r="B755" s="272"/>
      <c r="C755" s="272"/>
      <c r="D755" s="272"/>
      <c r="E755" s="272"/>
      <c r="F755" s="272"/>
      <c r="G755" s="272"/>
      <c r="H755" s="272"/>
      <c r="I755" s="272"/>
      <c r="J755" s="272"/>
      <c r="K755" s="272"/>
      <c r="L755" s="272"/>
      <c r="M755" s="272"/>
      <c r="N755" s="272"/>
      <c r="O755" s="272"/>
      <c r="P755" s="272"/>
      <c r="Q755" s="272"/>
      <c r="R755" s="272"/>
      <c r="S755" s="272"/>
      <c r="T755" s="272"/>
      <c r="U755" s="272"/>
      <c r="V755" s="272"/>
      <c r="W755" s="272"/>
      <c r="X755" s="272"/>
      <c r="Y755" s="272"/>
      <c r="Z755" s="272"/>
    </row>
    <row r="756" ht="15.75" customHeight="1">
      <c r="A756" s="272"/>
      <c r="B756" s="272"/>
      <c r="C756" s="272"/>
      <c r="D756" s="272"/>
      <c r="E756" s="272"/>
      <c r="F756" s="272"/>
      <c r="G756" s="272"/>
      <c r="H756" s="272"/>
      <c r="I756" s="272"/>
      <c r="J756" s="272"/>
      <c r="K756" s="272"/>
      <c r="L756" s="272"/>
      <c r="M756" s="272"/>
      <c r="N756" s="272"/>
      <c r="O756" s="272"/>
      <c r="P756" s="272"/>
      <c r="Q756" s="272"/>
      <c r="R756" s="272"/>
      <c r="S756" s="272"/>
      <c r="T756" s="272"/>
      <c r="U756" s="272"/>
      <c r="V756" s="272"/>
      <c r="W756" s="272"/>
      <c r="X756" s="272"/>
      <c r="Y756" s="272"/>
      <c r="Z756" s="272"/>
    </row>
    <row r="757" ht="15.75" customHeight="1">
      <c r="A757" s="272"/>
      <c r="B757" s="272"/>
      <c r="C757" s="272"/>
      <c r="D757" s="272"/>
      <c r="E757" s="272"/>
      <c r="F757" s="272"/>
      <c r="G757" s="272"/>
      <c r="H757" s="272"/>
      <c r="I757" s="272"/>
      <c r="J757" s="272"/>
      <c r="K757" s="272"/>
      <c r="L757" s="272"/>
      <c r="M757" s="272"/>
      <c r="N757" s="272"/>
      <c r="O757" s="272"/>
      <c r="P757" s="272"/>
      <c r="Q757" s="272"/>
      <c r="R757" s="272"/>
      <c r="S757" s="272"/>
      <c r="T757" s="272"/>
      <c r="U757" s="272"/>
      <c r="V757" s="272"/>
      <c r="W757" s="272"/>
      <c r="X757" s="272"/>
      <c r="Y757" s="272"/>
      <c r="Z757" s="272"/>
    </row>
    <row r="758" ht="15.75" customHeight="1">
      <c r="A758" s="272"/>
      <c r="B758" s="272"/>
      <c r="C758" s="272"/>
      <c r="D758" s="272"/>
      <c r="E758" s="272"/>
      <c r="F758" s="272"/>
      <c r="G758" s="272"/>
      <c r="H758" s="272"/>
      <c r="I758" s="272"/>
      <c r="J758" s="272"/>
      <c r="K758" s="272"/>
      <c r="L758" s="272"/>
      <c r="M758" s="272"/>
      <c r="N758" s="272"/>
      <c r="O758" s="272"/>
      <c r="P758" s="272"/>
      <c r="Q758" s="272"/>
      <c r="R758" s="272"/>
      <c r="S758" s="272"/>
      <c r="T758" s="272"/>
      <c r="U758" s="272"/>
      <c r="V758" s="272"/>
      <c r="W758" s="272"/>
      <c r="X758" s="272"/>
      <c r="Y758" s="272"/>
      <c r="Z758" s="272"/>
    </row>
    <row r="759" ht="15.75" customHeight="1">
      <c r="A759" s="272"/>
      <c r="B759" s="272"/>
      <c r="C759" s="272"/>
      <c r="D759" s="272"/>
      <c r="E759" s="272"/>
      <c r="F759" s="272"/>
      <c r="G759" s="272"/>
      <c r="H759" s="272"/>
      <c r="I759" s="272"/>
      <c r="J759" s="272"/>
      <c r="K759" s="272"/>
      <c r="L759" s="272"/>
      <c r="M759" s="272"/>
      <c r="N759" s="272"/>
      <c r="O759" s="272"/>
      <c r="P759" s="272"/>
      <c r="Q759" s="272"/>
      <c r="R759" s="272"/>
      <c r="S759" s="272"/>
      <c r="T759" s="272"/>
      <c r="U759" s="272"/>
      <c r="V759" s="272"/>
      <c r="W759" s="272"/>
      <c r="X759" s="272"/>
      <c r="Y759" s="272"/>
      <c r="Z759" s="272"/>
    </row>
    <row r="760" ht="15.75" customHeight="1">
      <c r="A760" s="272"/>
      <c r="B760" s="272"/>
      <c r="C760" s="272"/>
      <c r="D760" s="272"/>
      <c r="E760" s="272"/>
      <c r="F760" s="272"/>
      <c r="G760" s="272"/>
      <c r="H760" s="272"/>
      <c r="I760" s="272"/>
      <c r="J760" s="272"/>
      <c r="K760" s="272"/>
      <c r="L760" s="272"/>
      <c r="M760" s="272"/>
      <c r="N760" s="272"/>
      <c r="O760" s="272"/>
      <c r="P760" s="272"/>
      <c r="Q760" s="272"/>
      <c r="R760" s="272"/>
      <c r="S760" s="272"/>
      <c r="T760" s="272"/>
      <c r="U760" s="272"/>
      <c r="V760" s="272"/>
      <c r="W760" s="272"/>
      <c r="X760" s="272"/>
      <c r="Y760" s="272"/>
      <c r="Z760" s="272"/>
    </row>
    <row r="761" ht="15.75" customHeight="1">
      <c r="A761" s="272"/>
      <c r="B761" s="272"/>
      <c r="C761" s="272"/>
      <c r="D761" s="272"/>
      <c r="E761" s="272"/>
      <c r="F761" s="272"/>
      <c r="G761" s="272"/>
      <c r="H761" s="272"/>
      <c r="I761" s="272"/>
      <c r="J761" s="272"/>
      <c r="K761" s="272"/>
      <c r="L761" s="272"/>
      <c r="M761" s="272"/>
      <c r="N761" s="272"/>
      <c r="O761" s="272"/>
      <c r="P761" s="272"/>
      <c r="Q761" s="272"/>
      <c r="R761" s="272"/>
      <c r="S761" s="272"/>
      <c r="T761" s="272"/>
      <c r="U761" s="272"/>
      <c r="V761" s="272"/>
      <c r="W761" s="272"/>
      <c r="X761" s="272"/>
      <c r="Y761" s="272"/>
      <c r="Z761" s="272"/>
    </row>
    <row r="762" ht="15.75" customHeight="1">
      <c r="A762" s="272"/>
      <c r="B762" s="272"/>
      <c r="C762" s="272"/>
      <c r="D762" s="272"/>
      <c r="E762" s="272"/>
      <c r="F762" s="272"/>
      <c r="G762" s="272"/>
      <c r="H762" s="272"/>
      <c r="I762" s="272"/>
      <c r="J762" s="272"/>
      <c r="K762" s="272"/>
      <c r="L762" s="272"/>
      <c r="M762" s="272"/>
      <c r="N762" s="272"/>
      <c r="O762" s="272"/>
      <c r="P762" s="272"/>
      <c r="Q762" s="272"/>
      <c r="R762" s="272"/>
      <c r="S762" s="272"/>
      <c r="T762" s="272"/>
      <c r="U762" s="272"/>
      <c r="V762" s="272"/>
      <c r="W762" s="272"/>
      <c r="X762" s="272"/>
      <c r="Y762" s="272"/>
      <c r="Z762" s="272"/>
    </row>
    <row r="763" ht="15.75" customHeight="1">
      <c r="A763" s="272"/>
      <c r="B763" s="272"/>
      <c r="C763" s="272"/>
      <c r="D763" s="272"/>
      <c r="E763" s="272"/>
      <c r="F763" s="272"/>
      <c r="G763" s="272"/>
      <c r="H763" s="272"/>
      <c r="I763" s="272"/>
      <c r="J763" s="272"/>
      <c r="K763" s="272"/>
      <c r="L763" s="272"/>
      <c r="M763" s="272"/>
      <c r="N763" s="272"/>
      <c r="O763" s="272"/>
      <c r="P763" s="272"/>
      <c r="Q763" s="272"/>
      <c r="R763" s="272"/>
      <c r="S763" s="272"/>
      <c r="T763" s="272"/>
      <c r="U763" s="272"/>
      <c r="V763" s="272"/>
      <c r="W763" s="272"/>
      <c r="X763" s="272"/>
      <c r="Y763" s="272"/>
      <c r="Z763" s="272"/>
    </row>
    <row r="764" ht="15.75" customHeight="1">
      <c r="A764" s="272"/>
      <c r="B764" s="272"/>
      <c r="C764" s="272"/>
      <c r="D764" s="272"/>
      <c r="E764" s="272"/>
      <c r="F764" s="272"/>
      <c r="G764" s="272"/>
      <c r="H764" s="272"/>
      <c r="I764" s="272"/>
      <c r="J764" s="272"/>
      <c r="K764" s="272"/>
      <c r="L764" s="272"/>
      <c r="M764" s="272"/>
      <c r="N764" s="272"/>
      <c r="O764" s="272"/>
      <c r="P764" s="272"/>
      <c r="Q764" s="272"/>
      <c r="R764" s="272"/>
      <c r="S764" s="272"/>
      <c r="T764" s="272"/>
      <c r="U764" s="272"/>
      <c r="V764" s="272"/>
      <c r="W764" s="272"/>
      <c r="X764" s="272"/>
      <c r="Y764" s="272"/>
      <c r="Z764" s="272"/>
    </row>
    <row r="765" ht="15.75" customHeight="1">
      <c r="A765" s="272"/>
      <c r="B765" s="272"/>
      <c r="C765" s="272"/>
      <c r="D765" s="272"/>
      <c r="E765" s="272"/>
      <c r="F765" s="272"/>
      <c r="G765" s="272"/>
      <c r="H765" s="272"/>
      <c r="I765" s="272"/>
      <c r="J765" s="272"/>
      <c r="K765" s="272"/>
      <c r="L765" s="272"/>
      <c r="M765" s="272"/>
      <c r="N765" s="272"/>
      <c r="O765" s="272"/>
      <c r="P765" s="272"/>
      <c r="Q765" s="272"/>
      <c r="R765" s="272"/>
      <c r="S765" s="272"/>
      <c r="T765" s="272"/>
      <c r="U765" s="272"/>
      <c r="V765" s="272"/>
      <c r="W765" s="272"/>
      <c r="X765" s="272"/>
      <c r="Y765" s="272"/>
      <c r="Z765" s="272"/>
    </row>
    <row r="766" ht="15.75" customHeight="1">
      <c r="A766" s="272"/>
      <c r="B766" s="272"/>
      <c r="C766" s="272"/>
      <c r="D766" s="272"/>
      <c r="E766" s="272"/>
      <c r="F766" s="272"/>
      <c r="G766" s="272"/>
      <c r="H766" s="272"/>
      <c r="I766" s="272"/>
      <c r="J766" s="272"/>
      <c r="K766" s="272"/>
      <c r="L766" s="272"/>
      <c r="M766" s="272"/>
      <c r="N766" s="272"/>
      <c r="O766" s="272"/>
      <c r="P766" s="272"/>
      <c r="Q766" s="272"/>
      <c r="R766" s="272"/>
      <c r="S766" s="272"/>
      <c r="T766" s="272"/>
      <c r="U766" s="272"/>
      <c r="V766" s="272"/>
      <c r="W766" s="272"/>
      <c r="X766" s="272"/>
      <c r="Y766" s="272"/>
      <c r="Z766" s="272"/>
    </row>
    <row r="767" ht="15.75" customHeight="1">
      <c r="A767" s="272"/>
      <c r="B767" s="272"/>
      <c r="C767" s="272"/>
      <c r="D767" s="272"/>
      <c r="E767" s="272"/>
      <c r="F767" s="272"/>
      <c r="G767" s="272"/>
      <c r="H767" s="272"/>
      <c r="I767" s="272"/>
      <c r="J767" s="272"/>
      <c r="K767" s="272"/>
      <c r="L767" s="272"/>
      <c r="M767" s="272"/>
      <c r="N767" s="272"/>
      <c r="O767" s="272"/>
      <c r="P767" s="272"/>
      <c r="Q767" s="272"/>
      <c r="R767" s="272"/>
      <c r="S767" s="272"/>
      <c r="T767" s="272"/>
      <c r="U767" s="272"/>
      <c r="V767" s="272"/>
      <c r="W767" s="272"/>
      <c r="X767" s="272"/>
      <c r="Y767" s="272"/>
      <c r="Z767" s="272"/>
    </row>
    <row r="768" ht="15.75" customHeight="1">
      <c r="A768" s="272"/>
      <c r="B768" s="272"/>
      <c r="C768" s="272"/>
      <c r="D768" s="272"/>
      <c r="E768" s="272"/>
      <c r="F768" s="272"/>
      <c r="G768" s="272"/>
      <c r="H768" s="272"/>
      <c r="I768" s="272"/>
      <c r="J768" s="272"/>
      <c r="K768" s="272"/>
      <c r="L768" s="272"/>
      <c r="M768" s="272"/>
      <c r="N768" s="272"/>
      <c r="O768" s="272"/>
      <c r="P768" s="272"/>
      <c r="Q768" s="272"/>
      <c r="R768" s="272"/>
      <c r="S768" s="272"/>
      <c r="T768" s="272"/>
      <c r="U768" s="272"/>
      <c r="V768" s="272"/>
      <c r="W768" s="272"/>
      <c r="X768" s="272"/>
      <c r="Y768" s="272"/>
      <c r="Z768" s="272"/>
    </row>
    <row r="769" ht="15.75" customHeight="1">
      <c r="A769" s="272"/>
      <c r="B769" s="272"/>
      <c r="C769" s="272"/>
      <c r="D769" s="272"/>
      <c r="E769" s="272"/>
      <c r="F769" s="272"/>
      <c r="G769" s="272"/>
      <c r="H769" s="272"/>
      <c r="I769" s="272"/>
      <c r="J769" s="272"/>
      <c r="K769" s="272"/>
      <c r="L769" s="272"/>
      <c r="M769" s="272"/>
      <c r="N769" s="272"/>
      <c r="O769" s="272"/>
      <c r="P769" s="272"/>
      <c r="Q769" s="272"/>
      <c r="R769" s="272"/>
      <c r="S769" s="272"/>
      <c r="T769" s="272"/>
      <c r="U769" s="272"/>
      <c r="V769" s="272"/>
      <c r="W769" s="272"/>
      <c r="X769" s="272"/>
      <c r="Y769" s="272"/>
      <c r="Z769" s="272"/>
    </row>
    <row r="770" ht="15.75" customHeight="1">
      <c r="A770" s="272"/>
      <c r="B770" s="272"/>
      <c r="C770" s="272"/>
      <c r="D770" s="272"/>
      <c r="E770" s="272"/>
      <c r="F770" s="272"/>
      <c r="G770" s="272"/>
      <c r="H770" s="272"/>
      <c r="I770" s="272"/>
      <c r="J770" s="272"/>
      <c r="K770" s="272"/>
      <c r="L770" s="272"/>
      <c r="M770" s="272"/>
      <c r="N770" s="272"/>
      <c r="O770" s="272"/>
      <c r="P770" s="272"/>
      <c r="Q770" s="272"/>
      <c r="R770" s="272"/>
      <c r="S770" s="272"/>
      <c r="T770" s="272"/>
      <c r="U770" s="272"/>
      <c r="V770" s="272"/>
      <c r="W770" s="272"/>
      <c r="X770" s="272"/>
      <c r="Y770" s="272"/>
      <c r="Z770" s="272"/>
    </row>
    <row r="771" ht="15.75" customHeight="1">
      <c r="A771" s="272"/>
      <c r="B771" s="272"/>
      <c r="C771" s="272"/>
      <c r="D771" s="272"/>
      <c r="E771" s="272"/>
      <c r="F771" s="272"/>
      <c r="G771" s="272"/>
      <c r="H771" s="272"/>
      <c r="I771" s="272"/>
      <c r="J771" s="272"/>
      <c r="K771" s="272"/>
      <c r="L771" s="272"/>
      <c r="M771" s="272"/>
      <c r="N771" s="272"/>
      <c r="O771" s="272"/>
      <c r="P771" s="272"/>
      <c r="Q771" s="272"/>
      <c r="R771" s="272"/>
      <c r="S771" s="272"/>
      <c r="T771" s="272"/>
      <c r="U771" s="272"/>
      <c r="V771" s="272"/>
      <c r="W771" s="272"/>
      <c r="X771" s="272"/>
      <c r="Y771" s="272"/>
      <c r="Z771" s="272"/>
    </row>
    <row r="772" ht="15.75" customHeight="1">
      <c r="A772" s="272"/>
      <c r="B772" s="272"/>
      <c r="C772" s="272"/>
      <c r="D772" s="272"/>
      <c r="E772" s="272"/>
      <c r="F772" s="272"/>
      <c r="G772" s="272"/>
      <c r="H772" s="272"/>
      <c r="I772" s="272"/>
      <c r="J772" s="272"/>
      <c r="K772" s="272"/>
      <c r="L772" s="272"/>
      <c r="M772" s="272"/>
      <c r="N772" s="272"/>
      <c r="O772" s="272"/>
      <c r="P772" s="272"/>
      <c r="Q772" s="272"/>
      <c r="R772" s="272"/>
      <c r="S772" s="272"/>
      <c r="T772" s="272"/>
      <c r="U772" s="272"/>
      <c r="V772" s="272"/>
      <c r="W772" s="272"/>
      <c r="X772" s="272"/>
      <c r="Y772" s="272"/>
      <c r="Z772" s="272"/>
    </row>
    <row r="773" ht="15.75" customHeight="1">
      <c r="A773" s="272"/>
      <c r="B773" s="272"/>
      <c r="C773" s="272"/>
      <c r="D773" s="272"/>
      <c r="E773" s="272"/>
      <c r="F773" s="272"/>
      <c r="G773" s="272"/>
      <c r="H773" s="272"/>
      <c r="I773" s="272"/>
      <c r="J773" s="272"/>
      <c r="K773" s="272"/>
      <c r="L773" s="272"/>
      <c r="M773" s="272"/>
      <c r="N773" s="272"/>
      <c r="O773" s="272"/>
      <c r="P773" s="272"/>
      <c r="Q773" s="272"/>
      <c r="R773" s="272"/>
      <c r="S773" s="272"/>
      <c r="T773" s="272"/>
      <c r="U773" s="272"/>
      <c r="V773" s="272"/>
      <c r="W773" s="272"/>
      <c r="X773" s="272"/>
      <c r="Y773" s="272"/>
      <c r="Z773" s="272"/>
    </row>
    <row r="774" ht="15.75" customHeight="1">
      <c r="A774" s="272"/>
      <c r="B774" s="272"/>
      <c r="C774" s="272"/>
      <c r="D774" s="272"/>
      <c r="E774" s="272"/>
      <c r="F774" s="272"/>
      <c r="G774" s="272"/>
      <c r="H774" s="272"/>
      <c r="I774" s="272"/>
      <c r="J774" s="272"/>
      <c r="K774" s="272"/>
      <c r="L774" s="272"/>
      <c r="M774" s="272"/>
      <c r="N774" s="272"/>
      <c r="O774" s="272"/>
      <c r="P774" s="272"/>
      <c r="Q774" s="272"/>
      <c r="R774" s="272"/>
      <c r="S774" s="272"/>
      <c r="T774" s="272"/>
      <c r="U774" s="272"/>
      <c r="V774" s="272"/>
      <c r="W774" s="272"/>
      <c r="X774" s="272"/>
      <c r="Y774" s="272"/>
      <c r="Z774" s="272"/>
    </row>
    <row r="775" ht="15.75" customHeight="1">
      <c r="A775" s="272"/>
      <c r="B775" s="272"/>
      <c r="C775" s="272"/>
      <c r="D775" s="272"/>
      <c r="E775" s="272"/>
      <c r="F775" s="272"/>
      <c r="G775" s="272"/>
      <c r="H775" s="272"/>
      <c r="I775" s="272"/>
      <c r="J775" s="272"/>
      <c r="K775" s="272"/>
      <c r="L775" s="272"/>
      <c r="M775" s="272"/>
      <c r="N775" s="272"/>
      <c r="O775" s="272"/>
      <c r="P775" s="272"/>
      <c r="Q775" s="272"/>
      <c r="R775" s="272"/>
      <c r="S775" s="272"/>
      <c r="T775" s="272"/>
      <c r="U775" s="272"/>
      <c r="V775" s="272"/>
      <c r="W775" s="272"/>
      <c r="X775" s="272"/>
      <c r="Y775" s="272"/>
      <c r="Z775" s="272"/>
    </row>
    <row r="776" ht="15.75" customHeight="1">
      <c r="A776" s="272"/>
      <c r="B776" s="272"/>
      <c r="C776" s="272"/>
      <c r="D776" s="272"/>
      <c r="E776" s="272"/>
      <c r="F776" s="272"/>
      <c r="G776" s="272"/>
      <c r="H776" s="272"/>
      <c r="I776" s="272"/>
      <c r="J776" s="272"/>
      <c r="K776" s="272"/>
      <c r="L776" s="272"/>
      <c r="M776" s="272"/>
      <c r="N776" s="272"/>
      <c r="O776" s="272"/>
      <c r="P776" s="272"/>
      <c r="Q776" s="272"/>
      <c r="R776" s="272"/>
      <c r="S776" s="272"/>
      <c r="T776" s="272"/>
      <c r="U776" s="272"/>
      <c r="V776" s="272"/>
      <c r="W776" s="272"/>
      <c r="X776" s="272"/>
      <c r="Y776" s="272"/>
      <c r="Z776" s="272"/>
    </row>
    <row r="777" ht="15.75" customHeight="1">
      <c r="A777" s="272"/>
      <c r="B777" s="272"/>
      <c r="C777" s="272"/>
      <c r="D777" s="272"/>
      <c r="E777" s="272"/>
      <c r="F777" s="272"/>
      <c r="G777" s="272"/>
      <c r="H777" s="272"/>
      <c r="I777" s="272"/>
      <c r="J777" s="272"/>
      <c r="K777" s="272"/>
      <c r="L777" s="272"/>
      <c r="M777" s="272"/>
      <c r="N777" s="272"/>
      <c r="O777" s="272"/>
      <c r="P777" s="272"/>
      <c r="Q777" s="272"/>
      <c r="R777" s="272"/>
      <c r="S777" s="272"/>
      <c r="T777" s="272"/>
      <c r="U777" s="272"/>
      <c r="V777" s="272"/>
      <c r="W777" s="272"/>
      <c r="X777" s="272"/>
      <c r="Y777" s="272"/>
      <c r="Z777" s="272"/>
    </row>
    <row r="778" ht="15.75" customHeight="1">
      <c r="A778" s="272"/>
      <c r="B778" s="272"/>
      <c r="C778" s="272"/>
      <c r="D778" s="272"/>
      <c r="E778" s="272"/>
      <c r="F778" s="272"/>
      <c r="G778" s="272"/>
      <c r="H778" s="272"/>
      <c r="I778" s="272"/>
      <c r="J778" s="272"/>
      <c r="K778" s="272"/>
      <c r="L778" s="272"/>
      <c r="M778" s="272"/>
      <c r="N778" s="272"/>
      <c r="O778" s="272"/>
      <c r="P778" s="272"/>
      <c r="Q778" s="272"/>
      <c r="R778" s="272"/>
      <c r="S778" s="272"/>
      <c r="T778" s="272"/>
      <c r="U778" s="272"/>
      <c r="V778" s="272"/>
      <c r="W778" s="272"/>
      <c r="X778" s="272"/>
      <c r="Y778" s="272"/>
      <c r="Z778" s="272"/>
    </row>
    <row r="779" ht="15.75" customHeight="1">
      <c r="A779" s="272"/>
      <c r="B779" s="272"/>
      <c r="C779" s="272"/>
      <c r="D779" s="272"/>
      <c r="E779" s="272"/>
      <c r="F779" s="272"/>
      <c r="G779" s="272"/>
      <c r="H779" s="272"/>
      <c r="I779" s="272"/>
      <c r="J779" s="272"/>
      <c r="K779" s="272"/>
      <c r="L779" s="272"/>
      <c r="M779" s="272"/>
      <c r="N779" s="272"/>
      <c r="O779" s="272"/>
      <c r="P779" s="272"/>
      <c r="Q779" s="272"/>
      <c r="R779" s="272"/>
      <c r="S779" s="272"/>
      <c r="T779" s="272"/>
      <c r="U779" s="272"/>
      <c r="V779" s="272"/>
      <c r="W779" s="272"/>
      <c r="X779" s="272"/>
      <c r="Y779" s="272"/>
      <c r="Z779" s="272"/>
    </row>
    <row r="780" ht="15.75" customHeight="1">
      <c r="A780" s="272"/>
      <c r="B780" s="272"/>
      <c r="C780" s="272"/>
      <c r="D780" s="272"/>
      <c r="E780" s="272"/>
      <c r="F780" s="272"/>
      <c r="G780" s="272"/>
      <c r="H780" s="272"/>
      <c r="I780" s="272"/>
      <c r="J780" s="272"/>
      <c r="K780" s="272"/>
      <c r="L780" s="272"/>
      <c r="M780" s="272"/>
      <c r="N780" s="272"/>
      <c r="O780" s="272"/>
      <c r="P780" s="272"/>
      <c r="Q780" s="272"/>
      <c r="R780" s="272"/>
      <c r="S780" s="272"/>
      <c r="T780" s="272"/>
      <c r="U780" s="272"/>
      <c r="V780" s="272"/>
      <c r="W780" s="272"/>
      <c r="X780" s="272"/>
      <c r="Y780" s="272"/>
      <c r="Z780" s="272"/>
    </row>
    <row r="781" ht="15.75" customHeight="1">
      <c r="A781" s="272"/>
      <c r="B781" s="272"/>
      <c r="C781" s="272"/>
      <c r="D781" s="272"/>
      <c r="E781" s="272"/>
      <c r="F781" s="272"/>
      <c r="G781" s="272"/>
      <c r="H781" s="272"/>
      <c r="I781" s="272"/>
      <c r="J781" s="272"/>
      <c r="K781" s="272"/>
      <c r="L781" s="272"/>
      <c r="M781" s="272"/>
      <c r="N781" s="272"/>
      <c r="O781" s="272"/>
      <c r="P781" s="272"/>
      <c r="Q781" s="272"/>
      <c r="R781" s="272"/>
      <c r="S781" s="272"/>
      <c r="T781" s="272"/>
      <c r="U781" s="272"/>
      <c r="V781" s="272"/>
      <c r="W781" s="272"/>
      <c r="X781" s="272"/>
      <c r="Y781" s="272"/>
      <c r="Z781" s="272"/>
    </row>
    <row r="782" ht="15.75" customHeight="1">
      <c r="A782" s="272"/>
      <c r="B782" s="272"/>
      <c r="C782" s="272"/>
      <c r="D782" s="272"/>
      <c r="E782" s="272"/>
      <c r="F782" s="272"/>
      <c r="G782" s="272"/>
      <c r="H782" s="272"/>
      <c r="I782" s="272"/>
      <c r="J782" s="272"/>
      <c r="K782" s="272"/>
      <c r="L782" s="272"/>
      <c r="M782" s="272"/>
      <c r="N782" s="272"/>
      <c r="O782" s="272"/>
      <c r="P782" s="272"/>
      <c r="Q782" s="272"/>
      <c r="R782" s="272"/>
      <c r="S782" s="272"/>
      <c r="T782" s="272"/>
      <c r="U782" s="272"/>
      <c r="V782" s="272"/>
      <c r="W782" s="272"/>
      <c r="X782" s="272"/>
      <c r="Y782" s="272"/>
      <c r="Z782" s="272"/>
    </row>
    <row r="783" ht="15.75" customHeight="1">
      <c r="A783" s="272"/>
      <c r="B783" s="272"/>
      <c r="C783" s="272"/>
      <c r="D783" s="272"/>
      <c r="E783" s="272"/>
      <c r="F783" s="272"/>
      <c r="G783" s="272"/>
      <c r="H783" s="272"/>
      <c r="I783" s="272"/>
      <c r="J783" s="272"/>
      <c r="K783" s="272"/>
      <c r="L783" s="272"/>
      <c r="M783" s="272"/>
      <c r="N783" s="272"/>
      <c r="O783" s="272"/>
      <c r="P783" s="272"/>
      <c r="Q783" s="272"/>
      <c r="R783" s="272"/>
      <c r="S783" s="272"/>
      <c r="T783" s="272"/>
      <c r="U783" s="272"/>
      <c r="V783" s="272"/>
      <c r="W783" s="272"/>
      <c r="X783" s="272"/>
      <c r="Y783" s="272"/>
      <c r="Z783" s="272"/>
    </row>
    <row r="784" ht="15.75" customHeight="1">
      <c r="A784" s="272"/>
      <c r="B784" s="272"/>
      <c r="C784" s="272"/>
      <c r="D784" s="272"/>
      <c r="E784" s="272"/>
      <c r="F784" s="272"/>
      <c r="G784" s="272"/>
      <c r="H784" s="272"/>
      <c r="I784" s="272"/>
      <c r="J784" s="272"/>
      <c r="K784" s="272"/>
      <c r="L784" s="272"/>
      <c r="M784" s="272"/>
      <c r="N784" s="272"/>
      <c r="O784" s="272"/>
      <c r="P784" s="272"/>
      <c r="Q784" s="272"/>
      <c r="R784" s="272"/>
      <c r="S784" s="272"/>
      <c r="T784" s="272"/>
      <c r="U784" s="272"/>
      <c r="V784" s="272"/>
      <c r="W784" s="272"/>
      <c r="X784" s="272"/>
      <c r="Y784" s="272"/>
      <c r="Z784" s="272"/>
    </row>
    <row r="785" ht="15.75" customHeight="1">
      <c r="A785" s="272"/>
      <c r="B785" s="272"/>
      <c r="C785" s="272"/>
      <c r="D785" s="272"/>
      <c r="E785" s="272"/>
      <c r="F785" s="272"/>
      <c r="G785" s="272"/>
      <c r="H785" s="272"/>
      <c r="I785" s="272"/>
      <c r="J785" s="272"/>
      <c r="K785" s="272"/>
      <c r="L785" s="272"/>
      <c r="M785" s="272"/>
      <c r="N785" s="272"/>
      <c r="O785" s="272"/>
      <c r="P785" s="272"/>
      <c r="Q785" s="272"/>
      <c r="R785" s="272"/>
      <c r="S785" s="272"/>
      <c r="T785" s="272"/>
      <c r="U785" s="272"/>
      <c r="V785" s="272"/>
      <c r="W785" s="272"/>
      <c r="X785" s="272"/>
      <c r="Y785" s="272"/>
      <c r="Z785" s="272"/>
    </row>
    <row r="786" ht="15.75" customHeight="1">
      <c r="A786" s="272"/>
      <c r="B786" s="272"/>
      <c r="C786" s="272"/>
      <c r="D786" s="272"/>
      <c r="E786" s="272"/>
      <c r="F786" s="272"/>
      <c r="G786" s="272"/>
      <c r="H786" s="272"/>
      <c r="I786" s="272"/>
      <c r="J786" s="272"/>
      <c r="K786" s="272"/>
      <c r="L786" s="272"/>
      <c r="M786" s="272"/>
      <c r="N786" s="272"/>
      <c r="O786" s="272"/>
      <c r="P786" s="272"/>
      <c r="Q786" s="272"/>
      <c r="R786" s="272"/>
      <c r="S786" s="272"/>
      <c r="T786" s="272"/>
      <c r="U786" s="272"/>
      <c r="V786" s="272"/>
      <c r="W786" s="272"/>
      <c r="X786" s="272"/>
      <c r="Y786" s="272"/>
      <c r="Z786" s="272"/>
    </row>
    <row r="787" ht="15.75" customHeight="1">
      <c r="A787" s="272"/>
      <c r="B787" s="272"/>
      <c r="C787" s="272"/>
      <c r="D787" s="272"/>
      <c r="E787" s="272"/>
      <c r="F787" s="272"/>
      <c r="G787" s="272"/>
      <c r="H787" s="272"/>
      <c r="I787" s="272"/>
      <c r="J787" s="272"/>
      <c r="K787" s="272"/>
      <c r="L787" s="272"/>
      <c r="M787" s="272"/>
      <c r="N787" s="272"/>
      <c r="O787" s="272"/>
      <c r="P787" s="272"/>
      <c r="Q787" s="272"/>
      <c r="R787" s="272"/>
      <c r="S787" s="272"/>
      <c r="T787" s="272"/>
      <c r="U787" s="272"/>
      <c r="V787" s="272"/>
      <c r="W787" s="272"/>
      <c r="X787" s="272"/>
      <c r="Y787" s="272"/>
      <c r="Z787" s="272"/>
    </row>
    <row r="788" ht="15.75" customHeight="1">
      <c r="A788" s="272"/>
      <c r="B788" s="272"/>
      <c r="C788" s="272"/>
      <c r="D788" s="272"/>
      <c r="E788" s="272"/>
      <c r="F788" s="272"/>
      <c r="G788" s="272"/>
      <c r="H788" s="272"/>
      <c r="I788" s="272"/>
      <c r="J788" s="272"/>
      <c r="K788" s="272"/>
      <c r="L788" s="272"/>
      <c r="M788" s="272"/>
      <c r="N788" s="272"/>
      <c r="O788" s="272"/>
      <c r="P788" s="272"/>
      <c r="Q788" s="272"/>
      <c r="R788" s="272"/>
      <c r="S788" s="272"/>
      <c r="T788" s="272"/>
      <c r="U788" s="272"/>
      <c r="V788" s="272"/>
      <c r="W788" s="272"/>
      <c r="X788" s="272"/>
      <c r="Y788" s="272"/>
      <c r="Z788" s="272"/>
    </row>
    <row r="789" ht="15.75" customHeight="1">
      <c r="A789" s="272"/>
      <c r="B789" s="272"/>
      <c r="C789" s="272"/>
      <c r="D789" s="272"/>
      <c r="E789" s="272"/>
      <c r="F789" s="272"/>
      <c r="G789" s="272"/>
      <c r="H789" s="272"/>
      <c r="I789" s="272"/>
      <c r="J789" s="272"/>
      <c r="K789" s="272"/>
      <c r="L789" s="272"/>
      <c r="M789" s="272"/>
      <c r="N789" s="272"/>
      <c r="O789" s="272"/>
      <c r="P789" s="272"/>
      <c r="Q789" s="272"/>
      <c r="R789" s="272"/>
      <c r="S789" s="272"/>
      <c r="T789" s="272"/>
      <c r="U789" s="272"/>
      <c r="V789" s="272"/>
      <c r="W789" s="272"/>
      <c r="X789" s="272"/>
      <c r="Y789" s="272"/>
      <c r="Z789" s="272"/>
    </row>
    <row r="790" ht="15.75" customHeight="1">
      <c r="A790" s="272"/>
      <c r="B790" s="272"/>
      <c r="C790" s="272"/>
      <c r="D790" s="272"/>
      <c r="E790" s="272"/>
      <c r="F790" s="272"/>
      <c r="G790" s="272"/>
      <c r="H790" s="272"/>
      <c r="I790" s="272"/>
      <c r="J790" s="272"/>
      <c r="K790" s="272"/>
      <c r="L790" s="272"/>
      <c r="M790" s="272"/>
      <c r="N790" s="272"/>
      <c r="O790" s="272"/>
      <c r="P790" s="272"/>
      <c r="Q790" s="272"/>
      <c r="R790" s="272"/>
      <c r="S790" s="272"/>
      <c r="T790" s="272"/>
      <c r="U790" s="272"/>
      <c r="V790" s="272"/>
      <c r="W790" s="272"/>
      <c r="X790" s="272"/>
      <c r="Y790" s="272"/>
      <c r="Z790" s="272"/>
    </row>
    <row r="791" ht="15.75" customHeight="1">
      <c r="A791" s="272"/>
      <c r="B791" s="272"/>
      <c r="C791" s="272"/>
      <c r="D791" s="272"/>
      <c r="E791" s="272"/>
      <c r="F791" s="272"/>
      <c r="G791" s="272"/>
      <c r="H791" s="272"/>
      <c r="I791" s="272"/>
      <c r="J791" s="272"/>
      <c r="K791" s="272"/>
      <c r="L791" s="272"/>
      <c r="M791" s="272"/>
      <c r="N791" s="272"/>
      <c r="O791" s="272"/>
      <c r="P791" s="272"/>
      <c r="Q791" s="272"/>
      <c r="R791" s="272"/>
      <c r="S791" s="272"/>
      <c r="T791" s="272"/>
      <c r="U791" s="272"/>
      <c r="V791" s="272"/>
      <c r="W791" s="272"/>
      <c r="X791" s="272"/>
      <c r="Y791" s="272"/>
      <c r="Z791" s="272"/>
    </row>
    <row r="792" ht="15.75" customHeight="1">
      <c r="A792" s="272"/>
      <c r="B792" s="272"/>
      <c r="C792" s="272"/>
      <c r="D792" s="272"/>
      <c r="E792" s="272"/>
      <c r="F792" s="272"/>
      <c r="G792" s="272"/>
      <c r="H792" s="272"/>
      <c r="I792" s="272"/>
      <c r="J792" s="272"/>
      <c r="K792" s="272"/>
      <c r="L792" s="272"/>
      <c r="M792" s="272"/>
      <c r="N792" s="272"/>
      <c r="O792" s="272"/>
      <c r="P792" s="272"/>
      <c r="Q792" s="272"/>
      <c r="R792" s="272"/>
      <c r="S792" s="272"/>
      <c r="T792" s="272"/>
      <c r="U792" s="272"/>
      <c r="V792" s="272"/>
      <c r="W792" s="272"/>
      <c r="X792" s="272"/>
      <c r="Y792" s="272"/>
      <c r="Z792" s="272"/>
    </row>
    <row r="793" ht="15.75" customHeight="1">
      <c r="A793" s="272"/>
      <c r="B793" s="272"/>
      <c r="C793" s="272"/>
      <c r="D793" s="272"/>
      <c r="E793" s="272"/>
      <c r="F793" s="272"/>
      <c r="G793" s="272"/>
      <c r="H793" s="272"/>
      <c r="I793" s="272"/>
      <c r="J793" s="272"/>
      <c r="K793" s="272"/>
      <c r="L793" s="272"/>
      <c r="M793" s="272"/>
      <c r="N793" s="272"/>
      <c r="O793" s="272"/>
      <c r="P793" s="272"/>
      <c r="Q793" s="272"/>
      <c r="R793" s="272"/>
      <c r="S793" s="272"/>
      <c r="T793" s="272"/>
      <c r="U793" s="272"/>
      <c r="V793" s="272"/>
      <c r="W793" s="272"/>
      <c r="X793" s="272"/>
      <c r="Y793" s="272"/>
      <c r="Z793" s="272"/>
    </row>
    <row r="794" ht="15.75" customHeight="1">
      <c r="A794" s="272"/>
      <c r="B794" s="272"/>
      <c r="C794" s="272"/>
      <c r="D794" s="272"/>
      <c r="E794" s="272"/>
      <c r="F794" s="272"/>
      <c r="G794" s="272"/>
      <c r="H794" s="272"/>
      <c r="I794" s="272"/>
      <c r="J794" s="272"/>
      <c r="K794" s="272"/>
      <c r="L794" s="272"/>
      <c r="M794" s="272"/>
      <c r="N794" s="272"/>
      <c r="O794" s="272"/>
      <c r="P794" s="272"/>
      <c r="Q794" s="272"/>
      <c r="R794" s="272"/>
      <c r="S794" s="272"/>
      <c r="T794" s="272"/>
      <c r="U794" s="272"/>
      <c r="V794" s="272"/>
      <c r="W794" s="272"/>
      <c r="X794" s="272"/>
      <c r="Y794" s="272"/>
      <c r="Z794" s="272"/>
    </row>
    <row r="795" ht="15.75" customHeight="1">
      <c r="A795" s="272"/>
      <c r="B795" s="272"/>
      <c r="C795" s="272"/>
      <c r="D795" s="272"/>
      <c r="E795" s="272"/>
      <c r="F795" s="272"/>
      <c r="G795" s="272"/>
      <c r="H795" s="272"/>
      <c r="I795" s="272"/>
      <c r="J795" s="272"/>
      <c r="K795" s="272"/>
      <c r="L795" s="272"/>
      <c r="M795" s="272"/>
      <c r="N795" s="272"/>
      <c r="O795" s="272"/>
      <c r="P795" s="272"/>
      <c r="Q795" s="272"/>
      <c r="R795" s="272"/>
      <c r="S795" s="272"/>
      <c r="T795" s="272"/>
      <c r="U795" s="272"/>
      <c r="V795" s="272"/>
      <c r="W795" s="272"/>
      <c r="X795" s="272"/>
      <c r="Y795" s="272"/>
      <c r="Z795" s="272"/>
    </row>
    <row r="796" ht="15.75" customHeight="1">
      <c r="A796" s="272"/>
      <c r="B796" s="272"/>
      <c r="C796" s="272"/>
      <c r="D796" s="272"/>
      <c r="E796" s="272"/>
      <c r="F796" s="272"/>
      <c r="G796" s="272"/>
      <c r="H796" s="272"/>
      <c r="I796" s="272"/>
      <c r="J796" s="272"/>
      <c r="K796" s="272"/>
      <c r="L796" s="272"/>
      <c r="M796" s="272"/>
      <c r="N796" s="272"/>
      <c r="O796" s="272"/>
      <c r="P796" s="272"/>
      <c r="Q796" s="272"/>
      <c r="R796" s="272"/>
      <c r="S796" s="272"/>
      <c r="T796" s="272"/>
      <c r="U796" s="272"/>
      <c r="V796" s="272"/>
      <c r="W796" s="272"/>
      <c r="X796" s="272"/>
      <c r="Y796" s="272"/>
      <c r="Z796" s="272"/>
    </row>
    <row r="797" ht="15.75" customHeight="1">
      <c r="A797" s="272"/>
      <c r="B797" s="272"/>
      <c r="C797" s="272"/>
      <c r="D797" s="272"/>
      <c r="E797" s="272"/>
      <c r="F797" s="272"/>
      <c r="G797" s="272"/>
      <c r="H797" s="272"/>
      <c r="I797" s="272"/>
      <c r="J797" s="272"/>
      <c r="K797" s="272"/>
      <c r="L797" s="272"/>
      <c r="M797" s="272"/>
      <c r="N797" s="272"/>
      <c r="O797" s="272"/>
      <c r="P797" s="272"/>
      <c r="Q797" s="272"/>
      <c r="R797" s="272"/>
      <c r="S797" s="272"/>
      <c r="T797" s="272"/>
      <c r="U797" s="272"/>
      <c r="V797" s="272"/>
      <c r="W797" s="272"/>
      <c r="X797" s="272"/>
      <c r="Y797" s="272"/>
      <c r="Z797" s="272"/>
    </row>
    <row r="798" ht="15.75" customHeight="1">
      <c r="A798" s="272"/>
      <c r="B798" s="272"/>
      <c r="C798" s="272"/>
      <c r="D798" s="272"/>
      <c r="E798" s="272"/>
      <c r="F798" s="272"/>
      <c r="G798" s="272"/>
      <c r="H798" s="272"/>
      <c r="I798" s="272"/>
      <c r="J798" s="272"/>
      <c r="K798" s="272"/>
      <c r="L798" s="272"/>
      <c r="M798" s="272"/>
      <c r="N798" s="272"/>
      <c r="O798" s="272"/>
      <c r="P798" s="272"/>
      <c r="Q798" s="272"/>
      <c r="R798" s="272"/>
      <c r="S798" s="272"/>
      <c r="T798" s="272"/>
      <c r="U798" s="272"/>
      <c r="V798" s="272"/>
      <c r="W798" s="272"/>
      <c r="X798" s="272"/>
      <c r="Y798" s="272"/>
      <c r="Z798" s="272"/>
    </row>
    <row r="799" ht="15.75" customHeight="1">
      <c r="A799" s="272"/>
      <c r="B799" s="272"/>
      <c r="C799" s="272"/>
      <c r="D799" s="272"/>
      <c r="E799" s="272"/>
      <c r="F799" s="272"/>
      <c r="G799" s="272"/>
      <c r="H799" s="272"/>
      <c r="I799" s="272"/>
      <c r="J799" s="272"/>
      <c r="K799" s="272"/>
      <c r="L799" s="272"/>
      <c r="M799" s="272"/>
      <c r="N799" s="272"/>
      <c r="O799" s="272"/>
      <c r="P799" s="272"/>
      <c r="Q799" s="272"/>
      <c r="R799" s="272"/>
      <c r="S799" s="272"/>
      <c r="T799" s="272"/>
      <c r="U799" s="272"/>
      <c r="V799" s="272"/>
      <c r="W799" s="272"/>
      <c r="X799" s="272"/>
      <c r="Y799" s="272"/>
      <c r="Z799" s="272"/>
    </row>
    <row r="800" ht="15.75" customHeight="1">
      <c r="A800" s="272"/>
      <c r="B800" s="272"/>
      <c r="C800" s="272"/>
      <c r="D800" s="272"/>
      <c r="E800" s="272"/>
      <c r="F800" s="272"/>
      <c r="G800" s="272"/>
      <c r="H800" s="272"/>
      <c r="I800" s="272"/>
      <c r="J800" s="272"/>
      <c r="K800" s="272"/>
      <c r="L800" s="272"/>
      <c r="M800" s="272"/>
      <c r="N800" s="272"/>
      <c r="O800" s="272"/>
      <c r="P800" s="272"/>
      <c r="Q800" s="272"/>
      <c r="R800" s="272"/>
      <c r="S800" s="272"/>
      <c r="T800" s="272"/>
      <c r="U800" s="272"/>
      <c r="V800" s="272"/>
      <c r="W800" s="272"/>
      <c r="X800" s="272"/>
      <c r="Y800" s="272"/>
      <c r="Z800" s="272"/>
    </row>
    <row r="801" ht="15.75" customHeight="1">
      <c r="A801" s="272"/>
      <c r="B801" s="272"/>
      <c r="C801" s="272"/>
      <c r="D801" s="272"/>
      <c r="E801" s="272"/>
      <c r="F801" s="272"/>
      <c r="G801" s="272"/>
      <c r="H801" s="272"/>
      <c r="I801" s="272"/>
      <c r="J801" s="272"/>
      <c r="K801" s="272"/>
      <c r="L801" s="272"/>
      <c r="M801" s="272"/>
      <c r="N801" s="272"/>
      <c r="O801" s="272"/>
      <c r="P801" s="272"/>
      <c r="Q801" s="272"/>
      <c r="R801" s="272"/>
      <c r="S801" s="272"/>
      <c r="T801" s="272"/>
      <c r="U801" s="272"/>
      <c r="V801" s="272"/>
      <c r="W801" s="272"/>
      <c r="X801" s="272"/>
      <c r="Y801" s="272"/>
      <c r="Z801" s="272"/>
    </row>
    <row r="802" ht="15.75" customHeight="1">
      <c r="A802" s="272"/>
      <c r="B802" s="272"/>
      <c r="C802" s="272"/>
      <c r="D802" s="272"/>
      <c r="E802" s="272"/>
      <c r="F802" s="272"/>
      <c r="G802" s="272"/>
      <c r="H802" s="272"/>
      <c r="I802" s="272"/>
      <c r="J802" s="272"/>
      <c r="K802" s="272"/>
      <c r="L802" s="272"/>
      <c r="M802" s="272"/>
      <c r="N802" s="272"/>
      <c r="O802" s="272"/>
      <c r="P802" s="272"/>
      <c r="Q802" s="272"/>
      <c r="R802" s="272"/>
      <c r="S802" s="272"/>
      <c r="T802" s="272"/>
      <c r="U802" s="272"/>
      <c r="V802" s="272"/>
      <c r="W802" s="272"/>
      <c r="X802" s="272"/>
      <c r="Y802" s="272"/>
      <c r="Z802" s="272"/>
    </row>
    <row r="803" ht="15.75" customHeight="1">
      <c r="A803" s="272"/>
      <c r="B803" s="272"/>
      <c r="C803" s="272"/>
      <c r="D803" s="272"/>
      <c r="E803" s="272"/>
      <c r="F803" s="272"/>
      <c r="G803" s="272"/>
      <c r="H803" s="272"/>
      <c r="I803" s="272"/>
      <c r="J803" s="272"/>
      <c r="K803" s="272"/>
      <c r="L803" s="272"/>
      <c r="M803" s="272"/>
      <c r="N803" s="272"/>
      <c r="O803" s="272"/>
      <c r="P803" s="272"/>
      <c r="Q803" s="272"/>
      <c r="R803" s="272"/>
      <c r="S803" s="272"/>
      <c r="T803" s="272"/>
      <c r="U803" s="272"/>
      <c r="V803" s="272"/>
      <c r="W803" s="272"/>
      <c r="X803" s="272"/>
      <c r="Y803" s="272"/>
      <c r="Z803" s="272"/>
    </row>
    <row r="804" ht="15.75" customHeight="1">
      <c r="A804" s="272"/>
      <c r="B804" s="272"/>
      <c r="C804" s="272"/>
      <c r="D804" s="272"/>
      <c r="E804" s="272"/>
      <c r="F804" s="272"/>
      <c r="G804" s="272"/>
      <c r="H804" s="272"/>
      <c r="I804" s="272"/>
      <c r="J804" s="272"/>
      <c r="K804" s="272"/>
      <c r="L804" s="272"/>
      <c r="M804" s="272"/>
      <c r="N804" s="272"/>
      <c r="O804" s="272"/>
      <c r="P804" s="272"/>
      <c r="Q804" s="272"/>
      <c r="R804" s="272"/>
      <c r="S804" s="272"/>
      <c r="T804" s="272"/>
      <c r="U804" s="272"/>
      <c r="V804" s="272"/>
      <c r="W804" s="272"/>
      <c r="X804" s="272"/>
      <c r="Y804" s="272"/>
      <c r="Z804" s="272"/>
    </row>
    <row r="805" ht="15.75" customHeight="1">
      <c r="A805" s="272"/>
      <c r="B805" s="272"/>
      <c r="C805" s="272"/>
      <c r="D805" s="272"/>
      <c r="E805" s="272"/>
      <c r="F805" s="272"/>
      <c r="G805" s="272"/>
      <c r="H805" s="272"/>
      <c r="I805" s="272"/>
      <c r="J805" s="272"/>
      <c r="K805" s="272"/>
      <c r="L805" s="272"/>
      <c r="M805" s="272"/>
      <c r="N805" s="272"/>
      <c r="O805" s="272"/>
      <c r="P805" s="272"/>
      <c r="Q805" s="272"/>
      <c r="R805" s="272"/>
      <c r="S805" s="272"/>
      <c r="T805" s="272"/>
      <c r="U805" s="272"/>
      <c r="V805" s="272"/>
      <c r="W805" s="272"/>
      <c r="X805" s="272"/>
      <c r="Y805" s="272"/>
      <c r="Z805" s="272"/>
    </row>
    <row r="806" ht="15.75" customHeight="1">
      <c r="A806" s="272"/>
      <c r="B806" s="272"/>
      <c r="C806" s="272"/>
      <c r="D806" s="272"/>
      <c r="E806" s="272"/>
      <c r="F806" s="272"/>
      <c r="G806" s="272"/>
      <c r="H806" s="272"/>
      <c r="I806" s="272"/>
      <c r="J806" s="272"/>
      <c r="K806" s="272"/>
      <c r="L806" s="272"/>
      <c r="M806" s="272"/>
      <c r="N806" s="272"/>
      <c r="O806" s="272"/>
      <c r="P806" s="272"/>
      <c r="Q806" s="272"/>
      <c r="R806" s="272"/>
      <c r="S806" s="272"/>
      <c r="T806" s="272"/>
      <c r="U806" s="272"/>
      <c r="V806" s="272"/>
      <c r="W806" s="272"/>
      <c r="X806" s="272"/>
      <c r="Y806" s="272"/>
      <c r="Z806" s="272"/>
    </row>
    <row r="807" ht="15.75" customHeight="1">
      <c r="A807" s="272"/>
      <c r="B807" s="272"/>
      <c r="C807" s="272"/>
      <c r="D807" s="272"/>
      <c r="E807" s="272"/>
      <c r="F807" s="272"/>
      <c r="G807" s="272"/>
      <c r="H807" s="272"/>
      <c r="I807" s="272"/>
      <c r="J807" s="272"/>
      <c r="K807" s="272"/>
      <c r="L807" s="272"/>
      <c r="M807" s="272"/>
      <c r="N807" s="272"/>
      <c r="O807" s="272"/>
      <c r="P807" s="272"/>
      <c r="Q807" s="272"/>
      <c r="R807" s="272"/>
      <c r="S807" s="272"/>
      <c r="T807" s="272"/>
      <c r="U807" s="272"/>
      <c r="V807" s="272"/>
      <c r="W807" s="272"/>
      <c r="X807" s="272"/>
      <c r="Y807" s="272"/>
      <c r="Z807" s="272"/>
    </row>
    <row r="808" ht="15.75" customHeight="1">
      <c r="A808" s="272"/>
      <c r="B808" s="272"/>
      <c r="C808" s="272"/>
      <c r="D808" s="272"/>
      <c r="E808" s="272"/>
      <c r="F808" s="272"/>
      <c r="G808" s="272"/>
      <c r="H808" s="272"/>
      <c r="I808" s="272"/>
      <c r="J808" s="272"/>
      <c r="K808" s="272"/>
      <c r="L808" s="272"/>
      <c r="M808" s="272"/>
      <c r="N808" s="272"/>
      <c r="O808" s="272"/>
      <c r="P808" s="272"/>
      <c r="Q808" s="272"/>
      <c r="R808" s="272"/>
      <c r="S808" s="272"/>
      <c r="T808" s="272"/>
      <c r="U808" s="272"/>
      <c r="V808" s="272"/>
      <c r="W808" s="272"/>
      <c r="X808" s="272"/>
      <c r="Y808" s="272"/>
      <c r="Z808" s="272"/>
    </row>
    <row r="809" ht="15.75" customHeight="1">
      <c r="A809" s="272"/>
      <c r="B809" s="272"/>
      <c r="C809" s="272"/>
      <c r="D809" s="272"/>
      <c r="E809" s="272"/>
      <c r="F809" s="272"/>
      <c r="G809" s="272"/>
      <c r="H809" s="272"/>
      <c r="I809" s="272"/>
      <c r="J809" s="272"/>
      <c r="K809" s="272"/>
      <c r="L809" s="272"/>
      <c r="M809" s="272"/>
      <c r="N809" s="272"/>
      <c r="O809" s="272"/>
      <c r="P809" s="272"/>
      <c r="Q809" s="272"/>
      <c r="R809" s="272"/>
      <c r="S809" s="272"/>
      <c r="T809" s="272"/>
      <c r="U809" s="272"/>
      <c r="V809" s="272"/>
      <c r="W809" s="272"/>
      <c r="X809" s="272"/>
      <c r="Y809" s="272"/>
      <c r="Z809" s="272"/>
    </row>
    <row r="810" ht="15.75" customHeight="1">
      <c r="A810" s="272"/>
      <c r="B810" s="272"/>
      <c r="C810" s="272"/>
      <c r="D810" s="272"/>
      <c r="E810" s="272"/>
      <c r="F810" s="272"/>
      <c r="G810" s="272"/>
      <c r="H810" s="272"/>
      <c r="I810" s="272"/>
      <c r="J810" s="272"/>
      <c r="K810" s="272"/>
      <c r="L810" s="272"/>
      <c r="M810" s="272"/>
      <c r="N810" s="272"/>
      <c r="O810" s="272"/>
      <c r="P810" s="272"/>
      <c r="Q810" s="272"/>
      <c r="R810" s="272"/>
      <c r="S810" s="272"/>
      <c r="T810" s="272"/>
      <c r="U810" s="272"/>
      <c r="V810" s="272"/>
      <c r="W810" s="272"/>
      <c r="X810" s="272"/>
      <c r="Y810" s="272"/>
      <c r="Z810" s="272"/>
    </row>
    <row r="811" ht="15.75" customHeight="1">
      <c r="A811" s="272"/>
      <c r="B811" s="272"/>
      <c r="C811" s="272"/>
      <c r="D811" s="272"/>
      <c r="E811" s="272"/>
      <c r="F811" s="272"/>
      <c r="G811" s="272"/>
      <c r="H811" s="272"/>
      <c r="I811" s="272"/>
      <c r="J811" s="272"/>
      <c r="K811" s="272"/>
      <c r="L811" s="272"/>
      <c r="M811" s="272"/>
      <c r="N811" s="272"/>
      <c r="O811" s="272"/>
      <c r="P811" s="272"/>
      <c r="Q811" s="272"/>
      <c r="R811" s="272"/>
      <c r="S811" s="272"/>
      <c r="T811" s="272"/>
      <c r="U811" s="272"/>
      <c r="V811" s="272"/>
      <c r="W811" s="272"/>
      <c r="X811" s="272"/>
      <c r="Y811" s="272"/>
      <c r="Z811" s="272"/>
    </row>
    <row r="812" ht="15.75" customHeight="1">
      <c r="A812" s="272"/>
      <c r="B812" s="272"/>
      <c r="C812" s="272"/>
      <c r="D812" s="272"/>
      <c r="E812" s="272"/>
      <c r="F812" s="272"/>
      <c r="G812" s="272"/>
      <c r="H812" s="272"/>
      <c r="I812" s="272"/>
      <c r="J812" s="272"/>
      <c r="K812" s="272"/>
      <c r="L812" s="272"/>
      <c r="M812" s="272"/>
      <c r="N812" s="272"/>
      <c r="O812" s="272"/>
      <c r="P812" s="272"/>
      <c r="Q812" s="272"/>
      <c r="R812" s="272"/>
      <c r="S812" s="272"/>
      <c r="T812" s="272"/>
      <c r="U812" s="272"/>
      <c r="V812" s="272"/>
      <c r="W812" s="272"/>
      <c r="X812" s="272"/>
      <c r="Y812" s="272"/>
      <c r="Z812" s="272"/>
    </row>
    <row r="813" ht="15.75" customHeight="1">
      <c r="A813" s="272"/>
      <c r="B813" s="272"/>
      <c r="C813" s="272"/>
      <c r="D813" s="272"/>
      <c r="E813" s="272"/>
      <c r="F813" s="272"/>
      <c r="G813" s="272"/>
      <c r="H813" s="272"/>
      <c r="I813" s="272"/>
      <c r="J813" s="272"/>
      <c r="K813" s="272"/>
      <c r="L813" s="272"/>
      <c r="M813" s="272"/>
      <c r="N813" s="272"/>
      <c r="O813" s="272"/>
      <c r="P813" s="272"/>
      <c r="Q813" s="272"/>
      <c r="R813" s="272"/>
      <c r="S813" s="272"/>
      <c r="T813" s="272"/>
      <c r="U813" s="272"/>
      <c r="V813" s="272"/>
      <c r="W813" s="272"/>
      <c r="X813" s="272"/>
      <c r="Y813" s="272"/>
      <c r="Z813" s="272"/>
    </row>
    <row r="814" ht="15.75" customHeight="1">
      <c r="A814" s="272"/>
      <c r="B814" s="272"/>
      <c r="C814" s="272"/>
      <c r="D814" s="272"/>
      <c r="E814" s="272"/>
      <c r="F814" s="272"/>
      <c r="G814" s="272"/>
      <c r="H814" s="272"/>
      <c r="I814" s="272"/>
      <c r="J814" s="272"/>
      <c r="K814" s="272"/>
      <c r="L814" s="272"/>
      <c r="M814" s="272"/>
      <c r="N814" s="272"/>
      <c r="O814" s="272"/>
      <c r="P814" s="272"/>
      <c r="Q814" s="272"/>
      <c r="R814" s="272"/>
      <c r="S814" s="272"/>
      <c r="T814" s="272"/>
      <c r="U814" s="272"/>
      <c r="V814" s="272"/>
      <c r="W814" s="272"/>
      <c r="X814" s="272"/>
      <c r="Y814" s="272"/>
      <c r="Z814" s="272"/>
    </row>
    <row r="815" ht="15.75" customHeight="1">
      <c r="A815" s="272"/>
      <c r="B815" s="272"/>
      <c r="C815" s="272"/>
      <c r="D815" s="272"/>
      <c r="E815" s="272"/>
      <c r="F815" s="272"/>
      <c r="G815" s="272"/>
      <c r="H815" s="272"/>
      <c r="I815" s="272"/>
      <c r="J815" s="272"/>
      <c r="K815" s="272"/>
      <c r="L815" s="272"/>
      <c r="M815" s="272"/>
      <c r="N815" s="272"/>
      <c r="O815" s="272"/>
      <c r="P815" s="272"/>
      <c r="Q815" s="272"/>
      <c r="R815" s="272"/>
      <c r="S815" s="272"/>
      <c r="T815" s="272"/>
      <c r="U815" s="272"/>
      <c r="V815" s="272"/>
      <c r="W815" s="272"/>
      <c r="X815" s="272"/>
      <c r="Y815" s="272"/>
      <c r="Z815" s="272"/>
    </row>
    <row r="816" ht="15.75" customHeight="1">
      <c r="A816" s="272"/>
      <c r="B816" s="272"/>
      <c r="C816" s="272"/>
      <c r="D816" s="272"/>
      <c r="E816" s="272"/>
      <c r="F816" s="272"/>
      <c r="G816" s="272"/>
      <c r="H816" s="272"/>
      <c r="I816" s="272"/>
      <c r="J816" s="272"/>
      <c r="K816" s="272"/>
      <c r="L816" s="272"/>
      <c r="M816" s="272"/>
      <c r="N816" s="272"/>
      <c r="O816" s="272"/>
      <c r="P816" s="272"/>
      <c r="Q816" s="272"/>
      <c r="R816" s="272"/>
      <c r="S816" s="272"/>
      <c r="T816" s="272"/>
      <c r="U816" s="272"/>
      <c r="V816" s="272"/>
      <c r="W816" s="272"/>
      <c r="X816" s="272"/>
      <c r="Y816" s="272"/>
      <c r="Z816" s="272"/>
    </row>
    <row r="817" ht="15.75" customHeight="1">
      <c r="A817" s="272"/>
      <c r="B817" s="272"/>
      <c r="C817" s="272"/>
      <c r="D817" s="272"/>
      <c r="E817" s="272"/>
      <c r="F817" s="272"/>
      <c r="G817" s="272"/>
      <c r="H817" s="272"/>
      <c r="I817" s="272"/>
      <c r="J817" s="272"/>
      <c r="K817" s="272"/>
      <c r="L817" s="272"/>
      <c r="M817" s="272"/>
      <c r="N817" s="272"/>
      <c r="O817" s="272"/>
      <c r="P817" s="272"/>
      <c r="Q817" s="272"/>
      <c r="R817" s="272"/>
      <c r="S817" s="272"/>
      <c r="T817" s="272"/>
      <c r="U817" s="272"/>
      <c r="V817" s="272"/>
      <c r="W817" s="272"/>
      <c r="X817" s="272"/>
      <c r="Y817" s="272"/>
      <c r="Z817" s="272"/>
    </row>
    <row r="818" ht="15.75" customHeight="1">
      <c r="A818" s="272"/>
      <c r="B818" s="272"/>
      <c r="C818" s="272"/>
      <c r="D818" s="272"/>
      <c r="E818" s="272"/>
      <c r="F818" s="272"/>
      <c r="G818" s="272"/>
      <c r="H818" s="272"/>
      <c r="I818" s="272"/>
      <c r="J818" s="272"/>
      <c r="K818" s="272"/>
      <c r="L818" s="272"/>
      <c r="M818" s="272"/>
      <c r="N818" s="272"/>
      <c r="O818" s="272"/>
      <c r="P818" s="272"/>
      <c r="Q818" s="272"/>
      <c r="R818" s="272"/>
      <c r="S818" s="272"/>
      <c r="T818" s="272"/>
      <c r="U818" s="272"/>
      <c r="V818" s="272"/>
      <c r="W818" s="272"/>
      <c r="X818" s="272"/>
      <c r="Y818" s="272"/>
      <c r="Z818" s="272"/>
    </row>
    <row r="819" ht="15.75" customHeight="1">
      <c r="A819" s="272"/>
      <c r="B819" s="272"/>
      <c r="C819" s="272"/>
      <c r="D819" s="272"/>
      <c r="E819" s="272"/>
      <c r="F819" s="272"/>
      <c r="G819" s="272"/>
      <c r="H819" s="272"/>
      <c r="I819" s="272"/>
      <c r="J819" s="272"/>
      <c r="K819" s="272"/>
      <c r="L819" s="272"/>
      <c r="M819" s="272"/>
      <c r="N819" s="272"/>
      <c r="O819" s="272"/>
      <c r="P819" s="272"/>
      <c r="Q819" s="272"/>
      <c r="R819" s="272"/>
      <c r="S819" s="272"/>
      <c r="T819" s="272"/>
      <c r="U819" s="272"/>
      <c r="V819" s="272"/>
      <c r="W819" s="272"/>
      <c r="X819" s="272"/>
      <c r="Y819" s="272"/>
      <c r="Z819" s="272"/>
    </row>
    <row r="820" ht="15.75" customHeight="1">
      <c r="A820" s="272"/>
      <c r="B820" s="272"/>
      <c r="C820" s="272"/>
      <c r="D820" s="272"/>
      <c r="E820" s="272"/>
      <c r="F820" s="272"/>
      <c r="G820" s="272"/>
      <c r="H820" s="272"/>
      <c r="I820" s="272"/>
      <c r="J820" s="272"/>
      <c r="K820" s="272"/>
      <c r="L820" s="272"/>
      <c r="M820" s="272"/>
      <c r="N820" s="272"/>
      <c r="O820" s="272"/>
      <c r="P820" s="272"/>
      <c r="Q820" s="272"/>
      <c r="R820" s="272"/>
      <c r="S820" s="272"/>
      <c r="T820" s="272"/>
      <c r="U820" s="272"/>
      <c r="V820" s="272"/>
      <c r="W820" s="272"/>
      <c r="X820" s="272"/>
      <c r="Y820" s="272"/>
      <c r="Z820" s="272"/>
    </row>
    <row r="821" ht="15.75" customHeight="1">
      <c r="A821" s="272"/>
      <c r="B821" s="272"/>
      <c r="C821" s="272"/>
      <c r="D821" s="272"/>
      <c r="E821" s="272"/>
      <c r="F821" s="272"/>
      <c r="G821" s="272"/>
      <c r="H821" s="272"/>
      <c r="I821" s="272"/>
      <c r="J821" s="272"/>
      <c r="K821" s="272"/>
      <c r="L821" s="272"/>
      <c r="M821" s="272"/>
      <c r="N821" s="272"/>
      <c r="O821" s="272"/>
      <c r="P821" s="272"/>
      <c r="Q821" s="272"/>
      <c r="R821" s="272"/>
      <c r="S821" s="272"/>
      <c r="T821" s="272"/>
      <c r="U821" s="272"/>
      <c r="V821" s="272"/>
      <c r="W821" s="272"/>
      <c r="X821" s="272"/>
      <c r="Y821" s="272"/>
      <c r="Z821" s="272"/>
    </row>
    <row r="822" ht="15.75" customHeight="1">
      <c r="A822" s="272"/>
      <c r="B822" s="272"/>
      <c r="C822" s="272"/>
      <c r="D822" s="272"/>
      <c r="E822" s="272"/>
      <c r="F822" s="272"/>
      <c r="G822" s="272"/>
      <c r="H822" s="272"/>
      <c r="I822" s="272"/>
      <c r="J822" s="272"/>
      <c r="K822" s="272"/>
      <c r="L822" s="272"/>
      <c r="M822" s="272"/>
      <c r="N822" s="272"/>
      <c r="O822" s="272"/>
      <c r="P822" s="272"/>
      <c r="Q822" s="272"/>
      <c r="R822" s="272"/>
      <c r="S822" s="272"/>
      <c r="T822" s="272"/>
      <c r="U822" s="272"/>
      <c r="V822" s="272"/>
      <c r="W822" s="272"/>
      <c r="X822" s="272"/>
      <c r="Y822" s="272"/>
      <c r="Z822" s="272"/>
    </row>
    <row r="823" ht="15.75" customHeight="1">
      <c r="A823" s="272"/>
      <c r="B823" s="272"/>
      <c r="C823" s="272"/>
      <c r="D823" s="272"/>
      <c r="E823" s="272"/>
      <c r="F823" s="272"/>
      <c r="G823" s="272"/>
      <c r="H823" s="272"/>
      <c r="I823" s="272"/>
      <c r="J823" s="272"/>
      <c r="K823" s="272"/>
      <c r="L823" s="272"/>
      <c r="M823" s="272"/>
      <c r="N823" s="272"/>
      <c r="O823" s="272"/>
      <c r="P823" s="272"/>
      <c r="Q823" s="272"/>
      <c r="R823" s="272"/>
      <c r="S823" s="272"/>
      <c r="T823" s="272"/>
      <c r="U823" s="272"/>
      <c r="V823" s="272"/>
      <c r="W823" s="272"/>
      <c r="X823" s="272"/>
      <c r="Y823" s="272"/>
      <c r="Z823" s="272"/>
    </row>
    <row r="824" ht="15.75" customHeight="1">
      <c r="A824" s="272"/>
      <c r="B824" s="272"/>
      <c r="C824" s="272"/>
      <c r="D824" s="272"/>
      <c r="E824" s="272"/>
      <c r="F824" s="272"/>
      <c r="G824" s="272"/>
      <c r="H824" s="272"/>
      <c r="I824" s="272"/>
      <c r="J824" s="272"/>
      <c r="K824" s="272"/>
      <c r="L824" s="272"/>
      <c r="M824" s="272"/>
      <c r="N824" s="272"/>
      <c r="O824" s="272"/>
      <c r="P824" s="272"/>
      <c r="Q824" s="272"/>
      <c r="R824" s="272"/>
      <c r="S824" s="272"/>
      <c r="T824" s="272"/>
      <c r="U824" s="272"/>
      <c r="V824" s="272"/>
      <c r="W824" s="272"/>
      <c r="X824" s="272"/>
      <c r="Y824" s="272"/>
      <c r="Z824" s="272"/>
    </row>
    <row r="825" ht="15.75" customHeight="1">
      <c r="A825" s="272"/>
      <c r="B825" s="272"/>
      <c r="C825" s="272"/>
      <c r="D825" s="272"/>
      <c r="E825" s="272"/>
      <c r="F825" s="272"/>
      <c r="G825" s="272"/>
      <c r="H825" s="272"/>
      <c r="I825" s="272"/>
      <c r="J825" s="272"/>
      <c r="K825" s="272"/>
      <c r="L825" s="272"/>
      <c r="M825" s="272"/>
      <c r="N825" s="272"/>
      <c r="O825" s="272"/>
      <c r="P825" s="272"/>
      <c r="Q825" s="272"/>
      <c r="R825" s="272"/>
      <c r="S825" s="272"/>
      <c r="T825" s="272"/>
      <c r="U825" s="272"/>
      <c r="V825" s="272"/>
      <c r="W825" s="272"/>
      <c r="X825" s="272"/>
      <c r="Y825" s="272"/>
      <c r="Z825" s="272"/>
    </row>
    <row r="826" ht="15.75" customHeight="1">
      <c r="A826" s="272"/>
      <c r="B826" s="272"/>
      <c r="C826" s="272"/>
      <c r="D826" s="272"/>
      <c r="E826" s="272"/>
      <c r="F826" s="272"/>
      <c r="G826" s="272"/>
      <c r="H826" s="272"/>
      <c r="I826" s="272"/>
      <c r="J826" s="272"/>
      <c r="K826" s="272"/>
      <c r="L826" s="272"/>
      <c r="M826" s="272"/>
      <c r="N826" s="272"/>
      <c r="O826" s="272"/>
      <c r="P826" s="272"/>
      <c r="Q826" s="272"/>
      <c r="R826" s="272"/>
      <c r="S826" s="272"/>
      <c r="T826" s="272"/>
      <c r="U826" s="272"/>
      <c r="V826" s="272"/>
      <c r="W826" s="272"/>
      <c r="X826" s="272"/>
      <c r="Y826" s="272"/>
      <c r="Z826" s="272"/>
    </row>
    <row r="827" ht="15.75" customHeight="1">
      <c r="A827" s="272"/>
      <c r="B827" s="272"/>
      <c r="C827" s="272"/>
      <c r="D827" s="272"/>
      <c r="E827" s="272"/>
      <c r="F827" s="272"/>
      <c r="G827" s="272"/>
      <c r="H827" s="272"/>
      <c r="I827" s="272"/>
      <c r="J827" s="272"/>
      <c r="K827" s="272"/>
      <c r="L827" s="272"/>
      <c r="M827" s="272"/>
      <c r="N827" s="272"/>
      <c r="O827" s="272"/>
      <c r="P827" s="272"/>
      <c r="Q827" s="272"/>
      <c r="R827" s="272"/>
      <c r="S827" s="272"/>
      <c r="T827" s="272"/>
      <c r="U827" s="272"/>
      <c r="V827" s="272"/>
      <c r="W827" s="272"/>
      <c r="X827" s="272"/>
      <c r="Y827" s="272"/>
      <c r="Z827" s="272"/>
    </row>
    <row r="828" ht="15.75" customHeight="1">
      <c r="A828" s="272"/>
      <c r="B828" s="272"/>
      <c r="C828" s="272"/>
      <c r="D828" s="272"/>
      <c r="E828" s="272"/>
      <c r="F828" s="272"/>
      <c r="G828" s="272"/>
      <c r="H828" s="272"/>
      <c r="I828" s="272"/>
      <c r="J828" s="272"/>
      <c r="K828" s="272"/>
      <c r="L828" s="272"/>
      <c r="M828" s="272"/>
      <c r="N828" s="272"/>
      <c r="O828" s="272"/>
      <c r="P828" s="272"/>
      <c r="Q828" s="272"/>
      <c r="R828" s="272"/>
      <c r="S828" s="272"/>
      <c r="T828" s="272"/>
      <c r="U828" s="272"/>
      <c r="V828" s="272"/>
      <c r="W828" s="272"/>
      <c r="X828" s="272"/>
      <c r="Y828" s="272"/>
      <c r="Z828" s="272"/>
    </row>
    <row r="829" ht="15.75" customHeight="1">
      <c r="A829" s="272"/>
      <c r="B829" s="272"/>
      <c r="C829" s="272"/>
      <c r="D829" s="272"/>
      <c r="E829" s="272"/>
      <c r="F829" s="272"/>
      <c r="G829" s="272"/>
      <c r="H829" s="272"/>
      <c r="I829" s="272"/>
      <c r="J829" s="272"/>
      <c r="K829" s="272"/>
      <c r="L829" s="272"/>
      <c r="M829" s="272"/>
      <c r="N829" s="272"/>
      <c r="O829" s="272"/>
      <c r="P829" s="272"/>
      <c r="Q829" s="272"/>
      <c r="R829" s="272"/>
      <c r="S829" s="272"/>
      <c r="T829" s="272"/>
      <c r="U829" s="272"/>
      <c r="V829" s="272"/>
      <c r="W829" s="272"/>
      <c r="X829" s="272"/>
      <c r="Y829" s="272"/>
      <c r="Z829" s="272"/>
    </row>
    <row r="830" ht="15.75" customHeight="1">
      <c r="A830" s="272"/>
      <c r="B830" s="272"/>
      <c r="C830" s="272"/>
      <c r="D830" s="272"/>
      <c r="E830" s="272"/>
      <c r="F830" s="272"/>
      <c r="G830" s="272"/>
      <c r="H830" s="272"/>
      <c r="I830" s="272"/>
      <c r="J830" s="272"/>
      <c r="K830" s="272"/>
      <c r="L830" s="272"/>
      <c r="M830" s="272"/>
      <c r="N830" s="272"/>
      <c r="O830" s="272"/>
      <c r="P830" s="272"/>
      <c r="Q830" s="272"/>
      <c r="R830" s="272"/>
      <c r="S830" s="272"/>
      <c r="T830" s="272"/>
      <c r="U830" s="272"/>
      <c r="V830" s="272"/>
      <c r="W830" s="272"/>
      <c r="X830" s="272"/>
      <c r="Y830" s="272"/>
      <c r="Z830" s="272"/>
    </row>
    <row r="831" ht="15.75" customHeight="1">
      <c r="A831" s="272"/>
      <c r="B831" s="272"/>
      <c r="C831" s="272"/>
      <c r="D831" s="272"/>
      <c r="E831" s="272"/>
      <c r="F831" s="272"/>
      <c r="G831" s="272"/>
      <c r="H831" s="272"/>
      <c r="I831" s="272"/>
      <c r="J831" s="272"/>
      <c r="K831" s="272"/>
      <c r="L831" s="272"/>
      <c r="M831" s="272"/>
      <c r="N831" s="272"/>
      <c r="O831" s="272"/>
      <c r="P831" s="272"/>
      <c r="Q831" s="272"/>
      <c r="R831" s="272"/>
      <c r="S831" s="272"/>
      <c r="T831" s="272"/>
      <c r="U831" s="272"/>
      <c r="V831" s="272"/>
      <c r="W831" s="272"/>
      <c r="X831" s="272"/>
      <c r="Y831" s="272"/>
      <c r="Z831" s="272"/>
    </row>
    <row r="832" ht="15.75" customHeight="1">
      <c r="A832" s="272"/>
      <c r="B832" s="272"/>
      <c r="C832" s="272"/>
      <c r="D832" s="272"/>
      <c r="E832" s="272"/>
      <c r="F832" s="272"/>
      <c r="G832" s="272"/>
      <c r="H832" s="272"/>
      <c r="I832" s="272"/>
      <c r="J832" s="272"/>
      <c r="K832" s="272"/>
      <c r="L832" s="272"/>
      <c r="M832" s="272"/>
      <c r="N832" s="272"/>
      <c r="O832" s="272"/>
      <c r="P832" s="272"/>
      <c r="Q832" s="272"/>
      <c r="R832" s="272"/>
      <c r="S832" s="272"/>
      <c r="T832" s="272"/>
      <c r="U832" s="272"/>
      <c r="V832" s="272"/>
      <c r="W832" s="272"/>
      <c r="X832" s="272"/>
      <c r="Y832" s="272"/>
      <c r="Z832" s="272"/>
    </row>
    <row r="833" ht="15.75" customHeight="1">
      <c r="A833" s="272"/>
      <c r="B833" s="272"/>
      <c r="C833" s="272"/>
      <c r="D833" s="272"/>
      <c r="E833" s="272"/>
      <c r="F833" s="272"/>
      <c r="G833" s="272"/>
      <c r="H833" s="272"/>
      <c r="I833" s="272"/>
      <c r="J833" s="272"/>
      <c r="K833" s="272"/>
      <c r="L833" s="272"/>
      <c r="M833" s="272"/>
      <c r="N833" s="272"/>
      <c r="O833" s="272"/>
      <c r="P833" s="272"/>
      <c r="Q833" s="272"/>
      <c r="R833" s="272"/>
      <c r="S833" s="272"/>
      <c r="T833" s="272"/>
      <c r="U833" s="272"/>
      <c r="V833" s="272"/>
      <c r="W833" s="272"/>
      <c r="X833" s="272"/>
      <c r="Y833" s="272"/>
      <c r="Z833" s="272"/>
    </row>
    <row r="834" ht="15.75" customHeight="1">
      <c r="A834" s="272"/>
      <c r="B834" s="272"/>
      <c r="C834" s="272"/>
      <c r="D834" s="272"/>
      <c r="E834" s="272"/>
      <c r="F834" s="272"/>
      <c r="G834" s="272"/>
      <c r="H834" s="272"/>
      <c r="I834" s="272"/>
      <c r="J834" s="272"/>
      <c r="K834" s="272"/>
      <c r="L834" s="272"/>
      <c r="M834" s="272"/>
      <c r="N834" s="272"/>
      <c r="O834" s="272"/>
      <c r="P834" s="272"/>
      <c r="Q834" s="272"/>
      <c r="R834" s="272"/>
      <c r="S834" s="272"/>
      <c r="T834" s="272"/>
      <c r="U834" s="272"/>
      <c r="V834" s="272"/>
      <c r="W834" s="272"/>
      <c r="X834" s="272"/>
      <c r="Y834" s="272"/>
      <c r="Z834" s="272"/>
    </row>
    <row r="835" ht="15.75" customHeight="1">
      <c r="A835" s="272"/>
      <c r="B835" s="272"/>
      <c r="C835" s="272"/>
      <c r="D835" s="272"/>
      <c r="E835" s="272"/>
      <c r="F835" s="272"/>
      <c r="G835" s="272"/>
      <c r="H835" s="272"/>
      <c r="I835" s="272"/>
      <c r="J835" s="272"/>
      <c r="K835" s="272"/>
      <c r="L835" s="272"/>
      <c r="M835" s="272"/>
      <c r="N835" s="272"/>
      <c r="O835" s="272"/>
      <c r="P835" s="272"/>
      <c r="Q835" s="272"/>
      <c r="R835" s="272"/>
      <c r="S835" s="272"/>
      <c r="T835" s="272"/>
      <c r="U835" s="272"/>
      <c r="V835" s="272"/>
      <c r="W835" s="272"/>
      <c r="X835" s="272"/>
      <c r="Y835" s="272"/>
      <c r="Z835" s="272"/>
    </row>
    <row r="836" ht="15.75" customHeight="1">
      <c r="A836" s="272"/>
      <c r="B836" s="272"/>
      <c r="C836" s="272"/>
      <c r="D836" s="272"/>
      <c r="E836" s="272"/>
      <c r="F836" s="272"/>
      <c r="G836" s="272"/>
      <c r="H836" s="272"/>
      <c r="I836" s="272"/>
      <c r="J836" s="272"/>
      <c r="K836" s="272"/>
      <c r="L836" s="272"/>
      <c r="M836" s="272"/>
      <c r="N836" s="272"/>
      <c r="O836" s="272"/>
      <c r="P836" s="272"/>
      <c r="Q836" s="272"/>
      <c r="R836" s="272"/>
      <c r="S836" s="272"/>
      <c r="T836" s="272"/>
      <c r="U836" s="272"/>
      <c r="V836" s="272"/>
      <c r="W836" s="272"/>
      <c r="X836" s="272"/>
      <c r="Y836" s="272"/>
      <c r="Z836" s="272"/>
    </row>
    <row r="837" ht="15.75" customHeight="1">
      <c r="A837" s="272"/>
      <c r="B837" s="272"/>
      <c r="C837" s="272"/>
      <c r="D837" s="272"/>
      <c r="E837" s="272"/>
      <c r="F837" s="272"/>
      <c r="G837" s="272"/>
      <c r="H837" s="272"/>
      <c r="I837" s="272"/>
      <c r="J837" s="272"/>
      <c r="K837" s="272"/>
      <c r="L837" s="272"/>
      <c r="M837" s="272"/>
      <c r="N837" s="272"/>
      <c r="O837" s="272"/>
      <c r="P837" s="272"/>
      <c r="Q837" s="272"/>
      <c r="R837" s="272"/>
      <c r="S837" s="272"/>
      <c r="T837" s="272"/>
      <c r="U837" s="272"/>
      <c r="V837" s="272"/>
      <c r="W837" s="272"/>
      <c r="X837" s="272"/>
      <c r="Y837" s="272"/>
      <c r="Z837" s="272"/>
    </row>
    <row r="838" ht="15.75" customHeight="1">
      <c r="A838" s="272"/>
      <c r="B838" s="272"/>
      <c r="C838" s="272"/>
      <c r="D838" s="272"/>
      <c r="E838" s="272"/>
      <c r="F838" s="272"/>
      <c r="G838" s="272"/>
      <c r="H838" s="272"/>
      <c r="I838" s="272"/>
      <c r="J838" s="272"/>
      <c r="K838" s="272"/>
      <c r="L838" s="272"/>
      <c r="M838" s="272"/>
      <c r="N838" s="272"/>
      <c r="O838" s="272"/>
      <c r="P838" s="272"/>
      <c r="Q838" s="272"/>
      <c r="R838" s="272"/>
      <c r="S838" s="272"/>
      <c r="T838" s="272"/>
      <c r="U838" s="272"/>
      <c r="V838" s="272"/>
      <c r="W838" s="272"/>
      <c r="X838" s="272"/>
      <c r="Y838" s="272"/>
      <c r="Z838" s="272"/>
    </row>
    <row r="839" ht="15.75" customHeight="1">
      <c r="A839" s="272"/>
      <c r="B839" s="272"/>
      <c r="C839" s="272"/>
      <c r="D839" s="272"/>
      <c r="E839" s="272"/>
      <c r="F839" s="272"/>
      <c r="G839" s="272"/>
      <c r="H839" s="272"/>
      <c r="I839" s="272"/>
      <c r="J839" s="272"/>
      <c r="K839" s="272"/>
      <c r="L839" s="272"/>
      <c r="M839" s="272"/>
      <c r="N839" s="272"/>
      <c r="O839" s="272"/>
      <c r="P839" s="272"/>
      <c r="Q839" s="272"/>
      <c r="R839" s="272"/>
      <c r="S839" s="272"/>
      <c r="T839" s="272"/>
      <c r="U839" s="272"/>
      <c r="V839" s="272"/>
      <c r="W839" s="272"/>
      <c r="X839" s="272"/>
      <c r="Y839" s="272"/>
      <c r="Z839" s="272"/>
    </row>
    <row r="840" ht="15.75" customHeight="1">
      <c r="A840" s="272"/>
      <c r="B840" s="272"/>
      <c r="C840" s="272"/>
      <c r="D840" s="272"/>
      <c r="E840" s="272"/>
      <c r="F840" s="272"/>
      <c r="G840" s="272"/>
      <c r="H840" s="272"/>
      <c r="I840" s="272"/>
      <c r="J840" s="272"/>
      <c r="K840" s="272"/>
      <c r="L840" s="272"/>
      <c r="M840" s="272"/>
      <c r="N840" s="272"/>
      <c r="O840" s="272"/>
      <c r="P840" s="272"/>
      <c r="Q840" s="272"/>
      <c r="R840" s="272"/>
      <c r="S840" s="272"/>
      <c r="T840" s="272"/>
      <c r="U840" s="272"/>
      <c r="V840" s="272"/>
      <c r="W840" s="272"/>
      <c r="X840" s="272"/>
      <c r="Y840" s="272"/>
      <c r="Z840" s="272"/>
    </row>
    <row r="841" ht="15.75" customHeight="1">
      <c r="A841" s="272"/>
      <c r="B841" s="272"/>
      <c r="C841" s="272"/>
      <c r="D841" s="272"/>
      <c r="E841" s="272"/>
      <c r="F841" s="272"/>
      <c r="G841" s="272"/>
      <c r="H841" s="272"/>
      <c r="I841" s="272"/>
      <c r="J841" s="272"/>
      <c r="K841" s="272"/>
      <c r="L841" s="272"/>
      <c r="M841" s="272"/>
      <c r="N841" s="272"/>
      <c r="O841" s="272"/>
      <c r="P841" s="272"/>
      <c r="Q841" s="272"/>
      <c r="R841" s="272"/>
      <c r="S841" s="272"/>
      <c r="T841" s="272"/>
      <c r="U841" s="272"/>
      <c r="V841" s="272"/>
      <c r="W841" s="272"/>
      <c r="X841" s="272"/>
      <c r="Y841" s="272"/>
      <c r="Z841" s="272"/>
    </row>
    <row r="842" ht="15.75" customHeight="1">
      <c r="A842" s="272"/>
      <c r="B842" s="272"/>
      <c r="C842" s="272"/>
      <c r="D842" s="272"/>
      <c r="E842" s="272"/>
      <c r="F842" s="272"/>
      <c r="G842" s="272"/>
      <c r="H842" s="272"/>
      <c r="I842" s="272"/>
      <c r="J842" s="272"/>
      <c r="K842" s="272"/>
      <c r="L842" s="272"/>
      <c r="M842" s="272"/>
      <c r="N842" s="272"/>
      <c r="O842" s="272"/>
      <c r="P842" s="272"/>
      <c r="Q842" s="272"/>
      <c r="R842" s="272"/>
      <c r="S842" s="272"/>
      <c r="T842" s="272"/>
      <c r="U842" s="272"/>
      <c r="V842" s="272"/>
      <c r="W842" s="272"/>
      <c r="X842" s="272"/>
      <c r="Y842" s="272"/>
      <c r="Z842" s="272"/>
    </row>
    <row r="843" ht="15.75" customHeight="1">
      <c r="A843" s="272"/>
      <c r="B843" s="272"/>
      <c r="C843" s="272"/>
      <c r="D843" s="272"/>
      <c r="E843" s="272"/>
      <c r="F843" s="272"/>
      <c r="G843" s="272"/>
      <c r="H843" s="272"/>
      <c r="I843" s="272"/>
      <c r="J843" s="272"/>
      <c r="K843" s="272"/>
      <c r="L843" s="272"/>
      <c r="M843" s="272"/>
      <c r="N843" s="272"/>
      <c r="O843" s="272"/>
      <c r="P843" s="272"/>
      <c r="Q843" s="272"/>
      <c r="R843" s="272"/>
      <c r="S843" s="272"/>
      <c r="T843" s="272"/>
      <c r="U843" s="272"/>
      <c r="V843" s="272"/>
      <c r="W843" s="272"/>
      <c r="X843" s="272"/>
      <c r="Y843" s="272"/>
      <c r="Z843" s="272"/>
    </row>
    <row r="844" ht="15.75" customHeight="1">
      <c r="A844" s="272"/>
      <c r="B844" s="272"/>
      <c r="C844" s="272"/>
      <c r="D844" s="272"/>
      <c r="E844" s="272"/>
      <c r="F844" s="272"/>
      <c r="G844" s="272"/>
      <c r="H844" s="272"/>
      <c r="I844" s="272"/>
      <c r="J844" s="272"/>
      <c r="K844" s="272"/>
      <c r="L844" s="272"/>
      <c r="M844" s="272"/>
      <c r="N844" s="272"/>
      <c r="O844" s="272"/>
      <c r="P844" s="272"/>
      <c r="Q844" s="272"/>
      <c r="R844" s="272"/>
      <c r="S844" s="272"/>
      <c r="T844" s="272"/>
      <c r="U844" s="272"/>
      <c r="V844" s="272"/>
      <c r="W844" s="272"/>
      <c r="X844" s="272"/>
      <c r="Y844" s="272"/>
      <c r="Z844" s="272"/>
    </row>
    <row r="845" ht="15.75" customHeight="1">
      <c r="A845" s="272"/>
      <c r="B845" s="272"/>
      <c r="C845" s="272"/>
      <c r="D845" s="272"/>
      <c r="E845" s="272"/>
      <c r="F845" s="272"/>
      <c r="G845" s="272"/>
      <c r="H845" s="272"/>
      <c r="I845" s="272"/>
      <c r="J845" s="272"/>
      <c r="K845" s="272"/>
      <c r="L845" s="272"/>
      <c r="M845" s="272"/>
      <c r="N845" s="272"/>
      <c r="O845" s="272"/>
      <c r="P845" s="272"/>
      <c r="Q845" s="272"/>
      <c r="R845" s="272"/>
      <c r="S845" s="272"/>
      <c r="T845" s="272"/>
      <c r="U845" s="272"/>
      <c r="V845" s="272"/>
      <c r="W845" s="272"/>
      <c r="X845" s="272"/>
      <c r="Y845" s="272"/>
      <c r="Z845" s="272"/>
    </row>
    <row r="846" ht="15.75" customHeight="1">
      <c r="A846" s="272"/>
      <c r="B846" s="272"/>
      <c r="C846" s="272"/>
      <c r="D846" s="272"/>
      <c r="E846" s="272"/>
      <c r="F846" s="272"/>
      <c r="G846" s="272"/>
      <c r="H846" s="272"/>
      <c r="I846" s="272"/>
      <c r="J846" s="272"/>
      <c r="K846" s="272"/>
      <c r="L846" s="272"/>
      <c r="M846" s="272"/>
      <c r="N846" s="272"/>
      <c r="O846" s="272"/>
      <c r="P846" s="272"/>
      <c r="Q846" s="272"/>
      <c r="R846" s="272"/>
      <c r="S846" s="272"/>
      <c r="T846" s="272"/>
      <c r="U846" s="272"/>
      <c r="V846" s="272"/>
      <c r="W846" s="272"/>
      <c r="X846" s="272"/>
      <c r="Y846" s="272"/>
      <c r="Z846" s="272"/>
    </row>
    <row r="847" ht="15.75" customHeight="1">
      <c r="A847" s="272"/>
      <c r="B847" s="272"/>
      <c r="C847" s="272"/>
      <c r="D847" s="272"/>
      <c r="E847" s="272"/>
      <c r="F847" s="272"/>
      <c r="G847" s="272"/>
      <c r="H847" s="272"/>
      <c r="I847" s="272"/>
      <c r="J847" s="272"/>
      <c r="K847" s="272"/>
      <c r="L847" s="272"/>
      <c r="M847" s="272"/>
      <c r="N847" s="272"/>
      <c r="O847" s="272"/>
      <c r="P847" s="272"/>
      <c r="Q847" s="272"/>
      <c r="R847" s="272"/>
      <c r="S847" s="272"/>
      <c r="T847" s="272"/>
      <c r="U847" s="272"/>
      <c r="V847" s="272"/>
      <c r="W847" s="272"/>
      <c r="X847" s="272"/>
      <c r="Y847" s="272"/>
      <c r="Z847" s="272"/>
    </row>
    <row r="848" ht="15.75" customHeight="1">
      <c r="A848" s="272"/>
      <c r="B848" s="272"/>
      <c r="C848" s="272"/>
      <c r="D848" s="272"/>
      <c r="E848" s="272"/>
      <c r="F848" s="272"/>
      <c r="G848" s="272"/>
      <c r="H848" s="272"/>
      <c r="I848" s="272"/>
      <c r="J848" s="272"/>
      <c r="K848" s="272"/>
      <c r="L848" s="272"/>
      <c r="M848" s="272"/>
      <c r="N848" s="272"/>
      <c r="O848" s="272"/>
      <c r="P848" s="272"/>
      <c r="Q848" s="272"/>
      <c r="R848" s="272"/>
      <c r="S848" s="272"/>
      <c r="T848" s="272"/>
      <c r="U848" s="272"/>
      <c r="V848" s="272"/>
      <c r="W848" s="272"/>
      <c r="X848" s="272"/>
      <c r="Y848" s="272"/>
      <c r="Z848" s="272"/>
    </row>
    <row r="849" ht="15.75" customHeight="1">
      <c r="A849" s="272"/>
      <c r="B849" s="272"/>
      <c r="C849" s="272"/>
      <c r="D849" s="272"/>
      <c r="E849" s="272"/>
      <c r="F849" s="272"/>
      <c r="G849" s="272"/>
      <c r="H849" s="272"/>
      <c r="I849" s="272"/>
      <c r="J849" s="272"/>
      <c r="K849" s="272"/>
      <c r="L849" s="272"/>
      <c r="M849" s="272"/>
      <c r="N849" s="272"/>
      <c r="O849" s="272"/>
      <c r="P849" s="272"/>
      <c r="Q849" s="272"/>
      <c r="R849" s="272"/>
      <c r="S849" s="272"/>
      <c r="T849" s="272"/>
      <c r="U849" s="272"/>
      <c r="V849" s="272"/>
      <c r="W849" s="272"/>
      <c r="X849" s="272"/>
      <c r="Y849" s="272"/>
      <c r="Z849" s="272"/>
    </row>
    <row r="850" ht="15.75" customHeight="1">
      <c r="A850" s="272"/>
      <c r="B850" s="272"/>
      <c r="C850" s="272"/>
      <c r="D850" s="272"/>
      <c r="E850" s="272"/>
      <c r="F850" s="272"/>
      <c r="G850" s="272"/>
      <c r="H850" s="272"/>
      <c r="I850" s="272"/>
      <c r="J850" s="272"/>
      <c r="K850" s="272"/>
      <c r="L850" s="272"/>
      <c r="M850" s="272"/>
      <c r="N850" s="272"/>
      <c r="O850" s="272"/>
      <c r="P850" s="272"/>
      <c r="Q850" s="272"/>
      <c r="R850" s="272"/>
      <c r="S850" s="272"/>
      <c r="T850" s="272"/>
      <c r="U850" s="272"/>
      <c r="V850" s="272"/>
      <c r="W850" s="272"/>
      <c r="X850" s="272"/>
      <c r="Y850" s="272"/>
      <c r="Z850" s="272"/>
    </row>
    <row r="851" ht="15.75" customHeight="1">
      <c r="A851" s="272"/>
      <c r="B851" s="272"/>
      <c r="C851" s="272"/>
      <c r="D851" s="272"/>
      <c r="E851" s="272"/>
      <c r="F851" s="272"/>
      <c r="G851" s="272"/>
      <c r="H851" s="272"/>
      <c r="I851" s="272"/>
      <c r="J851" s="272"/>
      <c r="K851" s="272"/>
      <c r="L851" s="272"/>
      <c r="M851" s="272"/>
      <c r="N851" s="272"/>
      <c r="O851" s="272"/>
      <c r="P851" s="272"/>
      <c r="Q851" s="272"/>
      <c r="R851" s="272"/>
      <c r="S851" s="272"/>
      <c r="T851" s="272"/>
      <c r="U851" s="272"/>
      <c r="V851" s="272"/>
      <c r="W851" s="272"/>
      <c r="X851" s="272"/>
      <c r="Y851" s="272"/>
      <c r="Z851" s="272"/>
    </row>
    <row r="852" ht="15.75" customHeight="1">
      <c r="A852" s="272"/>
      <c r="B852" s="272"/>
      <c r="C852" s="272"/>
      <c r="D852" s="272"/>
      <c r="E852" s="272"/>
      <c r="F852" s="272"/>
      <c r="G852" s="272"/>
      <c r="H852" s="272"/>
      <c r="I852" s="272"/>
      <c r="J852" s="272"/>
      <c r="K852" s="272"/>
      <c r="L852" s="272"/>
      <c r="M852" s="272"/>
      <c r="N852" s="272"/>
      <c r="O852" s="272"/>
      <c r="P852" s="272"/>
      <c r="Q852" s="272"/>
      <c r="R852" s="272"/>
      <c r="S852" s="272"/>
      <c r="T852" s="272"/>
      <c r="U852" s="272"/>
      <c r="V852" s="272"/>
      <c r="W852" s="272"/>
      <c r="X852" s="272"/>
      <c r="Y852" s="272"/>
      <c r="Z852" s="272"/>
    </row>
    <row r="853" ht="15.75" customHeight="1">
      <c r="A853" s="272"/>
      <c r="B853" s="272"/>
      <c r="C853" s="272"/>
      <c r="D853" s="272"/>
      <c r="E853" s="272"/>
      <c r="F853" s="272"/>
      <c r="G853" s="272"/>
      <c r="H853" s="272"/>
      <c r="I853" s="272"/>
      <c r="J853" s="272"/>
      <c r="K853" s="272"/>
      <c r="L853" s="272"/>
      <c r="M853" s="272"/>
      <c r="N853" s="272"/>
      <c r="O853" s="272"/>
      <c r="P853" s="272"/>
      <c r="Q853" s="272"/>
      <c r="R853" s="272"/>
      <c r="S853" s="272"/>
      <c r="T853" s="272"/>
      <c r="U853" s="272"/>
      <c r="V853" s="272"/>
      <c r="W853" s="272"/>
      <c r="X853" s="272"/>
      <c r="Y853" s="272"/>
      <c r="Z853" s="272"/>
    </row>
    <row r="854" ht="15.75" customHeight="1">
      <c r="A854" s="272"/>
      <c r="B854" s="272"/>
      <c r="C854" s="272"/>
      <c r="D854" s="272"/>
      <c r="E854" s="272"/>
      <c r="F854" s="272"/>
      <c r="G854" s="272"/>
      <c r="H854" s="272"/>
      <c r="I854" s="272"/>
      <c r="J854" s="272"/>
      <c r="K854" s="272"/>
      <c r="L854" s="272"/>
      <c r="M854" s="272"/>
      <c r="N854" s="272"/>
      <c r="O854" s="272"/>
      <c r="P854" s="272"/>
      <c r="Q854" s="272"/>
      <c r="R854" s="272"/>
      <c r="S854" s="272"/>
      <c r="T854" s="272"/>
      <c r="U854" s="272"/>
      <c r="V854" s="272"/>
      <c r="W854" s="272"/>
      <c r="X854" s="272"/>
      <c r="Y854" s="272"/>
      <c r="Z854" s="272"/>
    </row>
    <row r="855" ht="15.75" customHeight="1">
      <c r="A855" s="272"/>
      <c r="B855" s="272"/>
      <c r="C855" s="272"/>
      <c r="D855" s="272"/>
      <c r="E855" s="272"/>
      <c r="F855" s="272"/>
      <c r="G855" s="272"/>
      <c r="H855" s="272"/>
      <c r="I855" s="272"/>
      <c r="J855" s="272"/>
      <c r="K855" s="272"/>
      <c r="L855" s="272"/>
      <c r="M855" s="272"/>
      <c r="N855" s="272"/>
      <c r="O855" s="272"/>
      <c r="P855" s="272"/>
      <c r="Q855" s="272"/>
      <c r="R855" s="272"/>
      <c r="S855" s="272"/>
      <c r="T855" s="272"/>
      <c r="U855" s="272"/>
      <c r="V855" s="272"/>
      <c r="W855" s="272"/>
      <c r="X855" s="272"/>
      <c r="Y855" s="272"/>
      <c r="Z855" s="272"/>
    </row>
    <row r="856" ht="15.75" customHeight="1">
      <c r="A856" s="272"/>
      <c r="B856" s="272"/>
      <c r="C856" s="272"/>
      <c r="D856" s="272"/>
      <c r="E856" s="272"/>
      <c r="F856" s="272"/>
      <c r="G856" s="272"/>
      <c r="H856" s="272"/>
      <c r="I856" s="272"/>
      <c r="J856" s="272"/>
      <c r="K856" s="272"/>
      <c r="L856" s="272"/>
      <c r="M856" s="272"/>
      <c r="N856" s="272"/>
      <c r="O856" s="272"/>
      <c r="P856" s="272"/>
      <c r="Q856" s="272"/>
      <c r="R856" s="272"/>
      <c r="S856" s="272"/>
      <c r="T856" s="272"/>
      <c r="U856" s="272"/>
      <c r="V856" s="272"/>
      <c r="W856" s="272"/>
      <c r="X856" s="272"/>
      <c r="Y856" s="272"/>
      <c r="Z856" s="272"/>
    </row>
    <row r="857" ht="15.75" customHeight="1">
      <c r="A857" s="272"/>
      <c r="B857" s="272"/>
      <c r="C857" s="272"/>
      <c r="D857" s="272"/>
      <c r="E857" s="272"/>
      <c r="F857" s="272"/>
      <c r="G857" s="272"/>
      <c r="H857" s="272"/>
      <c r="I857" s="272"/>
      <c r="J857" s="272"/>
      <c r="K857" s="272"/>
      <c r="L857" s="272"/>
      <c r="M857" s="272"/>
      <c r="N857" s="272"/>
      <c r="O857" s="272"/>
      <c r="P857" s="272"/>
      <c r="Q857" s="272"/>
      <c r="R857" s="272"/>
      <c r="S857" s="272"/>
      <c r="T857" s="272"/>
      <c r="U857" s="272"/>
      <c r="V857" s="272"/>
      <c r="W857" s="272"/>
      <c r="X857" s="272"/>
      <c r="Y857" s="272"/>
      <c r="Z857" s="272"/>
    </row>
    <row r="858" ht="15.75" customHeight="1">
      <c r="A858" s="272"/>
      <c r="B858" s="272"/>
      <c r="C858" s="272"/>
      <c r="D858" s="272"/>
      <c r="E858" s="272"/>
      <c r="F858" s="272"/>
      <c r="G858" s="272"/>
      <c r="H858" s="272"/>
      <c r="I858" s="272"/>
      <c r="J858" s="272"/>
      <c r="K858" s="272"/>
      <c r="L858" s="272"/>
      <c r="M858" s="272"/>
      <c r="N858" s="272"/>
      <c r="O858" s="272"/>
      <c r="P858" s="272"/>
      <c r="Q858" s="272"/>
      <c r="R858" s="272"/>
      <c r="S858" s="272"/>
      <c r="T858" s="272"/>
      <c r="U858" s="272"/>
      <c r="V858" s="272"/>
      <c r="W858" s="272"/>
      <c r="X858" s="272"/>
      <c r="Y858" s="272"/>
      <c r="Z858" s="272"/>
    </row>
    <row r="859" ht="15.75" customHeight="1">
      <c r="A859" s="272"/>
      <c r="B859" s="272"/>
      <c r="C859" s="272"/>
      <c r="D859" s="272"/>
      <c r="E859" s="272"/>
      <c r="F859" s="272"/>
      <c r="G859" s="272"/>
      <c r="H859" s="272"/>
      <c r="I859" s="272"/>
      <c r="J859" s="272"/>
      <c r="K859" s="272"/>
      <c r="L859" s="272"/>
      <c r="M859" s="272"/>
      <c r="N859" s="272"/>
      <c r="O859" s="272"/>
      <c r="P859" s="272"/>
      <c r="Q859" s="272"/>
      <c r="R859" s="272"/>
      <c r="S859" s="272"/>
      <c r="T859" s="272"/>
      <c r="U859" s="272"/>
      <c r="V859" s="272"/>
      <c r="W859" s="272"/>
      <c r="X859" s="272"/>
      <c r="Y859" s="272"/>
      <c r="Z859" s="272"/>
    </row>
    <row r="860" ht="15.75" customHeight="1">
      <c r="A860" s="272"/>
      <c r="B860" s="272"/>
      <c r="C860" s="272"/>
      <c r="D860" s="272"/>
      <c r="E860" s="272"/>
      <c r="F860" s="272"/>
      <c r="G860" s="272"/>
      <c r="H860" s="272"/>
      <c r="I860" s="272"/>
      <c r="J860" s="272"/>
      <c r="K860" s="272"/>
      <c r="L860" s="272"/>
      <c r="M860" s="272"/>
      <c r="N860" s="272"/>
      <c r="O860" s="272"/>
      <c r="P860" s="272"/>
      <c r="Q860" s="272"/>
      <c r="R860" s="272"/>
      <c r="S860" s="272"/>
      <c r="T860" s="272"/>
      <c r="U860" s="272"/>
      <c r="V860" s="272"/>
      <c r="W860" s="272"/>
      <c r="X860" s="272"/>
      <c r="Y860" s="272"/>
      <c r="Z860" s="272"/>
    </row>
    <row r="861" ht="15.75" customHeight="1">
      <c r="A861" s="272"/>
      <c r="B861" s="272"/>
      <c r="C861" s="272"/>
      <c r="D861" s="272"/>
      <c r="E861" s="272"/>
      <c r="F861" s="272"/>
      <c r="G861" s="272"/>
      <c r="H861" s="272"/>
      <c r="I861" s="272"/>
      <c r="J861" s="272"/>
      <c r="K861" s="272"/>
      <c r="L861" s="272"/>
      <c r="M861" s="272"/>
      <c r="N861" s="272"/>
      <c r="O861" s="272"/>
      <c r="P861" s="272"/>
      <c r="Q861" s="272"/>
      <c r="R861" s="272"/>
      <c r="S861" s="272"/>
      <c r="T861" s="272"/>
      <c r="U861" s="272"/>
      <c r="V861" s="272"/>
      <c r="W861" s="272"/>
      <c r="X861" s="272"/>
      <c r="Y861" s="272"/>
      <c r="Z861" s="272"/>
    </row>
    <row r="862" ht="15.75" customHeight="1">
      <c r="A862" s="272"/>
      <c r="B862" s="272"/>
      <c r="C862" s="272"/>
      <c r="D862" s="272"/>
      <c r="E862" s="272"/>
      <c r="F862" s="272"/>
      <c r="G862" s="272"/>
      <c r="H862" s="272"/>
      <c r="I862" s="272"/>
      <c r="J862" s="272"/>
      <c r="K862" s="272"/>
      <c r="L862" s="272"/>
      <c r="M862" s="272"/>
      <c r="N862" s="272"/>
      <c r="O862" s="272"/>
      <c r="P862" s="272"/>
      <c r="Q862" s="272"/>
      <c r="R862" s="272"/>
      <c r="S862" s="272"/>
      <c r="T862" s="272"/>
      <c r="U862" s="272"/>
      <c r="V862" s="272"/>
      <c r="W862" s="272"/>
      <c r="X862" s="272"/>
      <c r="Y862" s="272"/>
      <c r="Z862" s="272"/>
    </row>
    <row r="863" ht="15.75" customHeight="1">
      <c r="A863" s="272"/>
      <c r="B863" s="272"/>
      <c r="C863" s="272"/>
      <c r="D863" s="272"/>
      <c r="E863" s="272"/>
      <c r="F863" s="272"/>
      <c r="G863" s="272"/>
      <c r="H863" s="272"/>
      <c r="I863" s="272"/>
      <c r="J863" s="272"/>
      <c r="K863" s="272"/>
      <c r="L863" s="272"/>
      <c r="M863" s="272"/>
      <c r="N863" s="272"/>
      <c r="O863" s="272"/>
      <c r="P863" s="272"/>
      <c r="Q863" s="272"/>
      <c r="R863" s="272"/>
      <c r="S863" s="272"/>
      <c r="T863" s="272"/>
      <c r="U863" s="272"/>
      <c r="V863" s="272"/>
      <c r="W863" s="272"/>
      <c r="X863" s="272"/>
      <c r="Y863" s="272"/>
      <c r="Z863" s="272"/>
    </row>
    <row r="864" ht="15.75" customHeight="1">
      <c r="A864" s="272"/>
      <c r="B864" s="272"/>
      <c r="C864" s="272"/>
      <c r="D864" s="272"/>
      <c r="E864" s="272"/>
      <c r="F864" s="272"/>
      <c r="G864" s="272"/>
      <c r="H864" s="272"/>
      <c r="I864" s="272"/>
      <c r="J864" s="272"/>
      <c r="K864" s="272"/>
      <c r="L864" s="272"/>
      <c r="M864" s="272"/>
      <c r="N864" s="272"/>
      <c r="O864" s="272"/>
      <c r="P864" s="272"/>
      <c r="Q864" s="272"/>
      <c r="R864" s="272"/>
      <c r="S864" s="272"/>
      <c r="T864" s="272"/>
      <c r="U864" s="272"/>
      <c r="V864" s="272"/>
      <c r="W864" s="272"/>
      <c r="X864" s="272"/>
      <c r="Y864" s="272"/>
      <c r="Z864" s="272"/>
    </row>
    <row r="865" ht="15.75" customHeight="1">
      <c r="A865" s="272"/>
      <c r="B865" s="272"/>
      <c r="C865" s="272"/>
      <c r="D865" s="272"/>
      <c r="E865" s="272"/>
      <c r="F865" s="272"/>
      <c r="G865" s="272"/>
      <c r="H865" s="272"/>
      <c r="I865" s="272"/>
      <c r="J865" s="272"/>
      <c r="K865" s="272"/>
      <c r="L865" s="272"/>
      <c r="M865" s="272"/>
      <c r="N865" s="272"/>
      <c r="O865" s="272"/>
      <c r="P865" s="272"/>
      <c r="Q865" s="272"/>
      <c r="R865" s="272"/>
      <c r="S865" s="272"/>
      <c r="T865" s="272"/>
      <c r="U865" s="272"/>
      <c r="V865" s="272"/>
      <c r="W865" s="272"/>
      <c r="X865" s="272"/>
      <c r="Y865" s="272"/>
      <c r="Z865" s="272"/>
    </row>
    <row r="866" ht="15.75" customHeight="1">
      <c r="A866" s="272"/>
      <c r="B866" s="272"/>
      <c r="C866" s="272"/>
      <c r="D866" s="272"/>
      <c r="E866" s="272"/>
      <c r="F866" s="272"/>
      <c r="G866" s="272"/>
      <c r="H866" s="272"/>
      <c r="I866" s="272"/>
      <c r="J866" s="272"/>
      <c r="K866" s="272"/>
      <c r="L866" s="272"/>
      <c r="M866" s="272"/>
      <c r="N866" s="272"/>
      <c r="O866" s="272"/>
      <c r="P866" s="272"/>
      <c r="Q866" s="272"/>
      <c r="R866" s="272"/>
      <c r="S866" s="272"/>
      <c r="T866" s="272"/>
      <c r="U866" s="272"/>
      <c r="V866" s="272"/>
      <c r="W866" s="272"/>
      <c r="X866" s="272"/>
      <c r="Y866" s="272"/>
      <c r="Z866" s="272"/>
    </row>
    <row r="867" ht="15.75" customHeight="1">
      <c r="A867" s="272"/>
      <c r="B867" s="272"/>
      <c r="C867" s="272"/>
      <c r="D867" s="272"/>
      <c r="E867" s="272"/>
      <c r="F867" s="272"/>
      <c r="G867" s="272"/>
      <c r="H867" s="272"/>
      <c r="I867" s="272"/>
      <c r="J867" s="272"/>
      <c r="K867" s="272"/>
      <c r="L867" s="272"/>
      <c r="M867" s="272"/>
      <c r="N867" s="272"/>
      <c r="O867" s="272"/>
      <c r="P867" s="272"/>
      <c r="Q867" s="272"/>
      <c r="R867" s="272"/>
      <c r="S867" s="272"/>
      <c r="T867" s="272"/>
      <c r="U867" s="272"/>
      <c r="V867" s="272"/>
      <c r="W867" s="272"/>
      <c r="X867" s="272"/>
      <c r="Y867" s="272"/>
      <c r="Z867" s="272"/>
    </row>
    <row r="868" ht="15.75" customHeight="1">
      <c r="A868" s="272"/>
      <c r="B868" s="272"/>
      <c r="C868" s="272"/>
      <c r="D868" s="272"/>
      <c r="E868" s="272"/>
      <c r="F868" s="272"/>
      <c r="G868" s="272"/>
      <c r="H868" s="272"/>
      <c r="I868" s="272"/>
      <c r="J868" s="272"/>
      <c r="K868" s="272"/>
      <c r="L868" s="272"/>
      <c r="M868" s="272"/>
      <c r="N868" s="272"/>
      <c r="O868" s="272"/>
      <c r="P868" s="272"/>
      <c r="Q868" s="272"/>
      <c r="R868" s="272"/>
      <c r="S868" s="272"/>
      <c r="T868" s="272"/>
      <c r="U868" s="272"/>
      <c r="V868" s="272"/>
      <c r="W868" s="272"/>
      <c r="X868" s="272"/>
      <c r="Y868" s="272"/>
      <c r="Z868" s="272"/>
    </row>
    <row r="869" ht="15.75" customHeight="1">
      <c r="A869" s="272"/>
      <c r="B869" s="272"/>
      <c r="C869" s="272"/>
      <c r="D869" s="272"/>
      <c r="E869" s="272"/>
      <c r="F869" s="272"/>
      <c r="G869" s="272"/>
      <c r="H869" s="272"/>
      <c r="I869" s="272"/>
      <c r="J869" s="272"/>
      <c r="K869" s="272"/>
      <c r="L869" s="272"/>
      <c r="M869" s="272"/>
      <c r="N869" s="272"/>
      <c r="O869" s="272"/>
      <c r="P869" s="272"/>
      <c r="Q869" s="272"/>
      <c r="R869" s="272"/>
      <c r="S869" s="272"/>
      <c r="T869" s="272"/>
      <c r="U869" s="272"/>
      <c r="V869" s="272"/>
      <c r="W869" s="272"/>
      <c r="X869" s="272"/>
      <c r="Y869" s="272"/>
      <c r="Z869" s="272"/>
    </row>
    <row r="870" ht="15.75" customHeight="1">
      <c r="A870" s="272"/>
      <c r="B870" s="272"/>
      <c r="C870" s="272"/>
      <c r="D870" s="272"/>
      <c r="E870" s="272"/>
      <c r="F870" s="272"/>
      <c r="G870" s="272"/>
      <c r="H870" s="272"/>
      <c r="I870" s="272"/>
      <c r="J870" s="272"/>
      <c r="K870" s="272"/>
      <c r="L870" s="272"/>
      <c r="M870" s="272"/>
      <c r="N870" s="272"/>
      <c r="O870" s="272"/>
      <c r="P870" s="272"/>
      <c r="Q870" s="272"/>
      <c r="R870" s="272"/>
      <c r="S870" s="272"/>
      <c r="T870" s="272"/>
      <c r="U870" s="272"/>
      <c r="V870" s="272"/>
      <c r="W870" s="272"/>
      <c r="X870" s="272"/>
      <c r="Y870" s="272"/>
      <c r="Z870" s="272"/>
    </row>
    <row r="871" ht="15.75" customHeight="1">
      <c r="A871" s="272"/>
      <c r="B871" s="272"/>
      <c r="C871" s="272"/>
      <c r="D871" s="272"/>
      <c r="E871" s="272"/>
      <c r="F871" s="272"/>
      <c r="G871" s="272"/>
      <c r="H871" s="272"/>
      <c r="I871" s="272"/>
      <c r="J871" s="272"/>
      <c r="K871" s="272"/>
      <c r="L871" s="272"/>
      <c r="M871" s="272"/>
      <c r="N871" s="272"/>
      <c r="O871" s="272"/>
      <c r="P871" s="272"/>
      <c r="Q871" s="272"/>
      <c r="R871" s="272"/>
      <c r="S871" s="272"/>
      <c r="T871" s="272"/>
      <c r="U871" s="272"/>
      <c r="V871" s="272"/>
      <c r="W871" s="272"/>
      <c r="X871" s="272"/>
      <c r="Y871" s="272"/>
      <c r="Z871" s="272"/>
    </row>
    <row r="872" ht="15.75" customHeight="1">
      <c r="A872" s="272"/>
      <c r="B872" s="272"/>
      <c r="C872" s="272"/>
      <c r="D872" s="272"/>
      <c r="E872" s="272"/>
      <c r="F872" s="272"/>
      <c r="G872" s="272"/>
      <c r="H872" s="272"/>
      <c r="I872" s="272"/>
      <c r="J872" s="272"/>
      <c r="K872" s="272"/>
      <c r="L872" s="272"/>
      <c r="M872" s="272"/>
      <c r="N872" s="272"/>
      <c r="O872" s="272"/>
      <c r="P872" s="272"/>
      <c r="Q872" s="272"/>
      <c r="R872" s="272"/>
      <c r="S872" s="272"/>
      <c r="T872" s="272"/>
      <c r="U872" s="272"/>
      <c r="V872" s="272"/>
      <c r="W872" s="272"/>
      <c r="X872" s="272"/>
      <c r="Y872" s="272"/>
      <c r="Z872" s="272"/>
    </row>
    <row r="873" ht="15.75" customHeight="1">
      <c r="A873" s="272"/>
      <c r="B873" s="272"/>
      <c r="C873" s="272"/>
      <c r="D873" s="272"/>
      <c r="E873" s="272"/>
      <c r="F873" s="272"/>
      <c r="G873" s="272"/>
      <c r="H873" s="272"/>
      <c r="I873" s="272"/>
      <c r="J873" s="272"/>
      <c r="K873" s="272"/>
      <c r="L873" s="272"/>
      <c r="M873" s="272"/>
      <c r="N873" s="272"/>
      <c r="O873" s="272"/>
      <c r="P873" s="272"/>
      <c r="Q873" s="272"/>
      <c r="R873" s="272"/>
      <c r="S873" s="272"/>
      <c r="T873" s="272"/>
      <c r="U873" s="272"/>
      <c r="V873" s="272"/>
      <c r="W873" s="272"/>
      <c r="X873" s="272"/>
      <c r="Y873" s="272"/>
      <c r="Z873" s="272"/>
    </row>
    <row r="874" ht="15.75" customHeight="1">
      <c r="A874" s="272"/>
      <c r="B874" s="272"/>
      <c r="C874" s="272"/>
      <c r="D874" s="272"/>
      <c r="E874" s="272"/>
      <c r="F874" s="272"/>
      <c r="G874" s="272"/>
      <c r="H874" s="272"/>
      <c r="I874" s="272"/>
      <c r="J874" s="272"/>
      <c r="K874" s="272"/>
      <c r="L874" s="272"/>
      <c r="M874" s="272"/>
      <c r="N874" s="272"/>
      <c r="O874" s="272"/>
      <c r="P874" s="272"/>
      <c r="Q874" s="272"/>
      <c r="R874" s="272"/>
      <c r="S874" s="272"/>
      <c r="T874" s="272"/>
      <c r="U874" s="272"/>
      <c r="V874" s="272"/>
      <c r="W874" s="272"/>
      <c r="X874" s="272"/>
      <c r="Y874" s="272"/>
      <c r="Z874" s="272"/>
    </row>
    <row r="875" ht="15.75" customHeight="1">
      <c r="A875" s="272"/>
      <c r="B875" s="272"/>
      <c r="C875" s="272"/>
      <c r="D875" s="272"/>
      <c r="E875" s="272"/>
      <c r="F875" s="272"/>
      <c r="G875" s="272"/>
      <c r="H875" s="272"/>
      <c r="I875" s="272"/>
      <c r="J875" s="272"/>
      <c r="K875" s="272"/>
      <c r="L875" s="272"/>
      <c r="M875" s="272"/>
      <c r="N875" s="272"/>
      <c r="O875" s="272"/>
      <c r="P875" s="272"/>
      <c r="Q875" s="272"/>
      <c r="R875" s="272"/>
      <c r="S875" s="272"/>
      <c r="T875" s="272"/>
      <c r="U875" s="272"/>
      <c r="V875" s="272"/>
      <c r="W875" s="272"/>
      <c r="X875" s="272"/>
      <c r="Y875" s="272"/>
      <c r="Z875" s="272"/>
    </row>
    <row r="876" ht="15.75" customHeight="1">
      <c r="A876" s="272"/>
      <c r="B876" s="272"/>
      <c r="C876" s="272"/>
      <c r="D876" s="272"/>
      <c r="E876" s="272"/>
      <c r="F876" s="272"/>
      <c r="G876" s="272"/>
      <c r="H876" s="272"/>
      <c r="I876" s="272"/>
      <c r="J876" s="272"/>
      <c r="K876" s="272"/>
      <c r="L876" s="272"/>
      <c r="M876" s="272"/>
      <c r="N876" s="272"/>
      <c r="O876" s="272"/>
      <c r="P876" s="272"/>
      <c r="Q876" s="272"/>
      <c r="R876" s="272"/>
      <c r="S876" s="272"/>
      <c r="T876" s="272"/>
      <c r="U876" s="272"/>
      <c r="V876" s="272"/>
      <c r="W876" s="272"/>
      <c r="X876" s="272"/>
      <c r="Y876" s="272"/>
      <c r="Z876" s="272"/>
    </row>
    <row r="877" ht="15.75" customHeight="1">
      <c r="A877" s="272"/>
      <c r="B877" s="272"/>
      <c r="C877" s="272"/>
      <c r="D877" s="272"/>
      <c r="E877" s="272"/>
      <c r="F877" s="272"/>
      <c r="G877" s="272"/>
      <c r="H877" s="272"/>
      <c r="I877" s="272"/>
      <c r="J877" s="272"/>
      <c r="K877" s="272"/>
      <c r="L877" s="272"/>
      <c r="M877" s="272"/>
      <c r="N877" s="272"/>
      <c r="O877" s="272"/>
      <c r="P877" s="272"/>
      <c r="Q877" s="272"/>
      <c r="R877" s="272"/>
      <c r="S877" s="272"/>
      <c r="T877" s="272"/>
      <c r="U877" s="272"/>
      <c r="V877" s="272"/>
      <c r="W877" s="272"/>
      <c r="X877" s="272"/>
      <c r="Y877" s="272"/>
      <c r="Z877" s="272"/>
    </row>
    <row r="878" ht="15.75" customHeight="1">
      <c r="A878" s="272"/>
      <c r="B878" s="272"/>
      <c r="C878" s="272"/>
      <c r="D878" s="272"/>
      <c r="E878" s="272"/>
      <c r="F878" s="272"/>
      <c r="G878" s="272"/>
      <c r="H878" s="272"/>
      <c r="I878" s="272"/>
      <c r="J878" s="272"/>
      <c r="K878" s="272"/>
      <c r="L878" s="272"/>
      <c r="M878" s="272"/>
      <c r="N878" s="272"/>
      <c r="O878" s="272"/>
      <c r="P878" s="272"/>
      <c r="Q878" s="272"/>
      <c r="R878" s="272"/>
      <c r="S878" s="272"/>
      <c r="T878" s="272"/>
      <c r="U878" s="272"/>
      <c r="V878" s="272"/>
      <c r="W878" s="272"/>
      <c r="X878" s="272"/>
      <c r="Y878" s="272"/>
      <c r="Z878" s="272"/>
    </row>
    <row r="879" ht="15.75" customHeight="1">
      <c r="A879" s="272"/>
      <c r="B879" s="272"/>
      <c r="C879" s="272"/>
      <c r="D879" s="272"/>
      <c r="E879" s="272"/>
      <c r="F879" s="272"/>
      <c r="G879" s="272"/>
      <c r="H879" s="272"/>
      <c r="I879" s="272"/>
      <c r="J879" s="272"/>
      <c r="K879" s="272"/>
      <c r="L879" s="272"/>
      <c r="M879" s="272"/>
      <c r="N879" s="272"/>
      <c r="O879" s="272"/>
      <c r="P879" s="272"/>
      <c r="Q879" s="272"/>
      <c r="R879" s="272"/>
      <c r="S879" s="272"/>
      <c r="T879" s="272"/>
      <c r="U879" s="272"/>
      <c r="V879" s="272"/>
      <c r="W879" s="272"/>
      <c r="X879" s="272"/>
      <c r="Y879" s="272"/>
      <c r="Z879" s="272"/>
    </row>
    <row r="880" ht="15.75" customHeight="1">
      <c r="A880" s="272"/>
      <c r="B880" s="272"/>
      <c r="C880" s="272"/>
      <c r="D880" s="272"/>
      <c r="E880" s="272"/>
      <c r="F880" s="272"/>
      <c r="G880" s="272"/>
      <c r="H880" s="272"/>
      <c r="I880" s="272"/>
      <c r="J880" s="272"/>
      <c r="K880" s="272"/>
      <c r="L880" s="272"/>
      <c r="M880" s="272"/>
      <c r="N880" s="272"/>
      <c r="O880" s="272"/>
      <c r="P880" s="272"/>
      <c r="Q880" s="272"/>
      <c r="R880" s="272"/>
      <c r="S880" s="272"/>
      <c r="T880" s="272"/>
      <c r="U880" s="272"/>
      <c r="V880" s="272"/>
      <c r="W880" s="272"/>
      <c r="X880" s="272"/>
      <c r="Y880" s="272"/>
      <c r="Z880" s="272"/>
    </row>
    <row r="881" ht="15.75" customHeight="1">
      <c r="A881" s="272"/>
      <c r="B881" s="272"/>
      <c r="C881" s="272"/>
      <c r="D881" s="272"/>
      <c r="E881" s="272"/>
      <c r="F881" s="272"/>
      <c r="G881" s="272"/>
      <c r="H881" s="272"/>
      <c r="I881" s="272"/>
      <c r="J881" s="272"/>
      <c r="K881" s="272"/>
      <c r="L881" s="272"/>
      <c r="M881" s="272"/>
      <c r="N881" s="272"/>
      <c r="O881" s="272"/>
      <c r="P881" s="272"/>
      <c r="Q881" s="272"/>
      <c r="R881" s="272"/>
      <c r="S881" s="272"/>
      <c r="T881" s="272"/>
      <c r="U881" s="272"/>
      <c r="V881" s="272"/>
      <c r="W881" s="272"/>
      <c r="X881" s="272"/>
      <c r="Y881" s="272"/>
      <c r="Z881" s="272"/>
    </row>
    <row r="882" ht="15.75" customHeight="1">
      <c r="A882" s="272"/>
      <c r="B882" s="272"/>
      <c r="C882" s="272"/>
      <c r="D882" s="272"/>
      <c r="E882" s="272"/>
      <c r="F882" s="272"/>
      <c r="G882" s="272"/>
      <c r="H882" s="272"/>
      <c r="I882" s="272"/>
      <c r="J882" s="272"/>
      <c r="K882" s="272"/>
      <c r="L882" s="272"/>
      <c r="M882" s="272"/>
      <c r="N882" s="272"/>
      <c r="O882" s="272"/>
      <c r="P882" s="272"/>
      <c r="Q882" s="272"/>
      <c r="R882" s="272"/>
      <c r="S882" s="272"/>
      <c r="T882" s="272"/>
      <c r="U882" s="272"/>
      <c r="V882" s="272"/>
      <c r="W882" s="272"/>
      <c r="X882" s="272"/>
      <c r="Y882" s="272"/>
      <c r="Z882" s="272"/>
    </row>
    <row r="883" ht="15.75" customHeight="1">
      <c r="A883" s="272"/>
      <c r="B883" s="272"/>
      <c r="C883" s="272"/>
      <c r="D883" s="272"/>
      <c r="E883" s="272"/>
      <c r="F883" s="272"/>
      <c r="G883" s="272"/>
      <c r="H883" s="272"/>
      <c r="I883" s="272"/>
      <c r="J883" s="272"/>
      <c r="K883" s="272"/>
      <c r="L883" s="272"/>
      <c r="M883" s="272"/>
      <c r="N883" s="272"/>
      <c r="O883" s="272"/>
      <c r="P883" s="272"/>
      <c r="Q883" s="272"/>
      <c r="R883" s="272"/>
      <c r="S883" s="272"/>
      <c r="T883" s="272"/>
      <c r="U883" s="272"/>
      <c r="V883" s="272"/>
      <c r="W883" s="272"/>
      <c r="X883" s="272"/>
      <c r="Y883" s="272"/>
      <c r="Z883" s="272"/>
    </row>
    <row r="884" ht="15.75" customHeight="1">
      <c r="A884" s="272"/>
      <c r="B884" s="272"/>
      <c r="C884" s="272"/>
      <c r="D884" s="272"/>
      <c r="E884" s="272"/>
      <c r="F884" s="272"/>
      <c r="G884" s="272"/>
      <c r="H884" s="272"/>
      <c r="I884" s="272"/>
      <c r="J884" s="272"/>
      <c r="K884" s="272"/>
      <c r="L884" s="272"/>
      <c r="M884" s="272"/>
      <c r="N884" s="272"/>
      <c r="O884" s="272"/>
      <c r="P884" s="272"/>
      <c r="Q884" s="272"/>
      <c r="R884" s="272"/>
      <c r="S884" s="272"/>
      <c r="T884" s="272"/>
      <c r="U884" s="272"/>
      <c r="V884" s="272"/>
      <c r="W884" s="272"/>
      <c r="X884" s="272"/>
      <c r="Y884" s="272"/>
      <c r="Z884" s="272"/>
    </row>
    <row r="885" ht="15.75" customHeight="1">
      <c r="A885" s="272"/>
      <c r="B885" s="272"/>
      <c r="C885" s="272"/>
      <c r="D885" s="272"/>
      <c r="E885" s="272"/>
      <c r="F885" s="272"/>
      <c r="G885" s="272"/>
      <c r="H885" s="272"/>
      <c r="I885" s="272"/>
      <c r="J885" s="272"/>
      <c r="K885" s="272"/>
      <c r="L885" s="272"/>
      <c r="M885" s="272"/>
      <c r="N885" s="272"/>
      <c r="O885" s="272"/>
      <c r="P885" s="272"/>
      <c r="Q885" s="272"/>
      <c r="R885" s="272"/>
      <c r="S885" s="272"/>
      <c r="T885" s="272"/>
      <c r="U885" s="272"/>
      <c r="V885" s="272"/>
      <c r="W885" s="272"/>
      <c r="X885" s="272"/>
      <c r="Y885" s="272"/>
      <c r="Z885" s="272"/>
    </row>
    <row r="886" ht="15.75" customHeight="1">
      <c r="A886" s="272"/>
      <c r="B886" s="272"/>
      <c r="C886" s="272"/>
      <c r="D886" s="272"/>
      <c r="E886" s="272"/>
      <c r="F886" s="272"/>
      <c r="G886" s="272"/>
      <c r="H886" s="272"/>
      <c r="I886" s="272"/>
      <c r="J886" s="272"/>
      <c r="K886" s="272"/>
      <c r="L886" s="272"/>
      <c r="M886" s="272"/>
      <c r="N886" s="272"/>
      <c r="O886" s="272"/>
      <c r="P886" s="272"/>
      <c r="Q886" s="272"/>
      <c r="R886" s="272"/>
      <c r="S886" s="272"/>
      <c r="T886" s="272"/>
      <c r="U886" s="272"/>
      <c r="V886" s="272"/>
      <c r="W886" s="272"/>
      <c r="X886" s="272"/>
      <c r="Y886" s="272"/>
      <c r="Z886" s="272"/>
    </row>
    <row r="887" ht="15.75" customHeight="1">
      <c r="A887" s="272"/>
      <c r="B887" s="272"/>
      <c r="C887" s="272"/>
      <c r="D887" s="272"/>
      <c r="E887" s="272"/>
      <c r="F887" s="272"/>
      <c r="G887" s="272"/>
      <c r="H887" s="272"/>
      <c r="I887" s="272"/>
      <c r="J887" s="272"/>
      <c r="K887" s="272"/>
      <c r="L887" s="272"/>
      <c r="M887" s="272"/>
      <c r="N887" s="272"/>
      <c r="O887" s="272"/>
      <c r="P887" s="272"/>
      <c r="Q887" s="272"/>
      <c r="R887" s="272"/>
      <c r="S887" s="272"/>
      <c r="T887" s="272"/>
      <c r="U887" s="272"/>
      <c r="V887" s="272"/>
      <c r="W887" s="272"/>
      <c r="X887" s="272"/>
      <c r="Y887" s="272"/>
      <c r="Z887" s="272"/>
    </row>
    <row r="888" ht="15.75" customHeight="1">
      <c r="A888" s="272"/>
      <c r="B888" s="272"/>
      <c r="C888" s="272"/>
      <c r="D888" s="272"/>
      <c r="E888" s="272"/>
      <c r="F888" s="272"/>
      <c r="G888" s="272"/>
      <c r="H888" s="272"/>
      <c r="I888" s="272"/>
      <c r="J888" s="272"/>
      <c r="K888" s="272"/>
      <c r="L888" s="272"/>
      <c r="M888" s="272"/>
      <c r="N888" s="272"/>
      <c r="O888" s="272"/>
      <c r="P888" s="272"/>
      <c r="Q888" s="272"/>
      <c r="R888" s="272"/>
      <c r="S888" s="272"/>
      <c r="T888" s="272"/>
      <c r="U888" s="272"/>
      <c r="V888" s="272"/>
      <c r="W888" s="272"/>
      <c r="X888" s="272"/>
      <c r="Y888" s="272"/>
      <c r="Z888" s="272"/>
    </row>
    <row r="889" ht="15.75" customHeight="1">
      <c r="A889" s="272"/>
      <c r="B889" s="272"/>
      <c r="C889" s="272"/>
      <c r="D889" s="272"/>
      <c r="E889" s="272"/>
      <c r="F889" s="272"/>
      <c r="G889" s="272"/>
      <c r="H889" s="272"/>
      <c r="I889" s="272"/>
      <c r="J889" s="272"/>
      <c r="K889" s="272"/>
      <c r="L889" s="272"/>
      <c r="M889" s="272"/>
      <c r="N889" s="272"/>
      <c r="O889" s="272"/>
      <c r="P889" s="272"/>
      <c r="Q889" s="272"/>
      <c r="R889" s="272"/>
      <c r="S889" s="272"/>
      <c r="T889" s="272"/>
      <c r="U889" s="272"/>
      <c r="V889" s="272"/>
      <c r="W889" s="272"/>
      <c r="X889" s="272"/>
      <c r="Y889" s="272"/>
      <c r="Z889" s="272"/>
    </row>
    <row r="890" ht="15.75" customHeight="1">
      <c r="A890" s="272"/>
      <c r="B890" s="272"/>
      <c r="C890" s="272"/>
      <c r="D890" s="272"/>
      <c r="E890" s="272"/>
      <c r="F890" s="272"/>
      <c r="G890" s="272"/>
      <c r="H890" s="272"/>
      <c r="I890" s="272"/>
      <c r="J890" s="272"/>
      <c r="K890" s="272"/>
      <c r="L890" s="272"/>
      <c r="M890" s="272"/>
      <c r="N890" s="272"/>
      <c r="O890" s="272"/>
      <c r="P890" s="272"/>
      <c r="Q890" s="272"/>
      <c r="R890" s="272"/>
      <c r="S890" s="272"/>
      <c r="T890" s="272"/>
      <c r="U890" s="272"/>
      <c r="V890" s="272"/>
      <c r="W890" s="272"/>
      <c r="X890" s="272"/>
      <c r="Y890" s="272"/>
      <c r="Z890" s="272"/>
    </row>
    <row r="891" ht="15.75" customHeight="1">
      <c r="A891" s="272"/>
      <c r="B891" s="272"/>
      <c r="C891" s="272"/>
      <c r="D891" s="272"/>
      <c r="E891" s="272"/>
      <c r="F891" s="272"/>
      <c r="G891" s="272"/>
      <c r="H891" s="272"/>
      <c r="I891" s="272"/>
      <c r="J891" s="272"/>
      <c r="K891" s="272"/>
      <c r="L891" s="272"/>
      <c r="M891" s="272"/>
      <c r="N891" s="272"/>
      <c r="O891" s="272"/>
      <c r="P891" s="272"/>
      <c r="Q891" s="272"/>
      <c r="R891" s="272"/>
      <c r="S891" s="272"/>
      <c r="T891" s="272"/>
      <c r="U891" s="272"/>
      <c r="V891" s="272"/>
      <c r="W891" s="272"/>
      <c r="X891" s="272"/>
      <c r="Y891" s="272"/>
      <c r="Z891" s="272"/>
    </row>
    <row r="892" ht="15.75" customHeight="1">
      <c r="A892" s="272"/>
      <c r="B892" s="272"/>
      <c r="C892" s="272"/>
      <c r="D892" s="272"/>
      <c r="E892" s="272"/>
      <c r="F892" s="272"/>
      <c r="G892" s="272"/>
      <c r="H892" s="272"/>
      <c r="I892" s="272"/>
      <c r="J892" s="272"/>
      <c r="K892" s="272"/>
      <c r="L892" s="272"/>
      <c r="M892" s="272"/>
      <c r="N892" s="272"/>
      <c r="O892" s="272"/>
      <c r="P892" s="272"/>
      <c r="Q892" s="272"/>
      <c r="R892" s="272"/>
      <c r="S892" s="272"/>
      <c r="T892" s="272"/>
      <c r="U892" s="272"/>
      <c r="V892" s="272"/>
      <c r="W892" s="272"/>
      <c r="X892" s="272"/>
      <c r="Y892" s="272"/>
      <c r="Z892" s="272"/>
    </row>
    <row r="893" ht="15.75" customHeight="1">
      <c r="A893" s="272"/>
      <c r="B893" s="272"/>
      <c r="C893" s="272"/>
      <c r="D893" s="272"/>
      <c r="E893" s="272"/>
      <c r="F893" s="272"/>
      <c r="G893" s="272"/>
      <c r="H893" s="272"/>
      <c r="I893" s="272"/>
      <c r="J893" s="272"/>
      <c r="K893" s="272"/>
      <c r="L893" s="272"/>
      <c r="M893" s="272"/>
      <c r="N893" s="272"/>
      <c r="O893" s="272"/>
      <c r="P893" s="272"/>
      <c r="Q893" s="272"/>
      <c r="R893" s="272"/>
      <c r="S893" s="272"/>
      <c r="T893" s="272"/>
      <c r="U893" s="272"/>
      <c r="V893" s="272"/>
      <c r="W893" s="272"/>
      <c r="X893" s="272"/>
      <c r="Y893" s="272"/>
      <c r="Z893" s="272"/>
    </row>
    <row r="894" ht="15.75" customHeight="1">
      <c r="A894" s="272"/>
      <c r="B894" s="272"/>
      <c r="C894" s="272"/>
      <c r="D894" s="272"/>
      <c r="E894" s="272"/>
      <c r="F894" s="272"/>
      <c r="G894" s="272"/>
      <c r="H894" s="272"/>
      <c r="I894" s="272"/>
      <c r="J894" s="272"/>
      <c r="K894" s="272"/>
      <c r="L894" s="272"/>
      <c r="M894" s="272"/>
      <c r="N894" s="272"/>
      <c r="O894" s="272"/>
      <c r="P894" s="272"/>
      <c r="Q894" s="272"/>
      <c r="R894" s="272"/>
      <c r="S894" s="272"/>
      <c r="T894" s="272"/>
      <c r="U894" s="272"/>
      <c r="V894" s="272"/>
      <c r="W894" s="272"/>
      <c r="X894" s="272"/>
      <c r="Y894" s="272"/>
      <c r="Z894" s="272"/>
    </row>
    <row r="895" ht="15.75" customHeight="1">
      <c r="A895" s="272"/>
      <c r="B895" s="272"/>
      <c r="C895" s="272"/>
      <c r="D895" s="272"/>
      <c r="E895" s="272"/>
      <c r="F895" s="272"/>
      <c r="G895" s="272"/>
      <c r="H895" s="272"/>
      <c r="I895" s="272"/>
      <c r="J895" s="272"/>
      <c r="K895" s="272"/>
      <c r="L895" s="272"/>
      <c r="M895" s="272"/>
      <c r="N895" s="272"/>
      <c r="O895" s="272"/>
      <c r="P895" s="272"/>
      <c r="Q895" s="272"/>
      <c r="R895" s="272"/>
      <c r="S895" s="272"/>
      <c r="T895" s="272"/>
      <c r="U895" s="272"/>
      <c r="V895" s="272"/>
      <c r="W895" s="272"/>
      <c r="X895" s="272"/>
      <c r="Y895" s="272"/>
      <c r="Z895" s="272"/>
    </row>
    <row r="896" ht="15.75" customHeight="1">
      <c r="A896" s="272"/>
      <c r="B896" s="272"/>
      <c r="C896" s="272"/>
      <c r="D896" s="272"/>
      <c r="E896" s="272"/>
      <c r="F896" s="272"/>
      <c r="G896" s="272"/>
      <c r="H896" s="272"/>
      <c r="I896" s="272"/>
      <c r="J896" s="272"/>
      <c r="K896" s="272"/>
      <c r="L896" s="272"/>
      <c r="M896" s="272"/>
      <c r="N896" s="272"/>
      <c r="O896" s="272"/>
      <c r="P896" s="272"/>
      <c r="Q896" s="272"/>
      <c r="R896" s="272"/>
      <c r="S896" s="272"/>
      <c r="T896" s="272"/>
      <c r="U896" s="272"/>
      <c r="V896" s="272"/>
      <c r="W896" s="272"/>
      <c r="X896" s="272"/>
      <c r="Y896" s="272"/>
      <c r="Z896" s="272"/>
    </row>
    <row r="897" ht="15.75" customHeight="1">
      <c r="A897" s="272"/>
      <c r="B897" s="272"/>
      <c r="C897" s="272"/>
      <c r="D897" s="272"/>
      <c r="E897" s="272"/>
      <c r="F897" s="272"/>
      <c r="G897" s="272"/>
      <c r="H897" s="272"/>
      <c r="I897" s="272"/>
      <c r="J897" s="272"/>
      <c r="K897" s="272"/>
      <c r="L897" s="272"/>
      <c r="M897" s="272"/>
      <c r="N897" s="272"/>
      <c r="O897" s="272"/>
      <c r="P897" s="272"/>
      <c r="Q897" s="272"/>
      <c r="R897" s="272"/>
      <c r="S897" s="272"/>
      <c r="T897" s="272"/>
      <c r="U897" s="272"/>
      <c r="V897" s="272"/>
      <c r="W897" s="272"/>
      <c r="X897" s="272"/>
      <c r="Y897" s="272"/>
      <c r="Z897" s="272"/>
    </row>
    <row r="898" ht="15.75" customHeight="1">
      <c r="A898" s="272"/>
      <c r="B898" s="272"/>
      <c r="C898" s="272"/>
      <c r="D898" s="272"/>
      <c r="E898" s="272"/>
      <c r="F898" s="272"/>
      <c r="G898" s="272"/>
      <c r="H898" s="272"/>
      <c r="I898" s="272"/>
      <c r="J898" s="272"/>
      <c r="K898" s="272"/>
      <c r="L898" s="272"/>
      <c r="M898" s="272"/>
      <c r="N898" s="272"/>
      <c r="O898" s="272"/>
      <c r="P898" s="272"/>
      <c r="Q898" s="272"/>
      <c r="R898" s="272"/>
      <c r="S898" s="272"/>
      <c r="T898" s="272"/>
      <c r="U898" s="272"/>
      <c r="V898" s="272"/>
      <c r="W898" s="272"/>
      <c r="X898" s="272"/>
      <c r="Y898" s="272"/>
      <c r="Z898" s="272"/>
    </row>
    <row r="899" ht="15.75" customHeight="1">
      <c r="A899" s="272"/>
      <c r="B899" s="272"/>
      <c r="C899" s="272"/>
      <c r="D899" s="272"/>
      <c r="E899" s="272"/>
      <c r="F899" s="272"/>
      <c r="G899" s="272"/>
      <c r="H899" s="272"/>
      <c r="I899" s="272"/>
      <c r="J899" s="272"/>
      <c r="K899" s="272"/>
      <c r="L899" s="272"/>
      <c r="M899" s="272"/>
      <c r="N899" s="272"/>
      <c r="O899" s="272"/>
      <c r="P899" s="272"/>
      <c r="Q899" s="272"/>
      <c r="R899" s="272"/>
      <c r="S899" s="272"/>
      <c r="T899" s="272"/>
      <c r="U899" s="272"/>
      <c r="V899" s="272"/>
      <c r="W899" s="272"/>
      <c r="X899" s="272"/>
      <c r="Y899" s="272"/>
      <c r="Z899" s="272"/>
    </row>
    <row r="900" ht="15.75" customHeight="1">
      <c r="A900" s="272"/>
      <c r="B900" s="272"/>
      <c r="C900" s="272"/>
      <c r="D900" s="272"/>
      <c r="E900" s="272"/>
      <c r="F900" s="272"/>
      <c r="G900" s="272"/>
      <c r="H900" s="272"/>
      <c r="I900" s="272"/>
      <c r="J900" s="272"/>
      <c r="K900" s="272"/>
      <c r="L900" s="272"/>
      <c r="M900" s="272"/>
      <c r="N900" s="272"/>
      <c r="O900" s="272"/>
      <c r="P900" s="272"/>
      <c r="Q900" s="272"/>
      <c r="R900" s="272"/>
      <c r="S900" s="272"/>
      <c r="T900" s="272"/>
      <c r="U900" s="272"/>
      <c r="V900" s="272"/>
      <c r="W900" s="272"/>
      <c r="X900" s="272"/>
      <c r="Y900" s="272"/>
      <c r="Z900" s="272"/>
    </row>
    <row r="901" ht="15.75" customHeight="1">
      <c r="A901" s="272"/>
      <c r="B901" s="272"/>
      <c r="C901" s="272"/>
      <c r="D901" s="272"/>
      <c r="E901" s="272"/>
      <c r="F901" s="272"/>
      <c r="G901" s="272"/>
      <c r="H901" s="272"/>
      <c r="I901" s="272"/>
      <c r="J901" s="272"/>
      <c r="K901" s="272"/>
      <c r="L901" s="272"/>
      <c r="M901" s="272"/>
      <c r="N901" s="272"/>
      <c r="O901" s="272"/>
      <c r="P901" s="272"/>
      <c r="Q901" s="272"/>
      <c r="R901" s="272"/>
      <c r="S901" s="272"/>
      <c r="T901" s="272"/>
      <c r="U901" s="272"/>
      <c r="V901" s="272"/>
      <c r="W901" s="272"/>
      <c r="X901" s="272"/>
      <c r="Y901" s="272"/>
      <c r="Z901" s="272"/>
    </row>
    <row r="902" ht="15.75" customHeight="1">
      <c r="A902" s="272"/>
      <c r="B902" s="272"/>
      <c r="C902" s="272"/>
      <c r="D902" s="272"/>
      <c r="E902" s="272"/>
      <c r="F902" s="272"/>
      <c r="G902" s="272"/>
      <c r="H902" s="272"/>
      <c r="I902" s="272"/>
      <c r="J902" s="272"/>
      <c r="K902" s="272"/>
      <c r="L902" s="272"/>
      <c r="M902" s="272"/>
      <c r="N902" s="272"/>
      <c r="O902" s="272"/>
      <c r="P902" s="272"/>
      <c r="Q902" s="272"/>
      <c r="R902" s="272"/>
      <c r="S902" s="272"/>
      <c r="T902" s="272"/>
      <c r="U902" s="272"/>
      <c r="V902" s="272"/>
      <c r="W902" s="272"/>
      <c r="X902" s="272"/>
      <c r="Y902" s="272"/>
      <c r="Z902" s="272"/>
    </row>
    <row r="903" ht="15.75" customHeight="1">
      <c r="A903" s="272"/>
      <c r="B903" s="272"/>
      <c r="C903" s="272"/>
      <c r="D903" s="272"/>
      <c r="E903" s="272"/>
      <c r="F903" s="272"/>
      <c r="G903" s="272"/>
      <c r="H903" s="272"/>
      <c r="I903" s="272"/>
      <c r="J903" s="272"/>
      <c r="K903" s="272"/>
      <c r="L903" s="272"/>
      <c r="M903" s="272"/>
      <c r="N903" s="272"/>
      <c r="O903" s="272"/>
      <c r="P903" s="272"/>
      <c r="Q903" s="272"/>
      <c r="R903" s="272"/>
      <c r="S903" s="272"/>
      <c r="T903" s="272"/>
      <c r="U903" s="272"/>
      <c r="V903" s="272"/>
      <c r="W903" s="272"/>
      <c r="X903" s="272"/>
      <c r="Y903" s="272"/>
      <c r="Z903" s="272"/>
    </row>
    <row r="904" ht="15.75" customHeight="1">
      <c r="A904" s="272"/>
      <c r="B904" s="272"/>
      <c r="C904" s="272"/>
      <c r="D904" s="272"/>
      <c r="E904" s="272"/>
      <c r="F904" s="272"/>
      <c r="G904" s="272"/>
      <c r="H904" s="272"/>
      <c r="I904" s="272"/>
      <c r="J904" s="272"/>
      <c r="K904" s="272"/>
      <c r="L904" s="272"/>
      <c r="M904" s="272"/>
      <c r="N904" s="272"/>
      <c r="O904" s="272"/>
      <c r="P904" s="272"/>
      <c r="Q904" s="272"/>
      <c r="R904" s="272"/>
      <c r="S904" s="272"/>
      <c r="T904" s="272"/>
      <c r="U904" s="272"/>
      <c r="V904" s="272"/>
      <c r="W904" s="272"/>
      <c r="X904" s="272"/>
      <c r="Y904" s="272"/>
      <c r="Z904" s="272"/>
    </row>
    <row r="905" ht="15.75" customHeight="1">
      <c r="A905" s="272"/>
      <c r="B905" s="272"/>
      <c r="C905" s="272"/>
      <c r="D905" s="272"/>
      <c r="E905" s="272"/>
      <c r="F905" s="272"/>
      <c r="G905" s="272"/>
      <c r="H905" s="272"/>
      <c r="I905" s="272"/>
      <c r="J905" s="272"/>
      <c r="K905" s="272"/>
      <c r="L905" s="272"/>
      <c r="M905" s="272"/>
      <c r="N905" s="272"/>
      <c r="O905" s="272"/>
      <c r="P905" s="272"/>
      <c r="Q905" s="272"/>
      <c r="R905" s="272"/>
      <c r="S905" s="272"/>
      <c r="T905" s="272"/>
      <c r="U905" s="272"/>
      <c r="V905" s="272"/>
      <c r="W905" s="272"/>
      <c r="X905" s="272"/>
      <c r="Y905" s="272"/>
      <c r="Z905" s="272"/>
    </row>
    <row r="906" ht="15.75" customHeight="1">
      <c r="A906" s="272"/>
      <c r="B906" s="272"/>
      <c r="C906" s="272"/>
      <c r="D906" s="272"/>
      <c r="E906" s="272"/>
      <c r="F906" s="272"/>
      <c r="G906" s="272"/>
      <c r="H906" s="272"/>
      <c r="I906" s="272"/>
      <c r="J906" s="272"/>
      <c r="K906" s="272"/>
      <c r="L906" s="272"/>
      <c r="M906" s="272"/>
      <c r="N906" s="272"/>
      <c r="O906" s="272"/>
      <c r="P906" s="272"/>
      <c r="Q906" s="272"/>
      <c r="R906" s="272"/>
      <c r="S906" s="272"/>
      <c r="T906" s="272"/>
      <c r="U906" s="272"/>
      <c r="V906" s="272"/>
      <c r="W906" s="272"/>
      <c r="X906" s="272"/>
      <c r="Y906" s="272"/>
      <c r="Z906" s="272"/>
    </row>
    <row r="907" ht="15.75" customHeight="1">
      <c r="A907" s="272"/>
      <c r="B907" s="272"/>
      <c r="C907" s="272"/>
      <c r="D907" s="272"/>
      <c r="E907" s="272"/>
      <c r="F907" s="272"/>
      <c r="G907" s="272"/>
      <c r="H907" s="272"/>
      <c r="I907" s="272"/>
      <c r="J907" s="272"/>
      <c r="K907" s="272"/>
      <c r="L907" s="272"/>
      <c r="M907" s="272"/>
      <c r="N907" s="272"/>
      <c r="O907" s="272"/>
      <c r="P907" s="272"/>
      <c r="Q907" s="272"/>
      <c r="R907" s="272"/>
      <c r="S907" s="272"/>
      <c r="T907" s="272"/>
      <c r="U907" s="272"/>
      <c r="V907" s="272"/>
      <c r="W907" s="272"/>
      <c r="X907" s="272"/>
      <c r="Y907" s="272"/>
      <c r="Z907" s="272"/>
    </row>
    <row r="908" ht="15.75" customHeight="1">
      <c r="A908" s="272"/>
      <c r="B908" s="272"/>
      <c r="C908" s="272"/>
      <c r="D908" s="272"/>
      <c r="E908" s="272"/>
      <c r="F908" s="272"/>
      <c r="G908" s="272"/>
      <c r="H908" s="272"/>
      <c r="I908" s="272"/>
      <c r="J908" s="272"/>
      <c r="K908" s="272"/>
      <c r="L908" s="272"/>
      <c r="M908" s="272"/>
      <c r="N908" s="272"/>
      <c r="O908" s="272"/>
      <c r="P908" s="272"/>
      <c r="Q908" s="272"/>
      <c r="R908" s="272"/>
      <c r="S908" s="272"/>
      <c r="T908" s="272"/>
      <c r="U908" s="272"/>
      <c r="V908" s="272"/>
      <c r="W908" s="272"/>
      <c r="X908" s="272"/>
      <c r="Y908" s="272"/>
      <c r="Z908" s="272"/>
    </row>
    <row r="909" ht="15.75" customHeight="1">
      <c r="A909" s="272"/>
      <c r="B909" s="272"/>
      <c r="C909" s="272"/>
      <c r="D909" s="272"/>
      <c r="E909" s="272"/>
      <c r="F909" s="272"/>
      <c r="G909" s="272"/>
      <c r="H909" s="272"/>
      <c r="I909" s="272"/>
      <c r="J909" s="272"/>
      <c r="K909" s="272"/>
      <c r="L909" s="272"/>
      <c r="M909" s="272"/>
      <c r="N909" s="272"/>
      <c r="O909" s="272"/>
      <c r="P909" s="272"/>
      <c r="Q909" s="272"/>
      <c r="R909" s="272"/>
      <c r="S909" s="272"/>
      <c r="T909" s="272"/>
      <c r="U909" s="272"/>
      <c r="V909" s="272"/>
      <c r="W909" s="272"/>
      <c r="X909" s="272"/>
      <c r="Y909" s="272"/>
      <c r="Z909" s="272"/>
    </row>
    <row r="910" ht="15.75" customHeight="1">
      <c r="A910" s="272"/>
      <c r="B910" s="272"/>
      <c r="C910" s="272"/>
      <c r="D910" s="272"/>
      <c r="E910" s="272"/>
      <c r="F910" s="272"/>
      <c r="G910" s="272"/>
      <c r="H910" s="272"/>
      <c r="I910" s="272"/>
      <c r="J910" s="272"/>
      <c r="K910" s="272"/>
      <c r="L910" s="272"/>
      <c r="M910" s="272"/>
      <c r="N910" s="272"/>
      <c r="O910" s="272"/>
      <c r="P910" s="272"/>
      <c r="Q910" s="272"/>
      <c r="R910" s="272"/>
      <c r="S910" s="272"/>
      <c r="T910" s="272"/>
      <c r="U910" s="272"/>
      <c r="V910" s="272"/>
      <c r="W910" s="272"/>
      <c r="X910" s="272"/>
      <c r="Y910" s="272"/>
      <c r="Z910" s="272"/>
    </row>
    <row r="911" ht="15.75" customHeight="1">
      <c r="A911" s="272"/>
      <c r="B911" s="272"/>
      <c r="C911" s="272"/>
      <c r="D911" s="272"/>
      <c r="E911" s="272"/>
      <c r="F911" s="272"/>
      <c r="G911" s="272"/>
      <c r="H911" s="272"/>
      <c r="I911" s="272"/>
      <c r="J911" s="272"/>
      <c r="K911" s="272"/>
      <c r="L911" s="272"/>
      <c r="M911" s="272"/>
      <c r="N911" s="272"/>
      <c r="O911" s="272"/>
      <c r="P911" s="272"/>
      <c r="Q911" s="272"/>
      <c r="R911" s="272"/>
      <c r="S911" s="272"/>
      <c r="T911" s="272"/>
      <c r="U911" s="272"/>
      <c r="V911" s="272"/>
      <c r="W911" s="272"/>
      <c r="X911" s="272"/>
      <c r="Y911" s="272"/>
      <c r="Z911" s="272"/>
    </row>
    <row r="912" ht="15.75" customHeight="1">
      <c r="A912" s="272"/>
      <c r="B912" s="272"/>
      <c r="C912" s="272"/>
      <c r="D912" s="272"/>
      <c r="E912" s="272"/>
      <c r="F912" s="272"/>
      <c r="G912" s="272"/>
      <c r="H912" s="272"/>
      <c r="I912" s="272"/>
      <c r="J912" s="272"/>
      <c r="K912" s="272"/>
      <c r="L912" s="272"/>
      <c r="M912" s="272"/>
      <c r="N912" s="272"/>
      <c r="O912" s="272"/>
      <c r="P912" s="272"/>
      <c r="Q912" s="272"/>
      <c r="R912" s="272"/>
      <c r="S912" s="272"/>
      <c r="T912" s="272"/>
      <c r="U912" s="272"/>
      <c r="V912" s="272"/>
      <c r="W912" s="272"/>
      <c r="X912" s="272"/>
      <c r="Y912" s="272"/>
      <c r="Z912" s="272"/>
    </row>
    <row r="913" ht="15.75" customHeight="1">
      <c r="A913" s="272"/>
      <c r="B913" s="272"/>
      <c r="C913" s="272"/>
      <c r="D913" s="272"/>
      <c r="E913" s="272"/>
      <c r="F913" s="272"/>
      <c r="G913" s="272"/>
      <c r="H913" s="272"/>
      <c r="I913" s="272"/>
      <c r="J913" s="272"/>
      <c r="K913" s="272"/>
      <c r="L913" s="272"/>
      <c r="M913" s="272"/>
      <c r="N913" s="272"/>
      <c r="O913" s="272"/>
      <c r="P913" s="272"/>
      <c r="Q913" s="272"/>
      <c r="R913" s="272"/>
      <c r="S913" s="272"/>
      <c r="T913" s="272"/>
      <c r="U913" s="272"/>
      <c r="V913" s="272"/>
      <c r="W913" s="272"/>
      <c r="X913" s="272"/>
      <c r="Y913" s="272"/>
      <c r="Z913" s="272"/>
    </row>
    <row r="914" ht="15.75" customHeight="1">
      <c r="A914" s="272"/>
      <c r="B914" s="272"/>
      <c r="C914" s="272"/>
      <c r="D914" s="272"/>
      <c r="E914" s="272"/>
      <c r="F914" s="272"/>
      <c r="G914" s="272"/>
      <c r="H914" s="272"/>
      <c r="I914" s="272"/>
      <c r="J914" s="272"/>
      <c r="K914" s="272"/>
      <c r="L914" s="272"/>
      <c r="M914" s="272"/>
      <c r="N914" s="272"/>
      <c r="O914" s="272"/>
      <c r="P914" s="272"/>
      <c r="Q914" s="272"/>
      <c r="R914" s="272"/>
      <c r="S914" s="272"/>
      <c r="T914" s="272"/>
      <c r="U914" s="272"/>
      <c r="V914" s="272"/>
      <c r="W914" s="272"/>
      <c r="X914" s="272"/>
      <c r="Y914" s="272"/>
      <c r="Z914" s="272"/>
    </row>
    <row r="915" ht="15.75" customHeight="1">
      <c r="A915" s="272"/>
      <c r="B915" s="272"/>
      <c r="C915" s="272"/>
      <c r="D915" s="272"/>
      <c r="E915" s="272"/>
      <c r="F915" s="272"/>
      <c r="G915" s="272"/>
      <c r="H915" s="272"/>
      <c r="I915" s="272"/>
      <c r="J915" s="272"/>
      <c r="K915" s="272"/>
      <c r="L915" s="272"/>
      <c r="M915" s="272"/>
      <c r="N915" s="272"/>
      <c r="O915" s="272"/>
      <c r="P915" s="272"/>
      <c r="Q915" s="272"/>
      <c r="R915" s="272"/>
      <c r="S915" s="272"/>
      <c r="T915" s="272"/>
      <c r="U915" s="272"/>
      <c r="V915" s="272"/>
      <c r="W915" s="272"/>
      <c r="X915" s="272"/>
      <c r="Y915" s="272"/>
      <c r="Z915" s="272"/>
    </row>
    <row r="916" ht="15.75" customHeight="1">
      <c r="A916" s="272"/>
      <c r="B916" s="272"/>
      <c r="C916" s="272"/>
      <c r="D916" s="272"/>
      <c r="E916" s="272"/>
      <c r="F916" s="272"/>
      <c r="G916" s="272"/>
      <c r="H916" s="272"/>
      <c r="I916" s="272"/>
      <c r="J916" s="272"/>
      <c r="K916" s="272"/>
      <c r="L916" s="272"/>
      <c r="M916" s="272"/>
      <c r="N916" s="272"/>
      <c r="O916" s="272"/>
      <c r="P916" s="272"/>
      <c r="Q916" s="272"/>
      <c r="R916" s="272"/>
      <c r="S916" s="272"/>
      <c r="T916" s="272"/>
      <c r="U916" s="272"/>
      <c r="V916" s="272"/>
      <c r="W916" s="272"/>
      <c r="X916" s="272"/>
      <c r="Y916" s="272"/>
      <c r="Z916" s="272"/>
    </row>
    <row r="917" ht="15.75" customHeight="1">
      <c r="A917" s="272"/>
      <c r="B917" s="272"/>
      <c r="C917" s="272"/>
      <c r="D917" s="272"/>
      <c r="E917" s="272"/>
      <c r="F917" s="272"/>
      <c r="G917" s="272"/>
      <c r="H917" s="272"/>
      <c r="I917" s="272"/>
      <c r="J917" s="272"/>
      <c r="K917" s="272"/>
      <c r="L917" s="272"/>
      <c r="M917" s="272"/>
      <c r="N917" s="272"/>
      <c r="O917" s="272"/>
      <c r="P917" s="272"/>
      <c r="Q917" s="272"/>
      <c r="R917" s="272"/>
      <c r="S917" s="272"/>
      <c r="T917" s="272"/>
      <c r="U917" s="272"/>
      <c r="V917" s="272"/>
      <c r="W917" s="272"/>
      <c r="X917" s="272"/>
      <c r="Y917" s="272"/>
      <c r="Z917" s="272"/>
    </row>
    <row r="918" ht="15.75" customHeight="1">
      <c r="A918" s="272"/>
      <c r="B918" s="272"/>
      <c r="C918" s="272"/>
      <c r="D918" s="272"/>
      <c r="E918" s="272"/>
      <c r="F918" s="272"/>
      <c r="G918" s="272"/>
      <c r="H918" s="272"/>
      <c r="I918" s="272"/>
      <c r="J918" s="272"/>
      <c r="K918" s="272"/>
      <c r="L918" s="272"/>
      <c r="M918" s="272"/>
      <c r="N918" s="272"/>
      <c r="O918" s="272"/>
      <c r="P918" s="272"/>
      <c r="Q918" s="272"/>
      <c r="R918" s="272"/>
      <c r="S918" s="272"/>
      <c r="T918" s="272"/>
      <c r="U918" s="272"/>
      <c r="V918" s="272"/>
      <c r="W918" s="272"/>
      <c r="X918" s="272"/>
      <c r="Y918" s="272"/>
      <c r="Z918" s="272"/>
    </row>
    <row r="919" ht="15.75" customHeight="1">
      <c r="A919" s="272"/>
      <c r="B919" s="272"/>
      <c r="C919" s="272"/>
      <c r="D919" s="272"/>
      <c r="E919" s="272"/>
      <c r="F919" s="272"/>
      <c r="G919" s="272"/>
      <c r="H919" s="272"/>
      <c r="I919" s="272"/>
      <c r="J919" s="272"/>
      <c r="K919" s="272"/>
      <c r="L919" s="272"/>
      <c r="M919" s="272"/>
      <c r="N919" s="272"/>
      <c r="O919" s="272"/>
      <c r="P919" s="272"/>
      <c r="Q919" s="272"/>
      <c r="R919" s="272"/>
      <c r="S919" s="272"/>
      <c r="T919" s="272"/>
      <c r="U919" s="272"/>
      <c r="V919" s="272"/>
      <c r="W919" s="272"/>
      <c r="X919" s="272"/>
      <c r="Y919" s="272"/>
      <c r="Z919" s="272"/>
    </row>
    <row r="920" ht="15.75" customHeight="1">
      <c r="A920" s="272"/>
      <c r="B920" s="272"/>
      <c r="C920" s="272"/>
      <c r="D920" s="272"/>
      <c r="E920" s="272"/>
      <c r="F920" s="272"/>
      <c r="G920" s="272"/>
      <c r="H920" s="272"/>
      <c r="I920" s="272"/>
      <c r="J920" s="272"/>
      <c r="K920" s="272"/>
      <c r="L920" s="272"/>
      <c r="M920" s="272"/>
      <c r="N920" s="272"/>
      <c r="O920" s="272"/>
      <c r="P920" s="272"/>
      <c r="Q920" s="272"/>
      <c r="R920" s="272"/>
      <c r="S920" s="272"/>
      <c r="T920" s="272"/>
      <c r="U920" s="272"/>
      <c r="V920" s="272"/>
      <c r="W920" s="272"/>
      <c r="X920" s="272"/>
      <c r="Y920" s="272"/>
      <c r="Z920" s="272"/>
    </row>
    <row r="921" ht="15.75" customHeight="1">
      <c r="A921" s="272"/>
      <c r="B921" s="272"/>
      <c r="C921" s="272"/>
      <c r="D921" s="272"/>
      <c r="E921" s="272"/>
      <c r="F921" s="272"/>
      <c r="G921" s="272"/>
      <c r="H921" s="272"/>
      <c r="I921" s="272"/>
      <c r="J921" s="272"/>
      <c r="K921" s="272"/>
      <c r="L921" s="272"/>
      <c r="M921" s="272"/>
      <c r="N921" s="272"/>
      <c r="O921" s="272"/>
      <c r="P921" s="272"/>
      <c r="Q921" s="272"/>
      <c r="R921" s="272"/>
      <c r="S921" s="272"/>
      <c r="T921" s="272"/>
      <c r="U921" s="272"/>
      <c r="V921" s="272"/>
      <c r="W921" s="272"/>
      <c r="X921" s="272"/>
      <c r="Y921" s="272"/>
      <c r="Z921" s="272"/>
    </row>
    <row r="922" ht="15.75" customHeight="1">
      <c r="A922" s="272"/>
      <c r="B922" s="272"/>
      <c r="C922" s="272"/>
      <c r="D922" s="272"/>
      <c r="E922" s="272"/>
      <c r="F922" s="272"/>
      <c r="G922" s="272"/>
      <c r="H922" s="272"/>
      <c r="I922" s="272"/>
      <c r="J922" s="272"/>
      <c r="K922" s="272"/>
      <c r="L922" s="272"/>
      <c r="M922" s="272"/>
      <c r="N922" s="272"/>
      <c r="O922" s="272"/>
      <c r="P922" s="272"/>
      <c r="Q922" s="272"/>
      <c r="R922" s="272"/>
      <c r="S922" s="272"/>
      <c r="T922" s="272"/>
      <c r="U922" s="272"/>
      <c r="V922" s="272"/>
      <c r="W922" s="272"/>
      <c r="X922" s="272"/>
      <c r="Y922" s="272"/>
      <c r="Z922" s="272"/>
    </row>
    <row r="923" ht="15.75" customHeight="1">
      <c r="A923" s="272"/>
      <c r="B923" s="272"/>
      <c r="C923" s="272"/>
      <c r="D923" s="272"/>
      <c r="E923" s="272"/>
      <c r="F923" s="272"/>
      <c r="G923" s="272"/>
      <c r="H923" s="272"/>
      <c r="I923" s="272"/>
      <c r="J923" s="272"/>
      <c r="K923" s="272"/>
      <c r="L923" s="272"/>
      <c r="M923" s="272"/>
      <c r="N923" s="272"/>
      <c r="O923" s="272"/>
      <c r="P923" s="272"/>
      <c r="Q923" s="272"/>
      <c r="R923" s="272"/>
      <c r="S923" s="272"/>
      <c r="T923" s="272"/>
      <c r="U923" s="272"/>
      <c r="V923" s="272"/>
      <c r="W923" s="272"/>
      <c r="X923" s="272"/>
      <c r="Y923" s="272"/>
      <c r="Z923" s="272"/>
    </row>
    <row r="924" ht="15.75" customHeight="1">
      <c r="A924" s="272"/>
      <c r="B924" s="272"/>
      <c r="C924" s="272"/>
      <c r="D924" s="272"/>
      <c r="E924" s="272"/>
      <c r="F924" s="272"/>
      <c r="G924" s="272"/>
      <c r="H924" s="272"/>
      <c r="I924" s="272"/>
      <c r="J924" s="272"/>
      <c r="K924" s="272"/>
      <c r="L924" s="272"/>
      <c r="M924" s="272"/>
      <c r="N924" s="272"/>
      <c r="O924" s="272"/>
      <c r="P924" s="272"/>
      <c r="Q924" s="272"/>
      <c r="R924" s="272"/>
      <c r="S924" s="272"/>
      <c r="T924" s="272"/>
      <c r="U924" s="272"/>
      <c r="V924" s="272"/>
      <c r="W924" s="272"/>
      <c r="X924" s="272"/>
      <c r="Y924" s="272"/>
      <c r="Z924" s="272"/>
    </row>
    <row r="925" ht="15.75" customHeight="1">
      <c r="A925" s="272"/>
      <c r="B925" s="272"/>
      <c r="C925" s="272"/>
      <c r="D925" s="272"/>
      <c r="E925" s="272"/>
      <c r="F925" s="272"/>
      <c r="G925" s="272"/>
      <c r="H925" s="272"/>
      <c r="I925" s="272"/>
      <c r="J925" s="272"/>
      <c r="K925" s="272"/>
      <c r="L925" s="272"/>
      <c r="M925" s="272"/>
      <c r="N925" s="272"/>
      <c r="O925" s="272"/>
      <c r="P925" s="272"/>
      <c r="Q925" s="272"/>
      <c r="R925" s="272"/>
      <c r="S925" s="272"/>
      <c r="T925" s="272"/>
      <c r="U925" s="272"/>
      <c r="V925" s="272"/>
      <c r="W925" s="272"/>
      <c r="X925" s="272"/>
      <c r="Y925" s="272"/>
      <c r="Z925" s="272"/>
    </row>
    <row r="926" ht="15.75" customHeight="1">
      <c r="A926" s="272"/>
      <c r="B926" s="272"/>
      <c r="C926" s="272"/>
      <c r="D926" s="272"/>
      <c r="E926" s="272"/>
      <c r="F926" s="272"/>
      <c r="G926" s="272"/>
      <c r="H926" s="272"/>
      <c r="I926" s="272"/>
      <c r="J926" s="272"/>
      <c r="K926" s="272"/>
      <c r="L926" s="272"/>
      <c r="M926" s="272"/>
      <c r="N926" s="272"/>
      <c r="O926" s="272"/>
      <c r="P926" s="272"/>
      <c r="Q926" s="272"/>
      <c r="R926" s="272"/>
      <c r="S926" s="272"/>
      <c r="T926" s="272"/>
      <c r="U926" s="272"/>
      <c r="V926" s="272"/>
      <c r="W926" s="272"/>
      <c r="X926" s="272"/>
      <c r="Y926" s="272"/>
      <c r="Z926" s="272"/>
    </row>
    <row r="927" ht="15.75" customHeight="1">
      <c r="A927" s="272"/>
      <c r="B927" s="272"/>
      <c r="C927" s="272"/>
      <c r="D927" s="272"/>
      <c r="E927" s="272"/>
      <c r="F927" s="272"/>
      <c r="G927" s="272"/>
      <c r="H927" s="272"/>
      <c r="I927" s="272"/>
      <c r="J927" s="272"/>
      <c r="K927" s="272"/>
      <c r="L927" s="272"/>
      <c r="M927" s="272"/>
      <c r="N927" s="272"/>
      <c r="O927" s="272"/>
      <c r="P927" s="272"/>
      <c r="Q927" s="272"/>
      <c r="R927" s="272"/>
      <c r="S927" s="272"/>
      <c r="T927" s="272"/>
      <c r="U927" s="272"/>
      <c r="V927" s="272"/>
      <c r="W927" s="272"/>
      <c r="X927" s="272"/>
      <c r="Y927" s="272"/>
      <c r="Z927" s="272"/>
    </row>
    <row r="928" ht="15.75" customHeight="1">
      <c r="A928" s="272"/>
      <c r="B928" s="272"/>
      <c r="C928" s="272"/>
      <c r="D928" s="272"/>
      <c r="E928" s="272"/>
      <c r="F928" s="272"/>
      <c r="G928" s="272"/>
      <c r="H928" s="272"/>
      <c r="I928" s="272"/>
      <c r="J928" s="272"/>
      <c r="K928" s="272"/>
      <c r="L928" s="272"/>
      <c r="M928" s="272"/>
      <c r="N928" s="272"/>
      <c r="O928" s="272"/>
      <c r="P928" s="272"/>
      <c r="Q928" s="272"/>
      <c r="R928" s="272"/>
      <c r="S928" s="272"/>
      <c r="T928" s="272"/>
      <c r="U928" s="272"/>
      <c r="V928" s="272"/>
      <c r="W928" s="272"/>
      <c r="X928" s="272"/>
      <c r="Y928" s="272"/>
      <c r="Z928" s="272"/>
    </row>
    <row r="929" ht="15.75" customHeight="1">
      <c r="A929" s="272"/>
      <c r="B929" s="272"/>
      <c r="C929" s="272"/>
      <c r="D929" s="272"/>
      <c r="E929" s="272"/>
      <c r="F929" s="272"/>
      <c r="G929" s="272"/>
      <c r="H929" s="272"/>
      <c r="I929" s="272"/>
      <c r="J929" s="272"/>
      <c r="K929" s="272"/>
      <c r="L929" s="272"/>
      <c r="M929" s="272"/>
      <c r="N929" s="272"/>
      <c r="O929" s="272"/>
      <c r="P929" s="272"/>
      <c r="Q929" s="272"/>
      <c r="R929" s="272"/>
      <c r="S929" s="272"/>
      <c r="T929" s="272"/>
      <c r="U929" s="272"/>
      <c r="V929" s="272"/>
      <c r="W929" s="272"/>
      <c r="X929" s="272"/>
      <c r="Y929" s="272"/>
      <c r="Z929" s="272"/>
    </row>
    <row r="930" ht="15.75" customHeight="1">
      <c r="A930" s="272"/>
      <c r="B930" s="272"/>
      <c r="C930" s="272"/>
      <c r="D930" s="272"/>
      <c r="E930" s="272"/>
      <c r="F930" s="272"/>
      <c r="G930" s="272"/>
      <c r="H930" s="272"/>
      <c r="I930" s="272"/>
      <c r="J930" s="272"/>
      <c r="K930" s="272"/>
      <c r="L930" s="272"/>
      <c r="M930" s="272"/>
      <c r="N930" s="272"/>
      <c r="O930" s="272"/>
      <c r="P930" s="272"/>
      <c r="Q930" s="272"/>
      <c r="R930" s="272"/>
      <c r="S930" s="272"/>
      <c r="T930" s="272"/>
      <c r="U930" s="272"/>
      <c r="V930" s="272"/>
      <c r="W930" s="272"/>
      <c r="X930" s="272"/>
      <c r="Y930" s="272"/>
      <c r="Z930" s="272"/>
    </row>
    <row r="931" ht="15.75" customHeight="1">
      <c r="A931" s="272"/>
      <c r="B931" s="272"/>
      <c r="C931" s="272"/>
      <c r="D931" s="272"/>
      <c r="E931" s="272"/>
      <c r="F931" s="272"/>
      <c r="G931" s="272"/>
      <c r="H931" s="272"/>
      <c r="I931" s="272"/>
      <c r="J931" s="272"/>
      <c r="K931" s="272"/>
      <c r="L931" s="272"/>
      <c r="M931" s="272"/>
      <c r="N931" s="272"/>
      <c r="O931" s="272"/>
      <c r="P931" s="272"/>
      <c r="Q931" s="272"/>
      <c r="R931" s="272"/>
      <c r="S931" s="272"/>
      <c r="T931" s="272"/>
      <c r="U931" s="272"/>
      <c r="V931" s="272"/>
      <c r="W931" s="272"/>
      <c r="X931" s="272"/>
      <c r="Y931" s="272"/>
      <c r="Z931" s="272"/>
    </row>
    <row r="932" ht="15.75" customHeight="1">
      <c r="A932" s="272"/>
      <c r="B932" s="272"/>
      <c r="C932" s="272"/>
      <c r="D932" s="272"/>
      <c r="E932" s="272"/>
      <c r="F932" s="272"/>
      <c r="G932" s="272"/>
      <c r="H932" s="272"/>
      <c r="I932" s="272"/>
      <c r="J932" s="272"/>
      <c r="K932" s="272"/>
      <c r="L932" s="272"/>
      <c r="M932" s="272"/>
      <c r="N932" s="272"/>
      <c r="O932" s="272"/>
      <c r="P932" s="272"/>
      <c r="Q932" s="272"/>
      <c r="R932" s="272"/>
      <c r="S932" s="272"/>
      <c r="T932" s="272"/>
      <c r="U932" s="272"/>
      <c r="V932" s="272"/>
      <c r="W932" s="272"/>
      <c r="X932" s="272"/>
      <c r="Y932" s="272"/>
      <c r="Z932" s="272"/>
    </row>
    <row r="933" ht="15.75" customHeight="1">
      <c r="A933" s="272"/>
      <c r="B933" s="272"/>
      <c r="C933" s="272"/>
      <c r="D933" s="272"/>
      <c r="E933" s="272"/>
      <c r="F933" s="272"/>
      <c r="G933" s="272"/>
      <c r="H933" s="272"/>
      <c r="I933" s="272"/>
      <c r="J933" s="272"/>
      <c r="K933" s="272"/>
      <c r="L933" s="272"/>
      <c r="M933" s="272"/>
      <c r="N933" s="272"/>
      <c r="O933" s="272"/>
      <c r="P933" s="272"/>
      <c r="Q933" s="272"/>
      <c r="R933" s="272"/>
      <c r="S933" s="272"/>
      <c r="T933" s="272"/>
      <c r="U933" s="272"/>
      <c r="V933" s="272"/>
      <c r="W933" s="272"/>
      <c r="X933" s="272"/>
      <c r="Y933" s="272"/>
      <c r="Z933" s="272"/>
    </row>
    <row r="934" ht="15.75" customHeight="1">
      <c r="A934" s="272"/>
      <c r="B934" s="272"/>
      <c r="C934" s="272"/>
      <c r="D934" s="272"/>
      <c r="E934" s="272"/>
      <c r="F934" s="272"/>
      <c r="G934" s="272"/>
      <c r="H934" s="272"/>
      <c r="I934" s="272"/>
      <c r="J934" s="272"/>
      <c r="K934" s="272"/>
      <c r="L934" s="272"/>
      <c r="M934" s="272"/>
      <c r="N934" s="272"/>
      <c r="O934" s="272"/>
      <c r="P934" s="272"/>
      <c r="Q934" s="272"/>
      <c r="R934" s="272"/>
      <c r="S934" s="272"/>
      <c r="T934" s="272"/>
      <c r="U934" s="272"/>
      <c r="V934" s="272"/>
      <c r="W934" s="272"/>
      <c r="X934" s="272"/>
      <c r="Y934" s="272"/>
      <c r="Z934" s="272"/>
    </row>
    <row r="935" ht="15.75" customHeight="1">
      <c r="A935" s="272"/>
      <c r="B935" s="272"/>
      <c r="C935" s="272"/>
      <c r="D935" s="272"/>
      <c r="E935" s="272"/>
      <c r="F935" s="272"/>
      <c r="G935" s="272"/>
      <c r="H935" s="272"/>
      <c r="I935" s="272"/>
      <c r="J935" s="272"/>
      <c r="K935" s="272"/>
      <c r="L935" s="272"/>
      <c r="M935" s="272"/>
      <c r="N935" s="272"/>
      <c r="O935" s="272"/>
      <c r="P935" s="272"/>
      <c r="Q935" s="272"/>
      <c r="R935" s="272"/>
      <c r="S935" s="272"/>
      <c r="T935" s="272"/>
      <c r="U935" s="272"/>
      <c r="V935" s="272"/>
      <c r="W935" s="272"/>
      <c r="X935" s="272"/>
      <c r="Y935" s="272"/>
      <c r="Z935" s="272"/>
    </row>
    <row r="936" ht="15.75" customHeight="1">
      <c r="A936" s="272"/>
      <c r="B936" s="272"/>
      <c r="C936" s="272"/>
      <c r="D936" s="272"/>
      <c r="E936" s="272"/>
      <c r="F936" s="272"/>
      <c r="G936" s="272"/>
      <c r="H936" s="272"/>
      <c r="I936" s="272"/>
      <c r="J936" s="272"/>
      <c r="K936" s="272"/>
      <c r="L936" s="272"/>
      <c r="M936" s="272"/>
      <c r="N936" s="272"/>
      <c r="O936" s="272"/>
      <c r="P936" s="272"/>
      <c r="Q936" s="272"/>
      <c r="R936" s="272"/>
      <c r="S936" s="272"/>
      <c r="T936" s="272"/>
      <c r="U936" s="272"/>
      <c r="V936" s="272"/>
      <c r="W936" s="272"/>
      <c r="X936" s="272"/>
      <c r="Y936" s="272"/>
      <c r="Z936" s="272"/>
    </row>
    <row r="937" ht="15.75" customHeight="1">
      <c r="A937" s="272"/>
      <c r="B937" s="272"/>
      <c r="C937" s="272"/>
      <c r="D937" s="272"/>
      <c r="E937" s="272"/>
      <c r="F937" s="272"/>
      <c r="G937" s="272"/>
      <c r="H937" s="272"/>
      <c r="I937" s="272"/>
      <c r="J937" s="272"/>
      <c r="K937" s="272"/>
      <c r="L937" s="272"/>
      <c r="M937" s="272"/>
      <c r="N937" s="272"/>
      <c r="O937" s="272"/>
      <c r="P937" s="272"/>
      <c r="Q937" s="272"/>
      <c r="R937" s="272"/>
      <c r="S937" s="272"/>
      <c r="T937" s="272"/>
      <c r="U937" s="272"/>
      <c r="V937" s="272"/>
      <c r="W937" s="272"/>
      <c r="X937" s="272"/>
      <c r="Y937" s="272"/>
      <c r="Z937" s="272"/>
    </row>
    <row r="938" ht="15.75" customHeight="1">
      <c r="A938" s="272"/>
      <c r="B938" s="272"/>
      <c r="C938" s="272"/>
      <c r="D938" s="272"/>
      <c r="E938" s="272"/>
      <c r="F938" s="272"/>
      <c r="G938" s="272"/>
      <c r="H938" s="272"/>
      <c r="I938" s="272"/>
      <c r="J938" s="272"/>
      <c r="K938" s="272"/>
      <c r="L938" s="272"/>
      <c r="M938" s="272"/>
      <c r="N938" s="272"/>
      <c r="O938" s="272"/>
      <c r="P938" s="272"/>
      <c r="Q938" s="272"/>
      <c r="R938" s="272"/>
      <c r="S938" s="272"/>
      <c r="T938" s="272"/>
      <c r="U938" s="272"/>
      <c r="V938" s="272"/>
      <c r="W938" s="272"/>
      <c r="X938" s="272"/>
      <c r="Y938" s="272"/>
      <c r="Z938" s="272"/>
    </row>
    <row r="939" ht="15.75" customHeight="1">
      <c r="A939" s="272"/>
      <c r="B939" s="272"/>
      <c r="C939" s="272"/>
      <c r="D939" s="272"/>
      <c r="E939" s="272"/>
      <c r="F939" s="272"/>
      <c r="G939" s="272"/>
      <c r="H939" s="272"/>
      <c r="I939" s="272"/>
      <c r="J939" s="272"/>
      <c r="K939" s="272"/>
      <c r="L939" s="272"/>
      <c r="M939" s="272"/>
      <c r="N939" s="272"/>
      <c r="O939" s="272"/>
      <c r="P939" s="272"/>
      <c r="Q939" s="272"/>
      <c r="R939" s="272"/>
      <c r="S939" s="272"/>
      <c r="T939" s="272"/>
      <c r="U939" s="272"/>
      <c r="V939" s="272"/>
      <c r="W939" s="272"/>
      <c r="X939" s="272"/>
      <c r="Y939" s="272"/>
      <c r="Z939" s="272"/>
    </row>
    <row r="940" ht="15.75" customHeight="1">
      <c r="A940" s="272"/>
      <c r="B940" s="272"/>
      <c r="C940" s="272"/>
      <c r="D940" s="272"/>
      <c r="E940" s="272"/>
      <c r="F940" s="272"/>
      <c r="G940" s="272"/>
      <c r="H940" s="272"/>
      <c r="I940" s="272"/>
      <c r="J940" s="272"/>
      <c r="K940" s="272"/>
      <c r="L940" s="272"/>
      <c r="M940" s="272"/>
      <c r="N940" s="272"/>
      <c r="O940" s="272"/>
      <c r="P940" s="272"/>
      <c r="Q940" s="272"/>
      <c r="R940" s="272"/>
      <c r="S940" s="272"/>
      <c r="T940" s="272"/>
      <c r="U940" s="272"/>
      <c r="V940" s="272"/>
      <c r="W940" s="272"/>
      <c r="X940" s="272"/>
      <c r="Y940" s="272"/>
      <c r="Z940" s="272"/>
    </row>
    <row r="941" ht="15.75" customHeight="1">
      <c r="A941" s="272"/>
      <c r="B941" s="272"/>
      <c r="C941" s="272"/>
      <c r="D941" s="272"/>
      <c r="E941" s="272"/>
      <c r="F941" s="272"/>
      <c r="G941" s="272"/>
      <c r="H941" s="272"/>
      <c r="I941" s="272"/>
      <c r="J941" s="272"/>
      <c r="K941" s="272"/>
      <c r="L941" s="272"/>
      <c r="M941" s="272"/>
      <c r="N941" s="272"/>
      <c r="O941" s="272"/>
      <c r="P941" s="272"/>
      <c r="Q941" s="272"/>
      <c r="R941" s="272"/>
      <c r="S941" s="272"/>
      <c r="T941" s="272"/>
      <c r="U941" s="272"/>
      <c r="V941" s="272"/>
      <c r="W941" s="272"/>
      <c r="X941" s="272"/>
      <c r="Y941" s="272"/>
      <c r="Z941" s="272"/>
    </row>
    <row r="942" ht="15.75" customHeight="1">
      <c r="A942" s="272"/>
      <c r="B942" s="272"/>
      <c r="C942" s="272"/>
      <c r="D942" s="272"/>
      <c r="E942" s="272"/>
      <c r="F942" s="272"/>
      <c r="G942" s="272"/>
      <c r="H942" s="272"/>
      <c r="I942" s="272"/>
      <c r="J942" s="272"/>
      <c r="K942" s="272"/>
      <c r="L942" s="272"/>
      <c r="M942" s="272"/>
      <c r="N942" s="272"/>
      <c r="O942" s="272"/>
      <c r="P942" s="272"/>
      <c r="Q942" s="272"/>
      <c r="R942" s="272"/>
      <c r="S942" s="272"/>
      <c r="T942" s="272"/>
      <c r="U942" s="272"/>
      <c r="V942" s="272"/>
      <c r="W942" s="272"/>
      <c r="X942" s="272"/>
      <c r="Y942" s="272"/>
      <c r="Z942" s="272"/>
    </row>
    <row r="943" ht="15.75" customHeight="1">
      <c r="A943" s="272"/>
      <c r="B943" s="272"/>
      <c r="C943" s="272"/>
      <c r="D943" s="272"/>
      <c r="E943" s="272"/>
      <c r="F943" s="272"/>
      <c r="G943" s="272"/>
      <c r="H943" s="272"/>
      <c r="I943" s="272"/>
      <c r="J943" s="272"/>
      <c r="K943" s="272"/>
      <c r="L943" s="272"/>
      <c r="M943" s="272"/>
      <c r="N943" s="272"/>
      <c r="O943" s="272"/>
      <c r="P943" s="272"/>
      <c r="Q943" s="272"/>
      <c r="R943" s="272"/>
      <c r="S943" s="272"/>
      <c r="T943" s="272"/>
      <c r="U943" s="272"/>
      <c r="V943" s="272"/>
      <c r="W943" s="272"/>
      <c r="X943" s="272"/>
      <c r="Y943" s="272"/>
      <c r="Z943" s="272"/>
    </row>
    <row r="944" ht="15.75" customHeight="1">
      <c r="A944" s="272"/>
      <c r="B944" s="272"/>
      <c r="C944" s="272"/>
      <c r="D944" s="272"/>
      <c r="E944" s="272"/>
      <c r="F944" s="272"/>
      <c r="G944" s="272"/>
      <c r="H944" s="272"/>
      <c r="I944" s="272"/>
      <c r="J944" s="272"/>
      <c r="K944" s="272"/>
      <c r="L944" s="272"/>
      <c r="M944" s="272"/>
      <c r="N944" s="272"/>
      <c r="O944" s="272"/>
      <c r="P944" s="272"/>
      <c r="Q944" s="272"/>
      <c r="R944" s="272"/>
      <c r="S944" s="272"/>
      <c r="T944" s="272"/>
      <c r="U944" s="272"/>
      <c r="V944" s="272"/>
      <c r="W944" s="272"/>
      <c r="X944" s="272"/>
      <c r="Y944" s="272"/>
      <c r="Z944" s="272"/>
    </row>
    <row r="945" ht="15.75" customHeight="1">
      <c r="A945" s="272"/>
      <c r="B945" s="272"/>
      <c r="C945" s="272"/>
      <c r="D945" s="272"/>
      <c r="E945" s="272"/>
      <c r="F945" s="272"/>
      <c r="G945" s="272"/>
      <c r="H945" s="272"/>
      <c r="I945" s="272"/>
      <c r="J945" s="272"/>
      <c r="K945" s="272"/>
      <c r="L945" s="272"/>
      <c r="M945" s="272"/>
      <c r="N945" s="272"/>
      <c r="O945" s="272"/>
      <c r="P945" s="272"/>
      <c r="Q945" s="272"/>
      <c r="R945" s="272"/>
      <c r="S945" s="272"/>
      <c r="T945" s="272"/>
      <c r="U945" s="272"/>
      <c r="V945" s="272"/>
      <c r="W945" s="272"/>
      <c r="X945" s="272"/>
      <c r="Y945" s="272"/>
      <c r="Z945" s="272"/>
    </row>
    <row r="946" ht="15.75" customHeight="1">
      <c r="A946" s="272"/>
      <c r="B946" s="272"/>
      <c r="C946" s="272"/>
      <c r="D946" s="272"/>
      <c r="E946" s="272"/>
      <c r="F946" s="272"/>
      <c r="G946" s="272"/>
      <c r="H946" s="272"/>
      <c r="I946" s="272"/>
      <c r="J946" s="272"/>
      <c r="K946" s="272"/>
      <c r="L946" s="272"/>
      <c r="M946" s="272"/>
      <c r="N946" s="272"/>
      <c r="O946" s="272"/>
      <c r="P946" s="272"/>
      <c r="Q946" s="272"/>
      <c r="R946" s="272"/>
      <c r="S946" s="272"/>
      <c r="T946" s="272"/>
      <c r="U946" s="272"/>
      <c r="V946" s="272"/>
      <c r="W946" s="272"/>
      <c r="X946" s="272"/>
      <c r="Y946" s="272"/>
      <c r="Z946" s="272"/>
    </row>
    <row r="947" ht="15.75" customHeight="1">
      <c r="A947" s="272"/>
      <c r="B947" s="272"/>
      <c r="C947" s="272"/>
      <c r="D947" s="272"/>
      <c r="E947" s="272"/>
      <c r="F947" s="272"/>
      <c r="G947" s="272"/>
      <c r="H947" s="272"/>
      <c r="I947" s="272"/>
      <c r="J947" s="272"/>
      <c r="K947" s="272"/>
      <c r="L947" s="272"/>
      <c r="M947" s="272"/>
      <c r="N947" s="272"/>
      <c r="O947" s="272"/>
      <c r="P947" s="272"/>
      <c r="Q947" s="272"/>
      <c r="R947" s="272"/>
      <c r="S947" s="272"/>
      <c r="T947" s="272"/>
      <c r="U947" s="272"/>
      <c r="V947" s="272"/>
      <c r="W947" s="272"/>
      <c r="X947" s="272"/>
      <c r="Y947" s="272"/>
      <c r="Z947" s="272"/>
    </row>
    <row r="948" ht="15.75" customHeight="1">
      <c r="A948" s="272"/>
      <c r="B948" s="272"/>
      <c r="C948" s="272"/>
      <c r="D948" s="272"/>
      <c r="E948" s="272"/>
      <c r="F948" s="272"/>
      <c r="G948" s="272"/>
      <c r="H948" s="272"/>
      <c r="I948" s="272"/>
      <c r="J948" s="272"/>
      <c r="K948" s="272"/>
      <c r="L948" s="272"/>
      <c r="M948" s="272"/>
      <c r="N948" s="272"/>
      <c r="O948" s="272"/>
      <c r="P948" s="272"/>
      <c r="Q948" s="272"/>
      <c r="R948" s="272"/>
      <c r="S948" s="272"/>
      <c r="T948" s="272"/>
      <c r="U948" s="272"/>
      <c r="V948" s="272"/>
      <c r="W948" s="272"/>
      <c r="X948" s="272"/>
      <c r="Y948" s="272"/>
      <c r="Z948" s="272"/>
    </row>
    <row r="949" ht="15.75" customHeight="1">
      <c r="A949" s="272"/>
      <c r="B949" s="272"/>
      <c r="C949" s="272"/>
      <c r="D949" s="272"/>
      <c r="E949" s="272"/>
      <c r="F949" s="272"/>
      <c r="G949" s="272"/>
      <c r="H949" s="272"/>
      <c r="I949" s="272"/>
      <c r="J949" s="272"/>
      <c r="K949" s="272"/>
      <c r="L949" s="272"/>
      <c r="M949" s="272"/>
      <c r="N949" s="272"/>
      <c r="O949" s="272"/>
      <c r="P949" s="272"/>
      <c r="Q949" s="272"/>
      <c r="R949" s="272"/>
      <c r="S949" s="272"/>
      <c r="T949" s="272"/>
      <c r="U949" s="272"/>
      <c r="V949" s="272"/>
      <c r="W949" s="272"/>
      <c r="X949" s="272"/>
      <c r="Y949" s="272"/>
      <c r="Z949" s="272"/>
    </row>
    <row r="950" ht="15.75" customHeight="1">
      <c r="A950" s="272"/>
      <c r="B950" s="272"/>
      <c r="C950" s="272"/>
      <c r="D950" s="272"/>
      <c r="E950" s="272"/>
      <c r="F950" s="272"/>
      <c r="G950" s="272"/>
      <c r="H950" s="272"/>
      <c r="I950" s="272"/>
      <c r="J950" s="272"/>
      <c r="K950" s="272"/>
      <c r="L950" s="272"/>
      <c r="M950" s="272"/>
      <c r="N950" s="272"/>
      <c r="O950" s="272"/>
      <c r="P950" s="272"/>
      <c r="Q950" s="272"/>
      <c r="R950" s="272"/>
      <c r="S950" s="272"/>
      <c r="T950" s="272"/>
      <c r="U950" s="272"/>
      <c r="V950" s="272"/>
      <c r="W950" s="272"/>
      <c r="X950" s="272"/>
      <c r="Y950" s="272"/>
      <c r="Z950" s="272"/>
    </row>
    <row r="951" ht="15.75" customHeight="1">
      <c r="A951" s="272"/>
      <c r="B951" s="272"/>
      <c r="C951" s="272"/>
      <c r="D951" s="272"/>
      <c r="E951" s="272"/>
      <c r="F951" s="272"/>
      <c r="G951" s="272"/>
      <c r="H951" s="272"/>
      <c r="I951" s="272"/>
      <c r="J951" s="272"/>
      <c r="K951" s="272"/>
      <c r="L951" s="272"/>
      <c r="M951" s="272"/>
      <c r="N951" s="272"/>
      <c r="O951" s="272"/>
      <c r="P951" s="272"/>
      <c r="Q951" s="272"/>
      <c r="R951" s="272"/>
      <c r="S951" s="272"/>
      <c r="T951" s="272"/>
      <c r="U951" s="272"/>
      <c r="V951" s="272"/>
      <c r="W951" s="272"/>
      <c r="X951" s="272"/>
      <c r="Y951" s="272"/>
      <c r="Z951" s="272"/>
    </row>
    <row r="952" ht="15.75" customHeight="1">
      <c r="A952" s="272"/>
      <c r="B952" s="272"/>
      <c r="C952" s="272"/>
      <c r="D952" s="272"/>
      <c r="E952" s="272"/>
      <c r="F952" s="272"/>
      <c r="G952" s="272"/>
      <c r="H952" s="272"/>
      <c r="I952" s="272"/>
      <c r="J952" s="272"/>
      <c r="K952" s="272"/>
      <c r="L952" s="272"/>
      <c r="M952" s="272"/>
      <c r="N952" s="272"/>
      <c r="O952" s="272"/>
      <c r="P952" s="272"/>
      <c r="Q952" s="272"/>
      <c r="R952" s="272"/>
      <c r="S952" s="272"/>
      <c r="T952" s="272"/>
      <c r="U952" s="272"/>
      <c r="V952" s="272"/>
      <c r="W952" s="272"/>
      <c r="X952" s="272"/>
      <c r="Y952" s="272"/>
      <c r="Z952" s="272"/>
    </row>
    <row r="953" ht="15.75" customHeight="1">
      <c r="A953" s="272"/>
      <c r="B953" s="272"/>
      <c r="C953" s="272"/>
      <c r="D953" s="272"/>
      <c r="E953" s="272"/>
      <c r="F953" s="272"/>
      <c r="G953" s="272"/>
      <c r="H953" s="272"/>
      <c r="I953" s="272"/>
      <c r="J953" s="272"/>
      <c r="K953" s="272"/>
      <c r="L953" s="272"/>
      <c r="M953" s="272"/>
      <c r="N953" s="272"/>
      <c r="O953" s="272"/>
      <c r="P953" s="272"/>
      <c r="Q953" s="272"/>
      <c r="R953" s="272"/>
      <c r="S953" s="272"/>
      <c r="T953" s="272"/>
      <c r="U953" s="272"/>
      <c r="V953" s="272"/>
      <c r="W953" s="272"/>
      <c r="X953" s="272"/>
      <c r="Y953" s="272"/>
      <c r="Z953" s="272"/>
    </row>
    <row r="954" ht="15.75" customHeight="1">
      <c r="A954" s="272"/>
      <c r="B954" s="272"/>
      <c r="C954" s="272"/>
      <c r="D954" s="272"/>
      <c r="E954" s="272"/>
      <c r="F954" s="272"/>
      <c r="G954" s="272"/>
      <c r="H954" s="272"/>
      <c r="I954" s="272"/>
      <c r="J954" s="272"/>
      <c r="K954" s="272"/>
      <c r="L954" s="272"/>
      <c r="M954" s="272"/>
      <c r="N954" s="272"/>
      <c r="O954" s="272"/>
      <c r="P954" s="272"/>
      <c r="Q954" s="272"/>
      <c r="R954" s="272"/>
      <c r="S954" s="272"/>
      <c r="T954" s="272"/>
      <c r="U954" s="272"/>
      <c r="V954" s="272"/>
      <c r="W954" s="272"/>
      <c r="X954" s="272"/>
      <c r="Y954" s="272"/>
      <c r="Z954" s="272"/>
    </row>
    <row r="955" ht="15.75" customHeight="1">
      <c r="A955" s="272"/>
      <c r="B955" s="272"/>
      <c r="C955" s="272"/>
      <c r="D955" s="272"/>
      <c r="E955" s="272"/>
      <c r="F955" s="272"/>
      <c r="G955" s="272"/>
      <c r="H955" s="272"/>
      <c r="I955" s="272"/>
      <c r="J955" s="272"/>
      <c r="K955" s="272"/>
      <c r="L955" s="272"/>
      <c r="M955" s="272"/>
      <c r="N955" s="272"/>
      <c r="O955" s="272"/>
      <c r="P955" s="272"/>
      <c r="Q955" s="272"/>
      <c r="R955" s="272"/>
      <c r="S955" s="272"/>
      <c r="T955" s="272"/>
      <c r="U955" s="272"/>
      <c r="V955" s="272"/>
      <c r="W955" s="272"/>
      <c r="X955" s="272"/>
      <c r="Y955" s="272"/>
      <c r="Z955" s="272"/>
    </row>
    <row r="956" ht="15.75" customHeight="1">
      <c r="A956" s="272"/>
      <c r="B956" s="272"/>
      <c r="C956" s="272"/>
      <c r="D956" s="272"/>
      <c r="E956" s="272"/>
      <c r="F956" s="272"/>
      <c r="G956" s="272"/>
      <c r="H956" s="272"/>
      <c r="I956" s="272"/>
      <c r="J956" s="272"/>
      <c r="K956" s="272"/>
      <c r="L956" s="272"/>
      <c r="M956" s="272"/>
      <c r="N956" s="272"/>
      <c r="O956" s="272"/>
      <c r="P956" s="272"/>
      <c r="Q956" s="272"/>
      <c r="R956" s="272"/>
      <c r="S956" s="272"/>
      <c r="T956" s="272"/>
      <c r="U956" s="272"/>
      <c r="V956" s="272"/>
      <c r="W956" s="272"/>
      <c r="X956" s="272"/>
      <c r="Y956" s="272"/>
      <c r="Z956" s="272"/>
    </row>
    <row r="957" ht="15.75" customHeight="1">
      <c r="A957" s="272"/>
      <c r="B957" s="272"/>
      <c r="C957" s="272"/>
      <c r="D957" s="272"/>
      <c r="E957" s="272"/>
      <c r="F957" s="272"/>
      <c r="G957" s="272"/>
      <c r="H957" s="272"/>
      <c r="I957" s="272"/>
      <c r="J957" s="272"/>
      <c r="K957" s="272"/>
      <c r="L957" s="272"/>
      <c r="M957" s="272"/>
      <c r="N957" s="272"/>
      <c r="O957" s="272"/>
      <c r="P957" s="272"/>
      <c r="Q957" s="272"/>
      <c r="R957" s="272"/>
      <c r="S957" s="272"/>
      <c r="T957" s="272"/>
      <c r="U957" s="272"/>
      <c r="V957" s="272"/>
      <c r="W957" s="272"/>
      <c r="X957" s="272"/>
      <c r="Y957" s="272"/>
      <c r="Z957" s="272"/>
    </row>
    <row r="958" ht="15.75" customHeight="1">
      <c r="A958" s="272"/>
      <c r="B958" s="272"/>
      <c r="C958" s="272"/>
      <c r="D958" s="272"/>
      <c r="E958" s="272"/>
      <c r="F958" s="272"/>
      <c r="G958" s="272"/>
      <c r="H958" s="272"/>
      <c r="I958" s="272"/>
      <c r="J958" s="272"/>
      <c r="K958" s="272"/>
      <c r="L958" s="272"/>
      <c r="M958" s="272"/>
      <c r="N958" s="272"/>
      <c r="O958" s="272"/>
      <c r="P958" s="272"/>
      <c r="Q958" s="272"/>
      <c r="R958" s="272"/>
      <c r="S958" s="272"/>
      <c r="T958" s="272"/>
      <c r="U958" s="272"/>
      <c r="V958" s="272"/>
      <c r="W958" s="272"/>
      <c r="X958" s="272"/>
      <c r="Y958" s="272"/>
      <c r="Z958" s="272"/>
    </row>
    <row r="959" ht="15.75" customHeight="1">
      <c r="A959" s="272"/>
      <c r="B959" s="272"/>
      <c r="C959" s="272"/>
      <c r="D959" s="272"/>
      <c r="E959" s="272"/>
      <c r="F959" s="272"/>
      <c r="G959" s="272"/>
      <c r="H959" s="272"/>
      <c r="I959" s="272"/>
      <c r="J959" s="272"/>
      <c r="K959" s="272"/>
      <c r="L959" s="272"/>
      <c r="M959" s="272"/>
      <c r="N959" s="272"/>
      <c r="O959" s="272"/>
      <c r="P959" s="272"/>
      <c r="Q959" s="272"/>
      <c r="R959" s="272"/>
      <c r="S959" s="272"/>
      <c r="T959" s="272"/>
      <c r="U959" s="272"/>
      <c r="V959" s="272"/>
      <c r="W959" s="272"/>
      <c r="X959" s="272"/>
      <c r="Y959" s="272"/>
      <c r="Z959" s="272"/>
    </row>
    <row r="960" ht="15.75" customHeight="1">
      <c r="A960" s="272"/>
      <c r="B960" s="272"/>
      <c r="C960" s="272"/>
      <c r="D960" s="272"/>
      <c r="E960" s="272"/>
      <c r="F960" s="272"/>
      <c r="G960" s="272"/>
      <c r="H960" s="272"/>
      <c r="I960" s="272"/>
      <c r="J960" s="272"/>
      <c r="K960" s="272"/>
      <c r="L960" s="272"/>
      <c r="M960" s="272"/>
      <c r="N960" s="272"/>
      <c r="O960" s="272"/>
      <c r="P960" s="272"/>
      <c r="Q960" s="272"/>
      <c r="R960" s="272"/>
      <c r="S960" s="272"/>
      <c r="T960" s="272"/>
      <c r="U960" s="272"/>
      <c r="V960" s="272"/>
      <c r="W960" s="272"/>
      <c r="X960" s="272"/>
      <c r="Y960" s="272"/>
      <c r="Z960" s="272"/>
    </row>
    <row r="961" ht="15.75" customHeight="1">
      <c r="A961" s="272"/>
      <c r="B961" s="272"/>
      <c r="C961" s="272"/>
      <c r="D961" s="272"/>
      <c r="E961" s="272"/>
      <c r="F961" s="272"/>
      <c r="G961" s="272"/>
      <c r="H961" s="272"/>
      <c r="I961" s="272"/>
      <c r="J961" s="272"/>
      <c r="K961" s="272"/>
      <c r="L961" s="272"/>
      <c r="M961" s="272"/>
      <c r="N961" s="272"/>
      <c r="O961" s="272"/>
      <c r="P961" s="272"/>
      <c r="Q961" s="272"/>
      <c r="R961" s="272"/>
      <c r="S961" s="272"/>
      <c r="T961" s="272"/>
      <c r="U961" s="272"/>
      <c r="V961" s="272"/>
      <c r="W961" s="272"/>
      <c r="X961" s="272"/>
      <c r="Y961" s="272"/>
      <c r="Z961" s="272"/>
    </row>
    <row r="962" ht="15.75" customHeight="1">
      <c r="A962" s="272"/>
      <c r="B962" s="272"/>
      <c r="C962" s="272"/>
      <c r="D962" s="272"/>
      <c r="E962" s="272"/>
      <c r="F962" s="272"/>
      <c r="G962" s="272"/>
      <c r="H962" s="272"/>
      <c r="I962" s="272"/>
      <c r="J962" s="272"/>
      <c r="K962" s="272"/>
      <c r="L962" s="272"/>
      <c r="M962" s="272"/>
      <c r="N962" s="272"/>
      <c r="O962" s="272"/>
      <c r="P962" s="272"/>
      <c r="Q962" s="272"/>
      <c r="R962" s="272"/>
      <c r="S962" s="272"/>
      <c r="T962" s="272"/>
      <c r="U962" s="272"/>
      <c r="V962" s="272"/>
      <c r="W962" s="272"/>
      <c r="X962" s="272"/>
      <c r="Y962" s="272"/>
      <c r="Z962" s="272"/>
    </row>
    <row r="963" ht="15.75" customHeight="1">
      <c r="A963" s="272"/>
      <c r="B963" s="272"/>
      <c r="C963" s="272"/>
      <c r="D963" s="272"/>
      <c r="E963" s="272"/>
      <c r="F963" s="272"/>
      <c r="G963" s="272"/>
      <c r="H963" s="272"/>
      <c r="I963" s="272"/>
      <c r="J963" s="272"/>
      <c r="K963" s="272"/>
      <c r="L963" s="272"/>
      <c r="M963" s="272"/>
      <c r="N963" s="272"/>
      <c r="O963" s="272"/>
      <c r="P963" s="272"/>
      <c r="Q963" s="272"/>
      <c r="R963" s="272"/>
      <c r="S963" s="272"/>
      <c r="T963" s="272"/>
      <c r="U963" s="272"/>
      <c r="V963" s="272"/>
      <c r="W963" s="272"/>
      <c r="X963" s="272"/>
      <c r="Y963" s="272"/>
      <c r="Z963" s="272"/>
    </row>
    <row r="964" ht="15.75" customHeight="1">
      <c r="A964" s="272"/>
      <c r="B964" s="272"/>
      <c r="C964" s="272"/>
      <c r="D964" s="272"/>
      <c r="E964" s="272"/>
      <c r="F964" s="272"/>
      <c r="G964" s="272"/>
      <c r="H964" s="272"/>
      <c r="I964" s="272"/>
      <c r="J964" s="272"/>
      <c r="K964" s="272"/>
      <c r="L964" s="272"/>
      <c r="M964" s="272"/>
      <c r="N964" s="272"/>
      <c r="O964" s="272"/>
      <c r="P964" s="272"/>
      <c r="Q964" s="272"/>
      <c r="R964" s="272"/>
      <c r="S964" s="272"/>
      <c r="T964" s="272"/>
      <c r="U964" s="272"/>
      <c r="V964" s="272"/>
      <c r="W964" s="272"/>
      <c r="X964" s="272"/>
      <c r="Y964" s="272"/>
      <c r="Z964" s="272"/>
    </row>
    <row r="965" ht="15.75" customHeight="1">
      <c r="A965" s="272"/>
      <c r="B965" s="272"/>
      <c r="C965" s="272"/>
      <c r="D965" s="272"/>
      <c r="E965" s="272"/>
      <c r="F965" s="272"/>
      <c r="G965" s="272"/>
      <c r="H965" s="272"/>
      <c r="I965" s="272"/>
      <c r="J965" s="272"/>
      <c r="K965" s="272"/>
      <c r="L965" s="272"/>
      <c r="M965" s="272"/>
      <c r="N965" s="272"/>
      <c r="O965" s="272"/>
      <c r="P965" s="272"/>
      <c r="Q965" s="272"/>
      <c r="R965" s="272"/>
      <c r="S965" s="272"/>
      <c r="T965" s="272"/>
      <c r="U965" s="272"/>
      <c r="V965" s="272"/>
      <c r="W965" s="272"/>
      <c r="X965" s="272"/>
      <c r="Y965" s="272"/>
      <c r="Z965" s="272"/>
    </row>
    <row r="966" ht="15.75" customHeight="1">
      <c r="A966" s="272"/>
      <c r="B966" s="272"/>
      <c r="C966" s="272"/>
      <c r="D966" s="272"/>
      <c r="E966" s="272"/>
      <c r="F966" s="272"/>
      <c r="G966" s="272"/>
      <c r="H966" s="272"/>
      <c r="I966" s="272"/>
      <c r="J966" s="272"/>
      <c r="K966" s="272"/>
      <c r="L966" s="272"/>
      <c r="M966" s="272"/>
      <c r="N966" s="272"/>
      <c r="O966" s="272"/>
      <c r="P966" s="272"/>
      <c r="Q966" s="272"/>
      <c r="R966" s="272"/>
      <c r="S966" s="272"/>
      <c r="T966" s="272"/>
      <c r="U966" s="272"/>
      <c r="V966" s="272"/>
      <c r="W966" s="272"/>
      <c r="X966" s="272"/>
      <c r="Y966" s="272"/>
      <c r="Z966" s="272"/>
    </row>
    <row r="967" ht="15.75" customHeight="1">
      <c r="A967" s="272"/>
      <c r="B967" s="272"/>
      <c r="C967" s="272"/>
      <c r="D967" s="272"/>
      <c r="E967" s="272"/>
      <c r="F967" s="272"/>
      <c r="G967" s="272"/>
      <c r="H967" s="272"/>
      <c r="I967" s="272"/>
      <c r="J967" s="272"/>
      <c r="K967" s="272"/>
      <c r="L967" s="272"/>
      <c r="M967" s="272"/>
      <c r="N967" s="272"/>
      <c r="O967" s="272"/>
      <c r="P967" s="272"/>
      <c r="Q967" s="272"/>
      <c r="R967" s="272"/>
      <c r="S967" s="272"/>
      <c r="T967" s="272"/>
      <c r="U967" s="272"/>
      <c r="V967" s="272"/>
      <c r="W967" s="272"/>
      <c r="X967" s="272"/>
      <c r="Y967" s="272"/>
      <c r="Z967" s="272"/>
    </row>
    <row r="968" ht="15.75" customHeight="1">
      <c r="A968" s="272"/>
      <c r="B968" s="272"/>
      <c r="C968" s="272"/>
      <c r="D968" s="272"/>
      <c r="E968" s="272"/>
      <c r="F968" s="272"/>
      <c r="G968" s="272"/>
      <c r="H968" s="272"/>
      <c r="I968" s="272"/>
      <c r="J968" s="272"/>
      <c r="K968" s="272"/>
      <c r="L968" s="272"/>
      <c r="M968" s="272"/>
      <c r="N968" s="272"/>
      <c r="O968" s="272"/>
      <c r="P968" s="272"/>
      <c r="Q968" s="272"/>
      <c r="R968" s="272"/>
      <c r="S968" s="272"/>
      <c r="T968" s="272"/>
      <c r="U968" s="272"/>
      <c r="V968" s="272"/>
      <c r="W968" s="272"/>
      <c r="X968" s="272"/>
      <c r="Y968" s="272"/>
      <c r="Z968" s="272"/>
    </row>
    <row r="969" ht="15.75" customHeight="1">
      <c r="A969" s="272"/>
      <c r="B969" s="272"/>
      <c r="C969" s="272"/>
      <c r="D969" s="272"/>
      <c r="E969" s="272"/>
      <c r="F969" s="272"/>
      <c r="G969" s="272"/>
      <c r="H969" s="272"/>
      <c r="I969" s="272"/>
      <c r="J969" s="272"/>
      <c r="K969" s="272"/>
      <c r="L969" s="272"/>
      <c r="M969" s="272"/>
      <c r="N969" s="272"/>
      <c r="O969" s="272"/>
      <c r="P969" s="272"/>
      <c r="Q969" s="272"/>
      <c r="R969" s="272"/>
      <c r="S969" s="272"/>
      <c r="T969" s="272"/>
      <c r="U969" s="272"/>
      <c r="V969" s="272"/>
      <c r="W969" s="272"/>
      <c r="X969" s="272"/>
      <c r="Y969" s="272"/>
      <c r="Z969" s="272"/>
    </row>
    <row r="970" ht="15.75" customHeight="1">
      <c r="A970" s="272"/>
      <c r="B970" s="272"/>
      <c r="C970" s="272"/>
      <c r="D970" s="272"/>
      <c r="E970" s="272"/>
      <c r="F970" s="272"/>
      <c r="G970" s="272"/>
      <c r="H970" s="272"/>
      <c r="I970" s="272"/>
      <c r="J970" s="272"/>
      <c r="K970" s="272"/>
      <c r="L970" s="272"/>
      <c r="M970" s="272"/>
      <c r="N970" s="272"/>
      <c r="O970" s="272"/>
      <c r="P970" s="272"/>
      <c r="Q970" s="272"/>
      <c r="R970" s="272"/>
      <c r="S970" s="272"/>
      <c r="T970" s="272"/>
      <c r="U970" s="272"/>
      <c r="V970" s="272"/>
      <c r="W970" s="272"/>
      <c r="X970" s="272"/>
      <c r="Y970" s="272"/>
      <c r="Z970" s="272"/>
    </row>
    <row r="971" ht="15.75" customHeight="1">
      <c r="A971" s="272"/>
      <c r="B971" s="272"/>
      <c r="C971" s="272"/>
      <c r="D971" s="272"/>
      <c r="E971" s="272"/>
      <c r="F971" s="272"/>
      <c r="G971" s="272"/>
      <c r="H971" s="272"/>
      <c r="I971" s="272"/>
      <c r="J971" s="272"/>
      <c r="K971" s="272"/>
      <c r="L971" s="272"/>
      <c r="M971" s="272"/>
      <c r="N971" s="272"/>
      <c r="O971" s="272"/>
      <c r="P971" s="272"/>
      <c r="Q971" s="272"/>
      <c r="R971" s="272"/>
      <c r="S971" s="272"/>
      <c r="T971" s="272"/>
      <c r="U971" s="272"/>
      <c r="V971" s="272"/>
      <c r="W971" s="272"/>
      <c r="X971" s="272"/>
      <c r="Y971" s="272"/>
      <c r="Z971" s="272"/>
    </row>
    <row r="972" ht="15.75" customHeight="1">
      <c r="A972" s="272"/>
      <c r="B972" s="272"/>
      <c r="C972" s="272"/>
      <c r="D972" s="272"/>
      <c r="E972" s="272"/>
      <c r="F972" s="272"/>
      <c r="G972" s="272"/>
      <c r="H972" s="272"/>
      <c r="I972" s="272"/>
      <c r="J972" s="272"/>
      <c r="K972" s="272"/>
      <c r="L972" s="272"/>
      <c r="M972" s="272"/>
      <c r="N972" s="272"/>
      <c r="O972" s="272"/>
      <c r="P972" s="272"/>
      <c r="Q972" s="272"/>
      <c r="R972" s="272"/>
      <c r="S972" s="272"/>
      <c r="T972" s="272"/>
      <c r="U972" s="272"/>
      <c r="V972" s="272"/>
      <c r="W972" s="272"/>
      <c r="X972" s="272"/>
      <c r="Y972" s="272"/>
      <c r="Z972" s="272"/>
    </row>
    <row r="973" ht="15.75" customHeight="1">
      <c r="A973" s="272"/>
      <c r="B973" s="272"/>
      <c r="C973" s="272"/>
      <c r="D973" s="272"/>
      <c r="E973" s="272"/>
      <c r="F973" s="272"/>
      <c r="G973" s="272"/>
      <c r="H973" s="272"/>
      <c r="I973" s="272"/>
      <c r="J973" s="272"/>
      <c r="K973" s="272"/>
      <c r="L973" s="272"/>
      <c r="M973" s="272"/>
      <c r="N973" s="272"/>
      <c r="O973" s="272"/>
      <c r="P973" s="272"/>
      <c r="Q973" s="272"/>
      <c r="R973" s="272"/>
      <c r="S973" s="272"/>
      <c r="T973" s="272"/>
      <c r="U973" s="272"/>
      <c r="V973" s="272"/>
      <c r="W973" s="272"/>
      <c r="X973" s="272"/>
      <c r="Y973" s="272"/>
      <c r="Z973" s="272"/>
    </row>
    <row r="974" ht="15.75" customHeight="1">
      <c r="A974" s="272"/>
      <c r="B974" s="272"/>
      <c r="C974" s="272"/>
      <c r="D974" s="272"/>
      <c r="E974" s="272"/>
      <c r="F974" s="272"/>
      <c r="G974" s="272"/>
      <c r="H974" s="272"/>
      <c r="I974" s="272"/>
      <c r="J974" s="272"/>
      <c r="K974" s="272"/>
      <c r="L974" s="272"/>
      <c r="M974" s="272"/>
      <c r="N974" s="272"/>
      <c r="O974" s="272"/>
      <c r="P974" s="272"/>
      <c r="Q974" s="272"/>
      <c r="R974" s="272"/>
      <c r="S974" s="272"/>
      <c r="T974" s="272"/>
      <c r="U974" s="272"/>
      <c r="V974" s="272"/>
      <c r="W974" s="272"/>
      <c r="X974" s="272"/>
      <c r="Y974" s="272"/>
      <c r="Z974" s="272"/>
    </row>
    <row r="975" ht="15.75" customHeight="1">
      <c r="A975" s="272"/>
      <c r="B975" s="272"/>
      <c r="C975" s="272"/>
      <c r="D975" s="272"/>
      <c r="E975" s="272"/>
      <c r="F975" s="272"/>
      <c r="G975" s="272"/>
      <c r="H975" s="272"/>
      <c r="I975" s="272"/>
      <c r="J975" s="272"/>
      <c r="K975" s="272"/>
      <c r="L975" s="272"/>
      <c r="M975" s="272"/>
      <c r="N975" s="272"/>
      <c r="O975" s="272"/>
      <c r="P975" s="272"/>
      <c r="Q975" s="272"/>
      <c r="R975" s="272"/>
      <c r="S975" s="272"/>
      <c r="T975" s="272"/>
      <c r="U975" s="272"/>
      <c r="V975" s="272"/>
      <c r="W975" s="272"/>
      <c r="X975" s="272"/>
      <c r="Y975" s="272"/>
      <c r="Z975" s="272"/>
    </row>
    <row r="976" ht="15.75" customHeight="1">
      <c r="A976" s="272"/>
      <c r="B976" s="272"/>
      <c r="C976" s="272"/>
      <c r="D976" s="272"/>
      <c r="E976" s="272"/>
      <c r="F976" s="272"/>
      <c r="G976" s="272"/>
      <c r="H976" s="272"/>
      <c r="I976" s="272"/>
      <c r="J976" s="272"/>
      <c r="K976" s="272"/>
      <c r="L976" s="272"/>
      <c r="M976" s="272"/>
      <c r="N976" s="272"/>
      <c r="O976" s="272"/>
      <c r="P976" s="272"/>
      <c r="Q976" s="272"/>
      <c r="R976" s="272"/>
      <c r="S976" s="272"/>
      <c r="T976" s="272"/>
      <c r="U976" s="272"/>
      <c r="V976" s="272"/>
      <c r="W976" s="272"/>
      <c r="X976" s="272"/>
      <c r="Y976" s="272"/>
      <c r="Z976" s="272"/>
    </row>
    <row r="977" ht="15.75" customHeight="1">
      <c r="A977" s="272"/>
      <c r="B977" s="272"/>
      <c r="C977" s="272"/>
      <c r="D977" s="272"/>
      <c r="E977" s="272"/>
      <c r="F977" s="272"/>
      <c r="G977" s="272"/>
      <c r="H977" s="272"/>
      <c r="I977" s="272"/>
      <c r="J977" s="272"/>
      <c r="K977" s="272"/>
      <c r="L977" s="272"/>
      <c r="M977" s="272"/>
      <c r="N977" s="272"/>
      <c r="O977" s="272"/>
      <c r="P977" s="272"/>
      <c r="Q977" s="272"/>
      <c r="R977" s="272"/>
      <c r="S977" s="272"/>
      <c r="T977" s="272"/>
      <c r="U977" s="272"/>
      <c r="V977" s="272"/>
      <c r="W977" s="272"/>
      <c r="X977" s="272"/>
      <c r="Y977" s="272"/>
      <c r="Z977" s="272"/>
    </row>
    <row r="978" ht="15.75" customHeight="1">
      <c r="A978" s="272"/>
      <c r="B978" s="272"/>
      <c r="C978" s="272"/>
      <c r="D978" s="272"/>
      <c r="E978" s="272"/>
      <c r="F978" s="272"/>
      <c r="G978" s="272"/>
      <c r="H978" s="272"/>
      <c r="I978" s="272"/>
      <c r="J978" s="272"/>
      <c r="K978" s="272"/>
      <c r="L978" s="272"/>
      <c r="M978" s="272"/>
      <c r="N978" s="272"/>
      <c r="O978" s="272"/>
      <c r="P978" s="272"/>
      <c r="Q978" s="272"/>
      <c r="R978" s="272"/>
      <c r="S978" s="272"/>
      <c r="T978" s="272"/>
      <c r="U978" s="272"/>
      <c r="V978" s="272"/>
      <c r="W978" s="272"/>
      <c r="X978" s="272"/>
      <c r="Y978" s="272"/>
      <c r="Z978" s="272"/>
    </row>
    <row r="979" ht="15.75" customHeight="1">
      <c r="A979" s="272"/>
      <c r="B979" s="272"/>
      <c r="C979" s="272"/>
      <c r="D979" s="272"/>
      <c r="E979" s="272"/>
      <c r="F979" s="272"/>
      <c r="G979" s="272"/>
      <c r="H979" s="272"/>
      <c r="I979" s="272"/>
      <c r="J979" s="272"/>
      <c r="K979" s="272"/>
      <c r="L979" s="272"/>
      <c r="M979" s="272"/>
      <c r="N979" s="272"/>
      <c r="O979" s="272"/>
      <c r="P979" s="272"/>
      <c r="Q979" s="272"/>
      <c r="R979" s="272"/>
      <c r="S979" s="272"/>
      <c r="T979" s="272"/>
      <c r="U979" s="272"/>
      <c r="V979" s="272"/>
      <c r="W979" s="272"/>
      <c r="X979" s="272"/>
      <c r="Y979" s="272"/>
      <c r="Z979" s="272"/>
    </row>
    <row r="980" ht="15.75" customHeight="1">
      <c r="A980" s="272"/>
      <c r="B980" s="272"/>
      <c r="C980" s="272"/>
      <c r="D980" s="272"/>
      <c r="E980" s="272"/>
      <c r="F980" s="272"/>
      <c r="G980" s="272"/>
      <c r="H980" s="272"/>
      <c r="I980" s="272"/>
      <c r="J980" s="272"/>
      <c r="K980" s="272"/>
      <c r="L980" s="272"/>
      <c r="M980" s="272"/>
      <c r="N980" s="272"/>
      <c r="O980" s="272"/>
      <c r="P980" s="272"/>
      <c r="Q980" s="272"/>
      <c r="R980" s="272"/>
      <c r="S980" s="272"/>
      <c r="T980" s="272"/>
      <c r="U980" s="272"/>
      <c r="V980" s="272"/>
      <c r="W980" s="272"/>
      <c r="X980" s="272"/>
      <c r="Y980" s="272"/>
      <c r="Z980" s="272"/>
    </row>
    <row r="981" ht="15.75" customHeight="1">
      <c r="A981" s="272"/>
      <c r="B981" s="272"/>
      <c r="C981" s="272"/>
      <c r="D981" s="272"/>
      <c r="E981" s="272"/>
      <c r="F981" s="272"/>
      <c r="G981" s="272"/>
      <c r="H981" s="272"/>
      <c r="I981" s="272"/>
      <c r="J981" s="272"/>
      <c r="K981" s="272"/>
      <c r="L981" s="272"/>
      <c r="M981" s="272"/>
      <c r="N981" s="272"/>
      <c r="O981" s="272"/>
      <c r="P981" s="272"/>
      <c r="Q981" s="272"/>
      <c r="R981" s="272"/>
      <c r="S981" s="272"/>
      <c r="T981" s="272"/>
      <c r="U981" s="272"/>
      <c r="V981" s="272"/>
      <c r="W981" s="272"/>
      <c r="X981" s="272"/>
      <c r="Y981" s="272"/>
      <c r="Z981" s="272"/>
    </row>
    <row r="982" ht="15.75" customHeight="1">
      <c r="A982" s="272"/>
      <c r="B982" s="272"/>
      <c r="C982" s="272"/>
      <c r="D982" s="272"/>
      <c r="E982" s="272"/>
      <c r="F982" s="272"/>
      <c r="G982" s="272"/>
      <c r="H982" s="272"/>
      <c r="I982" s="272"/>
      <c r="J982" s="272"/>
      <c r="K982" s="272"/>
      <c r="L982" s="272"/>
      <c r="M982" s="272"/>
      <c r="N982" s="272"/>
      <c r="O982" s="272"/>
      <c r="P982" s="272"/>
      <c r="Q982" s="272"/>
      <c r="R982" s="272"/>
      <c r="S982" s="272"/>
      <c r="T982" s="272"/>
      <c r="U982" s="272"/>
      <c r="V982" s="272"/>
      <c r="W982" s="272"/>
      <c r="X982" s="272"/>
      <c r="Y982" s="272"/>
      <c r="Z982" s="272"/>
    </row>
    <row r="983" ht="15.75" customHeight="1">
      <c r="A983" s="272"/>
      <c r="B983" s="272"/>
      <c r="C983" s="272"/>
      <c r="D983" s="272"/>
      <c r="E983" s="272"/>
      <c r="F983" s="272"/>
      <c r="G983" s="272"/>
      <c r="H983" s="272"/>
      <c r="I983" s="272"/>
      <c r="J983" s="272"/>
      <c r="K983" s="272"/>
      <c r="L983" s="272"/>
      <c r="M983" s="272"/>
      <c r="N983" s="272"/>
      <c r="O983" s="272"/>
      <c r="P983" s="272"/>
      <c r="Q983" s="272"/>
      <c r="R983" s="272"/>
      <c r="S983" s="272"/>
      <c r="T983" s="272"/>
      <c r="U983" s="272"/>
      <c r="V983" s="272"/>
      <c r="W983" s="272"/>
      <c r="X983" s="272"/>
      <c r="Y983" s="272"/>
      <c r="Z983" s="272"/>
    </row>
    <row r="984" ht="15.75" customHeight="1">
      <c r="A984" s="272"/>
      <c r="B984" s="272"/>
      <c r="C984" s="272"/>
      <c r="D984" s="272"/>
      <c r="E984" s="272"/>
      <c r="F984" s="272"/>
      <c r="G984" s="272"/>
      <c r="H984" s="272"/>
      <c r="I984" s="272"/>
      <c r="J984" s="272"/>
      <c r="K984" s="272"/>
      <c r="L984" s="272"/>
      <c r="M984" s="272"/>
      <c r="N984" s="272"/>
      <c r="O984" s="272"/>
      <c r="P984" s="272"/>
      <c r="Q984" s="272"/>
      <c r="R984" s="272"/>
      <c r="S984" s="272"/>
      <c r="T984" s="272"/>
      <c r="U984" s="272"/>
      <c r="V984" s="272"/>
      <c r="W984" s="272"/>
      <c r="X984" s="272"/>
      <c r="Y984" s="272"/>
      <c r="Z984" s="272"/>
    </row>
    <row r="985" ht="15.75" customHeight="1">
      <c r="A985" s="272"/>
      <c r="B985" s="272"/>
      <c r="C985" s="272"/>
      <c r="D985" s="272"/>
      <c r="E985" s="272"/>
      <c r="F985" s="272"/>
      <c r="G985" s="272"/>
      <c r="H985" s="272"/>
      <c r="I985" s="272"/>
      <c r="J985" s="272"/>
      <c r="K985" s="272"/>
      <c r="L985" s="272"/>
      <c r="M985" s="272"/>
      <c r="N985" s="272"/>
      <c r="O985" s="272"/>
      <c r="P985" s="272"/>
      <c r="Q985" s="272"/>
      <c r="R985" s="272"/>
      <c r="S985" s="272"/>
      <c r="T985" s="272"/>
      <c r="U985" s="272"/>
      <c r="V985" s="272"/>
      <c r="W985" s="272"/>
      <c r="X985" s="272"/>
      <c r="Y985" s="272"/>
      <c r="Z985" s="272"/>
    </row>
    <row r="986" ht="15.75" customHeight="1">
      <c r="A986" s="272"/>
      <c r="B986" s="272"/>
      <c r="C986" s="272"/>
      <c r="D986" s="272"/>
      <c r="E986" s="272"/>
      <c r="F986" s="272"/>
      <c r="G986" s="272"/>
      <c r="H986" s="272"/>
      <c r="I986" s="272"/>
      <c r="J986" s="272"/>
      <c r="K986" s="272"/>
      <c r="L986" s="272"/>
      <c r="M986" s="272"/>
      <c r="N986" s="272"/>
      <c r="O986" s="272"/>
      <c r="P986" s="272"/>
      <c r="Q986" s="272"/>
      <c r="R986" s="272"/>
      <c r="S986" s="272"/>
      <c r="T986" s="272"/>
      <c r="U986" s="272"/>
      <c r="V986" s="272"/>
      <c r="W986" s="272"/>
      <c r="X986" s="272"/>
      <c r="Y986" s="272"/>
      <c r="Z986" s="272"/>
    </row>
    <row r="987" ht="15.75" customHeight="1">
      <c r="A987" s="272"/>
      <c r="B987" s="272"/>
      <c r="C987" s="272"/>
      <c r="D987" s="272"/>
      <c r="E987" s="272"/>
      <c r="F987" s="272"/>
      <c r="G987" s="272"/>
      <c r="H987" s="272"/>
      <c r="I987" s="272"/>
      <c r="J987" s="272"/>
      <c r="K987" s="272"/>
      <c r="L987" s="272"/>
      <c r="M987" s="272"/>
      <c r="N987" s="272"/>
      <c r="O987" s="272"/>
      <c r="P987" s="272"/>
      <c r="Q987" s="272"/>
      <c r="R987" s="272"/>
      <c r="S987" s="272"/>
      <c r="T987" s="272"/>
      <c r="U987" s="272"/>
      <c r="V987" s="272"/>
      <c r="W987" s="272"/>
      <c r="X987" s="272"/>
      <c r="Y987" s="272"/>
      <c r="Z987" s="272"/>
    </row>
    <row r="988" ht="15.75" customHeight="1">
      <c r="A988" s="272"/>
      <c r="B988" s="272"/>
      <c r="C988" s="272"/>
      <c r="D988" s="272"/>
      <c r="E988" s="272"/>
      <c r="F988" s="272"/>
      <c r="G988" s="272"/>
      <c r="H988" s="272"/>
      <c r="I988" s="272"/>
      <c r="J988" s="272"/>
      <c r="K988" s="272"/>
      <c r="L988" s="272"/>
      <c r="M988" s="272"/>
      <c r="N988" s="272"/>
      <c r="O988" s="272"/>
      <c r="P988" s="272"/>
      <c r="Q988" s="272"/>
      <c r="R988" s="272"/>
      <c r="S988" s="272"/>
      <c r="T988" s="272"/>
      <c r="U988" s="272"/>
      <c r="V988" s="272"/>
      <c r="W988" s="272"/>
      <c r="X988" s="272"/>
      <c r="Y988" s="272"/>
      <c r="Z988" s="272"/>
    </row>
    <row r="989" ht="15.75" customHeight="1">
      <c r="A989" s="272"/>
      <c r="B989" s="272"/>
      <c r="C989" s="272"/>
      <c r="D989" s="272"/>
      <c r="E989" s="272"/>
      <c r="F989" s="272"/>
      <c r="G989" s="272"/>
      <c r="H989" s="272"/>
      <c r="I989" s="272"/>
      <c r="J989" s="272"/>
      <c r="K989" s="272"/>
      <c r="L989" s="272"/>
      <c r="M989" s="272"/>
      <c r="N989" s="272"/>
      <c r="O989" s="272"/>
      <c r="P989" s="272"/>
      <c r="Q989" s="272"/>
      <c r="R989" s="272"/>
      <c r="S989" s="272"/>
      <c r="T989" s="272"/>
      <c r="U989" s="272"/>
      <c r="V989" s="272"/>
      <c r="W989" s="272"/>
      <c r="X989" s="272"/>
      <c r="Y989" s="272"/>
      <c r="Z989" s="272"/>
    </row>
    <row r="990" ht="15.75" customHeight="1">
      <c r="A990" s="272"/>
      <c r="B990" s="272"/>
      <c r="C990" s="272"/>
      <c r="D990" s="272"/>
      <c r="E990" s="272"/>
      <c r="F990" s="272"/>
      <c r="G990" s="272"/>
      <c r="H990" s="272"/>
      <c r="I990" s="272"/>
      <c r="J990" s="272"/>
      <c r="K990" s="272"/>
      <c r="L990" s="272"/>
      <c r="M990" s="272"/>
      <c r="N990" s="272"/>
      <c r="O990" s="272"/>
      <c r="P990" s="272"/>
      <c r="Q990" s="272"/>
      <c r="R990" s="272"/>
      <c r="S990" s="272"/>
      <c r="T990" s="272"/>
      <c r="U990" s="272"/>
      <c r="V990" s="272"/>
      <c r="W990" s="272"/>
      <c r="X990" s="272"/>
      <c r="Y990" s="272"/>
      <c r="Z990" s="272"/>
    </row>
    <row r="991" ht="15.75" customHeight="1">
      <c r="A991" s="272"/>
      <c r="B991" s="272"/>
      <c r="C991" s="272"/>
      <c r="D991" s="272"/>
      <c r="E991" s="272"/>
      <c r="F991" s="272"/>
      <c r="G991" s="272"/>
      <c r="H991" s="272"/>
      <c r="I991" s="272"/>
      <c r="J991" s="272"/>
      <c r="K991" s="272"/>
      <c r="L991" s="272"/>
      <c r="M991" s="272"/>
      <c r="N991" s="272"/>
      <c r="O991" s="272"/>
      <c r="P991" s="272"/>
      <c r="Q991" s="272"/>
      <c r="R991" s="272"/>
      <c r="S991" s="272"/>
      <c r="T991" s="272"/>
      <c r="U991" s="272"/>
      <c r="V991" s="272"/>
      <c r="W991" s="272"/>
      <c r="X991" s="272"/>
      <c r="Y991" s="272"/>
      <c r="Z991" s="272"/>
    </row>
    <row r="992" ht="15.75" customHeight="1">
      <c r="A992" s="272"/>
      <c r="B992" s="272"/>
      <c r="C992" s="272"/>
      <c r="D992" s="272"/>
      <c r="E992" s="272"/>
      <c r="F992" s="272"/>
      <c r="G992" s="272"/>
      <c r="H992" s="272"/>
      <c r="I992" s="272"/>
      <c r="J992" s="272"/>
      <c r="K992" s="272"/>
      <c r="L992" s="272"/>
      <c r="M992" s="272"/>
      <c r="N992" s="272"/>
      <c r="O992" s="272"/>
      <c r="P992" s="272"/>
      <c r="Q992" s="272"/>
      <c r="R992" s="272"/>
      <c r="S992" s="272"/>
      <c r="T992" s="272"/>
      <c r="U992" s="272"/>
      <c r="V992" s="272"/>
      <c r="W992" s="272"/>
      <c r="X992" s="272"/>
      <c r="Y992" s="272"/>
      <c r="Z992" s="272"/>
    </row>
    <row r="993" ht="15.75" customHeight="1">
      <c r="A993" s="272"/>
      <c r="B993" s="272"/>
      <c r="C993" s="272"/>
      <c r="D993" s="272"/>
      <c r="E993" s="272"/>
      <c r="F993" s="272"/>
      <c r="G993" s="272"/>
      <c r="H993" s="272"/>
      <c r="I993" s="272"/>
      <c r="J993" s="272"/>
      <c r="K993" s="272"/>
      <c r="L993" s="272"/>
      <c r="M993" s="272"/>
      <c r="N993" s="272"/>
      <c r="O993" s="272"/>
      <c r="P993" s="272"/>
      <c r="Q993" s="272"/>
      <c r="R993" s="272"/>
      <c r="S993" s="272"/>
      <c r="T993" s="272"/>
      <c r="U993" s="272"/>
      <c r="V993" s="272"/>
      <c r="W993" s="272"/>
      <c r="X993" s="272"/>
      <c r="Y993" s="272"/>
      <c r="Z993" s="272"/>
    </row>
    <row r="994" ht="15.75" customHeight="1">
      <c r="A994" s="272"/>
      <c r="B994" s="272"/>
      <c r="C994" s="272"/>
      <c r="D994" s="272"/>
      <c r="E994" s="272"/>
      <c r="F994" s="272"/>
      <c r="G994" s="272"/>
      <c r="H994" s="272"/>
      <c r="I994" s="272"/>
      <c r="J994" s="272"/>
      <c r="K994" s="272"/>
      <c r="L994" s="272"/>
      <c r="M994" s="272"/>
      <c r="N994" s="272"/>
      <c r="O994" s="272"/>
      <c r="P994" s="272"/>
      <c r="Q994" s="272"/>
      <c r="R994" s="272"/>
      <c r="S994" s="272"/>
      <c r="T994" s="272"/>
      <c r="U994" s="272"/>
      <c r="V994" s="272"/>
      <c r="W994" s="272"/>
      <c r="X994" s="272"/>
      <c r="Y994" s="272"/>
      <c r="Z994" s="272"/>
    </row>
    <row r="995" ht="15.75" customHeight="1">
      <c r="A995" s="272"/>
      <c r="B995" s="272"/>
      <c r="C995" s="272"/>
      <c r="D995" s="272"/>
      <c r="E995" s="272"/>
      <c r="F995" s="272"/>
      <c r="G995" s="272"/>
      <c r="H995" s="272"/>
      <c r="I995" s="272"/>
      <c r="J995" s="272"/>
      <c r="K995" s="272"/>
      <c r="L995" s="272"/>
      <c r="M995" s="272"/>
      <c r="N995" s="272"/>
      <c r="O995" s="272"/>
      <c r="P995" s="272"/>
      <c r="Q995" s="272"/>
      <c r="R995" s="272"/>
      <c r="S995" s="272"/>
      <c r="T995" s="272"/>
      <c r="U995" s="272"/>
      <c r="V995" s="272"/>
      <c r="W995" s="272"/>
      <c r="X995" s="272"/>
      <c r="Y995" s="272"/>
      <c r="Z995" s="272"/>
    </row>
    <row r="996" ht="15.75" customHeight="1">
      <c r="A996" s="272"/>
      <c r="B996" s="272"/>
      <c r="C996" s="272"/>
      <c r="D996" s="272"/>
      <c r="E996" s="272"/>
      <c r="F996" s="272"/>
      <c r="G996" s="272"/>
      <c r="H996" s="272"/>
      <c r="I996" s="272"/>
      <c r="J996" s="272"/>
      <c r="K996" s="272"/>
      <c r="L996" s="272"/>
      <c r="M996" s="272"/>
      <c r="N996" s="272"/>
      <c r="O996" s="272"/>
      <c r="P996" s="272"/>
      <c r="Q996" s="272"/>
      <c r="R996" s="272"/>
      <c r="S996" s="272"/>
      <c r="T996" s="272"/>
      <c r="U996" s="272"/>
      <c r="V996" s="272"/>
      <c r="W996" s="272"/>
      <c r="X996" s="272"/>
      <c r="Y996" s="272"/>
      <c r="Z996" s="272"/>
    </row>
    <row r="997" ht="15.75" customHeight="1">
      <c r="A997" s="272"/>
      <c r="B997" s="272"/>
      <c r="C997" s="272"/>
      <c r="D997" s="272"/>
      <c r="E997" s="272"/>
      <c r="F997" s="272"/>
      <c r="G997" s="272"/>
      <c r="H997" s="272"/>
      <c r="I997" s="272"/>
      <c r="J997" s="272"/>
      <c r="K997" s="272"/>
      <c r="L997" s="272"/>
      <c r="M997" s="272"/>
      <c r="N997" s="272"/>
      <c r="O997" s="272"/>
      <c r="P997" s="272"/>
      <c r="Q997" s="272"/>
      <c r="R997" s="272"/>
      <c r="S997" s="272"/>
      <c r="T997" s="272"/>
      <c r="U997" s="272"/>
      <c r="V997" s="272"/>
      <c r="W997" s="272"/>
      <c r="X997" s="272"/>
      <c r="Y997" s="272"/>
      <c r="Z997" s="272"/>
    </row>
    <row r="998" ht="15.75" customHeight="1">
      <c r="A998" s="272"/>
      <c r="B998" s="272"/>
      <c r="C998" s="272"/>
      <c r="D998" s="272"/>
      <c r="E998" s="272"/>
      <c r="F998" s="272"/>
      <c r="G998" s="272"/>
      <c r="H998" s="272"/>
      <c r="I998" s="272"/>
      <c r="J998" s="272"/>
      <c r="K998" s="272"/>
      <c r="L998" s="272"/>
      <c r="M998" s="272"/>
      <c r="N998" s="272"/>
      <c r="O998" s="272"/>
      <c r="P998" s="272"/>
      <c r="Q998" s="272"/>
      <c r="R998" s="272"/>
      <c r="S998" s="272"/>
      <c r="T998" s="272"/>
      <c r="U998" s="272"/>
      <c r="V998" s="272"/>
      <c r="W998" s="272"/>
      <c r="X998" s="272"/>
      <c r="Y998" s="272"/>
      <c r="Z998" s="272"/>
    </row>
    <row r="999" ht="15.75" customHeight="1">
      <c r="A999" s="272"/>
      <c r="B999" s="272"/>
      <c r="C999" s="272"/>
      <c r="D999" s="272"/>
      <c r="E999" s="272"/>
      <c r="F999" s="272"/>
      <c r="G999" s="272"/>
      <c r="H999" s="272"/>
      <c r="I999" s="272"/>
      <c r="J999" s="272"/>
      <c r="K999" s="272"/>
      <c r="L999" s="272"/>
      <c r="M999" s="272"/>
      <c r="N999" s="272"/>
      <c r="O999" s="272"/>
      <c r="P999" s="272"/>
      <c r="Q999" s="272"/>
      <c r="R999" s="272"/>
      <c r="S999" s="272"/>
      <c r="T999" s="272"/>
      <c r="U999" s="272"/>
      <c r="V999" s="272"/>
      <c r="W999" s="272"/>
      <c r="X999" s="272"/>
      <c r="Y999" s="272"/>
      <c r="Z999" s="272"/>
    </row>
    <row r="1000" ht="15.75" customHeight="1">
      <c r="A1000" s="272"/>
      <c r="B1000" s="272"/>
      <c r="C1000" s="272"/>
      <c r="D1000" s="272"/>
      <c r="E1000" s="272"/>
      <c r="F1000" s="272"/>
      <c r="G1000" s="272"/>
      <c r="H1000" s="272"/>
      <c r="I1000" s="272"/>
      <c r="J1000" s="272"/>
      <c r="K1000" s="272"/>
      <c r="L1000" s="272"/>
      <c r="M1000" s="272"/>
      <c r="N1000" s="272"/>
      <c r="O1000" s="272"/>
      <c r="P1000" s="272"/>
      <c r="Q1000" s="272"/>
      <c r="R1000" s="272"/>
      <c r="S1000" s="272"/>
      <c r="T1000" s="272"/>
      <c r="U1000" s="272"/>
      <c r="V1000" s="272"/>
      <c r="W1000" s="272"/>
      <c r="X1000" s="272"/>
      <c r="Y1000" s="272"/>
      <c r="Z1000" s="272"/>
    </row>
  </sheetData>
  <mergeCells count="1">
    <mergeCell ref="E6:N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2026-01-08T05:06:47Z</dcterms:created>
</cp:coreProperties>
</file>