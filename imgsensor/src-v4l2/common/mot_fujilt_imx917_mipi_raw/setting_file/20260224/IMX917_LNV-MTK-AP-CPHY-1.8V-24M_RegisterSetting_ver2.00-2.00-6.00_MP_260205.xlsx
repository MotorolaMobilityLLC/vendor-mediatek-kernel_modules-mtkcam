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BA86FF75-5E1A-4BF7-9DF0-18BECBCACF2D}" xr6:coauthVersionLast="47" xr6:coauthVersionMax="47" xr10:uidLastSave="{00000000-0000-0000-0000-000000000000}"/>
  <bookViews>
    <workbookView xWindow="-120" yWindow="-120" windowWidth="29040" windowHeight="15720" tabRatio="901" xr2:uid="{00000000-000D-0000-FFFF-FFFF00000000}"/>
  </bookViews>
  <sheets>
    <sheet name="History" sheetId="59" r:id="rId1"/>
    <sheet name="RegisterSetting(Mode)" sheetId="65" r:id="rId2"/>
    <sheet name="Mode List" sheetId="60" r:id="rId3"/>
    <sheet name="&lt;reference&gt;Gain_Table" sheetId="17" r:id="rId4"/>
    <sheet name="&lt;reference&gt;GlobalTiming" sheetId="4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X19" i="60" l="1"/>
  <c r="BX11" i="60"/>
  <c r="BR25" i="60"/>
  <c r="BR17" i="60"/>
  <c r="BR9" i="60"/>
  <c r="BC26" i="60"/>
  <c r="BC25" i="60"/>
  <c r="BC24" i="60"/>
  <c r="BC23" i="60"/>
  <c r="BC22" i="60"/>
  <c r="BC21" i="60"/>
  <c r="BC20" i="60"/>
  <c r="BC19" i="60"/>
  <c r="BC18" i="60"/>
  <c r="BC17" i="60"/>
  <c r="BC16" i="60"/>
  <c r="BC15" i="60"/>
  <c r="BC14" i="60"/>
  <c r="BC13" i="60"/>
  <c r="BC12" i="60"/>
  <c r="BC11" i="60"/>
  <c r="BC10" i="60"/>
  <c r="BC9" i="60"/>
  <c r="AV21" i="60"/>
  <c r="AV13" i="60"/>
  <c r="AU21" i="60"/>
  <c r="AU13" i="60"/>
  <c r="AN26" i="60"/>
  <c r="AO26" i="60" s="1"/>
  <c r="AN25" i="60"/>
  <c r="AO25" i="60" s="1"/>
  <c r="AN24" i="60"/>
  <c r="AO24" i="60" s="1"/>
  <c r="AN23" i="60"/>
  <c r="AO23" i="60" s="1"/>
  <c r="AN22" i="60"/>
  <c r="AO22" i="60" s="1"/>
  <c r="AN20" i="60"/>
  <c r="AO20" i="60" s="1"/>
  <c r="AN19" i="60"/>
  <c r="AO19" i="60" s="1"/>
  <c r="AN18" i="60"/>
  <c r="AO18" i="60" s="1"/>
  <c r="AN17" i="60"/>
  <c r="AO17" i="60" s="1"/>
  <c r="AN16" i="60"/>
  <c r="AO16" i="60" s="1"/>
  <c r="AN15" i="60"/>
  <c r="AO15" i="60" s="1"/>
  <c r="AN14" i="60"/>
  <c r="AO14" i="60" s="1"/>
  <c r="AN12" i="60"/>
  <c r="AO12" i="60" s="1"/>
  <c r="AN11" i="60"/>
  <c r="AO11" i="60" s="1"/>
  <c r="AN10" i="60"/>
  <c r="AO10" i="60" s="1"/>
  <c r="AN9" i="60"/>
  <c r="AO9" i="60" s="1"/>
  <c r="V26" i="60"/>
  <c r="V25" i="60"/>
  <c r="V24" i="60"/>
  <c r="V23" i="60"/>
  <c r="V22" i="60"/>
  <c r="V20" i="60"/>
  <c r="V19" i="60"/>
  <c r="V18" i="60"/>
  <c r="V17" i="60"/>
  <c r="V16" i="60"/>
  <c r="V15" i="60"/>
  <c r="V14" i="60"/>
  <c r="V12" i="60"/>
  <c r="V11" i="60"/>
  <c r="V10" i="60"/>
  <c r="V9" i="60"/>
  <c r="U26" i="60"/>
  <c r="U25" i="60"/>
  <c r="U24" i="60"/>
  <c r="U23" i="60"/>
  <c r="U22" i="60"/>
  <c r="U20" i="60"/>
  <c r="U19" i="60"/>
  <c r="U18" i="60"/>
  <c r="U17" i="60"/>
  <c r="U16" i="60"/>
  <c r="U15" i="60"/>
  <c r="U14" i="60"/>
  <c r="U12" i="60"/>
  <c r="U11" i="60"/>
  <c r="U10" i="60"/>
  <c r="U9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25" i="60"/>
  <c r="AU25" i="60" s="1"/>
  <c r="R24" i="60"/>
  <c r="AV24" i="60" s="1"/>
  <c r="R17" i="60"/>
  <c r="AU17" i="60" s="1"/>
  <c r="R16" i="60"/>
  <c r="AV16" i="60" s="1"/>
  <c r="R9" i="60"/>
  <c r="AV9" i="60" s="1"/>
  <c r="Q26" i="60"/>
  <c r="BP26" i="60" s="1"/>
  <c r="Q25" i="60"/>
  <c r="BP25" i="60" s="1"/>
  <c r="Q24" i="60"/>
  <c r="BR24" i="60" s="1"/>
  <c r="Q23" i="60"/>
  <c r="BR23" i="60" s="1"/>
  <c r="Q22" i="60"/>
  <c r="BR22" i="60" s="1"/>
  <c r="Q21" i="60"/>
  <c r="BR21" i="60" s="1"/>
  <c r="Q20" i="60"/>
  <c r="BR20" i="60" s="1"/>
  <c r="Q19" i="60"/>
  <c r="BP19" i="60" s="1"/>
  <c r="Q18" i="60"/>
  <c r="BP18" i="60" s="1"/>
  <c r="Q17" i="60"/>
  <c r="BP17" i="60" s="1"/>
  <c r="Q16" i="60"/>
  <c r="BR16" i="60" s="1"/>
  <c r="Q15" i="60"/>
  <c r="BR15" i="60" s="1"/>
  <c r="Q14" i="60"/>
  <c r="BR14" i="60" s="1"/>
  <c r="Q13" i="60"/>
  <c r="BR13" i="60" s="1"/>
  <c r="Q12" i="60"/>
  <c r="BR12" i="60" s="1"/>
  <c r="Q11" i="60"/>
  <c r="BP11" i="60" s="1"/>
  <c r="Q10" i="60"/>
  <c r="BP10" i="60" s="1"/>
  <c r="Q9" i="60"/>
  <c r="BP9" i="60" s="1"/>
  <c r="N26" i="60"/>
  <c r="BX26" i="60" s="1"/>
  <c r="N25" i="60"/>
  <c r="BX25" i="60" s="1"/>
  <c r="N24" i="60"/>
  <c r="BX24" i="60" s="1"/>
  <c r="N23" i="60"/>
  <c r="R23" i="60" s="1"/>
  <c r="N22" i="60"/>
  <c r="R22" i="60" s="1"/>
  <c r="N21" i="60"/>
  <c r="R21" i="60" s="1"/>
  <c r="N20" i="60"/>
  <c r="BM20" i="60" s="1"/>
  <c r="N19" i="60"/>
  <c r="BM19" i="60" s="1"/>
  <c r="N18" i="60"/>
  <c r="BX18" i="60" s="1"/>
  <c r="N17" i="60"/>
  <c r="BX17" i="60" s="1"/>
  <c r="N16" i="60"/>
  <c r="BX16" i="60" s="1"/>
  <c r="N15" i="60"/>
  <c r="R15" i="60" s="1"/>
  <c r="N14" i="60"/>
  <c r="R14" i="60" s="1"/>
  <c r="N13" i="60"/>
  <c r="BM13" i="60" s="1"/>
  <c r="N12" i="60"/>
  <c r="BM12" i="60" s="1"/>
  <c r="N11" i="60"/>
  <c r="BM11" i="60" s="1"/>
  <c r="N10" i="60"/>
  <c r="BX10" i="60" s="1"/>
  <c r="N9" i="60"/>
  <c r="BX9" i="60" s="1"/>
  <c r="AV15" i="60" l="1"/>
  <c r="AU15" i="60"/>
  <c r="AV23" i="60"/>
  <c r="AU23" i="60"/>
  <c r="BV9" i="60"/>
  <c r="T9" i="60"/>
  <c r="BT9" i="60"/>
  <c r="BV17" i="60"/>
  <c r="T17" i="60"/>
  <c r="BT17" i="60"/>
  <c r="BV25" i="60"/>
  <c r="T25" i="60"/>
  <c r="BT25" i="60"/>
  <c r="BV10" i="60"/>
  <c r="T10" i="60"/>
  <c r="BT10" i="60"/>
  <c r="BV18" i="60"/>
  <c r="T18" i="60"/>
  <c r="BT18" i="60"/>
  <c r="BV26" i="60"/>
  <c r="T26" i="60"/>
  <c r="BT26" i="60"/>
  <c r="BV11" i="60"/>
  <c r="T11" i="60"/>
  <c r="BT11" i="60"/>
  <c r="BV19" i="60"/>
  <c r="T19" i="60"/>
  <c r="BT19" i="60"/>
  <c r="AV14" i="60"/>
  <c r="AU14" i="60"/>
  <c r="AV22" i="60"/>
  <c r="AU22" i="60"/>
  <c r="AV17" i="60"/>
  <c r="BM21" i="60"/>
  <c r="R10" i="60"/>
  <c r="R18" i="60"/>
  <c r="R26" i="60"/>
  <c r="BM14" i="60"/>
  <c r="BM22" i="60"/>
  <c r="BP12" i="60"/>
  <c r="BP20" i="60"/>
  <c r="BR10" i="60"/>
  <c r="BR18" i="60"/>
  <c r="BR26" i="60"/>
  <c r="BX12" i="60"/>
  <c r="BX20" i="60"/>
  <c r="AV25" i="60"/>
  <c r="R11" i="60"/>
  <c r="R19" i="60"/>
  <c r="BM15" i="60"/>
  <c r="BM23" i="60"/>
  <c r="BP13" i="60"/>
  <c r="BP21" i="60"/>
  <c r="BR11" i="60"/>
  <c r="BR19" i="60"/>
  <c r="BX13" i="60"/>
  <c r="BX21" i="60"/>
  <c r="R12" i="60"/>
  <c r="R20" i="60"/>
  <c r="BM16" i="60"/>
  <c r="BM24" i="60"/>
  <c r="BP14" i="60"/>
  <c r="BP22" i="60"/>
  <c r="BX14" i="60"/>
  <c r="BX22" i="60"/>
  <c r="R13" i="60"/>
  <c r="BM9" i="60"/>
  <c r="BM17" i="60"/>
  <c r="BM25" i="60"/>
  <c r="BP15" i="60"/>
  <c r="BP23" i="60"/>
  <c r="BX15" i="60"/>
  <c r="BX23" i="60"/>
  <c r="AU16" i="60"/>
  <c r="AU24" i="60"/>
  <c r="BM10" i="60"/>
  <c r="BM18" i="60"/>
  <c r="BM26" i="60"/>
  <c r="BP16" i="60"/>
  <c r="BP24" i="60"/>
  <c r="AU9" i="60"/>
  <c r="AU11" i="60" l="1"/>
  <c r="AV11" i="60"/>
  <c r="BT15" i="60"/>
  <c r="BV15" i="60"/>
  <c r="T15" i="60"/>
  <c r="BT14" i="60"/>
  <c r="BV14" i="60"/>
  <c r="T14" i="60"/>
  <c r="BT23" i="60"/>
  <c r="BV23" i="60"/>
  <c r="T23" i="60"/>
  <c r="T21" i="60"/>
  <c r="BT21" i="60"/>
  <c r="BV21" i="60"/>
  <c r="AU26" i="60"/>
  <c r="AV26" i="60"/>
  <c r="BV12" i="60"/>
  <c r="T12" i="60"/>
  <c r="BT12" i="60"/>
  <c r="T13" i="60"/>
  <c r="BT13" i="60"/>
  <c r="BV13" i="60"/>
  <c r="AU18" i="60"/>
  <c r="AV18" i="60"/>
  <c r="BV16" i="60"/>
  <c r="T16" i="60"/>
  <c r="BT16" i="60"/>
  <c r="AV20" i="60"/>
  <c r="AU20" i="60"/>
  <c r="AU10" i="60"/>
  <c r="AV10" i="60"/>
  <c r="BV24" i="60"/>
  <c r="T24" i="60"/>
  <c r="BT24" i="60"/>
  <c r="AV12" i="60"/>
  <c r="AU12" i="60"/>
  <c r="BT22" i="60"/>
  <c r="BV22" i="60"/>
  <c r="T22" i="60"/>
  <c r="AU19" i="60"/>
  <c r="AV19" i="60"/>
  <c r="BV20" i="60"/>
  <c r="T20" i="60"/>
  <c r="BT20" i="60"/>
  <c r="D2502" i="17" l="1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511" i="17"/>
  <c r="D512" i="17"/>
  <c r="D513" i="17"/>
  <c r="D514" i="17"/>
  <c r="D515" i="17"/>
  <c r="D516" i="17"/>
  <c r="D517" i="17"/>
  <c r="D518" i="17"/>
  <c r="D519" i="17"/>
  <c r="D520" i="17"/>
  <c r="D521" i="17"/>
  <c r="D522" i="17"/>
  <c r="D523" i="17"/>
  <c r="D524" i="17"/>
  <c r="D525" i="17"/>
  <c r="D526" i="17"/>
  <c r="D527" i="17"/>
  <c r="D528" i="17"/>
  <c r="D529" i="17"/>
  <c r="D530" i="17"/>
  <c r="D531" i="17"/>
  <c r="D532" i="17"/>
  <c r="D533" i="17"/>
  <c r="D534" i="17"/>
  <c r="D535" i="17"/>
  <c r="D536" i="17"/>
  <c r="D537" i="17"/>
  <c r="D538" i="17"/>
  <c r="D539" i="17"/>
  <c r="D540" i="17"/>
  <c r="D541" i="17"/>
  <c r="D542" i="17"/>
  <c r="D543" i="17"/>
  <c r="D544" i="17"/>
  <c r="D545" i="17"/>
  <c r="D546" i="17"/>
  <c r="D547" i="17"/>
  <c r="D548" i="17"/>
  <c r="D549" i="17"/>
  <c r="D550" i="17"/>
  <c r="D551" i="17"/>
  <c r="D552" i="17"/>
  <c r="D553" i="17"/>
  <c r="D554" i="17"/>
  <c r="D555" i="17"/>
  <c r="D556" i="17"/>
  <c r="D557" i="17"/>
  <c r="D558" i="17"/>
  <c r="D559" i="17"/>
  <c r="D560" i="17"/>
  <c r="D561" i="17"/>
  <c r="D562" i="17"/>
  <c r="D563" i="17"/>
  <c r="D564" i="17"/>
  <c r="D565" i="17"/>
  <c r="D566" i="17"/>
  <c r="D567" i="17"/>
  <c r="D568" i="17"/>
  <c r="D569" i="17"/>
  <c r="D570" i="17"/>
  <c r="D571" i="17"/>
  <c r="D572" i="17"/>
  <c r="D573" i="17"/>
  <c r="D574" i="17"/>
  <c r="D575" i="17"/>
  <c r="D576" i="17"/>
  <c r="D577" i="17"/>
  <c r="D578" i="17"/>
  <c r="D579" i="17"/>
  <c r="D580" i="17"/>
  <c r="D581" i="17"/>
  <c r="D582" i="17"/>
  <c r="D583" i="17"/>
  <c r="D584" i="17"/>
  <c r="D585" i="17"/>
  <c r="D586" i="17"/>
  <c r="D587" i="17"/>
  <c r="D588" i="17"/>
  <c r="D589" i="17"/>
  <c r="D590" i="17"/>
  <c r="D591" i="17"/>
  <c r="D592" i="17"/>
  <c r="D593" i="17"/>
  <c r="D594" i="17"/>
  <c r="D595" i="17"/>
  <c r="D596" i="17"/>
  <c r="D597" i="17"/>
  <c r="D598" i="17"/>
  <c r="D599" i="17"/>
  <c r="D600" i="17"/>
  <c r="D601" i="17"/>
  <c r="D602" i="17"/>
  <c r="D603" i="17"/>
  <c r="D604" i="17"/>
  <c r="D605" i="17"/>
  <c r="D606" i="17"/>
  <c r="D607" i="17"/>
  <c r="D608" i="17"/>
  <c r="D609" i="17"/>
  <c r="D610" i="17"/>
  <c r="D611" i="17"/>
  <c r="D612" i="17"/>
  <c r="D613" i="17"/>
  <c r="D614" i="17"/>
  <c r="D615" i="17"/>
  <c r="D616" i="17"/>
  <c r="D617" i="17"/>
  <c r="D618" i="17"/>
  <c r="D619" i="17"/>
  <c r="D620" i="17"/>
  <c r="D621" i="17"/>
  <c r="D622" i="17"/>
  <c r="D623" i="17"/>
  <c r="D624" i="17"/>
  <c r="D625" i="17"/>
  <c r="D626" i="17"/>
  <c r="D627" i="17"/>
  <c r="D628" i="17"/>
  <c r="D629" i="17"/>
  <c r="D630" i="17"/>
  <c r="D631" i="17"/>
  <c r="D632" i="17"/>
  <c r="D633" i="17"/>
  <c r="D634" i="17"/>
  <c r="D635" i="17"/>
  <c r="D636" i="17"/>
  <c r="D637" i="17"/>
  <c r="D638" i="17"/>
  <c r="D639" i="17"/>
  <c r="D640" i="17"/>
  <c r="D641" i="17"/>
  <c r="D642" i="17"/>
  <c r="D643" i="17"/>
  <c r="D644" i="17"/>
  <c r="D645" i="17"/>
  <c r="D646" i="17"/>
  <c r="D647" i="17"/>
  <c r="D648" i="17"/>
  <c r="D649" i="17"/>
  <c r="D650" i="17"/>
  <c r="D651" i="17"/>
  <c r="D652" i="17"/>
  <c r="D653" i="17"/>
  <c r="D654" i="17"/>
  <c r="D655" i="17"/>
  <c r="D656" i="17"/>
  <c r="D657" i="17"/>
  <c r="D658" i="17"/>
  <c r="D659" i="17"/>
  <c r="D660" i="17"/>
  <c r="D661" i="17"/>
  <c r="D662" i="17"/>
  <c r="D663" i="17"/>
  <c r="D664" i="17"/>
  <c r="D665" i="17"/>
  <c r="D666" i="17"/>
  <c r="D667" i="17"/>
  <c r="D668" i="17"/>
  <c r="D669" i="17"/>
  <c r="D670" i="17"/>
  <c r="D671" i="17"/>
  <c r="D672" i="17"/>
  <c r="D673" i="17"/>
  <c r="D674" i="17"/>
  <c r="D675" i="17"/>
  <c r="D676" i="17"/>
  <c r="D677" i="17"/>
  <c r="D678" i="17"/>
  <c r="D679" i="17"/>
  <c r="D680" i="17"/>
  <c r="D681" i="17"/>
  <c r="D682" i="17"/>
  <c r="D683" i="17"/>
  <c r="D684" i="17"/>
  <c r="D685" i="17"/>
  <c r="D686" i="17"/>
  <c r="D687" i="17"/>
  <c r="D688" i="17"/>
  <c r="D689" i="17"/>
  <c r="D690" i="17"/>
  <c r="D691" i="17"/>
  <c r="D692" i="17"/>
  <c r="D693" i="17"/>
  <c r="D694" i="17"/>
  <c r="D695" i="17"/>
  <c r="D696" i="17"/>
  <c r="D697" i="17"/>
  <c r="D698" i="17"/>
  <c r="D699" i="17"/>
  <c r="D700" i="17"/>
  <c r="D701" i="17"/>
  <c r="D702" i="17"/>
  <c r="D703" i="17"/>
  <c r="D704" i="17"/>
  <c r="D705" i="17"/>
  <c r="D706" i="17"/>
  <c r="D707" i="17"/>
  <c r="D708" i="17"/>
  <c r="D709" i="17"/>
  <c r="D710" i="17"/>
  <c r="D711" i="17"/>
  <c r="D712" i="17"/>
  <c r="D713" i="17"/>
  <c r="D714" i="17"/>
  <c r="D715" i="17"/>
  <c r="D716" i="17"/>
  <c r="D717" i="17"/>
  <c r="D718" i="17"/>
  <c r="D719" i="17"/>
  <c r="D720" i="17"/>
  <c r="D721" i="17"/>
  <c r="D722" i="17"/>
  <c r="D723" i="17"/>
  <c r="D724" i="17"/>
  <c r="D725" i="17"/>
  <c r="D726" i="17"/>
  <c r="D727" i="17"/>
  <c r="D728" i="17"/>
  <c r="D729" i="17"/>
  <c r="D730" i="17"/>
  <c r="D731" i="17"/>
  <c r="D732" i="17"/>
  <c r="D733" i="17"/>
  <c r="D734" i="17"/>
  <c r="D735" i="17"/>
  <c r="D736" i="17"/>
  <c r="D737" i="17"/>
  <c r="D738" i="17"/>
  <c r="D739" i="17"/>
  <c r="D740" i="17"/>
  <c r="D741" i="17"/>
  <c r="D742" i="17"/>
  <c r="D743" i="17"/>
  <c r="D744" i="17"/>
  <c r="D745" i="17"/>
  <c r="D746" i="17"/>
  <c r="D747" i="17"/>
  <c r="D748" i="17"/>
  <c r="D749" i="17"/>
  <c r="D750" i="17"/>
  <c r="D751" i="17"/>
  <c r="D752" i="17"/>
  <c r="D753" i="17"/>
  <c r="D754" i="17"/>
  <c r="D755" i="17"/>
  <c r="D756" i="17"/>
  <c r="D757" i="17"/>
  <c r="D758" i="17"/>
  <c r="D759" i="17"/>
  <c r="D760" i="17"/>
  <c r="D761" i="17"/>
  <c r="D762" i="17"/>
  <c r="D763" i="17"/>
  <c r="D764" i="17"/>
  <c r="D765" i="17"/>
  <c r="D766" i="17"/>
  <c r="D767" i="17"/>
  <c r="D768" i="17"/>
  <c r="D769" i="17"/>
  <c r="D770" i="17"/>
  <c r="D771" i="17"/>
  <c r="D772" i="17"/>
  <c r="D773" i="17"/>
  <c r="D774" i="17"/>
  <c r="D775" i="17"/>
  <c r="D776" i="17"/>
  <c r="D777" i="17"/>
  <c r="D778" i="17"/>
  <c r="D779" i="17"/>
  <c r="D780" i="17"/>
  <c r="D781" i="17"/>
  <c r="D782" i="17"/>
  <c r="D783" i="17"/>
  <c r="D784" i="17"/>
  <c r="D785" i="17"/>
  <c r="D786" i="17"/>
  <c r="D787" i="17"/>
  <c r="D788" i="17"/>
  <c r="D789" i="17"/>
  <c r="D790" i="17"/>
  <c r="D791" i="17"/>
  <c r="D792" i="17"/>
  <c r="D793" i="17"/>
  <c r="D794" i="17"/>
  <c r="D795" i="17"/>
  <c r="D796" i="17"/>
  <c r="D797" i="17"/>
  <c r="D798" i="17"/>
  <c r="D799" i="17"/>
  <c r="D800" i="17"/>
  <c r="D801" i="17"/>
  <c r="D802" i="17"/>
  <c r="D803" i="17"/>
  <c r="D804" i="17"/>
  <c r="D805" i="17"/>
  <c r="D806" i="17"/>
  <c r="D807" i="17"/>
  <c r="D808" i="17"/>
  <c r="D809" i="17"/>
  <c r="D810" i="17"/>
  <c r="D811" i="17"/>
  <c r="D812" i="17"/>
  <c r="D813" i="17"/>
  <c r="D814" i="17"/>
  <c r="D815" i="17"/>
  <c r="D816" i="17"/>
  <c r="D817" i="17"/>
  <c r="D818" i="17"/>
  <c r="D819" i="17"/>
  <c r="D820" i="17"/>
  <c r="D821" i="17"/>
  <c r="D822" i="17"/>
  <c r="D823" i="17"/>
  <c r="D824" i="17"/>
  <c r="D825" i="17"/>
  <c r="D826" i="17"/>
  <c r="D827" i="17"/>
  <c r="D828" i="17"/>
  <c r="D829" i="17"/>
  <c r="D830" i="17"/>
  <c r="D831" i="17"/>
  <c r="D832" i="17"/>
  <c r="D833" i="17"/>
  <c r="D834" i="17"/>
  <c r="D835" i="17"/>
  <c r="D836" i="17"/>
  <c r="D837" i="17"/>
  <c r="D838" i="17"/>
  <c r="D839" i="17"/>
  <c r="D840" i="17"/>
  <c r="D841" i="17"/>
  <c r="D842" i="17"/>
  <c r="D843" i="17"/>
  <c r="D844" i="17"/>
  <c r="D845" i="17"/>
  <c r="D846" i="17"/>
  <c r="D847" i="17"/>
  <c r="D848" i="17"/>
  <c r="D849" i="17"/>
  <c r="D850" i="17"/>
  <c r="D851" i="17"/>
  <c r="D852" i="17"/>
  <c r="D853" i="17"/>
  <c r="D854" i="17"/>
  <c r="D855" i="17"/>
  <c r="D856" i="17"/>
  <c r="D857" i="17"/>
  <c r="D858" i="17"/>
  <c r="D859" i="17"/>
  <c r="D860" i="17"/>
  <c r="D861" i="17"/>
  <c r="D862" i="17"/>
  <c r="D863" i="17"/>
  <c r="D864" i="17"/>
  <c r="D865" i="17"/>
  <c r="D866" i="17"/>
  <c r="D867" i="17"/>
  <c r="D868" i="17"/>
  <c r="D869" i="17"/>
  <c r="D870" i="17"/>
  <c r="D871" i="17"/>
  <c r="D872" i="17"/>
  <c r="D873" i="17"/>
  <c r="D874" i="17"/>
  <c r="D875" i="17"/>
  <c r="D876" i="17"/>
  <c r="D877" i="17"/>
  <c r="D878" i="17"/>
  <c r="D879" i="17"/>
  <c r="D880" i="17"/>
  <c r="D881" i="17"/>
  <c r="D882" i="17"/>
  <c r="D883" i="17"/>
  <c r="D884" i="17"/>
  <c r="D885" i="17"/>
  <c r="D886" i="17"/>
  <c r="D887" i="17"/>
  <c r="D888" i="17"/>
  <c r="D889" i="17"/>
  <c r="D890" i="17"/>
  <c r="D891" i="17"/>
  <c r="D892" i="17"/>
  <c r="D893" i="17"/>
  <c r="D894" i="17"/>
  <c r="D895" i="17"/>
  <c r="D896" i="17"/>
  <c r="D897" i="17"/>
  <c r="D898" i="17"/>
  <c r="D899" i="17"/>
  <c r="D900" i="17"/>
  <c r="D901" i="17"/>
  <c r="D902" i="17"/>
  <c r="D903" i="17"/>
  <c r="D904" i="17"/>
  <c r="D905" i="17"/>
  <c r="D906" i="17"/>
  <c r="D907" i="17"/>
  <c r="D908" i="17"/>
  <c r="D909" i="17"/>
  <c r="D910" i="17"/>
  <c r="D911" i="17"/>
  <c r="D912" i="17"/>
  <c r="D913" i="17"/>
  <c r="D914" i="17"/>
  <c r="D915" i="17"/>
  <c r="D916" i="17"/>
  <c r="D917" i="17"/>
  <c r="D918" i="17"/>
  <c r="D919" i="17"/>
  <c r="D920" i="17"/>
  <c r="D921" i="17"/>
  <c r="D922" i="17"/>
  <c r="D923" i="17"/>
  <c r="D924" i="17"/>
  <c r="D925" i="17"/>
  <c r="D926" i="17"/>
  <c r="D927" i="17"/>
  <c r="D928" i="17"/>
  <c r="D929" i="17"/>
  <c r="D930" i="17"/>
  <c r="D931" i="17"/>
  <c r="D932" i="17"/>
  <c r="D933" i="17"/>
  <c r="D934" i="17"/>
  <c r="D935" i="17"/>
  <c r="D936" i="17"/>
  <c r="D937" i="17"/>
  <c r="D938" i="17"/>
  <c r="D939" i="17"/>
  <c r="D940" i="17"/>
  <c r="D941" i="17"/>
  <c r="D942" i="17"/>
  <c r="D943" i="17"/>
  <c r="D944" i="17"/>
  <c r="D945" i="17"/>
  <c r="D946" i="17"/>
  <c r="D947" i="17"/>
  <c r="D948" i="17"/>
  <c r="D949" i="17"/>
  <c r="D950" i="17"/>
  <c r="D951" i="17"/>
  <c r="D952" i="17"/>
  <c r="D953" i="17"/>
  <c r="D954" i="17"/>
  <c r="D955" i="17"/>
  <c r="D956" i="17"/>
  <c r="D957" i="17"/>
  <c r="D958" i="17"/>
  <c r="D959" i="17"/>
  <c r="D960" i="17"/>
  <c r="D961" i="17"/>
  <c r="D962" i="17"/>
  <c r="D963" i="17"/>
  <c r="D964" i="17"/>
  <c r="D965" i="17"/>
  <c r="D966" i="17"/>
  <c r="D967" i="17"/>
  <c r="D968" i="17"/>
  <c r="D969" i="17"/>
  <c r="D970" i="17"/>
  <c r="D971" i="17"/>
  <c r="D972" i="17"/>
  <c r="D973" i="17"/>
  <c r="D974" i="17"/>
  <c r="D975" i="17"/>
  <c r="D976" i="17"/>
  <c r="D977" i="17"/>
  <c r="D978" i="17"/>
  <c r="D979" i="17"/>
  <c r="D980" i="17"/>
  <c r="D981" i="17"/>
  <c r="D982" i="17"/>
  <c r="D983" i="17"/>
  <c r="D984" i="17"/>
  <c r="D985" i="17"/>
  <c r="D986" i="17"/>
  <c r="D987" i="17"/>
  <c r="D988" i="17"/>
  <c r="D989" i="17"/>
  <c r="D990" i="17"/>
  <c r="D991" i="17"/>
  <c r="D992" i="17"/>
  <c r="D993" i="17"/>
  <c r="D994" i="17"/>
  <c r="D995" i="17"/>
  <c r="D996" i="17"/>
  <c r="D997" i="17"/>
  <c r="D998" i="17"/>
  <c r="D999" i="17"/>
  <c r="D1000" i="17"/>
  <c r="D1001" i="17"/>
  <c r="D1002" i="17"/>
  <c r="D1003" i="17"/>
  <c r="D1004" i="17"/>
  <c r="D12" i="17"/>
  <c r="C13" i="17" l="1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C1002" i="17"/>
  <c r="C1003" i="17"/>
  <c r="C1004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N8" authorId="0" shapeId="0" xr:uid="{674CE65C-CD89-4086-9AE6-7FBAEF4C28FA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3C9FF9AB-B0EE-4530-AFA7-7CF72BDB3621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<sst xmlns="http://schemas.openxmlformats.org/spreadsheetml/2006/main" count="10809" uniqueCount="1242">
  <si>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</si>
  <si>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</si>
  <si>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</si>
  <si>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</si>
  <si>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</si>
  <si>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</si>
  <si>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</si>
  <si>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</si>
  <si>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</si>
  <si>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</si>
  <si>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</si>
  <si>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</si>
  <si>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</si>
  <si>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</si>
  <si>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</si>
  <si>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</si>
  <si>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</si>
  <si>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</si>
  <si>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</si>
  <si>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</si>
  <si>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</si>
  <si>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</si>
  <si>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</si>
  <si>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</si>
  <si>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</si>
  <si>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</si>
  <si>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</si>
  <si>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</si>
  <si>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</si>
  <si>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</si>
  <si>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</si>
  <si>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</si>
  <si>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</si>
  <si>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</si>
  <si>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</si>
  <si>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</si>
  <si>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</si>
  <si>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</si>
  <si>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</si>
  <si>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</si>
  <si>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</si>
  <si>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</si>
  <si>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</si>
  <si>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</si>
  <si>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</si>
  <si>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</si>
  <si>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</si>
  <si>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</si>
  <si>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</si>
  <si>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</si>
  <si>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</si>
  <si>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</si>
  <si>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</si>
  <si>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</si>
  <si>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</si>
  <si>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</si>
  <si>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</si>
  <si>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</si>
  <si>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</si>
  <si>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</si>
  <si>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</si>
  <si>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RAW10</t>
  </si>
  <si>
    <t xml:space="preserve">Data rate
[Msps/Trio] </t>
    <phoneticPr fontId="2"/>
  </si>
  <si>
    <t>LR sensitivity data</t>
    <phoneticPr fontId="2"/>
  </si>
  <si>
    <t>Table No</t>
    <phoneticPr fontId="2"/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</si>
  <si>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</si>
  <si>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</si>
  <si>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</si>
  <si>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</si>
  <si>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</si>
  <si>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</si>
  <si>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</si>
  <si>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</si>
  <si>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</si>
  <si>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</si>
  <si>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symbol rate / trio
(=Rate)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</si>
  <si>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</si>
  <si>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</si>
  <si>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</si>
  <si>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</si>
  <si>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</si>
  <si>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</si>
  <si>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</si>
  <si>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</si>
  <si>
    <t>min.FLL</t>
    <phoneticPr fontId="2"/>
  </si>
  <si>
    <t>0x00</t>
  </si>
  <si>
    <t>0x00</t>
    <phoneticPr fontId="2"/>
  </si>
  <si>
    <t>NUM_DOL</t>
    <phoneticPr fontId="2"/>
  </si>
  <si>
    <t>Ratio of CIT
in DOL</t>
    <phoneticPr fontId="2"/>
  </si>
  <si>
    <t>Register Setting Value for Global Timing(Register Setting Value is displayed in decimal.)</t>
    <phoneticPr fontId="2"/>
  </si>
  <si>
    <t>Template Ver.</t>
  </si>
  <si>
    <t>settable Global Timing</t>
    <phoneticPr fontId="2"/>
  </si>
  <si>
    <t>300 [Msps/trio] &lt;= Rate &lt; 448 [Msps/trio]</t>
    <phoneticPr fontId="2"/>
  </si>
  <si>
    <t>448 [Msps/trio] &lt;= Rate &lt; 672 [Msps/trio]</t>
    <phoneticPr fontId="2"/>
  </si>
  <si>
    <t>672 [Msps/trio] &lt;= Rate &lt; 896 [Msps/trio]</t>
    <phoneticPr fontId="2"/>
  </si>
  <si>
    <t>896 [Msps/trio] &lt;= Rate &lt; 1120 [Msps/trio]</t>
    <phoneticPr fontId="2"/>
  </si>
  <si>
    <t>1120 [Msps/trio] &lt;= Rate &lt; 1344 [Msps/trio]</t>
    <phoneticPr fontId="2"/>
  </si>
  <si>
    <t>1344 [Msps/trio] &lt;= Rate &lt; 1568 [Msps/trio]</t>
    <phoneticPr fontId="2"/>
  </si>
  <si>
    <t>1568 [Msps/trio] &lt;= Rate &lt; 1792 [Msps/trio]</t>
    <phoneticPr fontId="2"/>
  </si>
  <si>
    <t>1792 [Msps/trio] &lt;= Rate &lt; 2016 [Msps/trio]</t>
    <phoneticPr fontId="2"/>
  </si>
  <si>
    <t>2016 [Msps/trio] &lt;= Rate &lt; 2240 [Msps/trio]</t>
    <phoneticPr fontId="2"/>
  </si>
  <si>
    <t>0dB(0)</t>
  </si>
  <si>
    <t>BINNING_MODE</t>
  </si>
  <si>
    <t>BINNING_WEIGHTING</t>
  </si>
  <si>
    <t>Normal</t>
  </si>
  <si>
    <t>Phase difference pixel</t>
  </si>
  <si>
    <t>Flicker</t>
  </si>
  <si>
    <t>2x2 Adjacent Pixel Binning (Vbin) w/ All-PD</t>
  </si>
  <si>
    <t>PHASE_PIX_COUNT</t>
  </si>
  <si>
    <t>Full resolution (RMSC) w/ All-PD</t>
  </si>
  <si>
    <t>2x2 Adjacent Pixel Binning (Vbin) V2H2 w/ All-PD</t>
  </si>
  <si>
    <t xml:space="preserve">2x2 Adjacent Pixel Binning V2H2 </t>
  </si>
  <si>
    <t>Full resolution (RAW) w/ All-PD</t>
  </si>
  <si>
    <t>RAW12</t>
  </si>
  <si>
    <t>DAG-HDR</t>
  </si>
  <si>
    <t>CSI_SIG_MODE</t>
  </si>
  <si>
    <t>CSI_DT_FMT_H</t>
  </si>
  <si>
    <t>CSI_DT_FMT_L</t>
  </si>
  <si>
    <t>CSI_LANE_MODE</t>
  </si>
  <si>
    <t>FLL for VBLK calc.</t>
    <phoneticPr fontId="2"/>
  </si>
  <si>
    <t>Ratio of GAIN
in Dual Gain HDR</t>
    <phoneticPr fontId="2"/>
  </si>
  <si>
    <t>LR sensitivity data (HG)</t>
  </si>
  <si>
    <t>LR sensitivity data (HG)</t>
    <phoneticPr fontId="2"/>
  </si>
  <si>
    <t>LR sensitivity data (LG)</t>
  </si>
  <si>
    <t>LR sensitivity data (LG)</t>
    <phoneticPr fontId="2"/>
  </si>
  <si>
    <t>Address</t>
    <phoneticPr fontId="2"/>
  </si>
  <si>
    <t>36dB(16128)</t>
  </si>
  <si>
    <t>12dB(0)</t>
  </si>
  <si>
    <t>36dB(15359)</t>
  </si>
  <si>
    <t>24dB(15359)</t>
  </si>
  <si>
    <t>line_length_
inck</t>
    <phoneticPr fontId="2"/>
  </si>
  <si>
    <t>1.00</t>
    <phoneticPr fontId="2"/>
  </si>
  <si>
    <t>2240 [Msps/trio] &lt;= Rate &lt;= 2400 [Msps/trio]</t>
    <phoneticPr fontId="2"/>
  </si>
  <si>
    <t>- First version
    reg_0_0    Full resolution (RMSC) w/ All-PD
    reg_1     2x2 Adjacent Pixel Binning (Vbin) w/ All-PD
    reg_2     Full resolution (RMSC) w/ All-PD
    reg_3     DAG(4:1)2x2 Adjacent Pixel Binning DAG-HDR w/ Partial-PD
    reg_4     2x2 Adjacent Pixel Binning (Vbin) w/ All-PD
    reg_5     2x2 Adjacent Pixel Binning (Vbin) w/ All-PD
    reg_6     2x2 Adjacent Pixel Binning V2H2 
    reg_7     2x2 Adjacent Pixel Binning V2H2 
    reg_8     2x2 Adjacent Pixel Binning (Vbin) V2H2 w/ All-PD
    reg_9     Full resolution (RAW) w/ All-PD
    reg_10    2x2 Adjacent Pixel Binning Fine12AD w/ Partial-PD
    reg_11    2x2 Adjacent Pixel Binning (Vbin) w/ All-PD
    reg_12    2x2 Adjacent Pixel Binning (Vbin) V2H2 w/ All-PD
    reg_13    2x2 Adjacent Pixel Binning w/Partial PD
    reg_14    2x2 Adjacent Pixel Binning (Vbin) V2H2 w/ All-PD
    reg_1_1   2x2 Adjacent Pixel Binning (Vbin) w/ All-PD
    reg_12    2x2 Adjacent Pixel Binning (Vbin) V2H2 w/ All-PD
    reg_13    2x2 Adjacent Pixel Binning w/Partial PD
    reg_14    2x2 Adjacent Pixel Binning (Vbin) V2H2 w/ All-PD
    reg_1_1   2x2 Adjacent Pixel Binning (Vbin) w/ All-PD</t>
    <phoneticPr fontId="2"/>
  </si>
  <si>
    <t>0x084E, 0x084F</t>
    <phoneticPr fontId="2"/>
  </si>
  <si>
    <t>T3PREPARE</t>
    <phoneticPr fontId="2"/>
  </si>
  <si>
    <t>2.00</t>
    <phoneticPr fontId="2"/>
  </si>
  <si>
    <t>-All Mode Modify
    change t3prepare=(25+1) *7 /2.4≈75.83ns</t>
    <phoneticPr fontId="2"/>
  </si>
  <si>
    <t>2.00_MP
(MP)</t>
  </si>
  <si>
    <t>0_0</t>
  </si>
  <si>
    <t>1_1</t>
  </si>
  <si>
    <t>2.00</t>
  </si>
  <si>
    <t>Mode Setting</t>
  </si>
  <si>
    <t>0x0114</t>
  </si>
  <si>
    <t>0x320B</t>
  </si>
  <si>
    <t>0x3184</t>
  </si>
  <si>
    <t>0x3186</t>
  </si>
  <si>
    <t>0x3978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</si>
  <si>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</si>
  <si>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</si>
  <si>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</si>
  <si>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</si>
  <si>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</si>
  <si>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</si>
  <si>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</si>
  <si>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</si>
  <si>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</si>
  <si>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</si>
  <si>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</si>
  <si>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</si>
  <si>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</si>
  <si>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</si>
  <si>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</si>
  <si>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</si>
  <si>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</si>
  <si>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</si>
  <si>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</si>
  <si>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</si>
  <si>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</si>
  <si>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</si>
  <si>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</si>
  <si>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0x319A</t>
  </si>
  <si>
    <t>0x319B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</si>
  <si>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</si>
  <si>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</si>
  <si>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</si>
  <si>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</si>
  <si>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</si>
  <si>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</si>
  <si>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</si>
  <si>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</si>
  <si>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</si>
  <si>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</si>
  <si>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</si>
  <si>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</si>
  <si>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0x3239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</si>
  <si>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</si>
  <si>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</si>
  <si>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</si>
  <si>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</si>
  <si>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</si>
  <si>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</si>
  <si>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</si>
  <si>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</si>
  <si>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0x0216</t>
  </si>
  <si>
    <t>0x0217</t>
  </si>
  <si>
    <t>0x020E</t>
  </si>
  <si>
    <t>0x020F</t>
  </si>
  <si>
    <t>0x0218</t>
  </si>
  <si>
    <t>0x0219</t>
  </si>
  <si>
    <t>0x084E</t>
  </si>
  <si>
    <t>T3PREPARE[10:8]</t>
  </si>
  <si>
    <t>0x084F</t>
  </si>
  <si>
    <t>T3PREPARE[7:0]</t>
  </si>
  <si>
    <t>0x0850</t>
  </si>
  <si>
    <t>T3LPX[10:8]</t>
  </si>
  <si>
    <t>0x0851</t>
  </si>
  <si>
    <t>T3LPX[7:0]</t>
  </si>
  <si>
    <t>0x0852</t>
  </si>
  <si>
    <t>T3HSEXIT[10:8]</t>
  </si>
  <si>
    <t>0x0853</t>
  </si>
  <si>
    <t>T3HSEXIT[7:0]</t>
  </si>
  <si>
    <t>0x0854</t>
  </si>
  <si>
    <t>T3PREBEGIN[10:8]</t>
  </si>
  <si>
    <t>0x0855</t>
  </si>
  <si>
    <t>T3PREBEGIN[7:0]</t>
  </si>
  <si>
    <t>0x0858</t>
  </si>
  <si>
    <t>T3POST[10:8]</t>
  </si>
  <si>
    <t>0x0859</t>
  </si>
  <si>
    <t>T3POST[7:0]</t>
  </si>
  <si>
    <t>0x3103</t>
  </si>
  <si>
    <t>0x3006</t>
  </si>
  <si>
    <t>0x3422</t>
  </si>
  <si>
    <t>0x3423</t>
  </si>
  <si>
    <t>0x3104</t>
  </si>
  <si>
    <t>Flicker Setting</t>
    <phoneticPr fontId="2"/>
  </si>
  <si>
    <t>0x3107</t>
  </si>
  <si>
    <t>0x3268</t>
  </si>
  <si>
    <t>0x3264</t>
  </si>
  <si>
    <t>0x3265</t>
  </si>
  <si>
    <t>0x3266</t>
  </si>
  <si>
    <t>0x3267</t>
  </si>
  <si>
    <t>0x3205</t>
  </si>
  <si>
    <t>0x3144</t>
  </si>
  <si>
    <t>0x30F1</t>
  </si>
  <si>
    <t>0x30F2</t>
  </si>
  <si>
    <t>0x30F3</t>
  </si>
  <si>
    <t>0x30F6</t>
  </si>
  <si>
    <t>0x30A2</t>
  </si>
  <si>
    <t>0x30A3</t>
  </si>
  <si>
    <t>0x30A4</t>
  </si>
  <si>
    <t>0x30A5</t>
  </si>
  <si>
    <t>0x30A6</t>
  </si>
  <si>
    <t>0x30A7</t>
  </si>
  <si>
    <t>0x30AC</t>
  </si>
  <si>
    <t>0x30AD</t>
  </si>
  <si>
    <t>0x323C</t>
  </si>
  <si>
    <t>PHY_VIF Setting</t>
    <phoneticPr fontId="2"/>
  </si>
  <si>
    <t>0x33F0</t>
  </si>
  <si>
    <t>0x33F1</t>
  </si>
  <si>
    <t>0x0111</t>
  </si>
  <si>
    <t>0x0101</t>
    <phoneticPr fontId="2"/>
  </si>
  <si>
    <t>0x0808</t>
  </si>
  <si>
    <t>PHY_CTRL</t>
  </si>
  <si>
    <t>0x14</t>
  </si>
  <si>
    <t>0x30</t>
  </si>
  <si>
    <t>0x32</t>
  </si>
  <si>
    <t>0x28</t>
  </si>
  <si>
    <t>0x12</t>
  </si>
  <si>
    <t>0x2A</t>
  </si>
  <si>
    <t>0x2C</t>
  </si>
  <si>
    <t>0x06</t>
  </si>
  <si>
    <t>0x1E</t>
  </si>
  <si>
    <t>0x20</t>
  </si>
  <si>
    <t>0x31</t>
  </si>
  <si>
    <t>0x10</t>
  </si>
  <si>
    <t>0x0A</t>
  </si>
  <si>
    <t>0x22</t>
  </si>
  <si>
    <t>0x42</t>
  </si>
  <si>
    <t>0x38</t>
  </si>
  <si>
    <t>0x3A</t>
  </si>
  <si>
    <t>0x25</t>
  </si>
  <si>
    <t>0x24</t>
  </si>
  <si>
    <t>0x15</t>
  </si>
  <si>
    <t>0x0B</t>
  </si>
  <si>
    <t>0x39</t>
  </si>
  <si>
    <t>0x23</t>
  </si>
  <si>
    <t>0x44</t>
  </si>
  <si>
    <t>0x51</t>
  </si>
  <si>
    <t>0x17</t>
  </si>
  <si>
    <t>0x21</t>
  </si>
  <si>
    <t>0x1B</t>
  </si>
  <si>
    <t>0x1A</t>
  </si>
  <si>
    <t>0x3F</t>
  </si>
  <si>
    <t>0x02</t>
  </si>
  <si>
    <t>0x1C</t>
  </si>
  <si>
    <t>0x09</t>
  </si>
  <si>
    <t>0x01</t>
  </si>
  <si>
    <t>0x27</t>
  </si>
  <si>
    <t>0x48</t>
  </si>
  <si>
    <t>0x16</t>
  </si>
  <si>
    <t>0x0D</t>
  </si>
  <si>
    <t>0x0F</t>
  </si>
  <si>
    <t>0x13</t>
  </si>
  <si>
    <t>0x1F</t>
  </si>
  <si>
    <t>0x04</t>
  </si>
  <si>
    <t>Global Setting</t>
    <phoneticPr fontId="2"/>
  </si>
  <si>
    <t>0x3800</t>
  </si>
  <si>
    <t>value</t>
  </si>
  <si>
    <t>0x3801</t>
  </si>
  <si>
    <t>0x3802</t>
  </si>
  <si>
    <t>0x324C</t>
  </si>
  <si>
    <t>0x39AC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</si>
  <si>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</si>
  <si>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</si>
  <si>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</si>
  <si>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</si>
  <si>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</si>
  <si>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</si>
  <si>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</si>
  <si>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</si>
  <si>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</si>
  <si>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</si>
  <si>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</si>
  <si>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</si>
  <si>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</si>
  <si>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</si>
  <si>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</si>
  <si>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</si>
  <si>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</si>
  <si>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</si>
  <si>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</si>
  <si>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</si>
  <si>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</si>
  <si>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</si>
  <si>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</si>
  <si>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</si>
  <si>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</si>
  <si>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</si>
  <si>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</si>
  <si>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</si>
  <si>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</si>
  <si>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</si>
  <si>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</si>
  <si>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</si>
  <si>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</si>
  <si>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</si>
  <si>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</si>
  <si>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</si>
  <si>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</si>
  <si>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</si>
  <si>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</si>
  <si>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</si>
  <si>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</si>
  <si>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</si>
  <si>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</si>
  <si>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</si>
  <si>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</si>
  <si>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</si>
  <si>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</si>
  <si>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</si>
  <si>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</si>
  <si>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</si>
  <si>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</si>
  <si>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</si>
  <si>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</si>
  <si>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</si>
  <si>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</si>
  <si>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</si>
  <si>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</si>
  <si>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</si>
  <si>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</si>
  <si>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</si>
  <si>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</si>
  <si>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</si>
  <si>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</si>
  <si>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</si>
  <si>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</si>
  <si>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</si>
  <si>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</si>
  <si>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</si>
  <si>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</si>
  <si>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</si>
  <si>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</si>
  <si>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</si>
  <si>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</si>
  <si>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</si>
  <si>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</si>
  <si>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</si>
  <si>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</si>
  <si>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</si>
  <si>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</si>
  <si>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</si>
  <si>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0x380A</t>
  </si>
  <si>
    <t>0x380B</t>
  </si>
  <si>
    <t>0x380C</t>
  </si>
  <si>
    <t>0x380D</t>
  </si>
  <si>
    <t>0x380E</t>
  </si>
  <si>
    <t>0x380F</t>
  </si>
  <si>
    <t>0x3810</t>
  </si>
  <si>
    <t>0x3812</t>
  </si>
  <si>
    <t>0x3803</t>
  </si>
  <si>
    <t>0x3804</t>
  </si>
  <si>
    <t>0x3805</t>
  </si>
  <si>
    <t>0x3806</t>
  </si>
  <si>
    <t>0x3807</t>
  </si>
  <si>
    <t>0x3808</t>
  </si>
  <si>
    <t>0x3809</t>
  </si>
  <si>
    <t>0x3811</t>
  </si>
  <si>
    <t>0x55</t>
  </si>
  <si>
    <t>0x03</t>
  </si>
  <si>
    <t>0x82</t>
  </si>
  <si>
    <t>0x90</t>
  </si>
  <si>
    <t>0x11</t>
  </si>
  <si>
    <t>0x94</t>
  </si>
  <si>
    <t>0x98</t>
  </si>
  <si>
    <t>0x64</t>
  </si>
  <si>
    <t>0x18</t>
  </si>
  <si>
    <t>0x08</t>
  </si>
  <si>
    <t>0x45</t>
  </si>
  <si>
    <t>0x84</t>
  </si>
  <si>
    <t>0x29</t>
  </si>
  <si>
    <t>0x86</t>
  </si>
  <si>
    <t>0x80</t>
  </si>
  <si>
    <t>0x41</t>
  </si>
  <si>
    <t>0x50</t>
  </si>
  <si>
    <t>0x54</t>
  </si>
  <si>
    <t>0x05</t>
  </si>
  <si>
    <t>0x40</t>
  </si>
  <si>
    <t>0x07</t>
  </si>
  <si>
    <t>0x53</t>
  </si>
  <si>
    <t>0x19</t>
  </si>
  <si>
    <t>0x26</t>
  </si>
  <si>
    <t>0x58</t>
  </si>
  <si>
    <t>0x76</t>
  </si>
  <si>
    <t>0x74</t>
  </si>
  <si>
    <t>0xFF</t>
    <phoneticPr fontId="2"/>
  </si>
  <si>
    <t>0x62</t>
  </si>
  <si>
    <t>0x68</t>
  </si>
  <si>
    <t>0x11</t>
    <phoneticPr fontId="2"/>
  </si>
  <si>
    <t>0x42</t>
    <phoneticPr fontId="2"/>
  </si>
  <si>
    <t>0xE7</t>
    <phoneticPr fontId="2"/>
  </si>
  <si>
    <t>0x38</t>
    <phoneticPr fontId="2"/>
  </si>
  <si>
    <t>0x06</t>
    <phoneticPr fontId="2"/>
  </si>
  <si>
    <t>0x19</t>
    <phoneticPr fontId="2"/>
  </si>
  <si>
    <t>0x2E</t>
    <phoneticPr fontId="2"/>
  </si>
  <si>
    <t>0x07</t>
    <phoneticPr fontId="2"/>
  </si>
  <si>
    <t>0x1E</t>
    <phoneticPr fontId="2"/>
  </si>
  <si>
    <t>0x04</t>
    <phoneticPr fontId="2"/>
  </si>
  <si>
    <t>0x10</t>
    <phoneticPr fontId="2"/>
  </si>
  <si>
    <t>0x01</t>
    <phoneticPr fontId="2"/>
  </si>
  <si>
    <t>0x0D</t>
    <phoneticPr fontId="2"/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</si>
  <si>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</si>
  <si>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</si>
  <si>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</si>
  <si>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</si>
  <si>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</si>
  <si>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</si>
  <si>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</si>
  <si>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</si>
  <si>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</si>
  <si>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</si>
  <si>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</si>
  <si>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</si>
  <si>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</si>
  <si>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</si>
  <si>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</si>
  <si>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0xF800</t>
  </si>
  <si>
    <t>0xF801</t>
  </si>
  <si>
    <t>0xF802</t>
  </si>
  <si>
    <t>0xF803</t>
  </si>
  <si>
    <t>0xF804</t>
  </si>
  <si>
    <t>0xF805</t>
  </si>
  <si>
    <t>0xF806</t>
  </si>
  <si>
    <t>0xF807</t>
  </si>
  <si>
    <t>0xF808</t>
  </si>
  <si>
    <t>0xF809</t>
  </si>
  <si>
    <t>0xF80A</t>
  </si>
  <si>
    <t>0xF80B</t>
  </si>
  <si>
    <t>0xF80C</t>
  </si>
  <si>
    <t>0xF80D</t>
  </si>
  <si>
    <t>0xF80E</t>
  </si>
  <si>
    <t>0xF80F</t>
  </si>
  <si>
    <t>0xF810</t>
  </si>
  <si>
    <t>0xF811</t>
  </si>
  <si>
    <t>0xF812</t>
  </si>
  <si>
    <t>0xF813</t>
  </si>
  <si>
    <t>0xF814</t>
  </si>
  <si>
    <t>0xF815</t>
  </si>
  <si>
    <t>0xF816</t>
  </si>
  <si>
    <t>0xF817</t>
  </si>
  <si>
    <t>0xF818</t>
  </si>
  <si>
    <t>0xF819</t>
  </si>
  <si>
    <t>0xF81A</t>
  </si>
  <si>
    <t>0xF81B</t>
  </si>
  <si>
    <t>0xF81C</t>
  </si>
  <si>
    <t>0xF81D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</si>
  <si>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</si>
  <si>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</si>
  <si>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</si>
  <si>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</si>
  <si>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</si>
  <si>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</si>
  <si>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</si>
  <si>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</si>
  <si>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0xF826</t>
  </si>
  <si>
    <t>0xF827</t>
  </si>
  <si>
    <t>0xF828</t>
  </si>
  <si>
    <t>0xF829</t>
  </si>
  <si>
    <t>0xF82A</t>
  </si>
  <si>
    <t>0xF82B</t>
  </si>
  <si>
    <t>0xF82C</t>
  </si>
  <si>
    <t>0xF82D</t>
  </si>
  <si>
    <t>0xF82E</t>
  </si>
  <si>
    <t>0xF82F</t>
  </si>
  <si>
    <t>0xF830</t>
  </si>
  <si>
    <t>0xF831</t>
  </si>
  <si>
    <t>0xF832</t>
  </si>
  <si>
    <t>0xF833</t>
  </si>
  <si>
    <t>0xF884</t>
  </si>
  <si>
    <t>0xF885</t>
  </si>
  <si>
    <t>0xF886</t>
  </si>
  <si>
    <t>0xF887</t>
  </si>
  <si>
    <t>0xF888</t>
  </si>
  <si>
    <t>0xF889</t>
  </si>
  <si>
    <t>0xF88A</t>
  </si>
  <si>
    <t>0xF88B</t>
  </si>
  <si>
    <t>0xF88C</t>
  </si>
  <si>
    <t>0xF88D</t>
  </si>
  <si>
    <t>0xF88E</t>
  </si>
  <si>
    <t>0xF88F</t>
  </si>
  <si>
    <t>0xF890</t>
  </si>
  <si>
    <t>0xF891</t>
  </si>
  <si>
    <t>0xF892</t>
  </si>
  <si>
    <t>0xF893</t>
  </si>
  <si>
    <t>0xF894</t>
  </si>
  <si>
    <t>0xF895</t>
  </si>
  <si>
    <t>0xF896</t>
  </si>
  <si>
    <t>0xF897</t>
  </si>
  <si>
    <t>0xF898</t>
  </si>
  <si>
    <t>0xF899</t>
  </si>
  <si>
    <t>0xF89A</t>
  </si>
  <si>
    <t>0xF89B</t>
  </si>
  <si>
    <t>0xF89C</t>
  </si>
  <si>
    <t>0xF89D</t>
  </si>
  <si>
    <t>0xF89E</t>
  </si>
  <si>
    <t>0xF89F</t>
  </si>
  <si>
    <t>0xF8A0</t>
  </si>
  <si>
    <t>0xF8A1</t>
  </si>
  <si>
    <t>0xF8A2</t>
  </si>
  <si>
    <t>0xF8A3</t>
  </si>
  <si>
    <t>0xF8A4</t>
  </si>
  <si>
    <t>0xF8A5</t>
  </si>
  <si>
    <t>0xF8A6</t>
  </si>
  <si>
    <t>0xF8A7</t>
  </si>
  <si>
    <t>0xF8A8</t>
  </si>
  <si>
    <t>0xF8A9</t>
  </si>
  <si>
    <t>0xF8AA</t>
  </si>
  <si>
    <t>0xF8AB</t>
  </si>
  <si>
    <t>0xF8AC</t>
  </si>
  <si>
    <t>0xF8AD</t>
  </si>
  <si>
    <t>0xF8AE</t>
  </si>
  <si>
    <t>0xF8AF</t>
  </si>
  <si>
    <t>0xF8B0</t>
  </si>
  <si>
    <t>0xF8B1</t>
  </si>
  <si>
    <t>0xF8B2</t>
  </si>
  <si>
    <t>0xF8B3</t>
  </si>
  <si>
    <t>0xF8B4</t>
  </si>
  <si>
    <t>0xF8B5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</si>
  <si>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</si>
  <si>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</si>
  <si>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</si>
  <si>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</si>
  <si>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</si>
  <si>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</si>
  <si>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</si>
  <si>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</si>
  <si>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</si>
  <si>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0xF8BF</t>
  </si>
  <si>
    <t>0xF8C0</t>
  </si>
  <si>
    <t>0xF8C1</t>
  </si>
  <si>
    <t>0xF8C2</t>
  </si>
  <si>
    <t>0xF8C3</t>
  </si>
  <si>
    <t>0xF8C4</t>
  </si>
  <si>
    <t>0xF8C5</t>
  </si>
  <si>
    <t>0xF8C6</t>
  </si>
  <si>
    <t>0xF8C7</t>
  </si>
  <si>
    <t>0xF8C8</t>
  </si>
  <si>
    <t>0xF8C9</t>
  </si>
  <si>
    <t>0xF8CA</t>
  </si>
  <si>
    <t>0xF8CB</t>
  </si>
  <si>
    <t>0xF8CC</t>
  </si>
  <si>
    <t>0xF8CD</t>
  </si>
  <si>
    <t>0xF8CE</t>
  </si>
  <si>
    <t>0xF8CF</t>
  </si>
  <si>
    <t>0xF8D0</t>
  </si>
  <si>
    <t>0xF8D1</t>
  </si>
  <si>
    <t>0xF8D2</t>
  </si>
  <si>
    <t>0xF8D3</t>
  </si>
  <si>
    <t>0xF8D4</t>
  </si>
  <si>
    <t>0xF8D5</t>
  </si>
  <si>
    <t>0xF8D6</t>
  </si>
  <si>
    <t>0xF8D7</t>
  </si>
  <si>
    <t>0xF8D8</t>
  </si>
  <si>
    <t>0xF8D9</t>
  </si>
  <si>
    <t>0xF8DA</t>
  </si>
  <si>
    <t>0xF8DB</t>
  </si>
  <si>
    <t>0xF8DC</t>
  </si>
  <si>
    <t>0xF8DD</t>
  </si>
  <si>
    <t>0xF8DE</t>
  </si>
  <si>
    <t>0xF8DF</t>
  </si>
  <si>
    <t>0xF8E0</t>
  </si>
  <si>
    <t>0xF8E1</t>
  </si>
  <si>
    <t>0xF8E2</t>
  </si>
  <si>
    <t>0xF8E3</t>
  </si>
  <si>
    <t>0xF8E4</t>
  </si>
  <si>
    <t>0xF8E5</t>
  </si>
  <si>
    <t>0xF8E6</t>
  </si>
  <si>
    <t>0xF8E7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</si>
  <si>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</si>
  <si>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</si>
  <si>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</si>
  <si>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</si>
  <si>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</si>
  <si>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</si>
  <si>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</si>
  <si>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</si>
  <si>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</si>
  <si>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</si>
  <si>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</si>
  <si>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</si>
  <si>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0xF8F4</t>
  </si>
  <si>
    <t>0xF8F5</t>
  </si>
  <si>
    <t>0xF8F6</t>
  </si>
  <si>
    <t>0xF8F7</t>
  </si>
  <si>
    <t>0xF8F8</t>
  </si>
  <si>
    <t>0xF8F9</t>
  </si>
  <si>
    <t>0xF8FA</t>
  </si>
  <si>
    <t>0xF8FB</t>
  </si>
  <si>
    <t>0xF8FC</t>
  </si>
  <si>
    <t>0xF8FD</t>
  </si>
  <si>
    <t>0xF8FE</t>
  </si>
  <si>
    <t>0xF8FF</t>
  </si>
  <si>
    <t>0xF900</t>
  </si>
  <si>
    <t>0xF901</t>
  </si>
  <si>
    <t>0xF902</t>
  </si>
  <si>
    <t>0xF903</t>
  </si>
  <si>
    <t>0xF904</t>
  </si>
  <si>
    <t>0xF905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</si>
  <si>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</si>
  <si>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</si>
  <si>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</si>
  <si>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</si>
  <si>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</si>
  <si>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</si>
  <si>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</si>
  <si>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</si>
  <si>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0xF90E</t>
  </si>
  <si>
    <t>0xF90F</t>
  </si>
  <si>
    <t>0xF910</t>
  </si>
  <si>
    <t>0xF911</t>
  </si>
  <si>
    <t>0xF912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</si>
  <si>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</si>
  <si>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</si>
  <si>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</si>
  <si>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</si>
  <si>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</si>
  <si>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</si>
  <si>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</si>
  <si>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</si>
  <si>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</si>
  <si>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0xF91C</t>
  </si>
  <si>
    <t>0xF91D</t>
  </si>
  <si>
    <t>0xF91E</t>
  </si>
  <si>
    <t>0xF91F</t>
  </si>
  <si>
    <t>0xF920</t>
  </si>
  <si>
    <t>0xF921</t>
  </si>
  <si>
    <t>0xF922</t>
  </si>
  <si>
    <t>0xF923</t>
  </si>
  <si>
    <t>0xF924</t>
  </si>
  <si>
    <t>0xF925</t>
  </si>
  <si>
    <t>0xF926</t>
  </si>
  <si>
    <t>0xF927</t>
  </si>
  <si>
    <t>0xF928</t>
  </si>
  <si>
    <t>0xF929</t>
  </si>
  <si>
    <t>0xF92A</t>
  </si>
  <si>
    <t>0xF92B</t>
  </si>
  <si>
    <t>0xF92C</t>
  </si>
  <si>
    <t>0xF92D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</si>
  <si>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</si>
  <si>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</si>
  <si>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</si>
  <si>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</si>
  <si>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</si>
  <si>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</si>
  <si>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</si>
  <si>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</si>
  <si>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</si>
  <si>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</si>
  <si>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</si>
  <si>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</si>
  <si>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</si>
  <si>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0xF93B</t>
  </si>
  <si>
    <t>0xF93C</t>
  </si>
  <si>
    <t>0xF93D</t>
  </si>
  <si>
    <t>0xF93E</t>
  </si>
  <si>
    <t>0xF93F</t>
  </si>
  <si>
    <t>0xF940</t>
  </si>
  <si>
    <t>0xF941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</si>
  <si>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</si>
  <si>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</si>
  <si>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</si>
  <si>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</si>
  <si>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</si>
  <si>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</si>
  <si>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</si>
  <si>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</si>
  <si>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</si>
  <si>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</si>
  <si>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</si>
  <si>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</si>
  <si>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</si>
  <si>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</si>
  <si>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</si>
  <si>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</si>
  <si>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</si>
  <si>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</si>
  <si>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</si>
  <si>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</si>
  <si>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</si>
  <si>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</si>
  <si>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</si>
  <si>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</si>
  <si>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</si>
  <si>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</si>
  <si>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</si>
  <si>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</si>
  <si>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</si>
  <si>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</si>
  <si>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</si>
  <si>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</si>
  <si>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</si>
  <si>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</si>
  <si>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</si>
  <si>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</si>
  <si>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</si>
  <si>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</si>
  <si>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</si>
  <si>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</si>
  <si>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</si>
  <si>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</si>
  <si>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</si>
  <si>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</si>
  <si>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</si>
  <si>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</si>
  <si>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</si>
  <si>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</si>
  <si>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</si>
  <si>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</si>
  <si>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</si>
  <si>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</si>
  <si>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</si>
  <si>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</si>
  <si>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</si>
  <si>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</si>
  <si>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</si>
  <si>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</si>
  <si>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</si>
  <si>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</si>
  <si>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</si>
  <si>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</si>
  <si>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</si>
  <si>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</si>
  <si>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</si>
  <si>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</si>
  <si>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</si>
  <si>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</si>
  <si>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</si>
  <si>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</si>
  <si>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</si>
  <si>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</si>
  <si>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</si>
  <si>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</si>
  <si>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</si>
  <si>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</si>
  <si>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</si>
  <si>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</si>
  <si>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</si>
  <si>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</si>
  <si>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</si>
  <si>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</si>
  <si>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</si>
  <si>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</si>
  <si>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</si>
  <si>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</si>
  <si>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</si>
  <si>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</si>
  <si>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</si>
  <si>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</si>
  <si>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</si>
  <si>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</si>
  <si>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</si>
  <si>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</si>
  <si>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</si>
  <si>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</si>
  <si>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</si>
  <si>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</si>
  <si>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</si>
  <si>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</si>
  <si>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</si>
  <si>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</si>
  <si>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</si>
  <si>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</si>
  <si>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</si>
  <si>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</si>
  <si>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</si>
  <si>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</si>
  <si>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</si>
  <si>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</si>
  <si>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</si>
  <si>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</si>
  <si>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</si>
  <si>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</si>
  <si>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</si>
  <si>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</si>
  <si>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</si>
  <si>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</si>
  <si>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</si>
  <si>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</si>
  <si>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</si>
  <si>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</si>
  <si>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</si>
  <si>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</si>
  <si>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</si>
  <si>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</si>
  <si>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0xF9C0</t>
  </si>
  <si>
    <t>0xF9C1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</si>
  <si>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</si>
  <si>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</si>
  <si>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</si>
  <si>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</si>
  <si>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</si>
  <si>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</si>
  <si>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</si>
  <si>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</si>
  <si>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</si>
  <si>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</si>
  <si>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</si>
  <si>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</si>
  <si>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</si>
  <si>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</si>
  <si>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</si>
  <si>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</si>
  <si>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</si>
  <si>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</si>
  <si>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</si>
  <si>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</si>
  <si>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</si>
  <si>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</si>
  <si>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</si>
  <si>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</si>
  <si>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</si>
  <si>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</si>
  <si>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0xF9DC</t>
  </si>
  <si>
    <t>0xF9DD</t>
  </si>
  <si>
    <t>0xF9DE</t>
  </si>
  <si>
    <t>0xF9DF</t>
  </si>
  <si>
    <t>0xF9E0</t>
  </si>
  <si>
    <t>0xF9E1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</si>
  <si>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</si>
  <si>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</si>
  <si>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</si>
  <si>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</si>
  <si>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</si>
  <si>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</si>
  <si>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</si>
  <si>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</si>
  <si>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</si>
  <si>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</si>
  <si>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</si>
  <si>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</si>
  <si>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</si>
  <si>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</si>
  <si>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</si>
  <si>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</si>
  <si>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</si>
  <si>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</si>
  <si>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</si>
  <si>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</si>
  <si>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</si>
  <si>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</si>
  <si>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</si>
  <si>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</si>
  <si>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</si>
  <si>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</si>
  <si>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</si>
  <si>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</si>
  <si>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</si>
  <si>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0x97DB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</si>
  <si>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</si>
  <si>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</si>
  <si>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</si>
  <si>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</si>
  <si>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</si>
  <si>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</si>
  <si>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</si>
  <si>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A-2</t>
  </si>
  <si>
    <t>0x920C</t>
  </si>
  <si>
    <t>0x920E</t>
  </si>
  <si>
    <t>0x920F</t>
  </si>
  <si>
    <t>0x9210</t>
  </si>
  <si>
    <t>0x9212</t>
  </si>
  <si>
    <t>0x9213</t>
  </si>
  <si>
    <t>0x9214</t>
  </si>
  <si>
    <t>0x9216</t>
  </si>
  <si>
    <t>0x9217</t>
  </si>
  <si>
    <t>0x9218</t>
  </si>
  <si>
    <t>0x921A</t>
  </si>
  <si>
    <t>0x921B</t>
  </si>
  <si>
    <t>0x921C</t>
  </si>
  <si>
    <t>0x921E</t>
  </si>
  <si>
    <t>0x921F</t>
  </si>
  <si>
    <t>0x9220</t>
  </si>
  <si>
    <t>0x9222</t>
  </si>
  <si>
    <t>0x9223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</si>
  <si>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</si>
  <si>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</si>
  <si>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</si>
  <si>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</si>
  <si>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</si>
  <si>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</si>
  <si>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</si>
  <si>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</si>
  <si>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</si>
  <si>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</si>
  <si>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</si>
  <si>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</si>
  <si>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</si>
  <si>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</si>
  <si>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</si>
  <si>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</si>
  <si>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</si>
  <si>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</si>
  <si>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</si>
  <si>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</si>
  <si>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</si>
  <si>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</si>
  <si>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</si>
  <si>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</si>
  <si>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</si>
  <si>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</si>
  <si>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</si>
  <si>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0x9248</t>
  </si>
  <si>
    <t>0x924A</t>
  </si>
  <si>
    <t>0x924B</t>
  </si>
  <si>
    <t>0xA71E</t>
  </si>
  <si>
    <t>0xA722</t>
  </si>
  <si>
    <t>0xAD01</t>
  </si>
  <si>
    <t>0xAD02</t>
  </si>
  <si>
    <t>0xAD0E</t>
  </si>
  <si>
    <t>0xAE48</t>
  </si>
  <si>
    <t>0xAE49</t>
  </si>
  <si>
    <t>0xAE4A</t>
  </si>
  <si>
    <t>0xAE4B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</si>
  <si>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</si>
  <si>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</si>
  <si>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</si>
  <si>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</si>
  <si>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</si>
  <si>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</si>
  <si>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</si>
  <si>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</si>
  <si>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</si>
  <si>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</si>
  <si>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</si>
  <si>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0xAEBD</t>
  </si>
  <si>
    <t>0xAEC1</t>
  </si>
  <si>
    <t>0xAEC3</t>
  </si>
  <si>
    <t>0xAEC9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</si>
  <si>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</si>
  <si>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</si>
  <si>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</si>
  <si>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</si>
  <si>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</si>
  <si>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</si>
  <si>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</si>
  <si>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</si>
  <si>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</si>
  <si>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</si>
  <si>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</si>
  <si>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</si>
  <si>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</si>
  <si>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</si>
  <si>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</si>
  <si>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</si>
  <si>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</si>
  <si>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</si>
  <si>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</si>
  <si>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</si>
  <si>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</si>
  <si>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</si>
  <si>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</si>
  <si>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</si>
  <si>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</si>
  <si>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</si>
  <si>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</si>
  <si>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</si>
  <si>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</si>
  <si>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</si>
  <si>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</si>
  <si>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</si>
  <si>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</si>
  <si>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</si>
  <si>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</si>
  <si>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</si>
  <si>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</si>
  <si>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</si>
  <si>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</si>
  <si>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</si>
  <si>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</si>
  <si>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</si>
  <si>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</si>
  <si>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</si>
  <si>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</si>
  <si>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</si>
  <si>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</si>
  <si>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</si>
  <si>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</si>
  <si>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</si>
  <si>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</si>
  <si>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</si>
  <si>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</si>
  <si>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</si>
  <si>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</si>
  <si>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</si>
  <si>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</si>
  <si>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</si>
  <si>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</si>
  <si>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</si>
  <si>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</si>
  <si>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</si>
  <si>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</si>
  <si>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</si>
  <si>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</si>
  <si>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</si>
  <si>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</si>
  <si>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</si>
  <si>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</si>
  <si>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</si>
  <si>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</si>
  <si>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</si>
  <si>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</si>
  <si>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</si>
  <si>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</si>
  <si>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</si>
  <si>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</si>
  <si>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</si>
  <si>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</si>
  <si>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</si>
  <si>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</si>
  <si>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</si>
  <si>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</si>
  <si>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</si>
  <si>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DAG-HDR Setting</t>
    <phoneticPr fontId="2"/>
  </si>
  <si>
    <t>PDAF TYPE2 Setting</t>
  </si>
  <si>
    <t>PDAF TYPE2 Output Data Setting</t>
  </si>
  <si>
    <t>Gain Setting2</t>
    <phoneticPr fontId="2"/>
  </si>
  <si>
    <t>ST_ANA_GAIN_GLOBAL[13:8]</t>
    <phoneticPr fontId="2"/>
  </si>
  <si>
    <t>ST_ANA_GAIN_GLOBAL[7:0]</t>
  </si>
  <si>
    <t>ST_DIG_GAIN_GLOBAL[15:8]</t>
  </si>
  <si>
    <t>ST_DIG_GAIN_GLOBAL[7:0]</t>
  </si>
  <si>
    <t>Flicker VCID Setting</t>
    <phoneticPr fontId="2"/>
  </si>
  <si>
    <t>Flicker data type Setting</t>
    <phoneticPr fontId="2"/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</si>
  <si>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</si>
  <si>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</si>
  <si>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</si>
  <si>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</si>
  <si>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MIPI Global Timing Setting</t>
    <phoneticPr fontId="2"/>
  </si>
  <si>
    <t>Flip Mirror Setting</t>
    <phoneticPr fontId="2"/>
  </si>
  <si>
    <t>IMG_ORIENTATION_V,IMG_ORIENTATION_H</t>
    <phoneticPr fontId="2"/>
  </si>
  <si>
    <t>MIPI Global Timing control Setting</t>
    <phoneticPr fontId="2"/>
  </si>
  <si>
    <t>0xFF</t>
  </si>
  <si>
    <t>0xE7</t>
  </si>
  <si>
    <t>0x0C</t>
  </si>
  <si>
    <t>0xFC</t>
  </si>
  <si>
    <t>0xAF</t>
  </si>
  <si>
    <t>0x6E</t>
  </si>
  <si>
    <t>0xD8</t>
  </si>
  <si>
    <t>0x77</t>
  </si>
  <si>
    <t>0x81</t>
  </si>
  <si>
    <t>0xE8</t>
  </si>
  <si>
    <t>0x18</t>
    <phoneticPr fontId="2"/>
  </si>
  <si>
    <t>0xFD</t>
  </si>
  <si>
    <t>0xD7</t>
  </si>
  <si>
    <t>0xE3</t>
  </si>
  <si>
    <t>0xC0</t>
  </si>
  <si>
    <t>0xFA</t>
  </si>
  <si>
    <t>0xC4</t>
  </si>
  <si>
    <t>0xC2</t>
  </si>
  <si>
    <t>0xB4</t>
  </si>
  <si>
    <t>0xEF</t>
  </si>
  <si>
    <t>0xC8</t>
  </si>
  <si>
    <t>0x4F</t>
  </si>
  <si>
    <t>0xAC</t>
  </si>
  <si>
    <t>0x1D</t>
  </si>
  <si>
    <t>0xD4</t>
  </si>
  <si>
    <t>0xF0</t>
  </si>
  <si>
    <t>0xA1</t>
  </si>
  <si>
    <t>0xA8</t>
  </si>
  <si>
    <t>0xA0</t>
  </si>
  <si>
    <t>0xD0</t>
  </si>
  <si>
    <t>0xBE</t>
  </si>
  <si>
    <t>0xF8</t>
  </si>
  <si>
    <t>0xF1</t>
  </si>
  <si>
    <t>0xD2</t>
  </si>
  <si>
    <t>0x0E</t>
  </si>
  <si>
    <t>0x7F</t>
  </si>
  <si>
    <t>0x6F</t>
  </si>
  <si>
    <t>0xF5</t>
  </si>
  <si>
    <t>0xA6</t>
  </si>
  <si>
    <t>0xA5</t>
  </si>
  <si>
    <t>0xE9</t>
  </si>
  <si>
    <t>0xB8</t>
  </si>
  <si>
    <t>0x5F</t>
  </si>
  <si>
    <t>0xD1</t>
  </si>
  <si>
    <t>0xF6</t>
  </si>
  <si>
    <t>0xA4</t>
  </si>
  <si>
    <t>0xFE</t>
  </si>
  <si>
    <t>0x8B</t>
  </si>
  <si>
    <t>0xF4</t>
  </si>
  <si>
    <t>0xE6</t>
  </si>
  <si>
    <t>0xEC</t>
  </si>
  <si>
    <t>0x03</t>
    <phoneticPr fontId="2"/>
  </si>
  <si>
    <t>0x6C</t>
  </si>
  <si>
    <t>0xD9</t>
  </si>
  <si>
    <t>0x9B</t>
  </si>
  <si>
    <t>0x7D</t>
  </si>
  <si>
    <t>0x7B</t>
  </si>
  <si>
    <t>0x8E</t>
  </si>
  <si>
    <t>0x6D</t>
  </si>
  <si>
    <t>0x13</t>
    <phoneticPr fontId="2"/>
  </si>
  <si>
    <t>0x61</t>
  </si>
  <si>
    <t>0xDF</t>
  </si>
  <si>
    <t>0xAA</t>
  </si>
  <si>
    <t>0x78</t>
  </si>
  <si>
    <t>reg_0_0</t>
  </si>
  <si>
    <t>H: 8192</t>
  </si>
  <si>
    <t>V: 6144</t>
  </si>
  <si>
    <t>3Lane</t>
  </si>
  <si>
    <t>0x0A</t>
    <phoneticPr fontId="2"/>
  </si>
  <si>
    <t>0x02</t>
    <phoneticPr fontId="2"/>
  </si>
  <si>
    <t>0x36</t>
    <phoneticPr fontId="2"/>
  </si>
  <si>
    <t>0xD0</t>
    <phoneticPr fontId="2"/>
  </si>
  <si>
    <t>0xF8</t>
    <phoneticPr fontId="2"/>
  </si>
  <si>
    <t>0x33</t>
    <phoneticPr fontId="2"/>
  </si>
  <si>
    <t>0x1F</t>
    <phoneticPr fontId="2"/>
  </si>
  <si>
    <t>0x17</t>
    <phoneticPr fontId="2"/>
  </si>
  <si>
    <t>0x20</t>
    <phoneticPr fontId="2"/>
  </si>
  <si>
    <t>0x2C</t>
    <phoneticPr fontId="2"/>
  </si>
  <si>
    <t>0xEA</t>
    <phoneticPr fontId="2"/>
  </si>
  <si>
    <t>0x0F</t>
    <phoneticPr fontId="2"/>
  </si>
  <si>
    <t>0x14</t>
    <phoneticPr fontId="2"/>
  </si>
  <si>
    <t>0x23</t>
    <phoneticPr fontId="2"/>
  </si>
  <si>
    <t>0xE8</t>
    <phoneticPr fontId="2"/>
  </si>
  <si>
    <t>0xFC</t>
    <phoneticPr fontId="2"/>
  </si>
  <si>
    <t>0x30</t>
    <phoneticPr fontId="2"/>
  </si>
  <si>
    <t>0x15</t>
    <phoneticPr fontId="2"/>
  </si>
  <si>
    <t>0x29</t>
    <phoneticPr fontId="2"/>
  </si>
  <si>
    <t>reg_1</t>
  </si>
  <si>
    <t>H: 4096</t>
  </si>
  <si>
    <t>V: 3072</t>
  </si>
  <si>
    <t>0x80</t>
    <phoneticPr fontId="2"/>
  </si>
  <si>
    <t>0xD3</t>
    <phoneticPr fontId="2"/>
  </si>
  <si>
    <t>0x0E</t>
    <phoneticPr fontId="2"/>
  </si>
  <si>
    <t>0xCF</t>
    <phoneticPr fontId="2"/>
  </si>
  <si>
    <t>0x22</t>
    <phoneticPr fontId="2"/>
  </si>
  <si>
    <t>0x41</t>
    <phoneticPr fontId="2"/>
  </si>
  <si>
    <t>0x0C</t>
    <phoneticPr fontId="2"/>
  </si>
  <si>
    <t>reg_2</t>
  </si>
  <si>
    <t>0x99</t>
    <phoneticPr fontId="2"/>
  </si>
  <si>
    <t>0x08</t>
    <phoneticPr fontId="2"/>
  </si>
  <si>
    <t>reg_3</t>
  </si>
  <si>
    <t>DAG(4:1)2x2 Adjacent Pixel Binning DAG-HDR w/ Partial-PD, HSG</t>
  </si>
  <si>
    <t>0x37</t>
    <phoneticPr fontId="2"/>
  </si>
  <si>
    <t>0xB0</t>
    <phoneticPr fontId="2"/>
  </si>
  <si>
    <t>0x66</t>
    <phoneticPr fontId="2"/>
  </si>
  <si>
    <t>0x64</t>
    <phoneticPr fontId="2"/>
  </si>
  <si>
    <t>0x39</t>
    <phoneticPr fontId="2"/>
  </si>
  <si>
    <t>0x21</t>
    <phoneticPr fontId="2"/>
  </si>
  <si>
    <t>0xD8</t>
    <phoneticPr fontId="2"/>
  </si>
  <si>
    <t>0x77</t>
    <phoneticPr fontId="2"/>
  </si>
  <si>
    <t>0x6E</t>
    <phoneticPr fontId="2"/>
  </si>
  <si>
    <t>0x50</t>
    <phoneticPr fontId="2"/>
  </si>
  <si>
    <t>0x81</t>
    <phoneticPr fontId="2"/>
  </si>
  <si>
    <t>0x90</t>
    <phoneticPr fontId="2"/>
  </si>
  <si>
    <t>0x28</t>
    <phoneticPr fontId="2"/>
  </si>
  <si>
    <t>reg_4</t>
  </si>
  <si>
    <t>reg_5</t>
  </si>
  <si>
    <t>2x2 Adjacent Pixel Binning w/Partial PD</t>
  </si>
  <si>
    <t>V: 2304</t>
  </si>
  <si>
    <t>0x1B</t>
    <phoneticPr fontId="2"/>
  </si>
  <si>
    <t>0xE0</t>
    <phoneticPr fontId="2"/>
  </si>
  <si>
    <t>0x7E</t>
    <phoneticPr fontId="2"/>
  </si>
  <si>
    <t>0x09</t>
    <phoneticPr fontId="2"/>
  </si>
  <si>
    <t>0xC8</t>
    <phoneticPr fontId="2"/>
  </si>
  <si>
    <t>reg_6</t>
  </si>
  <si>
    <t>H: 2048</t>
  </si>
  <si>
    <t>V: 1152</t>
  </si>
  <si>
    <t>0xA8</t>
    <phoneticPr fontId="2"/>
  </si>
  <si>
    <t>0x4C</t>
    <phoneticPr fontId="2"/>
  </si>
  <si>
    <t>0x46</t>
    <phoneticPr fontId="2"/>
  </si>
  <si>
    <t>0x44</t>
    <phoneticPr fontId="2"/>
  </si>
  <si>
    <t>0x43</t>
    <phoneticPr fontId="2"/>
  </si>
  <si>
    <t>reg_7</t>
  </si>
  <si>
    <t>0x05</t>
    <phoneticPr fontId="2"/>
  </si>
  <si>
    <t>reg_8</t>
  </si>
  <si>
    <t>V: 1536</t>
  </si>
  <si>
    <t>0x1A</t>
    <phoneticPr fontId="2"/>
  </si>
  <si>
    <t>0x48</t>
    <phoneticPr fontId="2"/>
  </si>
  <si>
    <t>0x26</t>
    <phoneticPr fontId="2"/>
  </si>
  <si>
    <t>reg_9</t>
  </si>
  <si>
    <t>reg_10</t>
  </si>
  <si>
    <t>2x2 Adjacent Pixel Binning DAG-HDR w/ Partial-PD, HSG</t>
  </si>
  <si>
    <t>reg_11</t>
  </si>
  <si>
    <t>reg_12</t>
  </si>
  <si>
    <t>reg_13</t>
  </si>
  <si>
    <t>H: 3840</t>
  </si>
  <si>
    <t>V: 2160</t>
  </si>
  <si>
    <t>0x6F</t>
    <phoneticPr fontId="2"/>
  </si>
  <si>
    <t>0x70</t>
    <phoneticPr fontId="2"/>
  </si>
  <si>
    <t>reg_14</t>
  </si>
  <si>
    <t>reg_1_1</t>
  </si>
  <si>
    <t>0x1C</t>
    <phoneticPr fontId="2"/>
  </si>
  <si>
    <t>0x84</t>
    <phoneticPr fontId="2"/>
  </si>
  <si>
    <t>DAG(4:1)2x2 Adjacent Pixel Binning DAG-HDR w/ Partial-PD, LSG</t>
  </si>
  <si>
    <t>2x2 Adjacent Pixel Binning DAG-HDR w/ Partial-PD, LSG</t>
  </si>
  <si>
    <t>Analog addition average</t>
  </si>
  <si>
    <t>Dual</t>
  </si>
  <si>
    <t>0x3205</t>
    <phoneticPr fontId="2"/>
  </si>
  <si>
    <t>0x3953</t>
    <phoneticPr fontId="2"/>
  </si>
  <si>
    <t>0x3954</t>
    <phoneticPr fontId="2"/>
  </si>
  <si>
    <t>0x3955</t>
    <phoneticPr fontId="2"/>
  </si>
  <si>
    <t>0x320D</t>
    <phoneticPr fontId="2"/>
  </si>
  <si>
    <t>0x34F0</t>
    <phoneticPr fontId="2"/>
  </si>
  <si>
    <t>0x34F1</t>
    <phoneticPr fontId="2"/>
  </si>
  <si>
    <t xml:space="preserve">T3PREPARE </t>
    <phoneticPr fontId="2"/>
  </si>
  <si>
    <t>0x084E</t>
    <phoneticPr fontId="2"/>
  </si>
  <si>
    <t>0x084F</t>
    <phoneticPr fontId="2"/>
  </si>
  <si>
    <t>0x00</t>
    <phoneticPr fontId="2"/>
  </si>
  <si>
    <t>Additional Mode Setting2</t>
    <phoneticPr fontId="2"/>
  </si>
  <si>
    <t>2.00-6.00</t>
  </si>
  <si>
    <t>- Parameter update(2.00-6.00)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</si>
</sst>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0.0_ "/>
    <numFmt numFmtId="179" formatCode="0.00_);[Red]\(0.00\)"/>
    <numFmt numFmtId="180" formatCode="0.00_ "/>
    <numFmt numFmtId="181" formatCode="0.00&quot;ms&quot;"/>
    <numFmt numFmtId="182" formatCode="0_ "/>
    <numFmt numFmtId="183" formatCode="0.00&quot;us&quot;"/>
    <numFmt numFmtId="184" formatCode="yyyy/mm/dd"/>
    <numFmt numFmtId="18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6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27" fillId="24" borderId="0" xfId="0" applyFont="1" applyFill="1">
      <alignment vertical="center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7" fillId="0" borderId="0" xfId="0" applyFont="1">
      <alignment vertical="center"/>
    </xf>
    <xf numFmtId="0" fontId="38" fillId="24" borderId="0" xfId="0" applyFont="1" applyFill="1">
      <alignment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1" fillId="24" borderId="0" xfId="0" applyFont="1" applyFill="1">
      <alignment vertical="center"/>
    </xf>
    <xf numFmtId="0" fontId="35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9" fillId="24" borderId="0" xfId="0" applyFont="1" applyFill="1">
      <alignment vertical="center"/>
    </xf>
    <xf numFmtId="0" fontId="31" fillId="24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7" fillId="24" borderId="0" xfId="0" applyFont="1" applyFill="1" applyAlignment="1">
      <alignment vertical="center" wrapText="1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4" xfId="0" applyFont="1" applyFill="1" applyBorder="1" applyAlignment="1">
      <alignment horizontal="center" textRotation="180" wrapText="1"/>
    </xf>
    <xf numFmtId="0" fontId="23" fillId="32" borderId="44" xfId="0" applyFont="1" applyFill="1" applyBorder="1" applyAlignment="1">
      <alignment horizontal="center" textRotation="180"/>
    </xf>
    <xf numFmtId="0" fontId="21" fillId="31" borderId="47" xfId="0" applyFont="1" applyFill="1" applyBorder="1" applyAlignment="1">
      <alignment horizontal="center"/>
    </xf>
    <xf numFmtId="49" fontId="21" fillId="30" borderId="47" xfId="0" applyNumberFormat="1" applyFont="1" applyFill="1" applyBorder="1" applyAlignment="1"/>
    <xf numFmtId="0" fontId="21" fillId="24" borderId="48" xfId="0" applyFont="1" applyFill="1" applyBorder="1" applyAlignment="1">
      <alignment horizontal="right"/>
    </xf>
    <xf numFmtId="0" fontId="21" fillId="29" borderId="48" xfId="0" applyFont="1" applyFill="1" applyBorder="1" applyAlignment="1">
      <alignment horizontal="right"/>
    </xf>
    <xf numFmtId="0" fontId="22" fillId="24" borderId="48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28" fillId="36" borderId="48" xfId="0" applyFont="1" applyFill="1" applyBorder="1" applyAlignment="1">
      <alignment horizontal="center" vertical="center" wrapText="1"/>
    </xf>
    <xf numFmtId="0" fontId="24" fillId="32" borderId="47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47" xfId="0" applyFont="1" applyBorder="1" applyAlignment="1">
      <alignment horizontal="center" vertical="center"/>
    </xf>
    <xf numFmtId="0" fontId="44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29" borderId="47" xfId="0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7" xfId="0" applyFont="1" applyFill="1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184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41" fillId="0" borderId="47" xfId="0" applyFont="1" applyBorder="1" applyAlignment="1">
      <alignment horizontal="center" vertical="center"/>
    </xf>
    <xf numFmtId="184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184" fontId="29" fillId="24" borderId="10" xfId="0" applyNumberFormat="1" applyFont="1" applyFill="1" applyBorder="1" applyAlignment="1">
      <alignment horizontal="center" vertical="top"/>
    </xf>
    <xf numFmtId="49" fontId="29" fillId="24" borderId="47" xfId="0" applyNumberFormat="1" applyFont="1" applyFill="1" applyBorder="1" applyAlignment="1">
      <alignment horizontal="center" vertical="top"/>
    </xf>
    <xf numFmtId="49" fontId="29" fillId="24" borderId="47" xfId="0" applyNumberFormat="1" applyFont="1" applyFill="1" applyBorder="1" applyAlignment="1">
      <alignment horizontal="center" vertical="top" wrapText="1"/>
    </xf>
    <xf numFmtId="0" fontId="29" fillId="24" borderId="47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0" fontId="37" fillId="24" borderId="0" xfId="0" applyFont="1" applyFill="1" applyAlignment="1">
      <alignment horizontal="center" vertical="center"/>
    </xf>
    <xf numFmtId="0" fontId="42" fillId="36" borderId="50" xfId="0" applyFont="1" applyFill="1" applyBorder="1">
      <alignment vertical="center"/>
    </xf>
    <xf numFmtId="0" fontId="42" fillId="36" borderId="49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4" xfId="0" applyFont="1" applyFill="1" applyBorder="1" applyAlignment="1">
      <alignment horizontal="center" vertical="center" wrapText="1"/>
    </xf>
    <xf numFmtId="0" fontId="28" fillId="36" borderId="42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7" xfId="0" applyFont="1" applyFill="1" applyBorder="1" applyAlignment="1">
      <alignment vertical="center" wrapText="1"/>
    </xf>
    <xf numFmtId="0" fontId="33" fillId="0" borderId="47" xfId="0" applyFont="1" applyBorder="1" applyAlignment="1">
      <alignment horizontal="center" vertical="center"/>
    </xf>
    <xf numFmtId="49" fontId="33" fillId="0" borderId="47" xfId="0" applyNumberFormat="1" applyFont="1" applyBorder="1" applyAlignment="1">
      <alignment horizontal="left" vertical="center"/>
    </xf>
    <xf numFmtId="0" fontId="33" fillId="0" borderId="47" xfId="0" applyFont="1" applyBorder="1" applyAlignment="1">
      <alignment horizontal="left" vertical="center"/>
    </xf>
    <xf numFmtId="0" fontId="29" fillId="0" borderId="47" xfId="0" applyFont="1" applyBorder="1" applyAlignment="1">
      <alignment horizontal="center" vertical="center" wrapText="1"/>
    </xf>
    <xf numFmtId="180" fontId="29" fillId="28" borderId="47" xfId="0" applyNumberFormat="1" applyFont="1" applyFill="1" applyBorder="1" applyAlignment="1">
      <alignment horizontal="center" vertical="center" wrapText="1"/>
    </xf>
    <xf numFmtId="179" fontId="29" fillId="28" borderId="47" xfId="0" applyNumberFormat="1" applyFont="1" applyFill="1" applyBorder="1" applyAlignment="1">
      <alignment horizontal="right" vertical="center" wrapText="1"/>
    </xf>
    <xf numFmtId="0" fontId="33" fillId="0" borderId="47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2" fontId="29" fillId="28" borderId="47" xfId="0" applyNumberFormat="1" applyFont="1" applyFill="1" applyBorder="1" applyAlignment="1">
      <alignment horizontal="center" vertical="center"/>
    </xf>
    <xf numFmtId="181" fontId="29" fillId="28" borderId="47" xfId="0" applyNumberFormat="1" applyFont="1" applyFill="1" applyBorder="1" applyAlignment="1">
      <alignment horizontal="center" vertical="center"/>
    </xf>
    <xf numFmtId="183" fontId="29" fillId="28" borderId="47" xfId="0" applyNumberFormat="1" applyFont="1" applyFill="1" applyBorder="1" applyAlignment="1">
      <alignment horizontal="center" vertical="center"/>
    </xf>
    <xf numFmtId="178" fontId="29" fillId="0" borderId="47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0" fontId="29" fillId="28" borderId="47" xfId="0" applyNumberFormat="1" applyFont="1" applyFill="1" applyBorder="1" applyAlignment="1">
      <alignment horizontal="center" vertical="center"/>
    </xf>
    <xf numFmtId="0" fontId="29" fillId="0" borderId="47" xfId="0" applyFont="1" applyBorder="1" applyAlignment="1" applyProtection="1">
      <alignment horizontal="center" vertical="center" wrapText="1"/>
      <protection locked="0"/>
    </xf>
    <xf numFmtId="182" fontId="29" fillId="0" borderId="47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0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8" fillId="36" borderId="48" xfId="0" applyFont="1" applyFill="1" applyBorder="1" applyAlignment="1">
      <alignment horizontal="center" vertical="center"/>
    </xf>
    <xf numFmtId="184" fontId="29" fillId="24" borderId="31" xfId="0" applyNumberFormat="1" applyFont="1" applyFill="1" applyBorder="1" applyAlignment="1">
      <alignment horizontal="center" vertical="top"/>
    </xf>
    <xf numFmtId="49" fontId="29" fillId="24" borderId="32" xfId="0" applyNumberFormat="1" applyFont="1" applyFill="1" applyBorder="1" applyAlignment="1">
      <alignment horizontal="center" vertical="top"/>
    </xf>
    <xf numFmtId="0" fontId="29" fillId="24" borderId="44" xfId="0" applyFont="1" applyFill="1" applyBorder="1" applyAlignment="1">
      <alignment horizontal="center" vertical="top"/>
    </xf>
    <xf numFmtId="0" fontId="29" fillId="24" borderId="37" xfId="0" quotePrefix="1" applyFont="1" applyFill="1" applyBorder="1" applyAlignment="1">
      <alignment horizontal="left" vertical="top" wrapText="1"/>
    </xf>
    <xf numFmtId="184" fontId="29" fillId="24" borderId="38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0" fontId="29" fillId="24" borderId="20" xfId="0" applyFont="1" applyFill="1" applyBorder="1" applyAlignment="1">
      <alignment horizontal="center" vertical="top"/>
    </xf>
    <xf numFmtId="0" fontId="29" fillId="24" borderId="33" xfId="0" applyFont="1" applyFill="1" applyBorder="1" applyAlignment="1">
      <alignment horizontal="center" vertical="top"/>
    </xf>
    <xf numFmtId="0" fontId="29" fillId="24" borderId="22" xfId="0" quotePrefix="1" applyFont="1" applyFill="1" applyBorder="1" applyAlignment="1">
      <alignment horizontal="left" vertical="top" wrapText="1"/>
    </xf>
    <xf numFmtId="49" fontId="29" fillId="24" borderId="44" xfId="0" applyNumberFormat="1" applyFont="1" applyFill="1" applyBorder="1" applyAlignment="1">
      <alignment horizontal="center" vertical="top" wrapText="1"/>
    </xf>
    <xf numFmtId="0" fontId="21" fillId="24" borderId="0" xfId="0" applyFont="1" applyFill="1" applyAlignment="1">
      <alignment horizontal="right" vertical="center"/>
    </xf>
    <xf numFmtId="18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3" xfId="0" applyFont="1" applyFill="1" applyBorder="1">
      <alignment vertical="center"/>
    </xf>
    <xf numFmtId="0" fontId="21" fillId="24" borderId="23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5" xfId="0" applyFont="1" applyFill="1" applyBorder="1">
      <alignment vertical="center"/>
    </xf>
    <xf numFmtId="0" fontId="21" fillId="39" borderId="42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6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8" xfId="0" applyFont="1" applyFill="1" applyBorder="1">
      <alignment vertical="center"/>
    </xf>
    <xf numFmtId="0" fontId="21" fillId="39" borderId="50" xfId="0" applyFont="1" applyFill="1" applyBorder="1">
      <alignment vertical="center"/>
    </xf>
    <xf numFmtId="0" fontId="21" fillId="39" borderId="51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5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5" xfId="0" applyFont="1" applyFill="1" applyBorder="1">
      <alignment vertical="center"/>
    </xf>
    <xf numFmtId="0" fontId="21" fillId="24" borderId="42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0" fontId="21" fillId="24" borderId="57" xfId="0" applyFont="1" applyFill="1" applyBorder="1">
      <alignment vertical="center"/>
    </xf>
    <xf numFmtId="49" fontId="21" fillId="40" borderId="47" xfId="0" applyNumberFormat="1" applyFont="1" applyFill="1" applyBorder="1" applyAlignment="1">
      <alignment horizontal="right" vertical="center"/>
    </xf>
    <xf numFmtId="49" fontId="21" fillId="40" borderId="47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7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7" xfId="0" applyFont="1" applyFill="1" applyBorder="1" applyAlignment="1">
      <alignment horizontal="right" vertical="center"/>
    </xf>
    <xf numFmtId="0" fontId="22" fillId="24" borderId="47" xfId="0" applyFont="1" applyFill="1" applyBorder="1" applyAlignment="1">
      <alignment horizontal="left" vertical="center"/>
    </xf>
    <xf numFmtId="0" fontId="21" fillId="29" borderId="47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7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5" xfId="0" applyFont="1" applyFill="1" applyBorder="1">
      <alignment vertical="center"/>
    </xf>
    <xf numFmtId="49" fontId="21" fillId="0" borderId="47" xfId="0" applyNumberFormat="1" applyFont="1" applyBorder="1" applyAlignment="1">
      <alignment horizontal="left" vertical="center"/>
    </xf>
    <xf numFmtId="0" fontId="21" fillId="0" borderId="0" xfId="0" applyFont="1">
      <alignment vertical="center"/>
    </xf>
    <xf numFmtId="0" fontId="21" fillId="0" borderId="45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47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49" fontId="48" fillId="0" borderId="0" xfId="0" applyNumberFormat="1" applyFont="1" applyAlignment="1">
      <alignment horizontal="center" vertical="center"/>
    </xf>
    <xf numFmtId="0" fontId="25" fillId="29" borderId="47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48" fillId="29" borderId="0" xfId="0" applyFont="1" applyFill="1" applyAlignment="1">
      <alignment horizontal="center" vertical="center"/>
    </xf>
    <xf numFmtId="0" fontId="22" fillId="24" borderId="57" xfId="0" applyFont="1" applyFill="1" applyBorder="1" applyAlignment="1">
      <alignment horizontal="center" vertical="center" wrapText="1"/>
    </xf>
    <xf numFmtId="0" fontId="57" fillId="24" borderId="0" xfId="0" applyFont="1" applyFill="1">
      <alignment vertical="center"/>
    </xf>
    <xf numFmtId="0" fontId="25" fillId="29" borderId="47" xfId="0" applyFont="1" applyFill="1" applyBorder="1" applyAlignment="1">
      <alignment horizontal="right" vertical="top"/>
    </xf>
    <xf numFmtId="0" fontId="22" fillId="24" borderId="47" xfId="0" applyFont="1" applyFill="1" applyBorder="1" applyAlignment="1">
      <alignment vertical="center" wrapText="1"/>
    </xf>
    <xf numFmtId="0" fontId="22" fillId="29" borderId="49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2" fillId="24" borderId="49" xfId="0" applyFont="1" applyFill="1" applyBorder="1" applyAlignment="1">
      <alignment horizontal="left" vertical="center"/>
    </xf>
    <xf numFmtId="0" fontId="21" fillId="29" borderId="0" xfId="0" applyFont="1" applyFill="1">
      <alignment vertical="center"/>
    </xf>
    <xf numFmtId="0" fontId="25" fillId="29" borderId="0" xfId="0" applyFont="1" applyFill="1" applyAlignment="1">
      <alignment horizontal="right"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21" fillId="29" borderId="21" xfId="0" applyFont="1" applyFill="1" applyBorder="1">
      <alignment vertical="center"/>
    </xf>
    <xf numFmtId="0" fontId="25" fillId="24" borderId="47" xfId="0" applyFont="1" applyFill="1" applyBorder="1" applyAlignment="1">
      <alignment horizontal="right" vertical="center"/>
    </xf>
    <xf numFmtId="0" fontId="25" fillId="24" borderId="47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4" xfId="0" applyFont="1" applyFill="1" applyBorder="1" applyAlignment="1">
      <alignment horizontal="left" vertical="center"/>
    </xf>
    <xf numFmtId="0" fontId="22" fillId="24" borderId="46" xfId="0" applyFont="1" applyFill="1" applyBorder="1" applyAlignment="1">
      <alignment horizontal="center" vertical="center" wrapText="1"/>
    </xf>
    <xf numFmtId="0" fontId="21" fillId="24" borderId="47" xfId="0" applyFont="1" applyFill="1" applyBorder="1" applyAlignment="1">
      <alignment horizontal="left" vertical="center"/>
    </xf>
    <xf numFmtId="0" fontId="25" fillId="29" borderId="47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5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7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8" xfId="0" applyFont="1" applyFill="1" applyBorder="1">
      <alignment vertical="center"/>
    </xf>
    <xf numFmtId="0" fontId="21" fillId="24" borderId="46" xfId="0" applyFont="1" applyFill="1" applyBorder="1" applyAlignment="1">
      <alignment horizontal="left" vertical="center"/>
    </xf>
    <xf numFmtId="0" fontId="21" fillId="0" borderId="47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6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5" xfId="0" applyFont="1" applyFill="1" applyBorder="1">
      <alignment vertical="center"/>
    </xf>
    <xf numFmtId="0" fontId="21" fillId="37" borderId="24" xfId="0" applyFont="1" applyFill="1" applyBorder="1" applyAlignment="1">
      <alignment horizontal="left" vertical="center"/>
    </xf>
    <xf numFmtId="0" fontId="21" fillId="37" borderId="41" xfId="0" applyFont="1" applyFill="1" applyBorder="1" applyAlignment="1">
      <alignment horizontal="left" vertical="center"/>
    </xf>
    <xf numFmtId="0" fontId="21" fillId="29" borderId="42" xfId="0" applyFont="1" applyFill="1" applyBorder="1">
      <alignment vertical="center"/>
    </xf>
    <xf numFmtId="0" fontId="21" fillId="29" borderId="54" xfId="0" applyFont="1" applyFill="1" applyBorder="1" applyAlignment="1">
      <alignment horizontal="left" vertical="center"/>
    </xf>
    <xf numFmtId="0" fontId="21" fillId="29" borderId="57" xfId="0" applyFont="1" applyFill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57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6" xfId="0" applyFont="1" applyFill="1" applyBorder="1" applyAlignment="1">
      <alignment horizontal="left" vertical="center"/>
    </xf>
    <xf numFmtId="0" fontId="21" fillId="33" borderId="24" xfId="0" applyFont="1" applyFill="1" applyBorder="1" applyAlignment="1">
      <alignment horizontal="left" vertical="center"/>
    </xf>
    <xf numFmtId="0" fontId="21" fillId="33" borderId="41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5" xfId="0" applyFont="1" applyFill="1" applyBorder="1">
      <alignment vertical="center"/>
    </xf>
    <xf numFmtId="0" fontId="21" fillId="24" borderId="26" xfId="0" applyFont="1" applyFill="1" applyBorder="1">
      <alignment vertical="center"/>
    </xf>
    <xf numFmtId="0" fontId="21" fillId="39" borderId="27" xfId="0" applyFont="1" applyFill="1" applyBorder="1">
      <alignment vertical="center"/>
    </xf>
    <xf numFmtId="0" fontId="21" fillId="39" borderId="56" xfId="0" applyFont="1" applyFill="1" applyBorder="1">
      <alignment vertical="center"/>
    </xf>
    <xf numFmtId="0" fontId="21" fillId="39" borderId="40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21" fillId="41" borderId="47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2" fillId="24" borderId="57" xfId="0" applyFont="1" applyFill="1" applyBorder="1" applyAlignment="1">
      <alignment horizontal="center" vertical="center" textRotation="180" wrapText="1"/>
    </xf>
    <xf numFmtId="0" fontId="21" fillId="24" borderId="21" xfId="0" applyFont="1" applyFill="1" applyBorder="1">
      <alignment vertical="center"/>
    </xf>
    <xf numFmtId="0" fontId="25" fillId="35" borderId="47" xfId="0" applyFont="1" applyFill="1" applyBorder="1" applyAlignment="1">
      <alignment horizontal="right" vertical="top"/>
    </xf>
    <xf numFmtId="0" fontId="25" fillId="0" borderId="47" xfId="0" applyFont="1" applyBorder="1" applyAlignment="1">
      <alignment horizontal="right" vertical="top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9" borderId="16" xfId="0" applyFont="1" applyFill="1" applyBorder="1" applyAlignment="1">
      <alignment vertical="center" wrapText="1"/>
    </xf>
    <xf numFmtId="0" fontId="63" fillId="0" borderId="16" xfId="0" applyFont="1" applyBorder="1" applyAlignment="1">
      <alignment horizontal="left" vertical="center"/>
    </xf>
    <xf numFmtId="0" fontId="22" fillId="24" borderId="55" xfId="0" applyFont="1" applyFill="1" applyBorder="1" applyAlignment="1">
      <alignment horizontal="center" vertical="center" wrapText="1"/>
    </xf>
    <xf numFmtId="0" fontId="21" fillId="29" borderId="47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7" xfId="0" applyFont="1" applyBorder="1" applyAlignment="1">
      <alignment horizontal="left" vertical="center"/>
    </xf>
    <xf numFmtId="0" fontId="21" fillId="29" borderId="47" xfId="0" applyFont="1" applyFill="1" applyBorder="1" applyAlignment="1">
      <alignment horizontal="center" vertical="center" wrapText="1"/>
    </xf>
    <xf numFmtId="0" fontId="22" fillId="24" borderId="55" xfId="0" applyFont="1" applyFill="1" applyBorder="1" applyAlignment="1">
      <alignment horizontal="center" vertical="center" textRotation="180" wrapText="1"/>
    </xf>
    <xf numFmtId="0" fontId="63" fillId="24" borderId="47" xfId="0" applyFont="1" applyFill="1" applyBorder="1" applyAlignment="1">
      <alignment vertical="center" wrapText="1"/>
    </xf>
    <xf numFmtId="0" fontId="21" fillId="24" borderId="47" xfId="0" applyFont="1" applyFill="1" applyBorder="1" applyAlignment="1">
      <alignment vertical="center" wrapText="1"/>
    </xf>
    <xf numFmtId="0" fontId="63" fillId="29" borderId="47" xfId="0" applyFont="1" applyFill="1" applyBorder="1" applyAlignment="1">
      <alignment vertical="center" wrapText="1"/>
    </xf>
    <xf numFmtId="0" fontId="62" fillId="24" borderId="0" xfId="0" applyFont="1" applyFill="1">
      <alignment vertical="center"/>
    </xf>
    <xf numFmtId="0" fontId="51" fillId="29" borderId="58" xfId="0" applyFont="1" applyFill="1" applyBorder="1">
      <alignment vertical="center"/>
    </xf>
    <xf numFmtId="0" fontId="22" fillId="29" borderId="47" xfId="0" applyFont="1" applyFill="1" applyBorder="1" applyAlignment="1">
      <alignment horizontal="left" vertical="center"/>
    </xf>
    <xf numFmtId="0" fontId="21" fillId="41" borderId="37" xfId="0" applyFont="1" applyFill="1" applyBorder="1" applyAlignment="1">
      <alignment horizontal="left" vertical="center"/>
    </xf>
    <xf numFmtId="0" fontId="22" fillId="24" borderId="37" xfId="0" applyFont="1" applyFill="1" applyBorder="1" applyAlignment="1">
      <alignment vertical="center" wrapText="1"/>
    </xf>
    <xf numFmtId="0" fontId="21" fillId="29" borderId="48" xfId="0" applyFont="1" applyFill="1" applyBorder="1" applyAlignment="1">
      <alignment horizontal="left" vertical="center" wrapText="1"/>
    </xf>
    <xf numFmtId="0" fontId="21" fillId="29" borderId="37" xfId="0" applyFont="1" applyFill="1" applyBorder="1" applyAlignment="1">
      <alignment vertical="center" wrapText="1"/>
    </xf>
    <xf numFmtId="0" fontId="21" fillId="29" borderId="44" xfId="0" applyFont="1" applyFill="1" applyBorder="1" applyAlignment="1">
      <alignment horizontal="left" vertical="center" wrapText="1"/>
    </xf>
    <xf numFmtId="0" fontId="29" fillId="24" borderId="29" xfId="0" quotePrefix="1" applyFont="1" applyFill="1" applyBorder="1" applyAlignment="1">
      <alignment horizontal="left" vertical="top" wrapText="1"/>
    </xf>
    <xf numFmtId="184" fontId="29" fillId="24" borderId="59" xfId="0" applyNumberFormat="1" applyFont="1" applyFill="1" applyBorder="1" applyAlignment="1">
      <alignment horizontal="center" vertical="top"/>
    </xf>
    <xf numFmtId="49" fontId="29" fillId="24" borderId="60" xfId="0" applyNumberFormat="1" applyFont="1" applyFill="1" applyBorder="1" applyAlignment="1">
      <alignment horizontal="center" vertical="top"/>
    </xf>
    <xf numFmtId="49" fontId="29" fillId="24" borderId="60" xfId="0" applyNumberFormat="1" applyFont="1" applyFill="1" applyBorder="1" applyAlignment="1">
      <alignment horizontal="center" vertical="top" wrapText="1"/>
    </xf>
    <xf numFmtId="0" fontId="29" fillId="24" borderId="60" xfId="0" applyFont="1" applyFill="1" applyBorder="1" applyAlignment="1">
      <alignment horizontal="center" vertical="top"/>
    </xf>
    <xf numFmtId="0" fontId="29" fillId="24" borderId="61" xfId="0" quotePrefix="1" applyFont="1" applyFill="1" applyBorder="1" applyAlignment="1">
      <alignment horizontal="left" vertical="top" wrapText="1"/>
    </xf>
    <xf numFmtId="49" fontId="21" fillId="24" borderId="47" xfId="0" applyNumberFormat="1" applyFont="1" applyFill="1" applyBorder="1" applyAlignment="1">
      <alignment horizontal="right" vertical="center"/>
    </xf>
    <xf numFmtId="0" fontId="51" fillId="24" borderId="43" xfId="0" applyFont="1" applyFill="1" applyBorder="1" applyAlignment="1">
      <alignment horizontal="left" vertical="center"/>
    </xf>
    <xf numFmtId="0" fontId="51" fillId="24" borderId="36" xfId="0" applyFont="1" applyFill="1" applyBorder="1" applyAlignment="1">
      <alignment horizontal="left" vertical="center"/>
    </xf>
    <xf numFmtId="0" fontId="21" fillId="24" borderId="45" xfId="0" applyFont="1" applyFill="1" applyBorder="1">
      <alignment vertical="center"/>
    </xf>
    <xf numFmtId="0" fontId="21" fillId="24" borderId="47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42" xfId="0" quotePrefix="1" applyFont="1" applyFill="1" applyBorder="1" applyAlignment="1">
      <alignment horizontal="center" vertical="center" wrapText="1"/>
    </xf>
    <xf numFmtId="0" fontId="25" fillId="24" borderId="37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5" xfId="0" applyFont="1" applyFill="1" applyBorder="1">
      <alignment vertical="center"/>
    </xf>
    <xf numFmtId="0" fontId="25" fillId="24" borderId="52" xfId="0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49" fontId="33" fillId="0" borderId="21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182" fontId="29" fillId="28" borderId="44" xfId="0" applyNumberFormat="1" applyFont="1" applyFill="1" applyBorder="1" applyAlignment="1">
      <alignment horizontal="center" vertical="center"/>
    </xf>
    <xf numFmtId="182" fontId="29" fillId="28" borderId="21" xfId="0" applyNumberFormat="1" applyFont="1" applyFill="1" applyBorder="1" applyAlignment="1">
      <alignment horizontal="center" vertical="center"/>
    </xf>
    <xf numFmtId="179" fontId="29" fillId="28" borderId="44" xfId="0" applyNumberFormat="1" applyFont="1" applyFill="1" applyBorder="1" applyAlignment="1">
      <alignment horizontal="right" vertical="center" wrapText="1"/>
    </xf>
    <xf numFmtId="179" fontId="29" fillId="28" borderId="21" xfId="0" applyNumberFormat="1" applyFont="1" applyFill="1" applyBorder="1" applyAlignment="1">
      <alignment horizontal="right" vertical="center" wrapText="1"/>
    </xf>
    <xf numFmtId="0" fontId="29" fillId="0" borderId="44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181" fontId="29" fillId="28" borderId="44" xfId="0" applyNumberFormat="1" applyFont="1" applyFill="1" applyBorder="1" applyAlignment="1">
      <alignment horizontal="center" vertical="center"/>
    </xf>
    <xf numFmtId="181" fontId="29" fillId="28" borderId="21" xfId="0" applyNumberFormat="1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 wrapText="1"/>
    </xf>
    <xf numFmtId="0" fontId="28" fillId="36" borderId="48" xfId="0" applyFont="1" applyFill="1" applyBorder="1" applyAlignment="1">
      <alignment horizontal="center" vertical="center"/>
    </xf>
    <xf numFmtId="0" fontId="34" fillId="26" borderId="49" xfId="0" applyFont="1" applyFill="1" applyBorder="1" applyAlignment="1">
      <alignment horizontal="center" vertical="center"/>
    </xf>
    <xf numFmtId="0" fontId="28" fillId="36" borderId="48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28" fillId="36" borderId="49" xfId="0" applyFont="1" applyFill="1" applyBorder="1" applyAlignment="1">
      <alignment horizontal="center" vertical="center" wrapText="1"/>
    </xf>
    <xf numFmtId="0" fontId="28" fillId="36" borderId="50" xfId="0" applyFont="1" applyFill="1" applyBorder="1" applyAlignment="1">
      <alignment horizontal="center" vertical="center" wrapText="1"/>
    </xf>
    <xf numFmtId="0" fontId="28" fillId="36" borderId="49" xfId="0" applyFont="1" applyFill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28" fillId="36" borderId="48" xfId="0" applyFont="1" applyFill="1" applyBorder="1" applyAlignment="1">
      <alignment horizontal="left" vertical="center"/>
    </xf>
    <xf numFmtId="0" fontId="28" fillId="36" borderId="50" xfId="0" applyFont="1" applyFill="1" applyBorder="1" applyAlignment="1">
      <alignment horizontal="left" vertical="center"/>
    </xf>
    <xf numFmtId="0" fontId="28" fillId="36" borderId="49" xfId="0" applyFont="1" applyFill="1" applyBorder="1" applyAlignment="1">
      <alignment horizontal="left" vertical="center"/>
    </xf>
    <xf numFmtId="0" fontId="42" fillId="36" borderId="48" xfId="0" applyFont="1" applyFill="1" applyBorder="1" applyAlignment="1">
      <alignment horizontal="left" vertical="center"/>
    </xf>
    <xf numFmtId="0" fontId="42" fillId="36" borderId="50" xfId="0" applyFont="1" applyFill="1" applyBorder="1" applyAlignment="1">
      <alignment horizontal="left" vertical="center"/>
    </xf>
    <xf numFmtId="0" fontId="42" fillId="36" borderId="49" xfId="0" applyFont="1" applyFill="1" applyBorder="1" applyAlignment="1">
      <alignment horizontal="left" vertical="center"/>
    </xf>
    <xf numFmtId="0" fontId="42" fillId="36" borderId="48" xfId="0" applyFont="1" applyFill="1" applyBorder="1" applyAlignment="1">
      <alignment horizontal="center" vertical="center"/>
    </xf>
    <xf numFmtId="0" fontId="42" fillId="36" borderId="50" xfId="0" applyFont="1" applyFill="1" applyBorder="1" applyAlignment="1">
      <alignment horizontal="center" vertical="center"/>
    </xf>
    <xf numFmtId="0" fontId="42" fillId="36" borderId="49" xfId="0" applyFont="1" applyFill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50" xfId="0" applyFont="1" applyFill="1" applyBorder="1" applyAlignment="1">
      <alignment horizontal="center" vertical="center"/>
    </xf>
    <xf numFmtId="0" fontId="28" fillId="36" borderId="55" xfId="0" applyFont="1" applyFill="1" applyBorder="1" applyAlignment="1">
      <alignment horizontal="center" vertical="center" wrapText="1"/>
    </xf>
    <xf numFmtId="0" fontId="28" fillId="36" borderId="28" xfId="0" applyFont="1" applyFill="1" applyBorder="1" applyAlignment="1">
      <alignment horizontal="center" vertical="center" wrapText="1"/>
    </xf>
    <xf numFmtId="0" fontId="24" fillId="34" borderId="48" xfId="0" applyFont="1" applyFill="1" applyBorder="1" applyAlignment="1">
      <alignment horizontal="center" vertical="center"/>
    </xf>
    <xf numFmtId="0" fontId="24" fillId="34" borderId="50" xfId="0" applyFont="1" applyFill="1" applyBorder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808080"/>
      <color rgb="FF336699"/>
      <color rgb="FF969696"/>
      <color rgb="FFFFFF99"/>
      <color rgb="FFFFD9D9"/>
      <color rgb="FF0000FF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B4A006F-2E8A-470C-8340-2876EC909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B3947E-9270-4775-839F-248207DF0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94D3C1-2670-4B02-8FE7-7D5E6864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40FA35-216A-4960-BDD3-68156E378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0d to 15360d [0dB to 24dB] or 0d to 16128d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4379-C399-4B3C-A8D0-044E05EC28E9}">
  <sheetPr codeName="Sheet7"/>
  <dimension ref="A1:G21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9" defaultRowHeight="18.75" x14ac:dyDescent="0.15"/>
  <cols>
    <col min="1" max="1" width="4.5" style="4" bestFit="1" customWidth="1"/>
    <col min="2" max="2" width="13.75" style="5" customWidth="1"/>
    <col min="3" max="3" width="10" style="6" customWidth="1"/>
    <col min="4" max="4" width="16.125" style="6" bestFit="1" customWidth="1"/>
    <col min="5" max="5" width="21.25" style="6" customWidth="1"/>
    <col min="6" max="6" width="115.75" style="14" customWidth="1"/>
    <col min="7" max="7" width="7.875" style="4" customWidth="1"/>
    <col min="8" max="16384" width="9" style="4"/>
  </cols>
  <sheetData>
    <row r="1" spans="1:7" x14ac:dyDescent="0.15">
      <c r="C1" s="20" t="s">
        <v>52</v>
      </c>
      <c r="D1" s="20" t="s">
        <v>52</v>
      </c>
      <c r="E1" s="20" t="s">
        <v>52</v>
      </c>
      <c r="F1" s="20" t="s">
        <v>52</v>
      </c>
    </row>
    <row r="2" spans="1:7" ht="19.5" thickBot="1" x14ac:dyDescent="0.2">
      <c r="C2" s="20" t="s">
        <v>52</v>
      </c>
      <c r="D2" s="20" t="s">
        <v>52</v>
      </c>
      <c r="E2" s="20" t="s">
        <v>52</v>
      </c>
      <c r="F2" s="20" t="s">
        <v>52</v>
      </c>
    </row>
    <row r="3" spans="1:7" s="8" customFormat="1" ht="21" customHeight="1" thickBot="1" x14ac:dyDescent="0.2">
      <c r="B3" s="21" t="s">
        <v>11</v>
      </c>
      <c r="C3" s="22" t="s">
        <v>12</v>
      </c>
      <c r="D3" s="22" t="s">
        <v>90</v>
      </c>
      <c r="E3" s="22" t="s">
        <v>13</v>
      </c>
      <c r="F3" s="23" t="s">
        <v>14</v>
      </c>
      <c r="G3" s="4"/>
    </row>
    <row r="4" spans="1:7" ht="346.5" x14ac:dyDescent="0.15">
      <c r="A4" s="48"/>
      <c r="B4" s="95">
        <v>46038</v>
      </c>
      <c r="C4" s="96" t="s">
        <v>131</v>
      </c>
      <c r="D4" s="62" t="s">
        <v>138</v>
      </c>
      <c r="E4" s="102" t="s">
        <v>9</v>
      </c>
      <c r="F4" s="103" t="s">
        <v>133</v>
      </c>
    </row>
    <row r="5" spans="1:7" ht="33" x14ac:dyDescent="0.15">
      <c r="A5" s="48"/>
      <c r="B5" s="99">
        <v>46058</v>
      </c>
      <c r="C5" s="100" t="s">
        <v>136</v>
      </c>
      <c r="D5" s="104" t="s">
        <v>138</v>
      </c>
      <c r="E5" s="101" t="s">
        <v>9</v>
      </c>
      <c r="F5" s="257" t="s">
        <v>137</v>
      </c>
    </row>
    <row r="6" spans="1:7" x14ac:dyDescent="0.15">
      <c r="A6" s="48"/>
      <c r="B6" s="258">
        <v>46058</v>
      </c>
      <c r="C6" s="259" t="s">
        <v>141</v>
      </c>
      <c r="D6" s="260" t="s">
        <v>1240</v>
      </c>
      <c r="E6" s="261" t="s">
        <v>9</v>
      </c>
      <c r="F6" s="262" t="s">
        <v>1241</v>
      </c>
    </row>
    <row r="7" spans="1:7" x14ac:dyDescent="0.15">
      <c r="A7" s="48"/>
      <c r="B7" s="60"/>
      <c r="C7" s="61"/>
      <c r="D7" s="62"/>
      <c r="E7" s="63"/>
      <c r="F7" s="64"/>
    </row>
    <row r="8" spans="1:7" x14ac:dyDescent="0.15">
      <c r="A8" s="48"/>
      <c r="B8" s="60"/>
      <c r="C8" s="61"/>
      <c r="D8" s="62"/>
      <c r="E8" s="63"/>
      <c r="F8" s="64"/>
    </row>
    <row r="9" spans="1:7" x14ac:dyDescent="0.15">
      <c r="A9" s="48"/>
      <c r="B9" s="60"/>
      <c r="C9" s="61"/>
      <c r="D9" s="62"/>
      <c r="E9" s="63"/>
      <c r="F9" s="64"/>
    </row>
    <row r="10" spans="1:7" x14ac:dyDescent="0.15">
      <c r="A10" s="48"/>
      <c r="B10" s="60"/>
      <c r="C10" s="61"/>
      <c r="D10" s="62"/>
      <c r="E10" s="63"/>
      <c r="F10" s="64"/>
    </row>
    <row r="11" spans="1:7" x14ac:dyDescent="0.15">
      <c r="A11" s="48"/>
      <c r="B11" s="60"/>
      <c r="C11" s="61"/>
      <c r="D11" s="62"/>
      <c r="E11" s="63"/>
      <c r="F11" s="64"/>
    </row>
    <row r="12" spans="1:7" x14ac:dyDescent="0.15">
      <c r="A12" s="48"/>
      <c r="B12" s="60"/>
      <c r="C12" s="61"/>
      <c r="D12" s="62"/>
      <c r="E12" s="63"/>
      <c r="F12" s="64"/>
    </row>
    <row r="13" spans="1:7" x14ac:dyDescent="0.15">
      <c r="A13" s="48"/>
      <c r="B13" s="60"/>
      <c r="C13" s="61"/>
      <c r="D13" s="62"/>
      <c r="E13" s="97"/>
      <c r="F13" s="98"/>
    </row>
    <row r="14" spans="1:7" x14ac:dyDescent="0.15">
      <c r="A14" s="48"/>
      <c r="B14" s="99"/>
      <c r="C14" s="100"/>
      <c r="D14" s="62"/>
      <c r="E14" s="97"/>
      <c r="F14" s="98"/>
    </row>
    <row r="15" spans="1:7" x14ac:dyDescent="0.15">
      <c r="A15" s="48"/>
      <c r="B15" s="99"/>
      <c r="C15" s="100"/>
      <c r="D15" s="62"/>
      <c r="E15" s="97"/>
      <c r="F15" s="98"/>
    </row>
    <row r="16" spans="1:7" ht="19.5" thickBot="1" x14ac:dyDescent="0.2">
      <c r="A16" s="48"/>
      <c r="B16" s="49"/>
      <c r="C16" s="50"/>
      <c r="D16" s="51"/>
      <c r="E16" s="52"/>
      <c r="F16" s="53"/>
    </row>
    <row r="17" spans="1:6" x14ac:dyDescent="0.15">
      <c r="A17" s="48"/>
      <c r="B17" s="55"/>
      <c r="C17" s="56"/>
      <c r="D17" s="57"/>
      <c r="E17" s="58"/>
      <c r="F17" s="59"/>
    </row>
    <row r="21" spans="1:6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2EC7-E580-47F6-9011-24E94807D3B0}">
  <dimension ref="A1:BU928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05" customWidth="1"/>
    <col min="2" max="2" width="9.875" style="107" bestFit="1" customWidth="1"/>
    <col min="3" max="3" width="6.875" style="107" customWidth="1"/>
    <col min="4" max="4" width="2.75" style="108" customWidth="1"/>
    <col min="5" max="5" width="9" style="108"/>
    <col min="6" max="6" width="5.375" style="108" customWidth="1"/>
    <col min="7" max="7" width="8.375" style="108" bestFit="1" customWidth="1"/>
    <col min="8" max="8" width="5.375" style="108" customWidth="1"/>
    <col min="9" max="9" width="3.625" style="109" customWidth="1"/>
    <col min="10" max="18" width="9" style="108"/>
    <col min="19" max="19" width="11.875" style="108" customWidth="1"/>
    <col min="20" max="16384" width="9" style="108"/>
  </cols>
  <sheetData>
    <row r="1" spans="1:12" ht="15.75" customHeight="1" x14ac:dyDescent="0.15">
      <c r="B1" s="106"/>
    </row>
    <row r="2" spans="1:12" ht="12.75" customHeight="1" x14ac:dyDescent="0.15">
      <c r="B2" s="106"/>
    </row>
    <row r="4" spans="1:12" ht="15" x14ac:dyDescent="0.15">
      <c r="A4" s="110" t="s">
        <v>442</v>
      </c>
    </row>
    <row r="5" spans="1:12" ht="13.5" thickBot="1" x14ac:dyDescent="0.2">
      <c r="I5" s="111"/>
    </row>
    <row r="6" spans="1:12" x14ac:dyDescent="0.15">
      <c r="E6" s="112" t="s">
        <v>443</v>
      </c>
      <c r="F6" s="113"/>
      <c r="G6" s="113"/>
      <c r="H6" s="114"/>
    </row>
    <row r="7" spans="1:12" x14ac:dyDescent="0.15">
      <c r="A7" s="115"/>
      <c r="E7" s="116"/>
      <c r="F7" s="117" t="s">
        <v>444</v>
      </c>
      <c r="G7" s="118"/>
      <c r="H7" s="119"/>
    </row>
    <row r="8" spans="1:12" ht="14.25" x14ac:dyDescent="0.15">
      <c r="A8" s="120"/>
      <c r="B8" s="121"/>
      <c r="C8" s="122"/>
      <c r="E8" s="116"/>
      <c r="F8" s="123" t="s">
        <v>445</v>
      </c>
      <c r="G8" s="124"/>
      <c r="H8" s="125"/>
    </row>
    <row r="9" spans="1:12" x14ac:dyDescent="0.15">
      <c r="A9" s="126"/>
      <c r="B9" s="127"/>
      <c r="C9" s="127"/>
      <c r="E9" s="128"/>
      <c r="F9" s="123" t="s">
        <v>446</v>
      </c>
      <c r="G9" s="124"/>
      <c r="H9" s="125"/>
    </row>
    <row r="10" spans="1:12" x14ac:dyDescent="0.15">
      <c r="A10" s="129"/>
      <c r="E10" s="130"/>
      <c r="F10" s="131" t="s">
        <v>73</v>
      </c>
      <c r="G10" s="132"/>
      <c r="H10" s="133"/>
    </row>
    <row r="11" spans="1:12" x14ac:dyDescent="0.15">
      <c r="A11" s="134" t="s">
        <v>447</v>
      </c>
      <c r="B11" s="135" t="s">
        <v>448</v>
      </c>
      <c r="C11" s="135" t="s">
        <v>449</v>
      </c>
      <c r="E11" s="130"/>
      <c r="F11" s="136"/>
      <c r="G11" s="137" t="s">
        <v>125</v>
      </c>
      <c r="H11" s="138" t="s">
        <v>450</v>
      </c>
    </row>
    <row r="12" spans="1:12" x14ac:dyDescent="0.15">
      <c r="A12" s="139" t="s">
        <v>451</v>
      </c>
      <c r="B12" s="140" t="s">
        <v>1081</v>
      </c>
      <c r="C12" s="140" t="s">
        <v>452</v>
      </c>
      <c r="E12" s="130"/>
      <c r="F12" s="136"/>
      <c r="G12" s="141" t="s">
        <v>453</v>
      </c>
      <c r="H12" s="148" t="s">
        <v>407</v>
      </c>
      <c r="I12" s="143"/>
      <c r="L12" s="144"/>
    </row>
    <row r="13" spans="1:12" x14ac:dyDescent="0.15">
      <c r="A13" s="139" t="s">
        <v>454</v>
      </c>
      <c r="B13" s="140" t="s">
        <v>86</v>
      </c>
      <c r="C13" s="140" t="s">
        <v>452</v>
      </c>
      <c r="E13" s="130"/>
      <c r="F13" s="136"/>
      <c r="G13" s="141" t="s">
        <v>455</v>
      </c>
      <c r="H13" s="148" t="s">
        <v>85</v>
      </c>
      <c r="I13" s="143"/>
      <c r="L13" s="144"/>
    </row>
    <row r="14" spans="1:12" x14ac:dyDescent="0.15">
      <c r="A14" s="145"/>
      <c r="B14" s="146"/>
      <c r="C14" s="146"/>
      <c r="D14" s="145"/>
      <c r="E14" s="130"/>
      <c r="F14" s="136"/>
      <c r="G14" s="147"/>
      <c r="H14" s="148"/>
      <c r="I14" s="149"/>
    </row>
    <row r="15" spans="1:12" x14ac:dyDescent="0.15">
      <c r="A15" s="145"/>
      <c r="B15" s="146"/>
      <c r="C15" s="146"/>
      <c r="D15" s="145"/>
      <c r="E15" s="130"/>
      <c r="F15" s="136"/>
      <c r="G15" s="147"/>
      <c r="H15" s="148"/>
      <c r="I15" s="149"/>
    </row>
    <row r="16" spans="1:12" x14ac:dyDescent="0.15">
      <c r="A16" s="145"/>
      <c r="B16" s="146"/>
      <c r="C16" s="146"/>
      <c r="D16" s="129"/>
      <c r="E16" s="130"/>
      <c r="F16" s="131" t="s">
        <v>456</v>
      </c>
      <c r="G16" s="132"/>
      <c r="H16" s="133"/>
      <c r="I16" s="150"/>
    </row>
    <row r="17" spans="1:9" x14ac:dyDescent="0.15">
      <c r="A17" s="134" t="s">
        <v>447</v>
      </c>
      <c r="B17" s="135" t="s">
        <v>448</v>
      </c>
      <c r="C17" s="135" t="s">
        <v>449</v>
      </c>
      <c r="D17" s="151"/>
      <c r="E17" s="130"/>
      <c r="F17" s="136"/>
      <c r="G17" s="137" t="s">
        <v>125</v>
      </c>
      <c r="H17" s="138" t="s">
        <v>450</v>
      </c>
    </row>
    <row r="18" spans="1:9" x14ac:dyDescent="0.15">
      <c r="A18" s="181"/>
      <c r="B18" s="140" t="s">
        <v>86</v>
      </c>
      <c r="C18" s="140"/>
      <c r="E18" s="130"/>
      <c r="F18" s="152"/>
      <c r="G18" s="141" t="s">
        <v>457</v>
      </c>
      <c r="H18" s="237" t="s">
        <v>1082</v>
      </c>
      <c r="I18" s="153"/>
    </row>
    <row r="19" spans="1:9" x14ac:dyDescent="0.15">
      <c r="A19" s="181"/>
      <c r="B19" s="140" t="s">
        <v>86</v>
      </c>
      <c r="C19" s="140"/>
      <c r="E19" s="130"/>
      <c r="F19" s="152"/>
      <c r="G19" s="141" t="s">
        <v>458</v>
      </c>
      <c r="H19" s="237" t="s">
        <v>1082</v>
      </c>
      <c r="I19" s="153"/>
    </row>
    <row r="20" spans="1:9" x14ac:dyDescent="0.15">
      <c r="A20" s="181"/>
      <c r="B20" s="140" t="s">
        <v>86</v>
      </c>
      <c r="C20" s="140"/>
      <c r="E20" s="130"/>
      <c r="F20" s="152"/>
      <c r="G20" s="141" t="s">
        <v>459</v>
      </c>
      <c r="H20" s="237" t="s">
        <v>1083</v>
      </c>
      <c r="I20" s="153"/>
    </row>
    <row r="21" spans="1:9" x14ac:dyDescent="0.15">
      <c r="A21" s="181"/>
      <c r="B21" s="140" t="s">
        <v>86</v>
      </c>
      <c r="C21" s="140"/>
      <c r="E21" s="130"/>
      <c r="F21" s="152"/>
      <c r="G21" s="141" t="s">
        <v>460</v>
      </c>
      <c r="H21" s="237" t="s">
        <v>1084</v>
      </c>
      <c r="I21" s="153"/>
    </row>
    <row r="22" spans="1:9" x14ac:dyDescent="0.15">
      <c r="A22" s="181"/>
      <c r="B22" s="140" t="s">
        <v>86</v>
      </c>
      <c r="C22" s="140"/>
      <c r="E22" s="130"/>
      <c r="F22" s="152"/>
      <c r="G22" s="141" t="s">
        <v>461</v>
      </c>
      <c r="H22" s="237" t="s">
        <v>399</v>
      </c>
      <c r="I22" s="153"/>
    </row>
    <row r="23" spans="1:9" x14ac:dyDescent="0.15">
      <c r="A23" s="181"/>
      <c r="B23" s="140" t="s">
        <v>86</v>
      </c>
      <c r="C23" s="140"/>
      <c r="E23" s="130"/>
      <c r="F23" s="152"/>
      <c r="G23" s="141" t="s">
        <v>462</v>
      </c>
      <c r="H23" s="237" t="s">
        <v>1085</v>
      </c>
      <c r="I23" s="153"/>
    </row>
    <row r="24" spans="1:9" x14ac:dyDescent="0.15">
      <c r="A24" s="181"/>
      <c r="B24" s="140" t="s">
        <v>86</v>
      </c>
      <c r="C24" s="140"/>
      <c r="E24" s="130"/>
      <c r="F24" s="152"/>
      <c r="G24" s="141" t="s">
        <v>463</v>
      </c>
      <c r="H24" s="237" t="s">
        <v>400</v>
      </c>
      <c r="I24" s="153"/>
    </row>
    <row r="25" spans="1:9" x14ac:dyDescent="0.15">
      <c r="A25" s="181"/>
      <c r="B25" s="140" t="s">
        <v>86</v>
      </c>
      <c r="C25" s="140"/>
      <c r="E25" s="130"/>
      <c r="F25" s="152"/>
      <c r="G25" s="141" t="s">
        <v>464</v>
      </c>
      <c r="H25" s="237" t="s">
        <v>287</v>
      </c>
      <c r="I25" s="153"/>
    </row>
    <row r="26" spans="1:9" x14ac:dyDescent="0.15">
      <c r="A26" s="181"/>
      <c r="B26" s="140" t="s">
        <v>86</v>
      </c>
      <c r="C26" s="140"/>
      <c r="E26" s="130"/>
      <c r="F26" s="152"/>
      <c r="G26" s="141" t="s">
        <v>465</v>
      </c>
      <c r="H26" s="237" t="s">
        <v>290</v>
      </c>
      <c r="I26" s="153"/>
    </row>
    <row r="27" spans="1:9" x14ac:dyDescent="0.15">
      <c r="A27" s="181"/>
      <c r="B27" s="140" t="s">
        <v>86</v>
      </c>
      <c r="C27" s="140"/>
      <c r="E27" s="130"/>
      <c r="F27" s="152"/>
      <c r="G27" s="141" t="s">
        <v>466</v>
      </c>
      <c r="H27" s="237" t="s">
        <v>1086</v>
      </c>
      <c r="I27" s="153"/>
    </row>
    <row r="28" spans="1:9" x14ac:dyDescent="0.15">
      <c r="A28" s="181"/>
      <c r="B28" s="140" t="s">
        <v>86</v>
      </c>
      <c r="C28" s="140"/>
      <c r="E28" s="130"/>
      <c r="F28" s="152"/>
      <c r="G28" s="141" t="s">
        <v>467</v>
      </c>
      <c r="H28" s="237" t="s">
        <v>401</v>
      </c>
      <c r="I28" s="153"/>
    </row>
    <row r="29" spans="1:9" x14ac:dyDescent="0.15">
      <c r="A29" s="181"/>
      <c r="B29" s="140" t="s">
        <v>86</v>
      </c>
      <c r="C29" s="140"/>
      <c r="E29" s="130"/>
      <c r="F29" s="152"/>
      <c r="G29" s="141" t="s">
        <v>468</v>
      </c>
      <c r="H29" s="148" t="s">
        <v>85</v>
      </c>
      <c r="I29" s="153"/>
    </row>
    <row r="30" spans="1:9" x14ac:dyDescent="0.15">
      <c r="A30" s="181"/>
      <c r="B30" s="140" t="s">
        <v>86</v>
      </c>
      <c r="C30" s="140"/>
      <c r="E30" s="130"/>
      <c r="F30" s="152"/>
      <c r="G30" s="141" t="s">
        <v>469</v>
      </c>
      <c r="H30" s="237" t="s">
        <v>399</v>
      </c>
      <c r="I30" s="153"/>
    </row>
    <row r="31" spans="1:9" x14ac:dyDescent="0.15">
      <c r="A31" s="181"/>
      <c r="B31" s="140" t="s">
        <v>86</v>
      </c>
      <c r="C31" s="140"/>
      <c r="E31" s="130"/>
      <c r="F31" s="152"/>
      <c r="G31" s="141" t="s">
        <v>470</v>
      </c>
      <c r="H31" s="237" t="s">
        <v>1087</v>
      </c>
      <c r="I31" s="153"/>
    </row>
    <row r="32" spans="1:9" x14ac:dyDescent="0.15">
      <c r="A32" s="181"/>
      <c r="B32" s="140" t="s">
        <v>86</v>
      </c>
      <c r="C32" s="140"/>
      <c r="E32" s="130"/>
      <c r="F32" s="152"/>
      <c r="G32" s="141" t="s">
        <v>471</v>
      </c>
      <c r="H32" s="237" t="s">
        <v>400</v>
      </c>
      <c r="I32" s="153"/>
    </row>
    <row r="33" spans="1:9" x14ac:dyDescent="0.15">
      <c r="A33" s="181"/>
      <c r="B33" s="140" t="s">
        <v>86</v>
      </c>
      <c r="C33" s="140"/>
      <c r="E33" s="130"/>
      <c r="F33" s="152"/>
      <c r="G33" s="141" t="s">
        <v>472</v>
      </c>
      <c r="H33" s="237" t="s">
        <v>287</v>
      </c>
      <c r="I33" s="153"/>
    </row>
    <row r="34" spans="1:9" x14ac:dyDescent="0.15">
      <c r="A34" s="181"/>
      <c r="B34" s="140" t="s">
        <v>86</v>
      </c>
      <c r="C34" s="140"/>
      <c r="E34" s="130"/>
      <c r="F34" s="152"/>
      <c r="G34" s="141" t="s">
        <v>473</v>
      </c>
      <c r="H34" s="237" t="s">
        <v>281</v>
      </c>
      <c r="I34" s="153"/>
    </row>
    <row r="35" spans="1:9" x14ac:dyDescent="0.15">
      <c r="A35" s="181"/>
      <c r="B35" s="140" t="s">
        <v>86</v>
      </c>
      <c r="C35" s="140"/>
      <c r="E35" s="130"/>
      <c r="F35" s="152"/>
      <c r="G35" s="141" t="s">
        <v>474</v>
      </c>
      <c r="H35" s="237" t="s">
        <v>272</v>
      </c>
      <c r="I35" s="153"/>
    </row>
    <row r="36" spans="1:9" x14ac:dyDescent="0.15">
      <c r="A36" s="181"/>
      <c r="B36" s="140" t="s">
        <v>86</v>
      </c>
      <c r="C36" s="140"/>
      <c r="E36" s="130"/>
      <c r="F36" s="152"/>
      <c r="G36" s="141" t="s">
        <v>475</v>
      </c>
      <c r="H36" s="237" t="s">
        <v>1088</v>
      </c>
      <c r="I36" s="153"/>
    </row>
    <row r="37" spans="1:9" x14ac:dyDescent="0.15">
      <c r="A37" s="181"/>
      <c r="B37" s="140" t="s">
        <v>86</v>
      </c>
      <c r="C37" s="140"/>
      <c r="E37" s="130"/>
      <c r="F37" s="152"/>
      <c r="G37" s="141" t="s">
        <v>476</v>
      </c>
      <c r="H37" s="237" t="s">
        <v>1074</v>
      </c>
      <c r="I37" s="153"/>
    </row>
    <row r="38" spans="1:9" x14ac:dyDescent="0.15">
      <c r="A38" s="181"/>
      <c r="B38" s="140" t="s">
        <v>86</v>
      </c>
      <c r="C38" s="140"/>
      <c r="E38" s="130"/>
      <c r="F38" s="152"/>
      <c r="G38" s="141" t="s">
        <v>477</v>
      </c>
      <c r="H38" s="237" t="s">
        <v>399</v>
      </c>
      <c r="I38" s="153"/>
    </row>
    <row r="39" spans="1:9" x14ac:dyDescent="0.15">
      <c r="A39" s="181"/>
      <c r="B39" s="140" t="s">
        <v>86</v>
      </c>
      <c r="C39" s="140"/>
      <c r="E39" s="130"/>
      <c r="F39" s="152"/>
      <c r="G39" s="141" t="s">
        <v>478</v>
      </c>
      <c r="H39" s="237" t="s">
        <v>402</v>
      </c>
      <c r="I39" s="153"/>
    </row>
    <row r="40" spans="1:9" x14ac:dyDescent="0.15">
      <c r="A40" s="181"/>
      <c r="B40" s="140" t="s">
        <v>86</v>
      </c>
      <c r="C40" s="140"/>
      <c r="E40" s="130"/>
      <c r="F40" s="152"/>
      <c r="G40" s="141" t="s">
        <v>479</v>
      </c>
      <c r="H40" s="237" t="s">
        <v>403</v>
      </c>
      <c r="I40" s="153"/>
    </row>
    <row r="41" spans="1:9" x14ac:dyDescent="0.15">
      <c r="A41" s="181"/>
      <c r="B41" s="140" t="s">
        <v>86</v>
      </c>
      <c r="C41" s="140"/>
      <c r="E41" s="130"/>
      <c r="F41" s="152"/>
      <c r="G41" s="141" t="s">
        <v>480</v>
      </c>
      <c r="H41" s="237" t="s">
        <v>287</v>
      </c>
      <c r="I41" s="153"/>
    </row>
    <row r="42" spans="1:9" x14ac:dyDescent="0.15">
      <c r="A42" s="181"/>
      <c r="B42" s="140" t="s">
        <v>86</v>
      </c>
      <c r="C42" s="140"/>
      <c r="E42" s="130"/>
      <c r="F42" s="152"/>
      <c r="G42" s="141" t="s">
        <v>481</v>
      </c>
      <c r="H42" s="148" t="s">
        <v>85</v>
      </c>
      <c r="I42" s="153"/>
    </row>
    <row r="43" spans="1:9" x14ac:dyDescent="0.15">
      <c r="A43" s="181"/>
      <c r="B43" s="140" t="s">
        <v>86</v>
      </c>
      <c r="C43" s="140"/>
      <c r="E43" s="130"/>
      <c r="F43" s="152"/>
      <c r="G43" s="141" t="s">
        <v>482</v>
      </c>
      <c r="H43" s="148" t="s">
        <v>85</v>
      </c>
      <c r="I43" s="153"/>
    </row>
    <row r="44" spans="1:9" x14ac:dyDescent="0.15">
      <c r="A44" s="181"/>
      <c r="B44" s="140" t="s">
        <v>86</v>
      </c>
      <c r="C44" s="140"/>
      <c r="E44" s="130"/>
      <c r="F44" s="152"/>
      <c r="G44" s="141" t="s">
        <v>483</v>
      </c>
      <c r="H44" s="237" t="s">
        <v>278</v>
      </c>
      <c r="I44" s="153"/>
    </row>
    <row r="45" spans="1:9" x14ac:dyDescent="0.15">
      <c r="A45" s="181"/>
      <c r="B45" s="140" t="s">
        <v>86</v>
      </c>
      <c r="C45" s="140"/>
      <c r="E45" s="130"/>
      <c r="F45" s="152"/>
      <c r="G45" s="141" t="s">
        <v>484</v>
      </c>
      <c r="H45" s="148" t="s">
        <v>85</v>
      </c>
      <c r="I45" s="153"/>
    </row>
    <row r="46" spans="1:9" x14ac:dyDescent="0.15">
      <c r="A46" s="181"/>
      <c r="B46" s="140" t="s">
        <v>86</v>
      </c>
      <c r="C46" s="140"/>
      <c r="E46" s="130"/>
      <c r="F46" s="152"/>
      <c r="G46" s="141" t="s">
        <v>485</v>
      </c>
      <c r="H46" s="237" t="s">
        <v>399</v>
      </c>
      <c r="I46" s="153"/>
    </row>
    <row r="47" spans="1:9" x14ac:dyDescent="0.15">
      <c r="A47" s="181"/>
      <c r="B47" s="140" t="s">
        <v>86</v>
      </c>
      <c r="C47" s="140"/>
      <c r="E47" s="130"/>
      <c r="F47" s="152"/>
      <c r="G47" s="141" t="s">
        <v>486</v>
      </c>
      <c r="H47" s="237" t="s">
        <v>404</v>
      </c>
      <c r="I47" s="153"/>
    </row>
    <row r="48" spans="1:9" x14ac:dyDescent="0.15">
      <c r="A48" s="181"/>
      <c r="B48" s="140" t="s">
        <v>86</v>
      </c>
      <c r="C48" s="140"/>
      <c r="E48" s="130"/>
      <c r="F48" s="152"/>
      <c r="G48" s="141" t="s">
        <v>487</v>
      </c>
      <c r="H48" s="237" t="s">
        <v>403</v>
      </c>
      <c r="I48" s="153"/>
    </row>
    <row r="49" spans="1:9" x14ac:dyDescent="0.15">
      <c r="A49" s="181"/>
      <c r="B49" s="140" t="s">
        <v>86</v>
      </c>
      <c r="C49" s="140"/>
      <c r="E49" s="130"/>
      <c r="F49" s="152"/>
      <c r="G49" s="141" t="s">
        <v>488</v>
      </c>
      <c r="H49" s="237" t="s">
        <v>287</v>
      </c>
      <c r="I49" s="153"/>
    </row>
    <row r="50" spans="1:9" x14ac:dyDescent="0.15">
      <c r="A50" s="181"/>
      <c r="B50" s="140" t="s">
        <v>86</v>
      </c>
      <c r="C50" s="140"/>
      <c r="E50" s="130"/>
      <c r="F50" s="152"/>
      <c r="G50" s="141" t="s">
        <v>489</v>
      </c>
      <c r="H50" s="237" t="s">
        <v>290</v>
      </c>
      <c r="I50" s="153"/>
    </row>
    <row r="51" spans="1:9" x14ac:dyDescent="0.15">
      <c r="A51" s="181"/>
      <c r="B51" s="140" t="s">
        <v>86</v>
      </c>
      <c r="C51" s="140"/>
      <c r="E51" s="130"/>
      <c r="F51" s="152"/>
      <c r="G51" s="141" t="s">
        <v>490</v>
      </c>
      <c r="H51" s="237" t="s">
        <v>1086</v>
      </c>
      <c r="I51" s="153"/>
    </row>
    <row r="52" spans="1:9" x14ac:dyDescent="0.15">
      <c r="A52" s="181"/>
      <c r="B52" s="140" t="s">
        <v>86</v>
      </c>
      <c r="C52" s="140"/>
      <c r="E52" s="130"/>
      <c r="F52" s="152"/>
      <c r="G52" s="141" t="s">
        <v>491</v>
      </c>
      <c r="H52" s="148" t="s">
        <v>85</v>
      </c>
      <c r="I52" s="153"/>
    </row>
    <row r="53" spans="1:9" x14ac:dyDescent="0.15">
      <c r="A53" s="181"/>
      <c r="B53" s="140" t="s">
        <v>86</v>
      </c>
      <c r="C53" s="140"/>
      <c r="E53" s="130"/>
      <c r="F53" s="152"/>
      <c r="G53" s="141" t="s">
        <v>492</v>
      </c>
      <c r="H53" s="148" t="s">
        <v>85</v>
      </c>
      <c r="I53" s="153"/>
    </row>
    <row r="54" spans="1:9" x14ac:dyDescent="0.15">
      <c r="A54" s="181"/>
      <c r="B54" s="140" t="s">
        <v>86</v>
      </c>
      <c r="C54" s="140"/>
      <c r="E54" s="130"/>
      <c r="F54" s="152"/>
      <c r="G54" s="141" t="s">
        <v>493</v>
      </c>
      <c r="H54" s="237" t="s">
        <v>399</v>
      </c>
      <c r="I54" s="153"/>
    </row>
    <row r="55" spans="1:9" x14ac:dyDescent="0.15">
      <c r="A55" s="181"/>
      <c r="B55" s="140" t="s">
        <v>86</v>
      </c>
      <c r="C55" s="140"/>
      <c r="E55" s="130"/>
      <c r="F55" s="152"/>
      <c r="G55" s="141" t="s">
        <v>494</v>
      </c>
      <c r="H55" s="237" t="s">
        <v>405</v>
      </c>
      <c r="I55" s="153"/>
    </row>
    <row r="56" spans="1:9" x14ac:dyDescent="0.15">
      <c r="A56" s="181"/>
      <c r="B56" s="140" t="s">
        <v>86</v>
      </c>
      <c r="C56" s="140"/>
      <c r="E56" s="130"/>
      <c r="F56" s="152"/>
      <c r="G56" s="141" t="s">
        <v>495</v>
      </c>
      <c r="H56" s="237" t="s">
        <v>403</v>
      </c>
      <c r="I56" s="153"/>
    </row>
    <row r="57" spans="1:9" x14ac:dyDescent="0.15">
      <c r="A57" s="181"/>
      <c r="B57" s="140" t="s">
        <v>86</v>
      </c>
      <c r="C57" s="140"/>
      <c r="E57" s="130"/>
      <c r="F57" s="152"/>
      <c r="G57" s="141" t="s">
        <v>496</v>
      </c>
      <c r="H57" s="237" t="s">
        <v>287</v>
      </c>
      <c r="I57" s="153"/>
    </row>
    <row r="58" spans="1:9" x14ac:dyDescent="0.15">
      <c r="A58" s="181"/>
      <c r="B58" s="140" t="s">
        <v>86</v>
      </c>
      <c r="C58" s="140"/>
      <c r="E58" s="130"/>
      <c r="F58" s="152"/>
      <c r="G58" s="141" t="s">
        <v>497</v>
      </c>
      <c r="H58" s="237" t="s">
        <v>1089</v>
      </c>
      <c r="I58" s="153"/>
    </row>
    <row r="59" spans="1:9" x14ac:dyDescent="0.15">
      <c r="A59" s="181"/>
      <c r="B59" s="140" t="s">
        <v>86</v>
      </c>
      <c r="C59" s="140"/>
      <c r="E59" s="130"/>
      <c r="F59" s="152"/>
      <c r="G59" s="141" t="s">
        <v>498</v>
      </c>
      <c r="H59" s="148" t="s">
        <v>85</v>
      </c>
      <c r="I59" s="153"/>
    </row>
    <row r="60" spans="1:9" x14ac:dyDescent="0.15">
      <c r="A60" s="181"/>
      <c r="B60" s="140" t="s">
        <v>86</v>
      </c>
      <c r="C60" s="140"/>
      <c r="E60" s="130"/>
      <c r="F60" s="152"/>
      <c r="G60" s="141" t="s">
        <v>499</v>
      </c>
      <c r="H60" s="237" t="s">
        <v>263</v>
      </c>
      <c r="I60" s="153"/>
    </row>
    <row r="61" spans="1:9" x14ac:dyDescent="0.15">
      <c r="A61" s="181"/>
      <c r="B61" s="140" t="s">
        <v>86</v>
      </c>
      <c r="C61" s="140"/>
      <c r="E61" s="130"/>
      <c r="F61" s="152"/>
      <c r="G61" s="141" t="s">
        <v>500</v>
      </c>
      <c r="H61" s="237" t="s">
        <v>1090</v>
      </c>
      <c r="I61" s="153"/>
    </row>
    <row r="62" spans="1:9" x14ac:dyDescent="0.15">
      <c r="A62" s="181"/>
      <c r="B62" s="140" t="s">
        <v>86</v>
      </c>
      <c r="C62" s="140"/>
      <c r="E62" s="130"/>
      <c r="F62" s="152"/>
      <c r="G62" s="141" t="s">
        <v>501</v>
      </c>
      <c r="H62" s="237" t="s">
        <v>399</v>
      </c>
      <c r="I62" s="153"/>
    </row>
    <row r="63" spans="1:9" x14ac:dyDescent="0.15">
      <c r="A63" s="181"/>
      <c r="B63" s="140" t="s">
        <v>86</v>
      </c>
      <c r="C63" s="140"/>
      <c r="E63" s="130"/>
      <c r="F63" s="152"/>
      <c r="G63" s="141" t="s">
        <v>502</v>
      </c>
      <c r="H63" s="237" t="s">
        <v>406</v>
      </c>
      <c r="I63" s="153"/>
    </row>
    <row r="64" spans="1:9" x14ac:dyDescent="0.15">
      <c r="A64" s="181"/>
      <c r="B64" s="140" t="s">
        <v>86</v>
      </c>
      <c r="C64" s="140"/>
      <c r="E64" s="130"/>
      <c r="F64" s="152"/>
      <c r="G64" s="141" t="s">
        <v>503</v>
      </c>
      <c r="H64" s="237" t="s">
        <v>275</v>
      </c>
      <c r="I64" s="153"/>
    </row>
    <row r="65" spans="1:9" x14ac:dyDescent="0.15">
      <c r="A65" s="181"/>
      <c r="B65" s="140" t="s">
        <v>86</v>
      </c>
      <c r="C65" s="140"/>
      <c r="E65" s="130"/>
      <c r="F65" s="152"/>
      <c r="G65" s="141" t="s">
        <v>504</v>
      </c>
      <c r="H65" s="148" t="s">
        <v>85</v>
      </c>
      <c r="I65" s="153"/>
    </row>
    <row r="66" spans="1:9" x14ac:dyDescent="0.15">
      <c r="A66" s="181"/>
      <c r="B66" s="140" t="s">
        <v>86</v>
      </c>
      <c r="C66" s="140"/>
      <c r="E66" s="130"/>
      <c r="F66" s="152"/>
      <c r="G66" s="141" t="s">
        <v>505</v>
      </c>
      <c r="H66" s="237" t="s">
        <v>256</v>
      </c>
      <c r="I66" s="153"/>
    </row>
    <row r="67" spans="1:9" x14ac:dyDescent="0.15">
      <c r="A67" s="181"/>
      <c r="B67" s="140" t="s">
        <v>86</v>
      </c>
      <c r="C67" s="140"/>
      <c r="E67" s="130"/>
      <c r="F67" s="152"/>
      <c r="G67" s="141" t="s">
        <v>506</v>
      </c>
      <c r="H67" s="237" t="s">
        <v>1091</v>
      </c>
      <c r="I67" s="153"/>
    </row>
    <row r="68" spans="1:9" x14ac:dyDescent="0.15">
      <c r="A68" s="181"/>
      <c r="B68" s="140" t="s">
        <v>86</v>
      </c>
      <c r="C68" s="140"/>
      <c r="E68" s="130"/>
      <c r="F68" s="152"/>
      <c r="G68" s="141" t="s">
        <v>507</v>
      </c>
      <c r="H68" s="237" t="s">
        <v>279</v>
      </c>
      <c r="I68" s="153"/>
    </row>
    <row r="69" spans="1:9" x14ac:dyDescent="0.15">
      <c r="A69" s="181"/>
      <c r="B69" s="140" t="s">
        <v>86</v>
      </c>
      <c r="C69" s="140"/>
      <c r="E69" s="130"/>
      <c r="F69" s="152"/>
      <c r="G69" s="141" t="s">
        <v>508</v>
      </c>
      <c r="H69" s="237" t="s">
        <v>1086</v>
      </c>
      <c r="I69" s="153"/>
    </row>
    <row r="70" spans="1:9" x14ac:dyDescent="0.15">
      <c r="A70" s="181"/>
      <c r="B70" s="140" t="s">
        <v>86</v>
      </c>
      <c r="C70" s="140"/>
      <c r="E70" s="130"/>
      <c r="F70" s="152"/>
      <c r="G70" s="141" t="s">
        <v>509</v>
      </c>
      <c r="H70" s="237" t="s">
        <v>1092</v>
      </c>
      <c r="I70" s="153"/>
    </row>
    <row r="71" spans="1:9" x14ac:dyDescent="0.15">
      <c r="A71" s="181"/>
      <c r="B71" s="140" t="s">
        <v>86</v>
      </c>
      <c r="C71" s="140"/>
      <c r="E71" s="130"/>
      <c r="F71" s="152"/>
      <c r="G71" s="141" t="s">
        <v>510</v>
      </c>
      <c r="H71" s="237" t="s">
        <v>261</v>
      </c>
      <c r="I71" s="153"/>
    </row>
    <row r="72" spans="1:9" x14ac:dyDescent="0.15">
      <c r="A72" s="181"/>
      <c r="B72" s="140" t="s">
        <v>86</v>
      </c>
      <c r="C72" s="140"/>
      <c r="E72" s="130"/>
      <c r="F72" s="152"/>
      <c r="G72" s="141" t="s">
        <v>511</v>
      </c>
      <c r="H72" s="237" t="s">
        <v>1093</v>
      </c>
      <c r="I72" s="153"/>
    </row>
    <row r="73" spans="1:9" x14ac:dyDescent="0.15">
      <c r="A73" s="181"/>
      <c r="B73" s="140" t="s">
        <v>86</v>
      </c>
      <c r="C73" s="140"/>
      <c r="E73" s="130"/>
      <c r="F73" s="152"/>
      <c r="G73" s="141" t="s">
        <v>512</v>
      </c>
      <c r="H73" s="237" t="s">
        <v>288</v>
      </c>
      <c r="I73" s="153"/>
    </row>
    <row r="74" spans="1:9" x14ac:dyDescent="0.15">
      <c r="A74" s="181"/>
      <c r="B74" s="140" t="s">
        <v>86</v>
      </c>
      <c r="C74" s="140"/>
      <c r="E74" s="130"/>
      <c r="F74" s="152"/>
      <c r="G74" s="141" t="s">
        <v>513</v>
      </c>
      <c r="H74" s="237" t="s">
        <v>1093</v>
      </c>
      <c r="I74" s="153"/>
    </row>
    <row r="75" spans="1:9" x14ac:dyDescent="0.15">
      <c r="A75" s="181"/>
      <c r="B75" s="140" t="s">
        <v>86</v>
      </c>
      <c r="C75" s="140"/>
      <c r="E75" s="130"/>
      <c r="F75" s="152"/>
      <c r="G75" s="141" t="s">
        <v>514</v>
      </c>
      <c r="H75" s="237" t="s">
        <v>1094</v>
      </c>
      <c r="I75" s="153"/>
    </row>
    <row r="76" spans="1:9" x14ac:dyDescent="0.15">
      <c r="A76" s="181"/>
      <c r="B76" s="140" t="s">
        <v>86</v>
      </c>
      <c r="C76" s="140"/>
      <c r="E76" s="130"/>
      <c r="F76" s="152"/>
      <c r="G76" s="141" t="s">
        <v>515</v>
      </c>
      <c r="H76" s="237" t="s">
        <v>1093</v>
      </c>
      <c r="I76" s="153"/>
    </row>
    <row r="77" spans="1:9" x14ac:dyDescent="0.15">
      <c r="A77" s="181"/>
      <c r="B77" s="140" t="s">
        <v>86</v>
      </c>
      <c r="C77" s="140"/>
      <c r="E77" s="130"/>
      <c r="F77" s="152"/>
      <c r="G77" s="141" t="s">
        <v>516</v>
      </c>
      <c r="H77" s="237" t="s">
        <v>254</v>
      </c>
      <c r="I77" s="153"/>
    </row>
    <row r="78" spans="1:9" x14ac:dyDescent="0.15">
      <c r="A78" s="181"/>
      <c r="B78" s="140" t="s">
        <v>86</v>
      </c>
      <c r="C78" s="140"/>
      <c r="E78" s="130"/>
      <c r="F78" s="152"/>
      <c r="G78" s="141" t="s">
        <v>517</v>
      </c>
      <c r="H78" s="237" t="s">
        <v>1095</v>
      </c>
      <c r="I78" s="153"/>
    </row>
    <row r="79" spans="1:9" x14ac:dyDescent="0.15">
      <c r="A79" s="181"/>
      <c r="B79" s="140" t="s">
        <v>86</v>
      </c>
      <c r="C79" s="140"/>
      <c r="E79" s="130"/>
      <c r="F79" s="152"/>
      <c r="G79" s="141" t="s">
        <v>518</v>
      </c>
      <c r="H79" s="237" t="s">
        <v>407</v>
      </c>
      <c r="I79" s="153"/>
    </row>
    <row r="80" spans="1:9" x14ac:dyDescent="0.15">
      <c r="A80" s="181"/>
      <c r="B80" s="140" t="s">
        <v>86</v>
      </c>
      <c r="C80" s="140"/>
      <c r="E80" s="130"/>
      <c r="F80" s="152"/>
      <c r="G80" s="141" t="s">
        <v>519</v>
      </c>
      <c r="H80" s="237" t="s">
        <v>408</v>
      </c>
      <c r="I80" s="153"/>
    </row>
    <row r="81" spans="1:9" x14ac:dyDescent="0.15">
      <c r="A81" s="181"/>
      <c r="B81" s="140" t="s">
        <v>86</v>
      </c>
      <c r="C81" s="140"/>
      <c r="E81" s="130"/>
      <c r="F81" s="152"/>
      <c r="G81" s="141" t="s">
        <v>520</v>
      </c>
      <c r="H81" s="148" t="s">
        <v>85</v>
      </c>
      <c r="I81" s="153"/>
    </row>
    <row r="82" spans="1:9" x14ac:dyDescent="0.15">
      <c r="A82" s="181"/>
      <c r="B82" s="140" t="s">
        <v>86</v>
      </c>
      <c r="C82" s="140"/>
      <c r="E82" s="130"/>
      <c r="F82" s="152"/>
      <c r="G82" s="141" t="s">
        <v>521</v>
      </c>
      <c r="H82" s="237" t="s">
        <v>1096</v>
      </c>
      <c r="I82" s="153"/>
    </row>
    <row r="83" spans="1:9" x14ac:dyDescent="0.15">
      <c r="A83" s="181"/>
      <c r="B83" s="140" t="s">
        <v>86</v>
      </c>
      <c r="C83" s="140"/>
      <c r="E83" s="130"/>
      <c r="F83" s="152"/>
      <c r="G83" s="141" t="s">
        <v>522</v>
      </c>
      <c r="H83" s="237" t="s">
        <v>409</v>
      </c>
      <c r="I83" s="153"/>
    </row>
    <row r="84" spans="1:9" x14ac:dyDescent="0.15">
      <c r="A84" s="181"/>
      <c r="B84" s="140" t="s">
        <v>86</v>
      </c>
      <c r="C84" s="140"/>
      <c r="E84" s="130"/>
      <c r="F84" s="152"/>
      <c r="G84" s="141" t="s">
        <v>523</v>
      </c>
      <c r="H84" s="237" t="s">
        <v>261</v>
      </c>
      <c r="I84" s="153"/>
    </row>
    <row r="85" spans="1:9" x14ac:dyDescent="0.15">
      <c r="A85" s="181"/>
      <c r="B85" s="140" t="s">
        <v>86</v>
      </c>
      <c r="C85" s="140"/>
      <c r="E85" s="130"/>
      <c r="F85" s="152"/>
      <c r="G85" s="141" t="s">
        <v>524</v>
      </c>
      <c r="H85" s="237" t="s">
        <v>1077</v>
      </c>
      <c r="I85" s="153"/>
    </row>
    <row r="86" spans="1:9" x14ac:dyDescent="0.15">
      <c r="A86" s="181"/>
      <c r="B86" s="140" t="s">
        <v>86</v>
      </c>
      <c r="C86" s="140"/>
      <c r="E86" s="130"/>
      <c r="F86" s="152"/>
      <c r="G86" s="141" t="s">
        <v>525</v>
      </c>
      <c r="H86" s="237" t="s">
        <v>1095</v>
      </c>
      <c r="I86" s="153"/>
    </row>
    <row r="87" spans="1:9" x14ac:dyDescent="0.15">
      <c r="A87" s="181"/>
      <c r="B87" s="140" t="s">
        <v>86</v>
      </c>
      <c r="C87" s="140"/>
      <c r="E87" s="130"/>
      <c r="F87" s="152"/>
      <c r="G87" s="141" t="s">
        <v>526</v>
      </c>
      <c r="H87" s="237" t="s">
        <v>280</v>
      </c>
      <c r="I87" s="153"/>
    </row>
    <row r="88" spans="1:9" x14ac:dyDescent="0.15">
      <c r="A88" s="181"/>
      <c r="B88" s="140" t="s">
        <v>86</v>
      </c>
      <c r="C88" s="140"/>
      <c r="E88" s="130"/>
      <c r="F88" s="152"/>
      <c r="G88" s="141" t="s">
        <v>527</v>
      </c>
      <c r="H88" s="237" t="s">
        <v>268</v>
      </c>
      <c r="I88" s="153"/>
    </row>
    <row r="89" spans="1:9" x14ac:dyDescent="0.15">
      <c r="A89" s="181"/>
      <c r="B89" s="140" t="s">
        <v>86</v>
      </c>
      <c r="C89" s="140"/>
      <c r="E89" s="130"/>
      <c r="F89" s="152"/>
      <c r="G89" s="141" t="s">
        <v>528</v>
      </c>
      <c r="H89" s="237" t="s">
        <v>410</v>
      </c>
      <c r="I89" s="153"/>
    </row>
    <row r="90" spans="1:9" x14ac:dyDescent="0.15">
      <c r="A90" s="181"/>
      <c r="B90" s="140" t="s">
        <v>86</v>
      </c>
      <c r="C90" s="140"/>
      <c r="E90" s="130"/>
      <c r="F90" s="152"/>
      <c r="G90" s="141" t="s">
        <v>529</v>
      </c>
      <c r="H90" s="237" t="s">
        <v>262</v>
      </c>
      <c r="I90" s="153"/>
    </row>
    <row r="91" spans="1:9" x14ac:dyDescent="0.15">
      <c r="A91" s="181"/>
      <c r="B91" s="140" t="s">
        <v>86</v>
      </c>
      <c r="C91" s="140"/>
      <c r="E91" s="130"/>
      <c r="F91" s="152"/>
      <c r="G91" s="141" t="s">
        <v>530</v>
      </c>
      <c r="H91" s="237" t="s">
        <v>277</v>
      </c>
      <c r="I91" s="153"/>
    </row>
    <row r="92" spans="1:9" x14ac:dyDescent="0.15">
      <c r="A92" s="181"/>
      <c r="B92" s="140" t="s">
        <v>86</v>
      </c>
      <c r="C92" s="140"/>
      <c r="E92" s="130"/>
      <c r="F92" s="152"/>
      <c r="G92" s="141" t="s">
        <v>531</v>
      </c>
      <c r="H92" s="237" t="s">
        <v>411</v>
      </c>
      <c r="I92" s="153"/>
    </row>
    <row r="93" spans="1:9" x14ac:dyDescent="0.15">
      <c r="A93" s="181"/>
      <c r="B93" s="140" t="s">
        <v>86</v>
      </c>
      <c r="C93" s="140"/>
      <c r="E93" s="130"/>
      <c r="F93" s="152"/>
      <c r="G93" s="141" t="s">
        <v>532</v>
      </c>
      <c r="H93" s="237" t="s">
        <v>254</v>
      </c>
      <c r="I93" s="153"/>
    </row>
    <row r="94" spans="1:9" x14ac:dyDescent="0.15">
      <c r="A94" s="181"/>
      <c r="B94" s="140" t="s">
        <v>86</v>
      </c>
      <c r="C94" s="140"/>
      <c r="E94" s="130"/>
      <c r="F94" s="152"/>
      <c r="G94" s="141" t="s">
        <v>533</v>
      </c>
      <c r="H94" s="237" t="s">
        <v>402</v>
      </c>
      <c r="I94" s="153"/>
    </row>
    <row r="95" spans="1:9" x14ac:dyDescent="0.15">
      <c r="A95" s="181"/>
      <c r="B95" s="140" t="s">
        <v>86</v>
      </c>
      <c r="C95" s="140"/>
      <c r="E95" s="130"/>
      <c r="F95" s="152"/>
      <c r="G95" s="141" t="s">
        <v>534</v>
      </c>
      <c r="H95" s="237" t="s">
        <v>1073</v>
      </c>
      <c r="I95" s="153"/>
    </row>
    <row r="96" spans="1:9" x14ac:dyDescent="0.15">
      <c r="A96" s="181"/>
      <c r="B96" s="140" t="s">
        <v>86</v>
      </c>
      <c r="C96" s="140"/>
      <c r="E96" s="130"/>
      <c r="F96" s="152"/>
      <c r="G96" s="141" t="s">
        <v>535</v>
      </c>
      <c r="H96" s="237" t="s">
        <v>1095</v>
      </c>
      <c r="I96" s="153"/>
    </row>
    <row r="97" spans="1:9" x14ac:dyDescent="0.15">
      <c r="A97" s="181"/>
      <c r="B97" s="140" t="s">
        <v>86</v>
      </c>
      <c r="C97" s="140"/>
      <c r="E97" s="130"/>
      <c r="F97" s="152"/>
      <c r="G97" s="141" t="s">
        <v>536</v>
      </c>
      <c r="H97" s="237" t="s">
        <v>280</v>
      </c>
      <c r="I97" s="153"/>
    </row>
    <row r="98" spans="1:9" x14ac:dyDescent="0.15">
      <c r="A98" s="181"/>
      <c r="B98" s="140" t="s">
        <v>86</v>
      </c>
      <c r="C98" s="140"/>
      <c r="E98" s="130"/>
      <c r="F98" s="152"/>
      <c r="G98" s="141" t="s">
        <v>537</v>
      </c>
      <c r="H98" s="237" t="s">
        <v>268</v>
      </c>
      <c r="I98" s="153"/>
    </row>
    <row r="99" spans="1:9" x14ac:dyDescent="0.15">
      <c r="A99" s="181"/>
      <c r="B99" s="140" t="s">
        <v>86</v>
      </c>
      <c r="C99" s="140"/>
      <c r="E99" s="130"/>
      <c r="F99" s="152"/>
      <c r="G99" s="141" t="s">
        <v>538</v>
      </c>
      <c r="H99" s="237" t="s">
        <v>412</v>
      </c>
      <c r="I99" s="153"/>
    </row>
    <row r="100" spans="1:9" x14ac:dyDescent="0.15">
      <c r="A100" s="181"/>
      <c r="B100" s="140" t="s">
        <v>86</v>
      </c>
      <c r="C100" s="140"/>
      <c r="E100" s="130"/>
      <c r="F100" s="152"/>
      <c r="G100" s="141" t="s">
        <v>539</v>
      </c>
      <c r="H100" s="237" t="s">
        <v>262</v>
      </c>
      <c r="I100" s="153"/>
    </row>
    <row r="101" spans="1:9" x14ac:dyDescent="0.15">
      <c r="A101" s="181"/>
      <c r="B101" s="140" t="s">
        <v>86</v>
      </c>
      <c r="C101" s="140"/>
      <c r="E101" s="130"/>
      <c r="F101" s="152"/>
      <c r="G101" s="141" t="s">
        <v>540</v>
      </c>
      <c r="H101" s="237" t="s">
        <v>277</v>
      </c>
      <c r="I101" s="153"/>
    </row>
    <row r="102" spans="1:9" x14ac:dyDescent="0.15">
      <c r="A102" s="181"/>
      <c r="B102" s="140" t="s">
        <v>86</v>
      </c>
      <c r="C102" s="140"/>
      <c r="E102" s="130"/>
      <c r="F102" s="152"/>
      <c r="G102" s="141" t="s">
        <v>541</v>
      </c>
      <c r="H102" s="237" t="s">
        <v>292</v>
      </c>
      <c r="I102" s="153"/>
    </row>
    <row r="103" spans="1:9" x14ac:dyDescent="0.15">
      <c r="A103" s="181"/>
      <c r="B103" s="140" t="s">
        <v>86</v>
      </c>
      <c r="C103" s="140"/>
      <c r="E103" s="130"/>
      <c r="F103" s="152"/>
      <c r="G103" s="141" t="s">
        <v>542</v>
      </c>
      <c r="H103" s="237" t="s">
        <v>254</v>
      </c>
      <c r="I103" s="153"/>
    </row>
    <row r="104" spans="1:9" x14ac:dyDescent="0.15">
      <c r="A104" s="181"/>
      <c r="B104" s="140" t="s">
        <v>86</v>
      </c>
      <c r="C104" s="140"/>
      <c r="E104" s="130"/>
      <c r="F104" s="152"/>
      <c r="G104" s="141" t="s">
        <v>543</v>
      </c>
      <c r="H104" s="237" t="s">
        <v>413</v>
      </c>
      <c r="I104" s="153"/>
    </row>
    <row r="105" spans="1:9" x14ac:dyDescent="0.15">
      <c r="A105" s="181"/>
      <c r="B105" s="140" t="s">
        <v>86</v>
      </c>
      <c r="C105" s="140"/>
      <c r="E105" s="130"/>
      <c r="F105" s="152"/>
      <c r="G105" s="141" t="s">
        <v>544</v>
      </c>
      <c r="H105" s="237" t="s">
        <v>295</v>
      </c>
      <c r="I105" s="153"/>
    </row>
    <row r="106" spans="1:9" x14ac:dyDescent="0.15">
      <c r="A106" s="181"/>
      <c r="B106" s="140" t="s">
        <v>86</v>
      </c>
      <c r="C106" s="140"/>
      <c r="E106" s="130"/>
      <c r="F106" s="152"/>
      <c r="G106" s="141" t="s">
        <v>545</v>
      </c>
      <c r="H106" s="148" t="s">
        <v>85</v>
      </c>
      <c r="I106" s="153"/>
    </row>
    <row r="107" spans="1:9" x14ac:dyDescent="0.15">
      <c r="A107" s="181"/>
      <c r="B107" s="140" t="s">
        <v>86</v>
      </c>
      <c r="C107" s="140"/>
      <c r="E107" s="130"/>
      <c r="F107" s="152"/>
      <c r="G107" s="141" t="s">
        <v>546</v>
      </c>
      <c r="H107" s="237" t="s">
        <v>254</v>
      </c>
      <c r="I107" s="153"/>
    </row>
    <row r="108" spans="1:9" x14ac:dyDescent="0.15">
      <c r="A108" s="181"/>
      <c r="B108" s="140" t="s">
        <v>86</v>
      </c>
      <c r="C108" s="140"/>
      <c r="E108" s="130"/>
      <c r="F108" s="152"/>
      <c r="G108" s="141" t="s">
        <v>547</v>
      </c>
      <c r="H108" s="148" t="s">
        <v>85</v>
      </c>
      <c r="I108" s="153"/>
    </row>
    <row r="109" spans="1:9" x14ac:dyDescent="0.15">
      <c r="A109" s="181"/>
      <c r="B109" s="140" t="s">
        <v>86</v>
      </c>
      <c r="C109" s="140"/>
      <c r="E109" s="130"/>
      <c r="F109" s="152"/>
      <c r="G109" s="141" t="s">
        <v>548</v>
      </c>
      <c r="H109" s="237" t="s">
        <v>414</v>
      </c>
      <c r="I109" s="153"/>
    </row>
    <row r="110" spans="1:9" x14ac:dyDescent="0.15">
      <c r="A110" s="181"/>
      <c r="B110" s="140" t="s">
        <v>86</v>
      </c>
      <c r="C110" s="140"/>
      <c r="E110" s="130"/>
      <c r="F110" s="152"/>
      <c r="G110" s="141" t="s">
        <v>549</v>
      </c>
      <c r="H110" s="237" t="s">
        <v>1097</v>
      </c>
      <c r="I110" s="153"/>
    </row>
    <row r="111" spans="1:9" x14ac:dyDescent="0.15">
      <c r="A111" s="181"/>
      <c r="B111" s="140" t="s">
        <v>86</v>
      </c>
      <c r="C111" s="140"/>
      <c r="E111" s="130"/>
      <c r="F111" s="152"/>
      <c r="G111" s="141" t="s">
        <v>550</v>
      </c>
      <c r="H111" s="237" t="s">
        <v>415</v>
      </c>
      <c r="I111" s="153"/>
    </row>
    <row r="112" spans="1:9" x14ac:dyDescent="0.15">
      <c r="A112" s="181"/>
      <c r="B112" s="140" t="s">
        <v>86</v>
      </c>
      <c r="C112" s="140"/>
      <c r="E112" s="130"/>
      <c r="F112" s="152"/>
      <c r="G112" s="141" t="s">
        <v>551</v>
      </c>
      <c r="H112" s="237" t="s">
        <v>1098</v>
      </c>
      <c r="I112" s="153"/>
    </row>
    <row r="113" spans="1:9" x14ac:dyDescent="0.15">
      <c r="A113" s="181"/>
      <c r="B113" s="140" t="s">
        <v>86</v>
      </c>
      <c r="C113" s="140"/>
      <c r="E113" s="130"/>
      <c r="F113" s="152"/>
      <c r="G113" s="141" t="s">
        <v>552</v>
      </c>
      <c r="H113" s="237" t="s">
        <v>254</v>
      </c>
      <c r="I113" s="153"/>
    </row>
    <row r="114" spans="1:9" x14ac:dyDescent="0.15">
      <c r="A114" s="181"/>
      <c r="B114" s="140" t="s">
        <v>86</v>
      </c>
      <c r="C114" s="140"/>
      <c r="E114" s="130"/>
      <c r="F114" s="152"/>
      <c r="G114" s="141" t="s">
        <v>553</v>
      </c>
      <c r="H114" s="237" t="s">
        <v>1098</v>
      </c>
      <c r="I114" s="153"/>
    </row>
    <row r="115" spans="1:9" x14ac:dyDescent="0.15">
      <c r="A115" s="181"/>
      <c r="B115" s="140" t="s">
        <v>86</v>
      </c>
      <c r="C115" s="140"/>
      <c r="E115" s="130"/>
      <c r="F115" s="152"/>
      <c r="G115" s="141" t="s">
        <v>554</v>
      </c>
      <c r="H115" s="237" t="s">
        <v>1094</v>
      </c>
      <c r="I115" s="153"/>
    </row>
    <row r="116" spans="1:9" x14ac:dyDescent="0.15">
      <c r="A116" s="181"/>
      <c r="B116" s="140" t="s">
        <v>86</v>
      </c>
      <c r="C116" s="140"/>
      <c r="E116" s="130"/>
      <c r="F116" s="152"/>
      <c r="G116" s="141" t="s">
        <v>555</v>
      </c>
      <c r="H116" s="237" t="s">
        <v>1098</v>
      </c>
      <c r="I116" s="153"/>
    </row>
    <row r="117" spans="1:9" x14ac:dyDescent="0.15">
      <c r="A117" s="181"/>
      <c r="B117" s="140" t="s">
        <v>86</v>
      </c>
      <c r="C117" s="140"/>
      <c r="E117" s="130"/>
      <c r="F117" s="152"/>
      <c r="G117" s="141" t="s">
        <v>556</v>
      </c>
      <c r="H117" s="237" t="s">
        <v>288</v>
      </c>
      <c r="I117" s="153"/>
    </row>
    <row r="118" spans="1:9" x14ac:dyDescent="0.15">
      <c r="A118" s="181"/>
      <c r="B118" s="140" t="s">
        <v>86</v>
      </c>
      <c r="C118" s="140"/>
      <c r="E118" s="130"/>
      <c r="F118" s="152"/>
      <c r="G118" s="141" t="s">
        <v>557</v>
      </c>
      <c r="H118" s="237" t="s">
        <v>1099</v>
      </c>
      <c r="I118" s="153"/>
    </row>
    <row r="119" spans="1:9" x14ac:dyDescent="0.15">
      <c r="A119" s="181"/>
      <c r="B119" s="140" t="s">
        <v>86</v>
      </c>
      <c r="C119" s="140"/>
      <c r="E119" s="130"/>
      <c r="F119" s="152"/>
      <c r="G119" s="141" t="s">
        <v>558</v>
      </c>
      <c r="H119" s="237" t="s">
        <v>286</v>
      </c>
      <c r="I119" s="153"/>
    </row>
    <row r="120" spans="1:9" x14ac:dyDescent="0.15">
      <c r="A120" s="181"/>
      <c r="B120" s="140" t="s">
        <v>86</v>
      </c>
      <c r="C120" s="140"/>
      <c r="E120" s="130"/>
      <c r="F120" s="152"/>
      <c r="G120" s="141" t="s">
        <v>559</v>
      </c>
      <c r="H120" s="237" t="s">
        <v>1092</v>
      </c>
      <c r="I120" s="153"/>
    </row>
    <row r="121" spans="1:9" x14ac:dyDescent="0.15">
      <c r="A121" s="181"/>
      <c r="B121" s="140" t="s">
        <v>86</v>
      </c>
      <c r="C121" s="140"/>
      <c r="E121" s="130"/>
      <c r="F121" s="152"/>
      <c r="G121" s="141" t="s">
        <v>560</v>
      </c>
      <c r="H121" s="237" t="s">
        <v>261</v>
      </c>
      <c r="I121" s="153"/>
    </row>
    <row r="122" spans="1:9" x14ac:dyDescent="0.15">
      <c r="A122" s="181"/>
      <c r="B122" s="140" t="s">
        <v>86</v>
      </c>
      <c r="C122" s="140"/>
      <c r="E122" s="130"/>
      <c r="F122" s="152"/>
      <c r="G122" s="141" t="s">
        <v>561</v>
      </c>
      <c r="H122" s="237" t="s">
        <v>1093</v>
      </c>
      <c r="I122" s="153"/>
    </row>
    <row r="123" spans="1:9" x14ac:dyDescent="0.15">
      <c r="A123" s="181"/>
      <c r="B123" s="140" t="s">
        <v>86</v>
      </c>
      <c r="C123" s="140"/>
      <c r="E123" s="130"/>
      <c r="F123" s="152"/>
      <c r="G123" s="141" t="s">
        <v>562</v>
      </c>
      <c r="H123" s="237" t="s">
        <v>288</v>
      </c>
      <c r="I123" s="153"/>
    </row>
    <row r="124" spans="1:9" x14ac:dyDescent="0.15">
      <c r="A124" s="181"/>
      <c r="B124" s="140" t="s">
        <v>86</v>
      </c>
      <c r="C124" s="140"/>
      <c r="E124" s="130"/>
      <c r="F124" s="152"/>
      <c r="G124" s="141" t="s">
        <v>563</v>
      </c>
      <c r="H124" s="237" t="s">
        <v>1093</v>
      </c>
      <c r="I124" s="153"/>
    </row>
    <row r="125" spans="1:9" x14ac:dyDescent="0.15">
      <c r="A125" s="181"/>
      <c r="B125" s="140" t="s">
        <v>86</v>
      </c>
      <c r="C125" s="140"/>
      <c r="E125" s="130"/>
      <c r="F125" s="152"/>
      <c r="G125" s="141" t="s">
        <v>564</v>
      </c>
      <c r="H125" s="237" t="s">
        <v>1094</v>
      </c>
      <c r="I125" s="153"/>
    </row>
    <row r="126" spans="1:9" x14ac:dyDescent="0.15">
      <c r="A126" s="181"/>
      <c r="B126" s="140" t="s">
        <v>86</v>
      </c>
      <c r="C126" s="140"/>
      <c r="E126" s="130"/>
      <c r="F126" s="152"/>
      <c r="G126" s="141" t="s">
        <v>565</v>
      </c>
      <c r="H126" s="237" t="s">
        <v>1093</v>
      </c>
      <c r="I126" s="153"/>
    </row>
    <row r="127" spans="1:9" x14ac:dyDescent="0.15">
      <c r="A127" s="181"/>
      <c r="B127" s="140" t="s">
        <v>86</v>
      </c>
      <c r="C127" s="140"/>
      <c r="E127" s="130"/>
      <c r="F127" s="152"/>
      <c r="G127" s="141" t="s">
        <v>566</v>
      </c>
      <c r="H127" s="237" t="s">
        <v>254</v>
      </c>
      <c r="I127" s="153"/>
    </row>
    <row r="128" spans="1:9" x14ac:dyDescent="0.15">
      <c r="A128" s="181"/>
      <c r="B128" s="140" t="s">
        <v>86</v>
      </c>
      <c r="C128" s="140"/>
      <c r="E128" s="130"/>
      <c r="F128" s="152"/>
      <c r="G128" s="141" t="s">
        <v>567</v>
      </c>
      <c r="H128" s="237" t="s">
        <v>1100</v>
      </c>
      <c r="I128" s="153"/>
    </row>
    <row r="129" spans="1:9" x14ac:dyDescent="0.15">
      <c r="A129" s="181"/>
      <c r="B129" s="140" t="s">
        <v>86</v>
      </c>
      <c r="C129" s="140"/>
      <c r="E129" s="130"/>
      <c r="F129" s="152"/>
      <c r="G129" s="141" t="s">
        <v>568</v>
      </c>
      <c r="H129" s="237" t="s">
        <v>280</v>
      </c>
      <c r="I129" s="153"/>
    </row>
    <row r="130" spans="1:9" x14ac:dyDescent="0.15">
      <c r="A130" s="181"/>
      <c r="B130" s="140" t="s">
        <v>86</v>
      </c>
      <c r="C130" s="140"/>
      <c r="E130" s="130"/>
      <c r="F130" s="152"/>
      <c r="G130" s="141" t="s">
        <v>569</v>
      </c>
      <c r="H130" s="237" t="s">
        <v>268</v>
      </c>
      <c r="I130" s="153"/>
    </row>
    <row r="131" spans="1:9" x14ac:dyDescent="0.15">
      <c r="A131" s="181"/>
      <c r="B131" s="140" t="s">
        <v>86</v>
      </c>
      <c r="C131" s="140"/>
      <c r="E131" s="130"/>
      <c r="F131" s="152"/>
      <c r="G131" s="141" t="s">
        <v>570</v>
      </c>
      <c r="H131" s="237" t="s">
        <v>410</v>
      </c>
      <c r="I131" s="153"/>
    </row>
    <row r="132" spans="1:9" x14ac:dyDescent="0.15">
      <c r="A132" s="181"/>
      <c r="B132" s="140" t="s">
        <v>86</v>
      </c>
      <c r="C132" s="140"/>
      <c r="E132" s="130"/>
      <c r="F132" s="152"/>
      <c r="G132" s="141" t="s">
        <v>571</v>
      </c>
      <c r="H132" s="237" t="s">
        <v>262</v>
      </c>
      <c r="I132" s="153"/>
    </row>
    <row r="133" spans="1:9" x14ac:dyDescent="0.15">
      <c r="A133" s="181"/>
      <c r="B133" s="140" t="s">
        <v>86</v>
      </c>
      <c r="C133" s="140"/>
      <c r="E133" s="130"/>
      <c r="F133" s="152"/>
      <c r="G133" s="141" t="s">
        <v>572</v>
      </c>
      <c r="H133" s="148" t="s">
        <v>85</v>
      </c>
      <c r="I133" s="153"/>
    </row>
    <row r="134" spans="1:9" x14ac:dyDescent="0.15">
      <c r="A134" s="181"/>
      <c r="B134" s="140" t="s">
        <v>86</v>
      </c>
      <c r="C134" s="140"/>
      <c r="E134" s="130"/>
      <c r="F134" s="152"/>
      <c r="G134" s="141" t="s">
        <v>573</v>
      </c>
      <c r="H134" s="237" t="s">
        <v>1101</v>
      </c>
      <c r="I134" s="153"/>
    </row>
    <row r="135" spans="1:9" x14ac:dyDescent="0.15">
      <c r="A135" s="181"/>
      <c r="B135" s="140" t="s">
        <v>86</v>
      </c>
      <c r="C135" s="140"/>
      <c r="E135" s="130"/>
      <c r="F135" s="152"/>
      <c r="G135" s="141" t="s">
        <v>574</v>
      </c>
      <c r="H135" s="237" t="s">
        <v>416</v>
      </c>
      <c r="I135" s="153"/>
    </row>
    <row r="136" spans="1:9" x14ac:dyDescent="0.15">
      <c r="A136" s="181"/>
      <c r="B136" s="140" t="s">
        <v>86</v>
      </c>
      <c r="C136" s="140"/>
      <c r="E136" s="130"/>
      <c r="F136" s="152"/>
      <c r="G136" s="141" t="s">
        <v>575</v>
      </c>
      <c r="H136" s="237" t="s">
        <v>1100</v>
      </c>
      <c r="I136" s="153"/>
    </row>
    <row r="137" spans="1:9" x14ac:dyDescent="0.15">
      <c r="A137" s="181"/>
      <c r="B137" s="140" t="s">
        <v>86</v>
      </c>
      <c r="C137" s="140"/>
      <c r="E137" s="130"/>
      <c r="F137" s="152"/>
      <c r="G137" s="141" t="s">
        <v>576</v>
      </c>
      <c r="H137" s="237" t="s">
        <v>280</v>
      </c>
      <c r="I137" s="153"/>
    </row>
    <row r="138" spans="1:9" x14ac:dyDescent="0.15">
      <c r="A138" s="181"/>
      <c r="B138" s="140" t="s">
        <v>86</v>
      </c>
      <c r="C138" s="140"/>
      <c r="E138" s="130"/>
      <c r="F138" s="152"/>
      <c r="G138" s="141" t="s">
        <v>577</v>
      </c>
      <c r="H138" s="237" t="s">
        <v>268</v>
      </c>
      <c r="I138" s="153"/>
    </row>
    <row r="139" spans="1:9" x14ac:dyDescent="0.15">
      <c r="A139" s="181"/>
      <c r="B139" s="140" t="s">
        <v>86</v>
      </c>
      <c r="C139" s="140"/>
      <c r="E139" s="130"/>
      <c r="F139" s="152"/>
      <c r="G139" s="141" t="s">
        <v>578</v>
      </c>
      <c r="H139" s="237" t="s">
        <v>412</v>
      </c>
      <c r="I139" s="153"/>
    </row>
    <row r="140" spans="1:9" x14ac:dyDescent="0.15">
      <c r="A140" s="181"/>
      <c r="B140" s="140" t="s">
        <v>86</v>
      </c>
      <c r="C140" s="140"/>
      <c r="E140" s="130"/>
      <c r="F140" s="152"/>
      <c r="G140" s="141" t="s">
        <v>579</v>
      </c>
      <c r="H140" s="237" t="s">
        <v>262</v>
      </c>
      <c r="I140" s="153"/>
    </row>
    <row r="141" spans="1:9" x14ac:dyDescent="0.15">
      <c r="A141" s="181"/>
      <c r="B141" s="140" t="s">
        <v>86</v>
      </c>
      <c r="C141" s="140"/>
      <c r="E141" s="130"/>
      <c r="F141" s="152"/>
      <c r="G141" s="141" t="s">
        <v>580</v>
      </c>
      <c r="H141" s="237" t="s">
        <v>417</v>
      </c>
      <c r="I141" s="153"/>
    </row>
    <row r="142" spans="1:9" x14ac:dyDescent="0.15">
      <c r="A142" s="181"/>
      <c r="B142" s="140" t="s">
        <v>86</v>
      </c>
      <c r="C142" s="140"/>
      <c r="E142" s="130"/>
      <c r="F142" s="152"/>
      <c r="G142" s="141" t="s">
        <v>581</v>
      </c>
      <c r="H142" s="237" t="s">
        <v>1095</v>
      </c>
      <c r="I142" s="153"/>
    </row>
    <row r="143" spans="1:9" x14ac:dyDescent="0.15">
      <c r="A143" s="181"/>
      <c r="B143" s="140" t="s">
        <v>86</v>
      </c>
      <c r="C143" s="140"/>
      <c r="E143" s="130"/>
      <c r="F143" s="152"/>
      <c r="G143" s="141" t="s">
        <v>582</v>
      </c>
      <c r="H143" s="237" t="s">
        <v>407</v>
      </c>
      <c r="I143" s="153"/>
    </row>
    <row r="144" spans="1:9" x14ac:dyDescent="0.15">
      <c r="A144" s="181"/>
      <c r="B144" s="140" t="s">
        <v>86</v>
      </c>
      <c r="C144" s="140"/>
      <c r="E144" s="130"/>
      <c r="F144" s="152"/>
      <c r="G144" s="141" t="s">
        <v>583</v>
      </c>
      <c r="H144" s="237" t="s">
        <v>288</v>
      </c>
      <c r="I144" s="153"/>
    </row>
    <row r="145" spans="1:9" x14ac:dyDescent="0.15">
      <c r="A145" s="181"/>
      <c r="B145" s="140" t="s">
        <v>86</v>
      </c>
      <c r="C145" s="140"/>
      <c r="E145" s="130"/>
      <c r="F145" s="152"/>
      <c r="G145" s="141" t="s">
        <v>584</v>
      </c>
      <c r="H145" s="237" t="s">
        <v>1102</v>
      </c>
      <c r="I145" s="153"/>
    </row>
    <row r="146" spans="1:9" x14ac:dyDescent="0.15">
      <c r="A146" s="181"/>
      <c r="B146" s="140" t="s">
        <v>86</v>
      </c>
      <c r="C146" s="140"/>
      <c r="E146" s="130"/>
      <c r="F146" s="152"/>
      <c r="G146" s="141" t="s">
        <v>585</v>
      </c>
      <c r="H146" s="237" t="s">
        <v>1103</v>
      </c>
      <c r="I146" s="153"/>
    </row>
    <row r="147" spans="1:9" x14ac:dyDescent="0.15">
      <c r="A147" s="181"/>
      <c r="B147" s="140" t="s">
        <v>86</v>
      </c>
      <c r="C147" s="140"/>
      <c r="E147" s="130"/>
      <c r="F147" s="152"/>
      <c r="G147" s="141" t="s">
        <v>586</v>
      </c>
      <c r="H147" s="237" t="s">
        <v>414</v>
      </c>
      <c r="I147" s="153"/>
    </row>
    <row r="148" spans="1:9" x14ac:dyDescent="0.15">
      <c r="A148" s="181"/>
      <c r="B148" s="140" t="s">
        <v>86</v>
      </c>
      <c r="C148" s="140"/>
      <c r="E148" s="130"/>
      <c r="F148" s="152"/>
      <c r="G148" s="141" t="s">
        <v>587</v>
      </c>
      <c r="H148" s="148" t="s">
        <v>85</v>
      </c>
      <c r="I148" s="153"/>
    </row>
    <row r="149" spans="1:9" x14ac:dyDescent="0.15">
      <c r="A149" s="181"/>
      <c r="B149" s="140" t="s">
        <v>86</v>
      </c>
      <c r="C149" s="140"/>
      <c r="E149" s="130"/>
      <c r="F149" s="152"/>
      <c r="G149" s="141" t="s">
        <v>588</v>
      </c>
      <c r="H149" s="237" t="s">
        <v>284</v>
      </c>
      <c r="I149" s="153"/>
    </row>
    <row r="150" spans="1:9" x14ac:dyDescent="0.15">
      <c r="A150" s="181"/>
      <c r="B150" s="140" t="s">
        <v>86</v>
      </c>
      <c r="C150" s="140"/>
      <c r="E150" s="130"/>
      <c r="F150" s="152"/>
      <c r="G150" s="141" t="s">
        <v>589</v>
      </c>
      <c r="H150" s="237" t="s">
        <v>282</v>
      </c>
      <c r="I150" s="153"/>
    </row>
    <row r="151" spans="1:9" x14ac:dyDescent="0.15">
      <c r="A151" s="181"/>
      <c r="B151" s="140" t="s">
        <v>86</v>
      </c>
      <c r="C151" s="140"/>
      <c r="E151" s="130"/>
      <c r="F151" s="152"/>
      <c r="G151" s="141" t="s">
        <v>590</v>
      </c>
      <c r="H151" s="237" t="s">
        <v>418</v>
      </c>
      <c r="I151" s="153"/>
    </row>
    <row r="152" spans="1:9" x14ac:dyDescent="0.15">
      <c r="A152" s="181"/>
      <c r="B152" s="140" t="s">
        <v>86</v>
      </c>
      <c r="C152" s="140"/>
      <c r="E152" s="130"/>
      <c r="F152" s="152"/>
      <c r="G152" s="141" t="s">
        <v>591</v>
      </c>
      <c r="H152" s="237" t="s">
        <v>1104</v>
      </c>
      <c r="I152" s="153"/>
    </row>
    <row r="153" spans="1:9" x14ac:dyDescent="0.15">
      <c r="A153" s="181"/>
      <c r="B153" s="140" t="s">
        <v>86</v>
      </c>
      <c r="C153" s="140"/>
      <c r="E153" s="130"/>
      <c r="F153" s="152"/>
      <c r="G153" s="141" t="s">
        <v>592</v>
      </c>
      <c r="H153" s="237" t="s">
        <v>263</v>
      </c>
      <c r="I153" s="153"/>
    </row>
    <row r="154" spans="1:9" x14ac:dyDescent="0.15">
      <c r="A154" s="181"/>
      <c r="B154" s="140" t="s">
        <v>86</v>
      </c>
      <c r="C154" s="140"/>
      <c r="E154" s="130"/>
      <c r="F154" s="152"/>
      <c r="G154" s="141" t="s">
        <v>593</v>
      </c>
      <c r="H154" s="237" t="s">
        <v>277</v>
      </c>
      <c r="I154" s="153"/>
    </row>
    <row r="155" spans="1:9" x14ac:dyDescent="0.15">
      <c r="A155" s="181"/>
      <c r="B155" s="140" t="s">
        <v>86</v>
      </c>
      <c r="C155" s="140"/>
      <c r="E155" s="130"/>
      <c r="F155" s="152"/>
      <c r="G155" s="141" t="s">
        <v>594</v>
      </c>
      <c r="H155" s="148" t="s">
        <v>85</v>
      </c>
      <c r="I155" s="153"/>
    </row>
    <row r="156" spans="1:9" x14ac:dyDescent="0.15">
      <c r="A156" s="181"/>
      <c r="B156" s="140" t="s">
        <v>86</v>
      </c>
      <c r="C156" s="140"/>
      <c r="E156" s="130"/>
      <c r="F156" s="152"/>
      <c r="G156" s="141" t="s">
        <v>595</v>
      </c>
      <c r="H156" s="237" t="s">
        <v>282</v>
      </c>
      <c r="I156" s="153"/>
    </row>
    <row r="157" spans="1:9" x14ac:dyDescent="0.15">
      <c r="A157" s="181"/>
      <c r="B157" s="140" t="s">
        <v>86</v>
      </c>
      <c r="C157" s="140"/>
      <c r="E157" s="130"/>
      <c r="F157" s="152"/>
      <c r="G157" s="141" t="s">
        <v>596</v>
      </c>
      <c r="H157" s="237" t="s">
        <v>267</v>
      </c>
      <c r="I157" s="153"/>
    </row>
    <row r="158" spans="1:9" x14ac:dyDescent="0.15">
      <c r="A158" s="181"/>
      <c r="B158" s="140" t="s">
        <v>86</v>
      </c>
      <c r="C158" s="140"/>
      <c r="E158" s="130"/>
      <c r="F158" s="152"/>
      <c r="G158" s="141" t="s">
        <v>597</v>
      </c>
      <c r="H158" s="237" t="s">
        <v>263</v>
      </c>
      <c r="I158" s="153"/>
    </row>
    <row r="159" spans="1:9" x14ac:dyDescent="0.15">
      <c r="A159" s="181"/>
      <c r="B159" s="140" t="s">
        <v>86</v>
      </c>
      <c r="C159" s="140"/>
      <c r="E159" s="130"/>
      <c r="F159" s="152"/>
      <c r="G159" s="141" t="s">
        <v>598</v>
      </c>
      <c r="H159" s="237" t="s">
        <v>280</v>
      </c>
      <c r="I159" s="153"/>
    </row>
    <row r="160" spans="1:9" x14ac:dyDescent="0.15">
      <c r="A160" s="181"/>
      <c r="B160" s="140" t="s">
        <v>86</v>
      </c>
      <c r="C160" s="140"/>
      <c r="E160" s="130"/>
      <c r="F160" s="152"/>
      <c r="G160" s="141" t="s">
        <v>599</v>
      </c>
      <c r="H160" s="237" t="s">
        <v>402</v>
      </c>
      <c r="I160" s="153"/>
    </row>
    <row r="161" spans="1:9" x14ac:dyDescent="0.15">
      <c r="A161" s="181"/>
      <c r="B161" s="140" t="s">
        <v>86</v>
      </c>
      <c r="C161" s="140"/>
      <c r="E161" s="130"/>
      <c r="F161" s="152"/>
      <c r="G161" s="141" t="s">
        <v>600</v>
      </c>
      <c r="H161" s="237" t="s">
        <v>295</v>
      </c>
      <c r="I161" s="153"/>
    </row>
    <row r="162" spans="1:9" x14ac:dyDescent="0.15">
      <c r="A162" s="181"/>
      <c r="B162" s="140" t="s">
        <v>86</v>
      </c>
      <c r="C162" s="140"/>
      <c r="E162" s="130"/>
      <c r="F162" s="152"/>
      <c r="G162" s="141" t="s">
        <v>601</v>
      </c>
      <c r="H162" s="237" t="s">
        <v>413</v>
      </c>
      <c r="I162" s="153"/>
    </row>
    <row r="163" spans="1:9" x14ac:dyDescent="0.15">
      <c r="A163" s="181"/>
      <c r="B163" s="140" t="s">
        <v>86</v>
      </c>
      <c r="C163" s="140"/>
      <c r="E163" s="130"/>
      <c r="F163" s="152"/>
      <c r="G163" s="141" t="s">
        <v>602</v>
      </c>
      <c r="H163" s="237" t="s">
        <v>1105</v>
      </c>
      <c r="I163" s="153"/>
    </row>
    <row r="164" spans="1:9" x14ac:dyDescent="0.15">
      <c r="A164" s="181"/>
      <c r="B164" s="140" t="s">
        <v>86</v>
      </c>
      <c r="C164" s="140"/>
      <c r="E164" s="130"/>
      <c r="F164" s="152"/>
      <c r="G164" s="141" t="s">
        <v>603</v>
      </c>
      <c r="H164" s="237" t="s">
        <v>1074</v>
      </c>
      <c r="I164" s="153"/>
    </row>
    <row r="165" spans="1:9" x14ac:dyDescent="0.15">
      <c r="A165" s="181"/>
      <c r="B165" s="140" t="s">
        <v>86</v>
      </c>
      <c r="C165" s="140"/>
      <c r="E165" s="130"/>
      <c r="F165" s="152"/>
      <c r="G165" s="141" t="s">
        <v>604</v>
      </c>
      <c r="H165" s="237" t="s">
        <v>414</v>
      </c>
      <c r="I165" s="153"/>
    </row>
    <row r="166" spans="1:9" x14ac:dyDescent="0.15">
      <c r="A166" s="181"/>
      <c r="B166" s="140" t="s">
        <v>86</v>
      </c>
      <c r="C166" s="140"/>
      <c r="E166" s="130"/>
      <c r="F166" s="152"/>
      <c r="G166" s="141" t="s">
        <v>605</v>
      </c>
      <c r="H166" s="237" t="s">
        <v>1106</v>
      </c>
      <c r="I166" s="153"/>
    </row>
    <row r="167" spans="1:9" x14ac:dyDescent="0.15">
      <c r="A167" s="181"/>
      <c r="B167" s="140" t="s">
        <v>86</v>
      </c>
      <c r="C167" s="140"/>
      <c r="E167" s="130"/>
      <c r="F167" s="152"/>
      <c r="G167" s="141" t="s">
        <v>606</v>
      </c>
      <c r="H167" s="237" t="s">
        <v>1071</v>
      </c>
      <c r="I167" s="153"/>
    </row>
    <row r="168" spans="1:9" x14ac:dyDescent="0.15">
      <c r="A168" s="181"/>
      <c r="B168" s="140" t="s">
        <v>86</v>
      </c>
      <c r="C168" s="140"/>
      <c r="E168" s="130"/>
      <c r="F168" s="152"/>
      <c r="G168" s="141" t="s">
        <v>607</v>
      </c>
      <c r="H168" s="237" t="s">
        <v>1074</v>
      </c>
      <c r="I168" s="153"/>
    </row>
    <row r="169" spans="1:9" x14ac:dyDescent="0.15">
      <c r="A169" s="181"/>
      <c r="B169" s="140" t="s">
        <v>86</v>
      </c>
      <c r="C169" s="140"/>
      <c r="E169" s="130"/>
      <c r="F169" s="152"/>
      <c r="G169" s="141" t="s">
        <v>608</v>
      </c>
      <c r="H169" s="237" t="s">
        <v>264</v>
      </c>
      <c r="I169" s="153"/>
    </row>
    <row r="170" spans="1:9" x14ac:dyDescent="0.15">
      <c r="A170" s="181"/>
      <c r="B170" s="140" t="s">
        <v>86</v>
      </c>
      <c r="C170" s="140"/>
      <c r="E170" s="130"/>
      <c r="F170" s="152"/>
      <c r="G170" s="141" t="s">
        <v>609</v>
      </c>
      <c r="H170" s="237" t="s">
        <v>1071</v>
      </c>
      <c r="I170" s="153"/>
    </row>
    <row r="171" spans="1:9" x14ac:dyDescent="0.15">
      <c r="A171" s="181"/>
      <c r="B171" s="140" t="s">
        <v>86</v>
      </c>
      <c r="C171" s="140"/>
      <c r="E171" s="130"/>
      <c r="F171" s="152"/>
      <c r="G171" s="141" t="s">
        <v>610</v>
      </c>
      <c r="H171" s="237" t="s">
        <v>1071</v>
      </c>
      <c r="I171" s="153"/>
    </row>
    <row r="172" spans="1:9" x14ac:dyDescent="0.15">
      <c r="A172" s="181"/>
      <c r="B172" s="140" t="s">
        <v>86</v>
      </c>
      <c r="C172" s="140"/>
      <c r="E172" s="130"/>
      <c r="F172" s="152"/>
      <c r="G172" s="141" t="s">
        <v>611</v>
      </c>
      <c r="H172" s="237" t="s">
        <v>415</v>
      </c>
      <c r="I172" s="153"/>
    </row>
    <row r="173" spans="1:9" x14ac:dyDescent="0.15">
      <c r="A173" s="181"/>
      <c r="B173" s="140" t="s">
        <v>86</v>
      </c>
      <c r="C173" s="140"/>
      <c r="E173" s="130"/>
      <c r="F173" s="152"/>
      <c r="G173" s="141" t="s">
        <v>612</v>
      </c>
      <c r="H173" s="148" t="s">
        <v>85</v>
      </c>
      <c r="I173" s="153"/>
    </row>
    <row r="174" spans="1:9" x14ac:dyDescent="0.15">
      <c r="A174" s="181"/>
      <c r="B174" s="140" t="s">
        <v>86</v>
      </c>
      <c r="C174" s="140"/>
      <c r="E174" s="130"/>
      <c r="F174" s="152"/>
      <c r="G174" s="141" t="s">
        <v>613</v>
      </c>
      <c r="H174" s="237" t="s">
        <v>413</v>
      </c>
      <c r="I174" s="153"/>
    </row>
    <row r="175" spans="1:9" x14ac:dyDescent="0.15">
      <c r="A175" s="181"/>
      <c r="B175" s="140" t="s">
        <v>86</v>
      </c>
      <c r="C175" s="140"/>
      <c r="E175" s="130"/>
      <c r="F175" s="152"/>
      <c r="G175" s="141" t="s">
        <v>614</v>
      </c>
      <c r="H175" s="237" t="s">
        <v>1105</v>
      </c>
      <c r="I175" s="153"/>
    </row>
    <row r="176" spans="1:9" x14ac:dyDescent="0.15">
      <c r="A176" s="181"/>
      <c r="B176" s="140" t="s">
        <v>86</v>
      </c>
      <c r="C176" s="140"/>
      <c r="E176" s="130"/>
      <c r="F176" s="152"/>
      <c r="G176" s="141" t="s">
        <v>615</v>
      </c>
      <c r="H176" s="237" t="s">
        <v>284</v>
      </c>
      <c r="I176" s="153"/>
    </row>
    <row r="177" spans="1:9" x14ac:dyDescent="0.15">
      <c r="A177" s="181"/>
      <c r="B177" s="140" t="s">
        <v>86</v>
      </c>
      <c r="C177" s="140"/>
      <c r="E177" s="130"/>
      <c r="F177" s="152"/>
      <c r="G177" s="141" t="s">
        <v>616</v>
      </c>
      <c r="H177" s="237" t="s">
        <v>280</v>
      </c>
      <c r="I177" s="153"/>
    </row>
    <row r="178" spans="1:9" x14ac:dyDescent="0.15">
      <c r="A178" s="181"/>
      <c r="B178" s="140" t="s">
        <v>86</v>
      </c>
      <c r="C178" s="140"/>
      <c r="E178" s="130"/>
      <c r="F178" s="152"/>
      <c r="G178" s="141" t="s">
        <v>617</v>
      </c>
      <c r="H178" s="237" t="s">
        <v>403</v>
      </c>
      <c r="I178" s="153"/>
    </row>
    <row r="179" spans="1:9" x14ac:dyDescent="0.15">
      <c r="A179" s="181"/>
      <c r="B179" s="140" t="s">
        <v>86</v>
      </c>
      <c r="C179" s="140"/>
      <c r="E179" s="130"/>
      <c r="F179" s="152"/>
      <c r="G179" s="141" t="s">
        <v>618</v>
      </c>
      <c r="H179" s="148" t="s">
        <v>85</v>
      </c>
      <c r="I179" s="153"/>
    </row>
    <row r="180" spans="1:9" x14ac:dyDescent="0.15">
      <c r="A180" s="181"/>
      <c r="B180" s="140" t="s">
        <v>86</v>
      </c>
      <c r="C180" s="140"/>
      <c r="E180" s="130"/>
      <c r="F180" s="152"/>
      <c r="G180" s="141" t="s">
        <v>619</v>
      </c>
      <c r="H180" s="237" t="s">
        <v>1086</v>
      </c>
      <c r="I180" s="153"/>
    </row>
    <row r="181" spans="1:9" x14ac:dyDescent="0.15">
      <c r="A181" s="181"/>
      <c r="B181" s="140" t="s">
        <v>86</v>
      </c>
      <c r="C181" s="140"/>
      <c r="E181" s="130"/>
      <c r="F181" s="152"/>
      <c r="G181" s="141" t="s">
        <v>620</v>
      </c>
      <c r="H181" s="237" t="s">
        <v>1080</v>
      </c>
      <c r="I181" s="153"/>
    </row>
    <row r="182" spans="1:9" x14ac:dyDescent="0.15">
      <c r="A182" s="181"/>
      <c r="B182" s="140" t="s">
        <v>86</v>
      </c>
      <c r="C182" s="140"/>
      <c r="E182" s="130"/>
      <c r="F182" s="152"/>
      <c r="G182" s="141" t="s">
        <v>621</v>
      </c>
      <c r="H182" s="237" t="s">
        <v>419</v>
      </c>
      <c r="I182" s="153"/>
    </row>
    <row r="183" spans="1:9" x14ac:dyDescent="0.15">
      <c r="A183" s="181"/>
      <c r="B183" s="140" t="s">
        <v>86</v>
      </c>
      <c r="C183" s="140"/>
      <c r="E183" s="130"/>
      <c r="F183" s="152"/>
      <c r="G183" s="141" t="s">
        <v>622</v>
      </c>
      <c r="H183" s="237" t="s">
        <v>254</v>
      </c>
      <c r="I183" s="153"/>
    </row>
    <row r="184" spans="1:9" x14ac:dyDescent="0.15">
      <c r="A184" s="181"/>
      <c r="B184" s="140" t="s">
        <v>86</v>
      </c>
      <c r="C184" s="140"/>
      <c r="E184" s="130"/>
      <c r="F184" s="152"/>
      <c r="G184" s="141" t="s">
        <v>623</v>
      </c>
      <c r="H184" s="148" t="s">
        <v>85</v>
      </c>
      <c r="I184" s="153"/>
    </row>
    <row r="185" spans="1:9" x14ac:dyDescent="0.15">
      <c r="A185" s="181"/>
      <c r="B185" s="140" t="s">
        <v>86</v>
      </c>
      <c r="C185" s="140"/>
      <c r="E185" s="130"/>
      <c r="F185" s="152"/>
      <c r="G185" s="141" t="s">
        <v>624</v>
      </c>
      <c r="H185" s="237" t="s">
        <v>287</v>
      </c>
      <c r="I185" s="153"/>
    </row>
    <row r="186" spans="1:9" x14ac:dyDescent="0.15">
      <c r="A186" s="181"/>
      <c r="B186" s="140" t="s">
        <v>86</v>
      </c>
      <c r="C186" s="140"/>
      <c r="E186" s="130"/>
      <c r="F186" s="152"/>
      <c r="G186" s="141" t="s">
        <v>625</v>
      </c>
      <c r="H186" s="237" t="s">
        <v>273</v>
      </c>
      <c r="I186" s="153"/>
    </row>
    <row r="187" spans="1:9" x14ac:dyDescent="0.15">
      <c r="A187" s="181"/>
      <c r="B187" s="140" t="s">
        <v>86</v>
      </c>
      <c r="C187" s="140"/>
      <c r="E187" s="130"/>
      <c r="F187" s="152"/>
      <c r="G187" s="141" t="s">
        <v>626</v>
      </c>
      <c r="H187" s="237" t="s">
        <v>1096</v>
      </c>
      <c r="I187" s="153"/>
    </row>
    <row r="188" spans="1:9" x14ac:dyDescent="0.15">
      <c r="A188" s="181"/>
      <c r="B188" s="140" t="s">
        <v>86</v>
      </c>
      <c r="C188" s="140"/>
      <c r="E188" s="130"/>
      <c r="F188" s="152"/>
      <c r="G188" s="141" t="s">
        <v>627</v>
      </c>
      <c r="H188" s="237" t="s">
        <v>1107</v>
      </c>
      <c r="I188" s="153"/>
    </row>
    <row r="189" spans="1:9" x14ac:dyDescent="0.15">
      <c r="A189" s="181"/>
      <c r="B189" s="140" t="s">
        <v>86</v>
      </c>
      <c r="C189" s="140"/>
      <c r="E189" s="130"/>
      <c r="F189" s="152"/>
      <c r="G189" s="141" t="s">
        <v>628</v>
      </c>
      <c r="H189" s="237" t="s">
        <v>1108</v>
      </c>
      <c r="I189" s="153"/>
    </row>
    <row r="190" spans="1:9" x14ac:dyDescent="0.15">
      <c r="A190" s="181"/>
      <c r="B190" s="140" t="s">
        <v>86</v>
      </c>
      <c r="C190" s="140"/>
      <c r="E190" s="130"/>
      <c r="F190" s="152"/>
      <c r="G190" s="141" t="s">
        <v>629</v>
      </c>
      <c r="H190" s="237" t="s">
        <v>257</v>
      </c>
      <c r="I190" s="153"/>
    </row>
    <row r="191" spans="1:9" x14ac:dyDescent="0.15">
      <c r="A191" s="181"/>
      <c r="B191" s="140" t="s">
        <v>86</v>
      </c>
      <c r="C191" s="140"/>
      <c r="E191" s="130"/>
      <c r="F191" s="152"/>
      <c r="G191" s="141" t="s">
        <v>630</v>
      </c>
      <c r="H191" s="237" t="s">
        <v>417</v>
      </c>
      <c r="I191" s="153"/>
    </row>
    <row r="192" spans="1:9" x14ac:dyDescent="0.15">
      <c r="A192" s="181"/>
      <c r="B192" s="140" t="s">
        <v>86</v>
      </c>
      <c r="C192" s="140"/>
      <c r="E192" s="130"/>
      <c r="F192" s="152"/>
      <c r="G192" s="141" t="s">
        <v>631</v>
      </c>
      <c r="H192" s="237" t="s">
        <v>1109</v>
      </c>
      <c r="I192" s="153"/>
    </row>
    <row r="193" spans="1:9" x14ac:dyDescent="0.15">
      <c r="A193" s="181"/>
      <c r="B193" s="140" t="s">
        <v>86</v>
      </c>
      <c r="C193" s="140"/>
      <c r="E193" s="130"/>
      <c r="F193" s="152"/>
      <c r="G193" s="141" t="s">
        <v>632</v>
      </c>
      <c r="H193" s="237" t="s">
        <v>293</v>
      </c>
      <c r="I193" s="153"/>
    </row>
    <row r="194" spans="1:9" x14ac:dyDescent="0.15">
      <c r="A194" s="181"/>
      <c r="B194" s="140" t="s">
        <v>86</v>
      </c>
      <c r="C194" s="140"/>
      <c r="E194" s="130"/>
      <c r="F194" s="152"/>
      <c r="G194" s="141" t="s">
        <v>633</v>
      </c>
      <c r="H194" s="237" t="s">
        <v>1110</v>
      </c>
      <c r="I194" s="153"/>
    </row>
    <row r="195" spans="1:9" x14ac:dyDescent="0.15">
      <c r="A195" s="181"/>
      <c r="B195" s="140" t="s">
        <v>86</v>
      </c>
      <c r="C195" s="140"/>
      <c r="E195" s="130"/>
      <c r="F195" s="152"/>
      <c r="G195" s="141" t="s">
        <v>634</v>
      </c>
      <c r="H195" s="237" t="s">
        <v>420</v>
      </c>
      <c r="I195" s="153"/>
    </row>
    <row r="196" spans="1:9" x14ac:dyDescent="0.15">
      <c r="A196" s="181"/>
      <c r="B196" s="140" t="s">
        <v>86</v>
      </c>
      <c r="C196" s="140"/>
      <c r="E196" s="130"/>
      <c r="F196" s="152"/>
      <c r="G196" s="141" t="s">
        <v>635</v>
      </c>
      <c r="H196" s="237" t="s">
        <v>415</v>
      </c>
      <c r="I196" s="153"/>
    </row>
    <row r="197" spans="1:9" x14ac:dyDescent="0.15">
      <c r="A197" s="181"/>
      <c r="B197" s="140" t="s">
        <v>86</v>
      </c>
      <c r="C197" s="140"/>
      <c r="E197" s="130"/>
      <c r="F197" s="152"/>
      <c r="G197" s="141" t="s">
        <v>636</v>
      </c>
      <c r="H197" s="237" t="s">
        <v>284</v>
      </c>
      <c r="I197" s="153"/>
    </row>
    <row r="198" spans="1:9" x14ac:dyDescent="0.15">
      <c r="A198" s="181"/>
      <c r="B198" s="140" t="s">
        <v>86</v>
      </c>
      <c r="C198" s="140"/>
      <c r="E198" s="130"/>
      <c r="F198" s="152"/>
      <c r="G198" s="141" t="s">
        <v>637</v>
      </c>
      <c r="H198" s="237" t="s">
        <v>1086</v>
      </c>
      <c r="I198" s="153"/>
    </row>
    <row r="199" spans="1:9" x14ac:dyDescent="0.15">
      <c r="A199" s="181"/>
      <c r="B199" s="140" t="s">
        <v>86</v>
      </c>
      <c r="C199" s="140"/>
      <c r="E199" s="130"/>
      <c r="F199" s="152"/>
      <c r="G199" s="141" t="s">
        <v>638</v>
      </c>
      <c r="H199" s="237" t="s">
        <v>1111</v>
      </c>
      <c r="I199" s="153"/>
    </row>
    <row r="200" spans="1:9" x14ac:dyDescent="0.15">
      <c r="A200" s="181"/>
      <c r="B200" s="140" t="s">
        <v>86</v>
      </c>
      <c r="C200" s="140"/>
      <c r="E200" s="130"/>
      <c r="F200" s="152"/>
      <c r="G200" s="141" t="s">
        <v>639</v>
      </c>
      <c r="H200" s="237" t="s">
        <v>1100</v>
      </c>
      <c r="I200" s="153"/>
    </row>
    <row r="201" spans="1:9" x14ac:dyDescent="0.15">
      <c r="A201" s="181"/>
      <c r="B201" s="140" t="s">
        <v>86</v>
      </c>
      <c r="C201" s="140"/>
      <c r="E201" s="130"/>
      <c r="F201" s="152"/>
      <c r="G201" s="141" t="s">
        <v>640</v>
      </c>
      <c r="H201" s="237" t="s">
        <v>263</v>
      </c>
      <c r="I201" s="153"/>
    </row>
    <row r="202" spans="1:9" x14ac:dyDescent="0.15">
      <c r="A202" s="181"/>
      <c r="B202" s="140" t="s">
        <v>86</v>
      </c>
      <c r="C202" s="140"/>
      <c r="E202" s="130"/>
      <c r="F202" s="152"/>
      <c r="G202" s="141" t="s">
        <v>641</v>
      </c>
      <c r="H202" s="148" t="s">
        <v>85</v>
      </c>
      <c r="I202" s="153"/>
    </row>
    <row r="203" spans="1:9" x14ac:dyDescent="0.15">
      <c r="A203" s="181"/>
      <c r="B203" s="140" t="s">
        <v>86</v>
      </c>
      <c r="C203" s="140"/>
      <c r="E203" s="130"/>
      <c r="F203" s="152"/>
      <c r="G203" s="141" t="s">
        <v>642</v>
      </c>
      <c r="H203" s="237" t="s">
        <v>284</v>
      </c>
      <c r="I203" s="153"/>
    </row>
    <row r="204" spans="1:9" x14ac:dyDescent="0.15">
      <c r="A204" s="181"/>
      <c r="B204" s="140" t="s">
        <v>86</v>
      </c>
      <c r="C204" s="140"/>
      <c r="E204" s="130"/>
      <c r="F204" s="152"/>
      <c r="G204" s="141" t="s">
        <v>643</v>
      </c>
      <c r="H204" s="148" t="s">
        <v>85</v>
      </c>
      <c r="I204" s="153"/>
    </row>
    <row r="205" spans="1:9" x14ac:dyDescent="0.15">
      <c r="A205" s="181"/>
      <c r="B205" s="140" t="s">
        <v>86</v>
      </c>
      <c r="C205" s="140"/>
      <c r="E205" s="130"/>
      <c r="F205" s="152"/>
      <c r="G205" s="141" t="s">
        <v>644</v>
      </c>
      <c r="H205" s="237" t="s">
        <v>293</v>
      </c>
      <c r="I205" s="153"/>
    </row>
    <row r="206" spans="1:9" x14ac:dyDescent="0.15">
      <c r="A206" s="181"/>
      <c r="B206" s="140" t="s">
        <v>86</v>
      </c>
      <c r="C206" s="140"/>
      <c r="E206" s="130"/>
      <c r="F206" s="152"/>
      <c r="G206" s="141" t="s">
        <v>645</v>
      </c>
      <c r="H206" s="148" t="s">
        <v>85</v>
      </c>
      <c r="I206" s="153"/>
    </row>
    <row r="207" spans="1:9" x14ac:dyDescent="0.15">
      <c r="A207" s="181"/>
      <c r="B207" s="140" t="s">
        <v>86</v>
      </c>
      <c r="C207" s="140"/>
      <c r="E207" s="130"/>
      <c r="F207" s="152"/>
      <c r="G207" s="141" t="s">
        <v>646</v>
      </c>
      <c r="H207" s="237" t="s">
        <v>255</v>
      </c>
      <c r="I207" s="153"/>
    </row>
    <row r="208" spans="1:9" x14ac:dyDescent="0.15">
      <c r="A208" s="181"/>
      <c r="B208" s="140" t="s">
        <v>86</v>
      </c>
      <c r="C208" s="140"/>
      <c r="E208" s="130"/>
      <c r="F208" s="152"/>
      <c r="G208" s="141" t="s">
        <v>647</v>
      </c>
      <c r="H208" s="237" t="s">
        <v>417</v>
      </c>
      <c r="I208" s="153"/>
    </row>
    <row r="209" spans="1:9" x14ac:dyDescent="0.15">
      <c r="A209" s="181"/>
      <c r="B209" s="140" t="s">
        <v>86</v>
      </c>
      <c r="C209" s="140"/>
      <c r="E209" s="130"/>
      <c r="F209" s="152"/>
      <c r="G209" s="141" t="s">
        <v>648</v>
      </c>
      <c r="H209" s="237" t="s">
        <v>263</v>
      </c>
      <c r="I209" s="153"/>
    </row>
    <row r="210" spans="1:9" x14ac:dyDescent="0.15">
      <c r="A210" s="181"/>
      <c r="B210" s="140" t="s">
        <v>86</v>
      </c>
      <c r="C210" s="140"/>
      <c r="E210" s="130"/>
      <c r="F210" s="152"/>
      <c r="G210" s="141" t="s">
        <v>649</v>
      </c>
      <c r="H210" s="237" t="s">
        <v>1112</v>
      </c>
      <c r="I210" s="153"/>
    </row>
    <row r="211" spans="1:9" x14ac:dyDescent="0.15">
      <c r="A211" s="181"/>
      <c r="B211" s="140" t="s">
        <v>86</v>
      </c>
      <c r="C211" s="140"/>
      <c r="E211" s="130"/>
      <c r="F211" s="152"/>
      <c r="G211" s="141" t="s">
        <v>650</v>
      </c>
      <c r="H211" s="237" t="s">
        <v>419</v>
      </c>
      <c r="I211" s="153"/>
    </row>
    <row r="212" spans="1:9" x14ac:dyDescent="0.15">
      <c r="A212" s="181"/>
      <c r="B212" s="140" t="s">
        <v>86</v>
      </c>
      <c r="C212" s="140"/>
      <c r="E212" s="130"/>
      <c r="F212" s="152"/>
      <c r="G212" s="141" t="s">
        <v>651</v>
      </c>
      <c r="H212" s="237" t="s">
        <v>421</v>
      </c>
      <c r="I212" s="153"/>
    </row>
    <row r="213" spans="1:9" x14ac:dyDescent="0.15">
      <c r="A213" s="181"/>
      <c r="B213" s="140" t="s">
        <v>86</v>
      </c>
      <c r="C213" s="140"/>
      <c r="E213" s="130"/>
      <c r="F213" s="152"/>
      <c r="G213" s="141" t="s">
        <v>652</v>
      </c>
      <c r="H213" s="237" t="s">
        <v>418</v>
      </c>
      <c r="I213" s="153"/>
    </row>
    <row r="214" spans="1:9" x14ac:dyDescent="0.15">
      <c r="A214" s="181"/>
      <c r="B214" s="140" t="s">
        <v>86</v>
      </c>
      <c r="C214" s="140"/>
      <c r="E214" s="130"/>
      <c r="F214" s="152"/>
      <c r="G214" s="141" t="s">
        <v>653</v>
      </c>
      <c r="H214" s="237" t="s">
        <v>415</v>
      </c>
      <c r="I214" s="153"/>
    </row>
    <row r="215" spans="1:9" x14ac:dyDescent="0.15">
      <c r="A215" s="181"/>
      <c r="B215" s="140" t="s">
        <v>86</v>
      </c>
      <c r="C215" s="140"/>
      <c r="E215" s="130"/>
      <c r="F215" s="152"/>
      <c r="G215" s="141" t="s">
        <v>654</v>
      </c>
      <c r="H215" s="237" t="s">
        <v>287</v>
      </c>
      <c r="I215" s="153"/>
    </row>
    <row r="216" spans="1:9" x14ac:dyDescent="0.15">
      <c r="A216" s="181"/>
      <c r="B216" s="140" t="s">
        <v>86</v>
      </c>
      <c r="C216" s="140"/>
      <c r="E216" s="130"/>
      <c r="F216" s="152"/>
      <c r="G216" s="141" t="s">
        <v>655</v>
      </c>
      <c r="H216" s="237" t="s">
        <v>1086</v>
      </c>
      <c r="I216" s="153"/>
    </row>
    <row r="217" spans="1:9" x14ac:dyDescent="0.15">
      <c r="A217" s="181"/>
      <c r="B217" s="140" t="s">
        <v>86</v>
      </c>
      <c r="C217" s="140"/>
      <c r="E217" s="130"/>
      <c r="F217" s="152"/>
      <c r="G217" s="141" t="s">
        <v>656</v>
      </c>
      <c r="H217" s="237" t="s">
        <v>1080</v>
      </c>
      <c r="I217" s="153"/>
    </row>
    <row r="218" spans="1:9" x14ac:dyDescent="0.15">
      <c r="A218" s="181"/>
      <c r="B218" s="140" t="s">
        <v>86</v>
      </c>
      <c r="C218" s="140"/>
      <c r="E218" s="130"/>
      <c r="F218" s="152"/>
      <c r="G218" s="141" t="s">
        <v>657</v>
      </c>
      <c r="H218" s="237" t="s">
        <v>419</v>
      </c>
      <c r="I218" s="153"/>
    </row>
    <row r="219" spans="1:9" x14ac:dyDescent="0.15">
      <c r="A219" s="181"/>
      <c r="B219" s="140" t="s">
        <v>86</v>
      </c>
      <c r="C219" s="140"/>
      <c r="E219" s="130"/>
      <c r="F219" s="152"/>
      <c r="G219" s="141" t="s">
        <v>658</v>
      </c>
      <c r="H219" s="237" t="s">
        <v>412</v>
      </c>
      <c r="I219" s="153"/>
    </row>
    <row r="220" spans="1:9" x14ac:dyDescent="0.15">
      <c r="A220" s="181"/>
      <c r="B220" s="140" t="s">
        <v>86</v>
      </c>
      <c r="C220" s="140"/>
      <c r="E220" s="130"/>
      <c r="F220" s="152"/>
      <c r="G220" s="141" t="s">
        <v>659</v>
      </c>
      <c r="H220" s="148" t="s">
        <v>85</v>
      </c>
      <c r="I220" s="153"/>
    </row>
    <row r="221" spans="1:9" x14ac:dyDescent="0.15">
      <c r="A221" s="181"/>
      <c r="B221" s="140" t="s">
        <v>86</v>
      </c>
      <c r="C221" s="140"/>
      <c r="E221" s="130"/>
      <c r="F221" s="152"/>
      <c r="G221" s="141" t="s">
        <v>660</v>
      </c>
      <c r="H221" s="237" t="s">
        <v>265</v>
      </c>
      <c r="I221" s="153"/>
    </row>
    <row r="222" spans="1:9" x14ac:dyDescent="0.15">
      <c r="A222" s="181"/>
      <c r="B222" s="140" t="s">
        <v>86</v>
      </c>
      <c r="C222" s="140"/>
      <c r="E222" s="130"/>
      <c r="F222" s="152"/>
      <c r="G222" s="141" t="s">
        <v>661</v>
      </c>
      <c r="H222" s="237" t="s">
        <v>413</v>
      </c>
      <c r="I222" s="153"/>
    </row>
    <row r="223" spans="1:9" x14ac:dyDescent="0.15">
      <c r="A223" s="181"/>
      <c r="B223" s="140" t="s">
        <v>86</v>
      </c>
      <c r="C223" s="140"/>
      <c r="E223" s="130"/>
      <c r="F223" s="152"/>
      <c r="G223" s="141" t="s">
        <v>662</v>
      </c>
      <c r="H223" s="237" t="s">
        <v>295</v>
      </c>
      <c r="I223" s="153"/>
    </row>
    <row r="224" spans="1:9" x14ac:dyDescent="0.15">
      <c r="A224" s="181"/>
      <c r="B224" s="140" t="s">
        <v>86</v>
      </c>
      <c r="C224" s="140"/>
      <c r="E224" s="130"/>
      <c r="F224" s="152"/>
      <c r="G224" s="141" t="s">
        <v>663</v>
      </c>
      <c r="H224" s="237" t="s">
        <v>1113</v>
      </c>
      <c r="I224" s="153"/>
    </row>
    <row r="225" spans="1:9" x14ac:dyDescent="0.15">
      <c r="A225" s="181"/>
      <c r="B225" s="140" t="s">
        <v>86</v>
      </c>
      <c r="C225" s="140"/>
      <c r="E225" s="130"/>
      <c r="F225" s="152"/>
      <c r="G225" s="141" t="s">
        <v>664</v>
      </c>
      <c r="H225" s="237" t="s">
        <v>1096</v>
      </c>
      <c r="I225" s="153"/>
    </row>
    <row r="226" spans="1:9" x14ac:dyDescent="0.15">
      <c r="A226" s="181"/>
      <c r="B226" s="140" t="s">
        <v>86</v>
      </c>
      <c r="C226" s="140"/>
      <c r="E226" s="130"/>
      <c r="F226" s="152"/>
      <c r="G226" s="141" t="s">
        <v>665</v>
      </c>
      <c r="H226" s="237" t="s">
        <v>1114</v>
      </c>
      <c r="I226" s="153"/>
    </row>
    <row r="227" spans="1:9" x14ac:dyDescent="0.15">
      <c r="A227" s="181"/>
      <c r="B227" s="140" t="s">
        <v>86</v>
      </c>
      <c r="C227" s="140"/>
      <c r="E227" s="130"/>
      <c r="F227" s="152"/>
      <c r="G227" s="141" t="s">
        <v>666</v>
      </c>
      <c r="H227" s="237" t="s">
        <v>407</v>
      </c>
      <c r="I227" s="153"/>
    </row>
    <row r="228" spans="1:9" x14ac:dyDescent="0.15">
      <c r="A228" s="181"/>
      <c r="B228" s="140" t="s">
        <v>86</v>
      </c>
      <c r="C228" s="140"/>
      <c r="E228" s="130"/>
      <c r="F228" s="152"/>
      <c r="G228" s="141" t="s">
        <v>667</v>
      </c>
      <c r="H228" s="237" t="s">
        <v>422</v>
      </c>
      <c r="I228" s="153"/>
    </row>
    <row r="229" spans="1:9" x14ac:dyDescent="0.15">
      <c r="A229" s="181"/>
      <c r="B229" s="140" t="s">
        <v>86</v>
      </c>
      <c r="C229" s="140"/>
      <c r="E229" s="130"/>
      <c r="F229" s="152"/>
      <c r="G229" s="141" t="s">
        <v>668</v>
      </c>
      <c r="H229" s="237" t="s">
        <v>423</v>
      </c>
      <c r="I229" s="153"/>
    </row>
    <row r="230" spans="1:9" x14ac:dyDescent="0.15">
      <c r="A230" s="181"/>
      <c r="B230" s="140" t="s">
        <v>86</v>
      </c>
      <c r="C230" s="140"/>
      <c r="E230" s="130"/>
      <c r="F230" s="152"/>
      <c r="G230" s="141" t="s">
        <v>669</v>
      </c>
      <c r="H230" s="237" t="s">
        <v>282</v>
      </c>
      <c r="I230" s="153"/>
    </row>
    <row r="231" spans="1:9" x14ac:dyDescent="0.15">
      <c r="A231" s="181"/>
      <c r="B231" s="140" t="s">
        <v>86</v>
      </c>
      <c r="C231" s="140"/>
      <c r="E231" s="130"/>
      <c r="F231" s="152"/>
      <c r="G231" s="141" t="s">
        <v>670</v>
      </c>
      <c r="H231" s="237" t="s">
        <v>258</v>
      </c>
      <c r="I231" s="153"/>
    </row>
    <row r="232" spans="1:9" x14ac:dyDescent="0.15">
      <c r="A232" s="181"/>
      <c r="B232" s="140" t="s">
        <v>86</v>
      </c>
      <c r="C232" s="140"/>
      <c r="E232" s="130"/>
      <c r="F232" s="152"/>
      <c r="G232" s="141" t="s">
        <v>671</v>
      </c>
      <c r="H232" s="237" t="s">
        <v>1114</v>
      </c>
      <c r="I232" s="153"/>
    </row>
    <row r="233" spans="1:9" x14ac:dyDescent="0.15">
      <c r="A233" s="181"/>
      <c r="B233" s="140" t="s">
        <v>86</v>
      </c>
      <c r="C233" s="140"/>
      <c r="E233" s="130"/>
      <c r="F233" s="152"/>
      <c r="G233" s="141" t="s">
        <v>672</v>
      </c>
      <c r="H233" s="237" t="s">
        <v>407</v>
      </c>
      <c r="I233" s="153"/>
    </row>
    <row r="234" spans="1:9" x14ac:dyDescent="0.15">
      <c r="A234" s="181"/>
      <c r="B234" s="140" t="s">
        <v>86</v>
      </c>
      <c r="C234" s="140"/>
      <c r="E234" s="130"/>
      <c r="F234" s="152"/>
      <c r="G234" s="141" t="s">
        <v>673</v>
      </c>
      <c r="H234" s="237" t="s">
        <v>257</v>
      </c>
      <c r="I234" s="153"/>
    </row>
    <row r="235" spans="1:9" x14ac:dyDescent="0.15">
      <c r="A235" s="181"/>
      <c r="B235" s="140" t="s">
        <v>86</v>
      </c>
      <c r="C235" s="140"/>
      <c r="E235" s="130"/>
      <c r="F235" s="152"/>
      <c r="G235" s="141" t="s">
        <v>674</v>
      </c>
      <c r="H235" s="237" t="s">
        <v>418</v>
      </c>
      <c r="I235" s="153"/>
    </row>
    <row r="236" spans="1:9" x14ac:dyDescent="0.15">
      <c r="A236" s="181"/>
      <c r="B236" s="140" t="s">
        <v>86</v>
      </c>
      <c r="C236" s="140"/>
      <c r="E236" s="130"/>
      <c r="F236" s="152"/>
      <c r="G236" s="141" t="s">
        <v>675</v>
      </c>
      <c r="H236" s="237" t="s">
        <v>1115</v>
      </c>
      <c r="I236" s="153"/>
    </row>
    <row r="237" spans="1:9" x14ac:dyDescent="0.15">
      <c r="A237" s="181"/>
      <c r="B237" s="140" t="s">
        <v>86</v>
      </c>
      <c r="C237" s="140"/>
      <c r="E237" s="130"/>
      <c r="F237" s="152"/>
      <c r="G237" s="141" t="s">
        <v>676</v>
      </c>
      <c r="H237" s="237" t="s">
        <v>403</v>
      </c>
      <c r="I237" s="153"/>
    </row>
    <row r="238" spans="1:9" x14ac:dyDescent="0.15">
      <c r="A238" s="181"/>
      <c r="B238" s="140" t="s">
        <v>86</v>
      </c>
      <c r="C238" s="140"/>
      <c r="E238" s="130"/>
      <c r="F238" s="152"/>
      <c r="G238" s="141" t="s">
        <v>677</v>
      </c>
      <c r="H238" s="237" t="s">
        <v>408</v>
      </c>
      <c r="I238" s="153"/>
    </row>
    <row r="239" spans="1:9" x14ac:dyDescent="0.15">
      <c r="A239" s="181"/>
      <c r="B239" s="140" t="s">
        <v>86</v>
      </c>
      <c r="C239" s="140"/>
      <c r="E239" s="130"/>
      <c r="F239" s="152"/>
      <c r="G239" s="141" t="s">
        <v>678</v>
      </c>
      <c r="H239" s="237" t="s">
        <v>270</v>
      </c>
      <c r="I239" s="153"/>
    </row>
    <row r="240" spans="1:9" x14ac:dyDescent="0.15">
      <c r="A240" s="181"/>
      <c r="B240" s="140" t="s">
        <v>86</v>
      </c>
      <c r="C240" s="140"/>
      <c r="E240" s="130"/>
      <c r="F240" s="152"/>
      <c r="G240" s="141" t="s">
        <v>679</v>
      </c>
      <c r="H240" s="237" t="s">
        <v>292</v>
      </c>
      <c r="I240" s="153"/>
    </row>
    <row r="241" spans="1:9" x14ac:dyDescent="0.15">
      <c r="A241" s="181"/>
      <c r="B241" s="140" t="s">
        <v>86</v>
      </c>
      <c r="C241" s="140"/>
      <c r="E241" s="130"/>
      <c r="F241" s="152"/>
      <c r="G241" s="141" t="s">
        <v>680</v>
      </c>
      <c r="H241" s="237" t="s">
        <v>280</v>
      </c>
      <c r="I241" s="153"/>
    </row>
    <row r="242" spans="1:9" x14ac:dyDescent="0.15">
      <c r="A242" s="181"/>
      <c r="B242" s="140" t="s">
        <v>86</v>
      </c>
      <c r="C242" s="140"/>
      <c r="E242" s="130"/>
      <c r="F242" s="152"/>
      <c r="G242" s="141" t="s">
        <v>681</v>
      </c>
      <c r="H242" s="237" t="s">
        <v>1104</v>
      </c>
      <c r="I242" s="153"/>
    </row>
    <row r="243" spans="1:9" x14ac:dyDescent="0.15">
      <c r="A243" s="181"/>
      <c r="B243" s="140" t="s">
        <v>86</v>
      </c>
      <c r="C243" s="140"/>
      <c r="E243" s="130"/>
      <c r="F243" s="152"/>
      <c r="G243" s="141" t="s">
        <v>682</v>
      </c>
      <c r="H243" s="237" t="s">
        <v>287</v>
      </c>
      <c r="I243" s="153"/>
    </row>
    <row r="244" spans="1:9" x14ac:dyDescent="0.15">
      <c r="A244" s="181"/>
      <c r="B244" s="140" t="s">
        <v>86</v>
      </c>
      <c r="C244" s="140"/>
      <c r="E244" s="130"/>
      <c r="F244" s="152"/>
      <c r="G244" s="141" t="s">
        <v>683</v>
      </c>
      <c r="H244" s="148" t="s">
        <v>85</v>
      </c>
      <c r="I244" s="153"/>
    </row>
    <row r="245" spans="1:9" x14ac:dyDescent="0.15">
      <c r="A245" s="181"/>
      <c r="B245" s="140" t="s">
        <v>86</v>
      </c>
      <c r="C245" s="140"/>
      <c r="E245" s="130"/>
      <c r="F245" s="152"/>
      <c r="G245" s="141" t="s">
        <v>684</v>
      </c>
      <c r="H245" s="148" t="s">
        <v>85</v>
      </c>
      <c r="I245" s="153"/>
    </row>
    <row r="246" spans="1:9" x14ac:dyDescent="0.15">
      <c r="A246" s="181"/>
      <c r="B246" s="140" t="s">
        <v>86</v>
      </c>
      <c r="C246" s="140"/>
      <c r="E246" s="130"/>
      <c r="F246" s="152"/>
      <c r="G246" s="141" t="s">
        <v>685</v>
      </c>
      <c r="H246" s="237" t="s">
        <v>287</v>
      </c>
      <c r="I246" s="153"/>
    </row>
    <row r="247" spans="1:9" x14ac:dyDescent="0.15">
      <c r="A247" s="181"/>
      <c r="B247" s="140" t="s">
        <v>86</v>
      </c>
      <c r="C247" s="140"/>
      <c r="E247" s="130"/>
      <c r="F247" s="152"/>
      <c r="G247" s="141" t="s">
        <v>686</v>
      </c>
      <c r="H247" s="237" t="s">
        <v>284</v>
      </c>
      <c r="I247" s="153"/>
    </row>
    <row r="248" spans="1:9" x14ac:dyDescent="0.15">
      <c r="A248" s="181"/>
      <c r="B248" s="140" t="s">
        <v>86</v>
      </c>
      <c r="C248" s="140"/>
      <c r="E248" s="130"/>
      <c r="F248" s="152"/>
      <c r="G248" s="141" t="s">
        <v>687</v>
      </c>
      <c r="H248" s="237" t="s">
        <v>1105</v>
      </c>
      <c r="I248" s="153"/>
    </row>
    <row r="249" spans="1:9" x14ac:dyDescent="0.15">
      <c r="A249" s="181"/>
      <c r="B249" s="140" t="s">
        <v>86</v>
      </c>
      <c r="C249" s="140"/>
      <c r="E249" s="130"/>
      <c r="F249" s="152"/>
      <c r="G249" s="141" t="s">
        <v>688</v>
      </c>
      <c r="H249" s="237" t="s">
        <v>400</v>
      </c>
      <c r="I249" s="153"/>
    </row>
    <row r="250" spans="1:9" x14ac:dyDescent="0.15">
      <c r="A250" s="181"/>
      <c r="B250" s="140" t="s">
        <v>86</v>
      </c>
      <c r="C250" s="140"/>
      <c r="E250" s="130"/>
      <c r="F250" s="152"/>
      <c r="G250" s="141" t="s">
        <v>689</v>
      </c>
      <c r="H250" s="237" t="s">
        <v>257</v>
      </c>
      <c r="I250" s="153"/>
    </row>
    <row r="251" spans="1:9" x14ac:dyDescent="0.15">
      <c r="A251" s="181"/>
      <c r="B251" s="140" t="s">
        <v>86</v>
      </c>
      <c r="C251" s="140"/>
      <c r="E251" s="130"/>
      <c r="F251" s="152"/>
      <c r="G251" s="141" t="s">
        <v>690</v>
      </c>
      <c r="H251" s="237" t="s">
        <v>400</v>
      </c>
      <c r="I251" s="153"/>
    </row>
    <row r="252" spans="1:9" x14ac:dyDescent="0.15">
      <c r="A252" s="181"/>
      <c r="B252" s="140" t="s">
        <v>86</v>
      </c>
      <c r="C252" s="140"/>
      <c r="E252" s="130"/>
      <c r="F252" s="152"/>
      <c r="G252" s="141" t="s">
        <v>691</v>
      </c>
      <c r="H252" s="237" t="s">
        <v>1116</v>
      </c>
      <c r="I252" s="153"/>
    </row>
    <row r="253" spans="1:9" x14ac:dyDescent="0.15">
      <c r="A253" s="181"/>
      <c r="B253" s="140" t="s">
        <v>86</v>
      </c>
      <c r="C253" s="140"/>
      <c r="E253" s="130"/>
      <c r="F253" s="152"/>
      <c r="G253" s="141" t="s">
        <v>692</v>
      </c>
      <c r="H253" s="237" t="s">
        <v>400</v>
      </c>
      <c r="I253" s="153"/>
    </row>
    <row r="254" spans="1:9" x14ac:dyDescent="0.15">
      <c r="A254" s="181"/>
      <c r="B254" s="140" t="s">
        <v>86</v>
      </c>
      <c r="C254" s="140"/>
      <c r="E254" s="130"/>
      <c r="F254" s="152"/>
      <c r="G254" s="141" t="s">
        <v>693</v>
      </c>
      <c r="H254" s="237" t="s">
        <v>1110</v>
      </c>
      <c r="I254" s="153"/>
    </row>
    <row r="255" spans="1:9" x14ac:dyDescent="0.15">
      <c r="A255" s="181"/>
      <c r="B255" s="140" t="s">
        <v>86</v>
      </c>
      <c r="C255" s="140"/>
      <c r="E255" s="130"/>
      <c r="F255" s="152"/>
      <c r="G255" s="141" t="s">
        <v>694</v>
      </c>
      <c r="H255" s="237" t="s">
        <v>276</v>
      </c>
      <c r="I255" s="153"/>
    </row>
    <row r="256" spans="1:9" x14ac:dyDescent="0.15">
      <c r="A256" s="181"/>
      <c r="B256" s="140" t="s">
        <v>86</v>
      </c>
      <c r="C256" s="140"/>
      <c r="E256" s="130"/>
      <c r="F256" s="152"/>
      <c r="G256" s="141" t="s">
        <v>695</v>
      </c>
      <c r="H256" s="237" t="s">
        <v>1074</v>
      </c>
      <c r="I256" s="153"/>
    </row>
    <row r="257" spans="1:9" x14ac:dyDescent="0.15">
      <c r="A257" s="181"/>
      <c r="B257" s="140" t="s">
        <v>86</v>
      </c>
      <c r="C257" s="140"/>
      <c r="E257" s="130"/>
      <c r="F257" s="152"/>
      <c r="G257" s="141" t="s">
        <v>696</v>
      </c>
      <c r="H257" s="237" t="s">
        <v>268</v>
      </c>
      <c r="I257" s="153"/>
    </row>
    <row r="258" spans="1:9" x14ac:dyDescent="0.15">
      <c r="A258" s="181"/>
      <c r="B258" s="140" t="s">
        <v>86</v>
      </c>
      <c r="C258" s="140"/>
      <c r="E258" s="130"/>
      <c r="F258" s="152"/>
      <c r="G258" s="141" t="s">
        <v>697</v>
      </c>
      <c r="H258" s="237" t="s">
        <v>1071</v>
      </c>
      <c r="I258" s="153"/>
    </row>
    <row r="259" spans="1:9" x14ac:dyDescent="0.15">
      <c r="A259" s="181"/>
      <c r="B259" s="140" t="s">
        <v>86</v>
      </c>
      <c r="C259" s="140"/>
      <c r="E259" s="130"/>
      <c r="F259" s="152"/>
      <c r="G259" s="141" t="s">
        <v>698</v>
      </c>
      <c r="H259" s="237" t="s">
        <v>1117</v>
      </c>
      <c r="I259" s="153"/>
    </row>
    <row r="260" spans="1:9" x14ac:dyDescent="0.15">
      <c r="A260" s="181"/>
      <c r="B260" s="140" t="s">
        <v>86</v>
      </c>
      <c r="C260" s="140"/>
      <c r="E260" s="130"/>
      <c r="F260" s="152"/>
      <c r="G260" s="141" t="s">
        <v>699</v>
      </c>
      <c r="H260" s="237" t="s">
        <v>1074</v>
      </c>
      <c r="I260" s="153"/>
    </row>
    <row r="261" spans="1:9" x14ac:dyDescent="0.15">
      <c r="A261" s="181"/>
      <c r="B261" s="140" t="s">
        <v>86</v>
      </c>
      <c r="C261" s="140"/>
      <c r="E261" s="130"/>
      <c r="F261" s="152"/>
      <c r="G261" s="141" t="s">
        <v>700</v>
      </c>
      <c r="H261" s="237" t="s">
        <v>256</v>
      </c>
      <c r="I261" s="153"/>
    </row>
    <row r="262" spans="1:9" x14ac:dyDescent="0.15">
      <c r="A262" s="181"/>
      <c r="B262" s="140" t="s">
        <v>86</v>
      </c>
      <c r="C262" s="140"/>
      <c r="E262" s="130"/>
      <c r="F262" s="152"/>
      <c r="G262" s="141" t="s">
        <v>701</v>
      </c>
      <c r="H262" s="237" t="s">
        <v>1071</v>
      </c>
      <c r="I262" s="153"/>
    </row>
    <row r="263" spans="1:9" x14ac:dyDescent="0.15">
      <c r="A263" s="181"/>
      <c r="B263" s="140" t="s">
        <v>86</v>
      </c>
      <c r="C263" s="140"/>
      <c r="E263" s="130"/>
      <c r="F263" s="152"/>
      <c r="G263" s="141" t="s">
        <v>702</v>
      </c>
      <c r="H263" s="237" t="s">
        <v>1071</v>
      </c>
      <c r="I263" s="153"/>
    </row>
    <row r="264" spans="1:9" x14ac:dyDescent="0.15">
      <c r="A264" s="181"/>
      <c r="B264" s="140" t="s">
        <v>86</v>
      </c>
      <c r="C264" s="140"/>
      <c r="E264" s="130"/>
      <c r="F264" s="152"/>
      <c r="G264" s="141" t="s">
        <v>703</v>
      </c>
      <c r="H264" s="237" t="s">
        <v>272</v>
      </c>
      <c r="I264" s="153"/>
    </row>
    <row r="265" spans="1:9" x14ac:dyDescent="0.15">
      <c r="A265" s="181"/>
      <c r="B265" s="140" t="s">
        <v>86</v>
      </c>
      <c r="C265" s="140"/>
      <c r="E265" s="130"/>
      <c r="F265" s="152"/>
      <c r="G265" s="141" t="s">
        <v>704</v>
      </c>
      <c r="H265" s="237" t="s">
        <v>284</v>
      </c>
      <c r="I265" s="153"/>
    </row>
    <row r="266" spans="1:9" x14ac:dyDescent="0.15">
      <c r="A266" s="181"/>
      <c r="B266" s="140" t="s">
        <v>86</v>
      </c>
      <c r="C266" s="140"/>
      <c r="E266" s="130"/>
      <c r="F266" s="152"/>
      <c r="G266" s="141" t="s">
        <v>705</v>
      </c>
      <c r="H266" s="237" t="s">
        <v>1110</v>
      </c>
      <c r="I266" s="153"/>
    </row>
    <row r="267" spans="1:9" x14ac:dyDescent="0.15">
      <c r="A267" s="181"/>
      <c r="B267" s="140" t="s">
        <v>86</v>
      </c>
      <c r="C267" s="140"/>
      <c r="E267" s="130"/>
      <c r="F267" s="152"/>
      <c r="G267" s="141" t="s">
        <v>706</v>
      </c>
      <c r="H267" s="237" t="s">
        <v>255</v>
      </c>
      <c r="I267" s="153"/>
    </row>
    <row r="268" spans="1:9" x14ac:dyDescent="0.15">
      <c r="A268" s="181"/>
      <c r="B268" s="140" t="s">
        <v>86</v>
      </c>
      <c r="C268" s="140"/>
      <c r="E268" s="130"/>
      <c r="F268" s="152"/>
      <c r="G268" s="141" t="s">
        <v>707</v>
      </c>
      <c r="H268" s="237" t="s">
        <v>293</v>
      </c>
      <c r="I268" s="153"/>
    </row>
    <row r="269" spans="1:9" x14ac:dyDescent="0.15">
      <c r="A269" s="181"/>
      <c r="B269" s="140" t="s">
        <v>86</v>
      </c>
      <c r="C269" s="140"/>
      <c r="E269" s="130"/>
      <c r="F269" s="152"/>
      <c r="G269" s="141" t="s">
        <v>708</v>
      </c>
      <c r="H269" s="148" t="s">
        <v>85</v>
      </c>
      <c r="I269" s="153"/>
    </row>
    <row r="270" spans="1:9" x14ac:dyDescent="0.15">
      <c r="A270" s="181"/>
      <c r="B270" s="140" t="s">
        <v>86</v>
      </c>
      <c r="C270" s="140"/>
      <c r="E270" s="130"/>
      <c r="F270" s="152"/>
      <c r="G270" s="141" t="s">
        <v>709</v>
      </c>
      <c r="H270" s="237" t="s">
        <v>1103</v>
      </c>
      <c r="I270" s="153"/>
    </row>
    <row r="271" spans="1:9" x14ac:dyDescent="0.15">
      <c r="A271" s="181"/>
      <c r="B271" s="140" t="s">
        <v>86</v>
      </c>
      <c r="C271" s="140"/>
      <c r="E271" s="130"/>
      <c r="F271" s="152"/>
      <c r="G271" s="141" t="s">
        <v>710</v>
      </c>
      <c r="H271" s="237" t="s">
        <v>268</v>
      </c>
      <c r="I271" s="153"/>
    </row>
    <row r="272" spans="1:9" x14ac:dyDescent="0.15">
      <c r="A272" s="181"/>
      <c r="B272" s="140" t="s">
        <v>86</v>
      </c>
      <c r="C272" s="140"/>
      <c r="E272" s="130"/>
      <c r="F272" s="152"/>
      <c r="G272" s="141" t="s">
        <v>711</v>
      </c>
      <c r="H272" s="148" t="s">
        <v>85</v>
      </c>
      <c r="I272" s="153"/>
    </row>
    <row r="273" spans="1:9" x14ac:dyDescent="0.15">
      <c r="A273" s="181"/>
      <c r="B273" s="140" t="s">
        <v>86</v>
      </c>
      <c r="C273" s="140"/>
      <c r="E273" s="130"/>
      <c r="F273" s="152"/>
      <c r="G273" s="141" t="s">
        <v>712</v>
      </c>
      <c r="H273" s="237" t="s">
        <v>284</v>
      </c>
      <c r="I273" s="153"/>
    </row>
    <row r="274" spans="1:9" x14ac:dyDescent="0.15">
      <c r="A274" s="181"/>
      <c r="B274" s="140" t="s">
        <v>86</v>
      </c>
      <c r="C274" s="140"/>
      <c r="E274" s="130"/>
      <c r="F274" s="152"/>
      <c r="G274" s="141" t="s">
        <v>713</v>
      </c>
      <c r="H274" s="237" t="s">
        <v>284</v>
      </c>
      <c r="I274" s="153"/>
    </row>
    <row r="275" spans="1:9" x14ac:dyDescent="0.15">
      <c r="A275" s="181"/>
      <c r="B275" s="140" t="s">
        <v>86</v>
      </c>
      <c r="C275" s="140"/>
      <c r="E275" s="130"/>
      <c r="F275" s="152"/>
      <c r="G275" s="141" t="s">
        <v>714</v>
      </c>
      <c r="H275" s="237" t="s">
        <v>284</v>
      </c>
      <c r="I275" s="153"/>
    </row>
    <row r="276" spans="1:9" x14ac:dyDescent="0.15">
      <c r="A276" s="181"/>
      <c r="B276" s="140" t="s">
        <v>86</v>
      </c>
      <c r="C276" s="140"/>
      <c r="E276" s="130"/>
      <c r="F276" s="152"/>
      <c r="G276" s="141" t="s">
        <v>715</v>
      </c>
      <c r="H276" s="237" t="s">
        <v>259</v>
      </c>
      <c r="I276" s="153"/>
    </row>
    <row r="277" spans="1:9" x14ac:dyDescent="0.15">
      <c r="A277" s="181"/>
      <c r="B277" s="140" t="s">
        <v>86</v>
      </c>
      <c r="C277" s="140"/>
      <c r="E277" s="130"/>
      <c r="F277" s="152"/>
      <c r="G277" s="141" t="s">
        <v>716</v>
      </c>
      <c r="H277" s="237" t="s">
        <v>284</v>
      </c>
      <c r="I277" s="153"/>
    </row>
    <row r="278" spans="1:9" x14ac:dyDescent="0.15">
      <c r="A278" s="181"/>
      <c r="B278" s="140" t="s">
        <v>86</v>
      </c>
      <c r="C278" s="140"/>
      <c r="E278" s="130"/>
      <c r="F278" s="152"/>
      <c r="G278" s="141" t="s">
        <v>717</v>
      </c>
      <c r="H278" s="237" t="s">
        <v>1109</v>
      </c>
      <c r="I278" s="153"/>
    </row>
    <row r="279" spans="1:9" x14ac:dyDescent="0.15">
      <c r="A279" s="181"/>
      <c r="B279" s="140" t="s">
        <v>86</v>
      </c>
      <c r="C279" s="140"/>
      <c r="E279" s="130"/>
      <c r="F279" s="152"/>
      <c r="G279" s="141" t="s">
        <v>718</v>
      </c>
      <c r="H279" s="148" t="s">
        <v>85</v>
      </c>
      <c r="I279" s="153"/>
    </row>
    <row r="280" spans="1:9" x14ac:dyDescent="0.15">
      <c r="A280" s="181"/>
      <c r="B280" s="140" t="s">
        <v>86</v>
      </c>
      <c r="C280" s="140"/>
      <c r="E280" s="130"/>
      <c r="F280" s="152"/>
      <c r="G280" s="141" t="s">
        <v>719</v>
      </c>
      <c r="H280" s="237" t="s">
        <v>1110</v>
      </c>
      <c r="I280" s="153"/>
    </row>
    <row r="281" spans="1:9" x14ac:dyDescent="0.15">
      <c r="A281" s="181"/>
      <c r="B281" s="140" t="s">
        <v>86</v>
      </c>
      <c r="C281" s="140"/>
      <c r="E281" s="130"/>
      <c r="F281" s="152"/>
      <c r="G281" s="141" t="s">
        <v>720</v>
      </c>
      <c r="H281" s="237" t="s">
        <v>263</v>
      </c>
      <c r="I281" s="153"/>
    </row>
    <row r="282" spans="1:9" x14ac:dyDescent="0.15">
      <c r="A282" s="181"/>
      <c r="B282" s="140" t="s">
        <v>86</v>
      </c>
      <c r="C282" s="140"/>
      <c r="E282" s="130"/>
      <c r="F282" s="152"/>
      <c r="G282" s="141" t="s">
        <v>721</v>
      </c>
      <c r="H282" s="237" t="s">
        <v>1074</v>
      </c>
      <c r="I282" s="153"/>
    </row>
    <row r="283" spans="1:9" x14ac:dyDescent="0.15">
      <c r="A283" s="181"/>
      <c r="B283" s="140" t="s">
        <v>86</v>
      </c>
      <c r="C283" s="140"/>
      <c r="E283" s="130"/>
      <c r="F283" s="152"/>
      <c r="G283" s="141" t="s">
        <v>722</v>
      </c>
      <c r="H283" s="237" t="s">
        <v>258</v>
      </c>
      <c r="I283" s="153"/>
    </row>
    <row r="284" spans="1:9" x14ac:dyDescent="0.15">
      <c r="A284" s="181"/>
      <c r="B284" s="140" t="s">
        <v>86</v>
      </c>
      <c r="C284" s="140"/>
      <c r="E284" s="130"/>
      <c r="F284" s="152"/>
      <c r="G284" s="141" t="s">
        <v>723</v>
      </c>
      <c r="H284" s="237" t="s">
        <v>283</v>
      </c>
      <c r="I284" s="153"/>
    </row>
    <row r="285" spans="1:9" x14ac:dyDescent="0.15">
      <c r="A285" s="181"/>
      <c r="B285" s="140" t="s">
        <v>86</v>
      </c>
      <c r="C285" s="140"/>
      <c r="E285" s="130"/>
      <c r="F285" s="152"/>
      <c r="G285" s="141" t="s">
        <v>724</v>
      </c>
      <c r="H285" s="237" t="s">
        <v>1071</v>
      </c>
      <c r="I285" s="153"/>
    </row>
    <row r="286" spans="1:9" x14ac:dyDescent="0.15">
      <c r="A286" s="181"/>
      <c r="B286" s="140" t="s">
        <v>86</v>
      </c>
      <c r="C286" s="140"/>
      <c r="E286" s="130"/>
      <c r="F286" s="152"/>
      <c r="G286" s="141" t="s">
        <v>725</v>
      </c>
      <c r="H286" s="237" t="s">
        <v>267</v>
      </c>
      <c r="I286" s="153"/>
    </row>
    <row r="287" spans="1:9" x14ac:dyDescent="0.15">
      <c r="A287" s="181"/>
      <c r="B287" s="140" t="s">
        <v>86</v>
      </c>
      <c r="C287" s="140"/>
      <c r="E287" s="130"/>
      <c r="F287" s="152"/>
      <c r="G287" s="141" t="s">
        <v>726</v>
      </c>
      <c r="H287" s="237" t="s">
        <v>284</v>
      </c>
      <c r="I287" s="153"/>
    </row>
    <row r="288" spans="1:9" x14ac:dyDescent="0.15">
      <c r="A288" s="181"/>
      <c r="B288" s="140" t="s">
        <v>86</v>
      </c>
      <c r="C288" s="140"/>
      <c r="E288" s="130"/>
      <c r="F288" s="152"/>
      <c r="G288" s="141" t="s">
        <v>727</v>
      </c>
      <c r="H288" s="237" t="s">
        <v>1110</v>
      </c>
      <c r="I288" s="153"/>
    </row>
    <row r="289" spans="1:9" x14ac:dyDescent="0.15">
      <c r="A289" s="181"/>
      <c r="B289" s="140" t="s">
        <v>86</v>
      </c>
      <c r="C289" s="140"/>
      <c r="E289" s="130"/>
      <c r="F289" s="152"/>
      <c r="G289" s="141" t="s">
        <v>728</v>
      </c>
      <c r="H289" s="237" t="s">
        <v>284</v>
      </c>
      <c r="I289" s="153"/>
    </row>
    <row r="290" spans="1:9" x14ac:dyDescent="0.15">
      <c r="A290" s="181"/>
      <c r="B290" s="140" t="s">
        <v>86</v>
      </c>
      <c r="C290" s="140"/>
      <c r="E290" s="130"/>
      <c r="F290" s="152"/>
      <c r="G290" s="141" t="s">
        <v>729</v>
      </c>
      <c r="H290" s="237" t="s">
        <v>1105</v>
      </c>
      <c r="I290" s="153"/>
    </row>
    <row r="291" spans="1:9" x14ac:dyDescent="0.15">
      <c r="A291" s="181"/>
      <c r="B291" s="140" t="s">
        <v>86</v>
      </c>
      <c r="C291" s="140"/>
      <c r="E291" s="130"/>
      <c r="F291" s="152"/>
      <c r="G291" s="141" t="s">
        <v>730</v>
      </c>
      <c r="H291" s="237" t="s">
        <v>263</v>
      </c>
      <c r="I291" s="153"/>
    </row>
    <row r="292" spans="1:9" x14ac:dyDescent="0.15">
      <c r="A292" s="181"/>
      <c r="B292" s="140" t="s">
        <v>86</v>
      </c>
      <c r="C292" s="140"/>
      <c r="E292" s="130"/>
      <c r="F292" s="152"/>
      <c r="G292" s="141" t="s">
        <v>731</v>
      </c>
      <c r="H292" s="237" t="s">
        <v>1086</v>
      </c>
      <c r="I292" s="153"/>
    </row>
    <row r="293" spans="1:9" x14ac:dyDescent="0.15">
      <c r="A293" s="181"/>
      <c r="B293" s="140" t="s">
        <v>86</v>
      </c>
      <c r="C293" s="140"/>
      <c r="E293" s="130"/>
      <c r="F293" s="152"/>
      <c r="G293" s="141" t="s">
        <v>732</v>
      </c>
      <c r="H293" s="148" t="s">
        <v>85</v>
      </c>
      <c r="I293" s="153"/>
    </row>
    <row r="294" spans="1:9" x14ac:dyDescent="0.15">
      <c r="A294" s="181"/>
      <c r="B294" s="140" t="s">
        <v>86</v>
      </c>
      <c r="C294" s="140"/>
      <c r="E294" s="130"/>
      <c r="F294" s="152"/>
      <c r="G294" s="141" t="s">
        <v>733</v>
      </c>
      <c r="H294" s="148" t="s">
        <v>85</v>
      </c>
      <c r="I294" s="153"/>
    </row>
    <row r="295" spans="1:9" x14ac:dyDescent="0.15">
      <c r="A295" s="181"/>
      <c r="B295" s="140" t="s">
        <v>86</v>
      </c>
      <c r="C295" s="140"/>
      <c r="E295" s="130"/>
      <c r="F295" s="152"/>
      <c r="G295" s="141" t="s">
        <v>734</v>
      </c>
      <c r="H295" s="237" t="s">
        <v>272</v>
      </c>
      <c r="I295" s="153"/>
    </row>
    <row r="296" spans="1:9" x14ac:dyDescent="0.15">
      <c r="A296" s="181"/>
      <c r="B296" s="140" t="s">
        <v>86</v>
      </c>
      <c r="C296" s="140"/>
      <c r="E296" s="130"/>
      <c r="F296" s="152"/>
      <c r="G296" s="141" t="s">
        <v>735</v>
      </c>
      <c r="H296" s="237" t="s">
        <v>1114</v>
      </c>
      <c r="I296" s="153"/>
    </row>
    <row r="297" spans="1:9" x14ac:dyDescent="0.15">
      <c r="A297" s="181"/>
      <c r="B297" s="140" t="s">
        <v>86</v>
      </c>
      <c r="C297" s="140"/>
      <c r="E297" s="130"/>
      <c r="F297" s="152"/>
      <c r="G297" s="141" t="s">
        <v>736</v>
      </c>
      <c r="H297" s="237" t="s">
        <v>407</v>
      </c>
      <c r="I297" s="153"/>
    </row>
    <row r="298" spans="1:9" x14ac:dyDescent="0.15">
      <c r="A298" s="181"/>
      <c r="B298" s="140" t="s">
        <v>86</v>
      </c>
      <c r="C298" s="140"/>
      <c r="E298" s="130"/>
      <c r="F298" s="152"/>
      <c r="G298" s="141" t="s">
        <v>737</v>
      </c>
      <c r="H298" s="237" t="s">
        <v>257</v>
      </c>
      <c r="I298" s="153"/>
    </row>
    <row r="299" spans="1:9" x14ac:dyDescent="0.15">
      <c r="A299" s="181"/>
      <c r="B299" s="140" t="s">
        <v>86</v>
      </c>
      <c r="C299" s="140"/>
      <c r="E299" s="130"/>
      <c r="F299" s="152"/>
      <c r="G299" s="141" t="s">
        <v>738</v>
      </c>
      <c r="H299" s="237" t="s">
        <v>1073</v>
      </c>
      <c r="I299" s="153"/>
    </row>
    <row r="300" spans="1:9" x14ac:dyDescent="0.15">
      <c r="A300" s="181"/>
      <c r="B300" s="140" t="s">
        <v>86</v>
      </c>
      <c r="C300" s="140"/>
      <c r="E300" s="130"/>
      <c r="F300" s="152"/>
      <c r="G300" s="141" t="s">
        <v>739</v>
      </c>
      <c r="H300" s="237" t="s">
        <v>270</v>
      </c>
      <c r="I300" s="153"/>
    </row>
    <row r="301" spans="1:9" x14ac:dyDescent="0.15">
      <c r="A301" s="181"/>
      <c r="B301" s="140" t="s">
        <v>86</v>
      </c>
      <c r="C301" s="140"/>
      <c r="E301" s="130"/>
      <c r="F301" s="152"/>
      <c r="G301" s="141" t="s">
        <v>740</v>
      </c>
      <c r="H301" s="237" t="s">
        <v>407</v>
      </c>
      <c r="I301" s="153"/>
    </row>
    <row r="302" spans="1:9" x14ac:dyDescent="0.15">
      <c r="A302" s="181"/>
      <c r="B302" s="140" t="s">
        <v>86</v>
      </c>
      <c r="C302" s="140"/>
      <c r="E302" s="130"/>
      <c r="F302" s="152"/>
      <c r="G302" s="141" t="s">
        <v>741</v>
      </c>
      <c r="H302" s="237" t="s">
        <v>1100</v>
      </c>
      <c r="I302" s="153"/>
    </row>
    <row r="303" spans="1:9" x14ac:dyDescent="0.15">
      <c r="A303" s="181"/>
      <c r="B303" s="140" t="s">
        <v>86</v>
      </c>
      <c r="C303" s="140"/>
      <c r="E303" s="130"/>
      <c r="F303" s="152"/>
      <c r="G303" s="141" t="s">
        <v>742</v>
      </c>
      <c r="H303" s="237" t="s">
        <v>407</v>
      </c>
      <c r="I303" s="153"/>
    </row>
    <row r="304" spans="1:9" x14ac:dyDescent="0.15">
      <c r="A304" s="181"/>
      <c r="B304" s="140" t="s">
        <v>86</v>
      </c>
      <c r="C304" s="140"/>
      <c r="E304" s="130"/>
      <c r="F304" s="152"/>
      <c r="G304" s="141" t="s">
        <v>743</v>
      </c>
      <c r="H304" s="237" t="s">
        <v>422</v>
      </c>
      <c r="I304" s="153"/>
    </row>
    <row r="305" spans="1:9" x14ac:dyDescent="0.15">
      <c r="A305" s="181"/>
      <c r="B305" s="140" t="s">
        <v>86</v>
      </c>
      <c r="C305" s="140"/>
      <c r="E305" s="130"/>
      <c r="F305" s="152"/>
      <c r="G305" s="141" t="s">
        <v>744</v>
      </c>
      <c r="H305" s="237" t="s">
        <v>424</v>
      </c>
      <c r="I305" s="153"/>
    </row>
    <row r="306" spans="1:9" x14ac:dyDescent="0.15">
      <c r="A306" s="181"/>
      <c r="B306" s="140" t="s">
        <v>86</v>
      </c>
      <c r="C306" s="140"/>
      <c r="E306" s="130"/>
      <c r="F306" s="152"/>
      <c r="G306" s="141" t="s">
        <v>745</v>
      </c>
      <c r="H306" s="237" t="s">
        <v>282</v>
      </c>
      <c r="I306" s="153"/>
    </row>
    <row r="307" spans="1:9" x14ac:dyDescent="0.15">
      <c r="A307" s="181"/>
      <c r="B307" s="140" t="s">
        <v>86</v>
      </c>
      <c r="C307" s="140"/>
      <c r="E307" s="130"/>
      <c r="F307" s="152"/>
      <c r="G307" s="141" t="s">
        <v>746</v>
      </c>
      <c r="H307" s="148" t="s">
        <v>85</v>
      </c>
      <c r="I307" s="153"/>
    </row>
    <row r="308" spans="1:9" x14ac:dyDescent="0.15">
      <c r="A308" s="181"/>
      <c r="B308" s="140" t="s">
        <v>86</v>
      </c>
      <c r="C308" s="140"/>
      <c r="E308" s="130"/>
      <c r="F308" s="152"/>
      <c r="G308" s="141" t="s">
        <v>747</v>
      </c>
      <c r="H308" s="237" t="s">
        <v>415</v>
      </c>
      <c r="I308" s="153"/>
    </row>
    <row r="309" spans="1:9" x14ac:dyDescent="0.15">
      <c r="A309" s="181"/>
      <c r="B309" s="140" t="s">
        <v>86</v>
      </c>
      <c r="C309" s="140"/>
      <c r="E309" s="130"/>
      <c r="F309" s="152"/>
      <c r="G309" s="141" t="s">
        <v>748</v>
      </c>
      <c r="H309" s="237" t="s">
        <v>287</v>
      </c>
      <c r="I309" s="153"/>
    </row>
    <row r="310" spans="1:9" x14ac:dyDescent="0.15">
      <c r="A310" s="181"/>
      <c r="B310" s="140" t="s">
        <v>86</v>
      </c>
      <c r="C310" s="140"/>
      <c r="E310" s="130"/>
      <c r="F310" s="152"/>
      <c r="G310" s="141" t="s">
        <v>749</v>
      </c>
      <c r="H310" s="237" t="s">
        <v>1086</v>
      </c>
      <c r="I310" s="153"/>
    </row>
    <row r="311" spans="1:9" x14ac:dyDescent="0.15">
      <c r="A311" s="181"/>
      <c r="B311" s="140" t="s">
        <v>86</v>
      </c>
      <c r="C311" s="140"/>
      <c r="E311" s="130"/>
      <c r="F311" s="152"/>
      <c r="G311" s="141" t="s">
        <v>750</v>
      </c>
      <c r="H311" s="148" t="s">
        <v>85</v>
      </c>
      <c r="I311" s="153"/>
    </row>
    <row r="312" spans="1:9" x14ac:dyDescent="0.15">
      <c r="A312" s="181"/>
      <c r="B312" s="140" t="s">
        <v>86</v>
      </c>
      <c r="C312" s="140"/>
      <c r="E312" s="130"/>
      <c r="F312" s="152"/>
      <c r="G312" s="141" t="s">
        <v>751</v>
      </c>
      <c r="H312" s="148" t="s">
        <v>85</v>
      </c>
      <c r="I312" s="153"/>
    </row>
    <row r="313" spans="1:9" x14ac:dyDescent="0.15">
      <c r="A313" s="181"/>
      <c r="B313" s="140" t="s">
        <v>86</v>
      </c>
      <c r="C313" s="140"/>
      <c r="E313" s="130"/>
      <c r="F313" s="152"/>
      <c r="G313" s="141" t="s">
        <v>752</v>
      </c>
      <c r="H313" s="237" t="s">
        <v>258</v>
      </c>
      <c r="I313" s="153"/>
    </row>
    <row r="314" spans="1:9" x14ac:dyDescent="0.15">
      <c r="A314" s="181"/>
      <c r="B314" s="140" t="s">
        <v>86</v>
      </c>
      <c r="C314" s="140"/>
      <c r="E314" s="130"/>
      <c r="F314" s="152"/>
      <c r="G314" s="141" t="s">
        <v>753</v>
      </c>
      <c r="H314" s="237" t="s">
        <v>1114</v>
      </c>
      <c r="I314" s="153"/>
    </row>
    <row r="315" spans="1:9" x14ac:dyDescent="0.15">
      <c r="A315" s="181"/>
      <c r="B315" s="140" t="s">
        <v>86</v>
      </c>
      <c r="C315" s="140"/>
      <c r="E315" s="130"/>
      <c r="F315" s="152"/>
      <c r="G315" s="141" t="s">
        <v>754</v>
      </c>
      <c r="H315" s="237" t="s">
        <v>407</v>
      </c>
      <c r="I315" s="153"/>
    </row>
    <row r="316" spans="1:9" x14ac:dyDescent="0.15">
      <c r="A316" s="181"/>
      <c r="B316" s="140" t="s">
        <v>86</v>
      </c>
      <c r="C316" s="140"/>
      <c r="E316" s="130"/>
      <c r="F316" s="152"/>
      <c r="G316" s="141" t="s">
        <v>755</v>
      </c>
      <c r="H316" s="237" t="s">
        <v>257</v>
      </c>
      <c r="I316" s="153"/>
    </row>
    <row r="317" spans="1:9" x14ac:dyDescent="0.15">
      <c r="A317" s="181"/>
      <c r="B317" s="140" t="s">
        <v>86</v>
      </c>
      <c r="C317" s="140"/>
      <c r="E317" s="130"/>
      <c r="F317" s="152"/>
      <c r="G317" s="141" t="s">
        <v>756</v>
      </c>
      <c r="H317" s="237" t="s">
        <v>1073</v>
      </c>
      <c r="I317" s="153"/>
    </row>
    <row r="318" spans="1:9" x14ac:dyDescent="0.15">
      <c r="A318" s="181"/>
      <c r="B318" s="140" t="s">
        <v>86</v>
      </c>
      <c r="C318" s="140"/>
      <c r="E318" s="130"/>
      <c r="F318" s="152"/>
      <c r="G318" s="141" t="s">
        <v>757</v>
      </c>
      <c r="H318" s="237" t="s">
        <v>270</v>
      </c>
      <c r="I318" s="153"/>
    </row>
    <row r="319" spans="1:9" x14ac:dyDescent="0.15">
      <c r="A319" s="181"/>
      <c r="B319" s="140" t="s">
        <v>86</v>
      </c>
      <c r="C319" s="140"/>
      <c r="E319" s="130"/>
      <c r="F319" s="152"/>
      <c r="G319" s="141" t="s">
        <v>758</v>
      </c>
      <c r="H319" s="237" t="s">
        <v>281</v>
      </c>
      <c r="I319" s="153"/>
    </row>
    <row r="320" spans="1:9" x14ac:dyDescent="0.15">
      <c r="A320" s="181"/>
      <c r="B320" s="140" t="s">
        <v>86</v>
      </c>
      <c r="C320" s="140"/>
      <c r="E320" s="130"/>
      <c r="F320" s="152"/>
      <c r="G320" s="141" t="s">
        <v>759</v>
      </c>
      <c r="H320" s="237" t="s">
        <v>1098</v>
      </c>
      <c r="I320" s="153"/>
    </row>
    <row r="321" spans="1:9" x14ac:dyDescent="0.15">
      <c r="A321" s="181"/>
      <c r="B321" s="140" t="s">
        <v>86</v>
      </c>
      <c r="C321" s="140"/>
      <c r="E321" s="130"/>
      <c r="F321" s="152"/>
      <c r="G321" s="141" t="s">
        <v>760</v>
      </c>
      <c r="H321" s="237" t="s">
        <v>254</v>
      </c>
      <c r="I321" s="153"/>
    </row>
    <row r="322" spans="1:9" x14ac:dyDescent="0.15">
      <c r="A322" s="181"/>
      <c r="B322" s="140" t="s">
        <v>86</v>
      </c>
      <c r="C322" s="140"/>
      <c r="E322" s="130"/>
      <c r="F322" s="152"/>
      <c r="G322" s="141" t="s">
        <v>761</v>
      </c>
      <c r="H322" s="237" t="s">
        <v>1098</v>
      </c>
      <c r="I322" s="153"/>
    </row>
    <row r="323" spans="1:9" x14ac:dyDescent="0.15">
      <c r="A323" s="181"/>
      <c r="B323" s="140" t="s">
        <v>86</v>
      </c>
      <c r="C323" s="140"/>
      <c r="E323" s="130"/>
      <c r="F323" s="152"/>
      <c r="G323" s="141" t="s">
        <v>762</v>
      </c>
      <c r="H323" s="237" t="s">
        <v>1094</v>
      </c>
      <c r="I323" s="153"/>
    </row>
    <row r="324" spans="1:9" x14ac:dyDescent="0.15">
      <c r="A324" s="181"/>
      <c r="B324" s="140" t="s">
        <v>86</v>
      </c>
      <c r="C324" s="140"/>
      <c r="E324" s="130"/>
      <c r="F324" s="152"/>
      <c r="G324" s="141" t="s">
        <v>763</v>
      </c>
      <c r="H324" s="237" t="s">
        <v>1098</v>
      </c>
      <c r="I324" s="153"/>
    </row>
    <row r="325" spans="1:9" x14ac:dyDescent="0.15">
      <c r="A325" s="181"/>
      <c r="B325" s="140" t="s">
        <v>86</v>
      </c>
      <c r="C325" s="140"/>
      <c r="E325" s="130"/>
      <c r="F325" s="152"/>
      <c r="G325" s="141" t="s">
        <v>764</v>
      </c>
      <c r="H325" s="237" t="s">
        <v>288</v>
      </c>
      <c r="I325" s="153"/>
    </row>
    <row r="326" spans="1:9" x14ac:dyDescent="0.15">
      <c r="A326" s="181"/>
      <c r="B326" s="140" t="s">
        <v>86</v>
      </c>
      <c r="C326" s="140"/>
      <c r="E326" s="130"/>
      <c r="F326" s="152"/>
      <c r="G326" s="141" t="s">
        <v>765</v>
      </c>
      <c r="H326" s="237" t="s">
        <v>1099</v>
      </c>
      <c r="I326" s="153"/>
    </row>
    <row r="327" spans="1:9" x14ac:dyDescent="0.15">
      <c r="A327" s="181"/>
      <c r="B327" s="140" t="s">
        <v>86</v>
      </c>
      <c r="C327" s="140"/>
      <c r="E327" s="130"/>
      <c r="F327" s="152"/>
      <c r="G327" s="141" t="s">
        <v>766</v>
      </c>
      <c r="H327" s="237" t="s">
        <v>286</v>
      </c>
      <c r="I327" s="153"/>
    </row>
    <row r="328" spans="1:9" x14ac:dyDescent="0.15">
      <c r="A328" s="181"/>
      <c r="B328" s="140" t="s">
        <v>86</v>
      </c>
      <c r="C328" s="140"/>
      <c r="E328" s="130"/>
      <c r="F328" s="152"/>
      <c r="G328" s="141" t="s">
        <v>767</v>
      </c>
      <c r="H328" s="237" t="s">
        <v>1092</v>
      </c>
      <c r="I328" s="153"/>
    </row>
    <row r="329" spans="1:9" x14ac:dyDescent="0.15">
      <c r="A329" s="181"/>
      <c r="B329" s="140" t="s">
        <v>86</v>
      </c>
      <c r="C329" s="140"/>
      <c r="E329" s="130"/>
      <c r="F329" s="152"/>
      <c r="G329" s="141" t="s">
        <v>768</v>
      </c>
      <c r="H329" s="237" t="s">
        <v>412</v>
      </c>
      <c r="I329" s="153"/>
    </row>
    <row r="330" spans="1:9" x14ac:dyDescent="0.15">
      <c r="A330" s="181"/>
      <c r="B330" s="140" t="s">
        <v>86</v>
      </c>
      <c r="C330" s="140"/>
      <c r="E330" s="130"/>
      <c r="F330" s="152"/>
      <c r="G330" s="141" t="s">
        <v>769</v>
      </c>
      <c r="H330" s="237" t="s">
        <v>1093</v>
      </c>
      <c r="I330" s="153"/>
    </row>
    <row r="331" spans="1:9" x14ac:dyDescent="0.15">
      <c r="A331" s="181"/>
      <c r="B331" s="140" t="s">
        <v>86</v>
      </c>
      <c r="C331" s="140"/>
      <c r="E331" s="130"/>
      <c r="F331" s="152"/>
      <c r="G331" s="141" t="s">
        <v>770</v>
      </c>
      <c r="H331" s="237" t="s">
        <v>279</v>
      </c>
      <c r="I331" s="153"/>
    </row>
    <row r="332" spans="1:9" x14ac:dyDescent="0.15">
      <c r="A332" s="181"/>
      <c r="B332" s="140" t="s">
        <v>86</v>
      </c>
      <c r="C332" s="140"/>
      <c r="E332" s="130"/>
      <c r="F332" s="152"/>
      <c r="G332" s="141" t="s">
        <v>771</v>
      </c>
      <c r="H332" s="237" t="s">
        <v>415</v>
      </c>
      <c r="I332" s="153"/>
    </row>
    <row r="333" spans="1:9" x14ac:dyDescent="0.15">
      <c r="A333" s="181"/>
      <c r="B333" s="140" t="s">
        <v>86</v>
      </c>
      <c r="C333" s="140"/>
      <c r="E333" s="130"/>
      <c r="F333" s="152"/>
      <c r="G333" s="141" t="s">
        <v>772</v>
      </c>
      <c r="H333" s="237" t="s">
        <v>258</v>
      </c>
      <c r="I333" s="153"/>
    </row>
    <row r="334" spans="1:9" x14ac:dyDescent="0.15">
      <c r="A334" s="181"/>
      <c r="B334" s="140" t="s">
        <v>86</v>
      </c>
      <c r="C334" s="140"/>
      <c r="E334" s="130"/>
      <c r="F334" s="152"/>
      <c r="G334" s="141" t="s">
        <v>773</v>
      </c>
      <c r="H334" s="237" t="s">
        <v>415</v>
      </c>
      <c r="I334" s="153"/>
    </row>
    <row r="335" spans="1:9" x14ac:dyDescent="0.15">
      <c r="A335" s="181"/>
      <c r="B335" s="140" t="s">
        <v>86</v>
      </c>
      <c r="C335" s="140"/>
      <c r="E335" s="130"/>
      <c r="F335" s="152"/>
      <c r="G335" s="141" t="s">
        <v>774</v>
      </c>
      <c r="H335" s="237" t="s">
        <v>400</v>
      </c>
      <c r="I335" s="153"/>
    </row>
    <row r="336" spans="1:9" x14ac:dyDescent="0.15">
      <c r="A336" s="181"/>
      <c r="B336" s="140" t="s">
        <v>86</v>
      </c>
      <c r="C336" s="140"/>
      <c r="E336" s="130"/>
      <c r="F336" s="152"/>
      <c r="G336" s="141" t="s">
        <v>775</v>
      </c>
      <c r="H336" s="237" t="s">
        <v>1086</v>
      </c>
      <c r="I336" s="153"/>
    </row>
    <row r="337" spans="1:9" x14ac:dyDescent="0.15">
      <c r="A337" s="181"/>
      <c r="B337" s="140" t="s">
        <v>86</v>
      </c>
      <c r="C337" s="140"/>
      <c r="E337" s="130"/>
      <c r="F337" s="152"/>
      <c r="G337" s="141" t="s">
        <v>776</v>
      </c>
      <c r="H337" s="237" t="s">
        <v>1111</v>
      </c>
      <c r="I337" s="153"/>
    </row>
    <row r="338" spans="1:9" x14ac:dyDescent="0.15">
      <c r="A338" s="181"/>
      <c r="B338" s="140" t="s">
        <v>86</v>
      </c>
      <c r="C338" s="140"/>
      <c r="E338" s="130"/>
      <c r="F338" s="152"/>
      <c r="G338" s="141" t="s">
        <v>777</v>
      </c>
      <c r="H338" s="237" t="s">
        <v>407</v>
      </c>
      <c r="I338" s="153"/>
    </row>
    <row r="339" spans="1:9" x14ac:dyDescent="0.15">
      <c r="A339" s="181"/>
      <c r="B339" s="140" t="s">
        <v>86</v>
      </c>
      <c r="C339" s="140"/>
      <c r="E339" s="130"/>
      <c r="F339" s="152"/>
      <c r="G339" s="141" t="s">
        <v>778</v>
      </c>
      <c r="H339" s="237" t="s">
        <v>424</v>
      </c>
      <c r="I339" s="153"/>
    </row>
    <row r="340" spans="1:9" x14ac:dyDescent="0.15">
      <c r="A340" s="181"/>
      <c r="B340" s="140" t="s">
        <v>86</v>
      </c>
      <c r="C340" s="140"/>
      <c r="E340" s="130"/>
      <c r="F340" s="152"/>
      <c r="G340" s="141" t="s">
        <v>779</v>
      </c>
      <c r="H340" s="237" t="s">
        <v>1098</v>
      </c>
      <c r="I340" s="153"/>
    </row>
    <row r="341" spans="1:9" x14ac:dyDescent="0.15">
      <c r="A341" s="181"/>
      <c r="B341" s="140" t="s">
        <v>86</v>
      </c>
      <c r="C341" s="140"/>
      <c r="E341" s="130"/>
      <c r="F341" s="152"/>
      <c r="G341" s="141" t="s">
        <v>780</v>
      </c>
      <c r="H341" s="237" t="s">
        <v>279</v>
      </c>
      <c r="I341" s="153"/>
    </row>
    <row r="342" spans="1:9" x14ac:dyDescent="0.15">
      <c r="A342" s="181"/>
      <c r="B342" s="140" t="s">
        <v>86</v>
      </c>
      <c r="C342" s="140"/>
      <c r="E342" s="130"/>
      <c r="F342" s="152"/>
      <c r="G342" s="141" t="s">
        <v>781</v>
      </c>
      <c r="H342" s="237" t="s">
        <v>1099</v>
      </c>
      <c r="I342" s="153"/>
    </row>
    <row r="343" spans="1:9" x14ac:dyDescent="0.15">
      <c r="A343" s="181"/>
      <c r="B343" s="140" t="s">
        <v>86</v>
      </c>
      <c r="C343" s="140"/>
      <c r="E343" s="130"/>
      <c r="F343" s="152"/>
      <c r="G343" s="141" t="s">
        <v>782</v>
      </c>
      <c r="H343" s="237" t="s">
        <v>417</v>
      </c>
      <c r="I343" s="153"/>
    </row>
    <row r="344" spans="1:9" x14ac:dyDescent="0.15">
      <c r="A344" s="181"/>
      <c r="B344" s="140" t="s">
        <v>86</v>
      </c>
      <c r="C344" s="140"/>
      <c r="E344" s="130"/>
      <c r="F344" s="152"/>
      <c r="G344" s="141" t="s">
        <v>783</v>
      </c>
      <c r="H344" s="237" t="s">
        <v>1092</v>
      </c>
      <c r="I344" s="153"/>
    </row>
    <row r="345" spans="1:9" x14ac:dyDescent="0.15">
      <c r="A345" s="181"/>
      <c r="B345" s="140" t="s">
        <v>86</v>
      </c>
      <c r="C345" s="140"/>
      <c r="E345" s="130"/>
      <c r="F345" s="152"/>
      <c r="G345" s="141" t="s">
        <v>784</v>
      </c>
      <c r="H345" s="237" t="s">
        <v>261</v>
      </c>
      <c r="I345" s="153"/>
    </row>
    <row r="346" spans="1:9" x14ac:dyDescent="0.15">
      <c r="A346" s="181"/>
      <c r="B346" s="140" t="s">
        <v>86</v>
      </c>
      <c r="C346" s="140"/>
      <c r="E346" s="130"/>
      <c r="F346" s="152"/>
      <c r="G346" s="141" t="s">
        <v>785</v>
      </c>
      <c r="H346" s="237" t="s">
        <v>1093</v>
      </c>
      <c r="I346" s="153"/>
    </row>
    <row r="347" spans="1:9" x14ac:dyDescent="0.15">
      <c r="A347" s="181"/>
      <c r="B347" s="140" t="s">
        <v>86</v>
      </c>
      <c r="C347" s="140"/>
      <c r="E347" s="130"/>
      <c r="F347" s="152"/>
      <c r="G347" s="141" t="s">
        <v>786</v>
      </c>
      <c r="H347" s="237" t="s">
        <v>288</v>
      </c>
      <c r="I347" s="153"/>
    </row>
    <row r="348" spans="1:9" x14ac:dyDescent="0.15">
      <c r="A348" s="181"/>
      <c r="B348" s="140" t="s">
        <v>86</v>
      </c>
      <c r="C348" s="140"/>
      <c r="E348" s="130"/>
      <c r="F348" s="152"/>
      <c r="G348" s="141" t="s">
        <v>787</v>
      </c>
      <c r="H348" s="237" t="s">
        <v>1093</v>
      </c>
      <c r="I348" s="153"/>
    </row>
    <row r="349" spans="1:9" x14ac:dyDescent="0.15">
      <c r="A349" s="181"/>
      <c r="B349" s="140" t="s">
        <v>86</v>
      </c>
      <c r="C349" s="140"/>
      <c r="E349" s="130"/>
      <c r="F349" s="152"/>
      <c r="G349" s="141" t="s">
        <v>788</v>
      </c>
      <c r="H349" s="237" t="s">
        <v>1094</v>
      </c>
      <c r="I349" s="153"/>
    </row>
    <row r="350" spans="1:9" x14ac:dyDescent="0.15">
      <c r="A350" s="181"/>
      <c r="B350" s="140" t="s">
        <v>86</v>
      </c>
      <c r="C350" s="140"/>
      <c r="E350" s="130"/>
      <c r="F350" s="152"/>
      <c r="G350" s="141" t="s">
        <v>789</v>
      </c>
      <c r="H350" s="237" t="s">
        <v>1093</v>
      </c>
      <c r="I350" s="153"/>
    </row>
    <row r="351" spans="1:9" x14ac:dyDescent="0.15">
      <c r="A351" s="181"/>
      <c r="B351" s="140" t="s">
        <v>86</v>
      </c>
      <c r="C351" s="140"/>
      <c r="E351" s="130"/>
      <c r="F351" s="152"/>
      <c r="G351" s="141" t="s">
        <v>790</v>
      </c>
      <c r="H351" s="237" t="s">
        <v>254</v>
      </c>
      <c r="I351" s="153"/>
    </row>
    <row r="352" spans="1:9" x14ac:dyDescent="0.15">
      <c r="A352" s="181"/>
      <c r="B352" s="140" t="s">
        <v>86</v>
      </c>
      <c r="C352" s="140"/>
      <c r="E352" s="130"/>
      <c r="F352" s="152"/>
      <c r="G352" s="141" t="s">
        <v>791</v>
      </c>
      <c r="H352" s="237" t="s">
        <v>1086</v>
      </c>
      <c r="I352" s="153"/>
    </row>
    <row r="353" spans="1:9" x14ac:dyDescent="0.15">
      <c r="A353" s="181"/>
      <c r="B353" s="140" t="s">
        <v>86</v>
      </c>
      <c r="C353" s="140"/>
      <c r="E353" s="130"/>
      <c r="F353" s="152"/>
      <c r="G353" s="141" t="s">
        <v>792</v>
      </c>
      <c r="H353" s="237" t="s">
        <v>1080</v>
      </c>
      <c r="I353" s="153"/>
    </row>
    <row r="354" spans="1:9" x14ac:dyDescent="0.15">
      <c r="A354" s="181"/>
      <c r="B354" s="140" t="s">
        <v>86</v>
      </c>
      <c r="C354" s="140"/>
      <c r="E354" s="130"/>
      <c r="F354" s="152"/>
      <c r="G354" s="141" t="s">
        <v>793</v>
      </c>
      <c r="H354" s="237" t="s">
        <v>1115</v>
      </c>
      <c r="I354" s="153"/>
    </row>
    <row r="355" spans="1:9" x14ac:dyDescent="0.15">
      <c r="A355" s="181"/>
      <c r="B355" s="140" t="s">
        <v>86</v>
      </c>
      <c r="C355" s="140"/>
      <c r="E355" s="130"/>
      <c r="F355" s="152"/>
      <c r="G355" s="141" t="s">
        <v>794</v>
      </c>
      <c r="H355" s="237" t="s">
        <v>260</v>
      </c>
      <c r="I355" s="153"/>
    </row>
    <row r="356" spans="1:9" x14ac:dyDescent="0.15">
      <c r="A356" s="181"/>
      <c r="B356" s="140" t="s">
        <v>86</v>
      </c>
      <c r="C356" s="140"/>
      <c r="E356" s="130"/>
      <c r="F356" s="152"/>
      <c r="G356" s="141" t="s">
        <v>795</v>
      </c>
      <c r="H356" s="237" t="s">
        <v>1100</v>
      </c>
      <c r="I356" s="153"/>
    </row>
    <row r="357" spans="1:9" x14ac:dyDescent="0.15">
      <c r="A357" s="181"/>
      <c r="B357" s="140" t="s">
        <v>86</v>
      </c>
      <c r="C357" s="140"/>
      <c r="E357" s="130"/>
      <c r="F357" s="152"/>
      <c r="G357" s="141" t="s">
        <v>796</v>
      </c>
      <c r="H357" s="237" t="s">
        <v>263</v>
      </c>
      <c r="I357" s="153"/>
    </row>
    <row r="358" spans="1:9" x14ac:dyDescent="0.15">
      <c r="A358" s="181"/>
      <c r="B358" s="140" t="s">
        <v>86</v>
      </c>
      <c r="C358" s="140"/>
      <c r="E358" s="130"/>
      <c r="F358" s="152"/>
      <c r="G358" s="141" t="s">
        <v>797</v>
      </c>
      <c r="H358" s="237" t="s">
        <v>418</v>
      </c>
      <c r="I358" s="153"/>
    </row>
    <row r="359" spans="1:9" x14ac:dyDescent="0.15">
      <c r="A359" s="181"/>
      <c r="B359" s="140" t="s">
        <v>86</v>
      </c>
      <c r="C359" s="140"/>
      <c r="E359" s="130"/>
      <c r="F359" s="152"/>
      <c r="G359" s="141" t="s">
        <v>798</v>
      </c>
      <c r="H359" s="237" t="s">
        <v>1092</v>
      </c>
      <c r="I359" s="153"/>
    </row>
    <row r="360" spans="1:9" x14ac:dyDescent="0.15">
      <c r="A360" s="181"/>
      <c r="B360" s="140" t="s">
        <v>86</v>
      </c>
      <c r="C360" s="140"/>
      <c r="E360" s="130"/>
      <c r="F360" s="152"/>
      <c r="G360" s="141" t="s">
        <v>799</v>
      </c>
      <c r="H360" s="237" t="s">
        <v>262</v>
      </c>
      <c r="I360" s="153"/>
    </row>
    <row r="361" spans="1:9" x14ac:dyDescent="0.15">
      <c r="A361" s="181"/>
      <c r="B361" s="140" t="s">
        <v>86</v>
      </c>
      <c r="C361" s="140"/>
      <c r="E361" s="130"/>
      <c r="F361" s="152"/>
      <c r="G361" s="141" t="s">
        <v>800</v>
      </c>
      <c r="H361" s="237" t="s">
        <v>417</v>
      </c>
      <c r="I361" s="153"/>
    </row>
    <row r="362" spans="1:9" x14ac:dyDescent="0.15">
      <c r="A362" s="181"/>
      <c r="B362" s="140" t="s">
        <v>86</v>
      </c>
      <c r="C362" s="140"/>
      <c r="E362" s="130"/>
      <c r="F362" s="152"/>
      <c r="G362" s="141" t="s">
        <v>801</v>
      </c>
      <c r="H362" s="237" t="s">
        <v>1095</v>
      </c>
      <c r="I362" s="153"/>
    </row>
    <row r="363" spans="1:9" x14ac:dyDescent="0.15">
      <c r="A363" s="181"/>
      <c r="B363" s="140" t="s">
        <v>86</v>
      </c>
      <c r="C363" s="140"/>
      <c r="E363" s="130"/>
      <c r="F363" s="152"/>
      <c r="G363" s="141" t="s">
        <v>802</v>
      </c>
      <c r="H363" s="237" t="s">
        <v>407</v>
      </c>
      <c r="I363" s="153"/>
    </row>
    <row r="364" spans="1:9" x14ac:dyDescent="0.15">
      <c r="A364" s="181"/>
      <c r="B364" s="140" t="s">
        <v>86</v>
      </c>
      <c r="C364" s="140"/>
      <c r="E364" s="130"/>
      <c r="F364" s="152"/>
      <c r="G364" s="141" t="s">
        <v>803</v>
      </c>
      <c r="H364" s="237" t="s">
        <v>408</v>
      </c>
      <c r="I364" s="153"/>
    </row>
    <row r="365" spans="1:9" x14ac:dyDescent="0.15">
      <c r="A365" s="181"/>
      <c r="B365" s="140" t="s">
        <v>86</v>
      </c>
      <c r="C365" s="140"/>
      <c r="E365" s="130"/>
      <c r="F365" s="152"/>
      <c r="G365" s="141" t="s">
        <v>804</v>
      </c>
      <c r="H365" s="148" t="s">
        <v>85</v>
      </c>
      <c r="I365" s="153"/>
    </row>
    <row r="366" spans="1:9" x14ac:dyDescent="0.15">
      <c r="A366" s="181"/>
      <c r="B366" s="140" t="s">
        <v>86</v>
      </c>
      <c r="C366" s="140"/>
      <c r="E366" s="130"/>
      <c r="F366" s="152"/>
      <c r="G366" s="141" t="s">
        <v>805</v>
      </c>
      <c r="H366" s="237" t="s">
        <v>1115</v>
      </c>
      <c r="I366" s="153"/>
    </row>
    <row r="367" spans="1:9" x14ac:dyDescent="0.15">
      <c r="A367" s="181"/>
      <c r="B367" s="140" t="s">
        <v>86</v>
      </c>
      <c r="C367" s="140"/>
      <c r="E367" s="130"/>
      <c r="F367" s="152"/>
      <c r="G367" s="141" t="s">
        <v>806</v>
      </c>
      <c r="H367" s="237" t="s">
        <v>418</v>
      </c>
      <c r="I367" s="153"/>
    </row>
    <row r="368" spans="1:9" x14ac:dyDescent="0.15">
      <c r="A368" s="181"/>
      <c r="B368" s="140" t="s">
        <v>86</v>
      </c>
      <c r="C368" s="140"/>
      <c r="E368" s="130"/>
      <c r="F368" s="152"/>
      <c r="G368" s="141" t="s">
        <v>807</v>
      </c>
      <c r="H368" s="237" t="s">
        <v>261</v>
      </c>
      <c r="I368" s="153"/>
    </row>
    <row r="369" spans="1:9" x14ac:dyDescent="0.15">
      <c r="A369" s="181"/>
      <c r="B369" s="140" t="s">
        <v>86</v>
      </c>
      <c r="C369" s="140"/>
      <c r="E369" s="130"/>
      <c r="F369" s="152"/>
      <c r="G369" s="141" t="s">
        <v>808</v>
      </c>
      <c r="H369" s="237" t="s">
        <v>1072</v>
      </c>
      <c r="I369" s="153"/>
    </row>
    <row r="370" spans="1:9" x14ac:dyDescent="0.15">
      <c r="A370" s="181"/>
      <c r="B370" s="140" t="s">
        <v>86</v>
      </c>
      <c r="C370" s="140"/>
      <c r="E370" s="130"/>
      <c r="F370" s="152"/>
      <c r="G370" s="141" t="s">
        <v>809</v>
      </c>
      <c r="H370" s="237" t="s">
        <v>1101</v>
      </c>
      <c r="I370" s="153"/>
    </row>
    <row r="371" spans="1:9" x14ac:dyDescent="0.15">
      <c r="A371" s="181"/>
      <c r="B371" s="140" t="s">
        <v>86</v>
      </c>
      <c r="C371" s="140"/>
      <c r="E371" s="130"/>
      <c r="F371" s="152"/>
      <c r="G371" s="141" t="s">
        <v>810</v>
      </c>
      <c r="H371" s="237" t="s">
        <v>261</v>
      </c>
      <c r="I371" s="153"/>
    </row>
    <row r="372" spans="1:9" x14ac:dyDescent="0.15">
      <c r="A372" s="181"/>
      <c r="B372" s="140" t="s">
        <v>86</v>
      </c>
      <c r="C372" s="140"/>
      <c r="E372" s="130"/>
      <c r="F372" s="152"/>
      <c r="G372" s="141" t="s">
        <v>811</v>
      </c>
      <c r="H372" s="237" t="s">
        <v>1096</v>
      </c>
      <c r="I372" s="153"/>
    </row>
    <row r="373" spans="1:9" x14ac:dyDescent="0.15">
      <c r="A373" s="181"/>
      <c r="B373" s="140" t="s">
        <v>86</v>
      </c>
      <c r="C373" s="140"/>
      <c r="E373" s="130"/>
      <c r="F373" s="152"/>
      <c r="G373" s="141" t="s">
        <v>812</v>
      </c>
      <c r="H373" s="237" t="s">
        <v>418</v>
      </c>
      <c r="I373" s="153"/>
    </row>
    <row r="374" spans="1:9" x14ac:dyDescent="0.15">
      <c r="A374" s="181"/>
      <c r="B374" s="140" t="s">
        <v>86</v>
      </c>
      <c r="C374" s="140"/>
      <c r="E374" s="130"/>
      <c r="F374" s="152"/>
      <c r="G374" s="141" t="s">
        <v>813</v>
      </c>
      <c r="H374" s="237" t="s">
        <v>261</v>
      </c>
      <c r="I374" s="153"/>
    </row>
    <row r="375" spans="1:9" x14ac:dyDescent="0.15">
      <c r="A375" s="181"/>
      <c r="B375" s="140" t="s">
        <v>86</v>
      </c>
      <c r="C375" s="140"/>
      <c r="E375" s="130"/>
      <c r="F375" s="152"/>
      <c r="G375" s="141" t="s">
        <v>814</v>
      </c>
      <c r="H375" s="237" t="s">
        <v>1080</v>
      </c>
      <c r="I375" s="153"/>
    </row>
    <row r="376" spans="1:9" x14ac:dyDescent="0.15">
      <c r="A376" s="181"/>
      <c r="B376" s="140" t="s">
        <v>86</v>
      </c>
      <c r="C376" s="140"/>
      <c r="E376" s="130"/>
      <c r="F376" s="152"/>
      <c r="G376" s="141" t="s">
        <v>815</v>
      </c>
      <c r="H376" s="237" t="s">
        <v>411</v>
      </c>
      <c r="I376" s="153"/>
    </row>
    <row r="377" spans="1:9" x14ac:dyDescent="0.15">
      <c r="A377" s="181"/>
      <c r="B377" s="140" t="s">
        <v>86</v>
      </c>
      <c r="C377" s="140"/>
      <c r="E377" s="130"/>
      <c r="F377" s="152"/>
      <c r="G377" s="141" t="s">
        <v>816</v>
      </c>
      <c r="H377" s="237" t="s">
        <v>271</v>
      </c>
      <c r="I377" s="153"/>
    </row>
    <row r="378" spans="1:9" x14ac:dyDescent="0.15">
      <c r="A378" s="181"/>
      <c r="B378" s="140" t="s">
        <v>86</v>
      </c>
      <c r="C378" s="140"/>
      <c r="E378" s="130"/>
      <c r="F378" s="152"/>
      <c r="G378" s="141" t="s">
        <v>817</v>
      </c>
      <c r="H378" s="237" t="s">
        <v>402</v>
      </c>
      <c r="I378" s="153"/>
    </row>
    <row r="379" spans="1:9" x14ac:dyDescent="0.15">
      <c r="A379" s="181"/>
      <c r="B379" s="140" t="s">
        <v>86</v>
      </c>
      <c r="C379" s="140"/>
      <c r="E379" s="130"/>
      <c r="F379" s="152"/>
      <c r="G379" s="141" t="s">
        <v>818</v>
      </c>
      <c r="H379" s="237" t="s">
        <v>260</v>
      </c>
      <c r="I379" s="153"/>
    </row>
    <row r="380" spans="1:9" x14ac:dyDescent="0.15">
      <c r="A380" s="181"/>
      <c r="B380" s="140" t="s">
        <v>86</v>
      </c>
      <c r="C380" s="140"/>
      <c r="E380" s="130"/>
      <c r="F380" s="152"/>
      <c r="G380" s="141" t="s">
        <v>819</v>
      </c>
      <c r="H380" s="237" t="s">
        <v>413</v>
      </c>
      <c r="I380" s="153"/>
    </row>
    <row r="381" spans="1:9" x14ac:dyDescent="0.15">
      <c r="A381" s="181"/>
      <c r="B381" s="140" t="s">
        <v>86</v>
      </c>
      <c r="C381" s="140"/>
      <c r="E381" s="130"/>
      <c r="F381" s="152"/>
      <c r="G381" s="141" t="s">
        <v>820</v>
      </c>
      <c r="H381" s="237" t="s">
        <v>267</v>
      </c>
      <c r="I381" s="153"/>
    </row>
    <row r="382" spans="1:9" x14ac:dyDescent="0.15">
      <c r="A382" s="181"/>
      <c r="B382" s="140" t="s">
        <v>86</v>
      </c>
      <c r="C382" s="140"/>
      <c r="E382" s="130"/>
      <c r="F382" s="152"/>
      <c r="G382" s="141" t="s">
        <v>821</v>
      </c>
      <c r="H382" s="237" t="s">
        <v>1115</v>
      </c>
      <c r="I382" s="153"/>
    </row>
    <row r="383" spans="1:9" x14ac:dyDescent="0.15">
      <c r="A383" s="181"/>
      <c r="B383" s="140" t="s">
        <v>86</v>
      </c>
      <c r="C383" s="140"/>
      <c r="E383" s="130"/>
      <c r="F383" s="152"/>
      <c r="G383" s="141" t="s">
        <v>822</v>
      </c>
      <c r="H383" s="237" t="s">
        <v>414</v>
      </c>
      <c r="I383" s="153"/>
    </row>
    <row r="384" spans="1:9" x14ac:dyDescent="0.15">
      <c r="A384" s="181"/>
      <c r="B384" s="140" t="s">
        <v>86</v>
      </c>
      <c r="C384" s="140"/>
      <c r="E384" s="130"/>
      <c r="F384" s="152"/>
      <c r="G384" s="141" t="s">
        <v>823</v>
      </c>
      <c r="H384" s="237" t="s">
        <v>417</v>
      </c>
      <c r="I384" s="153"/>
    </row>
    <row r="385" spans="1:9" x14ac:dyDescent="0.15">
      <c r="A385" s="181"/>
      <c r="B385" s="140" t="s">
        <v>86</v>
      </c>
      <c r="C385" s="140"/>
      <c r="E385" s="130"/>
      <c r="F385" s="152"/>
      <c r="G385" s="141" t="s">
        <v>824</v>
      </c>
      <c r="H385" s="237" t="s">
        <v>285</v>
      </c>
      <c r="I385" s="153"/>
    </row>
    <row r="386" spans="1:9" x14ac:dyDescent="0.15">
      <c r="A386" s="181"/>
      <c r="B386" s="140" t="s">
        <v>86</v>
      </c>
      <c r="C386" s="140"/>
      <c r="E386" s="130"/>
      <c r="F386" s="152"/>
      <c r="G386" s="141" t="s">
        <v>825</v>
      </c>
      <c r="H386" s="237" t="s">
        <v>1112</v>
      </c>
      <c r="I386" s="153"/>
    </row>
    <row r="387" spans="1:9" x14ac:dyDescent="0.15">
      <c r="A387" s="181"/>
      <c r="B387" s="140" t="s">
        <v>86</v>
      </c>
      <c r="C387" s="140"/>
      <c r="E387" s="130"/>
      <c r="F387" s="152"/>
      <c r="G387" s="141" t="s">
        <v>826</v>
      </c>
      <c r="H387" s="237" t="s">
        <v>1118</v>
      </c>
      <c r="I387" s="153"/>
    </row>
    <row r="388" spans="1:9" x14ac:dyDescent="0.15">
      <c r="A388" s="181"/>
      <c r="B388" s="140" t="s">
        <v>86</v>
      </c>
      <c r="C388" s="140"/>
      <c r="E388" s="130"/>
      <c r="F388" s="152"/>
      <c r="G388" s="141" t="s">
        <v>827</v>
      </c>
      <c r="H388" s="237" t="s">
        <v>1100</v>
      </c>
      <c r="I388" s="153"/>
    </row>
    <row r="389" spans="1:9" x14ac:dyDescent="0.15">
      <c r="A389" s="181"/>
      <c r="B389" s="140" t="s">
        <v>86</v>
      </c>
      <c r="C389" s="140"/>
      <c r="E389" s="130"/>
      <c r="F389" s="152"/>
      <c r="G389" s="141" t="s">
        <v>828</v>
      </c>
      <c r="H389" s="237" t="s">
        <v>407</v>
      </c>
      <c r="I389" s="153"/>
    </row>
    <row r="390" spans="1:9" x14ac:dyDescent="0.15">
      <c r="A390" s="181"/>
      <c r="B390" s="140" t="s">
        <v>86</v>
      </c>
      <c r="C390" s="140"/>
      <c r="E390" s="130"/>
      <c r="F390" s="152"/>
      <c r="G390" s="141" t="s">
        <v>829</v>
      </c>
      <c r="H390" s="237" t="s">
        <v>257</v>
      </c>
      <c r="I390" s="153"/>
    </row>
    <row r="391" spans="1:9" x14ac:dyDescent="0.15">
      <c r="A391" s="181"/>
      <c r="B391" s="140" t="s">
        <v>86</v>
      </c>
      <c r="C391" s="140"/>
      <c r="E391" s="130"/>
      <c r="F391" s="152"/>
      <c r="G391" s="141" t="s">
        <v>830</v>
      </c>
      <c r="H391" s="237" t="s">
        <v>418</v>
      </c>
      <c r="I391" s="153"/>
    </row>
    <row r="392" spans="1:9" x14ac:dyDescent="0.15">
      <c r="A392" s="181"/>
      <c r="B392" s="140" t="s">
        <v>86</v>
      </c>
      <c r="C392" s="140"/>
      <c r="E392" s="130"/>
      <c r="F392" s="152"/>
      <c r="G392" s="141" t="s">
        <v>831</v>
      </c>
      <c r="H392" s="237" t="s">
        <v>1096</v>
      </c>
      <c r="I392" s="153"/>
    </row>
    <row r="393" spans="1:9" x14ac:dyDescent="0.15">
      <c r="A393" s="181"/>
      <c r="B393" s="140" t="s">
        <v>86</v>
      </c>
      <c r="C393" s="140"/>
      <c r="E393" s="130"/>
      <c r="F393" s="152"/>
      <c r="G393" s="141" t="s">
        <v>832</v>
      </c>
      <c r="H393" s="237" t="s">
        <v>284</v>
      </c>
      <c r="I393" s="153"/>
    </row>
    <row r="394" spans="1:9" x14ac:dyDescent="0.15">
      <c r="A394" s="181"/>
      <c r="B394" s="140" t="s">
        <v>86</v>
      </c>
      <c r="C394" s="140"/>
      <c r="E394" s="130"/>
      <c r="F394" s="152"/>
      <c r="G394" s="141" t="s">
        <v>833</v>
      </c>
      <c r="H394" s="237" t="s">
        <v>284</v>
      </c>
      <c r="I394" s="153"/>
    </row>
    <row r="395" spans="1:9" x14ac:dyDescent="0.15">
      <c r="A395" s="181"/>
      <c r="B395" s="140" t="s">
        <v>86</v>
      </c>
      <c r="C395" s="140"/>
      <c r="E395" s="130"/>
      <c r="F395" s="152"/>
      <c r="G395" s="141" t="s">
        <v>834</v>
      </c>
      <c r="H395" s="237" t="s">
        <v>425</v>
      </c>
      <c r="I395" s="153"/>
    </row>
    <row r="396" spans="1:9" x14ac:dyDescent="0.15">
      <c r="A396" s="181"/>
      <c r="B396" s="140" t="s">
        <v>86</v>
      </c>
      <c r="C396" s="140"/>
      <c r="E396" s="130"/>
      <c r="F396" s="152"/>
      <c r="G396" s="141" t="s">
        <v>835</v>
      </c>
      <c r="H396" s="237" t="s">
        <v>1115</v>
      </c>
      <c r="I396" s="153"/>
    </row>
    <row r="397" spans="1:9" x14ac:dyDescent="0.15">
      <c r="A397" s="181"/>
      <c r="B397" s="140" t="s">
        <v>86</v>
      </c>
      <c r="C397" s="140"/>
      <c r="E397" s="130"/>
      <c r="F397" s="152"/>
      <c r="G397" s="141" t="s">
        <v>836</v>
      </c>
      <c r="H397" s="237" t="s">
        <v>418</v>
      </c>
      <c r="I397" s="153"/>
    </row>
    <row r="398" spans="1:9" x14ac:dyDescent="0.15">
      <c r="A398" s="181"/>
      <c r="B398" s="140" t="s">
        <v>86</v>
      </c>
      <c r="C398" s="140"/>
      <c r="E398" s="130"/>
      <c r="F398" s="152"/>
      <c r="G398" s="141" t="s">
        <v>837</v>
      </c>
      <c r="H398" s="237" t="s">
        <v>419</v>
      </c>
      <c r="I398" s="153"/>
    </row>
    <row r="399" spans="1:9" x14ac:dyDescent="0.15">
      <c r="A399" s="181"/>
      <c r="B399" s="140" t="s">
        <v>86</v>
      </c>
      <c r="C399" s="140"/>
      <c r="E399" s="130"/>
      <c r="F399" s="152"/>
      <c r="G399" s="141" t="s">
        <v>838</v>
      </c>
      <c r="H399" s="237" t="s">
        <v>265</v>
      </c>
      <c r="I399" s="153"/>
    </row>
    <row r="400" spans="1:9" x14ac:dyDescent="0.15">
      <c r="A400" s="181"/>
      <c r="B400" s="140" t="s">
        <v>86</v>
      </c>
      <c r="C400" s="140"/>
      <c r="E400" s="130"/>
      <c r="F400" s="152"/>
      <c r="G400" s="141" t="s">
        <v>839</v>
      </c>
      <c r="H400" s="237" t="s">
        <v>292</v>
      </c>
      <c r="I400" s="153"/>
    </row>
    <row r="401" spans="1:9" x14ac:dyDescent="0.15">
      <c r="A401" s="181"/>
      <c r="B401" s="140" t="s">
        <v>86</v>
      </c>
      <c r="C401" s="140"/>
      <c r="E401" s="130"/>
      <c r="F401" s="152"/>
      <c r="G401" s="141" t="s">
        <v>840</v>
      </c>
      <c r="H401" s="237" t="s">
        <v>263</v>
      </c>
      <c r="I401" s="153"/>
    </row>
    <row r="402" spans="1:9" x14ac:dyDescent="0.15">
      <c r="A402" s="181"/>
      <c r="B402" s="140" t="s">
        <v>86</v>
      </c>
      <c r="C402" s="140"/>
      <c r="E402" s="130"/>
      <c r="F402" s="152"/>
      <c r="G402" s="141" t="s">
        <v>841</v>
      </c>
      <c r="H402" s="237" t="s">
        <v>1086</v>
      </c>
      <c r="I402" s="153"/>
    </row>
    <row r="403" spans="1:9" x14ac:dyDescent="0.15">
      <c r="A403" s="181"/>
      <c r="B403" s="140" t="s">
        <v>86</v>
      </c>
      <c r="C403" s="140"/>
      <c r="E403" s="130"/>
      <c r="F403" s="152"/>
      <c r="G403" s="141" t="s">
        <v>842</v>
      </c>
      <c r="H403" s="237" t="s">
        <v>1080</v>
      </c>
      <c r="I403" s="153"/>
    </row>
    <row r="404" spans="1:9" x14ac:dyDescent="0.15">
      <c r="A404" s="181"/>
      <c r="B404" s="140" t="s">
        <v>86</v>
      </c>
      <c r="C404" s="140"/>
      <c r="E404" s="130"/>
      <c r="F404" s="152"/>
      <c r="G404" s="141" t="s">
        <v>843</v>
      </c>
      <c r="H404" s="237" t="s">
        <v>417</v>
      </c>
      <c r="I404" s="153"/>
    </row>
    <row r="405" spans="1:9" x14ac:dyDescent="0.15">
      <c r="A405" s="181"/>
      <c r="B405" s="140" t="s">
        <v>86</v>
      </c>
      <c r="C405" s="140"/>
      <c r="E405" s="130"/>
      <c r="F405" s="152"/>
      <c r="G405" s="141" t="s">
        <v>844</v>
      </c>
      <c r="H405" s="237" t="s">
        <v>1119</v>
      </c>
      <c r="I405" s="153"/>
    </row>
    <row r="406" spans="1:9" x14ac:dyDescent="0.15">
      <c r="A406" s="181"/>
      <c r="B406" s="140" t="s">
        <v>86</v>
      </c>
      <c r="C406" s="140"/>
      <c r="E406" s="130"/>
      <c r="F406" s="152"/>
      <c r="G406" s="141" t="s">
        <v>845</v>
      </c>
      <c r="H406" s="237" t="s">
        <v>413</v>
      </c>
      <c r="I406" s="153"/>
    </row>
    <row r="407" spans="1:9" x14ac:dyDescent="0.15">
      <c r="A407" s="181"/>
      <c r="B407" s="140" t="s">
        <v>86</v>
      </c>
      <c r="C407" s="140"/>
      <c r="E407" s="130"/>
      <c r="F407" s="152"/>
      <c r="G407" s="141" t="s">
        <v>846</v>
      </c>
      <c r="H407" s="237" t="s">
        <v>295</v>
      </c>
      <c r="I407" s="153"/>
    </row>
    <row r="408" spans="1:9" x14ac:dyDescent="0.15">
      <c r="A408" s="181"/>
      <c r="B408" s="140" t="s">
        <v>86</v>
      </c>
      <c r="C408" s="140"/>
      <c r="E408" s="130"/>
      <c r="F408" s="152"/>
      <c r="G408" s="141" t="s">
        <v>847</v>
      </c>
      <c r="H408" s="237" t="s">
        <v>1113</v>
      </c>
      <c r="I408" s="153"/>
    </row>
    <row r="409" spans="1:9" x14ac:dyDescent="0.15">
      <c r="A409" s="181"/>
      <c r="B409" s="140" t="s">
        <v>86</v>
      </c>
      <c r="C409" s="140"/>
      <c r="E409" s="130"/>
      <c r="F409" s="152"/>
      <c r="G409" s="141" t="s">
        <v>848</v>
      </c>
      <c r="H409" s="237" t="s">
        <v>1096</v>
      </c>
      <c r="I409" s="153"/>
    </row>
    <row r="410" spans="1:9" x14ac:dyDescent="0.15">
      <c r="A410" s="181"/>
      <c r="B410" s="140" t="s">
        <v>86</v>
      </c>
      <c r="C410" s="140"/>
      <c r="E410" s="130"/>
      <c r="F410" s="152"/>
      <c r="G410" s="141" t="s">
        <v>849</v>
      </c>
      <c r="H410" s="237" t="s">
        <v>411</v>
      </c>
      <c r="I410" s="153"/>
    </row>
    <row r="411" spans="1:9" x14ac:dyDescent="0.15">
      <c r="A411" s="181"/>
      <c r="B411" s="140" t="s">
        <v>86</v>
      </c>
      <c r="C411" s="140"/>
      <c r="E411" s="130"/>
      <c r="F411" s="152"/>
      <c r="G411" s="141" t="s">
        <v>850</v>
      </c>
      <c r="H411" s="237" t="s">
        <v>271</v>
      </c>
      <c r="I411" s="153"/>
    </row>
    <row r="412" spans="1:9" x14ac:dyDescent="0.15">
      <c r="A412" s="181"/>
      <c r="B412" s="140" t="s">
        <v>86</v>
      </c>
      <c r="C412" s="140"/>
      <c r="E412" s="130"/>
      <c r="F412" s="152"/>
      <c r="G412" s="141" t="s">
        <v>851</v>
      </c>
      <c r="H412" s="237" t="s">
        <v>402</v>
      </c>
      <c r="I412" s="153"/>
    </row>
    <row r="413" spans="1:9" x14ac:dyDescent="0.15">
      <c r="A413" s="181"/>
      <c r="B413" s="140" t="s">
        <v>86</v>
      </c>
      <c r="C413" s="140"/>
      <c r="E413" s="130"/>
      <c r="F413" s="152"/>
      <c r="G413" s="141" t="s">
        <v>852</v>
      </c>
      <c r="H413" s="237" t="s">
        <v>266</v>
      </c>
      <c r="I413" s="153"/>
    </row>
    <row r="414" spans="1:9" x14ac:dyDescent="0.15">
      <c r="A414" s="181"/>
      <c r="B414" s="140" t="s">
        <v>86</v>
      </c>
      <c r="C414" s="140"/>
      <c r="E414" s="130"/>
      <c r="F414" s="152"/>
      <c r="G414" s="141" t="s">
        <v>853</v>
      </c>
      <c r="H414" s="237" t="s">
        <v>415</v>
      </c>
      <c r="I414" s="153"/>
    </row>
    <row r="415" spans="1:9" x14ac:dyDescent="0.15">
      <c r="A415" s="181"/>
      <c r="B415" s="140" t="s">
        <v>86</v>
      </c>
      <c r="C415" s="140"/>
      <c r="E415" s="130"/>
      <c r="F415" s="152"/>
      <c r="G415" s="141" t="s">
        <v>854</v>
      </c>
      <c r="H415" s="237" t="s">
        <v>264</v>
      </c>
      <c r="I415" s="153"/>
    </row>
    <row r="416" spans="1:9" x14ac:dyDescent="0.15">
      <c r="A416" s="181"/>
      <c r="B416" s="140" t="s">
        <v>86</v>
      </c>
      <c r="C416" s="140"/>
      <c r="E416" s="130"/>
      <c r="F416" s="152"/>
      <c r="G416" s="141" t="s">
        <v>855</v>
      </c>
      <c r="H416" s="237" t="s">
        <v>1086</v>
      </c>
      <c r="I416" s="153"/>
    </row>
    <row r="417" spans="1:9" x14ac:dyDescent="0.15">
      <c r="A417" s="181"/>
      <c r="B417" s="140" t="s">
        <v>86</v>
      </c>
      <c r="C417" s="140"/>
      <c r="E417" s="130"/>
      <c r="F417" s="152"/>
      <c r="G417" s="141" t="s">
        <v>856</v>
      </c>
      <c r="H417" s="237" t="s">
        <v>1080</v>
      </c>
      <c r="I417" s="153"/>
    </row>
    <row r="418" spans="1:9" x14ac:dyDescent="0.15">
      <c r="A418" s="181"/>
      <c r="B418" s="140" t="s">
        <v>86</v>
      </c>
      <c r="C418" s="140"/>
      <c r="E418" s="130"/>
      <c r="F418" s="152"/>
      <c r="G418" s="141" t="s">
        <v>857</v>
      </c>
      <c r="H418" s="237" t="s">
        <v>417</v>
      </c>
      <c r="I418" s="153"/>
    </row>
    <row r="419" spans="1:9" x14ac:dyDescent="0.15">
      <c r="A419" s="181"/>
      <c r="B419" s="140" t="s">
        <v>86</v>
      </c>
      <c r="C419" s="140"/>
      <c r="E419" s="130"/>
      <c r="F419" s="152"/>
      <c r="G419" s="141" t="s">
        <v>858</v>
      </c>
      <c r="H419" s="237" t="s">
        <v>1120</v>
      </c>
      <c r="I419" s="153"/>
    </row>
    <row r="420" spans="1:9" x14ac:dyDescent="0.15">
      <c r="A420" s="181"/>
      <c r="B420" s="140" t="s">
        <v>86</v>
      </c>
      <c r="C420" s="140"/>
      <c r="E420" s="130"/>
      <c r="F420" s="152"/>
      <c r="G420" s="141" t="s">
        <v>859</v>
      </c>
      <c r="H420" s="237" t="s">
        <v>413</v>
      </c>
      <c r="I420" s="153"/>
    </row>
    <row r="421" spans="1:9" x14ac:dyDescent="0.15">
      <c r="A421" s="181"/>
      <c r="B421" s="140" t="s">
        <v>86</v>
      </c>
      <c r="C421" s="140"/>
      <c r="E421" s="130"/>
      <c r="F421" s="152"/>
      <c r="G421" s="141" t="s">
        <v>860</v>
      </c>
      <c r="H421" s="237" t="s">
        <v>295</v>
      </c>
      <c r="I421" s="153"/>
    </row>
    <row r="422" spans="1:9" x14ac:dyDescent="0.15">
      <c r="A422" s="181"/>
      <c r="B422" s="140" t="s">
        <v>86</v>
      </c>
      <c r="C422" s="140"/>
      <c r="E422" s="130"/>
      <c r="F422" s="152"/>
      <c r="G422" s="141" t="s">
        <v>861</v>
      </c>
      <c r="H422" s="237" t="s">
        <v>286</v>
      </c>
      <c r="I422" s="153"/>
    </row>
    <row r="423" spans="1:9" x14ac:dyDescent="0.15">
      <c r="A423" s="181"/>
      <c r="B423" s="140" t="s">
        <v>86</v>
      </c>
      <c r="C423" s="140"/>
      <c r="E423" s="130"/>
      <c r="F423" s="152"/>
      <c r="G423" s="141" t="s">
        <v>862</v>
      </c>
      <c r="H423" s="237" t="s">
        <v>415</v>
      </c>
      <c r="I423" s="153"/>
    </row>
    <row r="424" spans="1:9" x14ac:dyDescent="0.15">
      <c r="A424" s="181"/>
      <c r="B424" s="140" t="s">
        <v>86</v>
      </c>
      <c r="C424" s="140"/>
      <c r="E424" s="130"/>
      <c r="F424" s="152"/>
      <c r="G424" s="141" t="s">
        <v>863</v>
      </c>
      <c r="H424" s="237" t="s">
        <v>1119</v>
      </c>
      <c r="I424" s="153"/>
    </row>
    <row r="425" spans="1:9" x14ac:dyDescent="0.15">
      <c r="A425" s="181"/>
      <c r="B425" s="140" t="s">
        <v>86</v>
      </c>
      <c r="C425" s="140"/>
      <c r="E425" s="130"/>
      <c r="F425" s="152"/>
      <c r="G425" s="141" t="s">
        <v>864</v>
      </c>
      <c r="H425" s="237" t="s">
        <v>418</v>
      </c>
      <c r="I425" s="153"/>
    </row>
    <row r="426" spans="1:9" x14ac:dyDescent="0.15">
      <c r="A426" s="181"/>
      <c r="B426" s="140" t="s">
        <v>86</v>
      </c>
      <c r="C426" s="140"/>
      <c r="E426" s="130"/>
      <c r="F426" s="152"/>
      <c r="G426" s="141" t="s">
        <v>865</v>
      </c>
      <c r="H426" s="237" t="s">
        <v>261</v>
      </c>
      <c r="I426" s="153"/>
    </row>
    <row r="427" spans="1:9" x14ac:dyDescent="0.15">
      <c r="A427" s="181"/>
      <c r="B427" s="140" t="s">
        <v>86</v>
      </c>
      <c r="C427" s="140"/>
      <c r="E427" s="130"/>
      <c r="F427" s="152"/>
      <c r="G427" s="141" t="s">
        <v>866</v>
      </c>
      <c r="H427" s="237" t="s">
        <v>1121</v>
      </c>
      <c r="I427" s="153"/>
    </row>
    <row r="428" spans="1:9" x14ac:dyDescent="0.15">
      <c r="A428" s="181"/>
      <c r="B428" s="140" t="s">
        <v>86</v>
      </c>
      <c r="C428" s="140"/>
      <c r="E428" s="130"/>
      <c r="F428" s="152"/>
      <c r="G428" s="141" t="s">
        <v>867</v>
      </c>
      <c r="H428" s="237" t="s">
        <v>415</v>
      </c>
      <c r="I428" s="153"/>
    </row>
    <row r="429" spans="1:9" x14ac:dyDescent="0.15">
      <c r="A429" s="181"/>
      <c r="B429" s="140" t="s">
        <v>86</v>
      </c>
      <c r="C429" s="140"/>
      <c r="E429" s="130"/>
      <c r="F429" s="152"/>
      <c r="G429" s="141" t="s">
        <v>868</v>
      </c>
      <c r="H429" s="237" t="s">
        <v>1097</v>
      </c>
      <c r="I429" s="153"/>
    </row>
    <row r="430" spans="1:9" x14ac:dyDescent="0.15">
      <c r="A430" s="181"/>
      <c r="B430" s="140" t="s">
        <v>86</v>
      </c>
      <c r="C430" s="140"/>
      <c r="E430" s="130"/>
      <c r="F430" s="152"/>
      <c r="G430" s="141" t="s">
        <v>869</v>
      </c>
      <c r="H430" s="237" t="s">
        <v>1086</v>
      </c>
      <c r="I430" s="153"/>
    </row>
    <row r="431" spans="1:9" x14ac:dyDescent="0.15">
      <c r="A431" s="181"/>
      <c r="B431" s="140" t="s">
        <v>86</v>
      </c>
      <c r="C431" s="140"/>
      <c r="E431" s="130"/>
      <c r="F431" s="152"/>
      <c r="G431" s="141" t="s">
        <v>870</v>
      </c>
      <c r="H431" s="237" t="s">
        <v>1080</v>
      </c>
      <c r="I431" s="153"/>
    </row>
    <row r="432" spans="1:9" x14ac:dyDescent="0.15">
      <c r="A432" s="181"/>
      <c r="B432" s="140" t="s">
        <v>86</v>
      </c>
      <c r="C432" s="140"/>
      <c r="E432" s="130"/>
      <c r="F432" s="152"/>
      <c r="G432" s="141" t="s">
        <v>871</v>
      </c>
      <c r="H432" s="237" t="s">
        <v>417</v>
      </c>
      <c r="I432" s="153"/>
    </row>
    <row r="433" spans="1:9" x14ac:dyDescent="0.15">
      <c r="A433" s="181"/>
      <c r="B433" s="140" t="s">
        <v>86</v>
      </c>
      <c r="C433" s="140"/>
      <c r="E433" s="130"/>
      <c r="F433" s="152"/>
      <c r="G433" s="141" t="s">
        <v>872</v>
      </c>
      <c r="H433" s="237" t="s">
        <v>1077</v>
      </c>
      <c r="I433" s="153"/>
    </row>
    <row r="434" spans="1:9" x14ac:dyDescent="0.15">
      <c r="A434" s="181"/>
      <c r="B434" s="140" t="s">
        <v>86</v>
      </c>
      <c r="C434" s="140"/>
      <c r="E434" s="130"/>
      <c r="F434" s="152"/>
      <c r="G434" s="141" t="s">
        <v>873</v>
      </c>
      <c r="H434" s="237" t="s">
        <v>1086</v>
      </c>
      <c r="I434" s="153"/>
    </row>
    <row r="435" spans="1:9" x14ac:dyDescent="0.15">
      <c r="A435" s="181"/>
      <c r="B435" s="140" t="s">
        <v>86</v>
      </c>
      <c r="C435" s="140"/>
      <c r="E435" s="130"/>
      <c r="F435" s="152"/>
      <c r="G435" s="141" t="s">
        <v>874</v>
      </c>
      <c r="H435" s="237" t="s">
        <v>1080</v>
      </c>
      <c r="I435" s="153"/>
    </row>
    <row r="436" spans="1:9" x14ac:dyDescent="0.15">
      <c r="A436" s="181"/>
      <c r="B436" s="140" t="s">
        <v>86</v>
      </c>
      <c r="C436" s="140"/>
      <c r="E436" s="130"/>
      <c r="F436" s="152"/>
      <c r="G436" s="141" t="s">
        <v>875</v>
      </c>
      <c r="H436" s="237" t="s">
        <v>417</v>
      </c>
      <c r="I436" s="153"/>
    </row>
    <row r="437" spans="1:9" x14ac:dyDescent="0.15">
      <c r="A437" s="181"/>
      <c r="B437" s="140" t="s">
        <v>86</v>
      </c>
      <c r="C437" s="140"/>
      <c r="E437" s="130"/>
      <c r="F437" s="152"/>
      <c r="G437" s="141" t="s">
        <v>876</v>
      </c>
      <c r="H437" s="237" t="s">
        <v>408</v>
      </c>
      <c r="I437" s="153"/>
    </row>
    <row r="438" spans="1:9" x14ac:dyDescent="0.15">
      <c r="A438" s="181"/>
      <c r="B438" s="140" t="s">
        <v>86</v>
      </c>
      <c r="C438" s="140"/>
      <c r="E438" s="130"/>
      <c r="F438" s="152"/>
      <c r="G438" s="141" t="s">
        <v>877</v>
      </c>
      <c r="H438" s="237" t="s">
        <v>1098</v>
      </c>
      <c r="I438" s="153"/>
    </row>
    <row r="439" spans="1:9" x14ac:dyDescent="0.15">
      <c r="A439" s="181"/>
      <c r="B439" s="140" t="s">
        <v>86</v>
      </c>
      <c r="C439" s="140"/>
      <c r="E439" s="130"/>
      <c r="F439" s="152"/>
      <c r="G439" s="141" t="s">
        <v>878</v>
      </c>
      <c r="H439" s="237" t="s">
        <v>254</v>
      </c>
      <c r="I439" s="153"/>
    </row>
    <row r="440" spans="1:9" x14ac:dyDescent="0.15">
      <c r="A440" s="181"/>
      <c r="B440" s="140" t="s">
        <v>86</v>
      </c>
      <c r="C440" s="140"/>
      <c r="E440" s="130"/>
      <c r="F440" s="152"/>
      <c r="G440" s="141" t="s">
        <v>879</v>
      </c>
      <c r="H440" s="237" t="s">
        <v>1098</v>
      </c>
      <c r="I440" s="153"/>
    </row>
    <row r="441" spans="1:9" x14ac:dyDescent="0.15">
      <c r="A441" s="181"/>
      <c r="B441" s="140" t="s">
        <v>86</v>
      </c>
      <c r="C441" s="140"/>
      <c r="E441" s="130"/>
      <c r="F441" s="152"/>
      <c r="G441" s="141" t="s">
        <v>880</v>
      </c>
      <c r="H441" s="237" t="s">
        <v>1094</v>
      </c>
      <c r="I441" s="153"/>
    </row>
    <row r="442" spans="1:9" x14ac:dyDescent="0.15">
      <c r="A442" s="181"/>
      <c r="B442" s="140" t="s">
        <v>86</v>
      </c>
      <c r="C442" s="140"/>
      <c r="E442" s="130"/>
      <c r="F442" s="152"/>
      <c r="G442" s="141" t="s">
        <v>881</v>
      </c>
      <c r="H442" s="237" t="s">
        <v>1098</v>
      </c>
      <c r="I442" s="153"/>
    </row>
    <row r="443" spans="1:9" x14ac:dyDescent="0.15">
      <c r="A443" s="181"/>
      <c r="B443" s="140" t="s">
        <v>86</v>
      </c>
      <c r="C443" s="140"/>
      <c r="E443" s="130"/>
      <c r="F443" s="152"/>
      <c r="G443" s="141" t="s">
        <v>882</v>
      </c>
      <c r="H443" s="237" t="s">
        <v>288</v>
      </c>
      <c r="I443" s="153"/>
    </row>
    <row r="444" spans="1:9" x14ac:dyDescent="0.15">
      <c r="A444" s="181"/>
      <c r="B444" s="140" t="s">
        <v>86</v>
      </c>
      <c r="C444" s="140"/>
      <c r="E444" s="130"/>
      <c r="F444" s="152"/>
      <c r="G444" s="141" t="s">
        <v>883</v>
      </c>
      <c r="H444" s="237" t="s">
        <v>1099</v>
      </c>
      <c r="I444" s="153"/>
    </row>
    <row r="445" spans="1:9" x14ac:dyDescent="0.15">
      <c r="A445" s="181"/>
      <c r="B445" s="140" t="s">
        <v>86</v>
      </c>
      <c r="C445" s="140"/>
      <c r="E445" s="130"/>
      <c r="F445" s="152"/>
      <c r="G445" s="141" t="s">
        <v>884</v>
      </c>
      <c r="H445" s="237" t="s">
        <v>286</v>
      </c>
      <c r="I445" s="153"/>
    </row>
    <row r="446" spans="1:9" x14ac:dyDescent="0.15">
      <c r="A446" s="181"/>
      <c r="B446" s="140" t="s">
        <v>86</v>
      </c>
      <c r="C446" s="140"/>
      <c r="E446" s="130"/>
      <c r="F446" s="152"/>
      <c r="G446" s="141" t="s">
        <v>885</v>
      </c>
      <c r="H446" s="148" t="s">
        <v>85</v>
      </c>
      <c r="I446" s="153"/>
    </row>
    <row r="447" spans="1:9" x14ac:dyDescent="0.15">
      <c r="A447" s="181"/>
      <c r="B447" s="140" t="s">
        <v>86</v>
      </c>
      <c r="C447" s="140"/>
      <c r="E447" s="130"/>
      <c r="F447" s="152"/>
      <c r="G447" s="141" t="s">
        <v>886</v>
      </c>
      <c r="H447" s="237" t="s">
        <v>287</v>
      </c>
      <c r="I447" s="153"/>
    </row>
    <row r="448" spans="1:9" x14ac:dyDescent="0.15">
      <c r="A448" s="181"/>
      <c r="B448" s="140" t="s">
        <v>86</v>
      </c>
      <c r="C448" s="140"/>
      <c r="E448" s="130"/>
      <c r="F448" s="152"/>
      <c r="G448" s="141" t="s">
        <v>887</v>
      </c>
      <c r="H448" s="237" t="s">
        <v>274</v>
      </c>
      <c r="I448" s="153"/>
    </row>
    <row r="449" spans="1:9" x14ac:dyDescent="0.15">
      <c r="A449" s="181"/>
      <c r="B449" s="140" t="s">
        <v>86</v>
      </c>
      <c r="C449" s="140"/>
      <c r="E449" s="130"/>
      <c r="F449" s="152"/>
      <c r="G449" s="141" t="s">
        <v>888</v>
      </c>
      <c r="H449" s="237" t="s">
        <v>269</v>
      </c>
      <c r="I449" s="153"/>
    </row>
    <row r="450" spans="1:9" x14ac:dyDescent="0.15">
      <c r="A450" s="181"/>
      <c r="B450" s="140" t="s">
        <v>86</v>
      </c>
      <c r="C450" s="140"/>
      <c r="E450" s="130"/>
      <c r="F450" s="152"/>
      <c r="G450" s="141" t="s">
        <v>889</v>
      </c>
      <c r="H450" s="237" t="s">
        <v>287</v>
      </c>
      <c r="I450" s="153"/>
    </row>
    <row r="451" spans="1:9" x14ac:dyDescent="0.15">
      <c r="A451" s="146"/>
      <c r="B451" s="146"/>
      <c r="C451" s="146"/>
      <c r="E451" s="130"/>
      <c r="F451" s="152"/>
      <c r="G451" s="141"/>
      <c r="H451" s="142"/>
      <c r="I451" s="150"/>
    </row>
    <row r="452" spans="1:9" x14ac:dyDescent="0.15">
      <c r="A452" s="145"/>
      <c r="B452" s="146"/>
      <c r="C452" s="146"/>
      <c r="E452" s="130"/>
      <c r="F452" s="152"/>
      <c r="G452" s="141"/>
      <c r="H452" s="142"/>
      <c r="I452" s="150"/>
    </row>
    <row r="453" spans="1:9" x14ac:dyDescent="0.15">
      <c r="A453" s="145"/>
      <c r="B453" s="146"/>
      <c r="C453" s="146"/>
      <c r="D453" s="129"/>
      <c r="E453" s="130"/>
      <c r="F453" s="131" t="s">
        <v>247</v>
      </c>
      <c r="G453" s="132"/>
      <c r="H453" s="133"/>
      <c r="I453" s="149"/>
    </row>
    <row r="454" spans="1:9" x14ac:dyDescent="0.15">
      <c r="A454" s="134" t="s">
        <v>447</v>
      </c>
      <c r="B454" s="135" t="s">
        <v>448</v>
      </c>
      <c r="C454" s="135" t="s">
        <v>449</v>
      </c>
      <c r="D454" s="151"/>
      <c r="E454" s="130"/>
      <c r="F454" s="136"/>
      <c r="G454" s="137" t="s">
        <v>125</v>
      </c>
      <c r="H454" s="138" t="s">
        <v>450</v>
      </c>
    </row>
    <row r="455" spans="1:9" x14ac:dyDescent="0.15">
      <c r="A455" s="181"/>
      <c r="B455" s="140" t="s">
        <v>86</v>
      </c>
      <c r="C455" s="140"/>
      <c r="D455" s="151"/>
      <c r="E455" s="130"/>
      <c r="F455" s="152"/>
      <c r="G455" s="141" t="s">
        <v>890</v>
      </c>
      <c r="H455" s="148" t="s">
        <v>85</v>
      </c>
      <c r="I455" s="143"/>
    </row>
    <row r="456" spans="1:9" x14ac:dyDescent="0.15">
      <c r="A456" s="145"/>
      <c r="B456" s="146"/>
      <c r="C456" s="146"/>
      <c r="D456" s="129"/>
      <c r="E456" s="130"/>
      <c r="F456" s="136"/>
      <c r="G456" s="147"/>
      <c r="H456" s="148"/>
      <c r="I456" s="149"/>
    </row>
    <row r="457" spans="1:9" x14ac:dyDescent="0.15">
      <c r="A457" s="145"/>
      <c r="B457" s="146"/>
      <c r="C457" s="146"/>
      <c r="D457" s="129"/>
      <c r="E457" s="130"/>
      <c r="F457" s="154"/>
      <c r="G457" s="147"/>
      <c r="H457" s="148"/>
      <c r="I457" s="149"/>
    </row>
    <row r="458" spans="1:9" x14ac:dyDescent="0.15">
      <c r="A458" s="145"/>
      <c r="B458" s="146"/>
      <c r="C458" s="146"/>
      <c r="D458" s="129"/>
      <c r="E458" s="130"/>
      <c r="F458" s="131" t="s">
        <v>891</v>
      </c>
      <c r="G458" s="132"/>
      <c r="H458" s="133"/>
      <c r="I458" s="149"/>
    </row>
    <row r="459" spans="1:9" x14ac:dyDescent="0.15">
      <c r="A459" s="134" t="s">
        <v>447</v>
      </c>
      <c r="B459" s="135" t="s">
        <v>448</v>
      </c>
      <c r="C459" s="135" t="s">
        <v>449</v>
      </c>
      <c r="D459" s="151"/>
      <c r="E459" s="130"/>
      <c r="F459" s="136"/>
      <c r="G459" s="137" t="s">
        <v>125</v>
      </c>
      <c r="H459" s="138" t="s">
        <v>450</v>
      </c>
    </row>
    <row r="460" spans="1:9" x14ac:dyDescent="0.15">
      <c r="A460" s="139" t="s">
        <v>892</v>
      </c>
      <c r="B460" s="140" t="s">
        <v>86</v>
      </c>
      <c r="C460" s="140" t="s">
        <v>893</v>
      </c>
      <c r="D460" s="151"/>
      <c r="E460" s="130"/>
      <c r="F460" s="152"/>
      <c r="G460" s="141" t="s">
        <v>248</v>
      </c>
      <c r="H460" s="237" t="s">
        <v>284</v>
      </c>
      <c r="I460" s="143"/>
    </row>
    <row r="461" spans="1:9" x14ac:dyDescent="0.15">
      <c r="A461" s="139" t="s">
        <v>894</v>
      </c>
      <c r="B461" s="140" t="s">
        <v>86</v>
      </c>
      <c r="C461" s="140" t="s">
        <v>893</v>
      </c>
      <c r="D461" s="151"/>
      <c r="E461" s="130"/>
      <c r="F461" s="152"/>
      <c r="G461" s="141" t="s">
        <v>249</v>
      </c>
      <c r="H461" s="237" t="s">
        <v>284</v>
      </c>
      <c r="I461" s="143"/>
    </row>
    <row r="462" spans="1:9" x14ac:dyDescent="0.15">
      <c r="A462" s="145"/>
      <c r="B462" s="146"/>
      <c r="C462" s="146"/>
      <c r="D462" s="129"/>
      <c r="E462" s="130"/>
      <c r="F462" s="136"/>
      <c r="G462" s="147"/>
      <c r="H462" s="148"/>
      <c r="I462" s="149"/>
    </row>
    <row r="463" spans="1:9" x14ac:dyDescent="0.15">
      <c r="A463" s="145"/>
      <c r="B463" s="146"/>
      <c r="C463" s="146"/>
      <c r="D463" s="129"/>
      <c r="E463" s="130"/>
      <c r="F463" s="154"/>
      <c r="G463" s="147"/>
      <c r="H463" s="148"/>
      <c r="I463" s="149"/>
    </row>
    <row r="464" spans="1:9" x14ac:dyDescent="0.15">
      <c r="A464" s="145"/>
      <c r="B464" s="146"/>
      <c r="C464" s="146"/>
      <c r="D464" s="129"/>
      <c r="E464" s="130"/>
      <c r="F464" s="131" t="s">
        <v>895</v>
      </c>
      <c r="G464" s="132"/>
      <c r="H464" s="133"/>
      <c r="I464" s="149"/>
    </row>
    <row r="465" spans="1:9" x14ac:dyDescent="0.15">
      <c r="A465" s="134" t="s">
        <v>447</v>
      </c>
      <c r="B465" s="135" t="s">
        <v>448</v>
      </c>
      <c r="C465" s="135" t="s">
        <v>449</v>
      </c>
      <c r="D465" s="151"/>
      <c r="E465" s="130"/>
      <c r="F465" s="136"/>
      <c r="G465" s="137" t="s">
        <v>125</v>
      </c>
      <c r="H465" s="138" t="s">
        <v>450</v>
      </c>
    </row>
    <row r="466" spans="1:9" x14ac:dyDescent="0.15">
      <c r="A466" s="139" t="s">
        <v>115</v>
      </c>
      <c r="B466" s="140" t="s">
        <v>1122</v>
      </c>
      <c r="C466" s="140"/>
      <c r="D466" s="151"/>
      <c r="E466" s="130"/>
      <c r="F466" s="152"/>
      <c r="G466" s="141" t="s">
        <v>250</v>
      </c>
      <c r="H466" s="148" t="s">
        <v>400</v>
      </c>
      <c r="I466" s="143"/>
    </row>
    <row r="467" spans="1:9" x14ac:dyDescent="0.15">
      <c r="A467" s="145"/>
      <c r="B467" s="146"/>
      <c r="C467" s="146"/>
      <c r="D467" s="129"/>
      <c r="E467" s="130"/>
      <c r="F467" s="136"/>
      <c r="G467" s="147"/>
      <c r="H467" s="148"/>
      <c r="I467" s="149"/>
    </row>
    <row r="468" spans="1:9" x14ac:dyDescent="0.15">
      <c r="A468" s="145"/>
      <c r="B468" s="146"/>
      <c r="C468" s="146"/>
      <c r="D468" s="129"/>
      <c r="E468" s="130"/>
      <c r="F468" s="154"/>
      <c r="G468" s="147"/>
      <c r="H468" s="148"/>
      <c r="I468" s="149"/>
    </row>
    <row r="469" spans="1:9" x14ac:dyDescent="0.15">
      <c r="A469" s="230"/>
      <c r="B469" s="146"/>
      <c r="C469" s="230"/>
      <c r="D469" s="231"/>
      <c r="E469" s="128"/>
      <c r="F469" s="136" t="s">
        <v>1068</v>
      </c>
      <c r="G469" s="185"/>
      <c r="H469" s="232"/>
      <c r="I469" s="108"/>
    </row>
    <row r="470" spans="1:9" x14ac:dyDescent="0.15">
      <c r="A470" s="134" t="s">
        <v>447</v>
      </c>
      <c r="B470" s="135" t="s">
        <v>448</v>
      </c>
      <c r="C470" s="135" t="s">
        <v>449</v>
      </c>
      <c r="D470" s="231"/>
      <c r="E470" s="128"/>
      <c r="F470" s="136"/>
      <c r="G470" s="137" t="s">
        <v>125</v>
      </c>
      <c r="H470" s="138" t="s">
        <v>450</v>
      </c>
      <c r="I470" s="108"/>
    </row>
    <row r="471" spans="1:9" s="174" customFormat="1" x14ac:dyDescent="0.15">
      <c r="A471" s="139" t="s">
        <v>1069</v>
      </c>
      <c r="B471" s="140" t="s">
        <v>86</v>
      </c>
      <c r="C471" s="140" t="s">
        <v>978</v>
      </c>
      <c r="D471" s="231"/>
      <c r="E471" s="128"/>
      <c r="F471" s="136"/>
      <c r="G471" s="187" t="s">
        <v>251</v>
      </c>
      <c r="H471" s="238" t="s">
        <v>400</v>
      </c>
    </row>
    <row r="472" spans="1:9" s="174" customFormat="1" x14ac:dyDescent="0.15">
      <c r="A472" s="175"/>
      <c r="B472" s="176"/>
      <c r="C472" s="176"/>
      <c r="D472" s="231"/>
      <c r="E472" s="128"/>
      <c r="F472" s="136"/>
      <c r="G472" s="147"/>
      <c r="H472" s="179"/>
    </row>
    <row r="473" spans="1:9" s="174" customFormat="1" x14ac:dyDescent="0.15">
      <c r="A473" s="176"/>
      <c r="B473" s="176"/>
      <c r="C473" s="176"/>
      <c r="D473" s="231"/>
      <c r="E473" s="128"/>
      <c r="F473" s="154"/>
      <c r="G473" s="147"/>
      <c r="H473" s="179"/>
      <c r="I473" s="236"/>
    </row>
    <row r="474" spans="1:9" x14ac:dyDescent="0.15">
      <c r="A474" s="230"/>
      <c r="B474" s="146"/>
      <c r="C474" s="230"/>
      <c r="D474" s="231"/>
      <c r="E474" s="128"/>
      <c r="F474" s="136" t="s">
        <v>1070</v>
      </c>
      <c r="G474" s="185"/>
      <c r="H474" s="232"/>
      <c r="I474" s="108"/>
    </row>
    <row r="475" spans="1:9" x14ac:dyDescent="0.15">
      <c r="A475" s="134" t="s">
        <v>447</v>
      </c>
      <c r="B475" s="135" t="s">
        <v>448</v>
      </c>
      <c r="C475" s="135" t="s">
        <v>449</v>
      </c>
      <c r="D475" s="231"/>
      <c r="E475" s="128"/>
      <c r="F475" s="136"/>
      <c r="G475" s="137" t="s">
        <v>125</v>
      </c>
      <c r="H475" s="138" t="s">
        <v>450</v>
      </c>
      <c r="I475" s="108"/>
    </row>
    <row r="476" spans="1:9" s="174" customFormat="1" x14ac:dyDescent="0.15">
      <c r="A476" s="235" t="s">
        <v>253</v>
      </c>
      <c r="B476" s="168" t="s">
        <v>86</v>
      </c>
      <c r="C476" s="140"/>
      <c r="D476" s="170"/>
      <c r="E476" s="130"/>
      <c r="F476" s="136"/>
      <c r="G476" s="141" t="s">
        <v>252</v>
      </c>
      <c r="H476" s="238" t="s">
        <v>284</v>
      </c>
    </row>
    <row r="477" spans="1:9" s="174" customFormat="1" x14ac:dyDescent="0.15">
      <c r="A477" s="175"/>
      <c r="B477" s="176"/>
      <c r="C477" s="176"/>
      <c r="D477" s="231"/>
      <c r="E477" s="128"/>
      <c r="F477" s="136"/>
      <c r="G477" s="147"/>
      <c r="H477" s="179"/>
    </row>
    <row r="478" spans="1:9" s="174" customFormat="1" x14ac:dyDescent="0.15">
      <c r="A478" s="176"/>
      <c r="B478" s="176"/>
      <c r="C478" s="176"/>
      <c r="D478" s="231"/>
      <c r="E478" s="128"/>
      <c r="F478" s="154"/>
      <c r="G478" s="147"/>
      <c r="H478" s="179"/>
      <c r="I478" s="236"/>
    </row>
    <row r="479" spans="1:9" x14ac:dyDescent="0.15">
      <c r="A479" s="145"/>
      <c r="B479" s="146"/>
      <c r="C479" s="146"/>
      <c r="D479" s="145"/>
      <c r="E479" s="130"/>
      <c r="F479" s="131" t="s">
        <v>296</v>
      </c>
      <c r="G479" s="132"/>
      <c r="H479" s="133"/>
      <c r="I479" s="149"/>
    </row>
    <row r="480" spans="1:9" x14ac:dyDescent="0.15">
      <c r="A480" s="134" t="s">
        <v>447</v>
      </c>
      <c r="B480" s="135" t="s">
        <v>448</v>
      </c>
      <c r="C480" s="135" t="s">
        <v>449</v>
      </c>
      <c r="E480" s="130"/>
      <c r="F480" s="136"/>
      <c r="G480" s="137" t="s">
        <v>125</v>
      </c>
      <c r="H480" s="138" t="s">
        <v>450</v>
      </c>
      <c r="I480" s="149"/>
    </row>
    <row r="481" spans="1:9" s="156" customFormat="1" x14ac:dyDescent="0.15">
      <c r="A481" s="263"/>
      <c r="B481" s="155" t="s">
        <v>86</v>
      </c>
      <c r="C481" s="155" t="s">
        <v>896</v>
      </c>
      <c r="E481" s="157"/>
      <c r="F481" s="158"/>
      <c r="G481" s="159" t="s">
        <v>897</v>
      </c>
      <c r="H481" s="239" t="s">
        <v>402</v>
      </c>
      <c r="I481" s="161"/>
    </row>
    <row r="482" spans="1:9" s="156" customFormat="1" x14ac:dyDescent="0.15">
      <c r="A482" s="263"/>
      <c r="B482" s="155" t="s">
        <v>426</v>
      </c>
      <c r="C482" s="155" t="s">
        <v>896</v>
      </c>
      <c r="E482" s="157"/>
      <c r="F482" s="158"/>
      <c r="G482" s="159" t="s">
        <v>898</v>
      </c>
      <c r="H482" s="239" t="s">
        <v>1123</v>
      </c>
      <c r="I482" s="161"/>
    </row>
    <row r="483" spans="1:9" s="156" customFormat="1" x14ac:dyDescent="0.15">
      <c r="A483" s="263"/>
      <c r="B483" s="155" t="s">
        <v>426</v>
      </c>
      <c r="C483" s="155" t="s">
        <v>896</v>
      </c>
      <c r="E483" s="157"/>
      <c r="F483" s="158"/>
      <c r="G483" s="159" t="s">
        <v>899</v>
      </c>
      <c r="H483" s="239" t="s">
        <v>1077</v>
      </c>
      <c r="I483" s="161"/>
    </row>
    <row r="484" spans="1:9" s="156" customFormat="1" x14ac:dyDescent="0.15">
      <c r="A484" s="263"/>
      <c r="B484" s="155" t="s">
        <v>86</v>
      </c>
      <c r="C484" s="155" t="s">
        <v>896</v>
      </c>
      <c r="E484" s="157"/>
      <c r="F484" s="158"/>
      <c r="G484" s="159" t="s">
        <v>900</v>
      </c>
      <c r="H484" s="239" t="s">
        <v>402</v>
      </c>
      <c r="I484" s="161"/>
    </row>
    <row r="485" spans="1:9" s="156" customFormat="1" x14ac:dyDescent="0.15">
      <c r="A485" s="263"/>
      <c r="B485" s="155" t="s">
        <v>426</v>
      </c>
      <c r="C485" s="155" t="s">
        <v>896</v>
      </c>
      <c r="E485" s="157"/>
      <c r="F485" s="158"/>
      <c r="G485" s="159" t="s">
        <v>901</v>
      </c>
      <c r="H485" s="239" t="s">
        <v>1123</v>
      </c>
      <c r="I485" s="161"/>
    </row>
    <row r="486" spans="1:9" s="156" customFormat="1" x14ac:dyDescent="0.15">
      <c r="A486" s="263"/>
      <c r="B486" s="155" t="s">
        <v>426</v>
      </c>
      <c r="C486" s="155" t="s">
        <v>896</v>
      </c>
      <c r="E486" s="157"/>
      <c r="F486" s="158"/>
      <c r="G486" s="159" t="s">
        <v>902</v>
      </c>
      <c r="H486" s="239" t="s">
        <v>1124</v>
      </c>
      <c r="I486" s="161"/>
    </row>
    <row r="487" spans="1:9" s="156" customFormat="1" x14ac:dyDescent="0.15">
      <c r="A487" s="263"/>
      <c r="B487" s="155" t="s">
        <v>86</v>
      </c>
      <c r="C487" s="155" t="s">
        <v>896</v>
      </c>
      <c r="E487" s="157"/>
      <c r="F487" s="158"/>
      <c r="G487" s="159" t="s">
        <v>903</v>
      </c>
      <c r="H487" s="239" t="s">
        <v>402</v>
      </c>
      <c r="I487" s="161"/>
    </row>
    <row r="488" spans="1:9" s="156" customFormat="1" x14ac:dyDescent="0.15">
      <c r="A488" s="263"/>
      <c r="B488" s="155" t="s">
        <v>426</v>
      </c>
      <c r="C488" s="155" t="s">
        <v>896</v>
      </c>
      <c r="E488" s="157"/>
      <c r="F488" s="158"/>
      <c r="G488" s="159" t="s">
        <v>904</v>
      </c>
      <c r="H488" s="239" t="s">
        <v>427</v>
      </c>
      <c r="I488" s="161"/>
    </row>
    <row r="489" spans="1:9" s="156" customFormat="1" x14ac:dyDescent="0.15">
      <c r="A489" s="263"/>
      <c r="B489" s="155" t="s">
        <v>426</v>
      </c>
      <c r="C489" s="155" t="s">
        <v>896</v>
      </c>
      <c r="E489" s="157"/>
      <c r="F489" s="158"/>
      <c r="G489" s="159" t="s">
        <v>905</v>
      </c>
      <c r="H489" s="239" t="s">
        <v>1125</v>
      </c>
      <c r="I489" s="161"/>
    </row>
    <row r="490" spans="1:9" s="156" customFormat="1" x14ac:dyDescent="0.15">
      <c r="A490" s="263"/>
      <c r="B490" s="155" t="s">
        <v>86</v>
      </c>
      <c r="C490" s="155" t="s">
        <v>896</v>
      </c>
      <c r="E490" s="157"/>
      <c r="F490" s="158"/>
      <c r="G490" s="159" t="s">
        <v>906</v>
      </c>
      <c r="H490" s="239" t="s">
        <v>402</v>
      </c>
      <c r="I490" s="161"/>
    </row>
    <row r="491" spans="1:9" s="156" customFormat="1" x14ac:dyDescent="0.15">
      <c r="A491" s="263"/>
      <c r="B491" s="155" t="s">
        <v>426</v>
      </c>
      <c r="C491" s="155" t="s">
        <v>896</v>
      </c>
      <c r="E491" s="157"/>
      <c r="F491" s="158"/>
      <c r="G491" s="159" t="s">
        <v>907</v>
      </c>
      <c r="H491" s="239" t="s">
        <v>1126</v>
      </c>
      <c r="I491" s="161"/>
    </row>
    <row r="492" spans="1:9" s="156" customFormat="1" x14ac:dyDescent="0.15">
      <c r="A492" s="263"/>
      <c r="B492" s="155" t="s">
        <v>426</v>
      </c>
      <c r="C492" s="155" t="s">
        <v>896</v>
      </c>
      <c r="E492" s="157"/>
      <c r="F492" s="158"/>
      <c r="G492" s="159" t="s">
        <v>908</v>
      </c>
      <c r="H492" s="239" t="s">
        <v>428</v>
      </c>
      <c r="I492" s="161"/>
    </row>
    <row r="493" spans="1:9" s="156" customFormat="1" x14ac:dyDescent="0.15">
      <c r="A493" s="263"/>
      <c r="B493" s="155" t="s">
        <v>86</v>
      </c>
      <c r="C493" s="155" t="s">
        <v>896</v>
      </c>
      <c r="E493" s="157"/>
      <c r="F493" s="158"/>
      <c r="G493" s="159" t="s">
        <v>909</v>
      </c>
      <c r="H493" s="239" t="s">
        <v>402</v>
      </c>
      <c r="I493" s="161"/>
    </row>
    <row r="494" spans="1:9" s="156" customFormat="1" x14ac:dyDescent="0.15">
      <c r="A494" s="263"/>
      <c r="B494" s="155" t="s">
        <v>426</v>
      </c>
      <c r="C494" s="155" t="s">
        <v>896</v>
      </c>
      <c r="E494" s="157"/>
      <c r="F494" s="158"/>
      <c r="G494" s="159" t="s">
        <v>910</v>
      </c>
      <c r="H494" s="239" t="s">
        <v>1126</v>
      </c>
      <c r="I494" s="161"/>
    </row>
    <row r="495" spans="1:9" s="156" customFormat="1" x14ac:dyDescent="0.15">
      <c r="A495" s="263"/>
      <c r="B495" s="155" t="s">
        <v>426</v>
      </c>
      <c r="C495" s="155" t="s">
        <v>896</v>
      </c>
      <c r="E495" s="157"/>
      <c r="F495" s="158"/>
      <c r="G495" s="159" t="s">
        <v>911</v>
      </c>
      <c r="H495" s="239" t="s">
        <v>1127</v>
      </c>
      <c r="I495" s="161"/>
    </row>
    <row r="496" spans="1:9" s="156" customFormat="1" x14ac:dyDescent="0.15">
      <c r="A496" s="263"/>
      <c r="B496" s="155" t="s">
        <v>86</v>
      </c>
      <c r="C496" s="155" t="s">
        <v>896</v>
      </c>
      <c r="E496" s="157"/>
      <c r="F496" s="158"/>
      <c r="G496" s="159" t="s">
        <v>912</v>
      </c>
      <c r="H496" s="239" t="s">
        <v>402</v>
      </c>
      <c r="I496" s="161"/>
    </row>
    <row r="497" spans="1:9" s="156" customFormat="1" x14ac:dyDescent="0.15">
      <c r="A497" s="263"/>
      <c r="B497" s="155" t="s">
        <v>426</v>
      </c>
      <c r="C497" s="155" t="s">
        <v>896</v>
      </c>
      <c r="E497" s="157"/>
      <c r="F497" s="158"/>
      <c r="G497" s="159" t="s">
        <v>913</v>
      </c>
      <c r="H497" s="239" t="s">
        <v>1126</v>
      </c>
      <c r="I497" s="161"/>
    </row>
    <row r="498" spans="1:9" s="156" customFormat="1" x14ac:dyDescent="0.15">
      <c r="A498" s="263"/>
      <c r="B498" s="155" t="s">
        <v>426</v>
      </c>
      <c r="C498" s="155" t="s">
        <v>896</v>
      </c>
      <c r="E498" s="157"/>
      <c r="F498" s="158"/>
      <c r="G498" s="159" t="s">
        <v>914</v>
      </c>
      <c r="H498" s="239" t="s">
        <v>1128</v>
      </c>
      <c r="I498" s="161"/>
    </row>
    <row r="499" spans="1:9" s="156" customFormat="1" x14ac:dyDescent="0.15">
      <c r="A499" s="263"/>
      <c r="B499" s="155" t="s">
        <v>86</v>
      </c>
      <c r="C499" s="155" t="s">
        <v>896</v>
      </c>
      <c r="E499" s="157"/>
      <c r="F499" s="158"/>
      <c r="G499" s="159" t="s">
        <v>915</v>
      </c>
      <c r="H499" s="239" t="s">
        <v>402</v>
      </c>
      <c r="I499" s="161"/>
    </row>
    <row r="500" spans="1:9" s="156" customFormat="1" x14ac:dyDescent="0.15">
      <c r="A500" s="263"/>
      <c r="B500" s="155" t="s">
        <v>426</v>
      </c>
      <c r="C500" s="155" t="s">
        <v>896</v>
      </c>
      <c r="E500" s="157"/>
      <c r="F500" s="158"/>
      <c r="G500" s="159" t="s">
        <v>916</v>
      </c>
      <c r="H500" s="239" t="s">
        <v>1126</v>
      </c>
      <c r="I500" s="161"/>
    </row>
    <row r="501" spans="1:9" s="156" customFormat="1" x14ac:dyDescent="0.15">
      <c r="A501" s="263"/>
      <c r="B501" s="155" t="s">
        <v>426</v>
      </c>
      <c r="C501" s="155" t="s">
        <v>896</v>
      </c>
      <c r="E501" s="157"/>
      <c r="F501" s="158"/>
      <c r="G501" s="159" t="s">
        <v>917</v>
      </c>
      <c r="H501" s="239" t="s">
        <v>1097</v>
      </c>
      <c r="I501" s="161"/>
    </row>
    <row r="502" spans="1:9" s="156" customFormat="1" x14ac:dyDescent="0.15">
      <c r="A502" s="263"/>
      <c r="B502" s="155" t="s">
        <v>86</v>
      </c>
      <c r="C502" s="155" t="s">
        <v>896</v>
      </c>
      <c r="E502" s="157"/>
      <c r="F502" s="158"/>
      <c r="G502" s="159" t="s">
        <v>918</v>
      </c>
      <c r="H502" s="239" t="s">
        <v>1099</v>
      </c>
      <c r="I502" s="161"/>
    </row>
    <row r="503" spans="1:9" s="156" customFormat="1" x14ac:dyDescent="0.15">
      <c r="A503" s="263"/>
      <c r="B503" s="155" t="s">
        <v>426</v>
      </c>
      <c r="C503" s="155" t="s">
        <v>896</v>
      </c>
      <c r="E503" s="157"/>
      <c r="F503" s="158"/>
      <c r="G503" s="159" t="s">
        <v>919</v>
      </c>
      <c r="H503" s="239" t="s">
        <v>269</v>
      </c>
      <c r="I503" s="161"/>
    </row>
    <row r="504" spans="1:9" s="156" customFormat="1" x14ac:dyDescent="0.15">
      <c r="A504" s="263"/>
      <c r="B504" s="155" t="s">
        <v>426</v>
      </c>
      <c r="C504" s="155" t="s">
        <v>896</v>
      </c>
      <c r="E504" s="157"/>
      <c r="F504" s="158"/>
      <c r="G504" s="159" t="s">
        <v>920</v>
      </c>
      <c r="H504" s="239" t="s">
        <v>400</v>
      </c>
      <c r="I504" s="161"/>
    </row>
    <row r="505" spans="1:9" s="156" customFormat="1" x14ac:dyDescent="0.15">
      <c r="A505" s="263"/>
      <c r="B505" s="155" t="s">
        <v>86</v>
      </c>
      <c r="C505" s="155" t="s">
        <v>896</v>
      </c>
      <c r="E505" s="157"/>
      <c r="F505" s="158"/>
      <c r="G505" s="159" t="s">
        <v>921</v>
      </c>
      <c r="H505" s="239" t="s">
        <v>1099</v>
      </c>
      <c r="I505" s="161"/>
    </row>
    <row r="506" spans="1:9" s="156" customFormat="1" x14ac:dyDescent="0.15">
      <c r="A506" s="263"/>
      <c r="B506" s="155" t="s">
        <v>426</v>
      </c>
      <c r="C506" s="155" t="s">
        <v>896</v>
      </c>
      <c r="E506" s="157"/>
      <c r="F506" s="158"/>
      <c r="G506" s="159" t="s">
        <v>922</v>
      </c>
      <c r="H506" s="239" t="s">
        <v>269</v>
      </c>
      <c r="I506" s="161"/>
    </row>
    <row r="507" spans="1:9" s="156" customFormat="1" x14ac:dyDescent="0.15">
      <c r="A507" s="263"/>
      <c r="B507" s="155" t="s">
        <v>426</v>
      </c>
      <c r="C507" s="155" t="s">
        <v>896</v>
      </c>
      <c r="E507" s="157"/>
      <c r="F507" s="158"/>
      <c r="G507" s="159" t="s">
        <v>923</v>
      </c>
      <c r="H507" s="239" t="s">
        <v>295</v>
      </c>
      <c r="I507" s="161"/>
    </row>
    <row r="508" spans="1:9" s="156" customFormat="1" x14ac:dyDescent="0.15">
      <c r="A508" s="263"/>
      <c r="B508" s="155" t="s">
        <v>86</v>
      </c>
      <c r="C508" s="155" t="s">
        <v>896</v>
      </c>
      <c r="E508" s="157"/>
      <c r="F508" s="158"/>
      <c r="G508" s="159" t="s">
        <v>924</v>
      </c>
      <c r="H508" s="239" t="s">
        <v>1099</v>
      </c>
      <c r="I508" s="161"/>
    </row>
    <row r="509" spans="1:9" s="156" customFormat="1" x14ac:dyDescent="0.15">
      <c r="A509" s="263"/>
      <c r="B509" s="155" t="s">
        <v>426</v>
      </c>
      <c r="C509" s="155" t="s">
        <v>896</v>
      </c>
      <c r="E509" s="157"/>
      <c r="F509" s="158"/>
      <c r="G509" s="159" t="s">
        <v>925</v>
      </c>
      <c r="H509" s="239" t="s">
        <v>269</v>
      </c>
      <c r="I509" s="161"/>
    </row>
    <row r="510" spans="1:9" s="156" customFormat="1" x14ac:dyDescent="0.15">
      <c r="A510" s="263"/>
      <c r="B510" s="155" t="s">
        <v>426</v>
      </c>
      <c r="C510" s="155" t="s">
        <v>896</v>
      </c>
      <c r="E510" s="157"/>
      <c r="F510" s="158"/>
      <c r="G510" s="159" t="s">
        <v>926</v>
      </c>
      <c r="H510" s="239" t="s">
        <v>417</v>
      </c>
      <c r="I510" s="161"/>
    </row>
    <row r="511" spans="1:9" s="156" customFormat="1" x14ac:dyDescent="0.15">
      <c r="A511" s="263"/>
      <c r="B511" s="155" t="s">
        <v>86</v>
      </c>
      <c r="C511" s="155" t="s">
        <v>896</v>
      </c>
      <c r="E511" s="157"/>
      <c r="F511" s="158"/>
      <c r="G511" s="159" t="s">
        <v>927</v>
      </c>
      <c r="H511" s="239" t="s">
        <v>1099</v>
      </c>
      <c r="I511" s="161"/>
    </row>
    <row r="512" spans="1:9" s="156" customFormat="1" x14ac:dyDescent="0.15">
      <c r="A512" s="263"/>
      <c r="B512" s="155" t="s">
        <v>426</v>
      </c>
      <c r="C512" s="155" t="s">
        <v>896</v>
      </c>
      <c r="E512" s="157"/>
      <c r="F512" s="158"/>
      <c r="G512" s="159" t="s">
        <v>928</v>
      </c>
      <c r="H512" s="239" t="s">
        <v>269</v>
      </c>
      <c r="I512" s="161"/>
    </row>
    <row r="513" spans="1:9" s="156" customFormat="1" x14ac:dyDescent="0.15">
      <c r="A513" s="263"/>
      <c r="B513" s="155" t="s">
        <v>426</v>
      </c>
      <c r="C513" s="155" t="s">
        <v>896</v>
      </c>
      <c r="E513" s="157"/>
      <c r="F513" s="158"/>
      <c r="G513" s="159" t="s">
        <v>929</v>
      </c>
      <c r="H513" s="239" t="s">
        <v>261</v>
      </c>
      <c r="I513" s="161"/>
    </row>
    <row r="514" spans="1:9" s="156" customFormat="1" x14ac:dyDescent="0.15">
      <c r="A514" s="263"/>
      <c r="B514" s="155" t="s">
        <v>86</v>
      </c>
      <c r="C514" s="155" t="s">
        <v>896</v>
      </c>
      <c r="E514" s="157"/>
      <c r="F514" s="158"/>
      <c r="G514" s="159" t="s">
        <v>930</v>
      </c>
      <c r="H514" s="239" t="s">
        <v>1099</v>
      </c>
      <c r="I514" s="161"/>
    </row>
    <row r="515" spans="1:9" s="156" customFormat="1" x14ac:dyDescent="0.15">
      <c r="A515" s="263"/>
      <c r="B515" s="155" t="s">
        <v>426</v>
      </c>
      <c r="C515" s="155" t="s">
        <v>896</v>
      </c>
      <c r="E515" s="157"/>
      <c r="F515" s="158"/>
      <c r="G515" s="159" t="s">
        <v>931</v>
      </c>
      <c r="H515" s="239" t="s">
        <v>269</v>
      </c>
      <c r="I515" s="161"/>
    </row>
    <row r="516" spans="1:9" s="156" customFormat="1" x14ac:dyDescent="0.15">
      <c r="A516" s="263"/>
      <c r="B516" s="155" t="s">
        <v>426</v>
      </c>
      <c r="C516" s="155" t="s">
        <v>896</v>
      </c>
      <c r="E516" s="157"/>
      <c r="F516" s="158"/>
      <c r="G516" s="159" t="s">
        <v>932</v>
      </c>
      <c r="H516" s="239" t="s">
        <v>419</v>
      </c>
      <c r="I516" s="161"/>
    </row>
    <row r="517" spans="1:9" s="156" customFormat="1" x14ac:dyDescent="0.15">
      <c r="A517" s="263"/>
      <c r="B517" s="155" t="s">
        <v>86</v>
      </c>
      <c r="C517" s="155" t="s">
        <v>896</v>
      </c>
      <c r="E517" s="157"/>
      <c r="F517" s="158"/>
      <c r="G517" s="159" t="s">
        <v>933</v>
      </c>
      <c r="H517" s="239" t="s">
        <v>1099</v>
      </c>
      <c r="I517" s="161"/>
    </row>
    <row r="518" spans="1:9" s="156" customFormat="1" x14ac:dyDescent="0.15">
      <c r="A518" s="263"/>
      <c r="B518" s="155" t="s">
        <v>426</v>
      </c>
      <c r="C518" s="155" t="s">
        <v>896</v>
      </c>
      <c r="E518" s="157"/>
      <c r="F518" s="158"/>
      <c r="G518" s="159" t="s">
        <v>934</v>
      </c>
      <c r="H518" s="239" t="s">
        <v>269</v>
      </c>
      <c r="I518" s="161"/>
    </row>
    <row r="519" spans="1:9" s="156" customFormat="1" x14ac:dyDescent="0.15">
      <c r="A519" s="263"/>
      <c r="B519" s="155" t="s">
        <v>426</v>
      </c>
      <c r="C519" s="155" t="s">
        <v>896</v>
      </c>
      <c r="E519" s="157"/>
      <c r="F519" s="158"/>
      <c r="G519" s="159" t="s">
        <v>935</v>
      </c>
      <c r="H519" s="239" t="s">
        <v>408</v>
      </c>
      <c r="I519" s="161"/>
    </row>
    <row r="520" spans="1:9" s="156" customFormat="1" x14ac:dyDescent="0.15">
      <c r="A520" s="263"/>
      <c r="B520" s="155" t="s">
        <v>86</v>
      </c>
      <c r="C520" s="155" t="s">
        <v>896</v>
      </c>
      <c r="E520" s="157"/>
      <c r="F520" s="158"/>
      <c r="G520" s="159" t="s">
        <v>936</v>
      </c>
      <c r="H520" s="239" t="s">
        <v>1099</v>
      </c>
      <c r="I520" s="161"/>
    </row>
    <row r="521" spans="1:9" s="156" customFormat="1" x14ac:dyDescent="0.15">
      <c r="A521" s="263"/>
      <c r="B521" s="155" t="s">
        <v>426</v>
      </c>
      <c r="C521" s="155" t="s">
        <v>896</v>
      </c>
      <c r="E521" s="157"/>
      <c r="F521" s="158"/>
      <c r="G521" s="159" t="s">
        <v>937</v>
      </c>
      <c r="H521" s="239" t="s">
        <v>269</v>
      </c>
      <c r="I521" s="161"/>
    </row>
    <row r="522" spans="1:9" s="156" customFormat="1" x14ac:dyDescent="0.15">
      <c r="A522" s="263"/>
      <c r="B522" s="155" t="s">
        <v>426</v>
      </c>
      <c r="C522" s="155" t="s">
        <v>896</v>
      </c>
      <c r="E522" s="157"/>
      <c r="F522" s="158"/>
      <c r="G522" s="159" t="s">
        <v>938</v>
      </c>
      <c r="H522" s="239" t="s">
        <v>286</v>
      </c>
      <c r="I522" s="161"/>
    </row>
    <row r="523" spans="1:9" s="156" customFormat="1" x14ac:dyDescent="0.15">
      <c r="A523" s="263"/>
      <c r="B523" s="155" t="s">
        <v>86</v>
      </c>
      <c r="C523" s="155" t="s">
        <v>896</v>
      </c>
      <c r="E523" s="157"/>
      <c r="F523" s="158"/>
      <c r="G523" s="159" t="s">
        <v>939</v>
      </c>
      <c r="H523" s="239" t="s">
        <v>402</v>
      </c>
      <c r="I523" s="161"/>
    </row>
    <row r="524" spans="1:9" s="156" customFormat="1" x14ac:dyDescent="0.15">
      <c r="A524" s="263"/>
      <c r="B524" s="155" t="s">
        <v>426</v>
      </c>
      <c r="C524" s="155" t="s">
        <v>896</v>
      </c>
      <c r="E524" s="157"/>
      <c r="F524" s="158"/>
      <c r="G524" s="159" t="s">
        <v>940</v>
      </c>
      <c r="H524" s="239" t="s">
        <v>1126</v>
      </c>
      <c r="I524" s="161"/>
    </row>
    <row r="525" spans="1:9" s="156" customFormat="1" x14ac:dyDescent="0.15">
      <c r="A525" s="263"/>
      <c r="B525" s="155" t="s">
        <v>426</v>
      </c>
      <c r="C525" s="155" t="s">
        <v>896</v>
      </c>
      <c r="E525" s="157"/>
      <c r="F525" s="158"/>
      <c r="G525" s="159" t="s">
        <v>941</v>
      </c>
      <c r="H525" s="239" t="s">
        <v>1129</v>
      </c>
      <c r="I525" s="161"/>
    </row>
    <row r="526" spans="1:9" s="156" customFormat="1" x14ac:dyDescent="0.15">
      <c r="A526" s="263"/>
      <c r="B526" s="155" t="s">
        <v>86</v>
      </c>
      <c r="C526" s="155" t="s">
        <v>896</v>
      </c>
      <c r="E526" s="157"/>
      <c r="F526" s="158"/>
      <c r="G526" s="159" t="s">
        <v>942</v>
      </c>
      <c r="H526" s="239" t="s">
        <v>1099</v>
      </c>
      <c r="I526" s="161"/>
    </row>
    <row r="527" spans="1:9" s="156" customFormat="1" x14ac:dyDescent="0.15">
      <c r="A527" s="263"/>
      <c r="B527" s="155" t="s">
        <v>426</v>
      </c>
      <c r="C527" s="155" t="s">
        <v>896</v>
      </c>
      <c r="E527" s="157"/>
      <c r="F527" s="158"/>
      <c r="G527" s="159" t="s">
        <v>943</v>
      </c>
      <c r="H527" s="239" t="s">
        <v>269</v>
      </c>
      <c r="I527" s="161"/>
    </row>
    <row r="528" spans="1:9" s="156" customFormat="1" x14ac:dyDescent="0.15">
      <c r="A528" s="263"/>
      <c r="B528" s="155" t="s">
        <v>426</v>
      </c>
      <c r="C528" s="155" t="s">
        <v>896</v>
      </c>
      <c r="E528" s="157"/>
      <c r="F528" s="158"/>
      <c r="G528" s="159" t="s">
        <v>944</v>
      </c>
      <c r="H528" s="239" t="s">
        <v>403</v>
      </c>
      <c r="I528" s="161"/>
    </row>
    <row r="529" spans="1:9" s="156" customFormat="1" x14ac:dyDescent="0.15">
      <c r="A529" s="263"/>
      <c r="B529" s="155" t="s">
        <v>440</v>
      </c>
      <c r="C529" s="155" t="s">
        <v>896</v>
      </c>
      <c r="E529" s="157"/>
      <c r="F529" s="158"/>
      <c r="G529" s="159" t="s">
        <v>945</v>
      </c>
      <c r="H529" s="239" t="s">
        <v>85</v>
      </c>
      <c r="I529" s="161"/>
    </row>
    <row r="530" spans="1:9" s="156" customFormat="1" x14ac:dyDescent="0.15">
      <c r="A530" s="263"/>
      <c r="B530" s="155" t="s">
        <v>440</v>
      </c>
      <c r="C530" s="155" t="s">
        <v>896</v>
      </c>
      <c r="E530" s="157"/>
      <c r="F530" s="158"/>
      <c r="G530" s="159" t="s">
        <v>946</v>
      </c>
      <c r="H530" s="239" t="s">
        <v>85</v>
      </c>
      <c r="I530" s="161"/>
    </row>
    <row r="531" spans="1:9" s="156" customFormat="1" x14ac:dyDescent="0.15">
      <c r="A531" s="263"/>
      <c r="B531" s="155" t="s">
        <v>441</v>
      </c>
      <c r="C531" s="155" t="s">
        <v>896</v>
      </c>
      <c r="E531" s="157"/>
      <c r="F531" s="158"/>
      <c r="G531" s="159" t="s">
        <v>947</v>
      </c>
      <c r="H531" s="239" t="s">
        <v>266</v>
      </c>
      <c r="I531" s="161"/>
    </row>
    <row r="532" spans="1:9" s="156" customFormat="1" x14ac:dyDescent="0.15">
      <c r="A532" s="263"/>
      <c r="B532" s="155" t="s">
        <v>1130</v>
      </c>
      <c r="C532" s="155" t="s">
        <v>896</v>
      </c>
      <c r="E532" s="157"/>
      <c r="F532" s="158"/>
      <c r="G532" s="159" t="s">
        <v>948</v>
      </c>
      <c r="H532" s="239" t="s">
        <v>266</v>
      </c>
      <c r="I532" s="161"/>
    </row>
    <row r="533" spans="1:9" s="156" customFormat="1" x14ac:dyDescent="0.15">
      <c r="A533" s="263"/>
      <c r="B533" s="155" t="s">
        <v>438</v>
      </c>
      <c r="C533" s="155" t="s">
        <v>896</v>
      </c>
      <c r="E533" s="157"/>
      <c r="F533" s="158"/>
      <c r="G533" s="159" t="s">
        <v>949</v>
      </c>
      <c r="H533" s="239" t="s">
        <v>284</v>
      </c>
      <c r="I533" s="161"/>
    </row>
    <row r="534" spans="1:9" s="156" customFormat="1" x14ac:dyDescent="0.15">
      <c r="A534" s="263"/>
      <c r="B534" s="155" t="s">
        <v>86</v>
      </c>
      <c r="C534" s="155" t="s">
        <v>896</v>
      </c>
      <c r="E534" s="157"/>
      <c r="F534" s="158"/>
      <c r="G534" s="159" t="s">
        <v>950</v>
      </c>
      <c r="H534" s="239" t="s">
        <v>287</v>
      </c>
      <c r="I534" s="161"/>
    </row>
    <row r="535" spans="1:9" s="156" customFormat="1" x14ac:dyDescent="0.15">
      <c r="A535" s="263"/>
      <c r="B535" s="155" t="s">
        <v>429</v>
      </c>
      <c r="C535" s="155" t="s">
        <v>896</v>
      </c>
      <c r="E535" s="157"/>
      <c r="F535" s="158"/>
      <c r="G535" s="159" t="s">
        <v>951</v>
      </c>
      <c r="H535" s="239" t="s">
        <v>1131</v>
      </c>
      <c r="I535" s="161"/>
    </row>
    <row r="536" spans="1:9" s="156" customFormat="1" x14ac:dyDescent="0.15">
      <c r="A536" s="263"/>
      <c r="B536" s="155" t="s">
        <v>86</v>
      </c>
      <c r="C536" s="155" t="s">
        <v>896</v>
      </c>
      <c r="E536" s="157"/>
      <c r="F536" s="158"/>
      <c r="G536" s="159" t="s">
        <v>952</v>
      </c>
      <c r="H536" s="239" t="s">
        <v>287</v>
      </c>
      <c r="I536" s="161"/>
    </row>
    <row r="537" spans="1:9" s="156" customFormat="1" x14ac:dyDescent="0.15">
      <c r="A537" s="263"/>
      <c r="B537" s="155" t="s">
        <v>430</v>
      </c>
      <c r="C537" s="155" t="s">
        <v>896</v>
      </c>
      <c r="E537" s="157"/>
      <c r="F537" s="158"/>
      <c r="G537" s="159" t="s">
        <v>953</v>
      </c>
      <c r="H537" s="239" t="s">
        <v>1132</v>
      </c>
      <c r="I537" s="161"/>
    </row>
    <row r="538" spans="1:9" s="156" customFormat="1" x14ac:dyDescent="0.15">
      <c r="A538" s="263"/>
      <c r="B538" s="155" t="s">
        <v>86</v>
      </c>
      <c r="C538" s="155" t="s">
        <v>896</v>
      </c>
      <c r="E538" s="157"/>
      <c r="F538" s="158"/>
      <c r="G538" s="159" t="s">
        <v>954</v>
      </c>
      <c r="H538" s="239" t="s">
        <v>284</v>
      </c>
      <c r="I538" s="161"/>
    </row>
    <row r="539" spans="1:9" s="156" customFormat="1" x14ac:dyDescent="0.15">
      <c r="A539" s="263"/>
      <c r="B539" s="155" t="s">
        <v>431</v>
      </c>
      <c r="C539" s="155" t="s">
        <v>896</v>
      </c>
      <c r="E539" s="157"/>
      <c r="F539" s="158"/>
      <c r="G539" s="159" t="s">
        <v>955</v>
      </c>
      <c r="H539" s="239" t="s">
        <v>1100</v>
      </c>
      <c r="I539" s="161"/>
    </row>
    <row r="540" spans="1:9" s="156" customFormat="1" x14ac:dyDescent="0.15">
      <c r="A540" s="263"/>
      <c r="B540" s="155" t="s">
        <v>86</v>
      </c>
      <c r="C540" s="155" t="s">
        <v>896</v>
      </c>
      <c r="E540" s="157"/>
      <c r="F540" s="158"/>
      <c r="G540" s="159" t="s">
        <v>956</v>
      </c>
      <c r="H540" s="239" t="s">
        <v>287</v>
      </c>
      <c r="I540" s="161"/>
    </row>
    <row r="541" spans="1:9" s="156" customFormat="1" x14ac:dyDescent="0.15">
      <c r="A541" s="263"/>
      <c r="B541" s="155" t="s">
        <v>429</v>
      </c>
      <c r="C541" s="155" t="s">
        <v>896</v>
      </c>
      <c r="E541" s="157"/>
      <c r="F541" s="158"/>
      <c r="G541" s="159" t="s">
        <v>957</v>
      </c>
      <c r="H541" s="239" t="s">
        <v>1131</v>
      </c>
      <c r="I541" s="161"/>
    </row>
    <row r="542" spans="1:9" s="156" customFormat="1" x14ac:dyDescent="0.15">
      <c r="A542" s="263"/>
      <c r="B542" s="155" t="s">
        <v>86</v>
      </c>
      <c r="C542" s="155" t="s">
        <v>896</v>
      </c>
      <c r="E542" s="157"/>
      <c r="F542" s="158"/>
      <c r="G542" s="159" t="s">
        <v>958</v>
      </c>
      <c r="H542" s="239" t="s">
        <v>287</v>
      </c>
      <c r="I542" s="161"/>
    </row>
    <row r="543" spans="1:9" s="156" customFormat="1" x14ac:dyDescent="0.15">
      <c r="A543" s="263"/>
      <c r="B543" s="155" t="s">
        <v>430</v>
      </c>
      <c r="C543" s="155" t="s">
        <v>896</v>
      </c>
      <c r="E543" s="157"/>
      <c r="F543" s="158"/>
      <c r="G543" s="159" t="s">
        <v>959</v>
      </c>
      <c r="H543" s="239" t="s">
        <v>1132</v>
      </c>
      <c r="I543" s="161"/>
    </row>
    <row r="544" spans="1:9" s="156" customFormat="1" x14ac:dyDescent="0.15">
      <c r="A544" s="263"/>
      <c r="B544" s="155" t="s">
        <v>86</v>
      </c>
      <c r="C544" s="155" t="s">
        <v>896</v>
      </c>
      <c r="E544" s="157"/>
      <c r="F544" s="158"/>
      <c r="G544" s="159" t="s">
        <v>960</v>
      </c>
      <c r="H544" s="239" t="s">
        <v>284</v>
      </c>
      <c r="I544" s="161"/>
    </row>
    <row r="545" spans="1:9" s="156" customFormat="1" x14ac:dyDescent="0.15">
      <c r="A545" s="263"/>
      <c r="B545" s="155" t="s">
        <v>431</v>
      </c>
      <c r="C545" s="155" t="s">
        <v>896</v>
      </c>
      <c r="E545" s="157"/>
      <c r="F545" s="158"/>
      <c r="G545" s="159" t="s">
        <v>961</v>
      </c>
      <c r="H545" s="239" t="s">
        <v>1100</v>
      </c>
      <c r="I545" s="161"/>
    </row>
    <row r="546" spans="1:9" s="156" customFormat="1" x14ac:dyDescent="0.15">
      <c r="A546" s="263"/>
      <c r="B546" s="155" t="s">
        <v>432</v>
      </c>
      <c r="C546" s="155" t="s">
        <v>896</v>
      </c>
      <c r="E546" s="157"/>
      <c r="F546" s="158"/>
      <c r="G546" s="159" t="s">
        <v>962</v>
      </c>
      <c r="H546" s="239" t="s">
        <v>257</v>
      </c>
      <c r="I546" s="161"/>
    </row>
    <row r="547" spans="1:9" s="156" customFormat="1" x14ac:dyDescent="0.15">
      <c r="A547" s="263"/>
      <c r="B547" s="155" t="s">
        <v>432</v>
      </c>
      <c r="C547" s="155" t="s">
        <v>896</v>
      </c>
      <c r="E547" s="157"/>
      <c r="F547" s="158"/>
      <c r="G547" s="159" t="s">
        <v>963</v>
      </c>
      <c r="H547" s="239" t="s">
        <v>257</v>
      </c>
      <c r="I547" s="161"/>
    </row>
    <row r="548" spans="1:9" s="156" customFormat="1" x14ac:dyDescent="0.15">
      <c r="A548" s="263"/>
      <c r="B548" s="155" t="s">
        <v>433</v>
      </c>
      <c r="C548" s="155" t="s">
        <v>896</v>
      </c>
      <c r="E548" s="157"/>
      <c r="F548" s="158"/>
      <c r="G548" s="159" t="s">
        <v>964</v>
      </c>
      <c r="H548" s="239" t="s">
        <v>1133</v>
      </c>
      <c r="I548" s="161"/>
    </row>
    <row r="549" spans="1:9" s="156" customFormat="1" x14ac:dyDescent="0.15">
      <c r="A549" s="263"/>
      <c r="B549" s="155" t="s">
        <v>434</v>
      </c>
      <c r="C549" s="155" t="s">
        <v>896</v>
      </c>
      <c r="E549" s="157"/>
      <c r="F549" s="158"/>
      <c r="G549" s="159" t="s">
        <v>965</v>
      </c>
      <c r="H549" s="239" t="s">
        <v>1111</v>
      </c>
      <c r="I549" s="161"/>
    </row>
    <row r="550" spans="1:9" s="156" customFormat="1" x14ac:dyDescent="0.15">
      <c r="A550" s="263"/>
      <c r="B550" s="155" t="s">
        <v>433</v>
      </c>
      <c r="C550" s="155" t="s">
        <v>896</v>
      </c>
      <c r="E550" s="157"/>
      <c r="F550" s="158"/>
      <c r="G550" s="159" t="s">
        <v>966</v>
      </c>
      <c r="H550" s="239" t="s">
        <v>1133</v>
      </c>
      <c r="I550" s="161"/>
    </row>
    <row r="551" spans="1:9" s="156" customFormat="1" x14ac:dyDescent="0.15">
      <c r="A551" s="263"/>
      <c r="B551" s="155" t="s">
        <v>434</v>
      </c>
      <c r="C551" s="155" t="s">
        <v>896</v>
      </c>
      <c r="E551" s="157"/>
      <c r="F551" s="158"/>
      <c r="G551" s="159" t="s">
        <v>967</v>
      </c>
      <c r="H551" s="239" t="s">
        <v>1111</v>
      </c>
      <c r="I551" s="161"/>
    </row>
    <row r="552" spans="1:9" s="156" customFormat="1" x14ac:dyDescent="0.15">
      <c r="A552" s="263"/>
      <c r="B552" s="155" t="s">
        <v>435</v>
      </c>
      <c r="C552" s="155" t="s">
        <v>896</v>
      </c>
      <c r="E552" s="157"/>
      <c r="F552" s="158"/>
      <c r="G552" s="159" t="s">
        <v>968</v>
      </c>
      <c r="H552" s="239" t="s">
        <v>1134</v>
      </c>
      <c r="I552" s="161"/>
    </row>
    <row r="553" spans="1:9" s="156" customFormat="1" x14ac:dyDescent="0.15">
      <c r="A553" s="263"/>
      <c r="B553" s="155" t="s">
        <v>435</v>
      </c>
      <c r="C553" s="155" t="s">
        <v>896</v>
      </c>
      <c r="E553" s="157"/>
      <c r="F553" s="158"/>
      <c r="G553" s="159" t="s">
        <v>969</v>
      </c>
      <c r="H553" s="239" t="s">
        <v>1134</v>
      </c>
      <c r="I553" s="161"/>
    </row>
    <row r="554" spans="1:9" s="156" customFormat="1" x14ac:dyDescent="0.15">
      <c r="A554" s="263"/>
      <c r="B554" s="155" t="s">
        <v>436</v>
      </c>
      <c r="C554" s="155" t="s">
        <v>896</v>
      </c>
      <c r="E554" s="157"/>
      <c r="F554" s="158"/>
      <c r="G554" s="159" t="s">
        <v>970</v>
      </c>
      <c r="H554" s="239" t="s">
        <v>1073</v>
      </c>
      <c r="I554" s="161"/>
    </row>
    <row r="555" spans="1:9" s="156" customFormat="1" x14ac:dyDescent="0.15">
      <c r="A555" s="263"/>
      <c r="B555" s="155" t="s">
        <v>437</v>
      </c>
      <c r="C555" s="155" t="s">
        <v>896</v>
      </c>
      <c r="E555" s="157"/>
      <c r="F555" s="158"/>
      <c r="G555" s="159" t="s">
        <v>971</v>
      </c>
      <c r="H555" s="239" t="s">
        <v>268</v>
      </c>
      <c r="I555" s="161"/>
    </row>
    <row r="556" spans="1:9" s="156" customFormat="1" x14ac:dyDescent="0.15">
      <c r="A556" s="263"/>
      <c r="B556" s="155" t="s">
        <v>436</v>
      </c>
      <c r="C556" s="155" t="s">
        <v>896</v>
      </c>
      <c r="E556" s="157"/>
      <c r="F556" s="158"/>
      <c r="G556" s="159" t="s">
        <v>972</v>
      </c>
      <c r="H556" s="239" t="s">
        <v>1073</v>
      </c>
      <c r="I556" s="161"/>
    </row>
    <row r="557" spans="1:9" s="156" customFormat="1" x14ac:dyDescent="0.15">
      <c r="A557" s="263"/>
      <c r="B557" s="155" t="s">
        <v>437</v>
      </c>
      <c r="C557" s="155" t="s">
        <v>896</v>
      </c>
      <c r="E557" s="157"/>
      <c r="F557" s="158"/>
      <c r="G557" s="159" t="s">
        <v>973</v>
      </c>
      <c r="H557" s="239" t="s">
        <v>268</v>
      </c>
      <c r="I557" s="161"/>
    </row>
    <row r="558" spans="1:9" s="156" customFormat="1" x14ac:dyDescent="0.15">
      <c r="A558" s="263"/>
      <c r="B558" s="155" t="s">
        <v>438</v>
      </c>
      <c r="C558" s="155" t="s">
        <v>896</v>
      </c>
      <c r="E558" s="157"/>
      <c r="F558" s="158"/>
      <c r="G558" s="159" t="s">
        <v>974</v>
      </c>
      <c r="H558" s="239" t="s">
        <v>415</v>
      </c>
      <c r="I558" s="161"/>
    </row>
    <row r="559" spans="1:9" s="156" customFormat="1" x14ac:dyDescent="0.15">
      <c r="A559" s="263"/>
      <c r="B559" s="155" t="s">
        <v>439</v>
      </c>
      <c r="C559" s="155" t="s">
        <v>896</v>
      </c>
      <c r="E559" s="157"/>
      <c r="F559" s="158"/>
      <c r="G559" s="159" t="s">
        <v>975</v>
      </c>
      <c r="H559" s="239" t="s">
        <v>415</v>
      </c>
      <c r="I559" s="161"/>
    </row>
    <row r="560" spans="1:9" s="156" customFormat="1" x14ac:dyDescent="0.15">
      <c r="A560" s="263"/>
      <c r="B560" s="155" t="s">
        <v>438</v>
      </c>
      <c r="C560" s="155" t="s">
        <v>896</v>
      </c>
      <c r="E560" s="157"/>
      <c r="F560" s="158"/>
      <c r="G560" s="159" t="s">
        <v>976</v>
      </c>
      <c r="H560" s="239" t="s">
        <v>415</v>
      </c>
      <c r="I560" s="161"/>
    </row>
    <row r="561" spans="1:72" s="156" customFormat="1" x14ac:dyDescent="0.15">
      <c r="A561" s="263"/>
      <c r="B561" s="155" t="s">
        <v>439</v>
      </c>
      <c r="C561" s="155" t="s">
        <v>896</v>
      </c>
      <c r="E561" s="157"/>
      <c r="F561" s="158"/>
      <c r="G561" s="159" t="s">
        <v>977</v>
      </c>
      <c r="H561" s="239" t="s">
        <v>415</v>
      </c>
      <c r="I561" s="161"/>
    </row>
    <row r="562" spans="1:72" x14ac:dyDescent="0.15">
      <c r="A562" s="145"/>
      <c r="B562" s="146"/>
      <c r="C562" s="146"/>
      <c r="D562" s="145"/>
      <c r="E562" s="130"/>
      <c r="F562" s="152"/>
      <c r="G562" s="162"/>
      <c r="H562" s="142"/>
      <c r="I562" s="153"/>
    </row>
    <row r="563" spans="1:72" x14ac:dyDescent="0.15">
      <c r="A563" s="145"/>
      <c r="B563" s="146"/>
      <c r="C563" s="146"/>
      <c r="D563" s="145"/>
      <c r="E563" s="130"/>
      <c r="F563" s="152"/>
      <c r="G563" s="162"/>
      <c r="H563" s="142"/>
      <c r="I563" s="153"/>
    </row>
    <row r="564" spans="1:72" x14ac:dyDescent="0.15">
      <c r="A564" s="145"/>
      <c r="B564" s="146"/>
      <c r="C564" s="146"/>
      <c r="D564" s="145"/>
      <c r="E564" s="130"/>
      <c r="F564" s="152"/>
      <c r="G564" s="162"/>
      <c r="H564" s="142"/>
      <c r="I564" s="153"/>
    </row>
    <row r="565" spans="1:72" ht="13.5" thickBot="1" x14ac:dyDescent="0.2">
      <c r="A565" s="145"/>
      <c r="B565" s="146"/>
      <c r="C565" s="146"/>
      <c r="D565" s="145"/>
      <c r="E565" s="130"/>
      <c r="F565" s="152"/>
      <c r="G565" s="162"/>
      <c r="H565" s="142"/>
      <c r="I565" s="153"/>
    </row>
    <row r="566" spans="1:72" x14ac:dyDescent="0.15">
      <c r="A566" s="129"/>
      <c r="B566" s="145"/>
      <c r="C566" s="276"/>
      <c r="E566" s="130"/>
      <c r="F566" s="112"/>
      <c r="G566" s="264"/>
      <c r="H566" s="265"/>
    </row>
    <row r="567" spans="1:72" x14ac:dyDescent="0.15">
      <c r="A567" s="108"/>
      <c r="B567" s="145"/>
      <c r="C567" s="276"/>
      <c r="E567" s="130"/>
      <c r="F567" s="266"/>
      <c r="G567" s="267"/>
      <c r="H567" s="268"/>
      <c r="J567" s="280" t="s">
        <v>1138</v>
      </c>
      <c r="K567" s="280"/>
      <c r="L567" s="280"/>
      <c r="N567" s="280" t="s">
        <v>1138</v>
      </c>
      <c r="O567" s="280"/>
      <c r="P567" s="280"/>
      <c r="R567" s="280" t="s">
        <v>1138</v>
      </c>
      <c r="S567" s="280"/>
      <c r="T567" s="280"/>
      <c r="V567" s="280" t="s">
        <v>1138</v>
      </c>
      <c r="W567" s="280"/>
      <c r="X567" s="280"/>
      <c r="Z567" s="280" t="s">
        <v>1138</v>
      </c>
      <c r="AA567" s="280"/>
      <c r="AB567" s="280"/>
      <c r="AD567" s="280" t="s">
        <v>1138</v>
      </c>
      <c r="AE567" s="280"/>
      <c r="AF567" s="280"/>
      <c r="AH567" s="280" t="s">
        <v>1138</v>
      </c>
      <c r="AI567" s="280"/>
      <c r="AJ567" s="280"/>
      <c r="AL567" s="280" t="s">
        <v>1138</v>
      </c>
      <c r="AM567" s="280"/>
      <c r="AN567" s="280"/>
      <c r="AP567" s="280" t="s">
        <v>1138</v>
      </c>
      <c r="AQ567" s="280"/>
      <c r="AR567" s="280"/>
      <c r="AT567" s="280" t="s">
        <v>1138</v>
      </c>
      <c r="AU567" s="280"/>
      <c r="AV567" s="280"/>
      <c r="AX567" s="280" t="s">
        <v>1138</v>
      </c>
      <c r="AY567" s="280"/>
      <c r="AZ567" s="280"/>
      <c r="BB567" s="280" t="s">
        <v>1138</v>
      </c>
      <c r="BC567" s="280"/>
      <c r="BD567" s="280"/>
      <c r="BF567" s="280" t="s">
        <v>1138</v>
      </c>
      <c r="BG567" s="280"/>
      <c r="BH567" s="280"/>
      <c r="BJ567" s="280" t="s">
        <v>1138</v>
      </c>
      <c r="BK567" s="280"/>
      <c r="BL567" s="280"/>
      <c r="BN567" s="280" t="s">
        <v>1138</v>
      </c>
      <c r="BO567" s="280"/>
      <c r="BP567" s="280"/>
      <c r="BR567" s="280" t="s">
        <v>1138</v>
      </c>
      <c r="BS567" s="280"/>
      <c r="BT567" s="280"/>
    </row>
    <row r="568" spans="1:72" x14ac:dyDescent="0.15">
      <c r="A568" s="163"/>
      <c r="B568" s="146"/>
      <c r="C568" s="146"/>
      <c r="E568" s="130"/>
      <c r="F568" s="266"/>
      <c r="G568" s="269"/>
      <c r="H568" s="270"/>
      <c r="J568" s="277" t="s">
        <v>1135</v>
      </c>
      <c r="K568" s="277"/>
      <c r="L568" s="277"/>
      <c r="N568" s="277" t="s">
        <v>1158</v>
      </c>
      <c r="O568" s="277"/>
      <c r="P568" s="277"/>
      <c r="R568" s="277" t="s">
        <v>1168</v>
      </c>
      <c r="S568" s="277"/>
      <c r="T568" s="277"/>
      <c r="V568" s="277" t="s">
        <v>1171</v>
      </c>
      <c r="W568" s="277"/>
      <c r="X568" s="277"/>
      <c r="Z568" s="277" t="s">
        <v>1186</v>
      </c>
      <c r="AA568" s="277"/>
      <c r="AB568" s="277"/>
      <c r="AD568" s="277" t="s">
        <v>1187</v>
      </c>
      <c r="AE568" s="277"/>
      <c r="AF568" s="277"/>
      <c r="AH568" s="277" t="s">
        <v>1195</v>
      </c>
      <c r="AI568" s="277"/>
      <c r="AJ568" s="277"/>
      <c r="AL568" s="277" t="s">
        <v>1203</v>
      </c>
      <c r="AM568" s="277"/>
      <c r="AN568" s="277"/>
      <c r="AP568" s="277" t="s">
        <v>1205</v>
      </c>
      <c r="AQ568" s="277"/>
      <c r="AR568" s="277"/>
      <c r="AT568" s="277" t="s">
        <v>1210</v>
      </c>
      <c r="AU568" s="277"/>
      <c r="AV568" s="277"/>
      <c r="AX568" s="277" t="s">
        <v>1211</v>
      </c>
      <c r="AY568" s="277"/>
      <c r="AZ568" s="277"/>
      <c r="BB568" s="277" t="s">
        <v>1213</v>
      </c>
      <c r="BC568" s="277"/>
      <c r="BD568" s="277"/>
      <c r="BF568" s="277" t="s">
        <v>1214</v>
      </c>
      <c r="BG568" s="277"/>
      <c r="BH568" s="277"/>
      <c r="BJ568" s="277" t="s">
        <v>1215</v>
      </c>
      <c r="BK568" s="277"/>
      <c r="BL568" s="277"/>
      <c r="BN568" s="277" t="s">
        <v>1220</v>
      </c>
      <c r="BO568" s="277"/>
      <c r="BP568" s="277"/>
      <c r="BR568" s="277" t="s">
        <v>1221</v>
      </c>
      <c r="BS568" s="277"/>
      <c r="BT568" s="277"/>
    </row>
    <row r="569" spans="1:72" x14ac:dyDescent="0.15">
      <c r="A569" s="163"/>
      <c r="B569" s="146"/>
      <c r="C569" s="146"/>
      <c r="E569" s="130"/>
      <c r="F569" s="266"/>
      <c r="G569" s="271"/>
      <c r="H569" s="272"/>
      <c r="J569" s="278" t="s">
        <v>109</v>
      </c>
      <c r="K569" s="278"/>
      <c r="L569" s="278"/>
      <c r="N569" s="278" t="s">
        <v>107</v>
      </c>
      <c r="O569" s="278"/>
      <c r="P569" s="278"/>
      <c r="R569" s="278" t="s">
        <v>109</v>
      </c>
      <c r="S569" s="278"/>
      <c r="T569" s="278"/>
      <c r="V569" s="278" t="s">
        <v>1172</v>
      </c>
      <c r="W569" s="278"/>
      <c r="X569" s="278"/>
      <c r="Z569" s="278" t="s">
        <v>107</v>
      </c>
      <c r="AA569" s="278"/>
      <c r="AB569" s="278"/>
      <c r="AD569" s="278" t="s">
        <v>1188</v>
      </c>
      <c r="AE569" s="278"/>
      <c r="AF569" s="278"/>
      <c r="AH569" s="278" t="s">
        <v>111</v>
      </c>
      <c r="AI569" s="278"/>
      <c r="AJ569" s="278"/>
      <c r="AL569" s="278" t="s">
        <v>111</v>
      </c>
      <c r="AM569" s="278"/>
      <c r="AN569" s="278"/>
      <c r="AP569" s="278" t="s">
        <v>110</v>
      </c>
      <c r="AQ569" s="278"/>
      <c r="AR569" s="278"/>
      <c r="AT569" s="278" t="s">
        <v>112</v>
      </c>
      <c r="AU569" s="278"/>
      <c r="AV569" s="278"/>
      <c r="AX569" s="278" t="s">
        <v>1212</v>
      </c>
      <c r="AY569" s="278"/>
      <c r="AZ569" s="278"/>
      <c r="BB569" s="278" t="s">
        <v>107</v>
      </c>
      <c r="BC569" s="278"/>
      <c r="BD569" s="278"/>
      <c r="BF569" s="278" t="s">
        <v>110</v>
      </c>
      <c r="BG569" s="278"/>
      <c r="BH569" s="278"/>
      <c r="BJ569" s="278" t="s">
        <v>1188</v>
      </c>
      <c r="BK569" s="278"/>
      <c r="BL569" s="278"/>
      <c r="BN569" s="278" t="s">
        <v>110</v>
      </c>
      <c r="BO569" s="278"/>
      <c r="BP569" s="278"/>
      <c r="BR569" s="278" t="s">
        <v>107</v>
      </c>
      <c r="BS569" s="278"/>
      <c r="BT569" s="278"/>
    </row>
    <row r="570" spans="1:72" ht="12.75" customHeight="1" x14ac:dyDescent="0.15">
      <c r="A570" s="163"/>
      <c r="B570" s="146"/>
      <c r="C570" s="146"/>
      <c r="E570" s="130"/>
      <c r="F570" s="266"/>
      <c r="G570" s="271"/>
      <c r="H570" s="272"/>
      <c r="J570" s="279" t="s">
        <v>1136</v>
      </c>
      <c r="K570" s="279"/>
      <c r="L570" s="279"/>
      <c r="N570" s="279" t="s">
        <v>1159</v>
      </c>
      <c r="O570" s="279"/>
      <c r="P570" s="279"/>
      <c r="R570" s="279" t="s">
        <v>1159</v>
      </c>
      <c r="S570" s="279"/>
      <c r="T570" s="279"/>
      <c r="V570" s="279" t="s">
        <v>1159</v>
      </c>
      <c r="W570" s="279"/>
      <c r="X570" s="279"/>
      <c r="Z570" s="279" t="s">
        <v>1159</v>
      </c>
      <c r="AA570" s="279"/>
      <c r="AB570" s="279"/>
      <c r="AD570" s="279" t="s">
        <v>1159</v>
      </c>
      <c r="AE570" s="279"/>
      <c r="AF570" s="279"/>
      <c r="AH570" s="279" t="s">
        <v>1196</v>
      </c>
      <c r="AI570" s="279"/>
      <c r="AJ570" s="279"/>
      <c r="AL570" s="279" t="s">
        <v>1196</v>
      </c>
      <c r="AM570" s="279"/>
      <c r="AN570" s="279"/>
      <c r="AP570" s="279" t="s">
        <v>1196</v>
      </c>
      <c r="AQ570" s="279"/>
      <c r="AR570" s="279"/>
      <c r="AT570" s="279" t="s">
        <v>1159</v>
      </c>
      <c r="AU570" s="279"/>
      <c r="AV570" s="279"/>
      <c r="AX570" s="279" t="s">
        <v>1159</v>
      </c>
      <c r="AY570" s="279"/>
      <c r="AZ570" s="279"/>
      <c r="BB570" s="279" t="s">
        <v>1159</v>
      </c>
      <c r="BC570" s="279"/>
      <c r="BD570" s="279"/>
      <c r="BF570" s="279" t="s">
        <v>1196</v>
      </c>
      <c r="BG570" s="279"/>
      <c r="BH570" s="279"/>
      <c r="BJ570" s="279" t="s">
        <v>1216</v>
      </c>
      <c r="BK570" s="279"/>
      <c r="BL570" s="279"/>
      <c r="BN570" s="279" t="s">
        <v>1196</v>
      </c>
      <c r="BO570" s="279"/>
      <c r="BP570" s="279"/>
      <c r="BR570" s="279" t="s">
        <v>1159</v>
      </c>
      <c r="BS570" s="279"/>
      <c r="BT570" s="279"/>
    </row>
    <row r="571" spans="1:72" ht="13.5" thickBot="1" x14ac:dyDescent="0.2">
      <c r="A571" s="108"/>
      <c r="B571" s="146"/>
      <c r="C571" s="146"/>
      <c r="E571" s="130"/>
      <c r="F571" s="273"/>
      <c r="G571" s="274"/>
      <c r="H571" s="275"/>
      <c r="J571" s="279" t="s">
        <v>1137</v>
      </c>
      <c r="K571" s="279"/>
      <c r="L571" s="279"/>
      <c r="N571" s="279" t="s">
        <v>1160</v>
      </c>
      <c r="O571" s="279"/>
      <c r="P571" s="279"/>
      <c r="R571" s="279" t="s">
        <v>1160</v>
      </c>
      <c r="S571" s="279"/>
      <c r="T571" s="279"/>
      <c r="V571" s="279" t="s">
        <v>1160</v>
      </c>
      <c r="W571" s="279"/>
      <c r="X571" s="279"/>
      <c r="Z571" s="279" t="s">
        <v>1160</v>
      </c>
      <c r="AA571" s="279"/>
      <c r="AB571" s="279"/>
      <c r="AD571" s="279" t="s">
        <v>1189</v>
      </c>
      <c r="AE571" s="279"/>
      <c r="AF571" s="279"/>
      <c r="AH571" s="279" t="s">
        <v>1197</v>
      </c>
      <c r="AI571" s="279"/>
      <c r="AJ571" s="279"/>
      <c r="AL571" s="279" t="s">
        <v>1197</v>
      </c>
      <c r="AM571" s="279"/>
      <c r="AN571" s="279"/>
      <c r="AP571" s="279" t="s">
        <v>1206</v>
      </c>
      <c r="AQ571" s="279"/>
      <c r="AR571" s="279"/>
      <c r="AT571" s="279" t="s">
        <v>1160</v>
      </c>
      <c r="AU571" s="279"/>
      <c r="AV571" s="279"/>
      <c r="AX571" s="279" t="s">
        <v>1189</v>
      </c>
      <c r="AY571" s="279"/>
      <c r="AZ571" s="279"/>
      <c r="BB571" s="279" t="s">
        <v>1189</v>
      </c>
      <c r="BC571" s="279"/>
      <c r="BD571" s="279"/>
      <c r="BF571" s="279" t="s">
        <v>1197</v>
      </c>
      <c r="BG571" s="279"/>
      <c r="BH571" s="279"/>
      <c r="BJ571" s="279" t="s">
        <v>1217</v>
      </c>
      <c r="BK571" s="279"/>
      <c r="BL571" s="279"/>
      <c r="BN571" s="279" t="s">
        <v>1197</v>
      </c>
      <c r="BO571" s="279"/>
      <c r="BP571" s="279"/>
      <c r="BR571" s="279" t="s">
        <v>1160</v>
      </c>
      <c r="BS571" s="279"/>
      <c r="BT571" s="279"/>
    </row>
    <row r="572" spans="1:72" x14ac:dyDescent="0.15">
      <c r="A572" s="163"/>
      <c r="B572" s="129"/>
      <c r="C572" s="146"/>
      <c r="E572" s="128"/>
      <c r="F572" s="131" t="s">
        <v>979</v>
      </c>
      <c r="G572" s="107"/>
      <c r="H572" s="165"/>
      <c r="I572" s="143"/>
      <c r="J572" s="131" t="s">
        <v>979</v>
      </c>
      <c r="K572" s="185"/>
      <c r="L572" s="240"/>
      <c r="N572" s="131" t="s">
        <v>979</v>
      </c>
      <c r="O572" s="185"/>
      <c r="P572" s="240"/>
      <c r="R572" s="131" t="s">
        <v>979</v>
      </c>
      <c r="S572" s="185"/>
      <c r="T572" s="240"/>
      <c r="V572" s="131" t="s">
        <v>979</v>
      </c>
      <c r="W572" s="185"/>
      <c r="X572" s="240"/>
      <c r="Z572" s="131" t="s">
        <v>979</v>
      </c>
      <c r="AA572" s="185"/>
      <c r="AB572" s="240"/>
      <c r="AD572" s="131" t="s">
        <v>979</v>
      </c>
      <c r="AE572" s="185"/>
      <c r="AF572" s="240"/>
      <c r="AH572" s="131" t="s">
        <v>979</v>
      </c>
      <c r="AI572" s="185"/>
      <c r="AJ572" s="240"/>
      <c r="AL572" s="131" t="s">
        <v>979</v>
      </c>
      <c r="AM572" s="185"/>
      <c r="AN572" s="240"/>
      <c r="AP572" s="131" t="s">
        <v>979</v>
      </c>
      <c r="AQ572" s="185"/>
      <c r="AR572" s="240"/>
      <c r="AT572" s="131" t="s">
        <v>979</v>
      </c>
      <c r="AU572" s="185"/>
      <c r="AV572" s="240"/>
      <c r="AX572" s="131" t="s">
        <v>979</v>
      </c>
      <c r="AY572" s="185"/>
      <c r="AZ572" s="240"/>
      <c r="BB572" s="131" t="s">
        <v>979</v>
      </c>
      <c r="BC572" s="185"/>
      <c r="BD572" s="240"/>
      <c r="BF572" s="131" t="s">
        <v>979</v>
      </c>
      <c r="BG572" s="185"/>
      <c r="BH572" s="240"/>
      <c r="BJ572" s="131" t="s">
        <v>979</v>
      </c>
      <c r="BK572" s="185"/>
      <c r="BL572" s="240"/>
      <c r="BN572" s="131" t="s">
        <v>979</v>
      </c>
      <c r="BO572" s="185"/>
      <c r="BP572" s="240"/>
      <c r="BR572" s="131" t="s">
        <v>979</v>
      </c>
      <c r="BS572" s="185"/>
      <c r="BT572" s="240"/>
    </row>
    <row r="573" spans="1:72" x14ac:dyDescent="0.15">
      <c r="A573" s="134" t="s">
        <v>447</v>
      </c>
      <c r="B573" s="135" t="s">
        <v>448</v>
      </c>
      <c r="C573" s="135" t="s">
        <v>449</v>
      </c>
      <c r="D573" s="166"/>
      <c r="E573" s="128"/>
      <c r="F573" s="136"/>
      <c r="G573" s="137" t="s">
        <v>125</v>
      </c>
      <c r="H573" s="138" t="s">
        <v>450</v>
      </c>
      <c r="I573" s="143"/>
      <c r="J573" s="136"/>
      <c r="K573" s="137" t="s">
        <v>125</v>
      </c>
      <c r="L573" s="229" t="s">
        <v>450</v>
      </c>
      <c r="N573" s="136"/>
      <c r="O573" s="137" t="s">
        <v>125</v>
      </c>
      <c r="P573" s="229" t="s">
        <v>450</v>
      </c>
      <c r="R573" s="136"/>
      <c r="S573" s="137" t="s">
        <v>125</v>
      </c>
      <c r="T573" s="229" t="s">
        <v>450</v>
      </c>
      <c r="V573" s="136"/>
      <c r="W573" s="137" t="s">
        <v>125</v>
      </c>
      <c r="X573" s="229" t="s">
        <v>450</v>
      </c>
      <c r="Z573" s="136"/>
      <c r="AA573" s="137" t="s">
        <v>125</v>
      </c>
      <c r="AB573" s="229" t="s">
        <v>450</v>
      </c>
      <c r="AD573" s="136"/>
      <c r="AE573" s="137" t="s">
        <v>125</v>
      </c>
      <c r="AF573" s="229" t="s">
        <v>450</v>
      </c>
      <c r="AH573" s="136"/>
      <c r="AI573" s="137" t="s">
        <v>125</v>
      </c>
      <c r="AJ573" s="229" t="s">
        <v>450</v>
      </c>
      <c r="AL573" s="136"/>
      <c r="AM573" s="137" t="s">
        <v>125</v>
      </c>
      <c r="AN573" s="229" t="s">
        <v>450</v>
      </c>
      <c r="AP573" s="136"/>
      <c r="AQ573" s="137" t="s">
        <v>125</v>
      </c>
      <c r="AR573" s="229" t="s">
        <v>450</v>
      </c>
      <c r="AT573" s="136"/>
      <c r="AU573" s="137" t="s">
        <v>125</v>
      </c>
      <c r="AV573" s="229" t="s">
        <v>450</v>
      </c>
      <c r="AX573" s="136"/>
      <c r="AY573" s="137" t="s">
        <v>125</v>
      </c>
      <c r="AZ573" s="229" t="s">
        <v>450</v>
      </c>
      <c r="BB573" s="136"/>
      <c r="BC573" s="137" t="s">
        <v>125</v>
      </c>
      <c r="BD573" s="229" t="s">
        <v>450</v>
      </c>
      <c r="BF573" s="136"/>
      <c r="BG573" s="137" t="s">
        <v>125</v>
      </c>
      <c r="BH573" s="229" t="s">
        <v>450</v>
      </c>
      <c r="BJ573" s="136"/>
      <c r="BK573" s="137" t="s">
        <v>125</v>
      </c>
      <c r="BL573" s="229" t="s">
        <v>450</v>
      </c>
      <c r="BN573" s="136"/>
      <c r="BO573" s="137" t="s">
        <v>125</v>
      </c>
      <c r="BP573" s="229" t="s">
        <v>450</v>
      </c>
      <c r="BR573" s="136"/>
      <c r="BS573" s="137" t="s">
        <v>125</v>
      </c>
      <c r="BT573" s="229" t="s">
        <v>450</v>
      </c>
    </row>
    <row r="574" spans="1:72" ht="12.75" customHeight="1" x14ac:dyDescent="0.15">
      <c r="A574" s="167" t="s">
        <v>116</v>
      </c>
      <c r="B574" s="168" t="s">
        <v>1073</v>
      </c>
      <c r="C574" s="169"/>
      <c r="D574" s="170"/>
      <c r="E574" s="128"/>
      <c r="F574" s="171"/>
      <c r="G574" s="141" t="s">
        <v>169</v>
      </c>
      <c r="H574" s="172"/>
      <c r="I574" s="143"/>
      <c r="J574" s="171"/>
      <c r="K574" s="141" t="s">
        <v>169</v>
      </c>
      <c r="L574" s="246" t="s">
        <v>1139</v>
      </c>
      <c r="N574" s="171"/>
      <c r="O574" s="141" t="s">
        <v>169</v>
      </c>
      <c r="P574" s="246" t="s">
        <v>1139</v>
      </c>
      <c r="R574" s="171"/>
      <c r="S574" s="141" t="s">
        <v>169</v>
      </c>
      <c r="T574" s="246" t="s">
        <v>1139</v>
      </c>
      <c r="V574" s="171"/>
      <c r="W574" s="141" t="s">
        <v>169</v>
      </c>
      <c r="X574" s="247" t="s">
        <v>1167</v>
      </c>
      <c r="Z574" s="171"/>
      <c r="AA574" s="141" t="s">
        <v>169</v>
      </c>
      <c r="AB574" s="247" t="s">
        <v>1167</v>
      </c>
      <c r="AD574" s="171"/>
      <c r="AE574" s="141" t="s">
        <v>169</v>
      </c>
      <c r="AF574" s="246" t="s">
        <v>1139</v>
      </c>
      <c r="AH574" s="171"/>
      <c r="AI574" s="141" t="s">
        <v>169</v>
      </c>
      <c r="AJ574" s="246" t="s">
        <v>1139</v>
      </c>
      <c r="AL574" s="171"/>
      <c r="AM574" s="141" t="s">
        <v>169</v>
      </c>
      <c r="AN574" s="246" t="s">
        <v>1139</v>
      </c>
      <c r="AP574" s="171"/>
      <c r="AQ574" s="141" t="s">
        <v>169</v>
      </c>
      <c r="AR574" s="246" t="s">
        <v>1139</v>
      </c>
      <c r="AT574" s="171"/>
      <c r="AU574" s="141" t="s">
        <v>169</v>
      </c>
      <c r="AV574" s="246" t="s">
        <v>1139</v>
      </c>
      <c r="AX574" s="171"/>
      <c r="AY574" s="141" t="s">
        <v>169</v>
      </c>
      <c r="AZ574" s="247" t="s">
        <v>1167</v>
      </c>
      <c r="BB574" s="171"/>
      <c r="BC574" s="141" t="s">
        <v>169</v>
      </c>
      <c r="BD574" s="247" t="s">
        <v>1167</v>
      </c>
      <c r="BF574" s="171"/>
      <c r="BG574" s="141" t="s">
        <v>169</v>
      </c>
      <c r="BH574" s="246" t="s">
        <v>1139</v>
      </c>
      <c r="BJ574" s="171"/>
      <c r="BK574" s="141" t="s">
        <v>169</v>
      </c>
      <c r="BL574" s="246" t="s">
        <v>1139</v>
      </c>
      <c r="BN574" s="171"/>
      <c r="BO574" s="141" t="s">
        <v>169</v>
      </c>
      <c r="BP574" s="246" t="s">
        <v>1139</v>
      </c>
      <c r="BR574" s="171"/>
      <c r="BS574" s="141" t="s">
        <v>169</v>
      </c>
      <c r="BT574" s="246" t="s">
        <v>1139</v>
      </c>
    </row>
    <row r="575" spans="1:72" ht="12.75" customHeight="1" x14ac:dyDescent="0.15">
      <c r="A575" s="167" t="s">
        <v>117</v>
      </c>
      <c r="B575" s="168" t="s">
        <v>1073</v>
      </c>
      <c r="C575" s="169"/>
      <c r="D575" s="170"/>
      <c r="E575" s="128"/>
      <c r="F575" s="171"/>
      <c r="G575" s="141" t="s">
        <v>170</v>
      </c>
      <c r="H575" s="172"/>
      <c r="I575" s="143"/>
      <c r="J575" s="171"/>
      <c r="K575" s="141" t="s">
        <v>170</v>
      </c>
      <c r="L575" s="246" t="s">
        <v>1139</v>
      </c>
      <c r="N575" s="171"/>
      <c r="O575" s="141" t="s">
        <v>170</v>
      </c>
      <c r="P575" s="246" t="s">
        <v>1139</v>
      </c>
      <c r="R575" s="171"/>
      <c r="S575" s="141" t="s">
        <v>170</v>
      </c>
      <c r="T575" s="246" t="s">
        <v>1139</v>
      </c>
      <c r="V575" s="171"/>
      <c r="W575" s="141" t="s">
        <v>170</v>
      </c>
      <c r="X575" s="247" t="s">
        <v>1167</v>
      </c>
      <c r="Z575" s="171"/>
      <c r="AA575" s="141" t="s">
        <v>170</v>
      </c>
      <c r="AB575" s="247" t="s">
        <v>1167</v>
      </c>
      <c r="AD575" s="171"/>
      <c r="AE575" s="141" t="s">
        <v>170</v>
      </c>
      <c r="AF575" s="246" t="s">
        <v>1139</v>
      </c>
      <c r="AH575" s="171"/>
      <c r="AI575" s="141" t="s">
        <v>170</v>
      </c>
      <c r="AJ575" s="246" t="s">
        <v>1139</v>
      </c>
      <c r="AL575" s="171"/>
      <c r="AM575" s="141" t="s">
        <v>170</v>
      </c>
      <c r="AN575" s="246" t="s">
        <v>1139</v>
      </c>
      <c r="AP575" s="171"/>
      <c r="AQ575" s="141" t="s">
        <v>170</v>
      </c>
      <c r="AR575" s="246" t="s">
        <v>1139</v>
      </c>
      <c r="AT575" s="171"/>
      <c r="AU575" s="141" t="s">
        <v>170</v>
      </c>
      <c r="AV575" s="246" t="s">
        <v>1139</v>
      </c>
      <c r="AX575" s="171"/>
      <c r="AY575" s="141" t="s">
        <v>170</v>
      </c>
      <c r="AZ575" s="247" t="s">
        <v>1167</v>
      </c>
      <c r="BB575" s="171"/>
      <c r="BC575" s="141" t="s">
        <v>170</v>
      </c>
      <c r="BD575" s="247" t="s">
        <v>1167</v>
      </c>
      <c r="BF575" s="171"/>
      <c r="BG575" s="141" t="s">
        <v>170</v>
      </c>
      <c r="BH575" s="246" t="s">
        <v>1139</v>
      </c>
      <c r="BJ575" s="171"/>
      <c r="BK575" s="141" t="s">
        <v>170</v>
      </c>
      <c r="BL575" s="246" t="s">
        <v>1139</v>
      </c>
      <c r="BN575" s="171"/>
      <c r="BO575" s="141" t="s">
        <v>170</v>
      </c>
      <c r="BP575" s="246" t="s">
        <v>1139</v>
      </c>
      <c r="BR575" s="171"/>
      <c r="BS575" s="141" t="s">
        <v>170</v>
      </c>
      <c r="BT575" s="246" t="s">
        <v>1139</v>
      </c>
    </row>
    <row r="576" spans="1:72" ht="12.75" customHeight="1" x14ac:dyDescent="0.15">
      <c r="A576" s="167" t="s">
        <v>118</v>
      </c>
      <c r="B576" s="168" t="s">
        <v>284</v>
      </c>
      <c r="C576" s="169"/>
      <c r="D576" s="170"/>
      <c r="E576" s="128"/>
      <c r="F576" s="171"/>
      <c r="G576" s="141" t="s">
        <v>143</v>
      </c>
      <c r="H576" s="172"/>
      <c r="I576" s="143"/>
      <c r="J576" s="171"/>
      <c r="K576" s="141" t="s">
        <v>143</v>
      </c>
      <c r="L576" s="247" t="s">
        <v>1140</v>
      </c>
      <c r="N576" s="171"/>
      <c r="O576" s="141" t="s">
        <v>143</v>
      </c>
      <c r="P576" s="247" t="s">
        <v>1140</v>
      </c>
      <c r="R576" s="171"/>
      <c r="S576" s="141" t="s">
        <v>143</v>
      </c>
      <c r="T576" s="247" t="s">
        <v>1140</v>
      </c>
      <c r="V576" s="171"/>
      <c r="W576" s="141" t="s">
        <v>143</v>
      </c>
      <c r="X576" s="247" t="s">
        <v>1140</v>
      </c>
      <c r="Z576" s="171"/>
      <c r="AA576" s="141" t="s">
        <v>143</v>
      </c>
      <c r="AB576" s="247" t="s">
        <v>1140</v>
      </c>
      <c r="AD576" s="171"/>
      <c r="AE576" s="141" t="s">
        <v>143</v>
      </c>
      <c r="AF576" s="247" t="s">
        <v>1140</v>
      </c>
      <c r="AH576" s="171"/>
      <c r="AI576" s="141" t="s">
        <v>143</v>
      </c>
      <c r="AJ576" s="247" t="s">
        <v>1140</v>
      </c>
      <c r="AL576" s="171"/>
      <c r="AM576" s="141" t="s">
        <v>143</v>
      </c>
      <c r="AN576" s="247" t="s">
        <v>1140</v>
      </c>
      <c r="AP576" s="171"/>
      <c r="AQ576" s="141" t="s">
        <v>143</v>
      </c>
      <c r="AR576" s="247" t="s">
        <v>1140</v>
      </c>
      <c r="AT576" s="171"/>
      <c r="AU576" s="141" t="s">
        <v>143</v>
      </c>
      <c r="AV576" s="247" t="s">
        <v>1140</v>
      </c>
      <c r="AX576" s="171"/>
      <c r="AY576" s="141" t="s">
        <v>143</v>
      </c>
      <c r="AZ576" s="247" t="s">
        <v>1140</v>
      </c>
      <c r="BB576" s="171"/>
      <c r="BC576" s="141" t="s">
        <v>143</v>
      </c>
      <c r="BD576" s="247" t="s">
        <v>1140</v>
      </c>
      <c r="BF576" s="171"/>
      <c r="BG576" s="141" t="s">
        <v>143</v>
      </c>
      <c r="BH576" s="247" t="s">
        <v>1140</v>
      </c>
      <c r="BJ576" s="171"/>
      <c r="BK576" s="141" t="s">
        <v>143</v>
      </c>
      <c r="BL576" s="247" t="s">
        <v>1140</v>
      </c>
      <c r="BN576" s="171"/>
      <c r="BO576" s="141" t="s">
        <v>143</v>
      </c>
      <c r="BP576" s="247" t="s">
        <v>1140</v>
      </c>
      <c r="BR576" s="171"/>
      <c r="BS576" s="141" t="s">
        <v>143</v>
      </c>
      <c r="BT576" s="247" t="s">
        <v>1140</v>
      </c>
    </row>
    <row r="577" spans="1:72" s="174" customFormat="1" x14ac:dyDescent="0.15">
      <c r="A577" s="181"/>
      <c r="B577" s="168" t="s">
        <v>1073</v>
      </c>
      <c r="C577" s="173"/>
      <c r="D577" s="170"/>
      <c r="E577" s="128"/>
      <c r="F577" s="171"/>
      <c r="G577" s="141" t="s">
        <v>171</v>
      </c>
      <c r="H577" s="172"/>
      <c r="I577" s="143"/>
      <c r="J577" s="171"/>
      <c r="K577" s="141" t="s">
        <v>171</v>
      </c>
      <c r="L577" s="246" t="s">
        <v>9</v>
      </c>
      <c r="N577" s="171"/>
      <c r="O577" s="141" t="s">
        <v>171</v>
      </c>
      <c r="P577" s="246" t="s">
        <v>9</v>
      </c>
      <c r="R577" s="171"/>
      <c r="S577" s="141" t="s">
        <v>171</v>
      </c>
      <c r="T577" s="246" t="s">
        <v>9</v>
      </c>
      <c r="U577" s="108"/>
      <c r="V577" s="171"/>
      <c r="W577" s="141" t="s">
        <v>171</v>
      </c>
      <c r="X577" s="246" t="s">
        <v>9</v>
      </c>
      <c r="Z577" s="171"/>
      <c r="AA577" s="141" t="s">
        <v>171</v>
      </c>
      <c r="AB577" s="246" t="s">
        <v>9</v>
      </c>
      <c r="AD577" s="171"/>
      <c r="AE577" s="141" t="s">
        <v>171</v>
      </c>
      <c r="AF577" s="246" t="s">
        <v>9</v>
      </c>
      <c r="AH577" s="171"/>
      <c r="AI577" s="141" t="s">
        <v>171</v>
      </c>
      <c r="AJ577" s="246" t="s">
        <v>9</v>
      </c>
      <c r="AL577" s="171"/>
      <c r="AM577" s="141" t="s">
        <v>171</v>
      </c>
      <c r="AN577" s="246" t="s">
        <v>9</v>
      </c>
      <c r="AP577" s="171"/>
      <c r="AQ577" s="141" t="s">
        <v>171</v>
      </c>
      <c r="AR577" s="246" t="s">
        <v>9</v>
      </c>
      <c r="AT577" s="171"/>
      <c r="AU577" s="141" t="s">
        <v>171</v>
      </c>
      <c r="AV577" s="246" t="s">
        <v>9</v>
      </c>
      <c r="AX577" s="171"/>
      <c r="AY577" s="141" t="s">
        <v>171</v>
      </c>
      <c r="AZ577" s="246" t="s">
        <v>9</v>
      </c>
      <c r="BB577" s="171"/>
      <c r="BC577" s="141" t="s">
        <v>171</v>
      </c>
      <c r="BD577" s="246" t="s">
        <v>9</v>
      </c>
      <c r="BF577" s="171"/>
      <c r="BG577" s="141" t="s">
        <v>171</v>
      </c>
      <c r="BH577" s="246" t="s">
        <v>9</v>
      </c>
      <c r="BJ577" s="171"/>
      <c r="BK577" s="141" t="s">
        <v>171</v>
      </c>
      <c r="BL577" s="246" t="s">
        <v>9</v>
      </c>
      <c r="BN577" s="171"/>
      <c r="BO577" s="141" t="s">
        <v>171</v>
      </c>
      <c r="BP577" s="246" t="s">
        <v>9</v>
      </c>
      <c r="BR577" s="171"/>
      <c r="BS577" s="141" t="s">
        <v>171</v>
      </c>
      <c r="BT577" s="246" t="s">
        <v>9</v>
      </c>
    </row>
    <row r="578" spans="1:72" s="174" customFormat="1" x14ac:dyDescent="0.15">
      <c r="A578" s="181"/>
      <c r="B578" s="168" t="s">
        <v>1073</v>
      </c>
      <c r="C578" s="173"/>
      <c r="D578" s="170"/>
      <c r="E578" s="128"/>
      <c r="F578" s="171"/>
      <c r="G578" s="141" t="s">
        <v>172</v>
      </c>
      <c r="H578" s="172"/>
      <c r="I578" s="143"/>
      <c r="J578" s="171"/>
      <c r="K578" s="141" t="s">
        <v>172</v>
      </c>
      <c r="L578" s="246" t="s">
        <v>9</v>
      </c>
      <c r="N578" s="171"/>
      <c r="O578" s="141" t="s">
        <v>172</v>
      </c>
      <c r="P578" s="246" t="s">
        <v>9</v>
      </c>
      <c r="R578" s="171"/>
      <c r="S578" s="141" t="s">
        <v>172</v>
      </c>
      <c r="T578" s="246" t="s">
        <v>9</v>
      </c>
      <c r="U578" s="108"/>
      <c r="V578" s="171"/>
      <c r="W578" s="141" t="s">
        <v>172</v>
      </c>
      <c r="X578" s="246" t="s">
        <v>9</v>
      </c>
      <c r="Z578" s="171"/>
      <c r="AA578" s="141" t="s">
        <v>172</v>
      </c>
      <c r="AB578" s="246" t="s">
        <v>9</v>
      </c>
      <c r="AD578" s="171"/>
      <c r="AE578" s="141" t="s">
        <v>172</v>
      </c>
      <c r="AF578" s="246" t="s">
        <v>9</v>
      </c>
      <c r="AH578" s="171"/>
      <c r="AI578" s="141" t="s">
        <v>172</v>
      </c>
      <c r="AJ578" s="246" t="s">
        <v>9</v>
      </c>
      <c r="AL578" s="171"/>
      <c r="AM578" s="141" t="s">
        <v>172</v>
      </c>
      <c r="AN578" s="246" t="s">
        <v>9</v>
      </c>
      <c r="AP578" s="171"/>
      <c r="AQ578" s="141" t="s">
        <v>172</v>
      </c>
      <c r="AR578" s="246" t="s">
        <v>9</v>
      </c>
      <c r="AT578" s="171"/>
      <c r="AU578" s="141" t="s">
        <v>172</v>
      </c>
      <c r="AV578" s="246" t="s">
        <v>9</v>
      </c>
      <c r="AX578" s="171"/>
      <c r="AY578" s="141" t="s">
        <v>172</v>
      </c>
      <c r="AZ578" s="246" t="s">
        <v>9</v>
      </c>
      <c r="BB578" s="171"/>
      <c r="BC578" s="141" t="s">
        <v>172</v>
      </c>
      <c r="BD578" s="246" t="s">
        <v>9</v>
      </c>
      <c r="BF578" s="171"/>
      <c r="BG578" s="141" t="s">
        <v>172</v>
      </c>
      <c r="BH578" s="246" t="s">
        <v>9</v>
      </c>
      <c r="BJ578" s="171"/>
      <c r="BK578" s="141" t="s">
        <v>172</v>
      </c>
      <c r="BL578" s="246" t="s">
        <v>9</v>
      </c>
      <c r="BN578" s="171"/>
      <c r="BO578" s="141" t="s">
        <v>172</v>
      </c>
      <c r="BP578" s="246" t="s">
        <v>9</v>
      </c>
      <c r="BR578" s="171"/>
      <c r="BS578" s="141" t="s">
        <v>172</v>
      </c>
      <c r="BT578" s="246" t="s">
        <v>9</v>
      </c>
    </row>
    <row r="579" spans="1:72" s="174" customFormat="1" x14ac:dyDescent="0.15">
      <c r="A579" s="181"/>
      <c r="B579" s="168" t="s">
        <v>85</v>
      </c>
      <c r="C579" s="173"/>
      <c r="D579" s="170"/>
      <c r="E579" s="128"/>
      <c r="F579" s="171"/>
      <c r="G579" s="141" t="s">
        <v>185</v>
      </c>
      <c r="H579" s="172"/>
      <c r="I579" s="143"/>
      <c r="J579" s="171"/>
      <c r="K579" s="141" t="s">
        <v>185</v>
      </c>
      <c r="L579" s="247" t="s">
        <v>86</v>
      </c>
      <c r="N579" s="171"/>
      <c r="O579" s="141" t="s">
        <v>185</v>
      </c>
      <c r="P579" s="247" t="s">
        <v>86</v>
      </c>
      <c r="R579" s="171"/>
      <c r="S579" s="141" t="s">
        <v>185</v>
      </c>
      <c r="T579" s="247" t="s">
        <v>86</v>
      </c>
      <c r="U579" s="108"/>
      <c r="V579" s="171"/>
      <c r="W579" s="141" t="s">
        <v>185</v>
      </c>
      <c r="X579" s="246" t="s">
        <v>440</v>
      </c>
      <c r="Z579" s="171"/>
      <c r="AA579" s="141" t="s">
        <v>185</v>
      </c>
      <c r="AB579" s="246" t="s">
        <v>440</v>
      </c>
      <c r="AD579" s="171"/>
      <c r="AE579" s="141" t="s">
        <v>185</v>
      </c>
      <c r="AF579" s="247" t="s">
        <v>86</v>
      </c>
      <c r="AH579" s="171"/>
      <c r="AI579" s="141" t="s">
        <v>185</v>
      </c>
      <c r="AJ579" s="247" t="s">
        <v>86</v>
      </c>
      <c r="AL579" s="171"/>
      <c r="AM579" s="141" t="s">
        <v>185</v>
      </c>
      <c r="AN579" s="247" t="s">
        <v>86</v>
      </c>
      <c r="AP579" s="171"/>
      <c r="AQ579" s="141" t="s">
        <v>185</v>
      </c>
      <c r="AR579" s="247" t="s">
        <v>86</v>
      </c>
      <c r="AT579" s="171"/>
      <c r="AU579" s="141" t="s">
        <v>185</v>
      </c>
      <c r="AV579" s="247" t="s">
        <v>86</v>
      </c>
      <c r="AX579" s="171"/>
      <c r="AY579" s="141" t="s">
        <v>185</v>
      </c>
      <c r="AZ579" s="246" t="s">
        <v>440</v>
      </c>
      <c r="BB579" s="171"/>
      <c r="BC579" s="141" t="s">
        <v>185</v>
      </c>
      <c r="BD579" s="246" t="s">
        <v>440</v>
      </c>
      <c r="BF579" s="171"/>
      <c r="BG579" s="141" t="s">
        <v>185</v>
      </c>
      <c r="BH579" s="247" t="s">
        <v>86</v>
      </c>
      <c r="BJ579" s="171"/>
      <c r="BK579" s="141" t="s">
        <v>185</v>
      </c>
      <c r="BL579" s="247" t="s">
        <v>86</v>
      </c>
      <c r="BN579" s="171"/>
      <c r="BO579" s="141" t="s">
        <v>185</v>
      </c>
      <c r="BP579" s="247" t="s">
        <v>86</v>
      </c>
      <c r="BR579" s="171"/>
      <c r="BS579" s="141" t="s">
        <v>185</v>
      </c>
      <c r="BT579" s="247" t="s">
        <v>86</v>
      </c>
    </row>
    <row r="580" spans="1:72" s="174" customFormat="1" ht="12.75" customHeight="1" x14ac:dyDescent="0.15">
      <c r="A580" s="175"/>
      <c r="B580" s="176"/>
      <c r="C580" s="176"/>
      <c r="D580" s="177"/>
      <c r="E580" s="130"/>
      <c r="F580" s="178"/>
      <c r="G580" s="141"/>
      <c r="H580" s="179"/>
      <c r="I580" s="143"/>
      <c r="J580" s="178"/>
      <c r="K580" s="141"/>
      <c r="L580" s="241"/>
      <c r="N580" s="178"/>
      <c r="O580" s="141"/>
      <c r="P580" s="241"/>
      <c r="R580" s="178"/>
      <c r="S580" s="141"/>
      <c r="T580" s="241"/>
      <c r="U580" s="108"/>
      <c r="V580" s="178"/>
      <c r="W580" s="141"/>
      <c r="X580" s="241"/>
      <c r="Z580" s="178"/>
      <c r="AA580" s="141"/>
      <c r="AB580" s="241"/>
      <c r="AD580" s="178"/>
      <c r="AE580" s="141"/>
      <c r="AF580" s="241"/>
      <c r="AH580" s="178"/>
      <c r="AI580" s="141"/>
      <c r="AJ580" s="241"/>
      <c r="AL580" s="178"/>
      <c r="AM580" s="141"/>
      <c r="AN580" s="241"/>
      <c r="AP580" s="178"/>
      <c r="AQ580" s="141"/>
      <c r="AR580" s="241"/>
      <c r="AT580" s="178"/>
      <c r="AU580" s="141"/>
      <c r="AV580" s="241"/>
      <c r="AX580" s="178"/>
      <c r="AY580" s="141"/>
      <c r="AZ580" s="241"/>
      <c r="BB580" s="178"/>
      <c r="BC580" s="141"/>
      <c r="BD580" s="241"/>
      <c r="BF580" s="178"/>
      <c r="BG580" s="141"/>
      <c r="BH580" s="241"/>
      <c r="BJ580" s="178"/>
      <c r="BK580" s="141"/>
      <c r="BL580" s="241"/>
      <c r="BN580" s="178"/>
      <c r="BO580" s="141"/>
      <c r="BP580" s="241"/>
      <c r="BR580" s="178"/>
      <c r="BS580" s="141"/>
      <c r="BT580" s="241"/>
    </row>
    <row r="581" spans="1:72" x14ac:dyDescent="0.15">
      <c r="A581" s="175"/>
      <c r="B581" s="176"/>
      <c r="C581" s="176"/>
      <c r="D581" s="166"/>
      <c r="E581" s="130"/>
      <c r="F581" s="180"/>
      <c r="G581" s="141"/>
      <c r="H581" s="179"/>
      <c r="I581" s="143"/>
      <c r="J581" s="180"/>
      <c r="K581" s="141"/>
      <c r="L581" s="241"/>
      <c r="N581" s="180"/>
      <c r="O581" s="141"/>
      <c r="P581" s="241"/>
      <c r="R581" s="180"/>
      <c r="S581" s="141"/>
      <c r="T581" s="241"/>
      <c r="V581" s="180"/>
      <c r="W581" s="141"/>
      <c r="X581" s="241"/>
      <c r="Z581" s="180"/>
      <c r="AA581" s="141"/>
      <c r="AB581" s="241"/>
      <c r="AD581" s="180"/>
      <c r="AE581" s="141"/>
      <c r="AF581" s="241"/>
      <c r="AH581" s="180"/>
      <c r="AI581" s="141"/>
      <c r="AJ581" s="241"/>
      <c r="AL581" s="180"/>
      <c r="AM581" s="141"/>
      <c r="AN581" s="241"/>
      <c r="AP581" s="180"/>
      <c r="AQ581" s="141"/>
      <c r="AR581" s="241"/>
      <c r="AT581" s="180"/>
      <c r="AU581" s="141"/>
      <c r="AV581" s="241"/>
      <c r="AX581" s="180"/>
      <c r="AY581" s="141"/>
      <c r="AZ581" s="241"/>
      <c r="BB581" s="180"/>
      <c r="BC581" s="141"/>
      <c r="BD581" s="241"/>
      <c r="BF581" s="180"/>
      <c r="BG581" s="141"/>
      <c r="BH581" s="241"/>
      <c r="BJ581" s="180"/>
      <c r="BK581" s="141"/>
      <c r="BL581" s="241"/>
      <c r="BN581" s="180"/>
      <c r="BO581" s="141"/>
      <c r="BP581" s="241"/>
      <c r="BR581" s="180"/>
      <c r="BS581" s="141"/>
      <c r="BT581" s="241"/>
    </row>
    <row r="582" spans="1:72" ht="12.75" customHeight="1" x14ac:dyDescent="0.15">
      <c r="A582" s="175"/>
      <c r="B582" s="129"/>
      <c r="C582" s="146"/>
      <c r="D582" s="166"/>
      <c r="E582" s="128"/>
      <c r="F582" s="131" t="s">
        <v>980</v>
      </c>
      <c r="G582" s="107"/>
      <c r="H582" s="165"/>
      <c r="I582" s="143"/>
      <c r="J582" s="131" t="s">
        <v>980</v>
      </c>
      <c r="K582" s="107"/>
      <c r="L582" s="240"/>
      <c r="N582" s="131" t="s">
        <v>980</v>
      </c>
      <c r="O582" s="107"/>
      <c r="P582" s="240"/>
      <c r="R582" s="131" t="s">
        <v>980</v>
      </c>
      <c r="S582" s="107"/>
      <c r="T582" s="240"/>
      <c r="V582" s="131" t="s">
        <v>980</v>
      </c>
      <c r="W582" s="107"/>
      <c r="X582" s="240"/>
      <c r="Z582" s="131" t="s">
        <v>980</v>
      </c>
      <c r="AA582" s="107"/>
      <c r="AB582" s="240"/>
      <c r="AD582" s="131" t="s">
        <v>980</v>
      </c>
      <c r="AE582" s="107"/>
      <c r="AF582" s="240"/>
      <c r="AH582" s="131" t="s">
        <v>980</v>
      </c>
      <c r="AI582" s="107"/>
      <c r="AJ582" s="240"/>
      <c r="AL582" s="131" t="s">
        <v>980</v>
      </c>
      <c r="AM582" s="107"/>
      <c r="AN582" s="240"/>
      <c r="AP582" s="131" t="s">
        <v>980</v>
      </c>
      <c r="AQ582" s="107"/>
      <c r="AR582" s="240"/>
      <c r="AT582" s="131" t="s">
        <v>980</v>
      </c>
      <c r="AU582" s="107"/>
      <c r="AV582" s="240"/>
      <c r="AX582" s="131" t="s">
        <v>980</v>
      </c>
      <c r="AY582" s="107"/>
      <c r="AZ582" s="240"/>
      <c r="BB582" s="131" t="s">
        <v>980</v>
      </c>
      <c r="BC582" s="107"/>
      <c r="BD582" s="240"/>
      <c r="BF582" s="131" t="s">
        <v>980</v>
      </c>
      <c r="BG582" s="107"/>
      <c r="BH582" s="240"/>
      <c r="BJ582" s="131" t="s">
        <v>980</v>
      </c>
      <c r="BK582" s="107"/>
      <c r="BL582" s="240"/>
      <c r="BN582" s="131" t="s">
        <v>980</v>
      </c>
      <c r="BO582" s="107"/>
      <c r="BP582" s="240"/>
      <c r="BR582" s="131" t="s">
        <v>980</v>
      </c>
      <c r="BS582" s="107"/>
      <c r="BT582" s="240"/>
    </row>
    <row r="583" spans="1:72" x14ac:dyDescent="0.15">
      <c r="A583" s="134" t="s">
        <v>447</v>
      </c>
      <c r="B583" s="135" t="s">
        <v>448</v>
      </c>
      <c r="C583" s="135" t="s">
        <v>449</v>
      </c>
      <c r="D583" s="166"/>
      <c r="E583" s="128"/>
      <c r="F583" s="136"/>
      <c r="G583" s="137" t="s">
        <v>125</v>
      </c>
      <c r="H583" s="138" t="s">
        <v>450</v>
      </c>
      <c r="I583" s="143"/>
      <c r="J583" s="136"/>
      <c r="K583" s="137" t="s">
        <v>125</v>
      </c>
      <c r="L583" s="229" t="s">
        <v>450</v>
      </c>
      <c r="N583" s="136"/>
      <c r="O583" s="137" t="s">
        <v>125</v>
      </c>
      <c r="P583" s="229" t="s">
        <v>450</v>
      </c>
      <c r="R583" s="136"/>
      <c r="S583" s="137" t="s">
        <v>125</v>
      </c>
      <c r="T583" s="229" t="s">
        <v>450</v>
      </c>
      <c r="V583" s="136"/>
      <c r="W583" s="137" t="s">
        <v>125</v>
      </c>
      <c r="X583" s="229" t="s">
        <v>450</v>
      </c>
      <c r="Z583" s="136"/>
      <c r="AA583" s="137" t="s">
        <v>125</v>
      </c>
      <c r="AB583" s="229" t="s">
        <v>450</v>
      </c>
      <c r="AD583" s="136"/>
      <c r="AE583" s="137" t="s">
        <v>125</v>
      </c>
      <c r="AF583" s="229" t="s">
        <v>450</v>
      </c>
      <c r="AH583" s="136"/>
      <c r="AI583" s="137" t="s">
        <v>125</v>
      </c>
      <c r="AJ583" s="229" t="s">
        <v>450</v>
      </c>
      <c r="AL583" s="136"/>
      <c r="AM583" s="137" t="s">
        <v>125</v>
      </c>
      <c r="AN583" s="229" t="s">
        <v>450</v>
      </c>
      <c r="AP583" s="136"/>
      <c r="AQ583" s="137" t="s">
        <v>125</v>
      </c>
      <c r="AR583" s="229" t="s">
        <v>450</v>
      </c>
      <c r="AT583" s="136"/>
      <c r="AU583" s="137" t="s">
        <v>125</v>
      </c>
      <c r="AV583" s="229" t="s">
        <v>450</v>
      </c>
      <c r="AX583" s="136"/>
      <c r="AY583" s="137" t="s">
        <v>125</v>
      </c>
      <c r="AZ583" s="229" t="s">
        <v>450</v>
      </c>
      <c r="BB583" s="136"/>
      <c r="BC583" s="137" t="s">
        <v>125</v>
      </c>
      <c r="BD583" s="229" t="s">
        <v>450</v>
      </c>
      <c r="BF583" s="136"/>
      <c r="BG583" s="137" t="s">
        <v>125</v>
      </c>
      <c r="BH583" s="229" t="s">
        <v>450</v>
      </c>
      <c r="BJ583" s="136"/>
      <c r="BK583" s="137" t="s">
        <v>125</v>
      </c>
      <c r="BL583" s="229" t="s">
        <v>450</v>
      </c>
      <c r="BN583" s="136"/>
      <c r="BO583" s="137" t="s">
        <v>125</v>
      </c>
      <c r="BP583" s="229" t="s">
        <v>450</v>
      </c>
      <c r="BR583" s="136"/>
      <c r="BS583" s="137" t="s">
        <v>125</v>
      </c>
      <c r="BT583" s="229" t="s">
        <v>450</v>
      </c>
    </row>
    <row r="584" spans="1:72" s="174" customFormat="1" x14ac:dyDescent="0.15">
      <c r="A584" s="167" t="s">
        <v>981</v>
      </c>
      <c r="B584" s="168" t="s">
        <v>289</v>
      </c>
      <c r="C584" s="169"/>
      <c r="D584" s="170"/>
      <c r="E584" s="128"/>
      <c r="F584" s="171"/>
      <c r="G584" s="141" t="s">
        <v>148</v>
      </c>
      <c r="H584" s="172"/>
      <c r="I584" s="143"/>
      <c r="J584" s="171"/>
      <c r="K584" s="141" t="s">
        <v>148</v>
      </c>
      <c r="L584" s="246" t="s">
        <v>1141</v>
      </c>
      <c r="N584" s="171"/>
      <c r="O584" s="141" t="s">
        <v>148</v>
      </c>
      <c r="P584" s="246" t="s">
        <v>435</v>
      </c>
      <c r="R584" s="171"/>
      <c r="S584" s="141" t="s">
        <v>148</v>
      </c>
      <c r="T584" s="246" t="s">
        <v>1141</v>
      </c>
      <c r="U584" s="108"/>
      <c r="V584" s="171"/>
      <c r="W584" s="141" t="s">
        <v>148</v>
      </c>
      <c r="X584" s="246" t="s">
        <v>1173</v>
      </c>
      <c r="Z584" s="171"/>
      <c r="AA584" s="141" t="s">
        <v>148</v>
      </c>
      <c r="AB584" s="246" t="s">
        <v>435</v>
      </c>
      <c r="AD584" s="171"/>
      <c r="AE584" s="141" t="s">
        <v>148</v>
      </c>
      <c r="AF584" s="246" t="s">
        <v>1190</v>
      </c>
      <c r="AH584" s="171"/>
      <c r="AI584" s="141" t="s">
        <v>148</v>
      </c>
      <c r="AJ584" s="246" t="s">
        <v>439</v>
      </c>
      <c r="AL584" s="171"/>
      <c r="AM584" s="141" t="s">
        <v>148</v>
      </c>
      <c r="AN584" s="246" t="s">
        <v>439</v>
      </c>
      <c r="AP584" s="171"/>
      <c r="AQ584" s="141" t="s">
        <v>148</v>
      </c>
      <c r="AR584" s="246" t="s">
        <v>1207</v>
      </c>
      <c r="AT584" s="171"/>
      <c r="AU584" s="141" t="s">
        <v>148</v>
      </c>
      <c r="AV584" s="246" t="s">
        <v>1141</v>
      </c>
      <c r="AX584" s="171"/>
      <c r="AY584" s="141" t="s">
        <v>148</v>
      </c>
      <c r="AZ584" s="246" t="s">
        <v>1173</v>
      </c>
      <c r="BB584" s="171"/>
      <c r="BC584" s="141" t="s">
        <v>148</v>
      </c>
      <c r="BD584" s="246" t="s">
        <v>435</v>
      </c>
      <c r="BF584" s="171"/>
      <c r="BG584" s="141" t="s">
        <v>148</v>
      </c>
      <c r="BH584" s="246" t="s">
        <v>1207</v>
      </c>
      <c r="BJ584" s="171"/>
      <c r="BK584" s="141" t="s">
        <v>148</v>
      </c>
      <c r="BL584" s="246" t="s">
        <v>1190</v>
      </c>
      <c r="BN584" s="171"/>
      <c r="BO584" s="141" t="s">
        <v>148</v>
      </c>
      <c r="BP584" s="246" t="s">
        <v>1207</v>
      </c>
      <c r="BR584" s="171"/>
      <c r="BS584" s="141" t="s">
        <v>148</v>
      </c>
      <c r="BT584" s="246" t="s">
        <v>435</v>
      </c>
    </row>
    <row r="585" spans="1:72" s="174" customFormat="1" x14ac:dyDescent="0.15">
      <c r="A585" s="167" t="s">
        <v>982</v>
      </c>
      <c r="B585" s="168" t="s">
        <v>85</v>
      </c>
      <c r="C585" s="169"/>
      <c r="D585" s="170"/>
      <c r="E585" s="128"/>
      <c r="F585" s="171"/>
      <c r="G585" s="141" t="s">
        <v>149</v>
      </c>
      <c r="H585" s="172"/>
      <c r="I585" s="143"/>
      <c r="J585" s="171"/>
      <c r="K585" s="141" t="s">
        <v>149</v>
      </c>
      <c r="L585" s="246" t="s">
        <v>1142</v>
      </c>
      <c r="N585" s="171"/>
      <c r="O585" s="141" t="s">
        <v>149</v>
      </c>
      <c r="P585" s="246" t="s">
        <v>1161</v>
      </c>
      <c r="R585" s="171"/>
      <c r="S585" s="141" t="s">
        <v>149</v>
      </c>
      <c r="T585" s="246" t="s">
        <v>1142</v>
      </c>
      <c r="U585" s="108"/>
      <c r="V585" s="171"/>
      <c r="W585" s="141" t="s">
        <v>149</v>
      </c>
      <c r="X585" s="246" t="s">
        <v>1174</v>
      </c>
      <c r="Z585" s="171"/>
      <c r="AA585" s="141" t="s">
        <v>149</v>
      </c>
      <c r="AB585" s="246" t="s">
        <v>1161</v>
      </c>
      <c r="AD585" s="171"/>
      <c r="AE585" s="141" t="s">
        <v>149</v>
      </c>
      <c r="AF585" s="246" t="s">
        <v>1191</v>
      </c>
      <c r="AH585" s="171"/>
      <c r="AI585" s="141" t="s">
        <v>149</v>
      </c>
      <c r="AJ585" s="246" t="s">
        <v>1198</v>
      </c>
      <c r="AL585" s="171"/>
      <c r="AM585" s="141" t="s">
        <v>149</v>
      </c>
      <c r="AN585" s="246" t="s">
        <v>1198</v>
      </c>
      <c r="AP585" s="171"/>
      <c r="AQ585" s="141" t="s">
        <v>149</v>
      </c>
      <c r="AR585" s="246" t="s">
        <v>1208</v>
      </c>
      <c r="AT585" s="171"/>
      <c r="AU585" s="141" t="s">
        <v>149</v>
      </c>
      <c r="AV585" s="246" t="s">
        <v>1142</v>
      </c>
      <c r="AX585" s="171"/>
      <c r="AY585" s="141" t="s">
        <v>149</v>
      </c>
      <c r="AZ585" s="246" t="s">
        <v>1174</v>
      </c>
      <c r="BB585" s="171"/>
      <c r="BC585" s="141" t="s">
        <v>149</v>
      </c>
      <c r="BD585" s="246" t="s">
        <v>1161</v>
      </c>
      <c r="BF585" s="171"/>
      <c r="BG585" s="141" t="s">
        <v>149</v>
      </c>
      <c r="BH585" s="246" t="s">
        <v>1208</v>
      </c>
      <c r="BJ585" s="171"/>
      <c r="BK585" s="141" t="s">
        <v>149</v>
      </c>
      <c r="BL585" s="246" t="s">
        <v>1191</v>
      </c>
      <c r="BN585" s="171"/>
      <c r="BO585" s="141" t="s">
        <v>149</v>
      </c>
      <c r="BP585" s="246" t="s">
        <v>1208</v>
      </c>
      <c r="BR585" s="171"/>
      <c r="BS585" s="141" t="s">
        <v>149</v>
      </c>
      <c r="BT585" s="246" t="s">
        <v>1161</v>
      </c>
    </row>
    <row r="586" spans="1:72" s="174" customFormat="1" x14ac:dyDescent="0.15">
      <c r="A586" s="182"/>
      <c r="B586" s="168" t="s">
        <v>85</v>
      </c>
      <c r="C586" s="169"/>
      <c r="D586" s="170"/>
      <c r="E586" s="128"/>
      <c r="F586" s="171"/>
      <c r="G586" s="141" t="s">
        <v>150</v>
      </c>
      <c r="H586" s="172"/>
      <c r="I586" s="143"/>
      <c r="J586" s="171"/>
      <c r="K586" s="141" t="s">
        <v>150</v>
      </c>
      <c r="L586" s="247" t="s">
        <v>86</v>
      </c>
      <c r="N586" s="171"/>
      <c r="O586" s="141" t="s">
        <v>150</v>
      </c>
      <c r="P586" s="247" t="s">
        <v>86</v>
      </c>
      <c r="R586" s="171"/>
      <c r="S586" s="141" t="s">
        <v>150</v>
      </c>
      <c r="T586" s="247" t="s">
        <v>86</v>
      </c>
      <c r="U586" s="108"/>
      <c r="V586" s="171"/>
      <c r="W586" s="141" t="s">
        <v>150</v>
      </c>
      <c r="X586" s="247" t="s">
        <v>86</v>
      </c>
      <c r="Z586" s="171"/>
      <c r="AA586" s="141" t="s">
        <v>150</v>
      </c>
      <c r="AB586" s="247" t="s">
        <v>86</v>
      </c>
      <c r="AD586" s="171"/>
      <c r="AE586" s="141" t="s">
        <v>150</v>
      </c>
      <c r="AF586" s="247" t="s">
        <v>86</v>
      </c>
      <c r="AH586" s="171"/>
      <c r="AI586" s="141" t="s">
        <v>150</v>
      </c>
      <c r="AJ586" s="247" t="s">
        <v>86</v>
      </c>
      <c r="AL586" s="171"/>
      <c r="AM586" s="141" t="s">
        <v>150</v>
      </c>
      <c r="AN586" s="247" t="s">
        <v>86</v>
      </c>
      <c r="AP586" s="171"/>
      <c r="AQ586" s="141" t="s">
        <v>150</v>
      </c>
      <c r="AR586" s="247" t="s">
        <v>86</v>
      </c>
      <c r="AT586" s="171"/>
      <c r="AU586" s="141" t="s">
        <v>150</v>
      </c>
      <c r="AV586" s="247" t="s">
        <v>86</v>
      </c>
      <c r="AX586" s="171"/>
      <c r="AY586" s="141" t="s">
        <v>150</v>
      </c>
      <c r="AZ586" s="247" t="s">
        <v>86</v>
      </c>
      <c r="BB586" s="171"/>
      <c r="BC586" s="141" t="s">
        <v>150</v>
      </c>
      <c r="BD586" s="247" t="s">
        <v>86</v>
      </c>
      <c r="BF586" s="171"/>
      <c r="BG586" s="141" t="s">
        <v>150</v>
      </c>
      <c r="BH586" s="247" t="s">
        <v>86</v>
      </c>
      <c r="BJ586" s="171"/>
      <c r="BK586" s="141" t="s">
        <v>150</v>
      </c>
      <c r="BL586" s="247" t="s">
        <v>86</v>
      </c>
      <c r="BN586" s="171"/>
      <c r="BO586" s="141" t="s">
        <v>150</v>
      </c>
      <c r="BP586" s="247" t="s">
        <v>86</v>
      </c>
      <c r="BR586" s="171"/>
      <c r="BS586" s="141" t="s">
        <v>150</v>
      </c>
      <c r="BT586" s="247" t="s">
        <v>86</v>
      </c>
    </row>
    <row r="587" spans="1:72" s="174" customFormat="1" x14ac:dyDescent="0.15">
      <c r="A587" s="182"/>
      <c r="B587" s="168" t="s">
        <v>1074</v>
      </c>
      <c r="C587" s="169"/>
      <c r="D587" s="170"/>
      <c r="E587" s="128"/>
      <c r="F587" s="171"/>
      <c r="G587" s="141" t="s">
        <v>151</v>
      </c>
      <c r="H587" s="172"/>
      <c r="I587" s="143"/>
      <c r="J587" s="171"/>
      <c r="K587" s="141" t="s">
        <v>151</v>
      </c>
      <c r="L587" s="246" t="s">
        <v>1143</v>
      </c>
      <c r="N587" s="171"/>
      <c r="O587" s="141" t="s">
        <v>151</v>
      </c>
      <c r="P587" s="246" t="s">
        <v>1162</v>
      </c>
      <c r="R587" s="171"/>
      <c r="S587" s="141" t="s">
        <v>151</v>
      </c>
      <c r="T587" s="246" t="s">
        <v>1143</v>
      </c>
      <c r="U587" s="108"/>
      <c r="V587" s="171"/>
      <c r="W587" s="141" t="s">
        <v>151</v>
      </c>
      <c r="X587" s="247" t="s">
        <v>1154</v>
      </c>
      <c r="Z587" s="171"/>
      <c r="AA587" s="141" t="s">
        <v>151</v>
      </c>
      <c r="AB587" s="246" t="s">
        <v>1162</v>
      </c>
      <c r="AD587" s="171"/>
      <c r="AE587" s="141" t="s">
        <v>151</v>
      </c>
      <c r="AF587" s="246" t="s">
        <v>1192</v>
      </c>
      <c r="AH587" s="171"/>
      <c r="AI587" s="141" t="s">
        <v>151</v>
      </c>
      <c r="AJ587" s="246" t="s">
        <v>1199</v>
      </c>
      <c r="AL587" s="171"/>
      <c r="AM587" s="141" t="s">
        <v>151</v>
      </c>
      <c r="AN587" s="246" t="s">
        <v>1199</v>
      </c>
      <c r="AP587" s="171"/>
      <c r="AQ587" s="141" t="s">
        <v>151</v>
      </c>
      <c r="AR587" s="246" t="s">
        <v>1180</v>
      </c>
      <c r="AT587" s="171"/>
      <c r="AU587" s="141" t="s">
        <v>151</v>
      </c>
      <c r="AV587" s="246" t="s">
        <v>1143</v>
      </c>
      <c r="AX587" s="171"/>
      <c r="AY587" s="141" t="s">
        <v>151</v>
      </c>
      <c r="AZ587" s="247" t="s">
        <v>1154</v>
      </c>
      <c r="BB587" s="171"/>
      <c r="BC587" s="141" t="s">
        <v>151</v>
      </c>
      <c r="BD587" s="246" t="s">
        <v>1162</v>
      </c>
      <c r="BF587" s="171"/>
      <c r="BG587" s="141" t="s">
        <v>151</v>
      </c>
      <c r="BH587" s="246" t="s">
        <v>1180</v>
      </c>
      <c r="BJ587" s="171"/>
      <c r="BK587" s="141" t="s">
        <v>151</v>
      </c>
      <c r="BL587" s="246" t="s">
        <v>1192</v>
      </c>
      <c r="BN587" s="171"/>
      <c r="BO587" s="141" t="s">
        <v>151</v>
      </c>
      <c r="BP587" s="246" t="s">
        <v>1180</v>
      </c>
      <c r="BR587" s="171"/>
      <c r="BS587" s="141" t="s">
        <v>151</v>
      </c>
      <c r="BT587" s="246" t="s">
        <v>1162</v>
      </c>
    </row>
    <row r="588" spans="1:72" s="174" customFormat="1" x14ac:dyDescent="0.15">
      <c r="A588" s="175"/>
      <c r="B588" s="176"/>
      <c r="C588" s="176"/>
      <c r="D588" s="177"/>
      <c r="E588" s="130"/>
      <c r="F588" s="178"/>
      <c r="G588" s="141"/>
      <c r="H588" s="179"/>
      <c r="I588" s="143"/>
      <c r="J588" s="178"/>
      <c r="K588" s="141"/>
      <c r="L588" s="241"/>
      <c r="N588" s="178"/>
      <c r="O588" s="141"/>
      <c r="P588" s="241"/>
      <c r="R588" s="178"/>
      <c r="S588" s="141"/>
      <c r="T588" s="241"/>
      <c r="U588" s="108"/>
      <c r="V588" s="178"/>
      <c r="W588" s="141"/>
      <c r="X588" s="241"/>
      <c r="Z588" s="178"/>
      <c r="AA588" s="141"/>
      <c r="AB588" s="241"/>
      <c r="AD588" s="178"/>
      <c r="AE588" s="141"/>
      <c r="AF588" s="241"/>
      <c r="AH588" s="178"/>
      <c r="AI588" s="141"/>
      <c r="AJ588" s="241"/>
      <c r="AL588" s="178"/>
      <c r="AM588" s="141"/>
      <c r="AN588" s="241"/>
      <c r="AP588" s="178"/>
      <c r="AQ588" s="141"/>
      <c r="AR588" s="241"/>
      <c r="AT588" s="178"/>
      <c r="AU588" s="141"/>
      <c r="AV588" s="241"/>
      <c r="AX588" s="178"/>
      <c r="AY588" s="141"/>
      <c r="AZ588" s="241"/>
      <c r="BB588" s="178"/>
      <c r="BC588" s="141"/>
      <c r="BD588" s="241"/>
      <c r="BF588" s="178"/>
      <c r="BG588" s="141"/>
      <c r="BH588" s="241"/>
      <c r="BJ588" s="178"/>
      <c r="BK588" s="141"/>
      <c r="BL588" s="241"/>
      <c r="BN588" s="178"/>
      <c r="BO588" s="141"/>
      <c r="BP588" s="241"/>
      <c r="BR588" s="178"/>
      <c r="BS588" s="141"/>
      <c r="BT588" s="241"/>
    </row>
    <row r="589" spans="1:72" s="174" customFormat="1" x14ac:dyDescent="0.15">
      <c r="A589" s="175"/>
      <c r="B589" s="176"/>
      <c r="C589" s="176"/>
      <c r="D589" s="166"/>
      <c r="E589" s="130"/>
      <c r="F589" s="180"/>
      <c r="G589" s="141"/>
      <c r="H589" s="179"/>
      <c r="I589" s="143"/>
      <c r="J589" s="180"/>
      <c r="K589" s="141"/>
      <c r="L589" s="241"/>
      <c r="N589" s="180"/>
      <c r="O589" s="141"/>
      <c r="P589" s="241"/>
      <c r="R589" s="180"/>
      <c r="S589" s="141"/>
      <c r="T589" s="241"/>
      <c r="U589" s="108"/>
      <c r="V589" s="180"/>
      <c r="W589" s="141"/>
      <c r="X589" s="241"/>
      <c r="Z589" s="180"/>
      <c r="AA589" s="141"/>
      <c r="AB589" s="241"/>
      <c r="AD589" s="180"/>
      <c r="AE589" s="141"/>
      <c r="AF589" s="241"/>
      <c r="AH589" s="180"/>
      <c r="AI589" s="141"/>
      <c r="AJ589" s="241"/>
      <c r="AL589" s="180"/>
      <c r="AM589" s="141"/>
      <c r="AN589" s="241"/>
      <c r="AP589" s="180"/>
      <c r="AQ589" s="141"/>
      <c r="AR589" s="241"/>
      <c r="AT589" s="180"/>
      <c r="AU589" s="141"/>
      <c r="AV589" s="241"/>
      <c r="AX589" s="180"/>
      <c r="AY589" s="141"/>
      <c r="AZ589" s="241"/>
      <c r="BB589" s="180"/>
      <c r="BC589" s="141"/>
      <c r="BD589" s="241"/>
      <c r="BF589" s="180"/>
      <c r="BG589" s="141"/>
      <c r="BH589" s="241"/>
      <c r="BJ589" s="180"/>
      <c r="BK589" s="141"/>
      <c r="BL589" s="241"/>
      <c r="BN589" s="180"/>
      <c r="BO589" s="141"/>
      <c r="BP589" s="241"/>
      <c r="BR589" s="180"/>
      <c r="BS589" s="141"/>
      <c r="BT589" s="241"/>
    </row>
    <row r="590" spans="1:72" s="174" customFormat="1" x14ac:dyDescent="0.15">
      <c r="A590" s="175"/>
      <c r="B590" s="129"/>
      <c r="C590" s="146"/>
      <c r="D590" s="166"/>
      <c r="E590" s="128"/>
      <c r="F590" s="131" t="s">
        <v>983</v>
      </c>
      <c r="G590" s="107"/>
      <c r="H590" s="165"/>
      <c r="I590" s="143"/>
      <c r="J590" s="131" t="s">
        <v>983</v>
      </c>
      <c r="K590" s="107"/>
      <c r="L590" s="240"/>
      <c r="N590" s="131" t="s">
        <v>983</v>
      </c>
      <c r="O590" s="107"/>
      <c r="P590" s="240"/>
      <c r="R590" s="131" t="s">
        <v>983</v>
      </c>
      <c r="S590" s="107"/>
      <c r="T590" s="240"/>
      <c r="U590" s="108"/>
      <c r="V590" s="131" t="s">
        <v>983</v>
      </c>
      <c r="W590" s="107"/>
      <c r="X590" s="240"/>
      <c r="Z590" s="131" t="s">
        <v>983</v>
      </c>
      <c r="AA590" s="107"/>
      <c r="AB590" s="240"/>
      <c r="AD590" s="131" t="s">
        <v>983</v>
      </c>
      <c r="AE590" s="107"/>
      <c r="AF590" s="240"/>
      <c r="AH590" s="131" t="s">
        <v>983</v>
      </c>
      <c r="AI590" s="107"/>
      <c r="AJ590" s="240"/>
      <c r="AL590" s="131" t="s">
        <v>983</v>
      </c>
      <c r="AM590" s="107"/>
      <c r="AN590" s="240"/>
      <c r="AP590" s="131" t="s">
        <v>983</v>
      </c>
      <c r="AQ590" s="107"/>
      <c r="AR590" s="240"/>
      <c r="AT590" s="131" t="s">
        <v>983</v>
      </c>
      <c r="AU590" s="107"/>
      <c r="AV590" s="240"/>
      <c r="AX590" s="131" t="s">
        <v>983</v>
      </c>
      <c r="AY590" s="107"/>
      <c r="AZ590" s="240"/>
      <c r="BB590" s="131" t="s">
        <v>983</v>
      </c>
      <c r="BC590" s="107"/>
      <c r="BD590" s="240"/>
      <c r="BF590" s="131" t="s">
        <v>983</v>
      </c>
      <c r="BG590" s="107"/>
      <c r="BH590" s="240"/>
      <c r="BJ590" s="131" t="s">
        <v>983</v>
      </c>
      <c r="BK590" s="107"/>
      <c r="BL590" s="240"/>
      <c r="BN590" s="131" t="s">
        <v>983</v>
      </c>
      <c r="BO590" s="107"/>
      <c r="BP590" s="240"/>
      <c r="BR590" s="131" t="s">
        <v>983</v>
      </c>
      <c r="BS590" s="107"/>
      <c r="BT590" s="240"/>
    </row>
    <row r="591" spans="1:72" s="174" customFormat="1" x14ac:dyDescent="0.15">
      <c r="A591" s="134" t="s">
        <v>447</v>
      </c>
      <c r="B591" s="135" t="s">
        <v>448</v>
      </c>
      <c r="C591" s="135" t="s">
        <v>449</v>
      </c>
      <c r="D591" s="166"/>
      <c r="E591" s="128"/>
      <c r="F591" s="136"/>
      <c r="G591" s="137" t="s">
        <v>125</v>
      </c>
      <c r="H591" s="138" t="s">
        <v>450</v>
      </c>
      <c r="I591" s="143"/>
      <c r="J591" s="136"/>
      <c r="K591" s="137" t="s">
        <v>125</v>
      </c>
      <c r="L591" s="229" t="s">
        <v>450</v>
      </c>
      <c r="N591" s="136"/>
      <c r="O591" s="137" t="s">
        <v>125</v>
      </c>
      <c r="P591" s="229" t="s">
        <v>450</v>
      </c>
      <c r="R591" s="136"/>
      <c r="S591" s="137" t="s">
        <v>125</v>
      </c>
      <c r="T591" s="229" t="s">
        <v>450</v>
      </c>
      <c r="U591" s="108"/>
      <c r="V591" s="136"/>
      <c r="W591" s="137" t="s">
        <v>125</v>
      </c>
      <c r="X591" s="229" t="s">
        <v>450</v>
      </c>
      <c r="Z591" s="136"/>
      <c r="AA591" s="137" t="s">
        <v>125</v>
      </c>
      <c r="AB591" s="229" t="s">
        <v>450</v>
      </c>
      <c r="AD591" s="136"/>
      <c r="AE591" s="137" t="s">
        <v>125</v>
      </c>
      <c r="AF591" s="229" t="s">
        <v>450</v>
      </c>
      <c r="AH591" s="136"/>
      <c r="AI591" s="137" t="s">
        <v>125</v>
      </c>
      <c r="AJ591" s="229" t="s">
        <v>450</v>
      </c>
      <c r="AL591" s="136"/>
      <c r="AM591" s="137" t="s">
        <v>125</v>
      </c>
      <c r="AN591" s="229" t="s">
        <v>450</v>
      </c>
      <c r="AP591" s="136"/>
      <c r="AQ591" s="137" t="s">
        <v>125</v>
      </c>
      <c r="AR591" s="229" t="s">
        <v>450</v>
      </c>
      <c r="AT591" s="136"/>
      <c r="AU591" s="137" t="s">
        <v>125</v>
      </c>
      <c r="AV591" s="229" t="s">
        <v>450</v>
      </c>
      <c r="AX591" s="136"/>
      <c r="AY591" s="137" t="s">
        <v>125</v>
      </c>
      <c r="AZ591" s="229" t="s">
        <v>450</v>
      </c>
      <c r="BB591" s="136"/>
      <c r="BC591" s="137" t="s">
        <v>125</v>
      </c>
      <c r="BD591" s="229" t="s">
        <v>450</v>
      </c>
      <c r="BF591" s="136"/>
      <c r="BG591" s="137" t="s">
        <v>125</v>
      </c>
      <c r="BH591" s="229" t="s">
        <v>450</v>
      </c>
      <c r="BJ591" s="136"/>
      <c r="BK591" s="137" t="s">
        <v>125</v>
      </c>
      <c r="BL591" s="229" t="s">
        <v>450</v>
      </c>
      <c r="BN591" s="136"/>
      <c r="BO591" s="137" t="s">
        <v>125</v>
      </c>
      <c r="BP591" s="229" t="s">
        <v>450</v>
      </c>
      <c r="BR591" s="136"/>
      <c r="BS591" s="137" t="s">
        <v>125</v>
      </c>
      <c r="BT591" s="229" t="s">
        <v>450</v>
      </c>
    </row>
    <row r="592" spans="1:72" s="174" customFormat="1" x14ac:dyDescent="0.15">
      <c r="A592" s="167" t="s">
        <v>984</v>
      </c>
      <c r="B592" s="168" t="s">
        <v>407</v>
      </c>
      <c r="C592" s="169"/>
      <c r="D592" s="170"/>
      <c r="E592" s="128"/>
      <c r="F592" s="171"/>
      <c r="G592" s="141" t="s">
        <v>985</v>
      </c>
      <c r="H592" s="172"/>
      <c r="I592" s="143"/>
      <c r="J592" s="171"/>
      <c r="K592" s="141" t="s">
        <v>985</v>
      </c>
      <c r="L592" s="246" t="s">
        <v>434</v>
      </c>
      <c r="N592" s="171"/>
      <c r="O592" s="141" t="s">
        <v>985</v>
      </c>
      <c r="P592" s="246" t="s">
        <v>1163</v>
      </c>
      <c r="R592" s="171"/>
      <c r="S592" s="141" t="s">
        <v>985</v>
      </c>
      <c r="T592" s="246" t="s">
        <v>1167</v>
      </c>
      <c r="U592" s="108"/>
      <c r="V592" s="171"/>
      <c r="W592" s="141" t="s">
        <v>985</v>
      </c>
      <c r="X592" s="246" t="s">
        <v>1167</v>
      </c>
      <c r="Z592" s="171"/>
      <c r="AA592" s="141" t="s">
        <v>985</v>
      </c>
      <c r="AB592" s="246" t="s">
        <v>1163</v>
      </c>
      <c r="AD592" s="171"/>
      <c r="AE592" s="141" t="s">
        <v>985</v>
      </c>
      <c r="AF592" s="246" t="s">
        <v>1167</v>
      </c>
      <c r="AH592" s="171"/>
      <c r="AI592" s="141" t="s">
        <v>985</v>
      </c>
      <c r="AJ592" s="246" t="s">
        <v>1139</v>
      </c>
      <c r="AL592" s="171"/>
      <c r="AM592" s="141" t="s">
        <v>985</v>
      </c>
      <c r="AN592" s="246" t="s">
        <v>1204</v>
      </c>
      <c r="AP592" s="171"/>
      <c r="AQ592" s="141" t="s">
        <v>985</v>
      </c>
      <c r="AR592" s="246" t="s">
        <v>1207</v>
      </c>
      <c r="AT592" s="171"/>
      <c r="AU592" s="141" t="s">
        <v>985</v>
      </c>
      <c r="AV592" s="246" t="s">
        <v>1167</v>
      </c>
      <c r="AX592" s="171"/>
      <c r="AY592" s="141" t="s">
        <v>985</v>
      </c>
      <c r="AZ592" s="246" t="s">
        <v>1167</v>
      </c>
      <c r="BB592" s="171"/>
      <c r="BC592" s="141" t="s">
        <v>985</v>
      </c>
      <c r="BD592" s="246" t="s">
        <v>1163</v>
      </c>
      <c r="BF592" s="171"/>
      <c r="BG592" s="141" t="s">
        <v>985</v>
      </c>
      <c r="BH592" s="246" t="s">
        <v>433</v>
      </c>
      <c r="BJ592" s="171"/>
      <c r="BK592" s="141" t="s">
        <v>985</v>
      </c>
      <c r="BL592" s="246" t="s">
        <v>1167</v>
      </c>
      <c r="BN592" s="171"/>
      <c r="BO592" s="141" t="s">
        <v>985</v>
      </c>
      <c r="BP592" s="246" t="s">
        <v>1207</v>
      </c>
      <c r="BR592" s="171"/>
      <c r="BS592" s="141" t="s">
        <v>985</v>
      </c>
      <c r="BT592" s="246" t="s">
        <v>1163</v>
      </c>
    </row>
    <row r="593" spans="1:72" s="174" customFormat="1" x14ac:dyDescent="0.15">
      <c r="A593" s="167" t="s">
        <v>986</v>
      </c>
      <c r="B593" s="168" t="s">
        <v>1075</v>
      </c>
      <c r="C593" s="169"/>
      <c r="D593" s="170"/>
      <c r="E593" s="128"/>
      <c r="F593" s="171"/>
      <c r="G593" s="141" t="s">
        <v>987</v>
      </c>
      <c r="H593" s="172"/>
      <c r="I593" s="143"/>
      <c r="J593" s="171"/>
      <c r="K593" s="141" t="s">
        <v>987</v>
      </c>
      <c r="L593" s="246" t="s">
        <v>1144</v>
      </c>
      <c r="N593" s="171"/>
      <c r="O593" s="141" t="s">
        <v>987</v>
      </c>
      <c r="P593" s="246" t="s">
        <v>1164</v>
      </c>
      <c r="R593" s="171"/>
      <c r="S593" s="141" t="s">
        <v>987</v>
      </c>
      <c r="T593" s="246" t="s">
        <v>1169</v>
      </c>
      <c r="U593" s="108"/>
      <c r="V593" s="171"/>
      <c r="W593" s="141" t="s">
        <v>987</v>
      </c>
      <c r="X593" s="246" t="s">
        <v>1175</v>
      </c>
      <c r="Z593" s="171"/>
      <c r="AA593" s="141" t="s">
        <v>987</v>
      </c>
      <c r="AB593" s="246" t="s">
        <v>1164</v>
      </c>
      <c r="AD593" s="171"/>
      <c r="AE593" s="141" t="s">
        <v>987</v>
      </c>
      <c r="AF593" s="246" t="s">
        <v>1175</v>
      </c>
      <c r="AH593" s="171"/>
      <c r="AI593" s="141" t="s">
        <v>987</v>
      </c>
      <c r="AJ593" s="246" t="s">
        <v>1200</v>
      </c>
      <c r="AL593" s="171"/>
      <c r="AM593" s="141" t="s">
        <v>987</v>
      </c>
      <c r="AN593" s="246" t="s">
        <v>1165</v>
      </c>
      <c r="AP593" s="171"/>
      <c r="AQ593" s="141" t="s">
        <v>987</v>
      </c>
      <c r="AR593" s="246" t="s">
        <v>430</v>
      </c>
      <c r="AT593" s="171"/>
      <c r="AU593" s="141" t="s">
        <v>987</v>
      </c>
      <c r="AV593" s="246" t="s">
        <v>1169</v>
      </c>
      <c r="AX593" s="171"/>
      <c r="AY593" s="141" t="s">
        <v>987</v>
      </c>
      <c r="AZ593" s="246" t="s">
        <v>1175</v>
      </c>
      <c r="BB593" s="171"/>
      <c r="BC593" s="141" t="s">
        <v>987</v>
      </c>
      <c r="BD593" s="246" t="s">
        <v>1164</v>
      </c>
      <c r="BF593" s="171"/>
      <c r="BG593" s="141" t="s">
        <v>987</v>
      </c>
      <c r="BH593" s="246" t="s">
        <v>1184</v>
      </c>
      <c r="BJ593" s="171"/>
      <c r="BK593" s="141" t="s">
        <v>987</v>
      </c>
      <c r="BL593" s="246" t="s">
        <v>1175</v>
      </c>
      <c r="BN593" s="171"/>
      <c r="BO593" s="141" t="s">
        <v>987</v>
      </c>
      <c r="BP593" s="246" t="s">
        <v>430</v>
      </c>
      <c r="BR593" s="171"/>
      <c r="BS593" s="141" t="s">
        <v>987</v>
      </c>
      <c r="BT593" s="246" t="s">
        <v>1164</v>
      </c>
    </row>
    <row r="594" spans="1:72" s="174" customFormat="1" x14ac:dyDescent="0.15">
      <c r="A594" s="175"/>
      <c r="B594" s="176"/>
      <c r="C594" s="176"/>
      <c r="D594" s="177"/>
      <c r="E594" s="130"/>
      <c r="F594" s="178"/>
      <c r="G594" s="141"/>
      <c r="H594" s="179"/>
      <c r="I594" s="143"/>
      <c r="J594" s="178"/>
      <c r="K594" s="141"/>
      <c r="L594" s="241"/>
      <c r="N594" s="178"/>
      <c r="O594" s="141"/>
      <c r="P594" s="241"/>
      <c r="R594" s="178"/>
      <c r="S594" s="141"/>
      <c r="T594" s="241"/>
      <c r="U594" s="108"/>
      <c r="V594" s="178"/>
      <c r="W594" s="141"/>
      <c r="X594" s="241"/>
      <c r="Z594" s="178"/>
      <c r="AA594" s="141"/>
      <c r="AB594" s="241"/>
      <c r="AD594" s="178"/>
      <c r="AE594" s="141"/>
      <c r="AF594" s="241"/>
      <c r="AH594" s="178"/>
      <c r="AI594" s="141"/>
      <c r="AJ594" s="241"/>
      <c r="AL594" s="178"/>
      <c r="AM594" s="141"/>
      <c r="AN594" s="241"/>
      <c r="AP594" s="178"/>
      <c r="AQ594" s="141"/>
      <c r="AR594" s="241"/>
      <c r="AT594" s="178"/>
      <c r="AU594" s="141"/>
      <c r="AV594" s="241"/>
      <c r="AX594" s="178"/>
      <c r="AY594" s="141"/>
      <c r="AZ594" s="241"/>
      <c r="BB594" s="178"/>
      <c r="BC594" s="141"/>
      <c r="BD594" s="241"/>
      <c r="BF594" s="178"/>
      <c r="BG594" s="141"/>
      <c r="BH594" s="241"/>
      <c r="BJ594" s="178"/>
      <c r="BK594" s="141"/>
      <c r="BL594" s="241"/>
      <c r="BN594" s="178"/>
      <c r="BO594" s="141"/>
      <c r="BP594" s="241"/>
      <c r="BR594" s="178"/>
      <c r="BS594" s="141"/>
      <c r="BT594" s="241"/>
    </row>
    <row r="595" spans="1:72" s="174" customFormat="1" x14ac:dyDescent="0.15">
      <c r="A595" s="175"/>
      <c r="B595" s="176"/>
      <c r="C595" s="176"/>
      <c r="D595" s="166"/>
      <c r="E595" s="130"/>
      <c r="F595" s="180"/>
      <c r="G595" s="141"/>
      <c r="H595" s="179"/>
      <c r="I595" s="143"/>
      <c r="J595" s="180"/>
      <c r="K595" s="141"/>
      <c r="L595" s="241"/>
      <c r="N595" s="180"/>
      <c r="O595" s="141"/>
      <c r="P595" s="241"/>
      <c r="R595" s="180"/>
      <c r="S595" s="141"/>
      <c r="T595" s="241"/>
      <c r="U595" s="108"/>
      <c r="V595" s="180"/>
      <c r="W595" s="141"/>
      <c r="X595" s="241"/>
      <c r="Z595" s="180"/>
      <c r="AA595" s="141"/>
      <c r="AB595" s="241"/>
      <c r="AD595" s="180"/>
      <c r="AE595" s="141"/>
      <c r="AF595" s="241"/>
      <c r="AH595" s="180"/>
      <c r="AI595" s="141"/>
      <c r="AJ595" s="241"/>
      <c r="AL595" s="180"/>
      <c r="AM595" s="141"/>
      <c r="AN595" s="241"/>
      <c r="AP595" s="180"/>
      <c r="AQ595" s="141"/>
      <c r="AR595" s="241"/>
      <c r="AT595" s="180"/>
      <c r="AU595" s="141"/>
      <c r="AV595" s="241"/>
      <c r="AX595" s="180"/>
      <c r="AY595" s="141"/>
      <c r="AZ595" s="241"/>
      <c r="BB595" s="180"/>
      <c r="BC595" s="141"/>
      <c r="BD595" s="241"/>
      <c r="BF595" s="180"/>
      <c r="BG595" s="141"/>
      <c r="BH595" s="241"/>
      <c r="BJ595" s="180"/>
      <c r="BK595" s="141"/>
      <c r="BL595" s="241"/>
      <c r="BN595" s="180"/>
      <c r="BO595" s="141"/>
      <c r="BP595" s="241"/>
      <c r="BR595" s="180"/>
      <c r="BS595" s="141"/>
      <c r="BT595" s="241"/>
    </row>
    <row r="596" spans="1:72" s="174" customFormat="1" x14ac:dyDescent="0.15">
      <c r="A596" s="175"/>
      <c r="B596" s="129"/>
      <c r="C596" s="146"/>
      <c r="D596" s="166"/>
      <c r="E596" s="128"/>
      <c r="F596" s="131" t="s">
        <v>988</v>
      </c>
      <c r="G596" s="107"/>
      <c r="H596" s="165"/>
      <c r="I596" s="143"/>
      <c r="J596" s="131" t="s">
        <v>988</v>
      </c>
      <c r="K596" s="107"/>
      <c r="L596" s="240"/>
      <c r="N596" s="131" t="s">
        <v>988</v>
      </c>
      <c r="O596" s="107"/>
      <c r="P596" s="240"/>
      <c r="R596" s="131" t="s">
        <v>988</v>
      </c>
      <c r="S596" s="107"/>
      <c r="T596" s="240"/>
      <c r="U596" s="108"/>
      <c r="V596" s="131" t="s">
        <v>988</v>
      </c>
      <c r="W596" s="107"/>
      <c r="X596" s="240"/>
      <c r="Z596" s="131" t="s">
        <v>988</v>
      </c>
      <c r="AA596" s="107"/>
      <c r="AB596" s="240"/>
      <c r="AD596" s="131" t="s">
        <v>988</v>
      </c>
      <c r="AE596" s="107"/>
      <c r="AF596" s="240"/>
      <c r="AH596" s="131" t="s">
        <v>988</v>
      </c>
      <c r="AI596" s="107"/>
      <c r="AJ596" s="240"/>
      <c r="AL596" s="131" t="s">
        <v>988</v>
      </c>
      <c r="AM596" s="107"/>
      <c r="AN596" s="240"/>
      <c r="AP596" s="131" t="s">
        <v>988</v>
      </c>
      <c r="AQ596" s="107"/>
      <c r="AR596" s="240"/>
      <c r="AT596" s="131" t="s">
        <v>988</v>
      </c>
      <c r="AU596" s="107"/>
      <c r="AV596" s="240"/>
      <c r="AX596" s="131" t="s">
        <v>988</v>
      </c>
      <c r="AY596" s="107"/>
      <c r="AZ596" s="240"/>
      <c r="BB596" s="131" t="s">
        <v>988</v>
      </c>
      <c r="BC596" s="107"/>
      <c r="BD596" s="240"/>
      <c r="BF596" s="131" t="s">
        <v>988</v>
      </c>
      <c r="BG596" s="107"/>
      <c r="BH596" s="240"/>
      <c r="BJ596" s="131" t="s">
        <v>988</v>
      </c>
      <c r="BK596" s="107"/>
      <c r="BL596" s="240"/>
      <c r="BN596" s="131" t="s">
        <v>988</v>
      </c>
      <c r="BO596" s="107"/>
      <c r="BP596" s="240"/>
      <c r="BR596" s="131" t="s">
        <v>988</v>
      </c>
      <c r="BS596" s="107"/>
      <c r="BT596" s="240"/>
    </row>
    <row r="597" spans="1:72" s="174" customFormat="1" x14ac:dyDescent="0.15">
      <c r="A597" s="134" t="s">
        <v>447</v>
      </c>
      <c r="B597" s="135" t="s">
        <v>448</v>
      </c>
      <c r="C597" s="135" t="s">
        <v>449</v>
      </c>
      <c r="D597" s="166"/>
      <c r="E597" s="128"/>
      <c r="F597" s="136"/>
      <c r="G597" s="137" t="s">
        <v>125</v>
      </c>
      <c r="H597" s="138" t="s">
        <v>450</v>
      </c>
      <c r="I597" s="143"/>
      <c r="J597" s="136"/>
      <c r="K597" s="137" t="s">
        <v>125</v>
      </c>
      <c r="L597" s="229" t="s">
        <v>450</v>
      </c>
      <c r="N597" s="136"/>
      <c r="O597" s="137" t="s">
        <v>125</v>
      </c>
      <c r="P597" s="229" t="s">
        <v>450</v>
      </c>
      <c r="R597" s="136"/>
      <c r="S597" s="137" t="s">
        <v>125</v>
      </c>
      <c r="T597" s="229" t="s">
        <v>450</v>
      </c>
      <c r="U597" s="108"/>
      <c r="V597" s="136"/>
      <c r="W597" s="137" t="s">
        <v>125</v>
      </c>
      <c r="X597" s="229" t="s">
        <v>450</v>
      </c>
      <c r="Z597" s="136"/>
      <c r="AA597" s="137" t="s">
        <v>125</v>
      </c>
      <c r="AB597" s="229" t="s">
        <v>450</v>
      </c>
      <c r="AD597" s="136"/>
      <c r="AE597" s="137" t="s">
        <v>125</v>
      </c>
      <c r="AF597" s="229" t="s">
        <v>450</v>
      </c>
      <c r="AH597" s="136"/>
      <c r="AI597" s="137" t="s">
        <v>125</v>
      </c>
      <c r="AJ597" s="229" t="s">
        <v>450</v>
      </c>
      <c r="AL597" s="136"/>
      <c r="AM597" s="137" t="s">
        <v>125</v>
      </c>
      <c r="AN597" s="229" t="s">
        <v>450</v>
      </c>
      <c r="AP597" s="136"/>
      <c r="AQ597" s="137" t="s">
        <v>125</v>
      </c>
      <c r="AR597" s="229" t="s">
        <v>450</v>
      </c>
      <c r="AT597" s="136"/>
      <c r="AU597" s="137" t="s">
        <v>125</v>
      </c>
      <c r="AV597" s="229" t="s">
        <v>450</v>
      </c>
      <c r="AX597" s="136"/>
      <c r="AY597" s="137" t="s">
        <v>125</v>
      </c>
      <c r="AZ597" s="229" t="s">
        <v>450</v>
      </c>
      <c r="BB597" s="136"/>
      <c r="BC597" s="137" t="s">
        <v>125</v>
      </c>
      <c r="BD597" s="229" t="s">
        <v>450</v>
      </c>
      <c r="BF597" s="136"/>
      <c r="BG597" s="137" t="s">
        <v>125</v>
      </c>
      <c r="BH597" s="229" t="s">
        <v>450</v>
      </c>
      <c r="BJ597" s="136"/>
      <c r="BK597" s="137" t="s">
        <v>125</v>
      </c>
      <c r="BL597" s="229" t="s">
        <v>450</v>
      </c>
      <c r="BN597" s="136"/>
      <c r="BO597" s="137" t="s">
        <v>125</v>
      </c>
      <c r="BP597" s="229" t="s">
        <v>450</v>
      </c>
      <c r="BR597" s="136"/>
      <c r="BS597" s="137" t="s">
        <v>125</v>
      </c>
      <c r="BT597" s="229" t="s">
        <v>450</v>
      </c>
    </row>
    <row r="598" spans="1:72" s="174" customFormat="1" x14ac:dyDescent="0.15">
      <c r="A598" s="139" t="s">
        <v>989</v>
      </c>
      <c r="B598" s="168" t="s">
        <v>85</v>
      </c>
      <c r="C598" s="173"/>
      <c r="D598" s="170"/>
      <c r="E598" s="128"/>
      <c r="F598" s="171"/>
      <c r="G598" s="141" t="s">
        <v>152</v>
      </c>
      <c r="H598" s="172"/>
      <c r="I598" s="143"/>
      <c r="J598" s="171"/>
      <c r="K598" s="141" t="s">
        <v>152</v>
      </c>
      <c r="L598" s="247" t="s">
        <v>86</v>
      </c>
      <c r="N598" s="171"/>
      <c r="O598" s="141" t="s">
        <v>152</v>
      </c>
      <c r="P598" s="247" t="s">
        <v>86</v>
      </c>
      <c r="R598" s="171"/>
      <c r="S598" s="141" t="s">
        <v>152</v>
      </c>
      <c r="T598" s="246" t="s">
        <v>1170</v>
      </c>
      <c r="U598" s="108"/>
      <c r="V598" s="171"/>
      <c r="W598" s="141" t="s">
        <v>152</v>
      </c>
      <c r="X598" s="247" t="s">
        <v>86</v>
      </c>
      <c r="Z598" s="171"/>
      <c r="AA598" s="141" t="s">
        <v>152</v>
      </c>
      <c r="AB598" s="247" t="s">
        <v>86</v>
      </c>
      <c r="AD598" s="171"/>
      <c r="AE598" s="141" t="s">
        <v>152</v>
      </c>
      <c r="AF598" s="247" t="s">
        <v>86</v>
      </c>
      <c r="AH598" s="171"/>
      <c r="AI598" s="141" t="s">
        <v>152</v>
      </c>
      <c r="AJ598" s="247" t="s">
        <v>86</v>
      </c>
      <c r="AL598" s="171"/>
      <c r="AM598" s="141" t="s">
        <v>152</v>
      </c>
      <c r="AN598" s="247" t="s">
        <v>86</v>
      </c>
      <c r="AP598" s="171"/>
      <c r="AQ598" s="141" t="s">
        <v>152</v>
      </c>
      <c r="AR598" s="247" t="s">
        <v>86</v>
      </c>
      <c r="AT598" s="171"/>
      <c r="AU598" s="141" t="s">
        <v>152</v>
      </c>
      <c r="AV598" s="246" t="s">
        <v>1170</v>
      </c>
      <c r="AX598" s="171"/>
      <c r="AY598" s="141" t="s">
        <v>152</v>
      </c>
      <c r="AZ598" s="247" t="s">
        <v>86</v>
      </c>
      <c r="BB598" s="171"/>
      <c r="BC598" s="141" t="s">
        <v>152</v>
      </c>
      <c r="BD598" s="247" t="s">
        <v>86</v>
      </c>
      <c r="BF598" s="171"/>
      <c r="BG598" s="141" t="s">
        <v>152</v>
      </c>
      <c r="BH598" s="247" t="s">
        <v>86</v>
      </c>
      <c r="BJ598" s="171"/>
      <c r="BK598" s="141" t="s">
        <v>152</v>
      </c>
      <c r="BL598" s="247" t="s">
        <v>86</v>
      </c>
      <c r="BN598" s="171"/>
      <c r="BO598" s="141" t="s">
        <v>152</v>
      </c>
      <c r="BP598" s="247" t="s">
        <v>86</v>
      </c>
      <c r="BR598" s="171"/>
      <c r="BS598" s="141" t="s">
        <v>152</v>
      </c>
      <c r="BT598" s="247" t="s">
        <v>86</v>
      </c>
    </row>
    <row r="599" spans="1:72" s="174" customFormat="1" x14ac:dyDescent="0.15">
      <c r="A599" s="139" t="s">
        <v>990</v>
      </c>
      <c r="B599" s="168" t="s">
        <v>85</v>
      </c>
      <c r="C599" s="173"/>
      <c r="D599" s="170"/>
      <c r="E599" s="128"/>
      <c r="F599" s="171"/>
      <c r="G599" s="141" t="s">
        <v>153</v>
      </c>
      <c r="H599" s="172"/>
      <c r="I599" s="143"/>
      <c r="J599" s="171"/>
      <c r="K599" s="141" t="s">
        <v>153</v>
      </c>
      <c r="L599" s="247" t="s">
        <v>86</v>
      </c>
      <c r="N599" s="171"/>
      <c r="O599" s="141" t="s">
        <v>153</v>
      </c>
      <c r="P599" s="247" t="s">
        <v>86</v>
      </c>
      <c r="R599" s="171"/>
      <c r="S599" s="141" t="s">
        <v>153</v>
      </c>
      <c r="T599" s="247" t="s">
        <v>86</v>
      </c>
      <c r="U599" s="108"/>
      <c r="V599" s="171"/>
      <c r="W599" s="141" t="s">
        <v>153</v>
      </c>
      <c r="X599" s="247" t="s">
        <v>86</v>
      </c>
      <c r="Z599" s="171"/>
      <c r="AA599" s="141" t="s">
        <v>153</v>
      </c>
      <c r="AB599" s="247" t="s">
        <v>86</v>
      </c>
      <c r="AD599" s="171"/>
      <c r="AE599" s="141" t="s">
        <v>153</v>
      </c>
      <c r="AF599" s="247" t="s">
        <v>86</v>
      </c>
      <c r="AH599" s="171"/>
      <c r="AI599" s="141" t="s">
        <v>153</v>
      </c>
      <c r="AJ599" s="247" t="s">
        <v>86</v>
      </c>
      <c r="AL599" s="171"/>
      <c r="AM599" s="141" t="s">
        <v>153</v>
      </c>
      <c r="AN599" s="247" t="s">
        <v>86</v>
      </c>
      <c r="AP599" s="171"/>
      <c r="AQ599" s="141" t="s">
        <v>153</v>
      </c>
      <c r="AR599" s="247" t="s">
        <v>86</v>
      </c>
      <c r="AT599" s="171"/>
      <c r="AU599" s="141" t="s">
        <v>153</v>
      </c>
      <c r="AV599" s="247" t="s">
        <v>86</v>
      </c>
      <c r="AX599" s="171"/>
      <c r="AY599" s="141" t="s">
        <v>153</v>
      </c>
      <c r="AZ599" s="247" t="s">
        <v>86</v>
      </c>
      <c r="BB599" s="171"/>
      <c r="BC599" s="141" t="s">
        <v>153</v>
      </c>
      <c r="BD599" s="247" t="s">
        <v>86</v>
      </c>
      <c r="BF599" s="171"/>
      <c r="BG599" s="141" t="s">
        <v>153</v>
      </c>
      <c r="BH599" s="247" t="s">
        <v>86</v>
      </c>
      <c r="BJ599" s="171"/>
      <c r="BK599" s="141" t="s">
        <v>153</v>
      </c>
      <c r="BL599" s="247" t="s">
        <v>86</v>
      </c>
      <c r="BN599" s="171"/>
      <c r="BO599" s="141" t="s">
        <v>153</v>
      </c>
      <c r="BP599" s="247" t="s">
        <v>86</v>
      </c>
      <c r="BR599" s="171"/>
      <c r="BS599" s="141" t="s">
        <v>153</v>
      </c>
      <c r="BT599" s="247" t="s">
        <v>86</v>
      </c>
    </row>
    <row r="600" spans="1:72" s="174" customFormat="1" x14ac:dyDescent="0.15">
      <c r="A600" s="167" t="s">
        <v>991</v>
      </c>
      <c r="B600" s="168" t="s">
        <v>85</v>
      </c>
      <c r="C600" s="169"/>
      <c r="D600" s="170"/>
      <c r="E600" s="128"/>
      <c r="F600" s="171"/>
      <c r="G600" s="141" t="s">
        <v>154</v>
      </c>
      <c r="H600" s="172"/>
      <c r="I600" s="143"/>
      <c r="J600" s="171"/>
      <c r="K600" s="141" t="s">
        <v>154</v>
      </c>
      <c r="L600" s="247" t="s">
        <v>86</v>
      </c>
      <c r="N600" s="171"/>
      <c r="O600" s="141" t="s">
        <v>154</v>
      </c>
      <c r="P600" s="247" t="s">
        <v>86</v>
      </c>
      <c r="R600" s="171"/>
      <c r="S600" s="141" t="s">
        <v>154</v>
      </c>
      <c r="T600" s="246" t="s">
        <v>433</v>
      </c>
      <c r="U600" s="108"/>
      <c r="V600" s="171"/>
      <c r="W600" s="141" t="s">
        <v>154</v>
      </c>
      <c r="X600" s="247" t="s">
        <v>86</v>
      </c>
      <c r="Z600" s="171"/>
      <c r="AA600" s="141" t="s">
        <v>154</v>
      </c>
      <c r="AB600" s="247" t="s">
        <v>86</v>
      </c>
      <c r="AD600" s="171"/>
      <c r="AE600" s="141" t="s">
        <v>154</v>
      </c>
      <c r="AF600" s="246" t="s">
        <v>1122</v>
      </c>
      <c r="AH600" s="171"/>
      <c r="AI600" s="141" t="s">
        <v>154</v>
      </c>
      <c r="AJ600" s="246" t="s">
        <v>1122</v>
      </c>
      <c r="AL600" s="171"/>
      <c r="AM600" s="141" t="s">
        <v>154</v>
      </c>
      <c r="AN600" s="246" t="s">
        <v>1122</v>
      </c>
      <c r="AP600" s="171"/>
      <c r="AQ600" s="141" t="s">
        <v>154</v>
      </c>
      <c r="AR600" s="247" t="s">
        <v>86</v>
      </c>
      <c r="AT600" s="171"/>
      <c r="AU600" s="141" t="s">
        <v>154</v>
      </c>
      <c r="AV600" s="246" t="s">
        <v>433</v>
      </c>
      <c r="AX600" s="171"/>
      <c r="AY600" s="141" t="s">
        <v>154</v>
      </c>
      <c r="AZ600" s="246" t="s">
        <v>1122</v>
      </c>
      <c r="BB600" s="171"/>
      <c r="BC600" s="141" t="s">
        <v>154</v>
      </c>
      <c r="BD600" s="246" t="s">
        <v>1122</v>
      </c>
      <c r="BF600" s="171"/>
      <c r="BG600" s="141" t="s">
        <v>154</v>
      </c>
      <c r="BH600" s="246" t="s">
        <v>1122</v>
      </c>
      <c r="BJ600" s="171"/>
      <c r="BK600" s="141" t="s">
        <v>154</v>
      </c>
      <c r="BL600" s="246" t="s">
        <v>1122</v>
      </c>
      <c r="BN600" s="171"/>
      <c r="BO600" s="141" t="s">
        <v>154</v>
      </c>
      <c r="BP600" s="246" t="s">
        <v>1122</v>
      </c>
      <c r="BR600" s="171"/>
      <c r="BS600" s="141" t="s">
        <v>154</v>
      </c>
      <c r="BT600" s="247" t="s">
        <v>86</v>
      </c>
    </row>
    <row r="601" spans="1:72" s="174" customFormat="1" x14ac:dyDescent="0.15">
      <c r="A601" s="167" t="s">
        <v>992</v>
      </c>
      <c r="B601" s="168" t="s">
        <v>85</v>
      </c>
      <c r="C601" s="169"/>
      <c r="D601" s="170"/>
      <c r="E601" s="130"/>
      <c r="F601" s="171"/>
      <c r="G601" s="141" t="s">
        <v>155</v>
      </c>
      <c r="H601" s="172"/>
      <c r="I601" s="143"/>
      <c r="J601" s="171"/>
      <c r="K601" s="141" t="s">
        <v>155</v>
      </c>
      <c r="L601" s="247" t="s">
        <v>86</v>
      </c>
      <c r="N601" s="171"/>
      <c r="O601" s="141" t="s">
        <v>155</v>
      </c>
      <c r="P601" s="247" t="s">
        <v>86</v>
      </c>
      <c r="R601" s="171"/>
      <c r="S601" s="141" t="s">
        <v>155</v>
      </c>
      <c r="T601" s="247" t="s">
        <v>86</v>
      </c>
      <c r="U601" s="108"/>
      <c r="V601" s="171"/>
      <c r="W601" s="141" t="s">
        <v>155</v>
      </c>
      <c r="X601" s="247" t="s">
        <v>86</v>
      </c>
      <c r="Z601" s="171"/>
      <c r="AA601" s="141" t="s">
        <v>155</v>
      </c>
      <c r="AB601" s="247" t="s">
        <v>86</v>
      </c>
      <c r="AD601" s="171"/>
      <c r="AE601" s="141" t="s">
        <v>155</v>
      </c>
      <c r="AF601" s="247" t="s">
        <v>86</v>
      </c>
      <c r="AH601" s="171"/>
      <c r="AI601" s="141" t="s">
        <v>155</v>
      </c>
      <c r="AJ601" s="247" t="s">
        <v>86</v>
      </c>
      <c r="AL601" s="171"/>
      <c r="AM601" s="141" t="s">
        <v>155</v>
      </c>
      <c r="AN601" s="247" t="s">
        <v>86</v>
      </c>
      <c r="AP601" s="171"/>
      <c r="AQ601" s="141" t="s">
        <v>155</v>
      </c>
      <c r="AR601" s="247" t="s">
        <v>86</v>
      </c>
      <c r="AT601" s="171"/>
      <c r="AU601" s="141" t="s">
        <v>155</v>
      </c>
      <c r="AV601" s="247" t="s">
        <v>86</v>
      </c>
      <c r="AX601" s="171"/>
      <c r="AY601" s="141" t="s">
        <v>155</v>
      </c>
      <c r="AZ601" s="247" t="s">
        <v>86</v>
      </c>
      <c r="BB601" s="171"/>
      <c r="BC601" s="141" t="s">
        <v>155</v>
      </c>
      <c r="BD601" s="247" t="s">
        <v>86</v>
      </c>
      <c r="BF601" s="171"/>
      <c r="BG601" s="141" t="s">
        <v>155</v>
      </c>
      <c r="BH601" s="247" t="s">
        <v>86</v>
      </c>
      <c r="BJ601" s="171"/>
      <c r="BK601" s="141" t="s">
        <v>155</v>
      </c>
      <c r="BL601" s="246" t="s">
        <v>1184</v>
      </c>
      <c r="BN601" s="171"/>
      <c r="BO601" s="141" t="s">
        <v>155</v>
      </c>
      <c r="BP601" s="247" t="s">
        <v>86</v>
      </c>
      <c r="BR601" s="171"/>
      <c r="BS601" s="141" t="s">
        <v>155</v>
      </c>
      <c r="BT601" s="247" t="s">
        <v>86</v>
      </c>
    </row>
    <row r="602" spans="1:72" ht="12.75" customHeight="1" x14ac:dyDescent="0.15">
      <c r="A602" s="139" t="s">
        <v>993</v>
      </c>
      <c r="B602" s="168" t="s">
        <v>294</v>
      </c>
      <c r="C602" s="173"/>
      <c r="D602" s="170"/>
      <c r="E602" s="130"/>
      <c r="F602" s="171"/>
      <c r="G602" s="141" t="s">
        <v>156</v>
      </c>
      <c r="H602" s="172"/>
      <c r="I602" s="164"/>
      <c r="J602" s="171"/>
      <c r="K602" s="141" t="s">
        <v>156</v>
      </c>
      <c r="L602" s="247" t="s">
        <v>1145</v>
      </c>
      <c r="N602" s="171"/>
      <c r="O602" s="141" t="s">
        <v>156</v>
      </c>
      <c r="P602" s="247" t="s">
        <v>1145</v>
      </c>
      <c r="R602" s="171"/>
      <c r="S602" s="141" t="s">
        <v>156</v>
      </c>
      <c r="T602" s="246" t="s">
        <v>1146</v>
      </c>
      <c r="V602" s="171"/>
      <c r="W602" s="141" t="s">
        <v>156</v>
      </c>
      <c r="X602" s="247" t="s">
        <v>1145</v>
      </c>
      <c r="Z602" s="171"/>
      <c r="AA602" s="141" t="s">
        <v>156</v>
      </c>
      <c r="AB602" s="247" t="s">
        <v>1145</v>
      </c>
      <c r="AD602" s="171"/>
      <c r="AE602" s="141" t="s">
        <v>156</v>
      </c>
      <c r="AF602" s="247" t="s">
        <v>1145</v>
      </c>
      <c r="AH602" s="171"/>
      <c r="AI602" s="141" t="s">
        <v>156</v>
      </c>
      <c r="AJ602" s="247" t="s">
        <v>1145</v>
      </c>
      <c r="AL602" s="171"/>
      <c r="AM602" s="141" t="s">
        <v>156</v>
      </c>
      <c r="AN602" s="247" t="s">
        <v>1145</v>
      </c>
      <c r="AP602" s="171"/>
      <c r="AQ602" s="141" t="s">
        <v>156</v>
      </c>
      <c r="AR602" s="247" t="s">
        <v>1145</v>
      </c>
      <c r="AT602" s="171"/>
      <c r="AU602" s="141" t="s">
        <v>156</v>
      </c>
      <c r="AV602" s="246" t="s">
        <v>1146</v>
      </c>
      <c r="AX602" s="171"/>
      <c r="AY602" s="141" t="s">
        <v>156</v>
      </c>
      <c r="AZ602" s="247" t="s">
        <v>1145</v>
      </c>
      <c r="BB602" s="171"/>
      <c r="BC602" s="141" t="s">
        <v>156</v>
      </c>
      <c r="BD602" s="247" t="s">
        <v>1145</v>
      </c>
      <c r="BF602" s="171"/>
      <c r="BG602" s="141" t="s">
        <v>156</v>
      </c>
      <c r="BH602" s="247" t="s">
        <v>1145</v>
      </c>
      <c r="BJ602" s="171"/>
      <c r="BK602" s="141" t="s">
        <v>156</v>
      </c>
      <c r="BL602" s="247" t="s">
        <v>1145</v>
      </c>
      <c r="BN602" s="171"/>
      <c r="BO602" s="141" t="s">
        <v>156</v>
      </c>
      <c r="BP602" s="247" t="s">
        <v>1145</v>
      </c>
      <c r="BR602" s="171"/>
      <c r="BS602" s="141" t="s">
        <v>156</v>
      </c>
      <c r="BT602" s="247" t="s">
        <v>1145</v>
      </c>
    </row>
    <row r="603" spans="1:72" s="174" customFormat="1" x14ac:dyDescent="0.15">
      <c r="A603" s="139" t="s">
        <v>994</v>
      </c>
      <c r="B603" s="168" t="s">
        <v>1071</v>
      </c>
      <c r="C603" s="173"/>
      <c r="D603" s="170"/>
      <c r="E603" s="128"/>
      <c r="F603" s="171"/>
      <c r="G603" s="141" t="s">
        <v>157</v>
      </c>
      <c r="H603" s="172"/>
      <c r="I603" s="143"/>
      <c r="J603" s="171"/>
      <c r="K603" s="141" t="s">
        <v>157</v>
      </c>
      <c r="L603" s="247" t="s">
        <v>426</v>
      </c>
      <c r="N603" s="171"/>
      <c r="O603" s="141" t="s">
        <v>157</v>
      </c>
      <c r="P603" s="247" t="s">
        <v>426</v>
      </c>
      <c r="R603" s="171"/>
      <c r="S603" s="141" t="s">
        <v>157</v>
      </c>
      <c r="T603" s="247" t="s">
        <v>426</v>
      </c>
      <c r="U603" s="108"/>
      <c r="V603" s="171"/>
      <c r="W603" s="141" t="s">
        <v>157</v>
      </c>
      <c r="X603" s="247" t="s">
        <v>426</v>
      </c>
      <c r="Z603" s="171"/>
      <c r="AA603" s="141" t="s">
        <v>157</v>
      </c>
      <c r="AB603" s="247" t="s">
        <v>426</v>
      </c>
      <c r="AD603" s="171"/>
      <c r="AE603" s="141" t="s">
        <v>157</v>
      </c>
      <c r="AF603" s="247" t="s">
        <v>426</v>
      </c>
      <c r="AH603" s="171"/>
      <c r="AI603" s="141" t="s">
        <v>157</v>
      </c>
      <c r="AJ603" s="247" t="s">
        <v>426</v>
      </c>
      <c r="AL603" s="171"/>
      <c r="AM603" s="141" t="s">
        <v>157</v>
      </c>
      <c r="AN603" s="247" t="s">
        <v>426</v>
      </c>
      <c r="AP603" s="171"/>
      <c r="AQ603" s="141" t="s">
        <v>157</v>
      </c>
      <c r="AR603" s="247" t="s">
        <v>426</v>
      </c>
      <c r="AT603" s="171"/>
      <c r="AU603" s="141" t="s">
        <v>157</v>
      </c>
      <c r="AV603" s="247" t="s">
        <v>426</v>
      </c>
      <c r="AX603" s="171"/>
      <c r="AY603" s="141" t="s">
        <v>157</v>
      </c>
      <c r="AZ603" s="247" t="s">
        <v>426</v>
      </c>
      <c r="BB603" s="171"/>
      <c r="BC603" s="141" t="s">
        <v>157</v>
      </c>
      <c r="BD603" s="247" t="s">
        <v>426</v>
      </c>
      <c r="BF603" s="171"/>
      <c r="BG603" s="141" t="s">
        <v>157</v>
      </c>
      <c r="BH603" s="247" t="s">
        <v>426</v>
      </c>
      <c r="BJ603" s="171"/>
      <c r="BK603" s="141" t="s">
        <v>157</v>
      </c>
      <c r="BL603" s="247" t="s">
        <v>426</v>
      </c>
      <c r="BN603" s="171"/>
      <c r="BO603" s="141" t="s">
        <v>157</v>
      </c>
      <c r="BP603" s="247" t="s">
        <v>426</v>
      </c>
      <c r="BR603" s="171"/>
      <c r="BS603" s="141" t="s">
        <v>157</v>
      </c>
      <c r="BT603" s="247" t="s">
        <v>426</v>
      </c>
    </row>
    <row r="604" spans="1:72" s="174" customFormat="1" x14ac:dyDescent="0.15">
      <c r="A604" s="167" t="s">
        <v>995</v>
      </c>
      <c r="B604" s="168" t="s">
        <v>279</v>
      </c>
      <c r="C604" s="169"/>
      <c r="D604" s="170"/>
      <c r="E604" s="128"/>
      <c r="F604" s="171"/>
      <c r="G604" s="141" t="s">
        <v>158</v>
      </c>
      <c r="H604" s="172"/>
      <c r="I604" s="143"/>
      <c r="J604" s="171"/>
      <c r="K604" s="141" t="s">
        <v>158</v>
      </c>
      <c r="L604" s="247" t="s">
        <v>1146</v>
      </c>
      <c r="N604" s="171"/>
      <c r="O604" s="141" t="s">
        <v>158</v>
      </c>
      <c r="P604" s="247" t="s">
        <v>1146</v>
      </c>
      <c r="R604" s="171"/>
      <c r="S604" s="141" t="s">
        <v>158</v>
      </c>
      <c r="T604" s="246" t="s">
        <v>429</v>
      </c>
      <c r="U604" s="108"/>
      <c r="V604" s="171"/>
      <c r="W604" s="141" t="s">
        <v>158</v>
      </c>
      <c r="X604" s="247" t="s">
        <v>1146</v>
      </c>
      <c r="Z604" s="171"/>
      <c r="AA604" s="141" t="s">
        <v>158</v>
      </c>
      <c r="AB604" s="247" t="s">
        <v>1146</v>
      </c>
      <c r="AD604" s="171"/>
      <c r="AE604" s="141" t="s">
        <v>158</v>
      </c>
      <c r="AF604" s="246" t="s">
        <v>1151</v>
      </c>
      <c r="AH604" s="171"/>
      <c r="AI604" s="141" t="s">
        <v>158</v>
      </c>
      <c r="AJ604" s="246" t="s">
        <v>1151</v>
      </c>
      <c r="AL604" s="171"/>
      <c r="AM604" s="141" t="s">
        <v>158</v>
      </c>
      <c r="AN604" s="246" t="s">
        <v>1151</v>
      </c>
      <c r="AP604" s="171"/>
      <c r="AQ604" s="141" t="s">
        <v>158</v>
      </c>
      <c r="AR604" s="247" t="s">
        <v>1146</v>
      </c>
      <c r="AT604" s="171"/>
      <c r="AU604" s="141" t="s">
        <v>158</v>
      </c>
      <c r="AV604" s="246" t="s">
        <v>429</v>
      </c>
      <c r="AX604" s="171"/>
      <c r="AY604" s="141" t="s">
        <v>158</v>
      </c>
      <c r="AZ604" s="246" t="s">
        <v>1151</v>
      </c>
      <c r="BB604" s="171"/>
      <c r="BC604" s="141" t="s">
        <v>158</v>
      </c>
      <c r="BD604" s="246" t="s">
        <v>1151</v>
      </c>
      <c r="BF604" s="171"/>
      <c r="BG604" s="141" t="s">
        <v>158</v>
      </c>
      <c r="BH604" s="246" t="s">
        <v>1151</v>
      </c>
      <c r="BJ604" s="171"/>
      <c r="BK604" s="141" t="s">
        <v>158</v>
      </c>
      <c r="BL604" s="246" t="s">
        <v>1151</v>
      </c>
      <c r="BN604" s="171"/>
      <c r="BO604" s="141" t="s">
        <v>158</v>
      </c>
      <c r="BP604" s="246" t="s">
        <v>1151</v>
      </c>
      <c r="BR604" s="171"/>
      <c r="BS604" s="141" t="s">
        <v>158</v>
      </c>
      <c r="BT604" s="247" t="s">
        <v>1146</v>
      </c>
    </row>
    <row r="605" spans="1:72" s="174" customFormat="1" x14ac:dyDescent="0.15">
      <c r="A605" s="167" t="s">
        <v>996</v>
      </c>
      <c r="B605" s="168" t="s">
        <v>1071</v>
      </c>
      <c r="C605" s="169"/>
      <c r="D605" s="170"/>
      <c r="E605" s="128"/>
      <c r="F605" s="171"/>
      <c r="G605" s="141" t="s">
        <v>159</v>
      </c>
      <c r="H605" s="172"/>
      <c r="I605" s="143"/>
      <c r="J605" s="171"/>
      <c r="K605" s="141" t="s">
        <v>159</v>
      </c>
      <c r="L605" s="247" t="s">
        <v>426</v>
      </c>
      <c r="N605" s="171"/>
      <c r="O605" s="141" t="s">
        <v>159</v>
      </c>
      <c r="P605" s="247" t="s">
        <v>426</v>
      </c>
      <c r="R605" s="171"/>
      <c r="S605" s="141" t="s">
        <v>159</v>
      </c>
      <c r="T605" s="247" t="s">
        <v>426</v>
      </c>
      <c r="U605" s="108"/>
      <c r="V605" s="171"/>
      <c r="W605" s="141" t="s">
        <v>159</v>
      </c>
      <c r="X605" s="247" t="s">
        <v>426</v>
      </c>
      <c r="Z605" s="171"/>
      <c r="AA605" s="141" t="s">
        <v>159</v>
      </c>
      <c r="AB605" s="247" t="s">
        <v>426</v>
      </c>
      <c r="AD605" s="171"/>
      <c r="AE605" s="141" t="s">
        <v>159</v>
      </c>
      <c r="AF605" s="247" t="s">
        <v>426</v>
      </c>
      <c r="AH605" s="171"/>
      <c r="AI605" s="141" t="s">
        <v>159</v>
      </c>
      <c r="AJ605" s="247" t="s">
        <v>426</v>
      </c>
      <c r="AL605" s="171"/>
      <c r="AM605" s="141" t="s">
        <v>159</v>
      </c>
      <c r="AN605" s="247" t="s">
        <v>426</v>
      </c>
      <c r="AP605" s="171"/>
      <c r="AQ605" s="141" t="s">
        <v>159</v>
      </c>
      <c r="AR605" s="247" t="s">
        <v>426</v>
      </c>
      <c r="AT605" s="171"/>
      <c r="AU605" s="141" t="s">
        <v>159</v>
      </c>
      <c r="AV605" s="247" t="s">
        <v>426</v>
      </c>
      <c r="AX605" s="171"/>
      <c r="AY605" s="141" t="s">
        <v>159</v>
      </c>
      <c r="AZ605" s="247" t="s">
        <v>426</v>
      </c>
      <c r="BB605" s="171"/>
      <c r="BC605" s="141" t="s">
        <v>159</v>
      </c>
      <c r="BD605" s="247" t="s">
        <v>426</v>
      </c>
      <c r="BF605" s="171"/>
      <c r="BG605" s="141" t="s">
        <v>159</v>
      </c>
      <c r="BH605" s="247" t="s">
        <v>426</v>
      </c>
      <c r="BJ605" s="171"/>
      <c r="BK605" s="141" t="s">
        <v>159</v>
      </c>
      <c r="BL605" s="246" t="s">
        <v>1218</v>
      </c>
      <c r="BN605" s="171"/>
      <c r="BO605" s="141" t="s">
        <v>159</v>
      </c>
      <c r="BP605" s="247" t="s">
        <v>426</v>
      </c>
      <c r="BR605" s="171"/>
      <c r="BS605" s="141" t="s">
        <v>159</v>
      </c>
      <c r="BT605" s="247" t="s">
        <v>426</v>
      </c>
    </row>
    <row r="606" spans="1:72" x14ac:dyDescent="0.15">
      <c r="A606" s="175"/>
      <c r="B606" s="176"/>
      <c r="C606" s="176"/>
      <c r="D606" s="177"/>
      <c r="E606" s="130"/>
      <c r="F606" s="178"/>
      <c r="G606" s="141"/>
      <c r="H606" s="179"/>
      <c r="I606" s="164"/>
      <c r="J606" s="178"/>
      <c r="K606" s="141"/>
      <c r="L606" s="241"/>
      <c r="N606" s="178"/>
      <c r="O606" s="141"/>
      <c r="P606" s="241"/>
      <c r="R606" s="178"/>
      <c r="S606" s="141"/>
      <c r="T606" s="241"/>
      <c r="V606" s="178"/>
      <c r="W606" s="141"/>
      <c r="X606" s="241"/>
      <c r="Z606" s="178"/>
      <c r="AA606" s="141"/>
      <c r="AB606" s="241"/>
      <c r="AD606" s="178"/>
      <c r="AE606" s="141"/>
      <c r="AF606" s="241"/>
      <c r="AH606" s="178"/>
      <c r="AI606" s="141"/>
      <c r="AJ606" s="241"/>
      <c r="AL606" s="178"/>
      <c r="AM606" s="141"/>
      <c r="AN606" s="241"/>
      <c r="AP606" s="178"/>
      <c r="AQ606" s="141"/>
      <c r="AR606" s="241"/>
      <c r="AT606" s="178"/>
      <c r="AU606" s="141"/>
      <c r="AV606" s="241"/>
      <c r="AX606" s="178"/>
      <c r="AY606" s="141"/>
      <c r="AZ606" s="241"/>
      <c r="BB606" s="178"/>
      <c r="BC606" s="141"/>
      <c r="BD606" s="241"/>
      <c r="BF606" s="178"/>
      <c r="BG606" s="141"/>
      <c r="BH606" s="241"/>
      <c r="BJ606" s="178"/>
      <c r="BK606" s="141"/>
      <c r="BL606" s="241"/>
      <c r="BN606" s="178"/>
      <c r="BO606" s="141"/>
      <c r="BP606" s="241"/>
      <c r="BR606" s="178"/>
      <c r="BS606" s="141"/>
      <c r="BT606" s="241"/>
    </row>
    <row r="607" spans="1:72" s="174" customFormat="1" x14ac:dyDescent="0.15">
      <c r="A607" s="175"/>
      <c r="B607" s="176"/>
      <c r="C607" s="176"/>
      <c r="D607" s="166"/>
      <c r="E607" s="130"/>
      <c r="F607" s="180"/>
      <c r="G607" s="141"/>
      <c r="H607" s="179"/>
      <c r="I607" s="143"/>
      <c r="J607" s="180"/>
      <c r="K607" s="141"/>
      <c r="L607" s="241"/>
      <c r="N607" s="180"/>
      <c r="O607" s="141"/>
      <c r="P607" s="241"/>
      <c r="R607" s="180"/>
      <c r="S607" s="141"/>
      <c r="T607" s="241"/>
      <c r="U607" s="108"/>
      <c r="V607" s="180"/>
      <c r="W607" s="141"/>
      <c r="X607" s="241"/>
      <c r="Z607" s="180"/>
      <c r="AA607" s="141"/>
      <c r="AB607" s="241"/>
      <c r="AD607" s="180"/>
      <c r="AE607" s="141"/>
      <c r="AF607" s="241"/>
      <c r="AH607" s="180"/>
      <c r="AI607" s="141"/>
      <c r="AJ607" s="241"/>
      <c r="AL607" s="180"/>
      <c r="AM607" s="141"/>
      <c r="AN607" s="241"/>
      <c r="AP607" s="180"/>
      <c r="AQ607" s="141"/>
      <c r="AR607" s="241"/>
      <c r="AT607" s="180"/>
      <c r="AU607" s="141"/>
      <c r="AV607" s="241"/>
      <c r="AX607" s="180"/>
      <c r="AY607" s="141"/>
      <c r="AZ607" s="241"/>
      <c r="BB607" s="180"/>
      <c r="BC607" s="141"/>
      <c r="BD607" s="241"/>
      <c r="BF607" s="180"/>
      <c r="BG607" s="141"/>
      <c r="BH607" s="241"/>
      <c r="BJ607" s="180"/>
      <c r="BK607" s="141"/>
      <c r="BL607" s="241"/>
      <c r="BN607" s="180"/>
      <c r="BO607" s="141"/>
      <c r="BP607" s="241"/>
      <c r="BR607" s="180"/>
      <c r="BS607" s="141"/>
      <c r="BT607" s="241"/>
    </row>
    <row r="608" spans="1:72" x14ac:dyDescent="0.15">
      <c r="A608" s="175"/>
      <c r="B608" s="129"/>
      <c r="C608" s="146"/>
      <c r="D608" s="166"/>
      <c r="E608" s="128"/>
      <c r="F608" s="131" t="s">
        <v>997</v>
      </c>
      <c r="G608" s="107"/>
      <c r="H608" s="165"/>
      <c r="I608" s="143"/>
      <c r="J608" s="131" t="s">
        <v>997</v>
      </c>
      <c r="K608" s="107"/>
      <c r="L608" s="240"/>
      <c r="N608" s="131" t="s">
        <v>997</v>
      </c>
      <c r="O608" s="107"/>
      <c r="P608" s="240"/>
      <c r="R608" s="131" t="s">
        <v>997</v>
      </c>
      <c r="S608" s="107"/>
      <c r="T608" s="240"/>
      <c r="V608" s="131" t="s">
        <v>997</v>
      </c>
      <c r="W608" s="107"/>
      <c r="X608" s="240"/>
      <c r="Z608" s="131" t="s">
        <v>997</v>
      </c>
      <c r="AA608" s="107"/>
      <c r="AB608" s="240"/>
      <c r="AD608" s="131" t="s">
        <v>997</v>
      </c>
      <c r="AE608" s="107"/>
      <c r="AF608" s="240"/>
      <c r="AH608" s="131" t="s">
        <v>997</v>
      </c>
      <c r="AI608" s="107"/>
      <c r="AJ608" s="240"/>
      <c r="AL608" s="131" t="s">
        <v>997</v>
      </c>
      <c r="AM608" s="107"/>
      <c r="AN608" s="240"/>
      <c r="AP608" s="131" t="s">
        <v>997</v>
      </c>
      <c r="AQ608" s="107"/>
      <c r="AR608" s="240"/>
      <c r="AT608" s="131" t="s">
        <v>997</v>
      </c>
      <c r="AU608" s="107"/>
      <c r="AV608" s="240"/>
      <c r="AX608" s="131" t="s">
        <v>997</v>
      </c>
      <c r="AY608" s="107"/>
      <c r="AZ608" s="240"/>
      <c r="BB608" s="131" t="s">
        <v>997</v>
      </c>
      <c r="BC608" s="107"/>
      <c r="BD608" s="240"/>
      <c r="BF608" s="131" t="s">
        <v>997</v>
      </c>
      <c r="BG608" s="107"/>
      <c r="BH608" s="240"/>
      <c r="BJ608" s="131" t="s">
        <v>997</v>
      </c>
      <c r="BK608" s="107"/>
      <c r="BL608" s="240"/>
      <c r="BN608" s="131" t="s">
        <v>997</v>
      </c>
      <c r="BO608" s="107"/>
      <c r="BP608" s="240"/>
      <c r="BR608" s="131" t="s">
        <v>997</v>
      </c>
      <c r="BS608" s="107"/>
      <c r="BT608" s="240"/>
    </row>
    <row r="609" spans="1:72" x14ac:dyDescent="0.15">
      <c r="A609" s="134" t="s">
        <v>447</v>
      </c>
      <c r="B609" s="135" t="s">
        <v>448</v>
      </c>
      <c r="C609" s="135" t="s">
        <v>449</v>
      </c>
      <c r="D609" s="166"/>
      <c r="E609" s="128"/>
      <c r="F609" s="136"/>
      <c r="G609" s="137" t="s">
        <v>125</v>
      </c>
      <c r="H609" s="138" t="s">
        <v>450</v>
      </c>
      <c r="I609" s="143"/>
      <c r="J609" s="136"/>
      <c r="K609" s="137" t="s">
        <v>125</v>
      </c>
      <c r="L609" s="229" t="s">
        <v>450</v>
      </c>
      <c r="N609" s="136"/>
      <c r="O609" s="137" t="s">
        <v>125</v>
      </c>
      <c r="P609" s="229" t="s">
        <v>450</v>
      </c>
      <c r="R609" s="136"/>
      <c r="S609" s="137" t="s">
        <v>125</v>
      </c>
      <c r="T609" s="229" t="s">
        <v>450</v>
      </c>
      <c r="V609" s="136"/>
      <c r="W609" s="137" t="s">
        <v>125</v>
      </c>
      <c r="X609" s="229" t="s">
        <v>450</v>
      </c>
      <c r="Z609" s="136"/>
      <c r="AA609" s="137" t="s">
        <v>125</v>
      </c>
      <c r="AB609" s="229" t="s">
        <v>450</v>
      </c>
      <c r="AD609" s="136"/>
      <c r="AE609" s="137" t="s">
        <v>125</v>
      </c>
      <c r="AF609" s="229" t="s">
        <v>450</v>
      </c>
      <c r="AH609" s="136"/>
      <c r="AI609" s="137" t="s">
        <v>125</v>
      </c>
      <c r="AJ609" s="229" t="s">
        <v>450</v>
      </c>
      <c r="AL609" s="136"/>
      <c r="AM609" s="137" t="s">
        <v>125</v>
      </c>
      <c r="AN609" s="229" t="s">
        <v>450</v>
      </c>
      <c r="AP609" s="136"/>
      <c r="AQ609" s="137" t="s">
        <v>125</v>
      </c>
      <c r="AR609" s="229" t="s">
        <v>450</v>
      </c>
      <c r="AT609" s="136"/>
      <c r="AU609" s="137" t="s">
        <v>125</v>
      </c>
      <c r="AV609" s="229" t="s">
        <v>450</v>
      </c>
      <c r="AX609" s="136"/>
      <c r="AY609" s="137" t="s">
        <v>125</v>
      </c>
      <c r="AZ609" s="229" t="s">
        <v>450</v>
      </c>
      <c r="BB609" s="136"/>
      <c r="BC609" s="137" t="s">
        <v>125</v>
      </c>
      <c r="BD609" s="229" t="s">
        <v>450</v>
      </c>
      <c r="BF609" s="136"/>
      <c r="BG609" s="137" t="s">
        <v>125</v>
      </c>
      <c r="BH609" s="229" t="s">
        <v>450</v>
      </c>
      <c r="BJ609" s="136"/>
      <c r="BK609" s="137" t="s">
        <v>125</v>
      </c>
      <c r="BL609" s="229" t="s">
        <v>450</v>
      </c>
      <c r="BN609" s="136"/>
      <c r="BO609" s="137" t="s">
        <v>125</v>
      </c>
      <c r="BP609" s="229" t="s">
        <v>450</v>
      </c>
      <c r="BR609" s="136"/>
      <c r="BS609" s="137" t="s">
        <v>125</v>
      </c>
      <c r="BT609" s="229" t="s">
        <v>450</v>
      </c>
    </row>
    <row r="610" spans="1:72" s="174" customFormat="1" x14ac:dyDescent="0.15">
      <c r="A610" s="139" t="s">
        <v>102</v>
      </c>
      <c r="B610" s="168" t="s">
        <v>85</v>
      </c>
      <c r="C610" s="173"/>
      <c r="D610" s="170"/>
      <c r="E610" s="128"/>
      <c r="F610" s="171"/>
      <c r="G610" s="141" t="s">
        <v>160</v>
      </c>
      <c r="H610" s="172"/>
      <c r="I610" s="143"/>
      <c r="J610" s="171"/>
      <c r="K610" s="141" t="s">
        <v>160</v>
      </c>
      <c r="L610" s="247" t="s">
        <v>86</v>
      </c>
      <c r="N610" s="171"/>
      <c r="O610" s="141" t="s">
        <v>160</v>
      </c>
      <c r="P610" s="246" t="s">
        <v>440</v>
      </c>
      <c r="R610" s="171"/>
      <c r="S610" s="141" t="s">
        <v>160</v>
      </c>
      <c r="T610" s="247" t="s">
        <v>86</v>
      </c>
      <c r="U610" s="108"/>
      <c r="V610" s="171"/>
      <c r="W610" s="141" t="s">
        <v>160</v>
      </c>
      <c r="X610" s="246" t="s">
        <v>440</v>
      </c>
      <c r="Z610" s="171"/>
      <c r="AA610" s="141" t="s">
        <v>160</v>
      </c>
      <c r="AB610" s="246" t="s">
        <v>440</v>
      </c>
      <c r="AD610" s="171"/>
      <c r="AE610" s="141" t="s">
        <v>160</v>
      </c>
      <c r="AF610" s="246" t="s">
        <v>440</v>
      </c>
      <c r="AH610" s="171"/>
      <c r="AI610" s="141" t="s">
        <v>160</v>
      </c>
      <c r="AJ610" s="246" t="s">
        <v>440</v>
      </c>
      <c r="AL610" s="171"/>
      <c r="AM610" s="141" t="s">
        <v>160</v>
      </c>
      <c r="AN610" s="246" t="s">
        <v>440</v>
      </c>
      <c r="AP610" s="171"/>
      <c r="AQ610" s="141" t="s">
        <v>160</v>
      </c>
      <c r="AR610" s="246" t="s">
        <v>440</v>
      </c>
      <c r="AT610" s="171"/>
      <c r="AU610" s="141" t="s">
        <v>160</v>
      </c>
      <c r="AV610" s="247" t="s">
        <v>86</v>
      </c>
      <c r="AX610" s="171"/>
      <c r="AY610" s="141" t="s">
        <v>160</v>
      </c>
      <c r="AZ610" s="246" t="s">
        <v>440</v>
      </c>
      <c r="BB610" s="171"/>
      <c r="BC610" s="141" t="s">
        <v>160</v>
      </c>
      <c r="BD610" s="246" t="s">
        <v>440</v>
      </c>
      <c r="BF610" s="171"/>
      <c r="BG610" s="141" t="s">
        <v>160</v>
      </c>
      <c r="BH610" s="246" t="s">
        <v>440</v>
      </c>
      <c r="BJ610" s="171"/>
      <c r="BK610" s="141" t="s">
        <v>160</v>
      </c>
      <c r="BL610" s="246" t="s">
        <v>440</v>
      </c>
      <c r="BN610" s="171"/>
      <c r="BO610" s="141" t="s">
        <v>160</v>
      </c>
      <c r="BP610" s="246" t="s">
        <v>440</v>
      </c>
      <c r="BR610" s="171"/>
      <c r="BS610" s="141" t="s">
        <v>160</v>
      </c>
      <c r="BT610" s="246" t="s">
        <v>440</v>
      </c>
    </row>
    <row r="611" spans="1:72" s="174" customFormat="1" x14ac:dyDescent="0.15">
      <c r="A611" s="139" t="s">
        <v>998</v>
      </c>
      <c r="B611" s="168" t="s">
        <v>403</v>
      </c>
      <c r="C611" s="173"/>
      <c r="D611" s="170"/>
      <c r="E611" s="128"/>
      <c r="F611" s="171"/>
      <c r="G611" s="141" t="s">
        <v>161</v>
      </c>
      <c r="H611" s="172"/>
      <c r="I611" s="143"/>
      <c r="J611" s="171"/>
      <c r="K611" s="141" t="s">
        <v>161</v>
      </c>
      <c r="L611" s="247" t="s">
        <v>429</v>
      </c>
      <c r="N611" s="171"/>
      <c r="O611" s="141" t="s">
        <v>161</v>
      </c>
      <c r="P611" s="246" t="s">
        <v>1165</v>
      </c>
      <c r="R611" s="171"/>
      <c r="S611" s="141" t="s">
        <v>161</v>
      </c>
      <c r="T611" s="247" t="s">
        <v>429</v>
      </c>
      <c r="U611" s="108"/>
      <c r="V611" s="171"/>
      <c r="W611" s="141" t="s">
        <v>161</v>
      </c>
      <c r="X611" s="246" t="s">
        <v>1165</v>
      </c>
      <c r="Z611" s="171"/>
      <c r="AA611" s="141" t="s">
        <v>161</v>
      </c>
      <c r="AB611" s="246" t="s">
        <v>1165</v>
      </c>
      <c r="AD611" s="171"/>
      <c r="AE611" s="141" t="s">
        <v>161</v>
      </c>
      <c r="AF611" s="246" t="s">
        <v>1165</v>
      </c>
      <c r="AH611" s="171"/>
      <c r="AI611" s="141" t="s">
        <v>161</v>
      </c>
      <c r="AJ611" s="246" t="s">
        <v>1201</v>
      </c>
      <c r="AL611" s="171"/>
      <c r="AM611" s="141" t="s">
        <v>161</v>
      </c>
      <c r="AN611" s="246" t="s">
        <v>1201</v>
      </c>
      <c r="AP611" s="171"/>
      <c r="AQ611" s="141" t="s">
        <v>161</v>
      </c>
      <c r="AR611" s="246" t="s">
        <v>1201</v>
      </c>
      <c r="AT611" s="171"/>
      <c r="AU611" s="141" t="s">
        <v>161</v>
      </c>
      <c r="AV611" s="247" t="s">
        <v>429</v>
      </c>
      <c r="AX611" s="171"/>
      <c r="AY611" s="141" t="s">
        <v>161</v>
      </c>
      <c r="AZ611" s="246" t="s">
        <v>1165</v>
      </c>
      <c r="BB611" s="171"/>
      <c r="BC611" s="141" t="s">
        <v>161</v>
      </c>
      <c r="BD611" s="246" t="s">
        <v>1165</v>
      </c>
      <c r="BF611" s="171"/>
      <c r="BG611" s="141" t="s">
        <v>161</v>
      </c>
      <c r="BH611" s="246" t="s">
        <v>1201</v>
      </c>
      <c r="BJ611" s="171"/>
      <c r="BK611" s="141" t="s">
        <v>161</v>
      </c>
      <c r="BL611" s="246" t="s">
        <v>1165</v>
      </c>
      <c r="BN611" s="171"/>
      <c r="BO611" s="141" t="s">
        <v>161</v>
      </c>
      <c r="BP611" s="246" t="s">
        <v>1201</v>
      </c>
      <c r="BR611" s="171"/>
      <c r="BS611" s="141" t="s">
        <v>161</v>
      </c>
      <c r="BT611" s="246" t="s">
        <v>1165</v>
      </c>
    </row>
    <row r="612" spans="1:72" ht="12.75" customHeight="1" x14ac:dyDescent="0.15">
      <c r="A612" s="167" t="s">
        <v>103</v>
      </c>
      <c r="B612" s="168" t="s">
        <v>85</v>
      </c>
      <c r="C612" s="140"/>
      <c r="D612" s="170"/>
      <c r="E612" s="130"/>
      <c r="F612" s="136"/>
      <c r="G612" s="141" t="s">
        <v>162</v>
      </c>
      <c r="H612" s="172"/>
      <c r="I612" s="164"/>
      <c r="J612" s="136"/>
      <c r="K612" s="141" t="s">
        <v>162</v>
      </c>
      <c r="L612" s="247" t="s">
        <v>86</v>
      </c>
      <c r="N612" s="136"/>
      <c r="O612" s="141" t="s">
        <v>162</v>
      </c>
      <c r="P612" s="247" t="s">
        <v>86</v>
      </c>
      <c r="R612" s="136"/>
      <c r="S612" s="141" t="s">
        <v>162</v>
      </c>
      <c r="T612" s="247" t="s">
        <v>86</v>
      </c>
      <c r="V612" s="136"/>
      <c r="W612" s="141" t="s">
        <v>162</v>
      </c>
      <c r="X612" s="247" t="s">
        <v>86</v>
      </c>
      <c r="Z612" s="136"/>
      <c r="AA612" s="141" t="s">
        <v>162</v>
      </c>
      <c r="AB612" s="247" t="s">
        <v>86</v>
      </c>
      <c r="AD612" s="136"/>
      <c r="AE612" s="141" t="s">
        <v>162</v>
      </c>
      <c r="AF612" s="247" t="s">
        <v>86</v>
      </c>
      <c r="AH612" s="136"/>
      <c r="AI612" s="141" t="s">
        <v>162</v>
      </c>
      <c r="AJ612" s="247" t="s">
        <v>86</v>
      </c>
      <c r="AL612" s="136"/>
      <c r="AM612" s="141" t="s">
        <v>162</v>
      </c>
      <c r="AN612" s="247" t="s">
        <v>86</v>
      </c>
      <c r="AP612" s="136"/>
      <c r="AQ612" s="141" t="s">
        <v>162</v>
      </c>
      <c r="AR612" s="247" t="s">
        <v>86</v>
      </c>
      <c r="AT612" s="136"/>
      <c r="AU612" s="141" t="s">
        <v>162</v>
      </c>
      <c r="AV612" s="247" t="s">
        <v>86</v>
      </c>
      <c r="AX612" s="136"/>
      <c r="AY612" s="141" t="s">
        <v>162</v>
      </c>
      <c r="AZ612" s="247" t="s">
        <v>86</v>
      </c>
      <c r="BB612" s="136"/>
      <c r="BC612" s="141" t="s">
        <v>162</v>
      </c>
      <c r="BD612" s="247" t="s">
        <v>86</v>
      </c>
      <c r="BF612" s="136"/>
      <c r="BG612" s="141" t="s">
        <v>162</v>
      </c>
      <c r="BH612" s="247" t="s">
        <v>86</v>
      </c>
      <c r="BJ612" s="136"/>
      <c r="BK612" s="141" t="s">
        <v>162</v>
      </c>
      <c r="BL612" s="247" t="s">
        <v>86</v>
      </c>
      <c r="BN612" s="136"/>
      <c r="BO612" s="141" t="s">
        <v>162</v>
      </c>
      <c r="BP612" s="247" t="s">
        <v>86</v>
      </c>
      <c r="BR612" s="136"/>
      <c r="BS612" s="141" t="s">
        <v>162</v>
      </c>
      <c r="BT612" s="247" t="s">
        <v>86</v>
      </c>
    </row>
    <row r="613" spans="1:72" ht="12.75" customHeight="1" x14ac:dyDescent="0.15">
      <c r="A613" s="181"/>
      <c r="B613" s="168" t="s">
        <v>85</v>
      </c>
      <c r="C613" s="169"/>
      <c r="D613" s="170"/>
      <c r="E613" s="128"/>
      <c r="F613" s="171"/>
      <c r="G613" s="141" t="s">
        <v>167</v>
      </c>
      <c r="H613" s="172"/>
      <c r="I613" s="143"/>
      <c r="J613" s="171"/>
      <c r="K613" s="141" t="s">
        <v>167</v>
      </c>
      <c r="L613" s="247" t="s">
        <v>86</v>
      </c>
      <c r="N613" s="171"/>
      <c r="O613" s="141" t="s">
        <v>167</v>
      </c>
      <c r="P613" s="246" t="s">
        <v>1140</v>
      </c>
      <c r="R613" s="171"/>
      <c r="S613" s="141" t="s">
        <v>167</v>
      </c>
      <c r="T613" s="247" t="s">
        <v>86</v>
      </c>
      <c r="V613" s="171"/>
      <c r="W613" s="141" t="s">
        <v>167</v>
      </c>
      <c r="X613" s="246" t="s">
        <v>433</v>
      </c>
      <c r="Z613" s="171"/>
      <c r="AA613" s="141" t="s">
        <v>167</v>
      </c>
      <c r="AB613" s="246" t="s">
        <v>1140</v>
      </c>
      <c r="AD613" s="171"/>
      <c r="AE613" s="141" t="s">
        <v>167</v>
      </c>
      <c r="AF613" s="246" t="s">
        <v>433</v>
      </c>
      <c r="AH613" s="171"/>
      <c r="AI613" s="141" t="s">
        <v>167</v>
      </c>
      <c r="AJ613" s="247" t="s">
        <v>86</v>
      </c>
      <c r="AL613" s="171"/>
      <c r="AM613" s="141" t="s">
        <v>167</v>
      </c>
      <c r="AN613" s="247" t="s">
        <v>86</v>
      </c>
      <c r="AP613" s="171"/>
      <c r="AQ613" s="141" t="s">
        <v>167</v>
      </c>
      <c r="AR613" s="246" t="s">
        <v>1140</v>
      </c>
      <c r="AT613" s="171"/>
      <c r="AU613" s="141" t="s">
        <v>167</v>
      </c>
      <c r="AV613" s="247" t="s">
        <v>86</v>
      </c>
      <c r="AX613" s="171"/>
      <c r="AY613" s="141" t="s">
        <v>167</v>
      </c>
      <c r="AZ613" s="246" t="s">
        <v>433</v>
      </c>
      <c r="BB613" s="171"/>
      <c r="BC613" s="141" t="s">
        <v>167</v>
      </c>
      <c r="BD613" s="246" t="s">
        <v>1140</v>
      </c>
      <c r="BF613" s="171"/>
      <c r="BG613" s="141" t="s">
        <v>167</v>
      </c>
      <c r="BH613" s="246" t="s">
        <v>1140</v>
      </c>
      <c r="BJ613" s="171"/>
      <c r="BK613" s="141" t="s">
        <v>167</v>
      </c>
      <c r="BL613" s="246" t="s">
        <v>433</v>
      </c>
      <c r="BN613" s="171"/>
      <c r="BO613" s="141" t="s">
        <v>167</v>
      </c>
      <c r="BP613" s="246" t="s">
        <v>1140</v>
      </c>
      <c r="BR613" s="171"/>
      <c r="BS613" s="141" t="s">
        <v>167</v>
      </c>
      <c r="BT613" s="246" t="s">
        <v>1140</v>
      </c>
    </row>
    <row r="614" spans="1:72" s="174" customFormat="1" x14ac:dyDescent="0.15">
      <c r="A614" s="182"/>
      <c r="B614" s="168" t="s">
        <v>85</v>
      </c>
      <c r="C614" s="173"/>
      <c r="D614" s="170"/>
      <c r="E614" s="130"/>
      <c r="F614" s="136"/>
      <c r="G614" s="141" t="s">
        <v>221</v>
      </c>
      <c r="H614" s="172"/>
      <c r="I614" s="143"/>
      <c r="J614" s="136"/>
      <c r="K614" s="141" t="s">
        <v>221</v>
      </c>
      <c r="L614" s="247" t="s">
        <v>86</v>
      </c>
      <c r="N614" s="136"/>
      <c r="O614" s="141" t="s">
        <v>221</v>
      </c>
      <c r="P614" s="246" t="s">
        <v>1140</v>
      </c>
      <c r="R614" s="136"/>
      <c r="S614" s="141" t="s">
        <v>221</v>
      </c>
      <c r="T614" s="247" t="s">
        <v>86</v>
      </c>
      <c r="U614" s="108"/>
      <c r="V614" s="136"/>
      <c r="W614" s="141" t="s">
        <v>221</v>
      </c>
      <c r="X614" s="246" t="s">
        <v>1122</v>
      </c>
      <c r="Z614" s="136"/>
      <c r="AA614" s="141" t="s">
        <v>221</v>
      </c>
      <c r="AB614" s="246" t="s">
        <v>1140</v>
      </c>
      <c r="AD614" s="136"/>
      <c r="AE614" s="141" t="s">
        <v>221</v>
      </c>
      <c r="AF614" s="246" t="s">
        <v>440</v>
      </c>
      <c r="AH614" s="136"/>
      <c r="AI614" s="141" t="s">
        <v>221</v>
      </c>
      <c r="AJ614" s="247" t="s">
        <v>86</v>
      </c>
      <c r="AL614" s="136"/>
      <c r="AM614" s="141" t="s">
        <v>221</v>
      </c>
      <c r="AN614" s="247" t="s">
        <v>86</v>
      </c>
      <c r="AP614" s="136"/>
      <c r="AQ614" s="141" t="s">
        <v>221</v>
      </c>
      <c r="AR614" s="246" t="s">
        <v>1140</v>
      </c>
      <c r="AT614" s="136"/>
      <c r="AU614" s="141" t="s">
        <v>221</v>
      </c>
      <c r="AV614" s="247" t="s">
        <v>86</v>
      </c>
      <c r="AX614" s="136"/>
      <c r="AY614" s="141" t="s">
        <v>221</v>
      </c>
      <c r="AZ614" s="246" t="s">
        <v>1122</v>
      </c>
      <c r="BB614" s="136"/>
      <c r="BC614" s="141" t="s">
        <v>221</v>
      </c>
      <c r="BD614" s="246" t="s">
        <v>1140</v>
      </c>
      <c r="BF614" s="136"/>
      <c r="BG614" s="141" t="s">
        <v>221</v>
      </c>
      <c r="BH614" s="246" t="s">
        <v>1140</v>
      </c>
      <c r="BJ614" s="136"/>
      <c r="BK614" s="141" t="s">
        <v>221</v>
      </c>
      <c r="BL614" s="246" t="s">
        <v>440</v>
      </c>
      <c r="BN614" s="136"/>
      <c r="BO614" s="141" t="s">
        <v>221</v>
      </c>
      <c r="BP614" s="246" t="s">
        <v>1140</v>
      </c>
      <c r="BR614" s="136"/>
      <c r="BS614" s="141" t="s">
        <v>221</v>
      </c>
      <c r="BT614" s="246" t="s">
        <v>1140</v>
      </c>
    </row>
    <row r="615" spans="1:72" s="174" customFormat="1" x14ac:dyDescent="0.15">
      <c r="A615" s="181"/>
      <c r="B615" s="168" t="s">
        <v>266</v>
      </c>
      <c r="C615" s="173"/>
      <c r="D615" s="170"/>
      <c r="E615" s="128"/>
      <c r="F615" s="171"/>
      <c r="G615" s="141" t="s">
        <v>164</v>
      </c>
      <c r="H615" s="172"/>
      <c r="I615" s="143"/>
      <c r="J615" s="171"/>
      <c r="K615" s="141" t="s">
        <v>164</v>
      </c>
      <c r="L615" s="247" t="s">
        <v>1139</v>
      </c>
      <c r="N615" s="171"/>
      <c r="O615" s="141" t="s">
        <v>164</v>
      </c>
      <c r="P615" s="247" t="s">
        <v>1139</v>
      </c>
      <c r="R615" s="171"/>
      <c r="S615" s="141" t="s">
        <v>164</v>
      </c>
      <c r="T615" s="247" t="s">
        <v>1139</v>
      </c>
      <c r="U615" s="108"/>
      <c r="V615" s="171"/>
      <c r="W615" s="141" t="s">
        <v>164</v>
      </c>
      <c r="X615" s="247" t="s">
        <v>1139</v>
      </c>
      <c r="Z615" s="171"/>
      <c r="AA615" s="141" t="s">
        <v>164</v>
      </c>
      <c r="AB615" s="247" t="s">
        <v>1139</v>
      </c>
      <c r="AD615" s="171"/>
      <c r="AE615" s="141" t="s">
        <v>164</v>
      </c>
      <c r="AF615" s="247" t="s">
        <v>1139</v>
      </c>
      <c r="AH615" s="171"/>
      <c r="AI615" s="141" t="s">
        <v>164</v>
      </c>
      <c r="AJ615" s="247" t="s">
        <v>1139</v>
      </c>
      <c r="AL615" s="171"/>
      <c r="AM615" s="141" t="s">
        <v>164</v>
      </c>
      <c r="AN615" s="247" t="s">
        <v>1139</v>
      </c>
      <c r="AP615" s="171"/>
      <c r="AQ615" s="141" t="s">
        <v>164</v>
      </c>
      <c r="AR615" s="247" t="s">
        <v>1139</v>
      </c>
      <c r="AT615" s="171"/>
      <c r="AU615" s="141" t="s">
        <v>164</v>
      </c>
      <c r="AV615" s="247" t="s">
        <v>1139</v>
      </c>
      <c r="AX615" s="171"/>
      <c r="AY615" s="141" t="s">
        <v>164</v>
      </c>
      <c r="AZ615" s="247" t="s">
        <v>1139</v>
      </c>
      <c r="BB615" s="171"/>
      <c r="BC615" s="141" t="s">
        <v>164</v>
      </c>
      <c r="BD615" s="247" t="s">
        <v>1139</v>
      </c>
      <c r="BF615" s="171"/>
      <c r="BG615" s="141" t="s">
        <v>164</v>
      </c>
      <c r="BH615" s="247" t="s">
        <v>1139</v>
      </c>
      <c r="BJ615" s="171"/>
      <c r="BK615" s="141" t="s">
        <v>164</v>
      </c>
      <c r="BL615" s="247" t="s">
        <v>1139</v>
      </c>
      <c r="BN615" s="171"/>
      <c r="BO615" s="141" t="s">
        <v>164</v>
      </c>
      <c r="BP615" s="247" t="s">
        <v>1139</v>
      </c>
      <c r="BR615" s="171"/>
      <c r="BS615" s="141" t="s">
        <v>164</v>
      </c>
      <c r="BT615" s="247" t="s">
        <v>1139</v>
      </c>
    </row>
    <row r="616" spans="1:72" ht="12.75" customHeight="1" x14ac:dyDescent="0.15">
      <c r="A616" s="181"/>
      <c r="B616" s="168" t="s">
        <v>85</v>
      </c>
      <c r="C616" s="140"/>
      <c r="D616" s="170"/>
      <c r="E616" s="128"/>
      <c r="F616" s="171"/>
      <c r="G616" s="141" t="s">
        <v>233</v>
      </c>
      <c r="H616" s="172"/>
      <c r="I616" s="164"/>
      <c r="J616" s="171"/>
      <c r="K616" s="141" t="s">
        <v>233</v>
      </c>
      <c r="L616" s="247" t="s">
        <v>86</v>
      </c>
      <c r="N616" s="171"/>
      <c r="O616" s="141" t="s">
        <v>233</v>
      </c>
      <c r="P616" s="247" t="s">
        <v>86</v>
      </c>
      <c r="R616" s="171"/>
      <c r="S616" s="141" t="s">
        <v>233</v>
      </c>
      <c r="T616" s="247" t="s">
        <v>86</v>
      </c>
      <c r="V616" s="171"/>
      <c r="W616" s="141" t="s">
        <v>233</v>
      </c>
      <c r="X616" s="247" t="s">
        <v>86</v>
      </c>
      <c r="Z616" s="171"/>
      <c r="AA616" s="141" t="s">
        <v>233</v>
      </c>
      <c r="AB616" s="247" t="s">
        <v>86</v>
      </c>
      <c r="AD616" s="171"/>
      <c r="AE616" s="141" t="s">
        <v>233</v>
      </c>
      <c r="AF616" s="247" t="s">
        <v>86</v>
      </c>
      <c r="AH616" s="171"/>
      <c r="AI616" s="141" t="s">
        <v>233</v>
      </c>
      <c r="AJ616" s="247" t="s">
        <v>86</v>
      </c>
      <c r="AL616" s="171"/>
      <c r="AM616" s="141" t="s">
        <v>233</v>
      </c>
      <c r="AN616" s="247" t="s">
        <v>86</v>
      </c>
      <c r="AP616" s="171"/>
      <c r="AQ616" s="141" t="s">
        <v>233</v>
      </c>
      <c r="AR616" s="247" t="s">
        <v>86</v>
      </c>
      <c r="AT616" s="171"/>
      <c r="AU616" s="141" t="s">
        <v>233</v>
      </c>
      <c r="AV616" s="247" t="s">
        <v>86</v>
      </c>
      <c r="AX616" s="171"/>
      <c r="AY616" s="141" t="s">
        <v>233</v>
      </c>
      <c r="AZ616" s="247" t="s">
        <v>86</v>
      </c>
      <c r="BB616" s="171"/>
      <c r="BC616" s="141" t="s">
        <v>233</v>
      </c>
      <c r="BD616" s="247" t="s">
        <v>86</v>
      </c>
      <c r="BF616" s="171"/>
      <c r="BG616" s="141" t="s">
        <v>233</v>
      </c>
      <c r="BH616" s="247" t="s">
        <v>86</v>
      </c>
      <c r="BJ616" s="171"/>
      <c r="BK616" s="141" t="s">
        <v>233</v>
      </c>
      <c r="BL616" s="247" t="s">
        <v>86</v>
      </c>
      <c r="BN616" s="171"/>
      <c r="BO616" s="141" t="s">
        <v>233</v>
      </c>
      <c r="BP616" s="247" t="s">
        <v>86</v>
      </c>
      <c r="BR616" s="171"/>
      <c r="BS616" s="141" t="s">
        <v>233</v>
      </c>
      <c r="BT616" s="247" t="s">
        <v>86</v>
      </c>
    </row>
    <row r="617" spans="1:72" s="174" customFormat="1" x14ac:dyDescent="0.15">
      <c r="A617" s="181"/>
      <c r="B617" s="168" t="s">
        <v>85</v>
      </c>
      <c r="C617" s="173"/>
      <c r="D617" s="170"/>
      <c r="E617" s="128"/>
      <c r="F617" s="171"/>
      <c r="G617" s="141" t="s">
        <v>163</v>
      </c>
      <c r="H617" s="172"/>
      <c r="I617" s="143"/>
      <c r="J617" s="171"/>
      <c r="K617" s="141" t="s">
        <v>163</v>
      </c>
      <c r="L617" s="247" t="s">
        <v>86</v>
      </c>
      <c r="N617" s="171"/>
      <c r="O617" s="141" t="s">
        <v>163</v>
      </c>
      <c r="P617" s="246" t="s">
        <v>438</v>
      </c>
      <c r="R617" s="171"/>
      <c r="S617" s="141" t="s">
        <v>163</v>
      </c>
      <c r="T617" s="247" t="s">
        <v>86</v>
      </c>
      <c r="U617" s="108"/>
      <c r="V617" s="171"/>
      <c r="W617" s="141" t="s">
        <v>163</v>
      </c>
      <c r="X617" s="247" t="s">
        <v>86</v>
      </c>
      <c r="Z617" s="171"/>
      <c r="AA617" s="141" t="s">
        <v>163</v>
      </c>
      <c r="AB617" s="246" t="s">
        <v>438</v>
      </c>
      <c r="AD617" s="171"/>
      <c r="AE617" s="141" t="s">
        <v>163</v>
      </c>
      <c r="AF617" s="247" t="s">
        <v>86</v>
      </c>
      <c r="AH617" s="171"/>
      <c r="AI617" s="141" t="s">
        <v>163</v>
      </c>
      <c r="AJ617" s="247" t="s">
        <v>86</v>
      </c>
      <c r="AL617" s="171"/>
      <c r="AM617" s="141" t="s">
        <v>163</v>
      </c>
      <c r="AN617" s="247" t="s">
        <v>86</v>
      </c>
      <c r="AP617" s="171"/>
      <c r="AQ617" s="141" t="s">
        <v>163</v>
      </c>
      <c r="AR617" s="246" t="s">
        <v>438</v>
      </c>
      <c r="AT617" s="171"/>
      <c r="AU617" s="141" t="s">
        <v>163</v>
      </c>
      <c r="AV617" s="247" t="s">
        <v>86</v>
      </c>
      <c r="AX617" s="171"/>
      <c r="AY617" s="141" t="s">
        <v>163</v>
      </c>
      <c r="AZ617" s="247" t="s">
        <v>86</v>
      </c>
      <c r="BB617" s="171"/>
      <c r="BC617" s="141" t="s">
        <v>163</v>
      </c>
      <c r="BD617" s="246" t="s">
        <v>438</v>
      </c>
      <c r="BF617" s="171"/>
      <c r="BG617" s="141" t="s">
        <v>163</v>
      </c>
      <c r="BH617" s="246" t="s">
        <v>438</v>
      </c>
      <c r="BJ617" s="171"/>
      <c r="BK617" s="141" t="s">
        <v>163</v>
      </c>
      <c r="BL617" s="247" t="s">
        <v>86</v>
      </c>
      <c r="BN617" s="171"/>
      <c r="BO617" s="141" t="s">
        <v>163</v>
      </c>
      <c r="BP617" s="246" t="s">
        <v>438</v>
      </c>
      <c r="BR617" s="171"/>
      <c r="BS617" s="141" t="s">
        <v>163</v>
      </c>
      <c r="BT617" s="246" t="s">
        <v>438</v>
      </c>
    </row>
    <row r="618" spans="1:72" s="174" customFormat="1" x14ac:dyDescent="0.15">
      <c r="A618" s="182"/>
      <c r="B618" s="168" t="s">
        <v>287</v>
      </c>
      <c r="C618" s="140"/>
      <c r="D618" s="170"/>
      <c r="E618" s="130"/>
      <c r="F618" s="136"/>
      <c r="G618" s="141" t="s">
        <v>165</v>
      </c>
      <c r="H618" s="179"/>
      <c r="J618" s="136"/>
      <c r="K618" s="141" t="s">
        <v>165</v>
      </c>
      <c r="L618" s="241" t="s">
        <v>440</v>
      </c>
      <c r="N618" s="136"/>
      <c r="O618" s="141" t="s">
        <v>165</v>
      </c>
      <c r="P618" s="248" t="s">
        <v>1166</v>
      </c>
      <c r="R618" s="136"/>
      <c r="S618" s="141" t="s">
        <v>165</v>
      </c>
      <c r="T618" s="241" t="s">
        <v>440</v>
      </c>
      <c r="V618" s="136"/>
      <c r="W618" s="141" t="s">
        <v>165</v>
      </c>
      <c r="X618" s="248" t="s">
        <v>1166</v>
      </c>
      <c r="Z618" s="136"/>
      <c r="AA618" s="141" t="s">
        <v>165</v>
      </c>
      <c r="AB618" s="248" t="s">
        <v>1166</v>
      </c>
      <c r="AD618" s="136"/>
      <c r="AE618" s="141" t="s">
        <v>165</v>
      </c>
      <c r="AF618" s="248" t="s">
        <v>1166</v>
      </c>
      <c r="AH618" s="136"/>
      <c r="AI618" s="141" t="s">
        <v>165</v>
      </c>
      <c r="AJ618" s="248" t="s">
        <v>1202</v>
      </c>
      <c r="AL618" s="136"/>
      <c r="AM618" s="141" t="s">
        <v>165</v>
      </c>
      <c r="AN618" s="248" t="s">
        <v>1202</v>
      </c>
      <c r="AP618" s="136"/>
      <c r="AQ618" s="141" t="s">
        <v>165</v>
      </c>
      <c r="AR618" s="248" t="s">
        <v>1202</v>
      </c>
      <c r="AT618" s="136"/>
      <c r="AU618" s="141" t="s">
        <v>165</v>
      </c>
      <c r="AV618" s="241" t="s">
        <v>440</v>
      </c>
      <c r="AX618" s="136"/>
      <c r="AY618" s="141" t="s">
        <v>165</v>
      </c>
      <c r="AZ618" s="248" t="s">
        <v>1166</v>
      </c>
      <c r="BB618" s="136"/>
      <c r="BC618" s="141" t="s">
        <v>165</v>
      </c>
      <c r="BD618" s="248" t="s">
        <v>1166</v>
      </c>
      <c r="BF618" s="136"/>
      <c r="BG618" s="141" t="s">
        <v>165</v>
      </c>
      <c r="BH618" s="248" t="s">
        <v>1202</v>
      </c>
      <c r="BJ618" s="136"/>
      <c r="BK618" s="141" t="s">
        <v>165</v>
      </c>
      <c r="BL618" s="248" t="s">
        <v>1166</v>
      </c>
      <c r="BN618" s="136"/>
      <c r="BO618" s="141" t="s">
        <v>165</v>
      </c>
      <c r="BP618" s="248" t="s">
        <v>1202</v>
      </c>
      <c r="BR618" s="136"/>
      <c r="BS618" s="141" t="s">
        <v>165</v>
      </c>
      <c r="BT618" s="248" t="s">
        <v>1166</v>
      </c>
    </row>
    <row r="619" spans="1:72" s="174" customFormat="1" x14ac:dyDescent="0.15">
      <c r="A619" s="181"/>
      <c r="B619" s="168" t="s">
        <v>287</v>
      </c>
      <c r="C619" s="173"/>
      <c r="D619" s="170"/>
      <c r="E619" s="128"/>
      <c r="F619" s="171"/>
      <c r="G619" s="141" t="s">
        <v>166</v>
      </c>
      <c r="H619" s="172"/>
      <c r="I619" s="143"/>
      <c r="J619" s="171"/>
      <c r="K619" s="141" t="s">
        <v>166</v>
      </c>
      <c r="L619" s="247" t="s">
        <v>440</v>
      </c>
      <c r="N619" s="171"/>
      <c r="O619" s="141" t="s">
        <v>166</v>
      </c>
      <c r="P619" s="246" t="s">
        <v>1166</v>
      </c>
      <c r="R619" s="171"/>
      <c r="S619" s="141" t="s">
        <v>166</v>
      </c>
      <c r="T619" s="247" t="s">
        <v>440</v>
      </c>
      <c r="U619" s="108"/>
      <c r="V619" s="171"/>
      <c r="W619" s="141" t="s">
        <v>166</v>
      </c>
      <c r="X619" s="246" t="s">
        <v>1166</v>
      </c>
      <c r="Z619" s="171"/>
      <c r="AA619" s="141" t="s">
        <v>166</v>
      </c>
      <c r="AB619" s="246" t="s">
        <v>1166</v>
      </c>
      <c r="AD619" s="171"/>
      <c r="AE619" s="141" t="s">
        <v>166</v>
      </c>
      <c r="AF619" s="246" t="s">
        <v>1166</v>
      </c>
      <c r="AH619" s="171"/>
      <c r="AI619" s="141" t="s">
        <v>166</v>
      </c>
      <c r="AJ619" s="246" t="s">
        <v>1202</v>
      </c>
      <c r="AL619" s="171"/>
      <c r="AM619" s="141" t="s">
        <v>166</v>
      </c>
      <c r="AN619" s="246" t="s">
        <v>1202</v>
      </c>
      <c r="AP619" s="171"/>
      <c r="AQ619" s="141" t="s">
        <v>166</v>
      </c>
      <c r="AR619" s="246" t="s">
        <v>1202</v>
      </c>
      <c r="AT619" s="171"/>
      <c r="AU619" s="141" t="s">
        <v>166</v>
      </c>
      <c r="AV619" s="247" t="s">
        <v>440</v>
      </c>
      <c r="AX619" s="171"/>
      <c r="AY619" s="141" t="s">
        <v>166</v>
      </c>
      <c r="AZ619" s="246" t="s">
        <v>1166</v>
      </c>
      <c r="BB619" s="171"/>
      <c r="BC619" s="141" t="s">
        <v>166</v>
      </c>
      <c r="BD619" s="246" t="s">
        <v>1166</v>
      </c>
      <c r="BF619" s="171"/>
      <c r="BG619" s="141" t="s">
        <v>166</v>
      </c>
      <c r="BH619" s="246" t="s">
        <v>1202</v>
      </c>
      <c r="BJ619" s="171"/>
      <c r="BK619" s="141" t="s">
        <v>166</v>
      </c>
      <c r="BL619" s="246" t="s">
        <v>1166</v>
      </c>
      <c r="BN619" s="171"/>
      <c r="BO619" s="141" t="s">
        <v>166</v>
      </c>
      <c r="BP619" s="246" t="s">
        <v>1202</v>
      </c>
      <c r="BR619" s="171"/>
      <c r="BS619" s="141" t="s">
        <v>166</v>
      </c>
      <c r="BT619" s="246" t="s">
        <v>1166</v>
      </c>
    </row>
    <row r="620" spans="1:72" s="174" customFormat="1" x14ac:dyDescent="0.15">
      <c r="A620" s="181"/>
      <c r="B620" s="168" t="s">
        <v>287</v>
      </c>
      <c r="C620" s="173"/>
      <c r="D620" s="170"/>
      <c r="E620" s="128"/>
      <c r="F620" s="171"/>
      <c r="G620" s="141" t="s">
        <v>232</v>
      </c>
      <c r="H620" s="172"/>
      <c r="I620" s="143"/>
      <c r="J620" s="171"/>
      <c r="K620" s="141" t="s">
        <v>232</v>
      </c>
      <c r="L620" s="247" t="s">
        <v>440</v>
      </c>
      <c r="N620" s="171"/>
      <c r="O620" s="141" t="s">
        <v>232</v>
      </c>
      <c r="P620" s="246" t="s">
        <v>86</v>
      </c>
      <c r="R620" s="171"/>
      <c r="S620" s="141" t="s">
        <v>232</v>
      </c>
      <c r="T620" s="247" t="s">
        <v>440</v>
      </c>
      <c r="U620" s="108"/>
      <c r="V620" s="171"/>
      <c r="W620" s="141" t="s">
        <v>232</v>
      </c>
      <c r="X620" s="246" t="s">
        <v>86</v>
      </c>
      <c r="Z620" s="171"/>
      <c r="AA620" s="141" t="s">
        <v>232</v>
      </c>
      <c r="AB620" s="246" t="s">
        <v>86</v>
      </c>
      <c r="AD620" s="171"/>
      <c r="AE620" s="141" t="s">
        <v>232</v>
      </c>
      <c r="AF620" s="246" t="s">
        <v>86</v>
      </c>
      <c r="AH620" s="171"/>
      <c r="AI620" s="141" t="s">
        <v>232</v>
      </c>
      <c r="AJ620" s="246" t="s">
        <v>86</v>
      </c>
      <c r="AL620" s="171"/>
      <c r="AM620" s="141" t="s">
        <v>232</v>
      </c>
      <c r="AN620" s="246" t="s">
        <v>86</v>
      </c>
      <c r="AP620" s="171"/>
      <c r="AQ620" s="141" t="s">
        <v>232</v>
      </c>
      <c r="AR620" s="246" t="s">
        <v>86</v>
      </c>
      <c r="AT620" s="171"/>
      <c r="AU620" s="141" t="s">
        <v>232</v>
      </c>
      <c r="AV620" s="247" t="s">
        <v>440</v>
      </c>
      <c r="AX620" s="171"/>
      <c r="AY620" s="141" t="s">
        <v>232</v>
      </c>
      <c r="AZ620" s="246" t="s">
        <v>86</v>
      </c>
      <c r="BB620" s="171"/>
      <c r="BC620" s="141" t="s">
        <v>232</v>
      </c>
      <c r="BD620" s="246" t="s">
        <v>86</v>
      </c>
      <c r="BF620" s="171"/>
      <c r="BG620" s="141" t="s">
        <v>232</v>
      </c>
      <c r="BH620" s="246" t="s">
        <v>86</v>
      </c>
      <c r="BJ620" s="171"/>
      <c r="BK620" s="141" t="s">
        <v>232</v>
      </c>
      <c r="BL620" s="246" t="s">
        <v>86</v>
      </c>
      <c r="BN620" s="171"/>
      <c r="BO620" s="141" t="s">
        <v>232</v>
      </c>
      <c r="BP620" s="246" t="s">
        <v>86</v>
      </c>
      <c r="BR620" s="171"/>
      <c r="BS620" s="141" t="s">
        <v>232</v>
      </c>
      <c r="BT620" s="246" t="s">
        <v>86</v>
      </c>
    </row>
    <row r="621" spans="1:72" s="174" customFormat="1" x14ac:dyDescent="0.15">
      <c r="A621" s="181"/>
      <c r="B621" s="168" t="s">
        <v>287</v>
      </c>
      <c r="C621" s="173"/>
      <c r="D621" s="170"/>
      <c r="E621" s="128"/>
      <c r="F621" s="171"/>
      <c r="G621" s="141" t="s">
        <v>246</v>
      </c>
      <c r="H621" s="172"/>
      <c r="I621" s="143"/>
      <c r="J621" s="171"/>
      <c r="K621" s="141" t="s">
        <v>246</v>
      </c>
      <c r="L621" s="247" t="s">
        <v>440</v>
      </c>
      <c r="N621" s="171"/>
      <c r="O621" s="141" t="s">
        <v>246</v>
      </c>
      <c r="P621" s="247" t="s">
        <v>440</v>
      </c>
      <c r="R621" s="171"/>
      <c r="S621" s="141" t="s">
        <v>246</v>
      </c>
      <c r="T621" s="247" t="s">
        <v>440</v>
      </c>
      <c r="U621" s="108"/>
      <c r="V621" s="171"/>
      <c r="W621" s="141" t="s">
        <v>246</v>
      </c>
      <c r="X621" s="246" t="s">
        <v>1140</v>
      </c>
      <c r="Z621" s="171"/>
      <c r="AA621" s="141" t="s">
        <v>246</v>
      </c>
      <c r="AB621" s="247" t="s">
        <v>440</v>
      </c>
      <c r="AD621" s="171"/>
      <c r="AE621" s="141" t="s">
        <v>246</v>
      </c>
      <c r="AF621" s="246" t="s">
        <v>1140</v>
      </c>
      <c r="AH621" s="171"/>
      <c r="AI621" s="141" t="s">
        <v>246</v>
      </c>
      <c r="AJ621" s="247" t="s">
        <v>440</v>
      </c>
      <c r="AL621" s="171"/>
      <c r="AM621" s="141" t="s">
        <v>246</v>
      </c>
      <c r="AN621" s="247" t="s">
        <v>440</v>
      </c>
      <c r="AP621" s="171"/>
      <c r="AQ621" s="141" t="s">
        <v>246</v>
      </c>
      <c r="AR621" s="247" t="s">
        <v>440</v>
      </c>
      <c r="AT621" s="171"/>
      <c r="AU621" s="141" t="s">
        <v>246</v>
      </c>
      <c r="AV621" s="247" t="s">
        <v>440</v>
      </c>
      <c r="AX621" s="171"/>
      <c r="AY621" s="141" t="s">
        <v>246</v>
      </c>
      <c r="AZ621" s="246" t="s">
        <v>1140</v>
      </c>
      <c r="BB621" s="171"/>
      <c r="BC621" s="141" t="s">
        <v>246</v>
      </c>
      <c r="BD621" s="247" t="s">
        <v>440</v>
      </c>
      <c r="BF621" s="171"/>
      <c r="BG621" s="141" t="s">
        <v>246</v>
      </c>
      <c r="BH621" s="247" t="s">
        <v>440</v>
      </c>
      <c r="BJ621" s="171"/>
      <c r="BK621" s="141" t="s">
        <v>246</v>
      </c>
      <c r="BL621" s="246" t="s">
        <v>1140</v>
      </c>
      <c r="BN621" s="171"/>
      <c r="BO621" s="141" t="s">
        <v>246</v>
      </c>
      <c r="BP621" s="247" t="s">
        <v>440</v>
      </c>
      <c r="BR621" s="171"/>
      <c r="BS621" s="141" t="s">
        <v>246</v>
      </c>
      <c r="BT621" s="247" t="s">
        <v>440</v>
      </c>
    </row>
    <row r="622" spans="1:72" s="174" customFormat="1" x14ac:dyDescent="0.15">
      <c r="A622" s="175"/>
      <c r="B622" s="176"/>
      <c r="C622" s="176"/>
      <c r="D622" s="170"/>
      <c r="E622" s="128"/>
      <c r="F622" s="171"/>
      <c r="G622" s="141"/>
      <c r="H622" s="172"/>
      <c r="I622" s="143"/>
      <c r="J622" s="171"/>
      <c r="K622" s="141"/>
      <c r="L622" s="168"/>
      <c r="N622" s="171"/>
      <c r="O622" s="141"/>
      <c r="P622" s="168"/>
      <c r="R622" s="171"/>
      <c r="S622" s="141"/>
      <c r="T622" s="168"/>
      <c r="U622" s="108"/>
      <c r="V622" s="171"/>
      <c r="W622" s="141"/>
      <c r="X622" s="168"/>
      <c r="Z622" s="171"/>
      <c r="AA622" s="141"/>
      <c r="AB622" s="168"/>
      <c r="AD622" s="171"/>
      <c r="AE622" s="141"/>
      <c r="AF622" s="168"/>
      <c r="AH622" s="171"/>
      <c r="AI622" s="141"/>
      <c r="AJ622" s="168"/>
      <c r="AL622" s="171"/>
      <c r="AM622" s="141"/>
      <c r="AN622" s="168"/>
      <c r="AP622" s="171"/>
      <c r="AQ622" s="141"/>
      <c r="AR622" s="168"/>
      <c r="AT622" s="171"/>
      <c r="AU622" s="141"/>
      <c r="AV622" s="168"/>
      <c r="AX622" s="171"/>
      <c r="AY622" s="141"/>
      <c r="AZ622" s="168"/>
      <c r="BB622" s="171"/>
      <c r="BC622" s="141"/>
      <c r="BD622" s="168"/>
      <c r="BF622" s="171"/>
      <c r="BG622" s="141"/>
      <c r="BH622" s="168"/>
      <c r="BJ622" s="171"/>
      <c r="BK622" s="141"/>
      <c r="BL622" s="168"/>
      <c r="BN622" s="171"/>
      <c r="BO622" s="141"/>
      <c r="BP622" s="168"/>
      <c r="BR622" s="171"/>
      <c r="BS622" s="141"/>
      <c r="BT622" s="168"/>
    </row>
    <row r="623" spans="1:72" s="174" customFormat="1" x14ac:dyDescent="0.15">
      <c r="A623" s="175"/>
      <c r="B623" s="176"/>
      <c r="C623" s="176"/>
      <c r="D623" s="166"/>
      <c r="E623" s="130"/>
      <c r="F623" s="180"/>
      <c r="G623" s="141"/>
      <c r="H623" s="179"/>
      <c r="I623" s="143"/>
      <c r="J623" s="180"/>
      <c r="K623" s="141"/>
      <c r="L623" s="241"/>
      <c r="N623" s="180"/>
      <c r="O623" s="141"/>
      <c r="P623" s="241"/>
      <c r="R623" s="180"/>
      <c r="S623" s="141"/>
      <c r="T623" s="241"/>
      <c r="U623" s="108"/>
      <c r="V623" s="180"/>
      <c r="W623" s="141"/>
      <c r="X623" s="241"/>
      <c r="Z623" s="180"/>
      <c r="AA623" s="141"/>
      <c r="AB623" s="241"/>
      <c r="AD623" s="180"/>
      <c r="AE623" s="141"/>
      <c r="AF623" s="241"/>
      <c r="AH623" s="180"/>
      <c r="AI623" s="141"/>
      <c r="AJ623" s="241"/>
      <c r="AL623" s="180"/>
      <c r="AM623" s="141"/>
      <c r="AN623" s="241"/>
      <c r="AP623" s="180"/>
      <c r="AQ623" s="141"/>
      <c r="AR623" s="241"/>
      <c r="AT623" s="180"/>
      <c r="AU623" s="141"/>
      <c r="AV623" s="241"/>
      <c r="AX623" s="180"/>
      <c r="AY623" s="141"/>
      <c r="AZ623" s="241"/>
      <c r="BB623" s="180"/>
      <c r="BC623" s="141"/>
      <c r="BD623" s="241"/>
      <c r="BF623" s="180"/>
      <c r="BG623" s="141"/>
      <c r="BH623" s="241"/>
      <c r="BJ623" s="180"/>
      <c r="BK623" s="141"/>
      <c r="BL623" s="241"/>
      <c r="BN623" s="180"/>
      <c r="BO623" s="141"/>
      <c r="BP623" s="241"/>
      <c r="BR623" s="180"/>
      <c r="BS623" s="141"/>
      <c r="BT623" s="241"/>
    </row>
    <row r="624" spans="1:72" s="174" customFormat="1" x14ac:dyDescent="0.15">
      <c r="A624" s="175"/>
      <c r="B624" s="129"/>
      <c r="C624" s="146"/>
      <c r="D624" s="166"/>
      <c r="E624" s="128"/>
      <c r="F624" s="131" t="s">
        <v>999</v>
      </c>
      <c r="G624" s="107"/>
      <c r="H624" s="165"/>
      <c r="I624" s="143"/>
      <c r="J624" s="131" t="s">
        <v>999</v>
      </c>
      <c r="K624" s="107"/>
      <c r="L624" s="240"/>
      <c r="N624" s="131" t="s">
        <v>999</v>
      </c>
      <c r="O624" s="107"/>
      <c r="P624" s="240"/>
      <c r="R624" s="131" t="s">
        <v>999</v>
      </c>
      <c r="S624" s="107"/>
      <c r="T624" s="240"/>
      <c r="U624" s="108"/>
      <c r="V624" s="131" t="s">
        <v>999</v>
      </c>
      <c r="W624" s="107"/>
      <c r="X624" s="240"/>
      <c r="Z624" s="131" t="s">
        <v>999</v>
      </c>
      <c r="AA624" s="107"/>
      <c r="AB624" s="240"/>
      <c r="AD624" s="131" t="s">
        <v>999</v>
      </c>
      <c r="AE624" s="107"/>
      <c r="AF624" s="240"/>
      <c r="AH624" s="131" t="s">
        <v>999</v>
      </c>
      <c r="AI624" s="107"/>
      <c r="AJ624" s="240"/>
      <c r="AL624" s="131" t="s">
        <v>999</v>
      </c>
      <c r="AM624" s="107"/>
      <c r="AN624" s="240"/>
      <c r="AP624" s="131" t="s">
        <v>999</v>
      </c>
      <c r="AQ624" s="107"/>
      <c r="AR624" s="240"/>
      <c r="AT624" s="131" t="s">
        <v>999</v>
      </c>
      <c r="AU624" s="107"/>
      <c r="AV624" s="240"/>
      <c r="AX624" s="131" t="s">
        <v>999</v>
      </c>
      <c r="AY624" s="107"/>
      <c r="AZ624" s="240"/>
      <c r="BB624" s="131" t="s">
        <v>999</v>
      </c>
      <c r="BC624" s="107"/>
      <c r="BD624" s="240"/>
      <c r="BF624" s="131" t="s">
        <v>999</v>
      </c>
      <c r="BG624" s="107"/>
      <c r="BH624" s="240"/>
      <c r="BJ624" s="131" t="s">
        <v>999</v>
      </c>
      <c r="BK624" s="107"/>
      <c r="BL624" s="240"/>
      <c r="BN624" s="131" t="s">
        <v>999</v>
      </c>
      <c r="BO624" s="107"/>
      <c r="BP624" s="240"/>
      <c r="BR624" s="131" t="s">
        <v>999</v>
      </c>
      <c r="BS624" s="107"/>
      <c r="BT624" s="240"/>
    </row>
    <row r="625" spans="1:72" s="174" customFormat="1" x14ac:dyDescent="0.15">
      <c r="A625" s="134" t="s">
        <v>447</v>
      </c>
      <c r="B625" s="135" t="s">
        <v>448</v>
      </c>
      <c r="C625" s="135" t="s">
        <v>449</v>
      </c>
      <c r="D625" s="166"/>
      <c r="E625" s="128"/>
      <c r="F625" s="136"/>
      <c r="G625" s="137" t="s">
        <v>125</v>
      </c>
      <c r="H625" s="138" t="s">
        <v>450</v>
      </c>
      <c r="I625" s="143"/>
      <c r="J625" s="136"/>
      <c r="K625" s="137" t="s">
        <v>125</v>
      </c>
      <c r="L625" s="229" t="s">
        <v>450</v>
      </c>
      <c r="N625" s="136"/>
      <c r="O625" s="137" t="s">
        <v>125</v>
      </c>
      <c r="P625" s="229" t="s">
        <v>450</v>
      </c>
      <c r="R625" s="136"/>
      <c r="S625" s="137" t="s">
        <v>125</v>
      </c>
      <c r="T625" s="229" t="s">
        <v>450</v>
      </c>
      <c r="U625" s="108"/>
      <c r="V625" s="136"/>
      <c r="W625" s="137" t="s">
        <v>125</v>
      </c>
      <c r="X625" s="229" t="s">
        <v>450</v>
      </c>
      <c r="Z625" s="136"/>
      <c r="AA625" s="137" t="s">
        <v>125</v>
      </c>
      <c r="AB625" s="229" t="s">
        <v>450</v>
      </c>
      <c r="AD625" s="136"/>
      <c r="AE625" s="137" t="s">
        <v>125</v>
      </c>
      <c r="AF625" s="229" t="s">
        <v>450</v>
      </c>
      <c r="AH625" s="136"/>
      <c r="AI625" s="137" t="s">
        <v>125</v>
      </c>
      <c r="AJ625" s="229" t="s">
        <v>450</v>
      </c>
      <c r="AL625" s="136"/>
      <c r="AM625" s="137" t="s">
        <v>125</v>
      </c>
      <c r="AN625" s="229" t="s">
        <v>450</v>
      </c>
      <c r="AP625" s="136"/>
      <c r="AQ625" s="137" t="s">
        <v>125</v>
      </c>
      <c r="AR625" s="229" t="s">
        <v>450</v>
      </c>
      <c r="AT625" s="136"/>
      <c r="AU625" s="137" t="s">
        <v>125</v>
      </c>
      <c r="AV625" s="229" t="s">
        <v>450</v>
      </c>
      <c r="AX625" s="136"/>
      <c r="AY625" s="137" t="s">
        <v>125</v>
      </c>
      <c r="AZ625" s="229" t="s">
        <v>450</v>
      </c>
      <c r="BB625" s="136"/>
      <c r="BC625" s="137" t="s">
        <v>125</v>
      </c>
      <c r="BD625" s="229" t="s">
        <v>450</v>
      </c>
      <c r="BF625" s="136"/>
      <c r="BG625" s="137" t="s">
        <v>125</v>
      </c>
      <c r="BH625" s="229" t="s">
        <v>450</v>
      </c>
      <c r="BJ625" s="136"/>
      <c r="BK625" s="137" t="s">
        <v>125</v>
      </c>
      <c r="BL625" s="229" t="s">
        <v>450</v>
      </c>
      <c r="BN625" s="136"/>
      <c r="BO625" s="137" t="s">
        <v>125</v>
      </c>
      <c r="BP625" s="229" t="s">
        <v>450</v>
      </c>
      <c r="BR625" s="136"/>
      <c r="BS625" s="137" t="s">
        <v>125</v>
      </c>
      <c r="BT625" s="229" t="s">
        <v>450</v>
      </c>
    </row>
    <row r="626" spans="1:72" s="174" customFormat="1" x14ac:dyDescent="0.15">
      <c r="A626" s="181" t="s">
        <v>1000</v>
      </c>
      <c r="B626" s="168" t="s">
        <v>85</v>
      </c>
      <c r="C626" s="173"/>
      <c r="D626" s="170"/>
      <c r="E626" s="130"/>
      <c r="F626" s="171"/>
      <c r="G626" s="141" t="s">
        <v>177</v>
      </c>
      <c r="H626" s="172"/>
      <c r="I626" s="143"/>
      <c r="J626" s="171"/>
      <c r="K626" s="141" t="s">
        <v>177</v>
      </c>
      <c r="L626" s="247" t="s">
        <v>86</v>
      </c>
      <c r="N626" s="171"/>
      <c r="O626" s="141" t="s">
        <v>177</v>
      </c>
      <c r="P626" s="247" t="s">
        <v>86</v>
      </c>
      <c r="R626" s="171"/>
      <c r="S626" s="141" t="s">
        <v>177</v>
      </c>
      <c r="T626" s="247" t="s">
        <v>86</v>
      </c>
      <c r="U626" s="108"/>
      <c r="V626" s="171"/>
      <c r="W626" s="141" t="s">
        <v>177</v>
      </c>
      <c r="X626" s="247" t="s">
        <v>86</v>
      </c>
      <c r="Z626" s="171"/>
      <c r="AA626" s="141" t="s">
        <v>177</v>
      </c>
      <c r="AB626" s="247" t="s">
        <v>86</v>
      </c>
      <c r="AD626" s="171"/>
      <c r="AE626" s="141" t="s">
        <v>177</v>
      </c>
      <c r="AF626" s="247" t="s">
        <v>86</v>
      </c>
      <c r="AH626" s="171"/>
      <c r="AI626" s="141" t="s">
        <v>177</v>
      </c>
      <c r="AJ626" s="247" t="s">
        <v>86</v>
      </c>
      <c r="AL626" s="171"/>
      <c r="AM626" s="141" t="s">
        <v>177</v>
      </c>
      <c r="AN626" s="247" t="s">
        <v>86</v>
      </c>
      <c r="AP626" s="171"/>
      <c r="AQ626" s="141" t="s">
        <v>177</v>
      </c>
      <c r="AR626" s="247" t="s">
        <v>86</v>
      </c>
      <c r="AT626" s="171"/>
      <c r="AU626" s="141" t="s">
        <v>177</v>
      </c>
      <c r="AV626" s="247" t="s">
        <v>86</v>
      </c>
      <c r="AX626" s="171"/>
      <c r="AY626" s="141" t="s">
        <v>177</v>
      </c>
      <c r="AZ626" s="247" t="s">
        <v>86</v>
      </c>
      <c r="BB626" s="171"/>
      <c r="BC626" s="141" t="s">
        <v>177</v>
      </c>
      <c r="BD626" s="247" t="s">
        <v>86</v>
      </c>
      <c r="BF626" s="171"/>
      <c r="BG626" s="141" t="s">
        <v>177</v>
      </c>
      <c r="BH626" s="247" t="s">
        <v>86</v>
      </c>
      <c r="BJ626" s="171"/>
      <c r="BK626" s="141" t="s">
        <v>177</v>
      </c>
      <c r="BL626" s="247" t="s">
        <v>86</v>
      </c>
      <c r="BN626" s="171"/>
      <c r="BO626" s="141" t="s">
        <v>177</v>
      </c>
      <c r="BP626" s="247" t="s">
        <v>86</v>
      </c>
      <c r="BR626" s="171"/>
      <c r="BS626" s="141" t="s">
        <v>177</v>
      </c>
      <c r="BT626" s="247" t="s">
        <v>86</v>
      </c>
    </row>
    <row r="627" spans="1:72" s="174" customFormat="1" x14ac:dyDescent="0.15">
      <c r="A627" s="181" t="s">
        <v>1001</v>
      </c>
      <c r="B627" s="168" t="s">
        <v>85</v>
      </c>
      <c r="C627" s="173"/>
      <c r="D627" s="170"/>
      <c r="E627" s="130"/>
      <c r="F627" s="171"/>
      <c r="G627" s="141" t="s">
        <v>178</v>
      </c>
      <c r="H627" s="172"/>
      <c r="I627" s="143"/>
      <c r="J627" s="171"/>
      <c r="K627" s="141" t="s">
        <v>178</v>
      </c>
      <c r="L627" s="247" t="s">
        <v>86</v>
      </c>
      <c r="N627" s="171"/>
      <c r="O627" s="141" t="s">
        <v>178</v>
      </c>
      <c r="P627" s="247" t="s">
        <v>86</v>
      </c>
      <c r="R627" s="171"/>
      <c r="S627" s="141" t="s">
        <v>178</v>
      </c>
      <c r="T627" s="247" t="s">
        <v>86</v>
      </c>
      <c r="U627" s="108"/>
      <c r="V627" s="171"/>
      <c r="W627" s="141" t="s">
        <v>178</v>
      </c>
      <c r="X627" s="247" t="s">
        <v>86</v>
      </c>
      <c r="Z627" s="171"/>
      <c r="AA627" s="141" t="s">
        <v>178</v>
      </c>
      <c r="AB627" s="247" t="s">
        <v>86</v>
      </c>
      <c r="AD627" s="171"/>
      <c r="AE627" s="141" t="s">
        <v>178</v>
      </c>
      <c r="AF627" s="247" t="s">
        <v>86</v>
      </c>
      <c r="AH627" s="171"/>
      <c r="AI627" s="141" t="s">
        <v>178</v>
      </c>
      <c r="AJ627" s="247" t="s">
        <v>86</v>
      </c>
      <c r="AL627" s="171"/>
      <c r="AM627" s="141" t="s">
        <v>178</v>
      </c>
      <c r="AN627" s="247" t="s">
        <v>86</v>
      </c>
      <c r="AP627" s="171"/>
      <c r="AQ627" s="141" t="s">
        <v>178</v>
      </c>
      <c r="AR627" s="247" t="s">
        <v>86</v>
      </c>
      <c r="AT627" s="171"/>
      <c r="AU627" s="141" t="s">
        <v>178</v>
      </c>
      <c r="AV627" s="247" t="s">
        <v>86</v>
      </c>
      <c r="AX627" s="171"/>
      <c r="AY627" s="141" t="s">
        <v>178</v>
      </c>
      <c r="AZ627" s="247" t="s">
        <v>86</v>
      </c>
      <c r="BB627" s="171"/>
      <c r="BC627" s="141" t="s">
        <v>178</v>
      </c>
      <c r="BD627" s="247" t="s">
        <v>86</v>
      </c>
      <c r="BF627" s="171"/>
      <c r="BG627" s="141" t="s">
        <v>178</v>
      </c>
      <c r="BH627" s="247" t="s">
        <v>86</v>
      </c>
      <c r="BJ627" s="171"/>
      <c r="BK627" s="141" t="s">
        <v>178</v>
      </c>
      <c r="BL627" s="246" t="s">
        <v>1161</v>
      </c>
      <c r="BN627" s="171"/>
      <c r="BO627" s="141" t="s">
        <v>178</v>
      </c>
      <c r="BP627" s="247" t="s">
        <v>86</v>
      </c>
      <c r="BR627" s="171"/>
      <c r="BS627" s="141" t="s">
        <v>178</v>
      </c>
      <c r="BT627" s="247" t="s">
        <v>86</v>
      </c>
    </row>
    <row r="628" spans="1:72" s="174" customFormat="1" x14ac:dyDescent="0.15">
      <c r="A628" s="181" t="s">
        <v>1002</v>
      </c>
      <c r="B628" s="168" t="s">
        <v>85</v>
      </c>
      <c r="C628" s="173"/>
      <c r="D628" s="170"/>
      <c r="E628" s="130"/>
      <c r="F628" s="171"/>
      <c r="G628" s="141" t="s">
        <v>179</v>
      </c>
      <c r="H628" s="172"/>
      <c r="I628" s="143"/>
      <c r="J628" s="171"/>
      <c r="K628" s="141" t="s">
        <v>179</v>
      </c>
      <c r="L628" s="247" t="s">
        <v>86</v>
      </c>
      <c r="N628" s="171"/>
      <c r="O628" s="141" t="s">
        <v>179</v>
      </c>
      <c r="P628" s="247" t="s">
        <v>86</v>
      </c>
      <c r="R628" s="171"/>
      <c r="S628" s="141" t="s">
        <v>179</v>
      </c>
      <c r="T628" s="247" t="s">
        <v>86</v>
      </c>
      <c r="U628" s="108"/>
      <c r="V628" s="171"/>
      <c r="W628" s="141" t="s">
        <v>179</v>
      </c>
      <c r="X628" s="247" t="s">
        <v>86</v>
      </c>
      <c r="Z628" s="171"/>
      <c r="AA628" s="141" t="s">
        <v>179</v>
      </c>
      <c r="AB628" s="247" t="s">
        <v>86</v>
      </c>
      <c r="AD628" s="171"/>
      <c r="AE628" s="141" t="s">
        <v>179</v>
      </c>
      <c r="AF628" s="247" t="s">
        <v>86</v>
      </c>
      <c r="AH628" s="171"/>
      <c r="AI628" s="141" t="s">
        <v>179</v>
      </c>
      <c r="AJ628" s="247" t="s">
        <v>86</v>
      </c>
      <c r="AL628" s="171"/>
      <c r="AM628" s="141" t="s">
        <v>179</v>
      </c>
      <c r="AN628" s="247" t="s">
        <v>86</v>
      </c>
      <c r="AP628" s="171"/>
      <c r="AQ628" s="141" t="s">
        <v>179</v>
      </c>
      <c r="AR628" s="247" t="s">
        <v>86</v>
      </c>
      <c r="AT628" s="171"/>
      <c r="AU628" s="141" t="s">
        <v>179</v>
      </c>
      <c r="AV628" s="247" t="s">
        <v>86</v>
      </c>
      <c r="AX628" s="171"/>
      <c r="AY628" s="141" t="s">
        <v>179</v>
      </c>
      <c r="AZ628" s="247" t="s">
        <v>86</v>
      </c>
      <c r="BB628" s="171"/>
      <c r="BC628" s="141" t="s">
        <v>179</v>
      </c>
      <c r="BD628" s="247" t="s">
        <v>86</v>
      </c>
      <c r="BF628" s="171"/>
      <c r="BG628" s="141" t="s">
        <v>179</v>
      </c>
      <c r="BH628" s="247" t="s">
        <v>86</v>
      </c>
      <c r="BJ628" s="171"/>
      <c r="BK628" s="141" t="s">
        <v>179</v>
      </c>
      <c r="BL628" s="247" t="s">
        <v>86</v>
      </c>
      <c r="BN628" s="171"/>
      <c r="BO628" s="141" t="s">
        <v>179</v>
      </c>
      <c r="BP628" s="247" t="s">
        <v>86</v>
      </c>
      <c r="BR628" s="171"/>
      <c r="BS628" s="141" t="s">
        <v>179</v>
      </c>
      <c r="BT628" s="247" t="s">
        <v>86</v>
      </c>
    </row>
    <row r="629" spans="1:72" x14ac:dyDescent="0.15">
      <c r="A629" s="181" t="s">
        <v>1003</v>
      </c>
      <c r="B629" s="168" t="s">
        <v>85</v>
      </c>
      <c r="C629" s="173"/>
      <c r="D629" s="170"/>
      <c r="E629" s="130"/>
      <c r="F629" s="171"/>
      <c r="G629" s="141" t="s">
        <v>180</v>
      </c>
      <c r="H629" s="172"/>
      <c r="I629" s="143"/>
      <c r="J629" s="171"/>
      <c r="K629" s="141" t="s">
        <v>180</v>
      </c>
      <c r="L629" s="247" t="s">
        <v>86</v>
      </c>
      <c r="N629" s="171"/>
      <c r="O629" s="141" t="s">
        <v>180</v>
      </c>
      <c r="P629" s="247" t="s">
        <v>86</v>
      </c>
      <c r="R629" s="171"/>
      <c r="S629" s="141" t="s">
        <v>180</v>
      </c>
      <c r="T629" s="247" t="s">
        <v>86</v>
      </c>
      <c r="V629" s="171"/>
      <c r="W629" s="141" t="s">
        <v>180</v>
      </c>
      <c r="X629" s="247" t="s">
        <v>86</v>
      </c>
      <c r="Z629" s="171"/>
      <c r="AA629" s="141" t="s">
        <v>180</v>
      </c>
      <c r="AB629" s="247" t="s">
        <v>86</v>
      </c>
      <c r="AD629" s="171"/>
      <c r="AE629" s="141" t="s">
        <v>180</v>
      </c>
      <c r="AF629" s="247" t="s">
        <v>86</v>
      </c>
      <c r="AH629" s="171"/>
      <c r="AI629" s="141" t="s">
        <v>180</v>
      </c>
      <c r="AJ629" s="247" t="s">
        <v>86</v>
      </c>
      <c r="AL629" s="171"/>
      <c r="AM629" s="141" t="s">
        <v>180</v>
      </c>
      <c r="AN629" s="247" t="s">
        <v>86</v>
      </c>
      <c r="AP629" s="171"/>
      <c r="AQ629" s="141" t="s">
        <v>180</v>
      </c>
      <c r="AR629" s="247" t="s">
        <v>86</v>
      </c>
      <c r="AT629" s="171"/>
      <c r="AU629" s="141" t="s">
        <v>180</v>
      </c>
      <c r="AV629" s="247" t="s">
        <v>86</v>
      </c>
      <c r="AX629" s="171"/>
      <c r="AY629" s="141" t="s">
        <v>180</v>
      </c>
      <c r="AZ629" s="247" t="s">
        <v>86</v>
      </c>
      <c r="BB629" s="171"/>
      <c r="BC629" s="141" t="s">
        <v>180</v>
      </c>
      <c r="BD629" s="247" t="s">
        <v>86</v>
      </c>
      <c r="BF629" s="171"/>
      <c r="BG629" s="141" t="s">
        <v>180</v>
      </c>
      <c r="BH629" s="247" t="s">
        <v>86</v>
      </c>
      <c r="BJ629" s="171"/>
      <c r="BK629" s="141" t="s">
        <v>180</v>
      </c>
      <c r="BL629" s="247" t="s">
        <v>86</v>
      </c>
      <c r="BN629" s="171"/>
      <c r="BO629" s="141" t="s">
        <v>180</v>
      </c>
      <c r="BP629" s="247" t="s">
        <v>86</v>
      </c>
      <c r="BR629" s="171"/>
      <c r="BS629" s="141" t="s">
        <v>180</v>
      </c>
      <c r="BT629" s="247" t="s">
        <v>86</v>
      </c>
    </row>
    <row r="630" spans="1:72" x14ac:dyDescent="0.15">
      <c r="A630" s="182" t="s">
        <v>1004</v>
      </c>
      <c r="B630" s="168" t="s">
        <v>263</v>
      </c>
      <c r="C630" s="173"/>
      <c r="D630" s="170"/>
      <c r="E630" s="130"/>
      <c r="F630" s="171"/>
      <c r="G630" s="141" t="s">
        <v>181</v>
      </c>
      <c r="H630" s="172"/>
      <c r="I630" s="143"/>
      <c r="J630" s="171"/>
      <c r="K630" s="141" t="s">
        <v>181</v>
      </c>
      <c r="L630" s="247" t="s">
        <v>1147</v>
      </c>
      <c r="N630" s="171"/>
      <c r="O630" s="141" t="s">
        <v>181</v>
      </c>
      <c r="P630" s="246" t="s">
        <v>439</v>
      </c>
      <c r="R630" s="171"/>
      <c r="S630" s="141" t="s">
        <v>181</v>
      </c>
      <c r="T630" s="246" t="s">
        <v>439</v>
      </c>
      <c r="V630" s="171"/>
      <c r="W630" s="141" t="s">
        <v>181</v>
      </c>
      <c r="X630" s="246" t="s">
        <v>439</v>
      </c>
      <c r="Z630" s="171"/>
      <c r="AA630" s="141" t="s">
        <v>181</v>
      </c>
      <c r="AB630" s="246" t="s">
        <v>439</v>
      </c>
      <c r="AD630" s="171"/>
      <c r="AE630" s="141" t="s">
        <v>181</v>
      </c>
      <c r="AF630" s="246" t="s">
        <v>439</v>
      </c>
      <c r="AH630" s="171"/>
      <c r="AI630" s="141" t="s">
        <v>181</v>
      </c>
      <c r="AJ630" s="246" t="s">
        <v>1170</v>
      </c>
      <c r="AL630" s="171"/>
      <c r="AM630" s="141" t="s">
        <v>181</v>
      </c>
      <c r="AN630" s="246" t="s">
        <v>1170</v>
      </c>
      <c r="AP630" s="171"/>
      <c r="AQ630" s="141" t="s">
        <v>181</v>
      </c>
      <c r="AR630" s="246" t="s">
        <v>1170</v>
      </c>
      <c r="AT630" s="171"/>
      <c r="AU630" s="141" t="s">
        <v>181</v>
      </c>
      <c r="AV630" s="246" t="s">
        <v>439</v>
      </c>
      <c r="AX630" s="171"/>
      <c r="AY630" s="141" t="s">
        <v>181</v>
      </c>
      <c r="AZ630" s="246" t="s">
        <v>439</v>
      </c>
      <c r="BB630" s="171"/>
      <c r="BC630" s="141" t="s">
        <v>181</v>
      </c>
      <c r="BD630" s="246" t="s">
        <v>439</v>
      </c>
      <c r="BF630" s="171"/>
      <c r="BG630" s="141" t="s">
        <v>181</v>
      </c>
      <c r="BH630" s="246" t="s">
        <v>1170</v>
      </c>
      <c r="BJ630" s="171"/>
      <c r="BK630" s="141" t="s">
        <v>181</v>
      </c>
      <c r="BL630" s="246" t="s">
        <v>1150</v>
      </c>
      <c r="BN630" s="171"/>
      <c r="BO630" s="141" t="s">
        <v>181</v>
      </c>
      <c r="BP630" s="246" t="s">
        <v>1170</v>
      </c>
      <c r="BR630" s="171"/>
      <c r="BS630" s="141" t="s">
        <v>181</v>
      </c>
      <c r="BT630" s="246" t="s">
        <v>439</v>
      </c>
    </row>
    <row r="631" spans="1:72" s="174" customFormat="1" ht="12" customHeight="1" x14ac:dyDescent="0.15">
      <c r="A631" s="182" t="s">
        <v>1005</v>
      </c>
      <c r="B631" s="168" t="s">
        <v>85</v>
      </c>
      <c r="C631" s="173"/>
      <c r="D631" s="170"/>
      <c r="E631" s="130"/>
      <c r="F631" s="171"/>
      <c r="G631" s="141" t="s">
        <v>182</v>
      </c>
      <c r="H631" s="172"/>
      <c r="I631" s="143"/>
      <c r="J631" s="171"/>
      <c r="K631" s="141" t="s">
        <v>182</v>
      </c>
      <c r="L631" s="247" t="s">
        <v>86</v>
      </c>
      <c r="N631" s="171"/>
      <c r="O631" s="141" t="s">
        <v>182</v>
      </c>
      <c r="P631" s="247" t="s">
        <v>86</v>
      </c>
      <c r="R631" s="171"/>
      <c r="S631" s="141" t="s">
        <v>182</v>
      </c>
      <c r="T631" s="247" t="s">
        <v>86</v>
      </c>
      <c r="U631" s="108"/>
      <c r="V631" s="171"/>
      <c r="W631" s="141" t="s">
        <v>182</v>
      </c>
      <c r="X631" s="247" t="s">
        <v>86</v>
      </c>
      <c r="Z631" s="171"/>
      <c r="AA631" s="141" t="s">
        <v>182</v>
      </c>
      <c r="AB631" s="247" t="s">
        <v>86</v>
      </c>
      <c r="AD631" s="171"/>
      <c r="AE631" s="141" t="s">
        <v>182</v>
      </c>
      <c r="AF631" s="247" t="s">
        <v>86</v>
      </c>
      <c r="AH631" s="171"/>
      <c r="AI631" s="141" t="s">
        <v>182</v>
      </c>
      <c r="AJ631" s="247" t="s">
        <v>86</v>
      </c>
      <c r="AL631" s="171"/>
      <c r="AM631" s="141" t="s">
        <v>182</v>
      </c>
      <c r="AN631" s="247" t="s">
        <v>86</v>
      </c>
      <c r="AP631" s="171"/>
      <c r="AQ631" s="141" t="s">
        <v>182</v>
      </c>
      <c r="AR631" s="247" t="s">
        <v>86</v>
      </c>
      <c r="AT631" s="171"/>
      <c r="AU631" s="141" t="s">
        <v>182</v>
      </c>
      <c r="AV631" s="247" t="s">
        <v>86</v>
      </c>
      <c r="AX631" s="171"/>
      <c r="AY631" s="141" t="s">
        <v>182</v>
      </c>
      <c r="AZ631" s="247" t="s">
        <v>86</v>
      </c>
      <c r="BB631" s="171"/>
      <c r="BC631" s="141" t="s">
        <v>182</v>
      </c>
      <c r="BD631" s="247" t="s">
        <v>86</v>
      </c>
      <c r="BF631" s="171"/>
      <c r="BG631" s="141" t="s">
        <v>182</v>
      </c>
      <c r="BH631" s="247" t="s">
        <v>86</v>
      </c>
      <c r="BJ631" s="171"/>
      <c r="BK631" s="141" t="s">
        <v>182</v>
      </c>
      <c r="BL631" s="247" t="s">
        <v>86</v>
      </c>
      <c r="BN631" s="171"/>
      <c r="BO631" s="141" t="s">
        <v>182</v>
      </c>
      <c r="BP631" s="247" t="s">
        <v>86</v>
      </c>
      <c r="BR631" s="171"/>
      <c r="BS631" s="141" t="s">
        <v>182</v>
      </c>
      <c r="BT631" s="247" t="s">
        <v>86</v>
      </c>
    </row>
    <row r="632" spans="1:72" s="174" customFormat="1" x14ac:dyDescent="0.15">
      <c r="A632" s="182" t="s">
        <v>1006</v>
      </c>
      <c r="B632" s="168" t="s">
        <v>407</v>
      </c>
      <c r="C632" s="173"/>
      <c r="D632" s="170"/>
      <c r="E632" s="130"/>
      <c r="F632" s="171"/>
      <c r="G632" s="141" t="s">
        <v>183</v>
      </c>
      <c r="H632" s="172"/>
      <c r="I632" s="143"/>
      <c r="J632" s="171"/>
      <c r="K632" s="141" t="s">
        <v>183</v>
      </c>
      <c r="L632" s="247" t="s">
        <v>1081</v>
      </c>
      <c r="N632" s="171"/>
      <c r="O632" s="141" t="s">
        <v>183</v>
      </c>
      <c r="P632" s="246" t="s">
        <v>1167</v>
      </c>
      <c r="R632" s="171"/>
      <c r="S632" s="141" t="s">
        <v>183</v>
      </c>
      <c r="T632" s="246" t="s">
        <v>1167</v>
      </c>
      <c r="U632" s="108"/>
      <c r="V632" s="171"/>
      <c r="W632" s="141" t="s">
        <v>183</v>
      </c>
      <c r="X632" s="246" t="s">
        <v>1167</v>
      </c>
      <c r="Z632" s="171"/>
      <c r="AA632" s="141" t="s">
        <v>183</v>
      </c>
      <c r="AB632" s="246" t="s">
        <v>1167</v>
      </c>
      <c r="AD632" s="171"/>
      <c r="AE632" s="141" t="s">
        <v>183</v>
      </c>
      <c r="AF632" s="246" t="s">
        <v>1193</v>
      </c>
      <c r="AH632" s="171"/>
      <c r="AI632" s="141" t="s">
        <v>183</v>
      </c>
      <c r="AJ632" s="246" t="s">
        <v>438</v>
      </c>
      <c r="AL632" s="171"/>
      <c r="AM632" s="141" t="s">
        <v>183</v>
      </c>
      <c r="AN632" s="246" t="s">
        <v>438</v>
      </c>
      <c r="AP632" s="171"/>
      <c r="AQ632" s="141" t="s">
        <v>183</v>
      </c>
      <c r="AR632" s="246" t="s">
        <v>433</v>
      </c>
      <c r="AT632" s="171"/>
      <c r="AU632" s="141" t="s">
        <v>183</v>
      </c>
      <c r="AV632" s="246" t="s">
        <v>1167</v>
      </c>
      <c r="AX632" s="171"/>
      <c r="AY632" s="141" t="s">
        <v>183</v>
      </c>
      <c r="AZ632" s="246" t="s">
        <v>1193</v>
      </c>
      <c r="BB632" s="171"/>
      <c r="BC632" s="141" t="s">
        <v>183</v>
      </c>
      <c r="BD632" s="246" t="s">
        <v>1193</v>
      </c>
      <c r="BF632" s="171"/>
      <c r="BG632" s="141" t="s">
        <v>183</v>
      </c>
      <c r="BH632" s="246" t="s">
        <v>438</v>
      </c>
      <c r="BJ632" s="171"/>
      <c r="BK632" s="141" t="s">
        <v>183</v>
      </c>
      <c r="BL632" s="246" t="s">
        <v>1170</v>
      </c>
      <c r="BN632" s="171"/>
      <c r="BO632" s="141" t="s">
        <v>183</v>
      </c>
      <c r="BP632" s="246" t="s">
        <v>438</v>
      </c>
      <c r="BR632" s="171"/>
      <c r="BS632" s="141" t="s">
        <v>183</v>
      </c>
      <c r="BT632" s="246" t="s">
        <v>1167</v>
      </c>
    </row>
    <row r="633" spans="1:72" s="174" customFormat="1" x14ac:dyDescent="0.15">
      <c r="A633" s="182" t="s">
        <v>1007</v>
      </c>
      <c r="B633" s="168" t="s">
        <v>85</v>
      </c>
      <c r="C633" s="173"/>
      <c r="D633" s="170"/>
      <c r="E633" s="130"/>
      <c r="F633" s="171"/>
      <c r="G633" s="141" t="s">
        <v>184</v>
      </c>
      <c r="H633" s="172"/>
      <c r="I633" s="143"/>
      <c r="J633" s="171"/>
      <c r="K633" s="141" t="s">
        <v>184</v>
      </c>
      <c r="L633" s="247" t="s">
        <v>86</v>
      </c>
      <c r="N633" s="171"/>
      <c r="O633" s="141" t="s">
        <v>184</v>
      </c>
      <c r="P633" s="247" t="s">
        <v>86</v>
      </c>
      <c r="R633" s="171"/>
      <c r="S633" s="141" t="s">
        <v>184</v>
      </c>
      <c r="T633" s="247" t="s">
        <v>86</v>
      </c>
      <c r="U633" s="108"/>
      <c r="V633" s="171"/>
      <c r="W633" s="141" t="s">
        <v>184</v>
      </c>
      <c r="X633" s="247" t="s">
        <v>86</v>
      </c>
      <c r="Z633" s="171"/>
      <c r="AA633" s="141" t="s">
        <v>184</v>
      </c>
      <c r="AB633" s="247" t="s">
        <v>86</v>
      </c>
      <c r="AD633" s="171"/>
      <c r="AE633" s="141" t="s">
        <v>184</v>
      </c>
      <c r="AF633" s="247" t="s">
        <v>86</v>
      </c>
      <c r="AH633" s="171"/>
      <c r="AI633" s="141" t="s">
        <v>184</v>
      </c>
      <c r="AJ633" s="246" t="s">
        <v>1161</v>
      </c>
      <c r="AL633" s="171"/>
      <c r="AM633" s="141" t="s">
        <v>184</v>
      </c>
      <c r="AN633" s="246" t="s">
        <v>1161</v>
      </c>
      <c r="AP633" s="171"/>
      <c r="AQ633" s="141" t="s">
        <v>184</v>
      </c>
      <c r="AR633" s="247" t="s">
        <v>86</v>
      </c>
      <c r="AT633" s="171"/>
      <c r="AU633" s="141" t="s">
        <v>184</v>
      </c>
      <c r="AV633" s="247" t="s">
        <v>86</v>
      </c>
      <c r="AX633" s="171"/>
      <c r="AY633" s="141" t="s">
        <v>184</v>
      </c>
      <c r="AZ633" s="247" t="s">
        <v>86</v>
      </c>
      <c r="BB633" s="171"/>
      <c r="BC633" s="141" t="s">
        <v>184</v>
      </c>
      <c r="BD633" s="247" t="s">
        <v>86</v>
      </c>
      <c r="BF633" s="171"/>
      <c r="BG633" s="141" t="s">
        <v>184</v>
      </c>
      <c r="BH633" s="246" t="s">
        <v>1161</v>
      </c>
      <c r="BJ633" s="171"/>
      <c r="BK633" s="141" t="s">
        <v>184</v>
      </c>
      <c r="BL633" s="246" t="s">
        <v>1219</v>
      </c>
      <c r="BN633" s="171"/>
      <c r="BO633" s="141" t="s">
        <v>184</v>
      </c>
      <c r="BP633" s="246" t="s">
        <v>1161</v>
      </c>
      <c r="BR633" s="171"/>
      <c r="BS633" s="141" t="s">
        <v>184</v>
      </c>
      <c r="BT633" s="247" t="s">
        <v>86</v>
      </c>
    </row>
    <row r="634" spans="1:72" s="174" customFormat="1" x14ac:dyDescent="0.15">
      <c r="A634" s="175"/>
      <c r="B634" s="176"/>
      <c r="C634" s="176"/>
      <c r="D634" s="177"/>
      <c r="E634" s="130"/>
      <c r="F634" s="178"/>
      <c r="G634" s="141"/>
      <c r="H634" s="179"/>
      <c r="I634" s="143"/>
      <c r="J634" s="178"/>
      <c r="K634" s="141"/>
      <c r="L634" s="241"/>
      <c r="N634" s="178"/>
      <c r="O634" s="141"/>
      <c r="P634" s="241"/>
      <c r="R634" s="178"/>
      <c r="S634" s="141"/>
      <c r="T634" s="241"/>
      <c r="U634" s="108"/>
      <c r="V634" s="178"/>
      <c r="W634" s="141"/>
      <c r="X634" s="241"/>
      <c r="Z634" s="178"/>
      <c r="AA634" s="141"/>
      <c r="AB634" s="241"/>
      <c r="AD634" s="178"/>
      <c r="AE634" s="141"/>
      <c r="AF634" s="241"/>
      <c r="AH634" s="178"/>
      <c r="AI634" s="141"/>
      <c r="AJ634" s="241"/>
      <c r="AL634" s="178"/>
      <c r="AM634" s="141"/>
      <c r="AN634" s="241"/>
      <c r="AP634" s="178"/>
      <c r="AQ634" s="141"/>
      <c r="AR634" s="241"/>
      <c r="AT634" s="178"/>
      <c r="AU634" s="141"/>
      <c r="AV634" s="241"/>
      <c r="AX634" s="178"/>
      <c r="AY634" s="141"/>
      <c r="AZ634" s="241"/>
      <c r="BB634" s="178"/>
      <c r="BC634" s="141"/>
      <c r="BD634" s="241"/>
      <c r="BF634" s="178"/>
      <c r="BG634" s="141"/>
      <c r="BH634" s="241"/>
      <c r="BJ634" s="178"/>
      <c r="BK634" s="141"/>
      <c r="BL634" s="241"/>
      <c r="BN634" s="178"/>
      <c r="BO634" s="141"/>
      <c r="BP634" s="241"/>
      <c r="BR634" s="178"/>
      <c r="BS634" s="141"/>
      <c r="BT634" s="241"/>
    </row>
    <row r="635" spans="1:72" s="174" customFormat="1" x14ac:dyDescent="0.15">
      <c r="A635" s="175"/>
      <c r="B635" s="176"/>
      <c r="C635" s="176"/>
      <c r="D635" s="166"/>
      <c r="E635" s="130"/>
      <c r="F635" s="180"/>
      <c r="G635" s="141"/>
      <c r="H635" s="179"/>
      <c r="I635" s="143"/>
      <c r="J635" s="180"/>
      <c r="K635" s="141"/>
      <c r="L635" s="241"/>
      <c r="N635" s="180"/>
      <c r="O635" s="141"/>
      <c r="P635" s="241"/>
      <c r="R635" s="180"/>
      <c r="S635" s="141"/>
      <c r="T635" s="241"/>
      <c r="U635" s="108"/>
      <c r="V635" s="180"/>
      <c r="W635" s="141"/>
      <c r="X635" s="241"/>
      <c r="Z635" s="180"/>
      <c r="AA635" s="141"/>
      <c r="AB635" s="241"/>
      <c r="AD635" s="180"/>
      <c r="AE635" s="141"/>
      <c r="AF635" s="241"/>
      <c r="AH635" s="180"/>
      <c r="AI635" s="141"/>
      <c r="AJ635" s="241"/>
      <c r="AL635" s="180"/>
      <c r="AM635" s="141"/>
      <c r="AN635" s="241"/>
      <c r="AP635" s="180"/>
      <c r="AQ635" s="141"/>
      <c r="AR635" s="241"/>
      <c r="AT635" s="180"/>
      <c r="AU635" s="141"/>
      <c r="AV635" s="241"/>
      <c r="AX635" s="180"/>
      <c r="AY635" s="141"/>
      <c r="AZ635" s="241"/>
      <c r="BB635" s="180"/>
      <c r="BC635" s="141"/>
      <c r="BD635" s="241"/>
      <c r="BF635" s="180"/>
      <c r="BG635" s="141"/>
      <c r="BH635" s="241"/>
      <c r="BJ635" s="180"/>
      <c r="BK635" s="141"/>
      <c r="BL635" s="241"/>
      <c r="BN635" s="180"/>
      <c r="BO635" s="141"/>
      <c r="BP635" s="241"/>
      <c r="BR635" s="180"/>
      <c r="BS635" s="141"/>
      <c r="BT635" s="241"/>
    </row>
    <row r="636" spans="1:72" s="174" customFormat="1" x14ac:dyDescent="0.15">
      <c r="A636" s="175"/>
      <c r="B636" s="129"/>
      <c r="C636" s="146"/>
      <c r="D636" s="166"/>
      <c r="E636" s="128"/>
      <c r="F636" s="131" t="s">
        <v>1008</v>
      </c>
      <c r="G636" s="107"/>
      <c r="H636" s="165"/>
      <c r="I636" s="143"/>
      <c r="J636" s="131" t="s">
        <v>1008</v>
      </c>
      <c r="K636" s="107"/>
      <c r="L636" s="240"/>
      <c r="N636" s="131" t="s">
        <v>1008</v>
      </c>
      <c r="O636" s="107"/>
      <c r="P636" s="240"/>
      <c r="R636" s="131" t="s">
        <v>1008</v>
      </c>
      <c r="S636" s="107"/>
      <c r="T636" s="240"/>
      <c r="U636" s="108"/>
      <c r="V636" s="131" t="s">
        <v>1008</v>
      </c>
      <c r="W636" s="107"/>
      <c r="X636" s="240"/>
      <c r="Z636" s="131" t="s">
        <v>1008</v>
      </c>
      <c r="AA636" s="107"/>
      <c r="AB636" s="240"/>
      <c r="AD636" s="131" t="s">
        <v>1008</v>
      </c>
      <c r="AE636" s="107"/>
      <c r="AF636" s="240"/>
      <c r="AH636" s="131" t="s">
        <v>1008</v>
      </c>
      <c r="AI636" s="107"/>
      <c r="AJ636" s="240"/>
      <c r="AL636" s="131" t="s">
        <v>1008</v>
      </c>
      <c r="AM636" s="107"/>
      <c r="AN636" s="240"/>
      <c r="AP636" s="131" t="s">
        <v>1008</v>
      </c>
      <c r="AQ636" s="107"/>
      <c r="AR636" s="240"/>
      <c r="AT636" s="131" t="s">
        <v>1008</v>
      </c>
      <c r="AU636" s="107"/>
      <c r="AV636" s="240"/>
      <c r="AX636" s="131" t="s">
        <v>1008</v>
      </c>
      <c r="AY636" s="107"/>
      <c r="AZ636" s="240"/>
      <c r="BB636" s="131" t="s">
        <v>1008</v>
      </c>
      <c r="BC636" s="107"/>
      <c r="BD636" s="240"/>
      <c r="BF636" s="131" t="s">
        <v>1008</v>
      </c>
      <c r="BG636" s="107"/>
      <c r="BH636" s="240"/>
      <c r="BJ636" s="131" t="s">
        <v>1008</v>
      </c>
      <c r="BK636" s="107"/>
      <c r="BL636" s="240"/>
      <c r="BN636" s="131" t="s">
        <v>1008</v>
      </c>
      <c r="BO636" s="107"/>
      <c r="BP636" s="240"/>
      <c r="BR636" s="131" t="s">
        <v>1008</v>
      </c>
      <c r="BS636" s="107"/>
      <c r="BT636" s="240"/>
    </row>
    <row r="637" spans="1:72" s="174" customFormat="1" x14ac:dyDescent="0.15">
      <c r="A637" s="134" t="s">
        <v>447</v>
      </c>
      <c r="B637" s="135" t="s">
        <v>448</v>
      </c>
      <c r="C637" s="135" t="s">
        <v>449</v>
      </c>
      <c r="D637" s="166"/>
      <c r="E637" s="128"/>
      <c r="F637" s="136"/>
      <c r="G637" s="137" t="s">
        <v>125</v>
      </c>
      <c r="H637" s="138" t="s">
        <v>450</v>
      </c>
      <c r="I637" s="143"/>
      <c r="J637" s="136"/>
      <c r="K637" s="137" t="s">
        <v>125</v>
      </c>
      <c r="L637" s="229" t="s">
        <v>450</v>
      </c>
      <c r="N637" s="136"/>
      <c r="O637" s="137" t="s">
        <v>125</v>
      </c>
      <c r="P637" s="229" t="s">
        <v>450</v>
      </c>
      <c r="R637" s="136"/>
      <c r="S637" s="137" t="s">
        <v>125</v>
      </c>
      <c r="T637" s="229" t="s">
        <v>450</v>
      </c>
      <c r="U637" s="108"/>
      <c r="V637" s="136"/>
      <c r="W637" s="137" t="s">
        <v>125</v>
      </c>
      <c r="X637" s="229" t="s">
        <v>450</v>
      </c>
      <c r="Z637" s="136"/>
      <c r="AA637" s="137" t="s">
        <v>125</v>
      </c>
      <c r="AB637" s="229" t="s">
        <v>450</v>
      </c>
      <c r="AD637" s="136"/>
      <c r="AE637" s="137" t="s">
        <v>125</v>
      </c>
      <c r="AF637" s="229" t="s">
        <v>450</v>
      </c>
      <c r="AH637" s="136"/>
      <c r="AI637" s="137" t="s">
        <v>125</v>
      </c>
      <c r="AJ637" s="229" t="s">
        <v>450</v>
      </c>
      <c r="AL637" s="136"/>
      <c r="AM637" s="137" t="s">
        <v>125</v>
      </c>
      <c r="AN637" s="229" t="s">
        <v>450</v>
      </c>
      <c r="AP637" s="136"/>
      <c r="AQ637" s="137" t="s">
        <v>125</v>
      </c>
      <c r="AR637" s="229" t="s">
        <v>450</v>
      </c>
      <c r="AT637" s="136"/>
      <c r="AU637" s="137" t="s">
        <v>125</v>
      </c>
      <c r="AV637" s="229" t="s">
        <v>450</v>
      </c>
      <c r="AX637" s="136"/>
      <c r="AY637" s="137" t="s">
        <v>125</v>
      </c>
      <c r="AZ637" s="229" t="s">
        <v>450</v>
      </c>
      <c r="BB637" s="136"/>
      <c r="BC637" s="137" t="s">
        <v>125</v>
      </c>
      <c r="BD637" s="229" t="s">
        <v>450</v>
      </c>
      <c r="BF637" s="136"/>
      <c r="BG637" s="137" t="s">
        <v>125</v>
      </c>
      <c r="BH637" s="229" t="s">
        <v>450</v>
      </c>
      <c r="BJ637" s="136"/>
      <c r="BK637" s="137" t="s">
        <v>125</v>
      </c>
      <c r="BL637" s="229" t="s">
        <v>450</v>
      </c>
      <c r="BN637" s="136"/>
      <c r="BO637" s="137" t="s">
        <v>125</v>
      </c>
      <c r="BP637" s="229" t="s">
        <v>450</v>
      </c>
      <c r="BR637" s="136"/>
      <c r="BS637" s="137" t="s">
        <v>125</v>
      </c>
      <c r="BT637" s="229" t="s">
        <v>450</v>
      </c>
    </row>
    <row r="638" spans="1:72" s="174" customFormat="1" x14ac:dyDescent="0.15">
      <c r="A638" s="182" t="s">
        <v>1009</v>
      </c>
      <c r="B638" s="168" t="s">
        <v>263</v>
      </c>
      <c r="C638" s="173"/>
      <c r="D638" s="170"/>
      <c r="E638" s="130"/>
      <c r="F638" s="171"/>
      <c r="G638" s="141" t="s">
        <v>173</v>
      </c>
      <c r="H638" s="172"/>
      <c r="I638" s="143"/>
      <c r="J638" s="171"/>
      <c r="K638" s="141" t="s">
        <v>173</v>
      </c>
      <c r="L638" s="247" t="s">
        <v>1147</v>
      </c>
      <c r="N638" s="171"/>
      <c r="O638" s="141" t="s">
        <v>173</v>
      </c>
      <c r="P638" s="246" t="s">
        <v>439</v>
      </c>
      <c r="R638" s="171"/>
      <c r="S638" s="141" t="s">
        <v>173</v>
      </c>
      <c r="T638" s="246" t="s">
        <v>439</v>
      </c>
      <c r="U638" s="108"/>
      <c r="V638" s="171"/>
      <c r="W638" s="141" t="s">
        <v>173</v>
      </c>
      <c r="X638" s="246" t="s">
        <v>439</v>
      </c>
      <c r="Z638" s="171"/>
      <c r="AA638" s="141" t="s">
        <v>173</v>
      </c>
      <c r="AB638" s="246" t="s">
        <v>439</v>
      </c>
      <c r="AD638" s="171"/>
      <c r="AE638" s="141" t="s">
        <v>173</v>
      </c>
      <c r="AF638" s="246" t="s">
        <v>439</v>
      </c>
      <c r="AH638" s="171"/>
      <c r="AI638" s="141" t="s">
        <v>173</v>
      </c>
      <c r="AJ638" s="246" t="s">
        <v>1170</v>
      </c>
      <c r="AL638" s="171"/>
      <c r="AM638" s="141" t="s">
        <v>173</v>
      </c>
      <c r="AN638" s="246" t="s">
        <v>1170</v>
      </c>
      <c r="AP638" s="171"/>
      <c r="AQ638" s="141" t="s">
        <v>173</v>
      </c>
      <c r="AR638" s="246" t="s">
        <v>1170</v>
      </c>
      <c r="AT638" s="171"/>
      <c r="AU638" s="141" t="s">
        <v>173</v>
      </c>
      <c r="AV638" s="246" t="s">
        <v>439</v>
      </c>
      <c r="AX638" s="171"/>
      <c r="AY638" s="141" t="s">
        <v>173</v>
      </c>
      <c r="AZ638" s="246" t="s">
        <v>439</v>
      </c>
      <c r="BB638" s="171"/>
      <c r="BC638" s="141" t="s">
        <v>173</v>
      </c>
      <c r="BD638" s="246" t="s">
        <v>439</v>
      </c>
      <c r="BF638" s="171"/>
      <c r="BG638" s="141" t="s">
        <v>173</v>
      </c>
      <c r="BH638" s="246" t="s">
        <v>1170</v>
      </c>
      <c r="BJ638" s="171"/>
      <c r="BK638" s="141" t="s">
        <v>173</v>
      </c>
      <c r="BL638" s="246" t="s">
        <v>1150</v>
      </c>
      <c r="BN638" s="171"/>
      <c r="BO638" s="141" t="s">
        <v>173</v>
      </c>
      <c r="BP638" s="246" t="s">
        <v>1170</v>
      </c>
      <c r="BR638" s="171"/>
      <c r="BS638" s="141" t="s">
        <v>173</v>
      </c>
      <c r="BT638" s="246" t="s">
        <v>439</v>
      </c>
    </row>
    <row r="639" spans="1:72" s="174" customFormat="1" x14ac:dyDescent="0.15">
      <c r="A639" s="182" t="s">
        <v>1010</v>
      </c>
      <c r="B639" s="168" t="s">
        <v>85</v>
      </c>
      <c r="C639" s="173"/>
      <c r="D639" s="170"/>
      <c r="E639" s="130"/>
      <c r="F639" s="171"/>
      <c r="G639" s="141" t="s">
        <v>174</v>
      </c>
      <c r="H639" s="172"/>
      <c r="I639" s="143"/>
      <c r="J639" s="171"/>
      <c r="K639" s="141" t="s">
        <v>174</v>
      </c>
      <c r="L639" s="247" t="s">
        <v>86</v>
      </c>
      <c r="N639" s="171"/>
      <c r="O639" s="141" t="s">
        <v>174</v>
      </c>
      <c r="P639" s="247" t="s">
        <v>86</v>
      </c>
      <c r="R639" s="171"/>
      <c r="S639" s="141" t="s">
        <v>174</v>
      </c>
      <c r="T639" s="247" t="s">
        <v>86</v>
      </c>
      <c r="U639" s="108"/>
      <c r="V639" s="171"/>
      <c r="W639" s="141" t="s">
        <v>174</v>
      </c>
      <c r="X639" s="247" t="s">
        <v>86</v>
      </c>
      <c r="Z639" s="171"/>
      <c r="AA639" s="141" t="s">
        <v>174</v>
      </c>
      <c r="AB639" s="247" t="s">
        <v>86</v>
      </c>
      <c r="AD639" s="171"/>
      <c r="AE639" s="141" t="s">
        <v>174</v>
      </c>
      <c r="AF639" s="247" t="s">
        <v>86</v>
      </c>
      <c r="AH639" s="171"/>
      <c r="AI639" s="141" t="s">
        <v>174</v>
      </c>
      <c r="AJ639" s="247" t="s">
        <v>86</v>
      </c>
      <c r="AL639" s="171"/>
      <c r="AM639" s="141" t="s">
        <v>174</v>
      </c>
      <c r="AN639" s="247" t="s">
        <v>86</v>
      </c>
      <c r="AP639" s="171"/>
      <c r="AQ639" s="141" t="s">
        <v>174</v>
      </c>
      <c r="AR639" s="247" t="s">
        <v>86</v>
      </c>
      <c r="AT639" s="171"/>
      <c r="AU639" s="141" t="s">
        <v>174</v>
      </c>
      <c r="AV639" s="247" t="s">
        <v>86</v>
      </c>
      <c r="AX639" s="171"/>
      <c r="AY639" s="141" t="s">
        <v>174</v>
      </c>
      <c r="AZ639" s="247" t="s">
        <v>86</v>
      </c>
      <c r="BB639" s="171"/>
      <c r="BC639" s="141" t="s">
        <v>174</v>
      </c>
      <c r="BD639" s="247" t="s">
        <v>86</v>
      </c>
      <c r="BF639" s="171"/>
      <c r="BG639" s="141" t="s">
        <v>174</v>
      </c>
      <c r="BH639" s="247" t="s">
        <v>86</v>
      </c>
      <c r="BJ639" s="171"/>
      <c r="BK639" s="141" t="s">
        <v>174</v>
      </c>
      <c r="BL639" s="247" t="s">
        <v>86</v>
      </c>
      <c r="BN639" s="171"/>
      <c r="BO639" s="141" t="s">
        <v>174</v>
      </c>
      <c r="BP639" s="247" t="s">
        <v>86</v>
      </c>
      <c r="BR639" s="171"/>
      <c r="BS639" s="141" t="s">
        <v>174</v>
      </c>
      <c r="BT639" s="247" t="s">
        <v>86</v>
      </c>
    </row>
    <row r="640" spans="1:72" s="174" customFormat="1" x14ac:dyDescent="0.15">
      <c r="A640" s="182" t="s">
        <v>1011</v>
      </c>
      <c r="B640" s="168" t="s">
        <v>407</v>
      </c>
      <c r="C640" s="173"/>
      <c r="D640" s="170"/>
      <c r="E640" s="130"/>
      <c r="F640" s="171"/>
      <c r="G640" s="141" t="s">
        <v>175</v>
      </c>
      <c r="H640" s="172"/>
      <c r="I640" s="143"/>
      <c r="J640" s="171"/>
      <c r="K640" s="141" t="s">
        <v>175</v>
      </c>
      <c r="L640" s="247" t="s">
        <v>1081</v>
      </c>
      <c r="N640" s="171"/>
      <c r="O640" s="141" t="s">
        <v>175</v>
      </c>
      <c r="P640" s="246" t="s">
        <v>1167</v>
      </c>
      <c r="R640" s="171"/>
      <c r="S640" s="141" t="s">
        <v>175</v>
      </c>
      <c r="T640" s="246" t="s">
        <v>1167</v>
      </c>
      <c r="U640" s="108"/>
      <c r="V640" s="171"/>
      <c r="W640" s="141" t="s">
        <v>175</v>
      </c>
      <c r="X640" s="246" t="s">
        <v>1167</v>
      </c>
      <c r="Z640" s="171"/>
      <c r="AA640" s="141" t="s">
        <v>175</v>
      </c>
      <c r="AB640" s="246" t="s">
        <v>1167</v>
      </c>
      <c r="AD640" s="171"/>
      <c r="AE640" s="141" t="s">
        <v>175</v>
      </c>
      <c r="AF640" s="246" t="s">
        <v>1193</v>
      </c>
      <c r="AH640" s="171"/>
      <c r="AI640" s="141" t="s">
        <v>175</v>
      </c>
      <c r="AJ640" s="246" t="s">
        <v>438</v>
      </c>
      <c r="AL640" s="171"/>
      <c r="AM640" s="141" t="s">
        <v>175</v>
      </c>
      <c r="AN640" s="246" t="s">
        <v>438</v>
      </c>
      <c r="AP640" s="171"/>
      <c r="AQ640" s="141" t="s">
        <v>175</v>
      </c>
      <c r="AR640" s="246" t="s">
        <v>433</v>
      </c>
      <c r="AT640" s="171"/>
      <c r="AU640" s="141" t="s">
        <v>175</v>
      </c>
      <c r="AV640" s="246" t="s">
        <v>1167</v>
      </c>
      <c r="AX640" s="171"/>
      <c r="AY640" s="141" t="s">
        <v>175</v>
      </c>
      <c r="AZ640" s="246" t="s">
        <v>1193</v>
      </c>
      <c r="BB640" s="171"/>
      <c r="BC640" s="141" t="s">
        <v>175</v>
      </c>
      <c r="BD640" s="246" t="s">
        <v>1193</v>
      </c>
      <c r="BF640" s="171"/>
      <c r="BG640" s="141" t="s">
        <v>175</v>
      </c>
      <c r="BH640" s="246" t="s">
        <v>438</v>
      </c>
      <c r="BJ640" s="171"/>
      <c r="BK640" s="141" t="s">
        <v>175</v>
      </c>
      <c r="BL640" s="246" t="s">
        <v>1170</v>
      </c>
      <c r="BN640" s="171"/>
      <c r="BO640" s="141" t="s">
        <v>175</v>
      </c>
      <c r="BP640" s="246" t="s">
        <v>438</v>
      </c>
      <c r="BR640" s="171"/>
      <c r="BS640" s="141" t="s">
        <v>175</v>
      </c>
      <c r="BT640" s="246" t="s">
        <v>1167</v>
      </c>
    </row>
    <row r="641" spans="1:72" s="174" customFormat="1" x14ac:dyDescent="0.15">
      <c r="A641" s="182" t="s">
        <v>1012</v>
      </c>
      <c r="B641" s="168" t="s">
        <v>85</v>
      </c>
      <c r="C641" s="173"/>
      <c r="D641" s="170"/>
      <c r="E641" s="130"/>
      <c r="F641" s="171"/>
      <c r="G641" s="141" t="s">
        <v>176</v>
      </c>
      <c r="H641" s="172"/>
      <c r="I641" s="143"/>
      <c r="J641" s="171"/>
      <c r="K641" s="141" t="s">
        <v>176</v>
      </c>
      <c r="L641" s="247" t="s">
        <v>86</v>
      </c>
      <c r="N641" s="171"/>
      <c r="O641" s="141" t="s">
        <v>176</v>
      </c>
      <c r="P641" s="247" t="s">
        <v>86</v>
      </c>
      <c r="R641" s="171"/>
      <c r="S641" s="141" t="s">
        <v>176</v>
      </c>
      <c r="T641" s="247" t="s">
        <v>86</v>
      </c>
      <c r="U641" s="108"/>
      <c r="V641" s="171"/>
      <c r="W641" s="141" t="s">
        <v>176</v>
      </c>
      <c r="X641" s="247" t="s">
        <v>86</v>
      </c>
      <c r="Z641" s="171"/>
      <c r="AA641" s="141" t="s">
        <v>176</v>
      </c>
      <c r="AB641" s="247" t="s">
        <v>86</v>
      </c>
      <c r="AD641" s="171"/>
      <c r="AE641" s="141" t="s">
        <v>176</v>
      </c>
      <c r="AF641" s="247" t="s">
        <v>86</v>
      </c>
      <c r="AH641" s="171"/>
      <c r="AI641" s="141" t="s">
        <v>176</v>
      </c>
      <c r="AJ641" s="246" t="s">
        <v>1161</v>
      </c>
      <c r="AL641" s="171"/>
      <c r="AM641" s="141" t="s">
        <v>176</v>
      </c>
      <c r="AN641" s="246" t="s">
        <v>1161</v>
      </c>
      <c r="AP641" s="171"/>
      <c r="AQ641" s="141" t="s">
        <v>176</v>
      </c>
      <c r="AR641" s="247" t="s">
        <v>86</v>
      </c>
      <c r="AT641" s="171"/>
      <c r="AU641" s="141" t="s">
        <v>176</v>
      </c>
      <c r="AV641" s="247" t="s">
        <v>86</v>
      </c>
      <c r="AX641" s="171"/>
      <c r="AY641" s="141" t="s">
        <v>176</v>
      </c>
      <c r="AZ641" s="247" t="s">
        <v>86</v>
      </c>
      <c r="BB641" s="171"/>
      <c r="BC641" s="141" t="s">
        <v>176</v>
      </c>
      <c r="BD641" s="247" t="s">
        <v>86</v>
      </c>
      <c r="BF641" s="171"/>
      <c r="BG641" s="141" t="s">
        <v>176</v>
      </c>
      <c r="BH641" s="246" t="s">
        <v>1161</v>
      </c>
      <c r="BJ641" s="171"/>
      <c r="BK641" s="141" t="s">
        <v>176</v>
      </c>
      <c r="BL641" s="246" t="s">
        <v>1219</v>
      </c>
      <c r="BN641" s="171"/>
      <c r="BO641" s="141" t="s">
        <v>176</v>
      </c>
      <c r="BP641" s="246" t="s">
        <v>1161</v>
      </c>
      <c r="BR641" s="171"/>
      <c r="BS641" s="141" t="s">
        <v>176</v>
      </c>
      <c r="BT641" s="247" t="s">
        <v>86</v>
      </c>
    </row>
    <row r="642" spans="1:72" s="174" customFormat="1" x14ac:dyDescent="0.15">
      <c r="A642" s="175"/>
      <c r="B642" s="183"/>
      <c r="C642" s="183"/>
      <c r="D642" s="184"/>
      <c r="E642" s="130"/>
      <c r="F642" s="178"/>
      <c r="G642" s="141"/>
      <c r="H642" s="172"/>
      <c r="I642" s="143"/>
      <c r="J642" s="178"/>
      <c r="K642" s="141"/>
      <c r="L642" s="168"/>
      <c r="N642" s="178"/>
      <c r="O642" s="141"/>
      <c r="P642" s="168"/>
      <c r="R642" s="178"/>
      <c r="S642" s="141"/>
      <c r="T642" s="168"/>
      <c r="U642" s="108"/>
      <c r="V642" s="178"/>
      <c r="W642" s="141"/>
      <c r="X642" s="168"/>
      <c r="Z642" s="178"/>
      <c r="AA642" s="141"/>
      <c r="AB642" s="168"/>
      <c r="AD642" s="178"/>
      <c r="AE642" s="141"/>
      <c r="AF642" s="168"/>
      <c r="AH642" s="178"/>
      <c r="AI642" s="141"/>
      <c r="AJ642" s="168"/>
      <c r="AL642" s="178"/>
      <c r="AM642" s="141"/>
      <c r="AN642" s="168"/>
      <c r="AP642" s="178"/>
      <c r="AQ642" s="141"/>
      <c r="AR642" s="168"/>
      <c r="AT642" s="178"/>
      <c r="AU642" s="141"/>
      <c r="AV642" s="168"/>
      <c r="AX642" s="178"/>
      <c r="AY642" s="141"/>
      <c r="AZ642" s="168"/>
      <c r="BB642" s="178"/>
      <c r="BC642" s="141"/>
      <c r="BD642" s="168"/>
      <c r="BF642" s="178"/>
      <c r="BG642" s="141"/>
      <c r="BH642" s="168"/>
      <c r="BJ642" s="178"/>
      <c r="BK642" s="141"/>
      <c r="BL642" s="168"/>
      <c r="BN642" s="178"/>
      <c r="BO642" s="141"/>
      <c r="BP642" s="168"/>
      <c r="BR642" s="178"/>
      <c r="BS642" s="141"/>
      <c r="BT642" s="168"/>
    </row>
    <row r="643" spans="1:72" x14ac:dyDescent="0.15">
      <c r="A643" s="175"/>
      <c r="B643" s="183"/>
      <c r="C643" s="183"/>
      <c r="D643" s="184"/>
      <c r="E643" s="130"/>
      <c r="F643" s="180"/>
      <c r="G643" s="141"/>
      <c r="H643" s="172"/>
      <c r="I643" s="143"/>
      <c r="J643" s="180"/>
      <c r="K643" s="141"/>
      <c r="L643" s="168"/>
      <c r="N643" s="180"/>
      <c r="O643" s="141"/>
      <c r="P643" s="168"/>
      <c r="R643" s="180"/>
      <c r="S643" s="141"/>
      <c r="T643" s="168"/>
      <c r="V643" s="180"/>
      <c r="W643" s="141"/>
      <c r="X643" s="168"/>
      <c r="Z643" s="180"/>
      <c r="AA643" s="141"/>
      <c r="AB643" s="168"/>
      <c r="AD643" s="180"/>
      <c r="AE643" s="141"/>
      <c r="AF643" s="168"/>
      <c r="AH643" s="180"/>
      <c r="AI643" s="141"/>
      <c r="AJ643" s="168"/>
      <c r="AL643" s="180"/>
      <c r="AM643" s="141"/>
      <c r="AN643" s="168"/>
      <c r="AP643" s="180"/>
      <c r="AQ643" s="141"/>
      <c r="AR643" s="168"/>
      <c r="AT643" s="180"/>
      <c r="AU643" s="141"/>
      <c r="AV643" s="168"/>
      <c r="AX643" s="180"/>
      <c r="AY643" s="141"/>
      <c r="AZ643" s="168"/>
      <c r="BB643" s="180"/>
      <c r="BC643" s="141"/>
      <c r="BD643" s="168"/>
      <c r="BF643" s="180"/>
      <c r="BG643" s="141"/>
      <c r="BH643" s="168"/>
      <c r="BJ643" s="180"/>
      <c r="BK643" s="141"/>
      <c r="BL643" s="168"/>
      <c r="BN643" s="180"/>
      <c r="BO643" s="141"/>
      <c r="BP643" s="168"/>
      <c r="BR643" s="180"/>
      <c r="BS643" s="141"/>
      <c r="BT643" s="168"/>
    </row>
    <row r="644" spans="1:72" x14ac:dyDescent="0.15">
      <c r="A644" s="175"/>
      <c r="B644" s="129"/>
      <c r="C644" s="146"/>
      <c r="D644" s="166"/>
      <c r="E644" s="128"/>
      <c r="F644" s="136" t="s">
        <v>1013</v>
      </c>
      <c r="G644" s="185"/>
      <c r="H644" s="186"/>
      <c r="I644" s="143"/>
      <c r="J644" s="136" t="s">
        <v>1013</v>
      </c>
      <c r="K644" s="185"/>
      <c r="L644" s="242"/>
      <c r="N644" s="136" t="s">
        <v>1013</v>
      </c>
      <c r="O644" s="185"/>
      <c r="P644" s="242"/>
      <c r="R644" s="136" t="s">
        <v>1013</v>
      </c>
      <c r="S644" s="185"/>
      <c r="T644" s="242"/>
      <c r="V644" s="136" t="s">
        <v>1013</v>
      </c>
      <c r="W644" s="185"/>
      <c r="X644" s="242"/>
      <c r="Z644" s="136" t="s">
        <v>1013</v>
      </c>
      <c r="AA644" s="185"/>
      <c r="AB644" s="242"/>
      <c r="AD644" s="136" t="s">
        <v>1013</v>
      </c>
      <c r="AE644" s="185"/>
      <c r="AF644" s="242"/>
      <c r="AH644" s="136" t="s">
        <v>1013</v>
      </c>
      <c r="AI644" s="185"/>
      <c r="AJ644" s="242"/>
      <c r="AL644" s="136" t="s">
        <v>1013</v>
      </c>
      <c r="AM644" s="185"/>
      <c r="AN644" s="242"/>
      <c r="AP644" s="136" t="s">
        <v>1013</v>
      </c>
      <c r="AQ644" s="185"/>
      <c r="AR644" s="242"/>
      <c r="AT644" s="136" t="s">
        <v>1013</v>
      </c>
      <c r="AU644" s="185"/>
      <c r="AV644" s="242"/>
      <c r="AX644" s="136" t="s">
        <v>1013</v>
      </c>
      <c r="AY644" s="185"/>
      <c r="AZ644" s="242"/>
      <c r="BB644" s="136" t="s">
        <v>1013</v>
      </c>
      <c r="BC644" s="185"/>
      <c r="BD644" s="242"/>
      <c r="BF644" s="136" t="s">
        <v>1013</v>
      </c>
      <c r="BG644" s="185"/>
      <c r="BH644" s="242"/>
      <c r="BJ644" s="136" t="s">
        <v>1013</v>
      </c>
      <c r="BK644" s="185"/>
      <c r="BL644" s="242"/>
      <c r="BN644" s="136" t="s">
        <v>1013</v>
      </c>
      <c r="BO644" s="185"/>
      <c r="BP644" s="242"/>
      <c r="BR644" s="136" t="s">
        <v>1013</v>
      </c>
      <c r="BS644" s="185"/>
      <c r="BT644" s="242"/>
    </row>
    <row r="645" spans="1:72" s="174" customFormat="1" ht="12.75" customHeight="1" x14ac:dyDescent="0.15">
      <c r="A645" s="134" t="s">
        <v>447</v>
      </c>
      <c r="B645" s="135" t="s">
        <v>448</v>
      </c>
      <c r="C645" s="135" t="s">
        <v>449</v>
      </c>
      <c r="D645" s="166"/>
      <c r="E645" s="128"/>
      <c r="F645" s="136"/>
      <c r="G645" s="137" t="s">
        <v>125</v>
      </c>
      <c r="H645" s="138" t="s">
        <v>450</v>
      </c>
      <c r="I645" s="143"/>
      <c r="J645" s="136"/>
      <c r="K645" s="137" t="s">
        <v>125</v>
      </c>
      <c r="L645" s="229" t="s">
        <v>450</v>
      </c>
      <c r="N645" s="136"/>
      <c r="O645" s="137" t="s">
        <v>125</v>
      </c>
      <c r="P645" s="229" t="s">
        <v>450</v>
      </c>
      <c r="R645" s="136"/>
      <c r="S645" s="137" t="s">
        <v>125</v>
      </c>
      <c r="T645" s="229" t="s">
        <v>450</v>
      </c>
      <c r="U645" s="108"/>
      <c r="V645" s="136"/>
      <c r="W645" s="137" t="s">
        <v>125</v>
      </c>
      <c r="X645" s="229" t="s">
        <v>450</v>
      </c>
      <c r="Z645" s="136"/>
      <c r="AA645" s="137" t="s">
        <v>125</v>
      </c>
      <c r="AB645" s="229" t="s">
        <v>450</v>
      </c>
      <c r="AD645" s="136"/>
      <c r="AE645" s="137" t="s">
        <v>125</v>
      </c>
      <c r="AF645" s="229" t="s">
        <v>450</v>
      </c>
      <c r="AH645" s="136"/>
      <c r="AI645" s="137" t="s">
        <v>125</v>
      </c>
      <c r="AJ645" s="229" t="s">
        <v>450</v>
      </c>
      <c r="AL645" s="136"/>
      <c r="AM645" s="137" t="s">
        <v>125</v>
      </c>
      <c r="AN645" s="229" t="s">
        <v>450</v>
      </c>
      <c r="AP645" s="136"/>
      <c r="AQ645" s="137" t="s">
        <v>125</v>
      </c>
      <c r="AR645" s="229" t="s">
        <v>450</v>
      </c>
      <c r="AT645" s="136"/>
      <c r="AU645" s="137" t="s">
        <v>125</v>
      </c>
      <c r="AV645" s="229" t="s">
        <v>450</v>
      </c>
      <c r="AX645" s="136"/>
      <c r="AY645" s="137" t="s">
        <v>125</v>
      </c>
      <c r="AZ645" s="229" t="s">
        <v>450</v>
      </c>
      <c r="BB645" s="136"/>
      <c r="BC645" s="137" t="s">
        <v>125</v>
      </c>
      <c r="BD645" s="229" t="s">
        <v>450</v>
      </c>
      <c r="BF645" s="136"/>
      <c r="BG645" s="137" t="s">
        <v>125</v>
      </c>
      <c r="BH645" s="229" t="s">
        <v>450</v>
      </c>
      <c r="BJ645" s="136"/>
      <c r="BK645" s="137" t="s">
        <v>125</v>
      </c>
      <c r="BL645" s="229" t="s">
        <v>450</v>
      </c>
      <c r="BN645" s="136"/>
      <c r="BO645" s="137" t="s">
        <v>125</v>
      </c>
      <c r="BP645" s="229" t="s">
        <v>450</v>
      </c>
      <c r="BR645" s="136"/>
      <c r="BS645" s="137" t="s">
        <v>125</v>
      </c>
      <c r="BT645" s="229" t="s">
        <v>450</v>
      </c>
    </row>
    <row r="646" spans="1:72" s="174" customFormat="1" x14ac:dyDescent="0.15">
      <c r="A646" s="181" t="s">
        <v>1014</v>
      </c>
      <c r="B646" s="168" t="s">
        <v>417</v>
      </c>
      <c r="C646" s="173"/>
      <c r="D646" s="170"/>
      <c r="E646" s="128"/>
      <c r="F646" s="136"/>
      <c r="G646" s="187" t="s">
        <v>187</v>
      </c>
      <c r="H646" s="172"/>
      <c r="I646" s="143"/>
      <c r="J646" s="136"/>
      <c r="K646" s="187" t="s">
        <v>187</v>
      </c>
      <c r="L646" s="246" t="s">
        <v>433</v>
      </c>
      <c r="N646" s="136"/>
      <c r="O646" s="187" t="s">
        <v>187</v>
      </c>
      <c r="P646" s="246" t="s">
        <v>433</v>
      </c>
      <c r="R646" s="136"/>
      <c r="S646" s="187" t="s">
        <v>187</v>
      </c>
      <c r="T646" s="246" t="s">
        <v>433</v>
      </c>
      <c r="U646" s="108"/>
      <c r="V646" s="136"/>
      <c r="W646" s="187" t="s">
        <v>187</v>
      </c>
      <c r="X646" s="246" t="s">
        <v>433</v>
      </c>
      <c r="Z646" s="136"/>
      <c r="AA646" s="187" t="s">
        <v>187</v>
      </c>
      <c r="AB646" s="246" t="s">
        <v>433</v>
      </c>
      <c r="AD646" s="136"/>
      <c r="AE646" s="187" t="s">
        <v>187</v>
      </c>
      <c r="AF646" s="246" t="s">
        <v>433</v>
      </c>
      <c r="AH646" s="136"/>
      <c r="AI646" s="187" t="s">
        <v>187</v>
      </c>
      <c r="AJ646" s="246" t="s">
        <v>433</v>
      </c>
      <c r="AL646" s="136"/>
      <c r="AM646" s="187" t="s">
        <v>187</v>
      </c>
      <c r="AN646" s="246" t="s">
        <v>433</v>
      </c>
      <c r="AP646" s="136"/>
      <c r="AQ646" s="187" t="s">
        <v>187</v>
      </c>
      <c r="AR646" s="246" t="s">
        <v>433</v>
      </c>
      <c r="AT646" s="136"/>
      <c r="AU646" s="187" t="s">
        <v>187</v>
      </c>
      <c r="AV646" s="246" t="s">
        <v>433</v>
      </c>
      <c r="AX646" s="136"/>
      <c r="AY646" s="187" t="s">
        <v>187</v>
      </c>
      <c r="AZ646" s="246" t="s">
        <v>433</v>
      </c>
      <c r="BB646" s="136"/>
      <c r="BC646" s="187" t="s">
        <v>187</v>
      </c>
      <c r="BD646" s="246" t="s">
        <v>433</v>
      </c>
      <c r="BF646" s="136"/>
      <c r="BG646" s="187" t="s">
        <v>187</v>
      </c>
      <c r="BH646" s="246" t="s">
        <v>433</v>
      </c>
      <c r="BJ646" s="136"/>
      <c r="BK646" s="187" t="s">
        <v>187</v>
      </c>
      <c r="BL646" s="246" t="s">
        <v>433</v>
      </c>
      <c r="BN646" s="136"/>
      <c r="BO646" s="187" t="s">
        <v>187</v>
      </c>
      <c r="BP646" s="246" t="s">
        <v>433</v>
      </c>
      <c r="BR646" s="136"/>
      <c r="BS646" s="187" t="s">
        <v>187</v>
      </c>
      <c r="BT646" s="246" t="s">
        <v>433</v>
      </c>
    </row>
    <row r="647" spans="1:72" s="174" customFormat="1" x14ac:dyDescent="0.15">
      <c r="A647" s="181" t="s">
        <v>1015</v>
      </c>
      <c r="B647" s="168" t="s">
        <v>284</v>
      </c>
      <c r="C647" s="173"/>
      <c r="D647" s="170"/>
      <c r="E647" s="128"/>
      <c r="F647" s="136"/>
      <c r="G647" s="187" t="s">
        <v>188</v>
      </c>
      <c r="H647" s="172"/>
      <c r="I647" s="143"/>
      <c r="J647" s="136"/>
      <c r="K647" s="187" t="s">
        <v>188</v>
      </c>
      <c r="L647" s="247" t="s">
        <v>1140</v>
      </c>
      <c r="N647" s="136"/>
      <c r="O647" s="187" t="s">
        <v>188</v>
      </c>
      <c r="P647" s="247" t="s">
        <v>1140</v>
      </c>
      <c r="R647" s="136"/>
      <c r="S647" s="187" t="s">
        <v>188</v>
      </c>
      <c r="T647" s="247" t="s">
        <v>1140</v>
      </c>
      <c r="U647" s="108"/>
      <c r="V647" s="136"/>
      <c r="W647" s="187" t="s">
        <v>188</v>
      </c>
      <c r="X647" s="247" t="s">
        <v>1140</v>
      </c>
      <c r="Z647" s="136"/>
      <c r="AA647" s="187" t="s">
        <v>188</v>
      </c>
      <c r="AB647" s="247" t="s">
        <v>1140</v>
      </c>
      <c r="AD647" s="136"/>
      <c r="AE647" s="187" t="s">
        <v>188</v>
      </c>
      <c r="AF647" s="247" t="s">
        <v>1140</v>
      </c>
      <c r="AH647" s="136"/>
      <c r="AI647" s="187" t="s">
        <v>188</v>
      </c>
      <c r="AJ647" s="247" t="s">
        <v>1140</v>
      </c>
      <c r="AL647" s="136"/>
      <c r="AM647" s="187" t="s">
        <v>188</v>
      </c>
      <c r="AN647" s="247" t="s">
        <v>1140</v>
      </c>
      <c r="AP647" s="136"/>
      <c r="AQ647" s="187" t="s">
        <v>188</v>
      </c>
      <c r="AR647" s="247" t="s">
        <v>1140</v>
      </c>
      <c r="AT647" s="136"/>
      <c r="AU647" s="187" t="s">
        <v>188</v>
      </c>
      <c r="AV647" s="247" t="s">
        <v>1140</v>
      </c>
      <c r="AX647" s="136"/>
      <c r="AY647" s="187" t="s">
        <v>188</v>
      </c>
      <c r="AZ647" s="247" t="s">
        <v>1140</v>
      </c>
      <c r="BB647" s="136"/>
      <c r="BC647" s="187" t="s">
        <v>188</v>
      </c>
      <c r="BD647" s="247" t="s">
        <v>1140</v>
      </c>
      <c r="BF647" s="136"/>
      <c r="BG647" s="187" t="s">
        <v>188</v>
      </c>
      <c r="BH647" s="247" t="s">
        <v>1140</v>
      </c>
      <c r="BJ647" s="136"/>
      <c r="BK647" s="187" t="s">
        <v>188</v>
      </c>
      <c r="BL647" s="247" t="s">
        <v>1140</v>
      </c>
      <c r="BN647" s="136"/>
      <c r="BO647" s="187" t="s">
        <v>188</v>
      </c>
      <c r="BP647" s="247" t="s">
        <v>1140</v>
      </c>
      <c r="BR647" s="136"/>
      <c r="BS647" s="187" t="s">
        <v>188</v>
      </c>
      <c r="BT647" s="247" t="s">
        <v>1140</v>
      </c>
    </row>
    <row r="648" spans="1:72" s="174" customFormat="1" x14ac:dyDescent="0.15">
      <c r="A648" s="181" t="s">
        <v>1016</v>
      </c>
      <c r="B648" s="168" t="s">
        <v>295</v>
      </c>
      <c r="C648" s="173"/>
      <c r="D648" s="170"/>
      <c r="E648" s="128"/>
      <c r="F648" s="136"/>
      <c r="G648" s="187" t="s">
        <v>189</v>
      </c>
      <c r="H648" s="172"/>
      <c r="I648" s="143"/>
      <c r="J648" s="136"/>
      <c r="K648" s="187" t="s">
        <v>189</v>
      </c>
      <c r="L648" s="246" t="s">
        <v>1122</v>
      </c>
      <c r="N648" s="136"/>
      <c r="O648" s="187" t="s">
        <v>189</v>
      </c>
      <c r="P648" s="246" t="s">
        <v>1122</v>
      </c>
      <c r="R648" s="136"/>
      <c r="S648" s="187" t="s">
        <v>189</v>
      </c>
      <c r="T648" s="246" t="s">
        <v>1122</v>
      </c>
      <c r="U648" s="108"/>
      <c r="V648" s="136"/>
      <c r="W648" s="187" t="s">
        <v>189</v>
      </c>
      <c r="X648" s="246" t="s">
        <v>1122</v>
      </c>
      <c r="Z648" s="136"/>
      <c r="AA648" s="187" t="s">
        <v>189</v>
      </c>
      <c r="AB648" s="246" t="s">
        <v>1122</v>
      </c>
      <c r="AD648" s="136"/>
      <c r="AE648" s="187" t="s">
        <v>189</v>
      </c>
      <c r="AF648" s="246" t="s">
        <v>1122</v>
      </c>
      <c r="AH648" s="136"/>
      <c r="AI648" s="187" t="s">
        <v>189</v>
      </c>
      <c r="AJ648" s="246" t="s">
        <v>1122</v>
      </c>
      <c r="AL648" s="136"/>
      <c r="AM648" s="187" t="s">
        <v>189</v>
      </c>
      <c r="AN648" s="246" t="s">
        <v>1122</v>
      </c>
      <c r="AP648" s="136"/>
      <c r="AQ648" s="187" t="s">
        <v>189</v>
      </c>
      <c r="AR648" s="246" t="s">
        <v>1122</v>
      </c>
      <c r="AT648" s="136"/>
      <c r="AU648" s="187" t="s">
        <v>189</v>
      </c>
      <c r="AV648" s="246" t="s">
        <v>1122</v>
      </c>
      <c r="AX648" s="136"/>
      <c r="AY648" s="187" t="s">
        <v>189</v>
      </c>
      <c r="AZ648" s="246" t="s">
        <v>1122</v>
      </c>
      <c r="BB648" s="136"/>
      <c r="BC648" s="187" t="s">
        <v>189</v>
      </c>
      <c r="BD648" s="246" t="s">
        <v>1122</v>
      </c>
      <c r="BF648" s="136"/>
      <c r="BG648" s="187" t="s">
        <v>189</v>
      </c>
      <c r="BH648" s="246" t="s">
        <v>1122</v>
      </c>
      <c r="BJ648" s="136"/>
      <c r="BK648" s="187" t="s">
        <v>189</v>
      </c>
      <c r="BL648" s="246" t="s">
        <v>1122</v>
      </c>
      <c r="BN648" s="136"/>
      <c r="BO648" s="187" t="s">
        <v>189</v>
      </c>
      <c r="BP648" s="246" t="s">
        <v>1122</v>
      </c>
      <c r="BR648" s="136"/>
      <c r="BS648" s="187" t="s">
        <v>189</v>
      </c>
      <c r="BT648" s="246" t="s">
        <v>1122</v>
      </c>
    </row>
    <row r="649" spans="1:72" s="174" customFormat="1" x14ac:dyDescent="0.15">
      <c r="A649" s="181" t="s">
        <v>1017</v>
      </c>
      <c r="B649" s="168" t="s">
        <v>287</v>
      </c>
      <c r="C649" s="173"/>
      <c r="D649" s="170"/>
      <c r="E649" s="128"/>
      <c r="F649" s="136"/>
      <c r="G649" s="187" t="s">
        <v>190</v>
      </c>
      <c r="H649" s="172"/>
      <c r="I649" s="143"/>
      <c r="J649" s="136"/>
      <c r="K649" s="187" t="s">
        <v>190</v>
      </c>
      <c r="L649" s="246" t="s">
        <v>86</v>
      </c>
      <c r="N649" s="136"/>
      <c r="O649" s="187" t="s">
        <v>190</v>
      </c>
      <c r="P649" s="246" t="s">
        <v>86</v>
      </c>
      <c r="R649" s="136"/>
      <c r="S649" s="187" t="s">
        <v>190</v>
      </c>
      <c r="T649" s="246" t="s">
        <v>86</v>
      </c>
      <c r="U649" s="108"/>
      <c r="V649" s="136"/>
      <c r="W649" s="187" t="s">
        <v>190</v>
      </c>
      <c r="X649" s="246" t="s">
        <v>86</v>
      </c>
      <c r="Z649" s="136"/>
      <c r="AA649" s="187" t="s">
        <v>190</v>
      </c>
      <c r="AB649" s="246" t="s">
        <v>86</v>
      </c>
      <c r="AD649" s="136"/>
      <c r="AE649" s="187" t="s">
        <v>190</v>
      </c>
      <c r="AF649" s="246" t="s">
        <v>86</v>
      </c>
      <c r="AH649" s="136"/>
      <c r="AI649" s="187" t="s">
        <v>190</v>
      </c>
      <c r="AJ649" s="246" t="s">
        <v>86</v>
      </c>
      <c r="AL649" s="136"/>
      <c r="AM649" s="187" t="s">
        <v>190</v>
      </c>
      <c r="AN649" s="246" t="s">
        <v>86</v>
      </c>
      <c r="AP649" s="136"/>
      <c r="AQ649" s="187" t="s">
        <v>190</v>
      </c>
      <c r="AR649" s="246" t="s">
        <v>86</v>
      </c>
      <c r="AT649" s="136"/>
      <c r="AU649" s="187" t="s">
        <v>190</v>
      </c>
      <c r="AV649" s="246" t="s">
        <v>86</v>
      </c>
      <c r="AX649" s="136"/>
      <c r="AY649" s="187" t="s">
        <v>190</v>
      </c>
      <c r="AZ649" s="246" t="s">
        <v>86</v>
      </c>
      <c r="BB649" s="136"/>
      <c r="BC649" s="187" t="s">
        <v>190</v>
      </c>
      <c r="BD649" s="246" t="s">
        <v>86</v>
      </c>
      <c r="BF649" s="136"/>
      <c r="BG649" s="187" t="s">
        <v>190</v>
      </c>
      <c r="BH649" s="246" t="s">
        <v>86</v>
      </c>
      <c r="BJ649" s="136"/>
      <c r="BK649" s="187" t="s">
        <v>190</v>
      </c>
      <c r="BL649" s="246" t="s">
        <v>86</v>
      </c>
      <c r="BN649" s="136"/>
      <c r="BO649" s="187" t="s">
        <v>190</v>
      </c>
      <c r="BP649" s="246" t="s">
        <v>86</v>
      </c>
      <c r="BR649" s="136"/>
      <c r="BS649" s="187" t="s">
        <v>190</v>
      </c>
      <c r="BT649" s="246" t="s">
        <v>86</v>
      </c>
    </row>
    <row r="650" spans="1:72" x14ac:dyDescent="0.15">
      <c r="A650" s="181" t="s">
        <v>1018</v>
      </c>
      <c r="B650" s="168" t="s">
        <v>1076</v>
      </c>
      <c r="C650" s="173"/>
      <c r="D650" s="170"/>
      <c r="E650" s="128"/>
      <c r="F650" s="136"/>
      <c r="G650" s="187" t="s">
        <v>191</v>
      </c>
      <c r="H650" s="172"/>
      <c r="I650" s="143"/>
      <c r="J650" s="136"/>
      <c r="K650" s="187" t="s">
        <v>191</v>
      </c>
      <c r="L650" s="246" t="s">
        <v>426</v>
      </c>
      <c r="M650" s="174"/>
      <c r="N650" s="136"/>
      <c r="O650" s="187" t="s">
        <v>191</v>
      </c>
      <c r="P650" s="246" t="s">
        <v>426</v>
      </c>
      <c r="R650" s="136"/>
      <c r="S650" s="187" t="s">
        <v>191</v>
      </c>
      <c r="T650" s="246" t="s">
        <v>426</v>
      </c>
      <c r="V650" s="136"/>
      <c r="W650" s="187" t="s">
        <v>191</v>
      </c>
      <c r="X650" s="246" t="s">
        <v>426</v>
      </c>
      <c r="Z650" s="136"/>
      <c r="AA650" s="187" t="s">
        <v>191</v>
      </c>
      <c r="AB650" s="246" t="s">
        <v>426</v>
      </c>
      <c r="AD650" s="136"/>
      <c r="AE650" s="187" t="s">
        <v>191</v>
      </c>
      <c r="AF650" s="246" t="s">
        <v>426</v>
      </c>
      <c r="AH650" s="136"/>
      <c r="AI650" s="187" t="s">
        <v>191</v>
      </c>
      <c r="AJ650" s="246" t="s">
        <v>426</v>
      </c>
      <c r="AL650" s="136"/>
      <c r="AM650" s="187" t="s">
        <v>191</v>
      </c>
      <c r="AN650" s="246" t="s">
        <v>426</v>
      </c>
      <c r="AP650" s="136"/>
      <c r="AQ650" s="187" t="s">
        <v>191</v>
      </c>
      <c r="AR650" s="246" t="s">
        <v>426</v>
      </c>
      <c r="AT650" s="136"/>
      <c r="AU650" s="187" t="s">
        <v>191</v>
      </c>
      <c r="AV650" s="246" t="s">
        <v>426</v>
      </c>
      <c r="AX650" s="136"/>
      <c r="AY650" s="187" t="s">
        <v>191</v>
      </c>
      <c r="AZ650" s="246" t="s">
        <v>426</v>
      </c>
      <c r="BB650" s="136"/>
      <c r="BC650" s="187" t="s">
        <v>191</v>
      </c>
      <c r="BD650" s="246" t="s">
        <v>426</v>
      </c>
      <c r="BF650" s="136"/>
      <c r="BG650" s="187" t="s">
        <v>191</v>
      </c>
      <c r="BH650" s="246" t="s">
        <v>426</v>
      </c>
      <c r="BJ650" s="136"/>
      <c r="BK650" s="187" t="s">
        <v>191</v>
      </c>
      <c r="BL650" s="246" t="s">
        <v>426</v>
      </c>
      <c r="BN650" s="136"/>
      <c r="BO650" s="187" t="s">
        <v>191</v>
      </c>
      <c r="BP650" s="246" t="s">
        <v>426</v>
      </c>
      <c r="BR650" s="136"/>
      <c r="BS650" s="187" t="s">
        <v>191</v>
      </c>
      <c r="BT650" s="246" t="s">
        <v>426</v>
      </c>
    </row>
    <row r="651" spans="1:72" x14ac:dyDescent="0.15">
      <c r="A651" s="181" t="s">
        <v>1019</v>
      </c>
      <c r="B651" s="168" t="s">
        <v>287</v>
      </c>
      <c r="C651" s="173"/>
      <c r="D651" s="170"/>
      <c r="E651" s="128"/>
      <c r="F651" s="136"/>
      <c r="G651" s="187" t="s">
        <v>1020</v>
      </c>
      <c r="H651" s="172"/>
      <c r="I651" s="143"/>
      <c r="J651" s="136"/>
      <c r="K651" s="187" t="s">
        <v>1020</v>
      </c>
      <c r="L651" s="247" t="s">
        <v>440</v>
      </c>
      <c r="M651" s="174"/>
      <c r="N651" s="136"/>
      <c r="O651" s="187" t="s">
        <v>1020</v>
      </c>
      <c r="P651" s="247" t="s">
        <v>440</v>
      </c>
      <c r="R651" s="136"/>
      <c r="S651" s="187" t="s">
        <v>1020</v>
      </c>
      <c r="T651" s="247" t="s">
        <v>440</v>
      </c>
      <c r="V651" s="136"/>
      <c r="W651" s="187" t="s">
        <v>1020</v>
      </c>
      <c r="X651" s="247" t="s">
        <v>440</v>
      </c>
      <c r="Z651" s="136"/>
      <c r="AA651" s="187" t="s">
        <v>1020</v>
      </c>
      <c r="AB651" s="247" t="s">
        <v>440</v>
      </c>
      <c r="AD651" s="136"/>
      <c r="AE651" s="187" t="s">
        <v>1020</v>
      </c>
      <c r="AF651" s="247" t="s">
        <v>440</v>
      </c>
      <c r="AH651" s="136"/>
      <c r="AI651" s="187" t="s">
        <v>1020</v>
      </c>
      <c r="AJ651" s="247" t="s">
        <v>440</v>
      </c>
      <c r="AL651" s="136"/>
      <c r="AM651" s="187" t="s">
        <v>1020</v>
      </c>
      <c r="AN651" s="247" t="s">
        <v>440</v>
      </c>
      <c r="AP651" s="136"/>
      <c r="AQ651" s="187" t="s">
        <v>1020</v>
      </c>
      <c r="AR651" s="247" t="s">
        <v>440</v>
      </c>
      <c r="AT651" s="136"/>
      <c r="AU651" s="187" t="s">
        <v>1020</v>
      </c>
      <c r="AV651" s="247" t="s">
        <v>440</v>
      </c>
      <c r="AX651" s="136"/>
      <c r="AY651" s="187" t="s">
        <v>1020</v>
      </c>
      <c r="AZ651" s="247" t="s">
        <v>440</v>
      </c>
      <c r="BB651" s="136"/>
      <c r="BC651" s="187" t="s">
        <v>1020</v>
      </c>
      <c r="BD651" s="247" t="s">
        <v>440</v>
      </c>
      <c r="BF651" s="136"/>
      <c r="BG651" s="187" t="s">
        <v>1020</v>
      </c>
      <c r="BH651" s="247" t="s">
        <v>440</v>
      </c>
      <c r="BJ651" s="136"/>
      <c r="BK651" s="187" t="s">
        <v>1020</v>
      </c>
      <c r="BL651" s="247" t="s">
        <v>440</v>
      </c>
      <c r="BN651" s="136"/>
      <c r="BO651" s="187" t="s">
        <v>1020</v>
      </c>
      <c r="BP651" s="247" t="s">
        <v>440</v>
      </c>
      <c r="BR651" s="136"/>
      <c r="BS651" s="187" t="s">
        <v>1020</v>
      </c>
      <c r="BT651" s="247" t="s">
        <v>440</v>
      </c>
    </row>
    <row r="652" spans="1:72" ht="12.75" customHeight="1" x14ac:dyDescent="0.15">
      <c r="A652" s="188" t="s">
        <v>1021</v>
      </c>
      <c r="B652" s="168" t="s">
        <v>400</v>
      </c>
      <c r="C652" s="173"/>
      <c r="D652" s="170"/>
      <c r="E652" s="128"/>
      <c r="F652" s="171"/>
      <c r="G652" s="147" t="s">
        <v>1022</v>
      </c>
      <c r="H652" s="172"/>
      <c r="I652" s="164"/>
      <c r="J652" s="171"/>
      <c r="K652" s="147" t="s">
        <v>1022</v>
      </c>
      <c r="L652" s="247" t="s">
        <v>1122</v>
      </c>
      <c r="M652" s="174"/>
      <c r="N652" s="171"/>
      <c r="O652" s="147" t="s">
        <v>1022</v>
      </c>
      <c r="P652" s="247" t="s">
        <v>1122</v>
      </c>
      <c r="R652" s="171"/>
      <c r="S652" s="147" t="s">
        <v>1022</v>
      </c>
      <c r="T652" s="247" t="s">
        <v>1122</v>
      </c>
      <c r="V652" s="171"/>
      <c r="W652" s="147" t="s">
        <v>1022</v>
      </c>
      <c r="X652" s="247" t="s">
        <v>1122</v>
      </c>
      <c r="Z652" s="171"/>
      <c r="AA652" s="147" t="s">
        <v>1022</v>
      </c>
      <c r="AB652" s="247" t="s">
        <v>1122</v>
      </c>
      <c r="AD652" s="171"/>
      <c r="AE652" s="147" t="s">
        <v>1022</v>
      </c>
      <c r="AF652" s="247" t="s">
        <v>1122</v>
      </c>
      <c r="AH652" s="171"/>
      <c r="AI652" s="147" t="s">
        <v>1022</v>
      </c>
      <c r="AJ652" s="247" t="s">
        <v>1122</v>
      </c>
      <c r="AL652" s="171"/>
      <c r="AM652" s="147" t="s">
        <v>1022</v>
      </c>
      <c r="AN652" s="247" t="s">
        <v>1122</v>
      </c>
      <c r="AP652" s="171"/>
      <c r="AQ652" s="147" t="s">
        <v>1022</v>
      </c>
      <c r="AR652" s="247" t="s">
        <v>1122</v>
      </c>
      <c r="AT652" s="171"/>
      <c r="AU652" s="147" t="s">
        <v>1022</v>
      </c>
      <c r="AV652" s="247" t="s">
        <v>1122</v>
      </c>
      <c r="AX652" s="171"/>
      <c r="AY652" s="147" t="s">
        <v>1022</v>
      </c>
      <c r="AZ652" s="247" t="s">
        <v>1122</v>
      </c>
      <c r="BB652" s="171"/>
      <c r="BC652" s="147" t="s">
        <v>1022</v>
      </c>
      <c r="BD652" s="247" t="s">
        <v>1122</v>
      </c>
      <c r="BF652" s="171"/>
      <c r="BG652" s="147" t="s">
        <v>1022</v>
      </c>
      <c r="BH652" s="247" t="s">
        <v>1122</v>
      </c>
      <c r="BJ652" s="171"/>
      <c r="BK652" s="147" t="s">
        <v>1022</v>
      </c>
      <c r="BL652" s="247" t="s">
        <v>1122</v>
      </c>
      <c r="BN652" s="171"/>
      <c r="BO652" s="147" t="s">
        <v>1022</v>
      </c>
      <c r="BP652" s="247" t="s">
        <v>1122</v>
      </c>
      <c r="BR652" s="171"/>
      <c r="BS652" s="147" t="s">
        <v>1022</v>
      </c>
      <c r="BT652" s="247" t="s">
        <v>1122</v>
      </c>
    </row>
    <row r="653" spans="1:72" x14ac:dyDescent="0.15">
      <c r="A653" s="188" t="s">
        <v>1023</v>
      </c>
      <c r="B653" s="168" t="s">
        <v>287</v>
      </c>
      <c r="C653" s="173"/>
      <c r="D653" s="170"/>
      <c r="E653" s="128"/>
      <c r="F653" s="171"/>
      <c r="G653" s="147" t="s">
        <v>1024</v>
      </c>
      <c r="H653" s="172"/>
      <c r="I653" s="164"/>
      <c r="J653" s="171"/>
      <c r="K653" s="147" t="s">
        <v>1024</v>
      </c>
      <c r="L653" s="247" t="s">
        <v>440</v>
      </c>
      <c r="M653" s="174"/>
      <c r="N653" s="171"/>
      <c r="O653" s="147" t="s">
        <v>1024</v>
      </c>
      <c r="P653" s="247" t="s">
        <v>440</v>
      </c>
      <c r="R653" s="171"/>
      <c r="S653" s="147" t="s">
        <v>1024</v>
      </c>
      <c r="T653" s="247" t="s">
        <v>440</v>
      </c>
      <c r="V653" s="171"/>
      <c r="W653" s="147" t="s">
        <v>1024</v>
      </c>
      <c r="X653" s="247" t="s">
        <v>440</v>
      </c>
      <c r="Z653" s="171"/>
      <c r="AA653" s="147" t="s">
        <v>1024</v>
      </c>
      <c r="AB653" s="247" t="s">
        <v>440</v>
      </c>
      <c r="AD653" s="171"/>
      <c r="AE653" s="147" t="s">
        <v>1024</v>
      </c>
      <c r="AF653" s="247" t="s">
        <v>440</v>
      </c>
      <c r="AH653" s="171"/>
      <c r="AI653" s="147" t="s">
        <v>1024</v>
      </c>
      <c r="AJ653" s="247" t="s">
        <v>440</v>
      </c>
      <c r="AL653" s="171"/>
      <c r="AM653" s="147" t="s">
        <v>1024</v>
      </c>
      <c r="AN653" s="247" t="s">
        <v>440</v>
      </c>
      <c r="AP653" s="171"/>
      <c r="AQ653" s="147" t="s">
        <v>1024</v>
      </c>
      <c r="AR653" s="247" t="s">
        <v>440</v>
      </c>
      <c r="AT653" s="171"/>
      <c r="AU653" s="147" t="s">
        <v>1024</v>
      </c>
      <c r="AV653" s="247" t="s">
        <v>440</v>
      </c>
      <c r="AX653" s="171"/>
      <c r="AY653" s="147" t="s">
        <v>1024</v>
      </c>
      <c r="AZ653" s="247" t="s">
        <v>440</v>
      </c>
      <c r="BB653" s="171"/>
      <c r="BC653" s="147" t="s">
        <v>1024</v>
      </c>
      <c r="BD653" s="247" t="s">
        <v>440</v>
      </c>
      <c r="BF653" s="171"/>
      <c r="BG653" s="147" t="s">
        <v>1024</v>
      </c>
      <c r="BH653" s="247" t="s">
        <v>440</v>
      </c>
      <c r="BJ653" s="171"/>
      <c r="BK653" s="147" t="s">
        <v>1024</v>
      </c>
      <c r="BL653" s="247" t="s">
        <v>440</v>
      </c>
      <c r="BN653" s="171"/>
      <c r="BO653" s="147" t="s">
        <v>1024</v>
      </c>
      <c r="BP653" s="247" t="s">
        <v>440</v>
      </c>
      <c r="BR653" s="171"/>
      <c r="BS653" s="147" t="s">
        <v>1024</v>
      </c>
      <c r="BT653" s="247" t="s">
        <v>440</v>
      </c>
    </row>
    <row r="654" spans="1:72" x14ac:dyDescent="0.15">
      <c r="A654" s="188" t="s">
        <v>1025</v>
      </c>
      <c r="B654" s="168" t="s">
        <v>269</v>
      </c>
      <c r="C654" s="173"/>
      <c r="D654" s="170"/>
      <c r="E654" s="128"/>
      <c r="F654" s="136"/>
      <c r="G654" s="187" t="s">
        <v>1026</v>
      </c>
      <c r="H654" s="172"/>
      <c r="I654" s="164"/>
      <c r="J654" s="136"/>
      <c r="K654" s="187" t="s">
        <v>1026</v>
      </c>
      <c r="L654" s="246" t="s">
        <v>1148</v>
      </c>
      <c r="M654" s="174"/>
      <c r="N654" s="136"/>
      <c r="O654" s="187" t="s">
        <v>1026</v>
      </c>
      <c r="P654" s="246" t="s">
        <v>1148</v>
      </c>
      <c r="R654" s="136"/>
      <c r="S654" s="187" t="s">
        <v>1026</v>
      </c>
      <c r="T654" s="246" t="s">
        <v>1148</v>
      </c>
      <c r="V654" s="136"/>
      <c r="W654" s="187" t="s">
        <v>1026</v>
      </c>
      <c r="X654" s="246" t="s">
        <v>1148</v>
      </c>
      <c r="Z654" s="136"/>
      <c r="AA654" s="187" t="s">
        <v>1026</v>
      </c>
      <c r="AB654" s="246" t="s">
        <v>1148</v>
      </c>
      <c r="AD654" s="136"/>
      <c r="AE654" s="187" t="s">
        <v>1026</v>
      </c>
      <c r="AF654" s="246" t="s">
        <v>1148</v>
      </c>
      <c r="AH654" s="136"/>
      <c r="AI654" s="187" t="s">
        <v>1026</v>
      </c>
      <c r="AJ654" s="246" t="s">
        <v>1148</v>
      </c>
      <c r="AL654" s="136"/>
      <c r="AM654" s="187" t="s">
        <v>1026</v>
      </c>
      <c r="AN654" s="246" t="s">
        <v>1148</v>
      </c>
      <c r="AP654" s="136"/>
      <c r="AQ654" s="187" t="s">
        <v>1026</v>
      </c>
      <c r="AR654" s="246" t="s">
        <v>1148</v>
      </c>
      <c r="AT654" s="136"/>
      <c r="AU654" s="187" t="s">
        <v>1026</v>
      </c>
      <c r="AV654" s="246" t="s">
        <v>1148</v>
      </c>
      <c r="AX654" s="136"/>
      <c r="AY654" s="187" t="s">
        <v>1026</v>
      </c>
      <c r="AZ654" s="246" t="s">
        <v>1148</v>
      </c>
      <c r="BB654" s="136"/>
      <c r="BC654" s="187" t="s">
        <v>1026</v>
      </c>
      <c r="BD654" s="246" t="s">
        <v>1148</v>
      </c>
      <c r="BF654" s="136"/>
      <c r="BG654" s="187" t="s">
        <v>1026</v>
      </c>
      <c r="BH654" s="246" t="s">
        <v>1148</v>
      </c>
      <c r="BJ654" s="136"/>
      <c r="BK654" s="187" t="s">
        <v>1026</v>
      </c>
      <c r="BL654" s="246" t="s">
        <v>1148</v>
      </c>
      <c r="BN654" s="136"/>
      <c r="BO654" s="187" t="s">
        <v>1026</v>
      </c>
      <c r="BP654" s="246" t="s">
        <v>1148</v>
      </c>
      <c r="BR654" s="136"/>
      <c r="BS654" s="187" t="s">
        <v>1026</v>
      </c>
      <c r="BT654" s="246" t="s">
        <v>1148</v>
      </c>
    </row>
    <row r="655" spans="1:72" ht="12.75" customHeight="1" x14ac:dyDescent="0.15">
      <c r="A655" s="175"/>
      <c r="B655" s="189"/>
      <c r="C655" s="129"/>
      <c r="D655" s="174"/>
      <c r="E655" s="128"/>
      <c r="F655" s="171"/>
      <c r="G655" s="147"/>
      <c r="H655" s="172"/>
      <c r="I655" s="164"/>
      <c r="J655" s="171"/>
      <c r="K655" s="147"/>
      <c r="L655" s="168"/>
      <c r="M655" s="174"/>
      <c r="N655" s="171"/>
      <c r="O655" s="147"/>
      <c r="P655" s="168"/>
      <c r="R655" s="171"/>
      <c r="S655" s="147"/>
      <c r="T655" s="168"/>
      <c r="V655" s="171"/>
      <c r="W655" s="147"/>
      <c r="X655" s="168"/>
      <c r="Z655" s="171"/>
      <c r="AA655" s="147"/>
      <c r="AB655" s="168"/>
      <c r="AD655" s="171"/>
      <c r="AE655" s="147"/>
      <c r="AF655" s="168"/>
      <c r="AH655" s="171"/>
      <c r="AI655" s="147"/>
      <c r="AJ655" s="168"/>
      <c r="AL655" s="171"/>
      <c r="AM655" s="147"/>
      <c r="AN655" s="168"/>
      <c r="AP655" s="171"/>
      <c r="AQ655" s="147"/>
      <c r="AR655" s="168"/>
      <c r="AT655" s="171"/>
      <c r="AU655" s="147"/>
      <c r="AV655" s="168"/>
      <c r="AX655" s="171"/>
      <c r="AY655" s="147"/>
      <c r="AZ655" s="168"/>
      <c r="BB655" s="171"/>
      <c r="BC655" s="147"/>
      <c r="BD655" s="168"/>
      <c r="BF655" s="171"/>
      <c r="BG655" s="147"/>
      <c r="BH655" s="168"/>
      <c r="BJ655" s="171"/>
      <c r="BK655" s="147"/>
      <c r="BL655" s="168"/>
      <c r="BN655" s="171"/>
      <c r="BO655" s="147"/>
      <c r="BP655" s="168"/>
      <c r="BR655" s="171"/>
      <c r="BS655" s="147"/>
      <c r="BT655" s="168"/>
    </row>
    <row r="656" spans="1:72" ht="12.75" customHeight="1" x14ac:dyDescent="0.15">
      <c r="A656" s="175"/>
      <c r="B656" s="176"/>
      <c r="C656" s="129"/>
      <c r="D656" s="174"/>
      <c r="E656" s="128"/>
      <c r="F656" s="180"/>
      <c r="G656" s="147"/>
      <c r="H656" s="172"/>
      <c r="I656" s="164"/>
      <c r="J656" s="180"/>
      <c r="K656" s="147"/>
      <c r="L656" s="168"/>
      <c r="M656" s="174"/>
      <c r="N656" s="180"/>
      <c r="O656" s="147"/>
      <c r="P656" s="168"/>
      <c r="R656" s="180"/>
      <c r="S656" s="147"/>
      <c r="T656" s="168"/>
      <c r="V656" s="180"/>
      <c r="W656" s="147"/>
      <c r="X656" s="168"/>
      <c r="Z656" s="180"/>
      <c r="AA656" s="147"/>
      <c r="AB656" s="168"/>
      <c r="AD656" s="180"/>
      <c r="AE656" s="147"/>
      <c r="AF656" s="168"/>
      <c r="AH656" s="180"/>
      <c r="AI656" s="147"/>
      <c r="AJ656" s="168"/>
      <c r="AL656" s="180"/>
      <c r="AM656" s="147"/>
      <c r="AN656" s="168"/>
      <c r="AP656" s="180"/>
      <c r="AQ656" s="147"/>
      <c r="AR656" s="168"/>
      <c r="AT656" s="180"/>
      <c r="AU656" s="147"/>
      <c r="AV656" s="168"/>
      <c r="AX656" s="180"/>
      <c r="AY656" s="147"/>
      <c r="AZ656" s="168"/>
      <c r="BB656" s="180"/>
      <c r="BC656" s="147"/>
      <c r="BD656" s="168"/>
      <c r="BF656" s="180"/>
      <c r="BG656" s="147"/>
      <c r="BH656" s="168"/>
      <c r="BJ656" s="180"/>
      <c r="BK656" s="147"/>
      <c r="BL656" s="168"/>
      <c r="BN656" s="180"/>
      <c r="BO656" s="147"/>
      <c r="BP656" s="168"/>
      <c r="BR656" s="180"/>
      <c r="BS656" s="147"/>
      <c r="BT656" s="168"/>
    </row>
    <row r="657" spans="1:72" ht="12.75" customHeight="1" x14ac:dyDescent="0.15">
      <c r="A657" s="175"/>
      <c r="B657" s="176"/>
      <c r="C657" s="176"/>
      <c r="E657" s="128"/>
      <c r="F657" s="131" t="s">
        <v>1027</v>
      </c>
      <c r="G657" s="185"/>
      <c r="H657" s="186"/>
      <c r="I657" s="164"/>
      <c r="J657" s="131" t="s">
        <v>1027</v>
      </c>
      <c r="K657" s="185"/>
      <c r="L657" s="242"/>
      <c r="M657" s="174"/>
      <c r="N657" s="131" t="s">
        <v>1027</v>
      </c>
      <c r="O657" s="185"/>
      <c r="P657" s="242"/>
      <c r="R657" s="131" t="s">
        <v>1027</v>
      </c>
      <c r="S657" s="185"/>
      <c r="T657" s="242"/>
      <c r="V657" s="131" t="s">
        <v>1027</v>
      </c>
      <c r="W657" s="185"/>
      <c r="X657" s="242"/>
      <c r="Z657" s="131" t="s">
        <v>1027</v>
      </c>
      <c r="AA657" s="185"/>
      <c r="AB657" s="242"/>
      <c r="AD657" s="131" t="s">
        <v>1027</v>
      </c>
      <c r="AE657" s="185"/>
      <c r="AF657" s="242"/>
      <c r="AH657" s="131" t="s">
        <v>1027</v>
      </c>
      <c r="AI657" s="185"/>
      <c r="AJ657" s="242"/>
      <c r="AL657" s="131" t="s">
        <v>1027</v>
      </c>
      <c r="AM657" s="185"/>
      <c r="AN657" s="242"/>
      <c r="AP657" s="131" t="s">
        <v>1027</v>
      </c>
      <c r="AQ657" s="185"/>
      <c r="AR657" s="242"/>
      <c r="AT657" s="131" t="s">
        <v>1027</v>
      </c>
      <c r="AU657" s="185"/>
      <c r="AV657" s="242"/>
      <c r="AX657" s="131" t="s">
        <v>1027</v>
      </c>
      <c r="AY657" s="185"/>
      <c r="AZ657" s="242"/>
      <c r="BB657" s="131" t="s">
        <v>1027</v>
      </c>
      <c r="BC657" s="185"/>
      <c r="BD657" s="242"/>
      <c r="BF657" s="131" t="s">
        <v>1027</v>
      </c>
      <c r="BG657" s="185"/>
      <c r="BH657" s="242"/>
      <c r="BJ657" s="131" t="s">
        <v>1027</v>
      </c>
      <c r="BK657" s="185"/>
      <c r="BL657" s="242"/>
      <c r="BN657" s="131" t="s">
        <v>1027</v>
      </c>
      <c r="BO657" s="185"/>
      <c r="BP657" s="242"/>
      <c r="BR657" s="131" t="s">
        <v>1027</v>
      </c>
      <c r="BS657" s="185"/>
      <c r="BT657" s="242"/>
    </row>
    <row r="658" spans="1:72" ht="12.75" customHeight="1" x14ac:dyDescent="0.15">
      <c r="A658" s="134" t="s">
        <v>447</v>
      </c>
      <c r="B658" s="135" t="s">
        <v>448</v>
      </c>
      <c r="C658" s="135" t="s">
        <v>449</v>
      </c>
      <c r="E658" s="128"/>
      <c r="F658" s="136"/>
      <c r="G658" s="137" t="s">
        <v>125</v>
      </c>
      <c r="H658" s="138" t="s">
        <v>450</v>
      </c>
      <c r="I658" s="164"/>
      <c r="J658" s="136"/>
      <c r="K658" s="137" t="s">
        <v>125</v>
      </c>
      <c r="L658" s="229" t="s">
        <v>450</v>
      </c>
      <c r="M658" s="174"/>
      <c r="N658" s="136"/>
      <c r="O658" s="137" t="s">
        <v>125</v>
      </c>
      <c r="P658" s="229" t="s">
        <v>450</v>
      </c>
      <c r="R658" s="136"/>
      <c r="S658" s="137" t="s">
        <v>125</v>
      </c>
      <c r="T658" s="229" t="s">
        <v>450</v>
      </c>
      <c r="V658" s="136"/>
      <c r="W658" s="137" t="s">
        <v>125</v>
      </c>
      <c r="X658" s="229" t="s">
        <v>450</v>
      </c>
      <c r="Z658" s="136"/>
      <c r="AA658" s="137" t="s">
        <v>125</v>
      </c>
      <c r="AB658" s="229" t="s">
        <v>450</v>
      </c>
      <c r="AD658" s="136"/>
      <c r="AE658" s="137" t="s">
        <v>125</v>
      </c>
      <c r="AF658" s="229" t="s">
        <v>450</v>
      </c>
      <c r="AH658" s="136"/>
      <c r="AI658" s="137" t="s">
        <v>125</v>
      </c>
      <c r="AJ658" s="229" t="s">
        <v>450</v>
      </c>
      <c r="AL658" s="136"/>
      <c r="AM658" s="137" t="s">
        <v>125</v>
      </c>
      <c r="AN658" s="229" t="s">
        <v>450</v>
      </c>
      <c r="AP658" s="136"/>
      <c r="AQ658" s="137" t="s">
        <v>125</v>
      </c>
      <c r="AR658" s="229" t="s">
        <v>450</v>
      </c>
      <c r="AT658" s="136"/>
      <c r="AU658" s="137" t="s">
        <v>125</v>
      </c>
      <c r="AV658" s="229" t="s">
        <v>450</v>
      </c>
      <c r="AX658" s="136"/>
      <c r="AY658" s="137" t="s">
        <v>125</v>
      </c>
      <c r="AZ658" s="229" t="s">
        <v>450</v>
      </c>
      <c r="BB658" s="136"/>
      <c r="BC658" s="137" t="s">
        <v>125</v>
      </c>
      <c r="BD658" s="229" t="s">
        <v>450</v>
      </c>
      <c r="BF658" s="136"/>
      <c r="BG658" s="137" t="s">
        <v>125</v>
      </c>
      <c r="BH658" s="229" t="s">
        <v>450</v>
      </c>
      <c r="BJ658" s="136"/>
      <c r="BK658" s="137" t="s">
        <v>125</v>
      </c>
      <c r="BL658" s="229" t="s">
        <v>450</v>
      </c>
      <c r="BN658" s="136"/>
      <c r="BO658" s="137" t="s">
        <v>125</v>
      </c>
      <c r="BP658" s="229" t="s">
        <v>450</v>
      </c>
      <c r="BR658" s="136"/>
      <c r="BS658" s="137" t="s">
        <v>125</v>
      </c>
      <c r="BT658" s="229" t="s">
        <v>450</v>
      </c>
    </row>
    <row r="659" spans="1:72" s="174" customFormat="1" x14ac:dyDescent="0.15">
      <c r="A659" s="182"/>
      <c r="B659" s="168" t="s">
        <v>287</v>
      </c>
      <c r="C659" s="140"/>
      <c r="D659" s="170"/>
      <c r="E659" s="130"/>
      <c r="F659" s="136"/>
      <c r="G659" s="141" t="s">
        <v>224</v>
      </c>
      <c r="H659" s="179"/>
      <c r="J659" s="136"/>
      <c r="K659" s="141" t="s">
        <v>224</v>
      </c>
      <c r="L659" s="248" t="s">
        <v>86</v>
      </c>
      <c r="N659" s="136"/>
      <c r="O659" s="141" t="s">
        <v>224</v>
      </c>
      <c r="P659" s="241" t="s">
        <v>440</v>
      </c>
      <c r="R659" s="136"/>
      <c r="S659" s="141" t="s">
        <v>224</v>
      </c>
      <c r="T659" s="241" t="s">
        <v>440</v>
      </c>
      <c r="V659" s="136"/>
      <c r="W659" s="141" t="s">
        <v>224</v>
      </c>
      <c r="X659" s="248" t="s">
        <v>86</v>
      </c>
      <c r="Z659" s="136"/>
      <c r="AA659" s="141" t="s">
        <v>224</v>
      </c>
      <c r="AB659" s="241" t="s">
        <v>440</v>
      </c>
      <c r="AD659" s="136"/>
      <c r="AE659" s="141" t="s">
        <v>224</v>
      </c>
      <c r="AF659" s="248" t="s">
        <v>86</v>
      </c>
      <c r="AH659" s="136"/>
      <c r="AI659" s="141" t="s">
        <v>224</v>
      </c>
      <c r="AJ659" s="248" t="s">
        <v>86</v>
      </c>
      <c r="AL659" s="136"/>
      <c r="AM659" s="141" t="s">
        <v>224</v>
      </c>
      <c r="AN659" s="248" t="s">
        <v>86</v>
      </c>
      <c r="AP659" s="136"/>
      <c r="AQ659" s="141" t="s">
        <v>224</v>
      </c>
      <c r="AR659" s="241" t="s">
        <v>440</v>
      </c>
      <c r="AT659" s="136"/>
      <c r="AU659" s="141" t="s">
        <v>224</v>
      </c>
      <c r="AV659" s="241" t="s">
        <v>440</v>
      </c>
      <c r="AX659" s="136"/>
      <c r="AY659" s="141" t="s">
        <v>224</v>
      </c>
      <c r="AZ659" s="248" t="s">
        <v>86</v>
      </c>
      <c r="BB659" s="136"/>
      <c r="BC659" s="141" t="s">
        <v>224</v>
      </c>
      <c r="BD659" s="241" t="s">
        <v>440</v>
      </c>
      <c r="BF659" s="136"/>
      <c r="BG659" s="141" t="s">
        <v>224</v>
      </c>
      <c r="BH659" s="241" t="s">
        <v>440</v>
      </c>
      <c r="BJ659" s="136"/>
      <c r="BK659" s="141" t="s">
        <v>224</v>
      </c>
      <c r="BL659" s="248" t="s">
        <v>86</v>
      </c>
      <c r="BN659" s="136"/>
      <c r="BO659" s="141" t="s">
        <v>224</v>
      </c>
      <c r="BP659" s="241" t="s">
        <v>440</v>
      </c>
      <c r="BR659" s="136"/>
      <c r="BS659" s="141" t="s">
        <v>224</v>
      </c>
      <c r="BT659" s="241" t="s">
        <v>440</v>
      </c>
    </row>
    <row r="660" spans="1:72" s="174" customFormat="1" x14ac:dyDescent="0.15">
      <c r="A660" s="182"/>
      <c r="B660" s="168" t="s">
        <v>85</v>
      </c>
      <c r="C660" s="140"/>
      <c r="D660" s="170"/>
      <c r="E660" s="130"/>
      <c r="F660" s="136"/>
      <c r="G660" s="141" t="s">
        <v>301</v>
      </c>
      <c r="H660" s="179"/>
      <c r="J660" s="136"/>
      <c r="K660" s="141" t="s">
        <v>301</v>
      </c>
      <c r="L660" s="241" t="s">
        <v>86</v>
      </c>
      <c r="N660" s="136"/>
      <c r="O660" s="141" t="s">
        <v>301</v>
      </c>
      <c r="P660" s="248" t="s">
        <v>440</v>
      </c>
      <c r="R660" s="136"/>
      <c r="S660" s="141" t="s">
        <v>301</v>
      </c>
      <c r="T660" s="241" t="s">
        <v>86</v>
      </c>
      <c r="V660" s="136"/>
      <c r="W660" s="141" t="s">
        <v>301</v>
      </c>
      <c r="X660" s="241" t="s">
        <v>86</v>
      </c>
      <c r="Z660" s="136"/>
      <c r="AA660" s="141" t="s">
        <v>301</v>
      </c>
      <c r="AB660" s="248" t="s">
        <v>440</v>
      </c>
      <c r="AD660" s="136"/>
      <c r="AE660" s="141" t="s">
        <v>301</v>
      </c>
      <c r="AF660" s="241" t="s">
        <v>86</v>
      </c>
      <c r="AH660" s="136"/>
      <c r="AI660" s="141" t="s">
        <v>301</v>
      </c>
      <c r="AJ660" s="241" t="s">
        <v>86</v>
      </c>
      <c r="AL660" s="136"/>
      <c r="AM660" s="141" t="s">
        <v>301</v>
      </c>
      <c r="AN660" s="241" t="s">
        <v>86</v>
      </c>
      <c r="AP660" s="136"/>
      <c r="AQ660" s="141" t="s">
        <v>301</v>
      </c>
      <c r="AR660" s="248" t="s">
        <v>440</v>
      </c>
      <c r="AT660" s="136"/>
      <c r="AU660" s="141" t="s">
        <v>301</v>
      </c>
      <c r="AV660" s="241" t="s">
        <v>86</v>
      </c>
      <c r="AX660" s="136"/>
      <c r="AY660" s="141" t="s">
        <v>301</v>
      </c>
      <c r="AZ660" s="241" t="s">
        <v>86</v>
      </c>
      <c r="BB660" s="136"/>
      <c r="BC660" s="141" t="s">
        <v>301</v>
      </c>
      <c r="BD660" s="248" t="s">
        <v>440</v>
      </c>
      <c r="BF660" s="136"/>
      <c r="BG660" s="141" t="s">
        <v>301</v>
      </c>
      <c r="BH660" s="248" t="s">
        <v>440</v>
      </c>
      <c r="BJ660" s="136"/>
      <c r="BK660" s="141" t="s">
        <v>301</v>
      </c>
      <c r="BL660" s="241" t="s">
        <v>86</v>
      </c>
      <c r="BN660" s="136"/>
      <c r="BO660" s="141" t="s">
        <v>301</v>
      </c>
      <c r="BP660" s="248" t="s">
        <v>440</v>
      </c>
      <c r="BR660" s="136"/>
      <c r="BS660" s="141" t="s">
        <v>301</v>
      </c>
      <c r="BT660" s="248" t="s">
        <v>440</v>
      </c>
    </row>
    <row r="661" spans="1:72" s="174" customFormat="1" x14ac:dyDescent="0.15">
      <c r="A661" s="182"/>
      <c r="B661" s="168" t="s">
        <v>85</v>
      </c>
      <c r="C661" s="140"/>
      <c r="D661" s="170"/>
      <c r="E661" s="130"/>
      <c r="F661" s="136"/>
      <c r="G661" s="141" t="s">
        <v>297</v>
      </c>
      <c r="H661" s="179"/>
      <c r="J661" s="136"/>
      <c r="K661" s="141" t="s">
        <v>297</v>
      </c>
      <c r="L661" s="241" t="s">
        <v>86</v>
      </c>
      <c r="N661" s="136"/>
      <c r="O661" s="141" t="s">
        <v>297</v>
      </c>
      <c r="P661" s="248" t="s">
        <v>440</v>
      </c>
      <c r="R661" s="136"/>
      <c r="S661" s="141" t="s">
        <v>297</v>
      </c>
      <c r="T661" s="241" t="s">
        <v>86</v>
      </c>
      <c r="V661" s="136"/>
      <c r="W661" s="141" t="s">
        <v>297</v>
      </c>
      <c r="X661" s="241" t="s">
        <v>86</v>
      </c>
      <c r="Z661" s="136"/>
      <c r="AA661" s="141" t="s">
        <v>297</v>
      </c>
      <c r="AB661" s="248" t="s">
        <v>440</v>
      </c>
      <c r="AD661" s="136"/>
      <c r="AE661" s="141" t="s">
        <v>297</v>
      </c>
      <c r="AF661" s="241" t="s">
        <v>86</v>
      </c>
      <c r="AH661" s="136"/>
      <c r="AI661" s="141" t="s">
        <v>297</v>
      </c>
      <c r="AJ661" s="241" t="s">
        <v>86</v>
      </c>
      <c r="AL661" s="136"/>
      <c r="AM661" s="141" t="s">
        <v>297</v>
      </c>
      <c r="AN661" s="241" t="s">
        <v>86</v>
      </c>
      <c r="AP661" s="136"/>
      <c r="AQ661" s="141" t="s">
        <v>297</v>
      </c>
      <c r="AR661" s="248" t="s">
        <v>440</v>
      </c>
      <c r="AT661" s="136"/>
      <c r="AU661" s="141" t="s">
        <v>297</v>
      </c>
      <c r="AV661" s="241" t="s">
        <v>86</v>
      </c>
      <c r="AX661" s="136"/>
      <c r="AY661" s="141" t="s">
        <v>297</v>
      </c>
      <c r="AZ661" s="241" t="s">
        <v>86</v>
      </c>
      <c r="BB661" s="136"/>
      <c r="BC661" s="141" t="s">
        <v>297</v>
      </c>
      <c r="BD661" s="248" t="s">
        <v>440</v>
      </c>
      <c r="BF661" s="136"/>
      <c r="BG661" s="141" t="s">
        <v>297</v>
      </c>
      <c r="BH661" s="248" t="s">
        <v>440</v>
      </c>
      <c r="BJ661" s="136"/>
      <c r="BK661" s="141" t="s">
        <v>297</v>
      </c>
      <c r="BL661" s="241" t="s">
        <v>86</v>
      </c>
      <c r="BN661" s="136"/>
      <c r="BO661" s="141" t="s">
        <v>297</v>
      </c>
      <c r="BP661" s="248" t="s">
        <v>440</v>
      </c>
      <c r="BR661" s="136"/>
      <c r="BS661" s="141" t="s">
        <v>297</v>
      </c>
      <c r="BT661" s="248" t="s">
        <v>440</v>
      </c>
    </row>
    <row r="662" spans="1:72" s="174" customFormat="1" x14ac:dyDescent="0.15">
      <c r="A662" s="182"/>
      <c r="B662" s="168" t="s">
        <v>85</v>
      </c>
      <c r="C662" s="140"/>
      <c r="D662" s="170"/>
      <c r="E662" s="130"/>
      <c r="F662" s="136"/>
      <c r="G662" s="141" t="s">
        <v>299</v>
      </c>
      <c r="H662" s="179"/>
      <c r="J662" s="136"/>
      <c r="K662" s="141" t="s">
        <v>299</v>
      </c>
      <c r="L662" s="241" t="s">
        <v>86</v>
      </c>
      <c r="N662" s="136"/>
      <c r="O662" s="141" t="s">
        <v>299</v>
      </c>
      <c r="P662" s="248" t="s">
        <v>440</v>
      </c>
      <c r="R662" s="136"/>
      <c r="S662" s="141" t="s">
        <v>299</v>
      </c>
      <c r="T662" s="241" t="s">
        <v>86</v>
      </c>
      <c r="V662" s="136"/>
      <c r="W662" s="141" t="s">
        <v>299</v>
      </c>
      <c r="X662" s="241" t="s">
        <v>86</v>
      </c>
      <c r="Z662" s="136"/>
      <c r="AA662" s="141" t="s">
        <v>299</v>
      </c>
      <c r="AB662" s="248" t="s">
        <v>440</v>
      </c>
      <c r="AD662" s="136"/>
      <c r="AE662" s="141" t="s">
        <v>299</v>
      </c>
      <c r="AF662" s="241" t="s">
        <v>86</v>
      </c>
      <c r="AH662" s="136"/>
      <c r="AI662" s="141" t="s">
        <v>299</v>
      </c>
      <c r="AJ662" s="241" t="s">
        <v>86</v>
      </c>
      <c r="AL662" s="136"/>
      <c r="AM662" s="141" t="s">
        <v>299</v>
      </c>
      <c r="AN662" s="241" t="s">
        <v>86</v>
      </c>
      <c r="AP662" s="136"/>
      <c r="AQ662" s="141" t="s">
        <v>299</v>
      </c>
      <c r="AR662" s="248" t="s">
        <v>440</v>
      </c>
      <c r="AT662" s="136"/>
      <c r="AU662" s="141" t="s">
        <v>299</v>
      </c>
      <c r="AV662" s="241" t="s">
        <v>86</v>
      </c>
      <c r="AX662" s="136"/>
      <c r="AY662" s="141" t="s">
        <v>299</v>
      </c>
      <c r="AZ662" s="241" t="s">
        <v>86</v>
      </c>
      <c r="BB662" s="136"/>
      <c r="BC662" s="141" t="s">
        <v>299</v>
      </c>
      <c r="BD662" s="248" t="s">
        <v>440</v>
      </c>
      <c r="BF662" s="136"/>
      <c r="BG662" s="141" t="s">
        <v>299</v>
      </c>
      <c r="BH662" s="248" t="s">
        <v>440</v>
      </c>
      <c r="BJ662" s="136"/>
      <c r="BK662" s="141" t="s">
        <v>299</v>
      </c>
      <c r="BL662" s="241" t="s">
        <v>86</v>
      </c>
      <c r="BN662" s="136"/>
      <c r="BO662" s="141" t="s">
        <v>299</v>
      </c>
      <c r="BP662" s="248" t="s">
        <v>440</v>
      </c>
      <c r="BR662" s="136"/>
      <c r="BS662" s="141" t="s">
        <v>299</v>
      </c>
      <c r="BT662" s="248" t="s">
        <v>440</v>
      </c>
    </row>
    <row r="663" spans="1:72" s="174" customFormat="1" x14ac:dyDescent="0.15">
      <c r="A663" s="182"/>
      <c r="B663" s="168" t="s">
        <v>85</v>
      </c>
      <c r="C663" s="140"/>
      <c r="D663" s="170"/>
      <c r="E663" s="130"/>
      <c r="F663" s="136"/>
      <c r="G663" s="141" t="s">
        <v>300</v>
      </c>
      <c r="H663" s="179"/>
      <c r="J663" s="136"/>
      <c r="K663" s="141" t="s">
        <v>300</v>
      </c>
      <c r="L663" s="248" t="s">
        <v>1140</v>
      </c>
      <c r="N663" s="136"/>
      <c r="O663" s="141" t="s">
        <v>300</v>
      </c>
      <c r="P663" s="248" t="s">
        <v>440</v>
      </c>
      <c r="R663" s="136"/>
      <c r="S663" s="141" t="s">
        <v>300</v>
      </c>
      <c r="T663" s="248" t="s">
        <v>1140</v>
      </c>
      <c r="V663" s="136"/>
      <c r="W663" s="141" t="s">
        <v>300</v>
      </c>
      <c r="X663" s="248" t="s">
        <v>1140</v>
      </c>
      <c r="Z663" s="136"/>
      <c r="AA663" s="141" t="s">
        <v>300</v>
      </c>
      <c r="AB663" s="248" t="s">
        <v>440</v>
      </c>
      <c r="AD663" s="136"/>
      <c r="AE663" s="141" t="s">
        <v>300</v>
      </c>
      <c r="AF663" s="248" t="s">
        <v>1140</v>
      </c>
      <c r="AH663" s="136"/>
      <c r="AI663" s="141" t="s">
        <v>300</v>
      </c>
      <c r="AJ663" s="248" t="s">
        <v>1140</v>
      </c>
      <c r="AL663" s="136"/>
      <c r="AM663" s="141" t="s">
        <v>300</v>
      </c>
      <c r="AN663" s="248" t="s">
        <v>1140</v>
      </c>
      <c r="AP663" s="136"/>
      <c r="AQ663" s="141" t="s">
        <v>300</v>
      </c>
      <c r="AR663" s="248" t="s">
        <v>440</v>
      </c>
      <c r="AT663" s="136"/>
      <c r="AU663" s="141" t="s">
        <v>300</v>
      </c>
      <c r="AV663" s="248" t="s">
        <v>1140</v>
      </c>
      <c r="AX663" s="136"/>
      <c r="AY663" s="141" t="s">
        <v>300</v>
      </c>
      <c r="AZ663" s="248" t="s">
        <v>1140</v>
      </c>
      <c r="BB663" s="136"/>
      <c r="BC663" s="141" t="s">
        <v>300</v>
      </c>
      <c r="BD663" s="248" t="s">
        <v>440</v>
      </c>
      <c r="BF663" s="136"/>
      <c r="BG663" s="141" t="s">
        <v>300</v>
      </c>
      <c r="BH663" s="248" t="s">
        <v>440</v>
      </c>
      <c r="BJ663" s="136"/>
      <c r="BK663" s="141" t="s">
        <v>300</v>
      </c>
      <c r="BL663" s="248" t="s">
        <v>1140</v>
      </c>
      <c r="BN663" s="136"/>
      <c r="BO663" s="141" t="s">
        <v>300</v>
      </c>
      <c r="BP663" s="248" t="s">
        <v>440</v>
      </c>
      <c r="BR663" s="136"/>
      <c r="BS663" s="141" t="s">
        <v>300</v>
      </c>
      <c r="BT663" s="248" t="s">
        <v>440</v>
      </c>
    </row>
    <row r="664" spans="1:72" s="174" customFormat="1" x14ac:dyDescent="0.15">
      <c r="A664" s="182"/>
      <c r="B664" s="168" t="s">
        <v>85</v>
      </c>
      <c r="C664" s="140"/>
      <c r="D664" s="170"/>
      <c r="E664" s="130"/>
      <c r="F664" s="136"/>
      <c r="G664" s="141" t="s">
        <v>391</v>
      </c>
      <c r="H664" s="179"/>
      <c r="J664" s="136"/>
      <c r="K664" s="141" t="s">
        <v>391</v>
      </c>
      <c r="L664" s="248" t="s">
        <v>426</v>
      </c>
      <c r="N664" s="136"/>
      <c r="O664" s="141" t="s">
        <v>391</v>
      </c>
      <c r="P664" s="248" t="s">
        <v>426</v>
      </c>
      <c r="R664" s="136"/>
      <c r="S664" s="141" t="s">
        <v>391</v>
      </c>
      <c r="T664" s="248" t="s">
        <v>426</v>
      </c>
      <c r="V664" s="136"/>
      <c r="W664" s="141" t="s">
        <v>391</v>
      </c>
      <c r="X664" s="248" t="s">
        <v>426</v>
      </c>
      <c r="Z664" s="136"/>
      <c r="AA664" s="141" t="s">
        <v>391</v>
      </c>
      <c r="AB664" s="248" t="s">
        <v>426</v>
      </c>
      <c r="AD664" s="136"/>
      <c r="AE664" s="141" t="s">
        <v>391</v>
      </c>
      <c r="AF664" s="248" t="s">
        <v>426</v>
      </c>
      <c r="AH664" s="136"/>
      <c r="AI664" s="141" t="s">
        <v>391</v>
      </c>
      <c r="AJ664" s="248" t="s">
        <v>426</v>
      </c>
      <c r="AL664" s="136"/>
      <c r="AM664" s="141" t="s">
        <v>391</v>
      </c>
      <c r="AN664" s="248" t="s">
        <v>426</v>
      </c>
      <c r="AP664" s="136"/>
      <c r="AQ664" s="141" t="s">
        <v>391</v>
      </c>
      <c r="AR664" s="248" t="s">
        <v>426</v>
      </c>
      <c r="AT664" s="136"/>
      <c r="AU664" s="141" t="s">
        <v>391</v>
      </c>
      <c r="AV664" s="248" t="s">
        <v>426</v>
      </c>
      <c r="AX664" s="136"/>
      <c r="AY664" s="141" t="s">
        <v>391</v>
      </c>
      <c r="AZ664" s="248" t="s">
        <v>426</v>
      </c>
      <c r="BB664" s="136"/>
      <c r="BC664" s="141" t="s">
        <v>391</v>
      </c>
      <c r="BD664" s="248" t="s">
        <v>426</v>
      </c>
      <c r="BF664" s="136"/>
      <c r="BG664" s="141" t="s">
        <v>391</v>
      </c>
      <c r="BH664" s="248" t="s">
        <v>426</v>
      </c>
      <c r="BJ664" s="136"/>
      <c r="BK664" s="141" t="s">
        <v>391</v>
      </c>
      <c r="BL664" s="248" t="s">
        <v>426</v>
      </c>
      <c r="BN664" s="136"/>
      <c r="BO664" s="141" t="s">
        <v>391</v>
      </c>
      <c r="BP664" s="248" t="s">
        <v>426</v>
      </c>
      <c r="BR664" s="136"/>
      <c r="BS664" s="141" t="s">
        <v>391</v>
      </c>
      <c r="BT664" s="248" t="s">
        <v>426</v>
      </c>
    </row>
    <row r="665" spans="1:72" s="174" customFormat="1" x14ac:dyDescent="0.15">
      <c r="A665" s="182"/>
      <c r="B665" s="168" t="s">
        <v>85</v>
      </c>
      <c r="C665" s="140"/>
      <c r="D665" s="170"/>
      <c r="E665" s="130"/>
      <c r="F665" s="136"/>
      <c r="G665" s="141" t="s">
        <v>392</v>
      </c>
      <c r="H665" s="179"/>
      <c r="J665" s="136"/>
      <c r="K665" s="141" t="s">
        <v>392</v>
      </c>
      <c r="L665" s="248" t="s">
        <v>426</v>
      </c>
      <c r="N665" s="136"/>
      <c r="O665" s="141" t="s">
        <v>392</v>
      </c>
      <c r="P665" s="248" t="s">
        <v>426</v>
      </c>
      <c r="R665" s="136"/>
      <c r="S665" s="141" t="s">
        <v>392</v>
      </c>
      <c r="T665" s="248" t="s">
        <v>426</v>
      </c>
      <c r="V665" s="136"/>
      <c r="W665" s="141" t="s">
        <v>392</v>
      </c>
      <c r="X665" s="248" t="s">
        <v>426</v>
      </c>
      <c r="Z665" s="136"/>
      <c r="AA665" s="141" t="s">
        <v>392</v>
      </c>
      <c r="AB665" s="248" t="s">
        <v>426</v>
      </c>
      <c r="AD665" s="136"/>
      <c r="AE665" s="141" t="s">
        <v>392</v>
      </c>
      <c r="AF665" s="248" t="s">
        <v>426</v>
      </c>
      <c r="AH665" s="136"/>
      <c r="AI665" s="141" t="s">
        <v>392</v>
      </c>
      <c r="AJ665" s="248" t="s">
        <v>426</v>
      </c>
      <c r="AL665" s="136"/>
      <c r="AM665" s="141" t="s">
        <v>392</v>
      </c>
      <c r="AN665" s="248" t="s">
        <v>426</v>
      </c>
      <c r="AP665" s="136"/>
      <c r="AQ665" s="141" t="s">
        <v>392</v>
      </c>
      <c r="AR665" s="248" t="s">
        <v>426</v>
      </c>
      <c r="AT665" s="136"/>
      <c r="AU665" s="141" t="s">
        <v>392</v>
      </c>
      <c r="AV665" s="248" t="s">
        <v>426</v>
      </c>
      <c r="AX665" s="136"/>
      <c r="AY665" s="141" t="s">
        <v>392</v>
      </c>
      <c r="AZ665" s="248" t="s">
        <v>426</v>
      </c>
      <c r="BB665" s="136"/>
      <c r="BC665" s="141" t="s">
        <v>392</v>
      </c>
      <c r="BD665" s="248" t="s">
        <v>426</v>
      </c>
      <c r="BF665" s="136"/>
      <c r="BG665" s="141" t="s">
        <v>392</v>
      </c>
      <c r="BH665" s="248" t="s">
        <v>426</v>
      </c>
      <c r="BJ665" s="136"/>
      <c r="BK665" s="141" t="s">
        <v>392</v>
      </c>
      <c r="BL665" s="248" t="s">
        <v>426</v>
      </c>
      <c r="BN665" s="136"/>
      <c r="BO665" s="141" t="s">
        <v>392</v>
      </c>
      <c r="BP665" s="248" t="s">
        <v>426</v>
      </c>
      <c r="BR665" s="136"/>
      <c r="BS665" s="141" t="s">
        <v>392</v>
      </c>
      <c r="BT665" s="248" t="s">
        <v>426</v>
      </c>
    </row>
    <row r="666" spans="1:72" s="174" customFormat="1" x14ac:dyDescent="0.15">
      <c r="A666" s="182"/>
      <c r="B666" s="168" t="s">
        <v>85</v>
      </c>
      <c r="C666" s="140"/>
      <c r="D666" s="170"/>
      <c r="E666" s="130"/>
      <c r="F666" s="136"/>
      <c r="G666" s="141" t="s">
        <v>393</v>
      </c>
      <c r="H666" s="179"/>
      <c r="J666" s="136"/>
      <c r="K666" s="141" t="s">
        <v>393</v>
      </c>
      <c r="L666" s="248" t="s">
        <v>1149</v>
      </c>
      <c r="N666" s="136"/>
      <c r="O666" s="141" t="s">
        <v>393</v>
      </c>
      <c r="P666" s="248" t="s">
        <v>1149</v>
      </c>
      <c r="R666" s="136"/>
      <c r="S666" s="141" t="s">
        <v>393</v>
      </c>
      <c r="T666" s="248" t="s">
        <v>1149</v>
      </c>
      <c r="V666" s="136"/>
      <c r="W666" s="141" t="s">
        <v>393</v>
      </c>
      <c r="X666" s="248" t="s">
        <v>1149</v>
      </c>
      <c r="Z666" s="136"/>
      <c r="AA666" s="141" t="s">
        <v>393</v>
      </c>
      <c r="AB666" s="248" t="s">
        <v>1149</v>
      </c>
      <c r="AD666" s="136"/>
      <c r="AE666" s="141" t="s">
        <v>393</v>
      </c>
      <c r="AF666" s="248" t="s">
        <v>1149</v>
      </c>
      <c r="AH666" s="136"/>
      <c r="AI666" s="141" t="s">
        <v>393</v>
      </c>
      <c r="AJ666" s="248" t="s">
        <v>1149</v>
      </c>
      <c r="AL666" s="136"/>
      <c r="AM666" s="141" t="s">
        <v>393</v>
      </c>
      <c r="AN666" s="248" t="s">
        <v>1149</v>
      </c>
      <c r="AP666" s="136"/>
      <c r="AQ666" s="141" t="s">
        <v>393</v>
      </c>
      <c r="AR666" s="248" t="s">
        <v>1149</v>
      </c>
      <c r="AT666" s="136"/>
      <c r="AU666" s="141" t="s">
        <v>393</v>
      </c>
      <c r="AV666" s="248" t="s">
        <v>1149</v>
      </c>
      <c r="AX666" s="136"/>
      <c r="AY666" s="141" t="s">
        <v>393</v>
      </c>
      <c r="AZ666" s="248" t="s">
        <v>1149</v>
      </c>
      <c r="BB666" s="136"/>
      <c r="BC666" s="141" t="s">
        <v>393</v>
      </c>
      <c r="BD666" s="248" t="s">
        <v>1149</v>
      </c>
      <c r="BF666" s="136"/>
      <c r="BG666" s="141" t="s">
        <v>393</v>
      </c>
      <c r="BH666" s="248" t="s">
        <v>1149</v>
      </c>
      <c r="BJ666" s="136"/>
      <c r="BK666" s="141" t="s">
        <v>393</v>
      </c>
      <c r="BL666" s="248" t="s">
        <v>1149</v>
      </c>
      <c r="BN666" s="136"/>
      <c r="BO666" s="141" t="s">
        <v>393</v>
      </c>
      <c r="BP666" s="248" t="s">
        <v>1149</v>
      </c>
      <c r="BR666" s="136"/>
      <c r="BS666" s="141" t="s">
        <v>393</v>
      </c>
      <c r="BT666" s="248" t="s">
        <v>1149</v>
      </c>
    </row>
    <row r="667" spans="1:72" s="174" customFormat="1" x14ac:dyDescent="0.15">
      <c r="A667" s="182"/>
      <c r="B667" s="168" t="s">
        <v>85</v>
      </c>
      <c r="C667" s="140"/>
      <c r="D667" s="170"/>
      <c r="E667" s="130"/>
      <c r="F667" s="136"/>
      <c r="G667" s="141" t="s">
        <v>394</v>
      </c>
      <c r="H667" s="179"/>
      <c r="J667" s="136"/>
      <c r="K667" s="141" t="s">
        <v>394</v>
      </c>
      <c r="L667" s="248" t="s">
        <v>1139</v>
      </c>
      <c r="N667" s="136"/>
      <c r="O667" s="141" t="s">
        <v>394</v>
      </c>
      <c r="P667" s="248" t="s">
        <v>1139</v>
      </c>
      <c r="R667" s="136"/>
      <c r="S667" s="141" t="s">
        <v>394</v>
      </c>
      <c r="T667" s="248" t="s">
        <v>1139</v>
      </c>
      <c r="V667" s="136"/>
      <c r="W667" s="141" t="s">
        <v>394</v>
      </c>
      <c r="X667" s="248" t="s">
        <v>1139</v>
      </c>
      <c r="Z667" s="136"/>
      <c r="AA667" s="141" t="s">
        <v>394</v>
      </c>
      <c r="AB667" s="248" t="s">
        <v>1139</v>
      </c>
      <c r="AD667" s="136"/>
      <c r="AE667" s="141" t="s">
        <v>394</v>
      </c>
      <c r="AF667" s="248" t="s">
        <v>1139</v>
      </c>
      <c r="AH667" s="136"/>
      <c r="AI667" s="141" t="s">
        <v>394</v>
      </c>
      <c r="AJ667" s="248" t="s">
        <v>1139</v>
      </c>
      <c r="AL667" s="136"/>
      <c r="AM667" s="141" t="s">
        <v>394</v>
      </c>
      <c r="AN667" s="248" t="s">
        <v>1139</v>
      </c>
      <c r="AP667" s="136"/>
      <c r="AQ667" s="141" t="s">
        <v>394</v>
      </c>
      <c r="AR667" s="248" t="s">
        <v>1139</v>
      </c>
      <c r="AT667" s="136"/>
      <c r="AU667" s="141" t="s">
        <v>394</v>
      </c>
      <c r="AV667" s="248" t="s">
        <v>1139</v>
      </c>
      <c r="AX667" s="136"/>
      <c r="AY667" s="141" t="s">
        <v>394</v>
      </c>
      <c r="AZ667" s="248" t="s">
        <v>1139</v>
      </c>
      <c r="BB667" s="136"/>
      <c r="BC667" s="141" t="s">
        <v>394</v>
      </c>
      <c r="BD667" s="248" t="s">
        <v>1139</v>
      </c>
      <c r="BF667" s="136"/>
      <c r="BG667" s="141" t="s">
        <v>394</v>
      </c>
      <c r="BH667" s="248" t="s">
        <v>1139</v>
      </c>
      <c r="BJ667" s="136"/>
      <c r="BK667" s="141" t="s">
        <v>394</v>
      </c>
      <c r="BL667" s="248" t="s">
        <v>1139</v>
      </c>
      <c r="BN667" s="136"/>
      <c r="BO667" s="141" t="s">
        <v>394</v>
      </c>
      <c r="BP667" s="248" t="s">
        <v>1139</v>
      </c>
      <c r="BR667" s="136"/>
      <c r="BS667" s="141" t="s">
        <v>394</v>
      </c>
      <c r="BT667" s="248" t="s">
        <v>1139</v>
      </c>
    </row>
    <row r="668" spans="1:72" s="174" customFormat="1" x14ac:dyDescent="0.15">
      <c r="A668" s="182"/>
      <c r="B668" s="168" t="s">
        <v>85</v>
      </c>
      <c r="C668" s="140"/>
      <c r="D668" s="170"/>
      <c r="E668" s="130"/>
      <c r="F668" s="136"/>
      <c r="G668" s="141" t="s">
        <v>395</v>
      </c>
      <c r="H668" s="179"/>
      <c r="J668" s="136"/>
      <c r="K668" s="141" t="s">
        <v>395</v>
      </c>
      <c r="L668" s="248" t="s">
        <v>1150</v>
      </c>
      <c r="N668" s="136"/>
      <c r="O668" s="141" t="s">
        <v>395</v>
      </c>
      <c r="P668" s="248" t="s">
        <v>1150</v>
      </c>
      <c r="R668" s="136"/>
      <c r="S668" s="141" t="s">
        <v>395</v>
      </c>
      <c r="T668" s="248" t="s">
        <v>1150</v>
      </c>
      <c r="V668" s="136"/>
      <c r="W668" s="141" t="s">
        <v>395</v>
      </c>
      <c r="X668" s="248" t="s">
        <v>1150</v>
      </c>
      <c r="Z668" s="136"/>
      <c r="AA668" s="141" t="s">
        <v>395</v>
      </c>
      <c r="AB668" s="248" t="s">
        <v>1150</v>
      </c>
      <c r="AD668" s="136"/>
      <c r="AE668" s="141" t="s">
        <v>395</v>
      </c>
      <c r="AF668" s="248" t="s">
        <v>1150</v>
      </c>
      <c r="AH668" s="136"/>
      <c r="AI668" s="141" t="s">
        <v>395</v>
      </c>
      <c r="AJ668" s="248" t="s">
        <v>1150</v>
      </c>
      <c r="AL668" s="136"/>
      <c r="AM668" s="141" t="s">
        <v>395</v>
      </c>
      <c r="AN668" s="248" t="s">
        <v>1150</v>
      </c>
      <c r="AP668" s="136"/>
      <c r="AQ668" s="141" t="s">
        <v>395</v>
      </c>
      <c r="AR668" s="248" t="s">
        <v>1150</v>
      </c>
      <c r="AT668" s="136"/>
      <c r="AU668" s="141" t="s">
        <v>395</v>
      </c>
      <c r="AV668" s="248" t="s">
        <v>1150</v>
      </c>
      <c r="AX668" s="136"/>
      <c r="AY668" s="141" t="s">
        <v>395</v>
      </c>
      <c r="AZ668" s="248" t="s">
        <v>1150</v>
      </c>
      <c r="BB668" s="136"/>
      <c r="BC668" s="141" t="s">
        <v>395</v>
      </c>
      <c r="BD668" s="248" t="s">
        <v>1150</v>
      </c>
      <c r="BF668" s="136"/>
      <c r="BG668" s="141" t="s">
        <v>395</v>
      </c>
      <c r="BH668" s="248" t="s">
        <v>1150</v>
      </c>
      <c r="BJ668" s="136"/>
      <c r="BK668" s="141" t="s">
        <v>395</v>
      </c>
      <c r="BL668" s="248" t="s">
        <v>1150</v>
      </c>
      <c r="BN668" s="136"/>
      <c r="BO668" s="141" t="s">
        <v>395</v>
      </c>
      <c r="BP668" s="248" t="s">
        <v>1150</v>
      </c>
      <c r="BR668" s="136"/>
      <c r="BS668" s="141" t="s">
        <v>395</v>
      </c>
      <c r="BT668" s="248" t="s">
        <v>1150</v>
      </c>
    </row>
    <row r="669" spans="1:72" s="174" customFormat="1" x14ac:dyDescent="0.15">
      <c r="A669" s="182"/>
      <c r="B669" s="168" t="s">
        <v>85</v>
      </c>
      <c r="C669" s="140"/>
      <c r="D669" s="170"/>
      <c r="E669" s="130"/>
      <c r="F669" s="136"/>
      <c r="G669" s="141" t="s">
        <v>396</v>
      </c>
      <c r="H669" s="179"/>
      <c r="J669" s="136"/>
      <c r="K669" s="141" t="s">
        <v>396</v>
      </c>
      <c r="L669" s="248" t="s">
        <v>1151</v>
      </c>
      <c r="N669" s="136"/>
      <c r="O669" s="141" t="s">
        <v>396</v>
      </c>
      <c r="P669" s="248" t="s">
        <v>1151</v>
      </c>
      <c r="R669" s="136"/>
      <c r="S669" s="141" t="s">
        <v>396</v>
      </c>
      <c r="T669" s="248" t="s">
        <v>1151</v>
      </c>
      <c r="V669" s="136"/>
      <c r="W669" s="141" t="s">
        <v>396</v>
      </c>
      <c r="X669" s="248" t="s">
        <v>1151</v>
      </c>
      <c r="Z669" s="136"/>
      <c r="AA669" s="141" t="s">
        <v>396</v>
      </c>
      <c r="AB669" s="248" t="s">
        <v>1151</v>
      </c>
      <c r="AD669" s="136"/>
      <c r="AE669" s="141" t="s">
        <v>396</v>
      </c>
      <c r="AF669" s="248" t="s">
        <v>1151</v>
      </c>
      <c r="AH669" s="136"/>
      <c r="AI669" s="141" t="s">
        <v>396</v>
      </c>
      <c r="AJ669" s="248" t="s">
        <v>1151</v>
      </c>
      <c r="AL669" s="136"/>
      <c r="AM669" s="141" t="s">
        <v>396</v>
      </c>
      <c r="AN669" s="248" t="s">
        <v>1151</v>
      </c>
      <c r="AP669" s="136"/>
      <c r="AQ669" s="141" t="s">
        <v>396</v>
      </c>
      <c r="AR669" s="248" t="s">
        <v>1151</v>
      </c>
      <c r="AT669" s="136"/>
      <c r="AU669" s="141" t="s">
        <v>396</v>
      </c>
      <c r="AV669" s="248" t="s">
        <v>1151</v>
      </c>
      <c r="AX669" s="136"/>
      <c r="AY669" s="141" t="s">
        <v>396</v>
      </c>
      <c r="AZ669" s="248" t="s">
        <v>1151</v>
      </c>
      <c r="BB669" s="136"/>
      <c r="BC669" s="141" t="s">
        <v>396</v>
      </c>
      <c r="BD669" s="248" t="s">
        <v>1151</v>
      </c>
      <c r="BF669" s="136"/>
      <c r="BG669" s="141" t="s">
        <v>396</v>
      </c>
      <c r="BH669" s="248" t="s">
        <v>1151</v>
      </c>
      <c r="BJ669" s="136"/>
      <c r="BK669" s="141" t="s">
        <v>396</v>
      </c>
      <c r="BL669" s="248" t="s">
        <v>1151</v>
      </c>
      <c r="BN669" s="136"/>
      <c r="BO669" s="141" t="s">
        <v>396</v>
      </c>
      <c r="BP669" s="248" t="s">
        <v>1151</v>
      </c>
      <c r="BR669" s="136"/>
      <c r="BS669" s="141" t="s">
        <v>396</v>
      </c>
      <c r="BT669" s="248" t="s">
        <v>1151</v>
      </c>
    </row>
    <row r="670" spans="1:72" s="174" customFormat="1" x14ac:dyDescent="0.15">
      <c r="A670" s="182"/>
      <c r="B670" s="168" t="s">
        <v>85</v>
      </c>
      <c r="C670" s="140"/>
      <c r="D670" s="170"/>
      <c r="E670" s="130"/>
      <c r="F670" s="136"/>
      <c r="G670" s="141" t="s">
        <v>397</v>
      </c>
      <c r="H670" s="179"/>
      <c r="J670" s="136"/>
      <c r="K670" s="141" t="s">
        <v>397</v>
      </c>
      <c r="L670" s="248" t="s">
        <v>1152</v>
      </c>
      <c r="N670" s="136"/>
      <c r="O670" s="141" t="s">
        <v>397</v>
      </c>
      <c r="P670" s="248" t="s">
        <v>1152</v>
      </c>
      <c r="R670" s="136"/>
      <c r="S670" s="141" t="s">
        <v>397</v>
      </c>
      <c r="T670" s="248" t="s">
        <v>1152</v>
      </c>
      <c r="V670" s="136"/>
      <c r="W670" s="141" t="s">
        <v>397</v>
      </c>
      <c r="X670" s="248" t="s">
        <v>1152</v>
      </c>
      <c r="Z670" s="136"/>
      <c r="AA670" s="141" t="s">
        <v>397</v>
      </c>
      <c r="AB670" s="248" t="s">
        <v>1152</v>
      </c>
      <c r="AD670" s="136"/>
      <c r="AE670" s="141" t="s">
        <v>397</v>
      </c>
      <c r="AF670" s="248" t="s">
        <v>1152</v>
      </c>
      <c r="AH670" s="136"/>
      <c r="AI670" s="141" t="s">
        <v>397</v>
      </c>
      <c r="AJ670" s="248" t="s">
        <v>1152</v>
      </c>
      <c r="AL670" s="136"/>
      <c r="AM670" s="141" t="s">
        <v>397</v>
      </c>
      <c r="AN670" s="248" t="s">
        <v>1152</v>
      </c>
      <c r="AP670" s="136"/>
      <c r="AQ670" s="141" t="s">
        <v>397</v>
      </c>
      <c r="AR670" s="248" t="s">
        <v>1152</v>
      </c>
      <c r="AT670" s="136"/>
      <c r="AU670" s="141" t="s">
        <v>397</v>
      </c>
      <c r="AV670" s="248" t="s">
        <v>1152</v>
      </c>
      <c r="AX670" s="136"/>
      <c r="AY670" s="141" t="s">
        <v>397</v>
      </c>
      <c r="AZ670" s="248" t="s">
        <v>1152</v>
      </c>
      <c r="BB670" s="136"/>
      <c r="BC670" s="141" t="s">
        <v>397</v>
      </c>
      <c r="BD670" s="248" t="s">
        <v>1152</v>
      </c>
      <c r="BF670" s="136"/>
      <c r="BG670" s="141" t="s">
        <v>397</v>
      </c>
      <c r="BH670" s="248" t="s">
        <v>1152</v>
      </c>
      <c r="BJ670" s="136"/>
      <c r="BK670" s="141" t="s">
        <v>397</v>
      </c>
      <c r="BL670" s="248" t="s">
        <v>1152</v>
      </c>
      <c r="BN670" s="136"/>
      <c r="BO670" s="141" t="s">
        <v>397</v>
      </c>
      <c r="BP670" s="248" t="s">
        <v>1152</v>
      </c>
      <c r="BR670" s="136"/>
      <c r="BS670" s="141" t="s">
        <v>397</v>
      </c>
      <c r="BT670" s="248" t="s">
        <v>1152</v>
      </c>
    </row>
    <row r="671" spans="1:72" s="174" customFormat="1" x14ac:dyDescent="0.15">
      <c r="A671" s="182"/>
      <c r="B671" s="168" t="s">
        <v>85</v>
      </c>
      <c r="C671" s="140"/>
      <c r="D671" s="170"/>
      <c r="E671" s="130"/>
      <c r="F671" s="136"/>
      <c r="G671" s="141" t="s">
        <v>383</v>
      </c>
      <c r="H671" s="179"/>
      <c r="J671" s="136"/>
      <c r="K671" s="141" t="s">
        <v>383</v>
      </c>
      <c r="L671" s="248" t="s">
        <v>426</v>
      </c>
      <c r="N671" s="136"/>
      <c r="O671" s="141" t="s">
        <v>383</v>
      </c>
      <c r="P671" s="248" t="s">
        <v>426</v>
      </c>
      <c r="R671" s="136"/>
      <c r="S671" s="141" t="s">
        <v>383</v>
      </c>
      <c r="T671" s="248" t="s">
        <v>426</v>
      </c>
      <c r="V671" s="136"/>
      <c r="W671" s="141" t="s">
        <v>383</v>
      </c>
      <c r="X671" s="248" t="s">
        <v>426</v>
      </c>
      <c r="Z671" s="136"/>
      <c r="AA671" s="141" t="s">
        <v>383</v>
      </c>
      <c r="AB671" s="248" t="s">
        <v>426</v>
      </c>
      <c r="AD671" s="136"/>
      <c r="AE671" s="141" t="s">
        <v>383</v>
      </c>
      <c r="AF671" s="248" t="s">
        <v>426</v>
      </c>
      <c r="AH671" s="136"/>
      <c r="AI671" s="141" t="s">
        <v>383</v>
      </c>
      <c r="AJ671" s="248" t="s">
        <v>426</v>
      </c>
      <c r="AL671" s="136"/>
      <c r="AM671" s="141" t="s">
        <v>383</v>
      </c>
      <c r="AN671" s="248" t="s">
        <v>426</v>
      </c>
      <c r="AP671" s="136"/>
      <c r="AQ671" s="141" t="s">
        <v>383</v>
      </c>
      <c r="AR671" s="248" t="s">
        <v>426</v>
      </c>
      <c r="AT671" s="136"/>
      <c r="AU671" s="141" t="s">
        <v>383</v>
      </c>
      <c r="AV671" s="248" t="s">
        <v>426</v>
      </c>
      <c r="AX671" s="136"/>
      <c r="AY671" s="141" t="s">
        <v>383</v>
      </c>
      <c r="AZ671" s="248" t="s">
        <v>426</v>
      </c>
      <c r="BB671" s="136"/>
      <c r="BC671" s="141" t="s">
        <v>383</v>
      </c>
      <c r="BD671" s="248" t="s">
        <v>426</v>
      </c>
      <c r="BF671" s="136"/>
      <c r="BG671" s="141" t="s">
        <v>383</v>
      </c>
      <c r="BH671" s="248" t="s">
        <v>426</v>
      </c>
      <c r="BJ671" s="136"/>
      <c r="BK671" s="141" t="s">
        <v>383</v>
      </c>
      <c r="BL671" s="248" t="s">
        <v>426</v>
      </c>
      <c r="BN671" s="136"/>
      <c r="BO671" s="141" t="s">
        <v>383</v>
      </c>
      <c r="BP671" s="248" t="s">
        <v>426</v>
      </c>
      <c r="BR671" s="136"/>
      <c r="BS671" s="141" t="s">
        <v>383</v>
      </c>
      <c r="BT671" s="248" t="s">
        <v>426</v>
      </c>
    </row>
    <row r="672" spans="1:72" s="174" customFormat="1" x14ac:dyDescent="0.15">
      <c r="A672" s="182"/>
      <c r="B672" s="168" t="s">
        <v>85</v>
      </c>
      <c r="C672" s="140"/>
      <c r="D672" s="170"/>
      <c r="E672" s="130"/>
      <c r="F672" s="136"/>
      <c r="G672" s="141" t="s">
        <v>384</v>
      </c>
      <c r="H672" s="179"/>
      <c r="J672" s="136"/>
      <c r="K672" s="141" t="s">
        <v>384</v>
      </c>
      <c r="L672" s="248" t="s">
        <v>426</v>
      </c>
      <c r="N672" s="136"/>
      <c r="O672" s="141" t="s">
        <v>384</v>
      </c>
      <c r="P672" s="248" t="s">
        <v>426</v>
      </c>
      <c r="R672" s="136"/>
      <c r="S672" s="141" t="s">
        <v>384</v>
      </c>
      <c r="T672" s="248" t="s">
        <v>426</v>
      </c>
      <c r="V672" s="136"/>
      <c r="W672" s="141" t="s">
        <v>384</v>
      </c>
      <c r="X672" s="248" t="s">
        <v>426</v>
      </c>
      <c r="Z672" s="136"/>
      <c r="AA672" s="141" t="s">
        <v>384</v>
      </c>
      <c r="AB672" s="248" t="s">
        <v>426</v>
      </c>
      <c r="AD672" s="136"/>
      <c r="AE672" s="141" t="s">
        <v>384</v>
      </c>
      <c r="AF672" s="248" t="s">
        <v>426</v>
      </c>
      <c r="AH672" s="136"/>
      <c r="AI672" s="141" t="s">
        <v>384</v>
      </c>
      <c r="AJ672" s="248" t="s">
        <v>426</v>
      </c>
      <c r="AL672" s="136"/>
      <c r="AM672" s="141" t="s">
        <v>384</v>
      </c>
      <c r="AN672" s="248" t="s">
        <v>426</v>
      </c>
      <c r="AP672" s="136"/>
      <c r="AQ672" s="141" t="s">
        <v>384</v>
      </c>
      <c r="AR672" s="248" t="s">
        <v>426</v>
      </c>
      <c r="AT672" s="136"/>
      <c r="AU672" s="141" t="s">
        <v>384</v>
      </c>
      <c r="AV672" s="248" t="s">
        <v>426</v>
      </c>
      <c r="AX672" s="136"/>
      <c r="AY672" s="141" t="s">
        <v>384</v>
      </c>
      <c r="AZ672" s="248" t="s">
        <v>426</v>
      </c>
      <c r="BB672" s="136"/>
      <c r="BC672" s="141" t="s">
        <v>384</v>
      </c>
      <c r="BD672" s="248" t="s">
        <v>426</v>
      </c>
      <c r="BF672" s="136"/>
      <c r="BG672" s="141" t="s">
        <v>384</v>
      </c>
      <c r="BH672" s="248" t="s">
        <v>426</v>
      </c>
      <c r="BJ672" s="136"/>
      <c r="BK672" s="141" t="s">
        <v>384</v>
      </c>
      <c r="BL672" s="248" t="s">
        <v>426</v>
      </c>
      <c r="BN672" s="136"/>
      <c r="BO672" s="141" t="s">
        <v>384</v>
      </c>
      <c r="BP672" s="248" t="s">
        <v>426</v>
      </c>
      <c r="BR672" s="136"/>
      <c r="BS672" s="141" t="s">
        <v>384</v>
      </c>
      <c r="BT672" s="248" t="s">
        <v>426</v>
      </c>
    </row>
    <row r="673" spans="1:72" s="174" customFormat="1" x14ac:dyDescent="0.15">
      <c r="A673" s="182"/>
      <c r="B673" s="168" t="s">
        <v>85</v>
      </c>
      <c r="C673" s="140"/>
      <c r="D673" s="170"/>
      <c r="E673" s="130"/>
      <c r="F673" s="136"/>
      <c r="G673" s="141" t="s">
        <v>385</v>
      </c>
      <c r="H673" s="179"/>
      <c r="J673" s="136"/>
      <c r="K673" s="141" t="s">
        <v>385</v>
      </c>
      <c r="L673" s="248" t="s">
        <v>1149</v>
      </c>
      <c r="N673" s="136"/>
      <c r="O673" s="141" t="s">
        <v>385</v>
      </c>
      <c r="P673" s="248" t="s">
        <v>1149</v>
      </c>
      <c r="R673" s="136"/>
      <c r="S673" s="141" t="s">
        <v>385</v>
      </c>
      <c r="T673" s="248" t="s">
        <v>1149</v>
      </c>
      <c r="V673" s="136"/>
      <c r="W673" s="141" t="s">
        <v>385</v>
      </c>
      <c r="X673" s="248" t="s">
        <v>1149</v>
      </c>
      <c r="Z673" s="136"/>
      <c r="AA673" s="141" t="s">
        <v>385</v>
      </c>
      <c r="AB673" s="248" t="s">
        <v>1149</v>
      </c>
      <c r="AD673" s="136"/>
      <c r="AE673" s="141" t="s">
        <v>385</v>
      </c>
      <c r="AF673" s="248" t="s">
        <v>1149</v>
      </c>
      <c r="AH673" s="136"/>
      <c r="AI673" s="141" t="s">
        <v>385</v>
      </c>
      <c r="AJ673" s="248" t="s">
        <v>1149</v>
      </c>
      <c r="AL673" s="136"/>
      <c r="AM673" s="141" t="s">
        <v>385</v>
      </c>
      <c r="AN673" s="248" t="s">
        <v>1149</v>
      </c>
      <c r="AP673" s="136"/>
      <c r="AQ673" s="141" t="s">
        <v>385</v>
      </c>
      <c r="AR673" s="248" t="s">
        <v>1149</v>
      </c>
      <c r="AT673" s="136"/>
      <c r="AU673" s="141" t="s">
        <v>385</v>
      </c>
      <c r="AV673" s="248" t="s">
        <v>1149</v>
      </c>
      <c r="AX673" s="136"/>
      <c r="AY673" s="141" t="s">
        <v>385</v>
      </c>
      <c r="AZ673" s="248" t="s">
        <v>1149</v>
      </c>
      <c r="BB673" s="136"/>
      <c r="BC673" s="141" t="s">
        <v>385</v>
      </c>
      <c r="BD673" s="248" t="s">
        <v>1149</v>
      </c>
      <c r="BF673" s="136"/>
      <c r="BG673" s="141" t="s">
        <v>385</v>
      </c>
      <c r="BH673" s="248" t="s">
        <v>1149</v>
      </c>
      <c r="BJ673" s="136"/>
      <c r="BK673" s="141" t="s">
        <v>385</v>
      </c>
      <c r="BL673" s="248" t="s">
        <v>1149</v>
      </c>
      <c r="BN673" s="136"/>
      <c r="BO673" s="141" t="s">
        <v>385</v>
      </c>
      <c r="BP673" s="248" t="s">
        <v>1149</v>
      </c>
      <c r="BR673" s="136"/>
      <c r="BS673" s="141" t="s">
        <v>385</v>
      </c>
      <c r="BT673" s="248" t="s">
        <v>1149</v>
      </c>
    </row>
    <row r="674" spans="1:72" s="174" customFormat="1" x14ac:dyDescent="0.15">
      <c r="A674" s="182"/>
      <c r="B674" s="168" t="s">
        <v>85</v>
      </c>
      <c r="C674" s="140"/>
      <c r="D674" s="170"/>
      <c r="E674" s="130"/>
      <c r="F674" s="136"/>
      <c r="G674" s="141" t="s">
        <v>386</v>
      </c>
      <c r="H674" s="179"/>
      <c r="J674" s="136"/>
      <c r="K674" s="141" t="s">
        <v>386</v>
      </c>
      <c r="L674" s="248" t="s">
        <v>1139</v>
      </c>
      <c r="N674" s="136"/>
      <c r="O674" s="141" t="s">
        <v>386</v>
      </c>
      <c r="P674" s="248" t="s">
        <v>1139</v>
      </c>
      <c r="R674" s="136"/>
      <c r="S674" s="141" t="s">
        <v>386</v>
      </c>
      <c r="T674" s="248" t="s">
        <v>1139</v>
      </c>
      <c r="V674" s="136"/>
      <c r="W674" s="141" t="s">
        <v>386</v>
      </c>
      <c r="X674" s="248" t="s">
        <v>1139</v>
      </c>
      <c r="Z674" s="136"/>
      <c r="AA674" s="141" t="s">
        <v>386</v>
      </c>
      <c r="AB674" s="248" t="s">
        <v>1139</v>
      </c>
      <c r="AD674" s="136"/>
      <c r="AE674" s="141" t="s">
        <v>386</v>
      </c>
      <c r="AF674" s="248" t="s">
        <v>1139</v>
      </c>
      <c r="AH674" s="136"/>
      <c r="AI674" s="141" t="s">
        <v>386</v>
      </c>
      <c r="AJ674" s="248" t="s">
        <v>1139</v>
      </c>
      <c r="AL674" s="136"/>
      <c r="AM674" s="141" t="s">
        <v>386</v>
      </c>
      <c r="AN674" s="248" t="s">
        <v>1139</v>
      </c>
      <c r="AP674" s="136"/>
      <c r="AQ674" s="141" t="s">
        <v>386</v>
      </c>
      <c r="AR674" s="248" t="s">
        <v>1139</v>
      </c>
      <c r="AT674" s="136"/>
      <c r="AU674" s="141" t="s">
        <v>386</v>
      </c>
      <c r="AV674" s="248" t="s">
        <v>1139</v>
      </c>
      <c r="AX674" s="136"/>
      <c r="AY674" s="141" t="s">
        <v>386</v>
      </c>
      <c r="AZ674" s="248" t="s">
        <v>1139</v>
      </c>
      <c r="BB674" s="136"/>
      <c r="BC674" s="141" t="s">
        <v>386</v>
      </c>
      <c r="BD674" s="248" t="s">
        <v>1139</v>
      </c>
      <c r="BF674" s="136"/>
      <c r="BG674" s="141" t="s">
        <v>386</v>
      </c>
      <c r="BH674" s="248" t="s">
        <v>1139</v>
      </c>
      <c r="BJ674" s="136"/>
      <c r="BK674" s="141" t="s">
        <v>386</v>
      </c>
      <c r="BL674" s="248" t="s">
        <v>1139</v>
      </c>
      <c r="BN674" s="136"/>
      <c r="BO674" s="141" t="s">
        <v>386</v>
      </c>
      <c r="BP674" s="248" t="s">
        <v>1139</v>
      </c>
      <c r="BR674" s="136"/>
      <c r="BS674" s="141" t="s">
        <v>386</v>
      </c>
      <c r="BT674" s="248" t="s">
        <v>1139</v>
      </c>
    </row>
    <row r="675" spans="1:72" s="174" customFormat="1" x14ac:dyDescent="0.15">
      <c r="A675" s="182"/>
      <c r="B675" s="168" t="s">
        <v>85</v>
      </c>
      <c r="C675" s="140"/>
      <c r="D675" s="170"/>
      <c r="E675" s="130"/>
      <c r="F675" s="136"/>
      <c r="G675" s="141" t="s">
        <v>387</v>
      </c>
      <c r="H675" s="179"/>
      <c r="J675" s="136"/>
      <c r="K675" s="141" t="s">
        <v>387</v>
      </c>
      <c r="L675" s="248" t="s">
        <v>1150</v>
      </c>
      <c r="N675" s="136"/>
      <c r="O675" s="141" t="s">
        <v>387</v>
      </c>
      <c r="P675" s="248" t="s">
        <v>1150</v>
      </c>
      <c r="R675" s="136"/>
      <c r="S675" s="141" t="s">
        <v>387</v>
      </c>
      <c r="T675" s="248" t="s">
        <v>1150</v>
      </c>
      <c r="V675" s="136"/>
      <c r="W675" s="141" t="s">
        <v>387</v>
      </c>
      <c r="X675" s="248" t="s">
        <v>1150</v>
      </c>
      <c r="Z675" s="136"/>
      <c r="AA675" s="141" t="s">
        <v>387</v>
      </c>
      <c r="AB675" s="248" t="s">
        <v>1150</v>
      </c>
      <c r="AD675" s="136"/>
      <c r="AE675" s="141" t="s">
        <v>387</v>
      </c>
      <c r="AF675" s="248" t="s">
        <v>1150</v>
      </c>
      <c r="AH675" s="136"/>
      <c r="AI675" s="141" t="s">
        <v>387</v>
      </c>
      <c r="AJ675" s="248" t="s">
        <v>1150</v>
      </c>
      <c r="AL675" s="136"/>
      <c r="AM675" s="141" t="s">
        <v>387</v>
      </c>
      <c r="AN675" s="248" t="s">
        <v>1150</v>
      </c>
      <c r="AP675" s="136"/>
      <c r="AQ675" s="141" t="s">
        <v>387</v>
      </c>
      <c r="AR675" s="248" t="s">
        <v>1150</v>
      </c>
      <c r="AT675" s="136"/>
      <c r="AU675" s="141" t="s">
        <v>387</v>
      </c>
      <c r="AV675" s="248" t="s">
        <v>1150</v>
      </c>
      <c r="AX675" s="136"/>
      <c r="AY675" s="141" t="s">
        <v>387</v>
      </c>
      <c r="AZ675" s="248" t="s">
        <v>1150</v>
      </c>
      <c r="BB675" s="136"/>
      <c r="BC675" s="141" t="s">
        <v>387</v>
      </c>
      <c r="BD675" s="248" t="s">
        <v>1150</v>
      </c>
      <c r="BF675" s="136"/>
      <c r="BG675" s="141" t="s">
        <v>387</v>
      </c>
      <c r="BH675" s="248" t="s">
        <v>1150</v>
      </c>
      <c r="BJ675" s="136"/>
      <c r="BK675" s="141" t="s">
        <v>387</v>
      </c>
      <c r="BL675" s="248" t="s">
        <v>1150</v>
      </c>
      <c r="BN675" s="136"/>
      <c r="BO675" s="141" t="s">
        <v>387</v>
      </c>
      <c r="BP675" s="248" t="s">
        <v>1150</v>
      </c>
      <c r="BR675" s="136"/>
      <c r="BS675" s="141" t="s">
        <v>387</v>
      </c>
      <c r="BT675" s="248" t="s">
        <v>1150</v>
      </c>
    </row>
    <row r="676" spans="1:72" s="174" customFormat="1" x14ac:dyDescent="0.15">
      <c r="A676" s="182"/>
      <c r="B676" s="168" t="s">
        <v>85</v>
      </c>
      <c r="C676" s="140"/>
      <c r="D676" s="170"/>
      <c r="E676" s="130"/>
      <c r="F676" s="136"/>
      <c r="G676" s="141" t="s">
        <v>388</v>
      </c>
      <c r="H676" s="179"/>
      <c r="J676" s="136"/>
      <c r="K676" s="141" t="s">
        <v>388</v>
      </c>
      <c r="L676" s="248" t="s">
        <v>1151</v>
      </c>
      <c r="N676" s="136"/>
      <c r="O676" s="141" t="s">
        <v>388</v>
      </c>
      <c r="P676" s="248" t="s">
        <v>1151</v>
      </c>
      <c r="R676" s="136"/>
      <c r="S676" s="141" t="s">
        <v>388</v>
      </c>
      <c r="T676" s="248" t="s">
        <v>1151</v>
      </c>
      <c r="V676" s="136"/>
      <c r="W676" s="141" t="s">
        <v>388</v>
      </c>
      <c r="X676" s="248" t="s">
        <v>1151</v>
      </c>
      <c r="Z676" s="136"/>
      <c r="AA676" s="141" t="s">
        <v>388</v>
      </c>
      <c r="AB676" s="248" t="s">
        <v>1151</v>
      </c>
      <c r="AD676" s="136"/>
      <c r="AE676" s="141" t="s">
        <v>388</v>
      </c>
      <c r="AF676" s="248" t="s">
        <v>1151</v>
      </c>
      <c r="AH676" s="136"/>
      <c r="AI676" s="141" t="s">
        <v>388</v>
      </c>
      <c r="AJ676" s="248" t="s">
        <v>1151</v>
      </c>
      <c r="AL676" s="136"/>
      <c r="AM676" s="141" t="s">
        <v>388</v>
      </c>
      <c r="AN676" s="248" t="s">
        <v>1151</v>
      </c>
      <c r="AP676" s="136"/>
      <c r="AQ676" s="141" t="s">
        <v>388</v>
      </c>
      <c r="AR676" s="248" t="s">
        <v>1151</v>
      </c>
      <c r="AT676" s="136"/>
      <c r="AU676" s="141" t="s">
        <v>388</v>
      </c>
      <c r="AV676" s="248" t="s">
        <v>1151</v>
      </c>
      <c r="AX676" s="136"/>
      <c r="AY676" s="141" t="s">
        <v>388</v>
      </c>
      <c r="AZ676" s="248" t="s">
        <v>1151</v>
      </c>
      <c r="BB676" s="136"/>
      <c r="BC676" s="141" t="s">
        <v>388</v>
      </c>
      <c r="BD676" s="248" t="s">
        <v>1151</v>
      </c>
      <c r="BF676" s="136"/>
      <c r="BG676" s="141" t="s">
        <v>388</v>
      </c>
      <c r="BH676" s="248" t="s">
        <v>1151</v>
      </c>
      <c r="BJ676" s="136"/>
      <c r="BK676" s="141" t="s">
        <v>388</v>
      </c>
      <c r="BL676" s="248" t="s">
        <v>1151</v>
      </c>
      <c r="BN676" s="136"/>
      <c r="BO676" s="141" t="s">
        <v>388</v>
      </c>
      <c r="BP676" s="248" t="s">
        <v>1151</v>
      </c>
      <c r="BR676" s="136"/>
      <c r="BS676" s="141" t="s">
        <v>388</v>
      </c>
      <c r="BT676" s="248" t="s">
        <v>1151</v>
      </c>
    </row>
    <row r="677" spans="1:72" s="174" customFormat="1" x14ac:dyDescent="0.15">
      <c r="A677" s="182"/>
      <c r="B677" s="168" t="s">
        <v>85</v>
      </c>
      <c r="C677" s="140"/>
      <c r="D677" s="170"/>
      <c r="E677" s="130"/>
      <c r="F677" s="136"/>
      <c r="G677" s="141" t="s">
        <v>389</v>
      </c>
      <c r="H677" s="179"/>
      <c r="J677" s="136"/>
      <c r="K677" s="141" t="s">
        <v>389</v>
      </c>
      <c r="L677" s="248" t="s">
        <v>1152</v>
      </c>
      <c r="N677" s="136"/>
      <c r="O677" s="141" t="s">
        <v>389</v>
      </c>
      <c r="P677" s="248" t="s">
        <v>1152</v>
      </c>
      <c r="R677" s="136"/>
      <c r="S677" s="141" t="s">
        <v>389</v>
      </c>
      <c r="T677" s="248" t="s">
        <v>1152</v>
      </c>
      <c r="V677" s="136"/>
      <c r="W677" s="141" t="s">
        <v>389</v>
      </c>
      <c r="X677" s="248" t="s">
        <v>1152</v>
      </c>
      <c r="Z677" s="136"/>
      <c r="AA677" s="141" t="s">
        <v>389</v>
      </c>
      <c r="AB677" s="248" t="s">
        <v>1152</v>
      </c>
      <c r="AD677" s="136"/>
      <c r="AE677" s="141" t="s">
        <v>389</v>
      </c>
      <c r="AF677" s="248" t="s">
        <v>1152</v>
      </c>
      <c r="AH677" s="136"/>
      <c r="AI677" s="141" t="s">
        <v>389</v>
      </c>
      <c r="AJ677" s="248" t="s">
        <v>1152</v>
      </c>
      <c r="AL677" s="136"/>
      <c r="AM677" s="141" t="s">
        <v>389</v>
      </c>
      <c r="AN677" s="248" t="s">
        <v>1152</v>
      </c>
      <c r="AP677" s="136"/>
      <c r="AQ677" s="141" t="s">
        <v>389</v>
      </c>
      <c r="AR677" s="248" t="s">
        <v>1152</v>
      </c>
      <c r="AT677" s="136"/>
      <c r="AU677" s="141" t="s">
        <v>389</v>
      </c>
      <c r="AV677" s="248" t="s">
        <v>1152</v>
      </c>
      <c r="AX677" s="136"/>
      <c r="AY677" s="141" t="s">
        <v>389</v>
      </c>
      <c r="AZ677" s="248" t="s">
        <v>1152</v>
      </c>
      <c r="BB677" s="136"/>
      <c r="BC677" s="141" t="s">
        <v>389</v>
      </c>
      <c r="BD677" s="248" t="s">
        <v>1152</v>
      </c>
      <c r="BF677" s="136"/>
      <c r="BG677" s="141" t="s">
        <v>389</v>
      </c>
      <c r="BH677" s="248" t="s">
        <v>1152</v>
      </c>
      <c r="BJ677" s="136"/>
      <c r="BK677" s="141" t="s">
        <v>389</v>
      </c>
      <c r="BL677" s="248" t="s">
        <v>1152</v>
      </c>
      <c r="BN677" s="136"/>
      <c r="BO677" s="141" t="s">
        <v>389</v>
      </c>
      <c r="BP677" s="248" t="s">
        <v>1152</v>
      </c>
      <c r="BR677" s="136"/>
      <c r="BS677" s="141" t="s">
        <v>389</v>
      </c>
      <c r="BT677" s="248" t="s">
        <v>1152</v>
      </c>
    </row>
    <row r="678" spans="1:72" s="174" customFormat="1" x14ac:dyDescent="0.15">
      <c r="A678" s="182"/>
      <c r="B678" s="168" t="s">
        <v>85</v>
      </c>
      <c r="C678" s="140"/>
      <c r="D678" s="170"/>
      <c r="E678" s="130"/>
      <c r="F678" s="136"/>
      <c r="G678" s="141" t="s">
        <v>398</v>
      </c>
      <c r="H678" s="179"/>
      <c r="J678" s="136"/>
      <c r="K678" s="141" t="s">
        <v>398</v>
      </c>
      <c r="L678" s="248" t="s">
        <v>1139</v>
      </c>
      <c r="N678" s="136"/>
      <c r="O678" s="141" t="s">
        <v>398</v>
      </c>
      <c r="P678" s="248" t="s">
        <v>1139</v>
      </c>
      <c r="R678" s="136"/>
      <c r="S678" s="141" t="s">
        <v>398</v>
      </c>
      <c r="T678" s="248" t="s">
        <v>1139</v>
      </c>
      <c r="V678" s="136"/>
      <c r="W678" s="141" t="s">
        <v>398</v>
      </c>
      <c r="X678" s="248" t="s">
        <v>1139</v>
      </c>
      <c r="Z678" s="136"/>
      <c r="AA678" s="141" t="s">
        <v>398</v>
      </c>
      <c r="AB678" s="248" t="s">
        <v>1139</v>
      </c>
      <c r="AD678" s="136"/>
      <c r="AE678" s="141" t="s">
        <v>398</v>
      </c>
      <c r="AF678" s="248" t="s">
        <v>1139</v>
      </c>
      <c r="AH678" s="136"/>
      <c r="AI678" s="141" t="s">
        <v>398</v>
      </c>
      <c r="AJ678" s="248" t="s">
        <v>1139</v>
      </c>
      <c r="AL678" s="136"/>
      <c r="AM678" s="141" t="s">
        <v>398</v>
      </c>
      <c r="AN678" s="248" t="s">
        <v>1139</v>
      </c>
      <c r="AP678" s="136"/>
      <c r="AQ678" s="141" t="s">
        <v>398</v>
      </c>
      <c r="AR678" s="248" t="s">
        <v>1139</v>
      </c>
      <c r="AT678" s="136"/>
      <c r="AU678" s="141" t="s">
        <v>398</v>
      </c>
      <c r="AV678" s="248" t="s">
        <v>1139</v>
      </c>
      <c r="AX678" s="136"/>
      <c r="AY678" s="141" t="s">
        <v>398</v>
      </c>
      <c r="AZ678" s="248" t="s">
        <v>1139</v>
      </c>
      <c r="BB678" s="136"/>
      <c r="BC678" s="141" t="s">
        <v>398</v>
      </c>
      <c r="BD678" s="248" t="s">
        <v>1139</v>
      </c>
      <c r="BF678" s="136"/>
      <c r="BG678" s="141" t="s">
        <v>398</v>
      </c>
      <c r="BH678" s="248" t="s">
        <v>1139</v>
      </c>
      <c r="BJ678" s="136"/>
      <c r="BK678" s="141" t="s">
        <v>398</v>
      </c>
      <c r="BL678" s="248" t="s">
        <v>1139</v>
      </c>
      <c r="BN678" s="136"/>
      <c r="BO678" s="141" t="s">
        <v>398</v>
      </c>
      <c r="BP678" s="248" t="s">
        <v>1139</v>
      </c>
      <c r="BR678" s="136"/>
      <c r="BS678" s="141" t="s">
        <v>398</v>
      </c>
      <c r="BT678" s="248" t="s">
        <v>1139</v>
      </c>
    </row>
    <row r="679" spans="1:72" s="174" customFormat="1" x14ac:dyDescent="0.15">
      <c r="A679" s="182"/>
      <c r="B679" s="168" t="s">
        <v>85</v>
      </c>
      <c r="C679" s="140"/>
      <c r="D679" s="170"/>
      <c r="E679" s="130"/>
      <c r="F679" s="136"/>
      <c r="G679" s="141" t="s">
        <v>390</v>
      </c>
      <c r="H679" s="179"/>
      <c r="J679" s="136"/>
      <c r="K679" s="141" t="s">
        <v>390</v>
      </c>
      <c r="L679" s="248" t="s">
        <v>1139</v>
      </c>
      <c r="N679" s="136"/>
      <c r="O679" s="141" t="s">
        <v>390</v>
      </c>
      <c r="P679" s="248" t="s">
        <v>1139</v>
      </c>
      <c r="R679" s="136"/>
      <c r="S679" s="141" t="s">
        <v>390</v>
      </c>
      <c r="T679" s="248" t="s">
        <v>1139</v>
      </c>
      <c r="V679" s="136"/>
      <c r="W679" s="141" t="s">
        <v>390</v>
      </c>
      <c r="X679" s="248" t="s">
        <v>1139</v>
      </c>
      <c r="Z679" s="136"/>
      <c r="AA679" s="141" t="s">
        <v>390</v>
      </c>
      <c r="AB679" s="248" t="s">
        <v>1139</v>
      </c>
      <c r="AD679" s="136"/>
      <c r="AE679" s="141" t="s">
        <v>390</v>
      </c>
      <c r="AF679" s="248" t="s">
        <v>1139</v>
      </c>
      <c r="AH679" s="136"/>
      <c r="AI679" s="141" t="s">
        <v>390</v>
      </c>
      <c r="AJ679" s="248" t="s">
        <v>1139</v>
      </c>
      <c r="AL679" s="136"/>
      <c r="AM679" s="141" t="s">
        <v>390</v>
      </c>
      <c r="AN679" s="248" t="s">
        <v>1139</v>
      </c>
      <c r="AP679" s="136"/>
      <c r="AQ679" s="141" t="s">
        <v>390</v>
      </c>
      <c r="AR679" s="248" t="s">
        <v>1139</v>
      </c>
      <c r="AT679" s="136"/>
      <c r="AU679" s="141" t="s">
        <v>390</v>
      </c>
      <c r="AV679" s="248" t="s">
        <v>1139</v>
      </c>
      <c r="AX679" s="136"/>
      <c r="AY679" s="141" t="s">
        <v>390</v>
      </c>
      <c r="AZ679" s="248" t="s">
        <v>1139</v>
      </c>
      <c r="BB679" s="136"/>
      <c r="BC679" s="141" t="s">
        <v>390</v>
      </c>
      <c r="BD679" s="248" t="s">
        <v>1139</v>
      </c>
      <c r="BF679" s="136"/>
      <c r="BG679" s="141" t="s">
        <v>390</v>
      </c>
      <c r="BH679" s="248" t="s">
        <v>1139</v>
      </c>
      <c r="BJ679" s="136"/>
      <c r="BK679" s="141" t="s">
        <v>390</v>
      </c>
      <c r="BL679" s="248" t="s">
        <v>1139</v>
      </c>
      <c r="BN679" s="136"/>
      <c r="BO679" s="141" t="s">
        <v>390</v>
      </c>
      <c r="BP679" s="248" t="s">
        <v>1139</v>
      </c>
      <c r="BR679" s="136"/>
      <c r="BS679" s="141" t="s">
        <v>390</v>
      </c>
      <c r="BT679" s="248" t="s">
        <v>1139</v>
      </c>
    </row>
    <row r="680" spans="1:72" s="174" customFormat="1" x14ac:dyDescent="0.15">
      <c r="A680" s="182"/>
      <c r="B680" s="168" t="s">
        <v>85</v>
      </c>
      <c r="C680" s="140"/>
      <c r="D680" s="170"/>
      <c r="E680" s="130"/>
      <c r="F680" s="136"/>
      <c r="G680" s="141" t="s">
        <v>353</v>
      </c>
      <c r="H680" s="179"/>
      <c r="J680" s="136"/>
      <c r="K680" s="141" t="s">
        <v>353</v>
      </c>
      <c r="L680" s="241" t="s">
        <v>86</v>
      </c>
      <c r="N680" s="136"/>
      <c r="O680" s="141" t="s">
        <v>353</v>
      </c>
      <c r="P680" s="241" t="s">
        <v>86</v>
      </c>
      <c r="R680" s="136"/>
      <c r="S680" s="141" t="s">
        <v>353</v>
      </c>
      <c r="T680" s="241" t="s">
        <v>86</v>
      </c>
      <c r="V680" s="136"/>
      <c r="W680" s="141" t="s">
        <v>353</v>
      </c>
      <c r="X680" s="241" t="s">
        <v>86</v>
      </c>
      <c r="Z680" s="136"/>
      <c r="AA680" s="141" t="s">
        <v>353</v>
      </c>
      <c r="AB680" s="241" t="s">
        <v>86</v>
      </c>
      <c r="AD680" s="136"/>
      <c r="AE680" s="141" t="s">
        <v>353</v>
      </c>
      <c r="AF680" s="241" t="s">
        <v>86</v>
      </c>
      <c r="AH680" s="136"/>
      <c r="AI680" s="141" t="s">
        <v>353</v>
      </c>
      <c r="AJ680" s="241" t="s">
        <v>86</v>
      </c>
      <c r="AL680" s="136"/>
      <c r="AM680" s="141" t="s">
        <v>353</v>
      </c>
      <c r="AN680" s="241" t="s">
        <v>86</v>
      </c>
      <c r="AP680" s="136"/>
      <c r="AQ680" s="141" t="s">
        <v>353</v>
      </c>
      <c r="AR680" s="241" t="s">
        <v>86</v>
      </c>
      <c r="AT680" s="136"/>
      <c r="AU680" s="141" t="s">
        <v>353</v>
      </c>
      <c r="AV680" s="241" t="s">
        <v>86</v>
      </c>
      <c r="AX680" s="136"/>
      <c r="AY680" s="141" t="s">
        <v>353</v>
      </c>
      <c r="AZ680" s="241" t="s">
        <v>86</v>
      </c>
      <c r="BB680" s="136"/>
      <c r="BC680" s="141" t="s">
        <v>353</v>
      </c>
      <c r="BD680" s="241" t="s">
        <v>86</v>
      </c>
      <c r="BF680" s="136"/>
      <c r="BG680" s="141" t="s">
        <v>353</v>
      </c>
      <c r="BH680" s="241" t="s">
        <v>86</v>
      </c>
      <c r="BJ680" s="136"/>
      <c r="BK680" s="141" t="s">
        <v>353</v>
      </c>
      <c r="BL680" s="241" t="s">
        <v>86</v>
      </c>
      <c r="BN680" s="136"/>
      <c r="BO680" s="141" t="s">
        <v>353</v>
      </c>
      <c r="BP680" s="241" t="s">
        <v>86</v>
      </c>
      <c r="BR680" s="136"/>
      <c r="BS680" s="141" t="s">
        <v>353</v>
      </c>
      <c r="BT680" s="241" t="s">
        <v>86</v>
      </c>
    </row>
    <row r="681" spans="1:72" s="174" customFormat="1" x14ac:dyDescent="0.15">
      <c r="A681" s="182"/>
      <c r="B681" s="168" t="s">
        <v>85</v>
      </c>
      <c r="C681" s="140"/>
      <c r="D681" s="170"/>
      <c r="E681" s="130"/>
      <c r="F681" s="136"/>
      <c r="G681" s="141" t="s">
        <v>354</v>
      </c>
      <c r="H681" s="179"/>
      <c r="J681" s="136"/>
      <c r="K681" s="141" t="s">
        <v>354</v>
      </c>
      <c r="L681" s="241" t="s">
        <v>86</v>
      </c>
      <c r="N681" s="136"/>
      <c r="O681" s="141" t="s">
        <v>354</v>
      </c>
      <c r="P681" s="241" t="s">
        <v>86</v>
      </c>
      <c r="R681" s="136"/>
      <c r="S681" s="141" t="s">
        <v>354</v>
      </c>
      <c r="T681" s="241" t="s">
        <v>86</v>
      </c>
      <c r="V681" s="136"/>
      <c r="W681" s="141" t="s">
        <v>354</v>
      </c>
      <c r="X681" s="241" t="s">
        <v>86</v>
      </c>
      <c r="Z681" s="136"/>
      <c r="AA681" s="141" t="s">
        <v>354</v>
      </c>
      <c r="AB681" s="241" t="s">
        <v>86</v>
      </c>
      <c r="AD681" s="136"/>
      <c r="AE681" s="141" t="s">
        <v>354</v>
      </c>
      <c r="AF681" s="241" t="s">
        <v>86</v>
      </c>
      <c r="AH681" s="136"/>
      <c r="AI681" s="141" t="s">
        <v>354</v>
      </c>
      <c r="AJ681" s="241" t="s">
        <v>86</v>
      </c>
      <c r="AL681" s="136"/>
      <c r="AM681" s="141" t="s">
        <v>354</v>
      </c>
      <c r="AN681" s="241" t="s">
        <v>86</v>
      </c>
      <c r="AP681" s="136"/>
      <c r="AQ681" s="141" t="s">
        <v>354</v>
      </c>
      <c r="AR681" s="241" t="s">
        <v>86</v>
      </c>
      <c r="AT681" s="136"/>
      <c r="AU681" s="141" t="s">
        <v>354</v>
      </c>
      <c r="AV681" s="241" t="s">
        <v>86</v>
      </c>
      <c r="AX681" s="136"/>
      <c r="AY681" s="141" t="s">
        <v>354</v>
      </c>
      <c r="AZ681" s="241" t="s">
        <v>86</v>
      </c>
      <c r="BB681" s="136"/>
      <c r="BC681" s="141" t="s">
        <v>354</v>
      </c>
      <c r="BD681" s="241" t="s">
        <v>86</v>
      </c>
      <c r="BF681" s="136"/>
      <c r="BG681" s="141" t="s">
        <v>354</v>
      </c>
      <c r="BH681" s="241" t="s">
        <v>86</v>
      </c>
      <c r="BJ681" s="136"/>
      <c r="BK681" s="141" t="s">
        <v>354</v>
      </c>
      <c r="BL681" s="241" t="s">
        <v>86</v>
      </c>
      <c r="BN681" s="136"/>
      <c r="BO681" s="141" t="s">
        <v>354</v>
      </c>
      <c r="BP681" s="241" t="s">
        <v>86</v>
      </c>
      <c r="BR681" s="136"/>
      <c r="BS681" s="141" t="s">
        <v>354</v>
      </c>
      <c r="BT681" s="248" t="s">
        <v>1141</v>
      </c>
    </row>
    <row r="682" spans="1:72" s="174" customFormat="1" x14ac:dyDescent="0.15">
      <c r="A682" s="182"/>
      <c r="B682" s="168" t="s">
        <v>85</v>
      </c>
      <c r="C682" s="140"/>
      <c r="D682" s="170"/>
      <c r="E682" s="130"/>
      <c r="F682" s="136"/>
      <c r="G682" s="141" t="s">
        <v>355</v>
      </c>
      <c r="H682" s="179"/>
      <c r="J682" s="136"/>
      <c r="K682" s="141" t="s">
        <v>355</v>
      </c>
      <c r="L682" s="241" t="s">
        <v>86</v>
      </c>
      <c r="N682" s="136"/>
      <c r="O682" s="141" t="s">
        <v>355</v>
      </c>
      <c r="P682" s="241" t="s">
        <v>86</v>
      </c>
      <c r="R682" s="136"/>
      <c r="S682" s="141" t="s">
        <v>355</v>
      </c>
      <c r="T682" s="241" t="s">
        <v>86</v>
      </c>
      <c r="V682" s="136"/>
      <c r="W682" s="141" t="s">
        <v>355</v>
      </c>
      <c r="X682" s="241" t="s">
        <v>86</v>
      </c>
      <c r="Z682" s="136"/>
      <c r="AA682" s="141" t="s">
        <v>355</v>
      </c>
      <c r="AB682" s="241" t="s">
        <v>86</v>
      </c>
      <c r="AD682" s="136"/>
      <c r="AE682" s="141" t="s">
        <v>355</v>
      </c>
      <c r="AF682" s="241" t="s">
        <v>86</v>
      </c>
      <c r="AH682" s="136"/>
      <c r="AI682" s="141" t="s">
        <v>355</v>
      </c>
      <c r="AJ682" s="241" t="s">
        <v>86</v>
      </c>
      <c r="AL682" s="136"/>
      <c r="AM682" s="141" t="s">
        <v>355</v>
      </c>
      <c r="AN682" s="241" t="s">
        <v>86</v>
      </c>
      <c r="AP682" s="136"/>
      <c r="AQ682" s="141" t="s">
        <v>355</v>
      </c>
      <c r="AR682" s="241" t="s">
        <v>86</v>
      </c>
      <c r="AT682" s="136"/>
      <c r="AU682" s="141" t="s">
        <v>355</v>
      </c>
      <c r="AV682" s="241" t="s">
        <v>86</v>
      </c>
      <c r="AX682" s="136"/>
      <c r="AY682" s="141" t="s">
        <v>355</v>
      </c>
      <c r="AZ682" s="241" t="s">
        <v>86</v>
      </c>
      <c r="BB682" s="136"/>
      <c r="BC682" s="141" t="s">
        <v>355</v>
      </c>
      <c r="BD682" s="241" t="s">
        <v>86</v>
      </c>
      <c r="BF682" s="136"/>
      <c r="BG682" s="141" t="s">
        <v>355</v>
      </c>
      <c r="BH682" s="241" t="s">
        <v>86</v>
      </c>
      <c r="BJ682" s="136"/>
      <c r="BK682" s="141" t="s">
        <v>355</v>
      </c>
      <c r="BL682" s="241" t="s">
        <v>86</v>
      </c>
      <c r="BN682" s="136"/>
      <c r="BO682" s="141" t="s">
        <v>355</v>
      </c>
      <c r="BP682" s="241" t="s">
        <v>86</v>
      </c>
      <c r="BR682" s="136"/>
      <c r="BS682" s="141" t="s">
        <v>355</v>
      </c>
      <c r="BT682" s="241" t="s">
        <v>86</v>
      </c>
    </row>
    <row r="683" spans="1:72" s="174" customFormat="1" x14ac:dyDescent="0.15">
      <c r="A683" s="182"/>
      <c r="B683" s="168" t="s">
        <v>85</v>
      </c>
      <c r="C683" s="140"/>
      <c r="D683" s="170"/>
      <c r="E683" s="130"/>
      <c r="F683" s="136"/>
      <c r="G683" s="141" t="s">
        <v>356</v>
      </c>
      <c r="H683" s="179"/>
      <c r="J683" s="136"/>
      <c r="K683" s="141" t="s">
        <v>356</v>
      </c>
      <c r="L683" s="241" t="s">
        <v>86</v>
      </c>
      <c r="N683" s="136"/>
      <c r="O683" s="141" t="s">
        <v>356</v>
      </c>
      <c r="P683" s="241" t="s">
        <v>86</v>
      </c>
      <c r="R683" s="136"/>
      <c r="S683" s="141" t="s">
        <v>356</v>
      </c>
      <c r="T683" s="241" t="s">
        <v>86</v>
      </c>
      <c r="V683" s="136"/>
      <c r="W683" s="141" t="s">
        <v>356</v>
      </c>
      <c r="X683" s="241" t="s">
        <v>86</v>
      </c>
      <c r="Z683" s="136"/>
      <c r="AA683" s="141" t="s">
        <v>356</v>
      </c>
      <c r="AB683" s="241" t="s">
        <v>86</v>
      </c>
      <c r="AD683" s="136"/>
      <c r="AE683" s="141" t="s">
        <v>356</v>
      </c>
      <c r="AF683" s="241" t="s">
        <v>86</v>
      </c>
      <c r="AH683" s="136"/>
      <c r="AI683" s="141" t="s">
        <v>356</v>
      </c>
      <c r="AJ683" s="241" t="s">
        <v>86</v>
      </c>
      <c r="AL683" s="136"/>
      <c r="AM683" s="141" t="s">
        <v>356</v>
      </c>
      <c r="AN683" s="241" t="s">
        <v>86</v>
      </c>
      <c r="AP683" s="136"/>
      <c r="AQ683" s="141" t="s">
        <v>356</v>
      </c>
      <c r="AR683" s="241" t="s">
        <v>86</v>
      </c>
      <c r="AT683" s="136"/>
      <c r="AU683" s="141" t="s">
        <v>356</v>
      </c>
      <c r="AV683" s="241" t="s">
        <v>86</v>
      </c>
      <c r="AX683" s="136"/>
      <c r="AY683" s="141" t="s">
        <v>356</v>
      </c>
      <c r="AZ683" s="241" t="s">
        <v>86</v>
      </c>
      <c r="BB683" s="136"/>
      <c r="BC683" s="141" t="s">
        <v>356</v>
      </c>
      <c r="BD683" s="241" t="s">
        <v>86</v>
      </c>
      <c r="BF683" s="136"/>
      <c r="BG683" s="141" t="s">
        <v>356</v>
      </c>
      <c r="BH683" s="241" t="s">
        <v>86</v>
      </c>
      <c r="BJ683" s="136"/>
      <c r="BK683" s="141" t="s">
        <v>356</v>
      </c>
      <c r="BL683" s="241" t="s">
        <v>86</v>
      </c>
      <c r="BN683" s="136"/>
      <c r="BO683" s="141" t="s">
        <v>356</v>
      </c>
      <c r="BP683" s="241" t="s">
        <v>86</v>
      </c>
      <c r="BR683" s="136"/>
      <c r="BS683" s="141" t="s">
        <v>356</v>
      </c>
      <c r="BT683" s="248" t="s">
        <v>1222</v>
      </c>
    </row>
    <row r="684" spans="1:72" s="174" customFormat="1" x14ac:dyDescent="0.15">
      <c r="A684" s="182"/>
      <c r="B684" s="168" t="s">
        <v>85</v>
      </c>
      <c r="C684" s="140"/>
      <c r="D684" s="170"/>
      <c r="E684" s="130"/>
      <c r="F684" s="136"/>
      <c r="G684" s="141" t="s">
        <v>357</v>
      </c>
      <c r="H684" s="179"/>
      <c r="J684" s="136"/>
      <c r="K684" s="141" t="s">
        <v>357</v>
      </c>
      <c r="L684" s="241" t="s">
        <v>86</v>
      </c>
      <c r="N684" s="136"/>
      <c r="O684" s="141" t="s">
        <v>357</v>
      </c>
      <c r="P684" s="241" t="s">
        <v>86</v>
      </c>
      <c r="R684" s="136"/>
      <c r="S684" s="141" t="s">
        <v>357</v>
      </c>
      <c r="T684" s="241" t="s">
        <v>86</v>
      </c>
      <c r="V684" s="136"/>
      <c r="W684" s="141" t="s">
        <v>357</v>
      </c>
      <c r="X684" s="241" t="s">
        <v>86</v>
      </c>
      <c r="Z684" s="136"/>
      <c r="AA684" s="141" t="s">
        <v>357</v>
      </c>
      <c r="AB684" s="241" t="s">
        <v>86</v>
      </c>
      <c r="AD684" s="136"/>
      <c r="AE684" s="141" t="s">
        <v>357</v>
      </c>
      <c r="AF684" s="241" t="s">
        <v>86</v>
      </c>
      <c r="AH684" s="136"/>
      <c r="AI684" s="141" t="s">
        <v>357</v>
      </c>
      <c r="AJ684" s="241" t="s">
        <v>86</v>
      </c>
      <c r="AL684" s="136"/>
      <c r="AM684" s="141" t="s">
        <v>357</v>
      </c>
      <c r="AN684" s="241" t="s">
        <v>86</v>
      </c>
      <c r="AP684" s="136"/>
      <c r="AQ684" s="141" t="s">
        <v>357</v>
      </c>
      <c r="AR684" s="241" t="s">
        <v>86</v>
      </c>
      <c r="AT684" s="136"/>
      <c r="AU684" s="141" t="s">
        <v>357</v>
      </c>
      <c r="AV684" s="241" t="s">
        <v>86</v>
      </c>
      <c r="AX684" s="136"/>
      <c r="AY684" s="141" t="s">
        <v>357</v>
      </c>
      <c r="AZ684" s="241" t="s">
        <v>86</v>
      </c>
      <c r="BB684" s="136"/>
      <c r="BC684" s="141" t="s">
        <v>357</v>
      </c>
      <c r="BD684" s="241" t="s">
        <v>86</v>
      </c>
      <c r="BF684" s="136"/>
      <c r="BG684" s="141" t="s">
        <v>357</v>
      </c>
      <c r="BH684" s="241" t="s">
        <v>86</v>
      </c>
      <c r="BJ684" s="136"/>
      <c r="BK684" s="141" t="s">
        <v>357</v>
      </c>
      <c r="BL684" s="241" t="s">
        <v>86</v>
      </c>
      <c r="BN684" s="136"/>
      <c r="BO684" s="141" t="s">
        <v>357</v>
      </c>
      <c r="BP684" s="241" t="s">
        <v>86</v>
      </c>
      <c r="BR684" s="136"/>
      <c r="BS684" s="141" t="s">
        <v>357</v>
      </c>
      <c r="BT684" s="241" t="s">
        <v>86</v>
      </c>
    </row>
    <row r="685" spans="1:72" s="174" customFormat="1" x14ac:dyDescent="0.15">
      <c r="A685" s="182"/>
      <c r="B685" s="168" t="s">
        <v>85</v>
      </c>
      <c r="C685" s="140"/>
      <c r="D685" s="170"/>
      <c r="E685" s="130"/>
      <c r="F685" s="136"/>
      <c r="G685" s="141" t="s">
        <v>358</v>
      </c>
      <c r="H685" s="179"/>
      <c r="J685" s="136"/>
      <c r="K685" s="141" t="s">
        <v>358</v>
      </c>
      <c r="L685" s="241" t="s">
        <v>86</v>
      </c>
      <c r="N685" s="136"/>
      <c r="O685" s="141" t="s">
        <v>358</v>
      </c>
      <c r="P685" s="241" t="s">
        <v>86</v>
      </c>
      <c r="R685" s="136"/>
      <c r="S685" s="141" t="s">
        <v>358</v>
      </c>
      <c r="T685" s="241" t="s">
        <v>86</v>
      </c>
      <c r="V685" s="136"/>
      <c r="W685" s="141" t="s">
        <v>358</v>
      </c>
      <c r="X685" s="241" t="s">
        <v>86</v>
      </c>
      <c r="Z685" s="136"/>
      <c r="AA685" s="141" t="s">
        <v>358</v>
      </c>
      <c r="AB685" s="241" t="s">
        <v>86</v>
      </c>
      <c r="AD685" s="136"/>
      <c r="AE685" s="141" t="s">
        <v>358</v>
      </c>
      <c r="AF685" s="241" t="s">
        <v>86</v>
      </c>
      <c r="AH685" s="136"/>
      <c r="AI685" s="141" t="s">
        <v>358</v>
      </c>
      <c r="AJ685" s="241" t="s">
        <v>86</v>
      </c>
      <c r="AL685" s="136"/>
      <c r="AM685" s="141" t="s">
        <v>358</v>
      </c>
      <c r="AN685" s="241" t="s">
        <v>86</v>
      </c>
      <c r="AP685" s="136"/>
      <c r="AQ685" s="141" t="s">
        <v>358</v>
      </c>
      <c r="AR685" s="241" t="s">
        <v>86</v>
      </c>
      <c r="AT685" s="136"/>
      <c r="AU685" s="141" t="s">
        <v>358</v>
      </c>
      <c r="AV685" s="241" t="s">
        <v>86</v>
      </c>
      <c r="AX685" s="136"/>
      <c r="AY685" s="141" t="s">
        <v>358</v>
      </c>
      <c r="AZ685" s="241" t="s">
        <v>86</v>
      </c>
      <c r="BB685" s="136"/>
      <c r="BC685" s="141" t="s">
        <v>358</v>
      </c>
      <c r="BD685" s="241" t="s">
        <v>86</v>
      </c>
      <c r="BF685" s="136"/>
      <c r="BG685" s="141" t="s">
        <v>358</v>
      </c>
      <c r="BH685" s="241" t="s">
        <v>86</v>
      </c>
      <c r="BJ685" s="136"/>
      <c r="BK685" s="141" t="s">
        <v>358</v>
      </c>
      <c r="BL685" s="241" t="s">
        <v>86</v>
      </c>
      <c r="BN685" s="136"/>
      <c r="BO685" s="141" t="s">
        <v>358</v>
      </c>
      <c r="BP685" s="241" t="s">
        <v>86</v>
      </c>
      <c r="BR685" s="136"/>
      <c r="BS685" s="141" t="s">
        <v>358</v>
      </c>
      <c r="BT685" s="248" t="s">
        <v>432</v>
      </c>
    </row>
    <row r="686" spans="1:72" s="174" customFormat="1" x14ac:dyDescent="0.15">
      <c r="A686" s="182"/>
      <c r="B686" s="168" t="s">
        <v>85</v>
      </c>
      <c r="C686" s="140"/>
      <c r="D686" s="170"/>
      <c r="E686" s="130"/>
      <c r="F686" s="136"/>
      <c r="G686" s="141" t="s">
        <v>359</v>
      </c>
      <c r="H686" s="179"/>
      <c r="J686" s="136"/>
      <c r="K686" s="141" t="s">
        <v>359</v>
      </c>
      <c r="L686" s="241" t="s">
        <v>86</v>
      </c>
      <c r="N686" s="136"/>
      <c r="O686" s="141" t="s">
        <v>359</v>
      </c>
      <c r="P686" s="241" t="s">
        <v>86</v>
      </c>
      <c r="R686" s="136"/>
      <c r="S686" s="141" t="s">
        <v>359</v>
      </c>
      <c r="T686" s="241" t="s">
        <v>86</v>
      </c>
      <c r="V686" s="136"/>
      <c r="W686" s="141" t="s">
        <v>359</v>
      </c>
      <c r="X686" s="241" t="s">
        <v>86</v>
      </c>
      <c r="Z686" s="136"/>
      <c r="AA686" s="141" t="s">
        <v>359</v>
      </c>
      <c r="AB686" s="241" t="s">
        <v>86</v>
      </c>
      <c r="AD686" s="136"/>
      <c r="AE686" s="141" t="s">
        <v>359</v>
      </c>
      <c r="AF686" s="241" t="s">
        <v>86</v>
      </c>
      <c r="AH686" s="136"/>
      <c r="AI686" s="141" t="s">
        <v>359</v>
      </c>
      <c r="AJ686" s="241" t="s">
        <v>86</v>
      </c>
      <c r="AL686" s="136"/>
      <c r="AM686" s="141" t="s">
        <v>359</v>
      </c>
      <c r="AN686" s="241" t="s">
        <v>86</v>
      </c>
      <c r="AP686" s="136"/>
      <c r="AQ686" s="141" t="s">
        <v>359</v>
      </c>
      <c r="AR686" s="241" t="s">
        <v>86</v>
      </c>
      <c r="AT686" s="136"/>
      <c r="AU686" s="141" t="s">
        <v>359</v>
      </c>
      <c r="AV686" s="241" t="s">
        <v>86</v>
      </c>
      <c r="AX686" s="136"/>
      <c r="AY686" s="141" t="s">
        <v>359</v>
      </c>
      <c r="AZ686" s="241" t="s">
        <v>86</v>
      </c>
      <c r="BB686" s="136"/>
      <c r="BC686" s="141" t="s">
        <v>359</v>
      </c>
      <c r="BD686" s="241" t="s">
        <v>86</v>
      </c>
      <c r="BF686" s="136"/>
      <c r="BG686" s="141" t="s">
        <v>359</v>
      </c>
      <c r="BH686" s="241" t="s">
        <v>86</v>
      </c>
      <c r="BJ686" s="136"/>
      <c r="BK686" s="141" t="s">
        <v>359</v>
      </c>
      <c r="BL686" s="241" t="s">
        <v>86</v>
      </c>
      <c r="BN686" s="136"/>
      <c r="BO686" s="141" t="s">
        <v>359</v>
      </c>
      <c r="BP686" s="241" t="s">
        <v>86</v>
      </c>
      <c r="BR686" s="136"/>
      <c r="BS686" s="141" t="s">
        <v>359</v>
      </c>
      <c r="BT686" s="241" t="s">
        <v>86</v>
      </c>
    </row>
    <row r="687" spans="1:72" s="174" customFormat="1" x14ac:dyDescent="0.15">
      <c r="A687" s="182"/>
      <c r="B687" s="168" t="s">
        <v>85</v>
      </c>
      <c r="C687" s="140"/>
      <c r="D687" s="170"/>
      <c r="E687" s="130"/>
      <c r="F687" s="136"/>
      <c r="G687" s="141" t="s">
        <v>360</v>
      </c>
      <c r="H687" s="179"/>
      <c r="J687" s="136"/>
      <c r="K687" s="141" t="s">
        <v>360</v>
      </c>
      <c r="L687" s="241" t="s">
        <v>86</v>
      </c>
      <c r="N687" s="136"/>
      <c r="O687" s="141" t="s">
        <v>360</v>
      </c>
      <c r="P687" s="241" t="s">
        <v>86</v>
      </c>
      <c r="R687" s="136"/>
      <c r="S687" s="141" t="s">
        <v>360</v>
      </c>
      <c r="T687" s="241" t="s">
        <v>86</v>
      </c>
      <c r="V687" s="136"/>
      <c r="W687" s="141" t="s">
        <v>360</v>
      </c>
      <c r="X687" s="241" t="s">
        <v>86</v>
      </c>
      <c r="Z687" s="136"/>
      <c r="AA687" s="141" t="s">
        <v>360</v>
      </c>
      <c r="AB687" s="241" t="s">
        <v>86</v>
      </c>
      <c r="AD687" s="136"/>
      <c r="AE687" s="141" t="s">
        <v>360</v>
      </c>
      <c r="AF687" s="241" t="s">
        <v>86</v>
      </c>
      <c r="AH687" s="136"/>
      <c r="AI687" s="141" t="s">
        <v>360</v>
      </c>
      <c r="AJ687" s="241" t="s">
        <v>86</v>
      </c>
      <c r="AL687" s="136"/>
      <c r="AM687" s="141" t="s">
        <v>360</v>
      </c>
      <c r="AN687" s="241" t="s">
        <v>86</v>
      </c>
      <c r="AP687" s="136"/>
      <c r="AQ687" s="141" t="s">
        <v>360</v>
      </c>
      <c r="AR687" s="241" t="s">
        <v>86</v>
      </c>
      <c r="AT687" s="136"/>
      <c r="AU687" s="141" t="s">
        <v>360</v>
      </c>
      <c r="AV687" s="241" t="s">
        <v>86</v>
      </c>
      <c r="AX687" s="136"/>
      <c r="AY687" s="141" t="s">
        <v>360</v>
      </c>
      <c r="AZ687" s="241" t="s">
        <v>86</v>
      </c>
      <c r="BB687" s="136"/>
      <c r="BC687" s="141" t="s">
        <v>360</v>
      </c>
      <c r="BD687" s="241" t="s">
        <v>86</v>
      </c>
      <c r="BF687" s="136"/>
      <c r="BG687" s="141" t="s">
        <v>360</v>
      </c>
      <c r="BH687" s="241" t="s">
        <v>86</v>
      </c>
      <c r="BJ687" s="136"/>
      <c r="BK687" s="141" t="s">
        <v>360</v>
      </c>
      <c r="BL687" s="241" t="s">
        <v>86</v>
      </c>
      <c r="BN687" s="136"/>
      <c r="BO687" s="141" t="s">
        <v>360</v>
      </c>
      <c r="BP687" s="241" t="s">
        <v>86</v>
      </c>
      <c r="BR687" s="136"/>
      <c r="BS687" s="141" t="s">
        <v>360</v>
      </c>
      <c r="BT687" s="248" t="s">
        <v>1165</v>
      </c>
    </row>
    <row r="688" spans="1:72" s="174" customFormat="1" x14ac:dyDescent="0.15">
      <c r="A688" s="182"/>
      <c r="B688" s="168" t="s">
        <v>85</v>
      </c>
      <c r="C688" s="140"/>
      <c r="D688" s="170"/>
      <c r="E688" s="130"/>
      <c r="F688" s="136"/>
      <c r="G688" s="141" t="s">
        <v>361</v>
      </c>
      <c r="H688" s="179"/>
      <c r="J688" s="136"/>
      <c r="K688" s="141" t="s">
        <v>361</v>
      </c>
      <c r="L688" s="241" t="s">
        <v>86</v>
      </c>
      <c r="N688" s="136"/>
      <c r="O688" s="141" t="s">
        <v>361</v>
      </c>
      <c r="P688" s="241" t="s">
        <v>86</v>
      </c>
      <c r="R688" s="136"/>
      <c r="S688" s="141" t="s">
        <v>361</v>
      </c>
      <c r="T688" s="241" t="s">
        <v>86</v>
      </c>
      <c r="V688" s="136"/>
      <c r="W688" s="141" t="s">
        <v>361</v>
      </c>
      <c r="X688" s="241" t="s">
        <v>86</v>
      </c>
      <c r="Z688" s="136"/>
      <c r="AA688" s="141" t="s">
        <v>361</v>
      </c>
      <c r="AB688" s="241" t="s">
        <v>86</v>
      </c>
      <c r="AD688" s="136"/>
      <c r="AE688" s="141" t="s">
        <v>361</v>
      </c>
      <c r="AF688" s="241" t="s">
        <v>86</v>
      </c>
      <c r="AH688" s="136"/>
      <c r="AI688" s="141" t="s">
        <v>361</v>
      </c>
      <c r="AJ688" s="241" t="s">
        <v>86</v>
      </c>
      <c r="AL688" s="136"/>
      <c r="AM688" s="141" t="s">
        <v>361</v>
      </c>
      <c r="AN688" s="241" t="s">
        <v>86</v>
      </c>
      <c r="AP688" s="136"/>
      <c r="AQ688" s="141" t="s">
        <v>361</v>
      </c>
      <c r="AR688" s="248" t="s">
        <v>1140</v>
      </c>
      <c r="AT688" s="136"/>
      <c r="AU688" s="141" t="s">
        <v>361</v>
      </c>
      <c r="AV688" s="241" t="s">
        <v>86</v>
      </c>
      <c r="AX688" s="136"/>
      <c r="AY688" s="141" t="s">
        <v>361</v>
      </c>
      <c r="AZ688" s="241" t="s">
        <v>86</v>
      </c>
      <c r="BB688" s="136"/>
      <c r="BC688" s="141" t="s">
        <v>361</v>
      </c>
      <c r="BD688" s="241" t="s">
        <v>86</v>
      </c>
      <c r="BF688" s="136"/>
      <c r="BG688" s="141" t="s">
        <v>361</v>
      </c>
      <c r="BH688" s="248" t="s">
        <v>1140</v>
      </c>
      <c r="BJ688" s="136"/>
      <c r="BK688" s="141" t="s">
        <v>361</v>
      </c>
      <c r="BL688" s="241" t="s">
        <v>86</v>
      </c>
      <c r="BN688" s="136"/>
      <c r="BO688" s="141" t="s">
        <v>361</v>
      </c>
      <c r="BP688" s="248" t="s">
        <v>1140</v>
      </c>
      <c r="BR688" s="136"/>
      <c r="BS688" s="141" t="s">
        <v>361</v>
      </c>
      <c r="BT688" s="248" t="s">
        <v>438</v>
      </c>
    </row>
    <row r="689" spans="1:72" s="174" customFormat="1" x14ac:dyDescent="0.15">
      <c r="A689" s="182"/>
      <c r="B689" s="168" t="s">
        <v>85</v>
      </c>
      <c r="C689" s="140"/>
      <c r="D689" s="170"/>
      <c r="E689" s="130"/>
      <c r="F689" s="136"/>
      <c r="G689" s="141" t="s">
        <v>362</v>
      </c>
      <c r="H689" s="179"/>
      <c r="J689" s="136"/>
      <c r="K689" s="141" t="s">
        <v>362</v>
      </c>
      <c r="L689" s="241" t="s">
        <v>86</v>
      </c>
      <c r="N689" s="136"/>
      <c r="O689" s="141" t="s">
        <v>362</v>
      </c>
      <c r="P689" s="241" t="s">
        <v>86</v>
      </c>
      <c r="R689" s="136"/>
      <c r="S689" s="141" t="s">
        <v>362</v>
      </c>
      <c r="T689" s="241" t="s">
        <v>86</v>
      </c>
      <c r="V689" s="136"/>
      <c r="W689" s="141" t="s">
        <v>362</v>
      </c>
      <c r="X689" s="248" t="s">
        <v>1176</v>
      </c>
      <c r="Z689" s="136"/>
      <c r="AA689" s="141" t="s">
        <v>362</v>
      </c>
      <c r="AB689" s="241" t="s">
        <v>86</v>
      </c>
      <c r="AD689" s="136"/>
      <c r="AE689" s="141" t="s">
        <v>362</v>
      </c>
      <c r="AF689" s="248" t="s">
        <v>1194</v>
      </c>
      <c r="AH689" s="136"/>
      <c r="AI689" s="141" t="s">
        <v>362</v>
      </c>
      <c r="AJ689" s="241" t="s">
        <v>86</v>
      </c>
      <c r="AL689" s="136"/>
      <c r="AM689" s="141" t="s">
        <v>362</v>
      </c>
      <c r="AN689" s="241" t="s">
        <v>86</v>
      </c>
      <c r="AP689" s="136"/>
      <c r="AQ689" s="141" t="s">
        <v>362</v>
      </c>
      <c r="AR689" s="248" t="s">
        <v>1209</v>
      </c>
      <c r="AT689" s="136"/>
      <c r="AU689" s="141" t="s">
        <v>362</v>
      </c>
      <c r="AV689" s="241" t="s">
        <v>86</v>
      </c>
      <c r="AX689" s="136"/>
      <c r="AY689" s="141" t="s">
        <v>362</v>
      </c>
      <c r="AZ689" s="248" t="s">
        <v>1176</v>
      </c>
      <c r="BB689" s="136"/>
      <c r="BC689" s="141" t="s">
        <v>362</v>
      </c>
      <c r="BD689" s="241" t="s">
        <v>86</v>
      </c>
      <c r="BF689" s="136"/>
      <c r="BG689" s="141" t="s">
        <v>362</v>
      </c>
      <c r="BH689" s="248" t="s">
        <v>1209</v>
      </c>
      <c r="BJ689" s="136"/>
      <c r="BK689" s="141" t="s">
        <v>362</v>
      </c>
      <c r="BL689" s="248" t="s">
        <v>1194</v>
      </c>
      <c r="BN689" s="136"/>
      <c r="BO689" s="141" t="s">
        <v>362</v>
      </c>
      <c r="BP689" s="248" t="s">
        <v>1209</v>
      </c>
      <c r="BR689" s="136"/>
      <c r="BS689" s="141" t="s">
        <v>362</v>
      </c>
      <c r="BT689" s="248" t="s">
        <v>1139</v>
      </c>
    </row>
    <row r="690" spans="1:72" s="174" customFormat="1" x14ac:dyDescent="0.15">
      <c r="A690" s="182"/>
      <c r="B690" s="168" t="s">
        <v>85</v>
      </c>
      <c r="C690" s="140"/>
      <c r="D690" s="170"/>
      <c r="E690" s="130"/>
      <c r="F690" s="136"/>
      <c r="G690" s="141" t="s">
        <v>363</v>
      </c>
      <c r="H690" s="179"/>
      <c r="J690" s="136"/>
      <c r="K690" s="141" t="s">
        <v>363</v>
      </c>
      <c r="L690" s="241" t="s">
        <v>86</v>
      </c>
      <c r="N690" s="136"/>
      <c r="O690" s="141" t="s">
        <v>363</v>
      </c>
      <c r="P690" s="241" t="s">
        <v>86</v>
      </c>
      <c r="R690" s="136"/>
      <c r="S690" s="141" t="s">
        <v>363</v>
      </c>
      <c r="T690" s="241" t="s">
        <v>86</v>
      </c>
      <c r="V690" s="136"/>
      <c r="W690" s="141" t="s">
        <v>363</v>
      </c>
      <c r="X690" s="241" t="s">
        <v>86</v>
      </c>
      <c r="Z690" s="136"/>
      <c r="AA690" s="141" t="s">
        <v>363</v>
      </c>
      <c r="AB690" s="241" t="s">
        <v>86</v>
      </c>
      <c r="AD690" s="136"/>
      <c r="AE690" s="141" t="s">
        <v>363</v>
      </c>
      <c r="AF690" s="241" t="s">
        <v>86</v>
      </c>
      <c r="AH690" s="136"/>
      <c r="AI690" s="141" t="s">
        <v>363</v>
      </c>
      <c r="AJ690" s="241" t="s">
        <v>86</v>
      </c>
      <c r="AL690" s="136"/>
      <c r="AM690" s="141" t="s">
        <v>363</v>
      </c>
      <c r="AN690" s="241" t="s">
        <v>86</v>
      </c>
      <c r="AP690" s="136"/>
      <c r="AQ690" s="141" t="s">
        <v>363</v>
      </c>
      <c r="AR690" s="248" t="s">
        <v>1140</v>
      </c>
      <c r="AT690" s="136"/>
      <c r="AU690" s="141" t="s">
        <v>363</v>
      </c>
      <c r="AV690" s="241" t="s">
        <v>86</v>
      </c>
      <c r="AX690" s="136"/>
      <c r="AY690" s="141" t="s">
        <v>363</v>
      </c>
      <c r="AZ690" s="241" t="s">
        <v>86</v>
      </c>
      <c r="BB690" s="136"/>
      <c r="BC690" s="141" t="s">
        <v>363</v>
      </c>
      <c r="BD690" s="241" t="s">
        <v>86</v>
      </c>
      <c r="BF690" s="136"/>
      <c r="BG690" s="141" t="s">
        <v>363</v>
      </c>
      <c r="BH690" s="248" t="s">
        <v>1140</v>
      </c>
      <c r="BJ690" s="136"/>
      <c r="BK690" s="141" t="s">
        <v>363</v>
      </c>
      <c r="BL690" s="241" t="s">
        <v>86</v>
      </c>
      <c r="BN690" s="136"/>
      <c r="BO690" s="141" t="s">
        <v>363</v>
      </c>
      <c r="BP690" s="248" t="s">
        <v>1140</v>
      </c>
      <c r="BR690" s="136"/>
      <c r="BS690" s="141" t="s">
        <v>363</v>
      </c>
      <c r="BT690" s="241" t="s">
        <v>86</v>
      </c>
    </row>
    <row r="691" spans="1:72" s="174" customFormat="1" x14ac:dyDescent="0.15">
      <c r="A691" s="182"/>
      <c r="B691" s="168" t="s">
        <v>85</v>
      </c>
      <c r="C691" s="140"/>
      <c r="D691" s="170"/>
      <c r="E691" s="130"/>
      <c r="F691" s="136"/>
      <c r="G691" s="141" t="s">
        <v>364</v>
      </c>
      <c r="H691" s="179"/>
      <c r="J691" s="136"/>
      <c r="K691" s="141" t="s">
        <v>364</v>
      </c>
      <c r="L691" s="241" t="s">
        <v>86</v>
      </c>
      <c r="N691" s="136"/>
      <c r="O691" s="141" t="s">
        <v>364</v>
      </c>
      <c r="P691" s="241" t="s">
        <v>86</v>
      </c>
      <c r="R691" s="136"/>
      <c r="S691" s="141" t="s">
        <v>364</v>
      </c>
      <c r="T691" s="241" t="s">
        <v>86</v>
      </c>
      <c r="V691" s="136"/>
      <c r="W691" s="141" t="s">
        <v>364</v>
      </c>
      <c r="X691" s="248" t="s">
        <v>1176</v>
      </c>
      <c r="Z691" s="136"/>
      <c r="AA691" s="141" t="s">
        <v>364</v>
      </c>
      <c r="AB691" s="241" t="s">
        <v>86</v>
      </c>
      <c r="AD691" s="136"/>
      <c r="AE691" s="141" t="s">
        <v>364</v>
      </c>
      <c r="AF691" s="248" t="s">
        <v>1194</v>
      </c>
      <c r="AH691" s="136"/>
      <c r="AI691" s="141" t="s">
        <v>364</v>
      </c>
      <c r="AJ691" s="241" t="s">
        <v>86</v>
      </c>
      <c r="AL691" s="136"/>
      <c r="AM691" s="141" t="s">
        <v>364</v>
      </c>
      <c r="AN691" s="241" t="s">
        <v>86</v>
      </c>
      <c r="AP691" s="136"/>
      <c r="AQ691" s="141" t="s">
        <v>364</v>
      </c>
      <c r="AR691" s="248" t="s">
        <v>1209</v>
      </c>
      <c r="AT691" s="136"/>
      <c r="AU691" s="141" t="s">
        <v>364</v>
      </c>
      <c r="AV691" s="241" t="s">
        <v>86</v>
      </c>
      <c r="AX691" s="136"/>
      <c r="AY691" s="141" t="s">
        <v>364</v>
      </c>
      <c r="AZ691" s="248" t="s">
        <v>1176</v>
      </c>
      <c r="BB691" s="136"/>
      <c r="BC691" s="141" t="s">
        <v>364</v>
      </c>
      <c r="BD691" s="241" t="s">
        <v>86</v>
      </c>
      <c r="BF691" s="136"/>
      <c r="BG691" s="141" t="s">
        <v>364</v>
      </c>
      <c r="BH691" s="248" t="s">
        <v>1209</v>
      </c>
      <c r="BJ691" s="136"/>
      <c r="BK691" s="141" t="s">
        <v>364</v>
      </c>
      <c r="BL691" s="248" t="s">
        <v>1194</v>
      </c>
      <c r="BN691" s="136"/>
      <c r="BO691" s="141" t="s">
        <v>364</v>
      </c>
      <c r="BP691" s="248" t="s">
        <v>1209</v>
      </c>
      <c r="BR691" s="136"/>
      <c r="BS691" s="141" t="s">
        <v>364</v>
      </c>
      <c r="BT691" s="248" t="s">
        <v>1191</v>
      </c>
    </row>
    <row r="692" spans="1:72" s="174" customFormat="1" x14ac:dyDescent="0.15">
      <c r="A692" s="182"/>
      <c r="B692" s="168" t="s">
        <v>85</v>
      </c>
      <c r="C692" s="140"/>
      <c r="D692" s="170"/>
      <c r="E692" s="130"/>
      <c r="F692" s="136"/>
      <c r="G692" s="141" t="s">
        <v>373</v>
      </c>
      <c r="H692" s="179"/>
      <c r="J692" s="136"/>
      <c r="K692" s="141" t="s">
        <v>373</v>
      </c>
      <c r="L692" s="241" t="s">
        <v>86</v>
      </c>
      <c r="N692" s="136"/>
      <c r="O692" s="141" t="s">
        <v>373</v>
      </c>
      <c r="P692" s="241" t="s">
        <v>86</v>
      </c>
      <c r="R692" s="136"/>
      <c r="S692" s="141" t="s">
        <v>373</v>
      </c>
      <c r="T692" s="241" t="s">
        <v>86</v>
      </c>
      <c r="V692" s="136"/>
      <c r="W692" s="141" t="s">
        <v>373</v>
      </c>
      <c r="X692" s="241" t="s">
        <v>86</v>
      </c>
      <c r="Z692" s="136"/>
      <c r="AA692" s="141" t="s">
        <v>373</v>
      </c>
      <c r="AB692" s="241" t="s">
        <v>86</v>
      </c>
      <c r="AD692" s="136"/>
      <c r="AE692" s="141" t="s">
        <v>373</v>
      </c>
      <c r="AF692" s="241" t="s">
        <v>86</v>
      </c>
      <c r="AH692" s="136"/>
      <c r="AI692" s="141" t="s">
        <v>373</v>
      </c>
      <c r="AJ692" s="241" t="s">
        <v>86</v>
      </c>
      <c r="AL692" s="136"/>
      <c r="AM692" s="141" t="s">
        <v>373</v>
      </c>
      <c r="AN692" s="241" t="s">
        <v>86</v>
      </c>
      <c r="AP692" s="136"/>
      <c r="AQ692" s="141" t="s">
        <v>373</v>
      </c>
      <c r="AR692" s="241" t="s">
        <v>86</v>
      </c>
      <c r="AT692" s="136"/>
      <c r="AU692" s="141" t="s">
        <v>373</v>
      </c>
      <c r="AV692" s="241" t="s">
        <v>86</v>
      </c>
      <c r="AX692" s="136"/>
      <c r="AY692" s="141" t="s">
        <v>373</v>
      </c>
      <c r="AZ692" s="241" t="s">
        <v>86</v>
      </c>
      <c r="BB692" s="136"/>
      <c r="BC692" s="141" t="s">
        <v>373</v>
      </c>
      <c r="BD692" s="241" t="s">
        <v>86</v>
      </c>
      <c r="BF692" s="136"/>
      <c r="BG692" s="141" t="s">
        <v>373</v>
      </c>
      <c r="BH692" s="241" t="s">
        <v>86</v>
      </c>
      <c r="BJ692" s="136"/>
      <c r="BK692" s="141" t="s">
        <v>373</v>
      </c>
      <c r="BL692" s="241" t="s">
        <v>86</v>
      </c>
      <c r="BN692" s="136"/>
      <c r="BO692" s="141" t="s">
        <v>373</v>
      </c>
      <c r="BP692" s="241" t="s">
        <v>86</v>
      </c>
      <c r="BR692" s="136"/>
      <c r="BS692" s="141" t="s">
        <v>373</v>
      </c>
      <c r="BT692" s="241" t="s">
        <v>86</v>
      </c>
    </row>
    <row r="693" spans="1:72" s="174" customFormat="1" x14ac:dyDescent="0.15">
      <c r="A693" s="182"/>
      <c r="B693" s="168" t="s">
        <v>85</v>
      </c>
      <c r="C693" s="140"/>
      <c r="D693" s="170"/>
      <c r="E693" s="130"/>
      <c r="F693" s="136"/>
      <c r="G693" s="141" t="s">
        <v>374</v>
      </c>
      <c r="H693" s="179"/>
      <c r="J693" s="136"/>
      <c r="K693" s="141" t="s">
        <v>374</v>
      </c>
      <c r="L693" s="241" t="s">
        <v>86</v>
      </c>
      <c r="N693" s="136"/>
      <c r="O693" s="141" t="s">
        <v>374</v>
      </c>
      <c r="P693" s="241" t="s">
        <v>86</v>
      </c>
      <c r="R693" s="136"/>
      <c r="S693" s="141" t="s">
        <v>374</v>
      </c>
      <c r="T693" s="241" t="s">
        <v>86</v>
      </c>
      <c r="V693" s="136"/>
      <c r="W693" s="141" t="s">
        <v>374</v>
      </c>
      <c r="X693" s="241" t="s">
        <v>86</v>
      </c>
      <c r="Z693" s="136"/>
      <c r="AA693" s="141" t="s">
        <v>374</v>
      </c>
      <c r="AB693" s="241" t="s">
        <v>86</v>
      </c>
      <c r="AD693" s="136"/>
      <c r="AE693" s="141" t="s">
        <v>374</v>
      </c>
      <c r="AF693" s="241" t="s">
        <v>86</v>
      </c>
      <c r="AH693" s="136"/>
      <c r="AI693" s="141" t="s">
        <v>374</v>
      </c>
      <c r="AJ693" s="241" t="s">
        <v>86</v>
      </c>
      <c r="AL693" s="136"/>
      <c r="AM693" s="141" t="s">
        <v>374</v>
      </c>
      <c r="AN693" s="241" t="s">
        <v>86</v>
      </c>
      <c r="AP693" s="136"/>
      <c r="AQ693" s="141" t="s">
        <v>374</v>
      </c>
      <c r="AR693" s="241" t="s">
        <v>86</v>
      </c>
      <c r="AT693" s="136"/>
      <c r="AU693" s="141" t="s">
        <v>374</v>
      </c>
      <c r="AV693" s="241" t="s">
        <v>86</v>
      </c>
      <c r="AX693" s="136"/>
      <c r="AY693" s="141" t="s">
        <v>374</v>
      </c>
      <c r="AZ693" s="241" t="s">
        <v>86</v>
      </c>
      <c r="BB693" s="136"/>
      <c r="BC693" s="141" t="s">
        <v>374</v>
      </c>
      <c r="BD693" s="241" t="s">
        <v>86</v>
      </c>
      <c r="BF693" s="136"/>
      <c r="BG693" s="141" t="s">
        <v>374</v>
      </c>
      <c r="BH693" s="241" t="s">
        <v>86</v>
      </c>
      <c r="BJ693" s="136"/>
      <c r="BK693" s="141" t="s">
        <v>374</v>
      </c>
      <c r="BL693" s="241" t="s">
        <v>86</v>
      </c>
      <c r="BN693" s="136"/>
      <c r="BO693" s="141" t="s">
        <v>374</v>
      </c>
      <c r="BP693" s="241" t="s">
        <v>86</v>
      </c>
      <c r="BR693" s="136"/>
      <c r="BS693" s="141" t="s">
        <v>374</v>
      </c>
      <c r="BT693" s="241" t="s">
        <v>86</v>
      </c>
    </row>
    <row r="694" spans="1:72" s="174" customFormat="1" x14ac:dyDescent="0.15">
      <c r="A694" s="182"/>
      <c r="B694" s="168" t="s">
        <v>85</v>
      </c>
      <c r="C694" s="140"/>
      <c r="D694" s="170"/>
      <c r="E694" s="130"/>
      <c r="F694" s="136"/>
      <c r="G694" s="141" t="s">
        <v>375</v>
      </c>
      <c r="H694" s="179"/>
      <c r="J694" s="136"/>
      <c r="K694" s="141" t="s">
        <v>375</v>
      </c>
      <c r="L694" s="241" t="s">
        <v>86</v>
      </c>
      <c r="N694" s="136"/>
      <c r="O694" s="141" t="s">
        <v>375</v>
      </c>
      <c r="P694" s="241" t="s">
        <v>86</v>
      </c>
      <c r="R694" s="136"/>
      <c r="S694" s="141" t="s">
        <v>375</v>
      </c>
      <c r="T694" s="241" t="s">
        <v>86</v>
      </c>
      <c r="V694" s="136"/>
      <c r="W694" s="141" t="s">
        <v>375</v>
      </c>
      <c r="X694" s="241" t="s">
        <v>86</v>
      </c>
      <c r="Z694" s="136"/>
      <c r="AA694" s="141" t="s">
        <v>375</v>
      </c>
      <c r="AB694" s="241" t="s">
        <v>86</v>
      </c>
      <c r="AD694" s="136"/>
      <c r="AE694" s="141" t="s">
        <v>375</v>
      </c>
      <c r="AF694" s="241" t="s">
        <v>86</v>
      </c>
      <c r="AH694" s="136"/>
      <c r="AI694" s="141" t="s">
        <v>375</v>
      </c>
      <c r="AJ694" s="241" t="s">
        <v>86</v>
      </c>
      <c r="AL694" s="136"/>
      <c r="AM694" s="141" t="s">
        <v>375</v>
      </c>
      <c r="AN694" s="241" t="s">
        <v>86</v>
      </c>
      <c r="AP694" s="136"/>
      <c r="AQ694" s="141" t="s">
        <v>375</v>
      </c>
      <c r="AR694" s="241" t="s">
        <v>86</v>
      </c>
      <c r="AT694" s="136"/>
      <c r="AU694" s="141" t="s">
        <v>375</v>
      </c>
      <c r="AV694" s="241" t="s">
        <v>86</v>
      </c>
      <c r="AX694" s="136"/>
      <c r="AY694" s="141" t="s">
        <v>375</v>
      </c>
      <c r="AZ694" s="241" t="s">
        <v>86</v>
      </c>
      <c r="BB694" s="136"/>
      <c r="BC694" s="141" t="s">
        <v>375</v>
      </c>
      <c r="BD694" s="241" t="s">
        <v>86</v>
      </c>
      <c r="BF694" s="136"/>
      <c r="BG694" s="141" t="s">
        <v>375</v>
      </c>
      <c r="BH694" s="241" t="s">
        <v>86</v>
      </c>
      <c r="BJ694" s="136"/>
      <c r="BK694" s="141" t="s">
        <v>375</v>
      </c>
      <c r="BL694" s="241" t="s">
        <v>86</v>
      </c>
      <c r="BN694" s="136"/>
      <c r="BO694" s="141" t="s">
        <v>375</v>
      </c>
      <c r="BP694" s="241" t="s">
        <v>86</v>
      </c>
      <c r="BR694" s="136"/>
      <c r="BS694" s="141" t="s">
        <v>375</v>
      </c>
      <c r="BT694" s="241" t="s">
        <v>86</v>
      </c>
    </row>
    <row r="695" spans="1:72" s="174" customFormat="1" x14ac:dyDescent="0.15">
      <c r="A695" s="182"/>
      <c r="B695" s="168" t="s">
        <v>85</v>
      </c>
      <c r="C695" s="140"/>
      <c r="D695" s="170"/>
      <c r="E695" s="130"/>
      <c r="F695" s="136"/>
      <c r="G695" s="141" t="s">
        <v>376</v>
      </c>
      <c r="H695" s="179"/>
      <c r="J695" s="136"/>
      <c r="K695" s="141" t="s">
        <v>376</v>
      </c>
      <c r="L695" s="241" t="s">
        <v>86</v>
      </c>
      <c r="N695" s="136"/>
      <c r="O695" s="141" t="s">
        <v>376</v>
      </c>
      <c r="P695" s="241" t="s">
        <v>86</v>
      </c>
      <c r="R695" s="136"/>
      <c r="S695" s="141" t="s">
        <v>376</v>
      </c>
      <c r="T695" s="241" t="s">
        <v>86</v>
      </c>
      <c r="V695" s="136"/>
      <c r="W695" s="141" t="s">
        <v>376</v>
      </c>
      <c r="X695" s="241" t="s">
        <v>86</v>
      </c>
      <c r="Z695" s="136"/>
      <c r="AA695" s="141" t="s">
        <v>376</v>
      </c>
      <c r="AB695" s="241" t="s">
        <v>86</v>
      </c>
      <c r="AD695" s="136"/>
      <c r="AE695" s="141" t="s">
        <v>376</v>
      </c>
      <c r="AF695" s="241" t="s">
        <v>86</v>
      </c>
      <c r="AH695" s="136"/>
      <c r="AI695" s="141" t="s">
        <v>376</v>
      </c>
      <c r="AJ695" s="241" t="s">
        <v>86</v>
      </c>
      <c r="AL695" s="136"/>
      <c r="AM695" s="141" t="s">
        <v>376</v>
      </c>
      <c r="AN695" s="241" t="s">
        <v>86</v>
      </c>
      <c r="AP695" s="136"/>
      <c r="AQ695" s="141" t="s">
        <v>376</v>
      </c>
      <c r="AR695" s="241" t="s">
        <v>86</v>
      </c>
      <c r="AT695" s="136"/>
      <c r="AU695" s="141" t="s">
        <v>376</v>
      </c>
      <c r="AV695" s="241" t="s">
        <v>86</v>
      </c>
      <c r="AX695" s="136"/>
      <c r="AY695" s="141" t="s">
        <v>376</v>
      </c>
      <c r="AZ695" s="241" t="s">
        <v>86</v>
      </c>
      <c r="BB695" s="136"/>
      <c r="BC695" s="141" t="s">
        <v>376</v>
      </c>
      <c r="BD695" s="241" t="s">
        <v>86</v>
      </c>
      <c r="BF695" s="136"/>
      <c r="BG695" s="141" t="s">
        <v>376</v>
      </c>
      <c r="BH695" s="241" t="s">
        <v>86</v>
      </c>
      <c r="BJ695" s="136"/>
      <c r="BK695" s="141" t="s">
        <v>376</v>
      </c>
      <c r="BL695" s="241" t="s">
        <v>86</v>
      </c>
      <c r="BN695" s="136"/>
      <c r="BO695" s="141" t="s">
        <v>376</v>
      </c>
      <c r="BP695" s="241" t="s">
        <v>86</v>
      </c>
      <c r="BR695" s="136"/>
      <c r="BS695" s="141" t="s">
        <v>376</v>
      </c>
      <c r="BT695" s="241" t="s">
        <v>86</v>
      </c>
    </row>
    <row r="696" spans="1:72" s="174" customFormat="1" x14ac:dyDescent="0.15">
      <c r="A696" s="182"/>
      <c r="B696" s="168" t="s">
        <v>85</v>
      </c>
      <c r="C696" s="140"/>
      <c r="D696" s="170"/>
      <c r="E696" s="130"/>
      <c r="F696" s="136"/>
      <c r="G696" s="141" t="s">
        <v>377</v>
      </c>
      <c r="H696" s="179"/>
      <c r="J696" s="136"/>
      <c r="K696" s="141" t="s">
        <v>377</v>
      </c>
      <c r="L696" s="241" t="s">
        <v>86</v>
      </c>
      <c r="N696" s="136"/>
      <c r="O696" s="141" t="s">
        <v>377</v>
      </c>
      <c r="P696" s="241" t="s">
        <v>86</v>
      </c>
      <c r="R696" s="136"/>
      <c r="S696" s="141" t="s">
        <v>377</v>
      </c>
      <c r="T696" s="241" t="s">
        <v>86</v>
      </c>
      <c r="V696" s="136"/>
      <c r="W696" s="141" t="s">
        <v>377</v>
      </c>
      <c r="X696" s="241" t="s">
        <v>86</v>
      </c>
      <c r="Z696" s="136"/>
      <c r="AA696" s="141" t="s">
        <v>377</v>
      </c>
      <c r="AB696" s="241" t="s">
        <v>86</v>
      </c>
      <c r="AD696" s="136"/>
      <c r="AE696" s="141" t="s">
        <v>377</v>
      </c>
      <c r="AF696" s="241" t="s">
        <v>86</v>
      </c>
      <c r="AH696" s="136"/>
      <c r="AI696" s="141" t="s">
        <v>377</v>
      </c>
      <c r="AJ696" s="241" t="s">
        <v>86</v>
      </c>
      <c r="AL696" s="136"/>
      <c r="AM696" s="141" t="s">
        <v>377</v>
      </c>
      <c r="AN696" s="241" t="s">
        <v>86</v>
      </c>
      <c r="AP696" s="136"/>
      <c r="AQ696" s="141" t="s">
        <v>377</v>
      </c>
      <c r="AR696" s="241" t="s">
        <v>86</v>
      </c>
      <c r="AT696" s="136"/>
      <c r="AU696" s="141" t="s">
        <v>377</v>
      </c>
      <c r="AV696" s="241" t="s">
        <v>86</v>
      </c>
      <c r="AX696" s="136"/>
      <c r="AY696" s="141" t="s">
        <v>377</v>
      </c>
      <c r="AZ696" s="241" t="s">
        <v>86</v>
      </c>
      <c r="BB696" s="136"/>
      <c r="BC696" s="141" t="s">
        <v>377</v>
      </c>
      <c r="BD696" s="241" t="s">
        <v>86</v>
      </c>
      <c r="BF696" s="136"/>
      <c r="BG696" s="141" t="s">
        <v>377</v>
      </c>
      <c r="BH696" s="241" t="s">
        <v>86</v>
      </c>
      <c r="BJ696" s="136"/>
      <c r="BK696" s="141" t="s">
        <v>377</v>
      </c>
      <c r="BL696" s="241" t="s">
        <v>86</v>
      </c>
      <c r="BN696" s="136"/>
      <c r="BO696" s="141" t="s">
        <v>377</v>
      </c>
      <c r="BP696" s="241" t="s">
        <v>86</v>
      </c>
      <c r="BR696" s="136"/>
      <c r="BS696" s="141" t="s">
        <v>377</v>
      </c>
      <c r="BT696" s="241" t="s">
        <v>86</v>
      </c>
    </row>
    <row r="697" spans="1:72" s="174" customFormat="1" x14ac:dyDescent="0.15">
      <c r="A697" s="182"/>
      <c r="B697" s="168" t="s">
        <v>85</v>
      </c>
      <c r="C697" s="140"/>
      <c r="D697" s="170"/>
      <c r="E697" s="130"/>
      <c r="F697" s="136"/>
      <c r="G697" s="141" t="s">
        <v>378</v>
      </c>
      <c r="H697" s="179"/>
      <c r="J697" s="136"/>
      <c r="K697" s="141" t="s">
        <v>378</v>
      </c>
      <c r="L697" s="241" t="s">
        <v>86</v>
      </c>
      <c r="N697" s="136"/>
      <c r="O697" s="141" t="s">
        <v>378</v>
      </c>
      <c r="P697" s="241" t="s">
        <v>86</v>
      </c>
      <c r="R697" s="136"/>
      <c r="S697" s="141" t="s">
        <v>378</v>
      </c>
      <c r="T697" s="241" t="s">
        <v>86</v>
      </c>
      <c r="V697" s="136"/>
      <c r="W697" s="141" t="s">
        <v>378</v>
      </c>
      <c r="X697" s="241" t="s">
        <v>86</v>
      </c>
      <c r="Z697" s="136"/>
      <c r="AA697" s="141" t="s">
        <v>378</v>
      </c>
      <c r="AB697" s="241" t="s">
        <v>86</v>
      </c>
      <c r="AD697" s="136"/>
      <c r="AE697" s="141" t="s">
        <v>378</v>
      </c>
      <c r="AF697" s="241" t="s">
        <v>86</v>
      </c>
      <c r="AH697" s="136"/>
      <c r="AI697" s="141" t="s">
        <v>378</v>
      </c>
      <c r="AJ697" s="241" t="s">
        <v>86</v>
      </c>
      <c r="AL697" s="136"/>
      <c r="AM697" s="141" t="s">
        <v>378</v>
      </c>
      <c r="AN697" s="241" t="s">
        <v>86</v>
      </c>
      <c r="AP697" s="136"/>
      <c r="AQ697" s="141" t="s">
        <v>378</v>
      </c>
      <c r="AR697" s="241" t="s">
        <v>86</v>
      </c>
      <c r="AT697" s="136"/>
      <c r="AU697" s="141" t="s">
        <v>378</v>
      </c>
      <c r="AV697" s="241" t="s">
        <v>86</v>
      </c>
      <c r="AX697" s="136"/>
      <c r="AY697" s="141" t="s">
        <v>378</v>
      </c>
      <c r="AZ697" s="241" t="s">
        <v>86</v>
      </c>
      <c r="BB697" s="136"/>
      <c r="BC697" s="141" t="s">
        <v>378</v>
      </c>
      <c r="BD697" s="241" t="s">
        <v>86</v>
      </c>
      <c r="BF697" s="136"/>
      <c r="BG697" s="141" t="s">
        <v>378</v>
      </c>
      <c r="BH697" s="241" t="s">
        <v>86</v>
      </c>
      <c r="BJ697" s="136"/>
      <c r="BK697" s="141" t="s">
        <v>378</v>
      </c>
      <c r="BL697" s="241" t="s">
        <v>86</v>
      </c>
      <c r="BN697" s="136"/>
      <c r="BO697" s="141" t="s">
        <v>378</v>
      </c>
      <c r="BP697" s="241" t="s">
        <v>86</v>
      </c>
      <c r="BR697" s="136"/>
      <c r="BS697" s="141" t="s">
        <v>378</v>
      </c>
      <c r="BT697" s="241" t="s">
        <v>86</v>
      </c>
    </row>
    <row r="698" spans="1:72" s="174" customFormat="1" x14ac:dyDescent="0.15">
      <c r="A698" s="182"/>
      <c r="B698" s="168" t="s">
        <v>85</v>
      </c>
      <c r="C698" s="140"/>
      <c r="D698" s="170"/>
      <c r="E698" s="130"/>
      <c r="F698" s="136"/>
      <c r="G698" s="141" t="s">
        <v>379</v>
      </c>
      <c r="H698" s="179"/>
      <c r="J698" s="136"/>
      <c r="K698" s="141" t="s">
        <v>379</v>
      </c>
      <c r="L698" s="241" t="s">
        <v>86</v>
      </c>
      <c r="N698" s="136"/>
      <c r="O698" s="141" t="s">
        <v>379</v>
      </c>
      <c r="P698" s="241" t="s">
        <v>86</v>
      </c>
      <c r="R698" s="136"/>
      <c r="S698" s="141" t="s">
        <v>379</v>
      </c>
      <c r="T698" s="241" t="s">
        <v>86</v>
      </c>
      <c r="V698" s="136"/>
      <c r="W698" s="141" t="s">
        <v>379</v>
      </c>
      <c r="X698" s="241" t="s">
        <v>86</v>
      </c>
      <c r="Z698" s="136"/>
      <c r="AA698" s="141" t="s">
        <v>379</v>
      </c>
      <c r="AB698" s="241" t="s">
        <v>86</v>
      </c>
      <c r="AD698" s="136"/>
      <c r="AE698" s="141" t="s">
        <v>379</v>
      </c>
      <c r="AF698" s="241" t="s">
        <v>86</v>
      </c>
      <c r="AH698" s="136"/>
      <c r="AI698" s="141" t="s">
        <v>379</v>
      </c>
      <c r="AJ698" s="241" t="s">
        <v>86</v>
      </c>
      <c r="AL698" s="136"/>
      <c r="AM698" s="141" t="s">
        <v>379</v>
      </c>
      <c r="AN698" s="241" t="s">
        <v>86</v>
      </c>
      <c r="AP698" s="136"/>
      <c r="AQ698" s="141" t="s">
        <v>379</v>
      </c>
      <c r="AR698" s="241" t="s">
        <v>86</v>
      </c>
      <c r="AT698" s="136"/>
      <c r="AU698" s="141" t="s">
        <v>379</v>
      </c>
      <c r="AV698" s="241" t="s">
        <v>86</v>
      </c>
      <c r="AX698" s="136"/>
      <c r="AY698" s="141" t="s">
        <v>379</v>
      </c>
      <c r="AZ698" s="241" t="s">
        <v>86</v>
      </c>
      <c r="BB698" s="136"/>
      <c r="BC698" s="141" t="s">
        <v>379</v>
      </c>
      <c r="BD698" s="241" t="s">
        <v>86</v>
      </c>
      <c r="BF698" s="136"/>
      <c r="BG698" s="141" t="s">
        <v>379</v>
      </c>
      <c r="BH698" s="241" t="s">
        <v>86</v>
      </c>
      <c r="BJ698" s="136"/>
      <c r="BK698" s="141" t="s">
        <v>379</v>
      </c>
      <c r="BL698" s="241" t="s">
        <v>86</v>
      </c>
      <c r="BN698" s="136"/>
      <c r="BO698" s="141" t="s">
        <v>379</v>
      </c>
      <c r="BP698" s="241" t="s">
        <v>86</v>
      </c>
      <c r="BR698" s="136"/>
      <c r="BS698" s="141" t="s">
        <v>379</v>
      </c>
      <c r="BT698" s="241" t="s">
        <v>86</v>
      </c>
    </row>
    <row r="699" spans="1:72" s="174" customFormat="1" x14ac:dyDescent="0.15">
      <c r="A699" s="182"/>
      <c r="B699" s="168" t="s">
        <v>85</v>
      </c>
      <c r="C699" s="140"/>
      <c r="D699" s="170"/>
      <c r="E699" s="130"/>
      <c r="F699" s="136"/>
      <c r="G699" s="141" t="s">
        <v>380</v>
      </c>
      <c r="H699" s="179"/>
      <c r="J699" s="136"/>
      <c r="K699" s="141" t="s">
        <v>380</v>
      </c>
      <c r="L699" s="241" t="s">
        <v>86</v>
      </c>
      <c r="N699" s="136"/>
      <c r="O699" s="141" t="s">
        <v>380</v>
      </c>
      <c r="P699" s="241" t="s">
        <v>86</v>
      </c>
      <c r="R699" s="136"/>
      <c r="S699" s="141" t="s">
        <v>380</v>
      </c>
      <c r="T699" s="241" t="s">
        <v>86</v>
      </c>
      <c r="V699" s="136"/>
      <c r="W699" s="141" t="s">
        <v>380</v>
      </c>
      <c r="X699" s="241" t="s">
        <v>86</v>
      </c>
      <c r="Z699" s="136"/>
      <c r="AA699" s="141" t="s">
        <v>380</v>
      </c>
      <c r="AB699" s="241" t="s">
        <v>86</v>
      </c>
      <c r="AD699" s="136"/>
      <c r="AE699" s="141" t="s">
        <v>380</v>
      </c>
      <c r="AF699" s="241" t="s">
        <v>86</v>
      </c>
      <c r="AH699" s="136"/>
      <c r="AI699" s="141" t="s">
        <v>380</v>
      </c>
      <c r="AJ699" s="241" t="s">
        <v>86</v>
      </c>
      <c r="AL699" s="136"/>
      <c r="AM699" s="141" t="s">
        <v>380</v>
      </c>
      <c r="AN699" s="241" t="s">
        <v>86</v>
      </c>
      <c r="AP699" s="136"/>
      <c r="AQ699" s="141" t="s">
        <v>380</v>
      </c>
      <c r="AR699" s="241" t="s">
        <v>86</v>
      </c>
      <c r="AT699" s="136"/>
      <c r="AU699" s="141" t="s">
        <v>380</v>
      </c>
      <c r="AV699" s="241" t="s">
        <v>86</v>
      </c>
      <c r="AX699" s="136"/>
      <c r="AY699" s="141" t="s">
        <v>380</v>
      </c>
      <c r="AZ699" s="241" t="s">
        <v>86</v>
      </c>
      <c r="BB699" s="136"/>
      <c r="BC699" s="141" t="s">
        <v>380</v>
      </c>
      <c r="BD699" s="241" t="s">
        <v>86</v>
      </c>
      <c r="BF699" s="136"/>
      <c r="BG699" s="141" t="s">
        <v>380</v>
      </c>
      <c r="BH699" s="241" t="s">
        <v>86</v>
      </c>
      <c r="BJ699" s="136"/>
      <c r="BK699" s="141" t="s">
        <v>380</v>
      </c>
      <c r="BL699" s="241" t="s">
        <v>86</v>
      </c>
      <c r="BN699" s="136"/>
      <c r="BO699" s="141" t="s">
        <v>380</v>
      </c>
      <c r="BP699" s="241" t="s">
        <v>86</v>
      </c>
      <c r="BR699" s="136"/>
      <c r="BS699" s="141" t="s">
        <v>380</v>
      </c>
      <c r="BT699" s="241" t="s">
        <v>86</v>
      </c>
    </row>
    <row r="700" spans="1:72" s="174" customFormat="1" x14ac:dyDescent="0.15">
      <c r="A700" s="182"/>
      <c r="B700" s="168" t="s">
        <v>85</v>
      </c>
      <c r="C700" s="140"/>
      <c r="D700" s="170"/>
      <c r="E700" s="130"/>
      <c r="F700" s="136"/>
      <c r="G700" s="141" t="s">
        <v>381</v>
      </c>
      <c r="H700" s="179"/>
      <c r="J700" s="136"/>
      <c r="K700" s="141" t="s">
        <v>381</v>
      </c>
      <c r="L700" s="241" t="s">
        <v>86</v>
      </c>
      <c r="N700" s="136"/>
      <c r="O700" s="141" t="s">
        <v>381</v>
      </c>
      <c r="P700" s="241" t="s">
        <v>86</v>
      </c>
      <c r="R700" s="136"/>
      <c r="S700" s="141" t="s">
        <v>381</v>
      </c>
      <c r="T700" s="241" t="s">
        <v>86</v>
      </c>
      <c r="V700" s="136"/>
      <c r="W700" s="141" t="s">
        <v>381</v>
      </c>
      <c r="X700" s="241" t="s">
        <v>86</v>
      </c>
      <c r="Z700" s="136"/>
      <c r="AA700" s="141" t="s">
        <v>381</v>
      </c>
      <c r="AB700" s="241" t="s">
        <v>86</v>
      </c>
      <c r="AD700" s="136"/>
      <c r="AE700" s="141" t="s">
        <v>381</v>
      </c>
      <c r="AF700" s="241" t="s">
        <v>86</v>
      </c>
      <c r="AH700" s="136"/>
      <c r="AI700" s="141" t="s">
        <v>381</v>
      </c>
      <c r="AJ700" s="241" t="s">
        <v>86</v>
      </c>
      <c r="AL700" s="136"/>
      <c r="AM700" s="141" t="s">
        <v>381</v>
      </c>
      <c r="AN700" s="241" t="s">
        <v>86</v>
      </c>
      <c r="AP700" s="136"/>
      <c r="AQ700" s="141" t="s">
        <v>381</v>
      </c>
      <c r="AR700" s="241" t="s">
        <v>86</v>
      </c>
      <c r="AT700" s="136"/>
      <c r="AU700" s="141" t="s">
        <v>381</v>
      </c>
      <c r="AV700" s="241" t="s">
        <v>86</v>
      </c>
      <c r="AX700" s="136"/>
      <c r="AY700" s="141" t="s">
        <v>381</v>
      </c>
      <c r="AZ700" s="241" t="s">
        <v>86</v>
      </c>
      <c r="BB700" s="136"/>
      <c r="BC700" s="141" t="s">
        <v>381</v>
      </c>
      <c r="BD700" s="241" t="s">
        <v>86</v>
      </c>
      <c r="BF700" s="136"/>
      <c r="BG700" s="141" t="s">
        <v>381</v>
      </c>
      <c r="BH700" s="241" t="s">
        <v>86</v>
      </c>
      <c r="BJ700" s="136"/>
      <c r="BK700" s="141" t="s">
        <v>381</v>
      </c>
      <c r="BL700" s="241" t="s">
        <v>86</v>
      </c>
      <c r="BN700" s="136"/>
      <c r="BO700" s="141" t="s">
        <v>381</v>
      </c>
      <c r="BP700" s="241" t="s">
        <v>86</v>
      </c>
      <c r="BR700" s="136"/>
      <c r="BS700" s="141" t="s">
        <v>381</v>
      </c>
      <c r="BT700" s="241" t="s">
        <v>86</v>
      </c>
    </row>
    <row r="701" spans="1:72" s="174" customFormat="1" x14ac:dyDescent="0.15">
      <c r="A701" s="182"/>
      <c r="B701" s="168" t="s">
        <v>85</v>
      </c>
      <c r="C701" s="140"/>
      <c r="D701" s="170"/>
      <c r="E701" s="130"/>
      <c r="F701" s="136"/>
      <c r="G701" s="141" t="s">
        <v>382</v>
      </c>
      <c r="H701" s="179"/>
      <c r="J701" s="136"/>
      <c r="K701" s="141" t="s">
        <v>382</v>
      </c>
      <c r="L701" s="241" t="s">
        <v>86</v>
      </c>
      <c r="N701" s="136"/>
      <c r="O701" s="141" t="s">
        <v>382</v>
      </c>
      <c r="P701" s="241" t="s">
        <v>86</v>
      </c>
      <c r="R701" s="136"/>
      <c r="S701" s="141" t="s">
        <v>382</v>
      </c>
      <c r="T701" s="241" t="s">
        <v>86</v>
      </c>
      <c r="V701" s="136"/>
      <c r="W701" s="141" t="s">
        <v>382</v>
      </c>
      <c r="X701" s="241" t="s">
        <v>86</v>
      </c>
      <c r="Z701" s="136"/>
      <c r="AA701" s="141" t="s">
        <v>382</v>
      </c>
      <c r="AB701" s="241" t="s">
        <v>86</v>
      </c>
      <c r="AD701" s="136"/>
      <c r="AE701" s="141" t="s">
        <v>382</v>
      </c>
      <c r="AF701" s="241" t="s">
        <v>86</v>
      </c>
      <c r="AH701" s="136"/>
      <c r="AI701" s="141" t="s">
        <v>382</v>
      </c>
      <c r="AJ701" s="241" t="s">
        <v>86</v>
      </c>
      <c r="AL701" s="136"/>
      <c r="AM701" s="141" t="s">
        <v>382</v>
      </c>
      <c r="AN701" s="241" t="s">
        <v>86</v>
      </c>
      <c r="AP701" s="136"/>
      <c r="AQ701" s="141" t="s">
        <v>382</v>
      </c>
      <c r="AR701" s="241" t="s">
        <v>86</v>
      </c>
      <c r="AT701" s="136"/>
      <c r="AU701" s="141" t="s">
        <v>382</v>
      </c>
      <c r="AV701" s="241" t="s">
        <v>86</v>
      </c>
      <c r="AX701" s="136"/>
      <c r="AY701" s="141" t="s">
        <v>382</v>
      </c>
      <c r="AZ701" s="241" t="s">
        <v>86</v>
      </c>
      <c r="BB701" s="136"/>
      <c r="BC701" s="141" t="s">
        <v>382</v>
      </c>
      <c r="BD701" s="241" t="s">
        <v>86</v>
      </c>
      <c r="BF701" s="136"/>
      <c r="BG701" s="141" t="s">
        <v>382</v>
      </c>
      <c r="BH701" s="241" t="s">
        <v>86</v>
      </c>
      <c r="BJ701" s="136"/>
      <c r="BK701" s="141" t="s">
        <v>382</v>
      </c>
      <c r="BL701" s="241" t="s">
        <v>86</v>
      </c>
      <c r="BN701" s="136"/>
      <c r="BO701" s="141" t="s">
        <v>382</v>
      </c>
      <c r="BP701" s="241" t="s">
        <v>86</v>
      </c>
      <c r="BR701" s="136"/>
      <c r="BS701" s="141" t="s">
        <v>382</v>
      </c>
      <c r="BT701" s="241" t="s">
        <v>86</v>
      </c>
    </row>
    <row r="702" spans="1:72" s="174" customFormat="1" x14ac:dyDescent="0.15">
      <c r="A702" s="182"/>
      <c r="B702" s="168" t="s">
        <v>287</v>
      </c>
      <c r="C702" s="140"/>
      <c r="D702" s="170"/>
      <c r="E702" s="130"/>
      <c r="F702" s="136"/>
      <c r="G702" s="141" t="s">
        <v>302</v>
      </c>
      <c r="H702" s="179"/>
      <c r="J702" s="136"/>
      <c r="K702" s="141" t="s">
        <v>302</v>
      </c>
      <c r="L702" s="241" t="s">
        <v>440</v>
      </c>
      <c r="N702" s="136"/>
      <c r="O702" s="141" t="s">
        <v>302</v>
      </c>
      <c r="P702" s="241" t="s">
        <v>440</v>
      </c>
      <c r="R702" s="136"/>
      <c r="S702" s="141" t="s">
        <v>302</v>
      </c>
      <c r="T702" s="241" t="s">
        <v>440</v>
      </c>
      <c r="V702" s="136"/>
      <c r="W702" s="141" t="s">
        <v>302</v>
      </c>
      <c r="X702" s="241" t="s">
        <v>440</v>
      </c>
      <c r="Z702" s="136"/>
      <c r="AA702" s="141" t="s">
        <v>302</v>
      </c>
      <c r="AB702" s="241" t="s">
        <v>440</v>
      </c>
      <c r="AD702" s="136"/>
      <c r="AE702" s="141" t="s">
        <v>302</v>
      </c>
      <c r="AF702" s="241" t="s">
        <v>440</v>
      </c>
      <c r="AH702" s="136"/>
      <c r="AI702" s="141" t="s">
        <v>302</v>
      </c>
      <c r="AJ702" s="241" t="s">
        <v>440</v>
      </c>
      <c r="AL702" s="136"/>
      <c r="AM702" s="141" t="s">
        <v>302</v>
      </c>
      <c r="AN702" s="241" t="s">
        <v>440</v>
      </c>
      <c r="AP702" s="136"/>
      <c r="AQ702" s="141" t="s">
        <v>302</v>
      </c>
      <c r="AR702" s="241" t="s">
        <v>440</v>
      </c>
      <c r="AT702" s="136"/>
      <c r="AU702" s="141" t="s">
        <v>302</v>
      </c>
      <c r="AV702" s="241" t="s">
        <v>440</v>
      </c>
      <c r="AX702" s="136"/>
      <c r="AY702" s="141" t="s">
        <v>302</v>
      </c>
      <c r="AZ702" s="241" t="s">
        <v>440</v>
      </c>
      <c r="BB702" s="136"/>
      <c r="BC702" s="141" t="s">
        <v>302</v>
      </c>
      <c r="BD702" s="241" t="s">
        <v>440</v>
      </c>
      <c r="BF702" s="136"/>
      <c r="BG702" s="141" t="s">
        <v>302</v>
      </c>
      <c r="BH702" s="241" t="s">
        <v>440</v>
      </c>
      <c r="BJ702" s="136"/>
      <c r="BK702" s="141" t="s">
        <v>302</v>
      </c>
      <c r="BL702" s="241" t="s">
        <v>440</v>
      </c>
      <c r="BN702" s="136"/>
      <c r="BO702" s="141" t="s">
        <v>302</v>
      </c>
      <c r="BP702" s="241" t="s">
        <v>440</v>
      </c>
      <c r="BR702" s="136"/>
      <c r="BS702" s="141" t="s">
        <v>302</v>
      </c>
      <c r="BT702" s="241" t="s">
        <v>440</v>
      </c>
    </row>
    <row r="703" spans="1:72" s="174" customFormat="1" x14ac:dyDescent="0.15">
      <c r="A703" s="182"/>
      <c r="B703" s="168" t="s">
        <v>85</v>
      </c>
      <c r="C703" s="140"/>
      <c r="D703" s="170"/>
      <c r="E703" s="130"/>
      <c r="F703" s="136"/>
      <c r="G703" s="141" t="s">
        <v>365</v>
      </c>
      <c r="H703" s="179"/>
      <c r="J703" s="136"/>
      <c r="K703" s="141" t="s">
        <v>365</v>
      </c>
      <c r="L703" s="241" t="s">
        <v>86</v>
      </c>
      <c r="N703" s="136"/>
      <c r="O703" s="141" t="s">
        <v>365</v>
      </c>
      <c r="P703" s="241" t="s">
        <v>86</v>
      </c>
      <c r="R703" s="136"/>
      <c r="S703" s="141" t="s">
        <v>365</v>
      </c>
      <c r="T703" s="241" t="s">
        <v>86</v>
      </c>
      <c r="V703" s="136"/>
      <c r="W703" s="141" t="s">
        <v>365</v>
      </c>
      <c r="X703" s="241" t="s">
        <v>86</v>
      </c>
      <c r="Z703" s="136"/>
      <c r="AA703" s="141" t="s">
        <v>365</v>
      </c>
      <c r="AB703" s="241" t="s">
        <v>86</v>
      </c>
      <c r="AD703" s="136"/>
      <c r="AE703" s="141" t="s">
        <v>365</v>
      </c>
      <c r="AF703" s="241" t="s">
        <v>86</v>
      </c>
      <c r="AH703" s="136"/>
      <c r="AI703" s="141" t="s">
        <v>365</v>
      </c>
      <c r="AJ703" s="241" t="s">
        <v>86</v>
      </c>
      <c r="AL703" s="136"/>
      <c r="AM703" s="141" t="s">
        <v>365</v>
      </c>
      <c r="AN703" s="241" t="s">
        <v>86</v>
      </c>
      <c r="AP703" s="136"/>
      <c r="AQ703" s="141" t="s">
        <v>365</v>
      </c>
      <c r="AR703" s="241" t="s">
        <v>86</v>
      </c>
      <c r="AT703" s="136"/>
      <c r="AU703" s="141" t="s">
        <v>365</v>
      </c>
      <c r="AV703" s="241" t="s">
        <v>86</v>
      </c>
      <c r="AX703" s="136"/>
      <c r="AY703" s="141" t="s">
        <v>365</v>
      </c>
      <c r="AZ703" s="241" t="s">
        <v>86</v>
      </c>
      <c r="BB703" s="136"/>
      <c r="BC703" s="141" t="s">
        <v>365</v>
      </c>
      <c r="BD703" s="241" t="s">
        <v>86</v>
      </c>
      <c r="BF703" s="136"/>
      <c r="BG703" s="141" t="s">
        <v>365</v>
      </c>
      <c r="BH703" s="241" t="s">
        <v>86</v>
      </c>
      <c r="BJ703" s="136"/>
      <c r="BK703" s="141" t="s">
        <v>365</v>
      </c>
      <c r="BL703" s="241" t="s">
        <v>86</v>
      </c>
      <c r="BN703" s="136"/>
      <c r="BO703" s="141" t="s">
        <v>365</v>
      </c>
      <c r="BP703" s="241" t="s">
        <v>86</v>
      </c>
      <c r="BR703" s="136"/>
      <c r="BS703" s="141" t="s">
        <v>365</v>
      </c>
      <c r="BT703" s="248" t="s">
        <v>1122</v>
      </c>
    </row>
    <row r="704" spans="1:72" s="174" customFormat="1" x14ac:dyDescent="0.15">
      <c r="A704" s="182"/>
      <c r="B704" s="168" t="s">
        <v>85</v>
      </c>
      <c r="C704" s="140"/>
      <c r="D704" s="170"/>
      <c r="E704" s="130"/>
      <c r="F704" s="136"/>
      <c r="G704" s="141" t="s">
        <v>366</v>
      </c>
      <c r="H704" s="179"/>
      <c r="J704" s="136"/>
      <c r="K704" s="141" t="s">
        <v>366</v>
      </c>
      <c r="L704" s="241" t="s">
        <v>86</v>
      </c>
      <c r="N704" s="136"/>
      <c r="O704" s="141" t="s">
        <v>366</v>
      </c>
      <c r="P704" s="241" t="s">
        <v>86</v>
      </c>
      <c r="R704" s="136"/>
      <c r="S704" s="141" t="s">
        <v>366</v>
      </c>
      <c r="T704" s="241" t="s">
        <v>86</v>
      </c>
      <c r="V704" s="136"/>
      <c r="W704" s="141" t="s">
        <v>366</v>
      </c>
      <c r="X704" s="241" t="s">
        <v>86</v>
      </c>
      <c r="Z704" s="136"/>
      <c r="AA704" s="141" t="s">
        <v>366</v>
      </c>
      <c r="AB704" s="241" t="s">
        <v>86</v>
      </c>
      <c r="AD704" s="136"/>
      <c r="AE704" s="141" t="s">
        <v>366</v>
      </c>
      <c r="AF704" s="241" t="s">
        <v>86</v>
      </c>
      <c r="AH704" s="136"/>
      <c r="AI704" s="141" t="s">
        <v>366</v>
      </c>
      <c r="AJ704" s="241" t="s">
        <v>86</v>
      </c>
      <c r="AL704" s="136"/>
      <c r="AM704" s="141" t="s">
        <v>366</v>
      </c>
      <c r="AN704" s="241" t="s">
        <v>86</v>
      </c>
      <c r="AP704" s="136"/>
      <c r="AQ704" s="141" t="s">
        <v>366</v>
      </c>
      <c r="AR704" s="241" t="s">
        <v>86</v>
      </c>
      <c r="AT704" s="136"/>
      <c r="AU704" s="141" t="s">
        <v>366</v>
      </c>
      <c r="AV704" s="241" t="s">
        <v>86</v>
      </c>
      <c r="AX704" s="136"/>
      <c r="AY704" s="141" t="s">
        <v>366</v>
      </c>
      <c r="AZ704" s="241" t="s">
        <v>86</v>
      </c>
      <c r="BB704" s="136"/>
      <c r="BC704" s="141" t="s">
        <v>366</v>
      </c>
      <c r="BD704" s="241" t="s">
        <v>86</v>
      </c>
      <c r="BF704" s="136"/>
      <c r="BG704" s="141" t="s">
        <v>366</v>
      </c>
      <c r="BH704" s="241" t="s">
        <v>86</v>
      </c>
      <c r="BJ704" s="136"/>
      <c r="BK704" s="141" t="s">
        <v>366</v>
      </c>
      <c r="BL704" s="241" t="s">
        <v>86</v>
      </c>
      <c r="BN704" s="136"/>
      <c r="BO704" s="141" t="s">
        <v>366</v>
      </c>
      <c r="BP704" s="241" t="s">
        <v>86</v>
      </c>
      <c r="BR704" s="136"/>
      <c r="BS704" s="141" t="s">
        <v>366</v>
      </c>
      <c r="BT704" s="248" t="s">
        <v>1223</v>
      </c>
    </row>
    <row r="705" spans="1:72" s="174" customFormat="1" x14ac:dyDescent="0.15">
      <c r="A705" s="182"/>
      <c r="B705" s="168" t="s">
        <v>85</v>
      </c>
      <c r="C705" s="140"/>
      <c r="D705" s="170"/>
      <c r="E705" s="130"/>
      <c r="F705" s="136"/>
      <c r="G705" s="141" t="s">
        <v>367</v>
      </c>
      <c r="H705" s="179"/>
      <c r="J705" s="136"/>
      <c r="K705" s="141" t="s">
        <v>367</v>
      </c>
      <c r="L705" s="241" t="s">
        <v>86</v>
      </c>
      <c r="N705" s="136"/>
      <c r="O705" s="141" t="s">
        <v>367</v>
      </c>
      <c r="P705" s="241" t="s">
        <v>86</v>
      </c>
      <c r="R705" s="136"/>
      <c r="S705" s="141" t="s">
        <v>367</v>
      </c>
      <c r="T705" s="241" t="s">
        <v>86</v>
      </c>
      <c r="V705" s="136"/>
      <c r="W705" s="141" t="s">
        <v>367</v>
      </c>
      <c r="X705" s="241" t="s">
        <v>86</v>
      </c>
      <c r="Z705" s="136"/>
      <c r="AA705" s="141" t="s">
        <v>367</v>
      </c>
      <c r="AB705" s="241" t="s">
        <v>86</v>
      </c>
      <c r="AD705" s="136"/>
      <c r="AE705" s="141" t="s">
        <v>367</v>
      </c>
      <c r="AF705" s="241" t="s">
        <v>86</v>
      </c>
      <c r="AH705" s="136"/>
      <c r="AI705" s="141" t="s">
        <v>367</v>
      </c>
      <c r="AJ705" s="241" t="s">
        <v>86</v>
      </c>
      <c r="AL705" s="136"/>
      <c r="AM705" s="141" t="s">
        <v>367</v>
      </c>
      <c r="AN705" s="241" t="s">
        <v>86</v>
      </c>
      <c r="AP705" s="136"/>
      <c r="AQ705" s="141" t="s">
        <v>367</v>
      </c>
      <c r="AR705" s="241" t="s">
        <v>86</v>
      </c>
      <c r="AT705" s="136"/>
      <c r="AU705" s="141" t="s">
        <v>367</v>
      </c>
      <c r="AV705" s="241" t="s">
        <v>86</v>
      </c>
      <c r="AX705" s="136"/>
      <c r="AY705" s="141" t="s">
        <v>367</v>
      </c>
      <c r="AZ705" s="241" t="s">
        <v>86</v>
      </c>
      <c r="BB705" s="136"/>
      <c r="BC705" s="141" t="s">
        <v>367</v>
      </c>
      <c r="BD705" s="241" t="s">
        <v>86</v>
      </c>
      <c r="BF705" s="136"/>
      <c r="BG705" s="141" t="s">
        <v>367</v>
      </c>
      <c r="BH705" s="241" t="s">
        <v>86</v>
      </c>
      <c r="BJ705" s="136"/>
      <c r="BK705" s="141" t="s">
        <v>367</v>
      </c>
      <c r="BL705" s="241" t="s">
        <v>86</v>
      </c>
      <c r="BN705" s="136"/>
      <c r="BO705" s="141" t="s">
        <v>367</v>
      </c>
      <c r="BP705" s="241" t="s">
        <v>86</v>
      </c>
      <c r="BR705" s="136"/>
      <c r="BS705" s="141" t="s">
        <v>367</v>
      </c>
      <c r="BT705" s="241" t="s">
        <v>86</v>
      </c>
    </row>
    <row r="706" spans="1:72" s="174" customFormat="1" x14ac:dyDescent="0.15">
      <c r="A706" s="182"/>
      <c r="B706" s="168" t="s">
        <v>85</v>
      </c>
      <c r="C706" s="140"/>
      <c r="D706" s="170"/>
      <c r="E706" s="130"/>
      <c r="F706" s="136"/>
      <c r="G706" s="141" t="s">
        <v>368</v>
      </c>
      <c r="H706" s="179"/>
      <c r="J706" s="136"/>
      <c r="K706" s="141" t="s">
        <v>368</v>
      </c>
      <c r="L706" s="241" t="s">
        <v>86</v>
      </c>
      <c r="N706" s="136"/>
      <c r="O706" s="141" t="s">
        <v>368</v>
      </c>
      <c r="P706" s="241" t="s">
        <v>86</v>
      </c>
      <c r="R706" s="136"/>
      <c r="S706" s="141" t="s">
        <v>368</v>
      </c>
      <c r="T706" s="241" t="s">
        <v>86</v>
      </c>
      <c r="V706" s="136"/>
      <c r="W706" s="141" t="s">
        <v>368</v>
      </c>
      <c r="X706" s="241" t="s">
        <v>86</v>
      </c>
      <c r="Z706" s="136"/>
      <c r="AA706" s="141" t="s">
        <v>368</v>
      </c>
      <c r="AB706" s="241" t="s">
        <v>86</v>
      </c>
      <c r="AD706" s="136"/>
      <c r="AE706" s="141" t="s">
        <v>368</v>
      </c>
      <c r="AF706" s="241" t="s">
        <v>86</v>
      </c>
      <c r="AH706" s="136"/>
      <c r="AI706" s="141" t="s">
        <v>368</v>
      </c>
      <c r="AJ706" s="241" t="s">
        <v>86</v>
      </c>
      <c r="AL706" s="136"/>
      <c r="AM706" s="141" t="s">
        <v>368</v>
      </c>
      <c r="AN706" s="241" t="s">
        <v>86</v>
      </c>
      <c r="AP706" s="136"/>
      <c r="AQ706" s="141" t="s">
        <v>368</v>
      </c>
      <c r="AR706" s="241" t="s">
        <v>86</v>
      </c>
      <c r="AT706" s="136"/>
      <c r="AU706" s="141" t="s">
        <v>368</v>
      </c>
      <c r="AV706" s="241" t="s">
        <v>86</v>
      </c>
      <c r="AX706" s="136"/>
      <c r="AY706" s="141" t="s">
        <v>368</v>
      </c>
      <c r="AZ706" s="241" t="s">
        <v>86</v>
      </c>
      <c r="BB706" s="136"/>
      <c r="BC706" s="141" t="s">
        <v>368</v>
      </c>
      <c r="BD706" s="241" t="s">
        <v>86</v>
      </c>
      <c r="BF706" s="136"/>
      <c r="BG706" s="141" t="s">
        <v>368</v>
      </c>
      <c r="BH706" s="241" t="s">
        <v>86</v>
      </c>
      <c r="BJ706" s="136"/>
      <c r="BK706" s="141" t="s">
        <v>368</v>
      </c>
      <c r="BL706" s="241" t="s">
        <v>86</v>
      </c>
      <c r="BN706" s="136"/>
      <c r="BO706" s="141" t="s">
        <v>368</v>
      </c>
      <c r="BP706" s="241" t="s">
        <v>86</v>
      </c>
      <c r="BR706" s="136"/>
      <c r="BS706" s="141" t="s">
        <v>368</v>
      </c>
      <c r="BT706" s="248" t="s">
        <v>1151</v>
      </c>
    </row>
    <row r="707" spans="1:72" s="174" customFormat="1" x14ac:dyDescent="0.15">
      <c r="A707" s="182"/>
      <c r="B707" s="168" t="s">
        <v>85</v>
      </c>
      <c r="C707" s="140"/>
      <c r="D707" s="170"/>
      <c r="E707" s="130"/>
      <c r="F707" s="136"/>
      <c r="G707" s="141" t="s">
        <v>369</v>
      </c>
      <c r="H707" s="179"/>
      <c r="J707" s="136"/>
      <c r="K707" s="141" t="s">
        <v>369</v>
      </c>
      <c r="L707" s="241" t="s">
        <v>86</v>
      </c>
      <c r="N707" s="136"/>
      <c r="O707" s="141" t="s">
        <v>369</v>
      </c>
      <c r="P707" s="241" t="s">
        <v>86</v>
      </c>
      <c r="R707" s="136"/>
      <c r="S707" s="141" t="s">
        <v>369</v>
      </c>
      <c r="T707" s="241" t="s">
        <v>86</v>
      </c>
      <c r="V707" s="136"/>
      <c r="W707" s="141" t="s">
        <v>369</v>
      </c>
      <c r="X707" s="241" t="s">
        <v>86</v>
      </c>
      <c r="Z707" s="136"/>
      <c r="AA707" s="141" t="s">
        <v>369</v>
      </c>
      <c r="AB707" s="241" t="s">
        <v>86</v>
      </c>
      <c r="AD707" s="136"/>
      <c r="AE707" s="141" t="s">
        <v>369</v>
      </c>
      <c r="AF707" s="241" t="s">
        <v>86</v>
      </c>
      <c r="AH707" s="136"/>
      <c r="AI707" s="141" t="s">
        <v>369</v>
      </c>
      <c r="AJ707" s="241" t="s">
        <v>86</v>
      </c>
      <c r="AL707" s="136"/>
      <c r="AM707" s="141" t="s">
        <v>369</v>
      </c>
      <c r="AN707" s="241" t="s">
        <v>86</v>
      </c>
      <c r="AP707" s="136"/>
      <c r="AQ707" s="141" t="s">
        <v>369</v>
      </c>
      <c r="AR707" s="241" t="s">
        <v>86</v>
      </c>
      <c r="AT707" s="136"/>
      <c r="AU707" s="141" t="s">
        <v>369</v>
      </c>
      <c r="AV707" s="241" t="s">
        <v>86</v>
      </c>
      <c r="AX707" s="136"/>
      <c r="AY707" s="141" t="s">
        <v>369</v>
      </c>
      <c r="AZ707" s="241" t="s">
        <v>86</v>
      </c>
      <c r="BB707" s="136"/>
      <c r="BC707" s="141" t="s">
        <v>369</v>
      </c>
      <c r="BD707" s="241" t="s">
        <v>86</v>
      </c>
      <c r="BF707" s="136"/>
      <c r="BG707" s="141" t="s">
        <v>369</v>
      </c>
      <c r="BH707" s="241" t="s">
        <v>86</v>
      </c>
      <c r="BJ707" s="136"/>
      <c r="BK707" s="141" t="s">
        <v>369</v>
      </c>
      <c r="BL707" s="241" t="s">
        <v>86</v>
      </c>
      <c r="BN707" s="136"/>
      <c r="BO707" s="141" t="s">
        <v>369</v>
      </c>
      <c r="BP707" s="241" t="s">
        <v>86</v>
      </c>
      <c r="BR707" s="136"/>
      <c r="BS707" s="141" t="s">
        <v>369</v>
      </c>
      <c r="BT707" s="241" t="s">
        <v>86</v>
      </c>
    </row>
    <row r="708" spans="1:72" s="174" customFormat="1" x14ac:dyDescent="0.15">
      <c r="A708" s="182"/>
      <c r="B708" s="168" t="s">
        <v>85</v>
      </c>
      <c r="C708" s="140"/>
      <c r="D708" s="170"/>
      <c r="E708" s="130"/>
      <c r="F708" s="136"/>
      <c r="G708" s="141" t="s">
        <v>370</v>
      </c>
      <c r="H708" s="179"/>
      <c r="J708" s="136"/>
      <c r="K708" s="141" t="s">
        <v>370</v>
      </c>
      <c r="L708" s="241" t="s">
        <v>86</v>
      </c>
      <c r="N708" s="136"/>
      <c r="O708" s="141" t="s">
        <v>370</v>
      </c>
      <c r="P708" s="241" t="s">
        <v>86</v>
      </c>
      <c r="R708" s="136"/>
      <c r="S708" s="141" t="s">
        <v>370</v>
      </c>
      <c r="T708" s="241" t="s">
        <v>86</v>
      </c>
      <c r="V708" s="136"/>
      <c r="W708" s="141" t="s">
        <v>370</v>
      </c>
      <c r="X708" s="241" t="s">
        <v>86</v>
      </c>
      <c r="Z708" s="136"/>
      <c r="AA708" s="141" t="s">
        <v>370</v>
      </c>
      <c r="AB708" s="241" t="s">
        <v>86</v>
      </c>
      <c r="AD708" s="136"/>
      <c r="AE708" s="141" t="s">
        <v>370</v>
      </c>
      <c r="AF708" s="241" t="s">
        <v>86</v>
      </c>
      <c r="AH708" s="136"/>
      <c r="AI708" s="141" t="s">
        <v>370</v>
      </c>
      <c r="AJ708" s="241" t="s">
        <v>86</v>
      </c>
      <c r="AL708" s="136"/>
      <c r="AM708" s="141" t="s">
        <v>370</v>
      </c>
      <c r="AN708" s="241" t="s">
        <v>86</v>
      </c>
      <c r="AP708" s="136"/>
      <c r="AQ708" s="141" t="s">
        <v>370</v>
      </c>
      <c r="AR708" s="241" t="s">
        <v>86</v>
      </c>
      <c r="AT708" s="136"/>
      <c r="AU708" s="141" t="s">
        <v>370</v>
      </c>
      <c r="AV708" s="241" t="s">
        <v>86</v>
      </c>
      <c r="AX708" s="136"/>
      <c r="AY708" s="141" t="s">
        <v>370</v>
      </c>
      <c r="AZ708" s="241" t="s">
        <v>86</v>
      </c>
      <c r="BB708" s="136"/>
      <c r="BC708" s="141" t="s">
        <v>370</v>
      </c>
      <c r="BD708" s="241" t="s">
        <v>86</v>
      </c>
      <c r="BF708" s="136"/>
      <c r="BG708" s="141" t="s">
        <v>370</v>
      </c>
      <c r="BH708" s="241" t="s">
        <v>86</v>
      </c>
      <c r="BJ708" s="136"/>
      <c r="BK708" s="141" t="s">
        <v>370</v>
      </c>
      <c r="BL708" s="241" t="s">
        <v>86</v>
      </c>
      <c r="BN708" s="136"/>
      <c r="BO708" s="141" t="s">
        <v>370</v>
      </c>
      <c r="BP708" s="241" t="s">
        <v>86</v>
      </c>
      <c r="BR708" s="136"/>
      <c r="BS708" s="141" t="s">
        <v>370</v>
      </c>
      <c r="BT708" s="241" t="s">
        <v>86</v>
      </c>
    </row>
    <row r="709" spans="1:72" s="174" customFormat="1" x14ac:dyDescent="0.15">
      <c r="A709" s="182"/>
      <c r="B709" s="168" t="s">
        <v>85</v>
      </c>
      <c r="C709" s="140"/>
      <c r="D709" s="170"/>
      <c r="E709" s="130"/>
      <c r="F709" s="136"/>
      <c r="G709" s="141" t="s">
        <v>371</v>
      </c>
      <c r="H709" s="179"/>
      <c r="J709" s="136"/>
      <c r="K709" s="141" t="s">
        <v>371</v>
      </c>
      <c r="L709" s="241" t="s">
        <v>86</v>
      </c>
      <c r="N709" s="136"/>
      <c r="O709" s="141" t="s">
        <v>371</v>
      </c>
      <c r="P709" s="241" t="s">
        <v>86</v>
      </c>
      <c r="R709" s="136"/>
      <c r="S709" s="141" t="s">
        <v>371</v>
      </c>
      <c r="T709" s="241" t="s">
        <v>86</v>
      </c>
      <c r="V709" s="136"/>
      <c r="W709" s="141" t="s">
        <v>371</v>
      </c>
      <c r="X709" s="241" t="s">
        <v>86</v>
      </c>
      <c r="Z709" s="136"/>
      <c r="AA709" s="141" t="s">
        <v>371</v>
      </c>
      <c r="AB709" s="241" t="s">
        <v>86</v>
      </c>
      <c r="AD709" s="136"/>
      <c r="AE709" s="141" t="s">
        <v>371</v>
      </c>
      <c r="AF709" s="241" t="s">
        <v>86</v>
      </c>
      <c r="AH709" s="136"/>
      <c r="AI709" s="141" t="s">
        <v>371</v>
      </c>
      <c r="AJ709" s="241" t="s">
        <v>86</v>
      </c>
      <c r="AL709" s="136"/>
      <c r="AM709" s="141" t="s">
        <v>371</v>
      </c>
      <c r="AN709" s="241" t="s">
        <v>86</v>
      </c>
      <c r="AP709" s="136"/>
      <c r="AQ709" s="141" t="s">
        <v>371</v>
      </c>
      <c r="AR709" s="241" t="s">
        <v>86</v>
      </c>
      <c r="AT709" s="136"/>
      <c r="AU709" s="141" t="s">
        <v>371</v>
      </c>
      <c r="AV709" s="241" t="s">
        <v>86</v>
      </c>
      <c r="AX709" s="136"/>
      <c r="AY709" s="141" t="s">
        <v>371</v>
      </c>
      <c r="AZ709" s="241" t="s">
        <v>86</v>
      </c>
      <c r="BB709" s="136"/>
      <c r="BC709" s="141" t="s">
        <v>371</v>
      </c>
      <c r="BD709" s="241" t="s">
        <v>86</v>
      </c>
      <c r="BF709" s="136"/>
      <c r="BG709" s="141" t="s">
        <v>371</v>
      </c>
      <c r="BH709" s="241" t="s">
        <v>86</v>
      </c>
      <c r="BJ709" s="136"/>
      <c r="BK709" s="141" t="s">
        <v>371</v>
      </c>
      <c r="BL709" s="241" t="s">
        <v>86</v>
      </c>
      <c r="BN709" s="136"/>
      <c r="BO709" s="141" t="s">
        <v>371</v>
      </c>
      <c r="BP709" s="241" t="s">
        <v>86</v>
      </c>
      <c r="BR709" s="136"/>
      <c r="BS709" s="141" t="s">
        <v>371</v>
      </c>
      <c r="BT709" s="241" t="s">
        <v>86</v>
      </c>
    </row>
    <row r="710" spans="1:72" s="174" customFormat="1" x14ac:dyDescent="0.15">
      <c r="A710" s="182"/>
      <c r="B710" s="168" t="s">
        <v>85</v>
      </c>
      <c r="C710" s="140"/>
      <c r="D710" s="170"/>
      <c r="E710" s="130"/>
      <c r="F710" s="136"/>
      <c r="G710" s="141" t="s">
        <v>372</v>
      </c>
      <c r="H710" s="179"/>
      <c r="J710" s="136"/>
      <c r="K710" s="141" t="s">
        <v>372</v>
      </c>
      <c r="L710" s="241" t="s">
        <v>86</v>
      </c>
      <c r="N710" s="136"/>
      <c r="O710" s="141" t="s">
        <v>372</v>
      </c>
      <c r="P710" s="241" t="s">
        <v>86</v>
      </c>
      <c r="R710" s="136"/>
      <c r="S710" s="141" t="s">
        <v>372</v>
      </c>
      <c r="T710" s="241" t="s">
        <v>86</v>
      </c>
      <c r="V710" s="136"/>
      <c r="W710" s="141" t="s">
        <v>372</v>
      </c>
      <c r="X710" s="241" t="s">
        <v>86</v>
      </c>
      <c r="Z710" s="136"/>
      <c r="AA710" s="141" t="s">
        <v>372</v>
      </c>
      <c r="AB710" s="241" t="s">
        <v>86</v>
      </c>
      <c r="AD710" s="136"/>
      <c r="AE710" s="141" t="s">
        <v>372</v>
      </c>
      <c r="AF710" s="241" t="s">
        <v>86</v>
      </c>
      <c r="AH710" s="136"/>
      <c r="AI710" s="141" t="s">
        <v>372</v>
      </c>
      <c r="AJ710" s="241" t="s">
        <v>86</v>
      </c>
      <c r="AL710" s="136"/>
      <c r="AM710" s="141" t="s">
        <v>372</v>
      </c>
      <c r="AN710" s="241" t="s">
        <v>86</v>
      </c>
      <c r="AP710" s="136"/>
      <c r="AQ710" s="141" t="s">
        <v>372</v>
      </c>
      <c r="AR710" s="241" t="s">
        <v>86</v>
      </c>
      <c r="AT710" s="136"/>
      <c r="AU710" s="141" t="s">
        <v>372</v>
      </c>
      <c r="AV710" s="241" t="s">
        <v>86</v>
      </c>
      <c r="AX710" s="136"/>
      <c r="AY710" s="141" t="s">
        <v>372</v>
      </c>
      <c r="AZ710" s="241" t="s">
        <v>86</v>
      </c>
      <c r="BB710" s="136"/>
      <c r="BC710" s="141" t="s">
        <v>372</v>
      </c>
      <c r="BD710" s="241" t="s">
        <v>86</v>
      </c>
      <c r="BF710" s="136"/>
      <c r="BG710" s="141" t="s">
        <v>372</v>
      </c>
      <c r="BH710" s="241" t="s">
        <v>86</v>
      </c>
      <c r="BJ710" s="136"/>
      <c r="BK710" s="141" t="s">
        <v>372</v>
      </c>
      <c r="BL710" s="241" t="s">
        <v>86</v>
      </c>
      <c r="BN710" s="136"/>
      <c r="BO710" s="141" t="s">
        <v>372</v>
      </c>
      <c r="BP710" s="241" t="s">
        <v>86</v>
      </c>
      <c r="BR710" s="136"/>
      <c r="BS710" s="141" t="s">
        <v>372</v>
      </c>
      <c r="BT710" s="241" t="s">
        <v>86</v>
      </c>
    </row>
    <row r="711" spans="1:72" s="174" customFormat="1" x14ac:dyDescent="0.15">
      <c r="A711" s="182"/>
      <c r="B711" s="168" t="s">
        <v>85</v>
      </c>
      <c r="C711" s="140"/>
      <c r="D711" s="170"/>
      <c r="E711" s="130"/>
      <c r="F711" s="136"/>
      <c r="G711" s="141" t="s">
        <v>303</v>
      </c>
      <c r="H711" s="179"/>
      <c r="J711" s="136"/>
      <c r="K711" s="141" t="s">
        <v>303</v>
      </c>
      <c r="L711" s="248" t="s">
        <v>9</v>
      </c>
      <c r="N711" s="136"/>
      <c r="O711" s="141" t="s">
        <v>303</v>
      </c>
      <c r="P711" s="248" t="s">
        <v>9</v>
      </c>
      <c r="R711" s="136"/>
      <c r="S711" s="141" t="s">
        <v>303</v>
      </c>
      <c r="T711" s="248" t="s">
        <v>9</v>
      </c>
      <c r="V711" s="136"/>
      <c r="W711" s="141" t="s">
        <v>303</v>
      </c>
      <c r="X711" s="241" t="s">
        <v>86</v>
      </c>
      <c r="Z711" s="136"/>
      <c r="AA711" s="141" t="s">
        <v>303</v>
      </c>
      <c r="AB711" s="248" t="s">
        <v>9</v>
      </c>
      <c r="AD711" s="136"/>
      <c r="AE711" s="141" t="s">
        <v>303</v>
      </c>
      <c r="AF711" s="248" t="s">
        <v>9</v>
      </c>
      <c r="AH711" s="136"/>
      <c r="AI711" s="141" t="s">
        <v>303</v>
      </c>
      <c r="AJ711" s="248" t="s">
        <v>9</v>
      </c>
      <c r="AL711" s="136"/>
      <c r="AM711" s="141" t="s">
        <v>303</v>
      </c>
      <c r="AN711" s="248" t="s">
        <v>9</v>
      </c>
      <c r="AP711" s="136"/>
      <c r="AQ711" s="141" t="s">
        <v>303</v>
      </c>
      <c r="AR711" s="248" t="s">
        <v>9</v>
      </c>
      <c r="AT711" s="136"/>
      <c r="AU711" s="141" t="s">
        <v>303</v>
      </c>
      <c r="AV711" s="248" t="s">
        <v>9</v>
      </c>
      <c r="AX711" s="136"/>
      <c r="AY711" s="141" t="s">
        <v>303</v>
      </c>
      <c r="AZ711" s="241" t="s">
        <v>86</v>
      </c>
      <c r="BB711" s="136"/>
      <c r="BC711" s="141" t="s">
        <v>303</v>
      </c>
      <c r="BD711" s="248" t="s">
        <v>9</v>
      </c>
      <c r="BF711" s="136"/>
      <c r="BG711" s="141" t="s">
        <v>303</v>
      </c>
      <c r="BH711" s="248" t="s">
        <v>9</v>
      </c>
      <c r="BJ711" s="136"/>
      <c r="BK711" s="141" t="s">
        <v>303</v>
      </c>
      <c r="BL711" s="248" t="s">
        <v>9</v>
      </c>
      <c r="BN711" s="136"/>
      <c r="BO711" s="141" t="s">
        <v>303</v>
      </c>
      <c r="BP711" s="248" t="s">
        <v>9</v>
      </c>
      <c r="BR711" s="136"/>
      <c r="BS711" s="141" t="s">
        <v>303</v>
      </c>
      <c r="BT711" s="248" t="s">
        <v>9</v>
      </c>
    </row>
    <row r="712" spans="1:72" s="174" customFormat="1" x14ac:dyDescent="0.15">
      <c r="A712" s="182"/>
      <c r="B712" s="168" t="s">
        <v>275</v>
      </c>
      <c r="C712" s="140"/>
      <c r="D712" s="170"/>
      <c r="E712" s="130"/>
      <c r="F712" s="136"/>
      <c r="G712" s="141" t="s">
        <v>304</v>
      </c>
      <c r="H712" s="179"/>
      <c r="J712" s="136"/>
      <c r="K712" s="141" t="s">
        <v>304</v>
      </c>
      <c r="L712" s="248" t="s">
        <v>9</v>
      </c>
      <c r="N712" s="136"/>
      <c r="O712" s="141" t="s">
        <v>304</v>
      </c>
      <c r="P712" s="248" t="s">
        <v>9</v>
      </c>
      <c r="R712" s="136"/>
      <c r="S712" s="141" t="s">
        <v>304</v>
      </c>
      <c r="T712" s="248" t="s">
        <v>9</v>
      </c>
      <c r="V712" s="136"/>
      <c r="W712" s="141" t="s">
        <v>304</v>
      </c>
      <c r="X712" s="241" t="s">
        <v>1177</v>
      </c>
      <c r="Z712" s="136"/>
      <c r="AA712" s="141" t="s">
        <v>304</v>
      </c>
      <c r="AB712" s="248" t="s">
        <v>9</v>
      </c>
      <c r="AD712" s="136"/>
      <c r="AE712" s="141" t="s">
        <v>304</v>
      </c>
      <c r="AF712" s="248" t="s">
        <v>9</v>
      </c>
      <c r="AH712" s="136"/>
      <c r="AI712" s="141" t="s">
        <v>304</v>
      </c>
      <c r="AJ712" s="248" t="s">
        <v>9</v>
      </c>
      <c r="AL712" s="136"/>
      <c r="AM712" s="141" t="s">
        <v>304</v>
      </c>
      <c r="AN712" s="248" t="s">
        <v>9</v>
      </c>
      <c r="AP712" s="136"/>
      <c r="AQ712" s="141" t="s">
        <v>304</v>
      </c>
      <c r="AR712" s="248" t="s">
        <v>9</v>
      </c>
      <c r="AT712" s="136"/>
      <c r="AU712" s="141" t="s">
        <v>304</v>
      </c>
      <c r="AV712" s="248" t="s">
        <v>9</v>
      </c>
      <c r="AX712" s="136"/>
      <c r="AY712" s="141" t="s">
        <v>304</v>
      </c>
      <c r="AZ712" s="241" t="s">
        <v>1177</v>
      </c>
      <c r="BB712" s="136"/>
      <c r="BC712" s="141" t="s">
        <v>304</v>
      </c>
      <c r="BD712" s="248" t="s">
        <v>9</v>
      </c>
      <c r="BF712" s="136"/>
      <c r="BG712" s="141" t="s">
        <v>304</v>
      </c>
      <c r="BH712" s="248" t="s">
        <v>9</v>
      </c>
      <c r="BJ712" s="136"/>
      <c r="BK712" s="141" t="s">
        <v>304</v>
      </c>
      <c r="BL712" s="248" t="s">
        <v>9</v>
      </c>
      <c r="BN712" s="136"/>
      <c r="BO712" s="141" t="s">
        <v>304</v>
      </c>
      <c r="BP712" s="248" t="s">
        <v>9</v>
      </c>
      <c r="BR712" s="136"/>
      <c r="BS712" s="141" t="s">
        <v>304</v>
      </c>
      <c r="BT712" s="248" t="s">
        <v>9</v>
      </c>
    </row>
    <row r="713" spans="1:72" s="174" customFormat="1" x14ac:dyDescent="0.15">
      <c r="A713" s="182"/>
      <c r="B713" s="168" t="s">
        <v>287</v>
      </c>
      <c r="C713" s="140"/>
      <c r="D713" s="170"/>
      <c r="E713" s="130"/>
      <c r="F713" s="136"/>
      <c r="G713" s="141" t="s">
        <v>305</v>
      </c>
      <c r="H713" s="179"/>
      <c r="J713" s="136"/>
      <c r="K713" s="141" t="s">
        <v>305</v>
      </c>
      <c r="L713" s="248" t="s">
        <v>9</v>
      </c>
      <c r="N713" s="136"/>
      <c r="O713" s="141" t="s">
        <v>305</v>
      </c>
      <c r="P713" s="248" t="s">
        <v>9</v>
      </c>
      <c r="R713" s="136"/>
      <c r="S713" s="141" t="s">
        <v>305</v>
      </c>
      <c r="T713" s="248" t="s">
        <v>9</v>
      </c>
      <c r="V713" s="136"/>
      <c r="W713" s="141" t="s">
        <v>305</v>
      </c>
      <c r="X713" s="241" t="s">
        <v>440</v>
      </c>
      <c r="Z713" s="136"/>
      <c r="AA713" s="141" t="s">
        <v>305</v>
      </c>
      <c r="AB713" s="248" t="s">
        <v>9</v>
      </c>
      <c r="AD713" s="136"/>
      <c r="AE713" s="141" t="s">
        <v>305</v>
      </c>
      <c r="AF713" s="248" t="s">
        <v>9</v>
      </c>
      <c r="AH713" s="136"/>
      <c r="AI713" s="141" t="s">
        <v>305</v>
      </c>
      <c r="AJ713" s="248" t="s">
        <v>9</v>
      </c>
      <c r="AL713" s="136"/>
      <c r="AM713" s="141" t="s">
        <v>305</v>
      </c>
      <c r="AN713" s="248" t="s">
        <v>9</v>
      </c>
      <c r="AP713" s="136"/>
      <c r="AQ713" s="141" t="s">
        <v>305</v>
      </c>
      <c r="AR713" s="248" t="s">
        <v>9</v>
      </c>
      <c r="AT713" s="136"/>
      <c r="AU713" s="141" t="s">
        <v>305</v>
      </c>
      <c r="AV713" s="248" t="s">
        <v>9</v>
      </c>
      <c r="AX713" s="136"/>
      <c r="AY713" s="141" t="s">
        <v>305</v>
      </c>
      <c r="AZ713" s="241" t="s">
        <v>440</v>
      </c>
      <c r="BB713" s="136"/>
      <c r="BC713" s="141" t="s">
        <v>305</v>
      </c>
      <c r="BD713" s="248" t="s">
        <v>9</v>
      </c>
      <c r="BF713" s="136"/>
      <c r="BG713" s="141" t="s">
        <v>305</v>
      </c>
      <c r="BH713" s="248" t="s">
        <v>9</v>
      </c>
      <c r="BJ713" s="136"/>
      <c r="BK713" s="141" t="s">
        <v>305</v>
      </c>
      <c r="BL713" s="248" t="s">
        <v>9</v>
      </c>
      <c r="BN713" s="136"/>
      <c r="BO713" s="141" t="s">
        <v>305</v>
      </c>
      <c r="BP713" s="248" t="s">
        <v>9</v>
      </c>
      <c r="BR713" s="136"/>
      <c r="BS713" s="141" t="s">
        <v>305</v>
      </c>
      <c r="BT713" s="248" t="s">
        <v>9</v>
      </c>
    </row>
    <row r="714" spans="1:72" s="174" customFormat="1" x14ac:dyDescent="0.15">
      <c r="A714" s="182"/>
      <c r="B714" s="168" t="s">
        <v>280</v>
      </c>
      <c r="C714" s="140"/>
      <c r="D714" s="170"/>
      <c r="E714" s="130"/>
      <c r="F714" s="136"/>
      <c r="G714" s="141" t="s">
        <v>306</v>
      </c>
      <c r="H714" s="179"/>
      <c r="J714" s="136"/>
      <c r="K714" s="141" t="s">
        <v>306</v>
      </c>
      <c r="L714" s="248" t="s">
        <v>9</v>
      </c>
      <c r="N714" s="136"/>
      <c r="O714" s="141" t="s">
        <v>306</v>
      </c>
      <c r="P714" s="248" t="s">
        <v>9</v>
      </c>
      <c r="R714" s="136"/>
      <c r="S714" s="141" t="s">
        <v>306</v>
      </c>
      <c r="T714" s="248" t="s">
        <v>9</v>
      </c>
      <c r="V714" s="136"/>
      <c r="W714" s="141" t="s">
        <v>306</v>
      </c>
      <c r="X714" s="241" t="s">
        <v>1178</v>
      </c>
      <c r="Z714" s="136"/>
      <c r="AA714" s="141" t="s">
        <v>306</v>
      </c>
      <c r="AB714" s="248" t="s">
        <v>9</v>
      </c>
      <c r="AD714" s="136"/>
      <c r="AE714" s="141" t="s">
        <v>306</v>
      </c>
      <c r="AF714" s="248" t="s">
        <v>9</v>
      </c>
      <c r="AH714" s="136"/>
      <c r="AI714" s="141" t="s">
        <v>306</v>
      </c>
      <c r="AJ714" s="248" t="s">
        <v>9</v>
      </c>
      <c r="AL714" s="136"/>
      <c r="AM714" s="141" t="s">
        <v>306</v>
      </c>
      <c r="AN714" s="248" t="s">
        <v>9</v>
      </c>
      <c r="AP714" s="136"/>
      <c r="AQ714" s="141" t="s">
        <v>306</v>
      </c>
      <c r="AR714" s="248" t="s">
        <v>9</v>
      </c>
      <c r="AT714" s="136"/>
      <c r="AU714" s="141" t="s">
        <v>306</v>
      </c>
      <c r="AV714" s="248" t="s">
        <v>9</v>
      </c>
      <c r="AX714" s="136"/>
      <c r="AY714" s="141" t="s">
        <v>306</v>
      </c>
      <c r="AZ714" s="241" t="s">
        <v>1178</v>
      </c>
      <c r="BB714" s="136"/>
      <c r="BC714" s="141" t="s">
        <v>306</v>
      </c>
      <c r="BD714" s="248" t="s">
        <v>9</v>
      </c>
      <c r="BF714" s="136"/>
      <c r="BG714" s="141" t="s">
        <v>306</v>
      </c>
      <c r="BH714" s="248" t="s">
        <v>9</v>
      </c>
      <c r="BJ714" s="136"/>
      <c r="BK714" s="141" t="s">
        <v>306</v>
      </c>
      <c r="BL714" s="248" t="s">
        <v>9</v>
      </c>
      <c r="BN714" s="136"/>
      <c r="BO714" s="141" t="s">
        <v>306</v>
      </c>
      <c r="BP714" s="248" t="s">
        <v>9</v>
      </c>
      <c r="BR714" s="136"/>
      <c r="BS714" s="141" t="s">
        <v>306</v>
      </c>
      <c r="BT714" s="248" t="s">
        <v>9</v>
      </c>
    </row>
    <row r="715" spans="1:72" s="174" customFormat="1" x14ac:dyDescent="0.15">
      <c r="A715" s="182"/>
      <c r="B715" s="168" t="s">
        <v>85</v>
      </c>
      <c r="C715" s="140"/>
      <c r="D715" s="170"/>
      <c r="E715" s="130"/>
      <c r="F715" s="136"/>
      <c r="G715" s="141" t="s">
        <v>307</v>
      </c>
      <c r="H715" s="179"/>
      <c r="J715" s="136"/>
      <c r="K715" s="141" t="s">
        <v>307</v>
      </c>
      <c r="L715" s="248" t="s">
        <v>9</v>
      </c>
      <c r="N715" s="136"/>
      <c r="O715" s="141" t="s">
        <v>307</v>
      </c>
      <c r="P715" s="248" t="s">
        <v>9</v>
      </c>
      <c r="R715" s="136"/>
      <c r="S715" s="141" t="s">
        <v>307</v>
      </c>
      <c r="T715" s="248" t="s">
        <v>9</v>
      </c>
      <c r="V715" s="136"/>
      <c r="W715" s="141" t="s">
        <v>307</v>
      </c>
      <c r="X715" s="241" t="s">
        <v>86</v>
      </c>
      <c r="Z715" s="136"/>
      <c r="AA715" s="141" t="s">
        <v>307</v>
      </c>
      <c r="AB715" s="248" t="s">
        <v>9</v>
      </c>
      <c r="AD715" s="136"/>
      <c r="AE715" s="141" t="s">
        <v>307</v>
      </c>
      <c r="AF715" s="248" t="s">
        <v>9</v>
      </c>
      <c r="AH715" s="136"/>
      <c r="AI715" s="141" t="s">
        <v>307</v>
      </c>
      <c r="AJ715" s="248" t="s">
        <v>9</v>
      </c>
      <c r="AL715" s="136"/>
      <c r="AM715" s="141" t="s">
        <v>307</v>
      </c>
      <c r="AN715" s="248" t="s">
        <v>9</v>
      </c>
      <c r="AP715" s="136"/>
      <c r="AQ715" s="141" t="s">
        <v>307</v>
      </c>
      <c r="AR715" s="248" t="s">
        <v>9</v>
      </c>
      <c r="AT715" s="136"/>
      <c r="AU715" s="141" t="s">
        <v>307</v>
      </c>
      <c r="AV715" s="248" t="s">
        <v>9</v>
      </c>
      <c r="AX715" s="136"/>
      <c r="AY715" s="141" t="s">
        <v>307</v>
      </c>
      <c r="AZ715" s="241" t="s">
        <v>86</v>
      </c>
      <c r="BB715" s="136"/>
      <c r="BC715" s="141" t="s">
        <v>307</v>
      </c>
      <c r="BD715" s="248" t="s">
        <v>9</v>
      </c>
      <c r="BF715" s="136"/>
      <c r="BG715" s="141" t="s">
        <v>307</v>
      </c>
      <c r="BH715" s="248" t="s">
        <v>9</v>
      </c>
      <c r="BJ715" s="136"/>
      <c r="BK715" s="141" t="s">
        <v>307</v>
      </c>
      <c r="BL715" s="248" t="s">
        <v>9</v>
      </c>
      <c r="BN715" s="136"/>
      <c r="BO715" s="141" t="s">
        <v>307</v>
      </c>
      <c r="BP715" s="248" t="s">
        <v>9</v>
      </c>
      <c r="BR715" s="136"/>
      <c r="BS715" s="141" t="s">
        <v>307</v>
      </c>
      <c r="BT715" s="248" t="s">
        <v>9</v>
      </c>
    </row>
    <row r="716" spans="1:72" s="174" customFormat="1" x14ac:dyDescent="0.15">
      <c r="A716" s="182"/>
      <c r="B716" s="168" t="s">
        <v>1077</v>
      </c>
      <c r="C716" s="140"/>
      <c r="D716" s="170"/>
      <c r="E716" s="130"/>
      <c r="F716" s="136"/>
      <c r="G716" s="141" t="s">
        <v>308</v>
      </c>
      <c r="H716" s="179"/>
      <c r="J716" s="136"/>
      <c r="K716" s="141" t="s">
        <v>308</v>
      </c>
      <c r="L716" s="248" t="s">
        <v>9</v>
      </c>
      <c r="N716" s="136"/>
      <c r="O716" s="141" t="s">
        <v>308</v>
      </c>
      <c r="P716" s="248" t="s">
        <v>9</v>
      </c>
      <c r="R716" s="136"/>
      <c r="S716" s="141" t="s">
        <v>308</v>
      </c>
      <c r="T716" s="248" t="s">
        <v>9</v>
      </c>
      <c r="V716" s="136"/>
      <c r="W716" s="141" t="s">
        <v>308</v>
      </c>
      <c r="X716" s="241" t="s">
        <v>1179</v>
      </c>
      <c r="Z716" s="136"/>
      <c r="AA716" s="141" t="s">
        <v>308</v>
      </c>
      <c r="AB716" s="248" t="s">
        <v>9</v>
      </c>
      <c r="AD716" s="136"/>
      <c r="AE716" s="141" t="s">
        <v>308</v>
      </c>
      <c r="AF716" s="248" t="s">
        <v>9</v>
      </c>
      <c r="AH716" s="136"/>
      <c r="AI716" s="141" t="s">
        <v>308</v>
      </c>
      <c r="AJ716" s="248" t="s">
        <v>9</v>
      </c>
      <c r="AL716" s="136"/>
      <c r="AM716" s="141" t="s">
        <v>308</v>
      </c>
      <c r="AN716" s="248" t="s">
        <v>9</v>
      </c>
      <c r="AP716" s="136"/>
      <c r="AQ716" s="141" t="s">
        <v>308</v>
      </c>
      <c r="AR716" s="248" t="s">
        <v>9</v>
      </c>
      <c r="AT716" s="136"/>
      <c r="AU716" s="141" t="s">
        <v>308</v>
      </c>
      <c r="AV716" s="248" t="s">
        <v>9</v>
      </c>
      <c r="AX716" s="136"/>
      <c r="AY716" s="141" t="s">
        <v>308</v>
      </c>
      <c r="AZ716" s="241" t="s">
        <v>1179</v>
      </c>
      <c r="BB716" s="136"/>
      <c r="BC716" s="141" t="s">
        <v>308</v>
      </c>
      <c r="BD716" s="248" t="s">
        <v>9</v>
      </c>
      <c r="BF716" s="136"/>
      <c r="BG716" s="141" t="s">
        <v>308</v>
      </c>
      <c r="BH716" s="248" t="s">
        <v>9</v>
      </c>
      <c r="BJ716" s="136"/>
      <c r="BK716" s="141" t="s">
        <v>308</v>
      </c>
      <c r="BL716" s="248" t="s">
        <v>9</v>
      </c>
      <c r="BN716" s="136"/>
      <c r="BO716" s="141" t="s">
        <v>308</v>
      </c>
      <c r="BP716" s="248" t="s">
        <v>9</v>
      </c>
      <c r="BR716" s="136"/>
      <c r="BS716" s="141" t="s">
        <v>308</v>
      </c>
      <c r="BT716" s="248" t="s">
        <v>9</v>
      </c>
    </row>
    <row r="717" spans="1:72" s="174" customFormat="1" x14ac:dyDescent="0.15">
      <c r="A717" s="182"/>
      <c r="B717" s="168" t="s">
        <v>287</v>
      </c>
      <c r="C717" s="140"/>
      <c r="D717" s="170"/>
      <c r="E717" s="130"/>
      <c r="F717" s="136"/>
      <c r="G717" s="141" t="s">
        <v>309</v>
      </c>
      <c r="H717" s="179"/>
      <c r="J717" s="136"/>
      <c r="K717" s="141" t="s">
        <v>309</v>
      </c>
      <c r="L717" s="248" t="s">
        <v>9</v>
      </c>
      <c r="N717" s="136"/>
      <c r="O717" s="141" t="s">
        <v>309</v>
      </c>
      <c r="P717" s="248" t="s">
        <v>9</v>
      </c>
      <c r="R717" s="136"/>
      <c r="S717" s="141" t="s">
        <v>309</v>
      </c>
      <c r="T717" s="248" t="s">
        <v>9</v>
      </c>
      <c r="V717" s="136"/>
      <c r="W717" s="141" t="s">
        <v>309</v>
      </c>
      <c r="X717" s="241" t="s">
        <v>440</v>
      </c>
      <c r="Z717" s="136"/>
      <c r="AA717" s="141" t="s">
        <v>309</v>
      </c>
      <c r="AB717" s="248" t="s">
        <v>9</v>
      </c>
      <c r="AD717" s="136"/>
      <c r="AE717" s="141" t="s">
        <v>309</v>
      </c>
      <c r="AF717" s="248" t="s">
        <v>9</v>
      </c>
      <c r="AH717" s="136"/>
      <c r="AI717" s="141" t="s">
        <v>309</v>
      </c>
      <c r="AJ717" s="248" t="s">
        <v>9</v>
      </c>
      <c r="AL717" s="136"/>
      <c r="AM717" s="141" t="s">
        <v>309</v>
      </c>
      <c r="AN717" s="248" t="s">
        <v>9</v>
      </c>
      <c r="AP717" s="136"/>
      <c r="AQ717" s="141" t="s">
        <v>309</v>
      </c>
      <c r="AR717" s="248" t="s">
        <v>9</v>
      </c>
      <c r="AT717" s="136"/>
      <c r="AU717" s="141" t="s">
        <v>309</v>
      </c>
      <c r="AV717" s="248" t="s">
        <v>9</v>
      </c>
      <c r="AX717" s="136"/>
      <c r="AY717" s="141" t="s">
        <v>309</v>
      </c>
      <c r="AZ717" s="241" t="s">
        <v>440</v>
      </c>
      <c r="BB717" s="136"/>
      <c r="BC717" s="141" t="s">
        <v>309</v>
      </c>
      <c r="BD717" s="248" t="s">
        <v>9</v>
      </c>
      <c r="BF717" s="136"/>
      <c r="BG717" s="141" t="s">
        <v>309</v>
      </c>
      <c r="BH717" s="248" t="s">
        <v>9</v>
      </c>
      <c r="BJ717" s="136"/>
      <c r="BK717" s="141" t="s">
        <v>309</v>
      </c>
      <c r="BL717" s="248" t="s">
        <v>9</v>
      </c>
      <c r="BN717" s="136"/>
      <c r="BO717" s="141" t="s">
        <v>309</v>
      </c>
      <c r="BP717" s="248" t="s">
        <v>9</v>
      </c>
      <c r="BR717" s="136"/>
      <c r="BS717" s="141" t="s">
        <v>309</v>
      </c>
      <c r="BT717" s="248" t="s">
        <v>9</v>
      </c>
    </row>
    <row r="718" spans="1:72" s="174" customFormat="1" x14ac:dyDescent="0.15">
      <c r="A718" s="182"/>
      <c r="B718" s="168" t="s">
        <v>1078</v>
      </c>
      <c r="C718" s="140"/>
      <c r="D718" s="170"/>
      <c r="E718" s="130"/>
      <c r="F718" s="136"/>
      <c r="G718" s="141" t="s">
        <v>310</v>
      </c>
      <c r="H718" s="179"/>
      <c r="J718" s="136"/>
      <c r="K718" s="141" t="s">
        <v>310</v>
      </c>
      <c r="L718" s="248" t="s">
        <v>9</v>
      </c>
      <c r="N718" s="136"/>
      <c r="O718" s="141" t="s">
        <v>310</v>
      </c>
      <c r="P718" s="248" t="s">
        <v>9</v>
      </c>
      <c r="R718" s="136"/>
      <c r="S718" s="141" t="s">
        <v>310</v>
      </c>
      <c r="T718" s="248" t="s">
        <v>9</v>
      </c>
      <c r="V718" s="136"/>
      <c r="W718" s="141" t="s">
        <v>310</v>
      </c>
      <c r="X718" s="241" t="s">
        <v>1180</v>
      </c>
      <c r="Z718" s="136"/>
      <c r="AA718" s="141" t="s">
        <v>310</v>
      </c>
      <c r="AB718" s="248" t="s">
        <v>9</v>
      </c>
      <c r="AD718" s="136"/>
      <c r="AE718" s="141" t="s">
        <v>310</v>
      </c>
      <c r="AF718" s="248" t="s">
        <v>9</v>
      </c>
      <c r="AH718" s="136"/>
      <c r="AI718" s="141" t="s">
        <v>310</v>
      </c>
      <c r="AJ718" s="248" t="s">
        <v>9</v>
      </c>
      <c r="AL718" s="136"/>
      <c r="AM718" s="141" t="s">
        <v>310</v>
      </c>
      <c r="AN718" s="248" t="s">
        <v>9</v>
      </c>
      <c r="AP718" s="136"/>
      <c r="AQ718" s="141" t="s">
        <v>310</v>
      </c>
      <c r="AR718" s="248" t="s">
        <v>9</v>
      </c>
      <c r="AT718" s="136"/>
      <c r="AU718" s="141" t="s">
        <v>310</v>
      </c>
      <c r="AV718" s="248" t="s">
        <v>9</v>
      </c>
      <c r="AX718" s="136"/>
      <c r="AY718" s="141" t="s">
        <v>310</v>
      </c>
      <c r="AZ718" s="241" t="s">
        <v>1180</v>
      </c>
      <c r="BB718" s="136"/>
      <c r="BC718" s="141" t="s">
        <v>310</v>
      </c>
      <c r="BD718" s="248" t="s">
        <v>9</v>
      </c>
      <c r="BF718" s="136"/>
      <c r="BG718" s="141" t="s">
        <v>310</v>
      </c>
      <c r="BH718" s="248" t="s">
        <v>9</v>
      </c>
      <c r="BJ718" s="136"/>
      <c r="BK718" s="141" t="s">
        <v>310</v>
      </c>
      <c r="BL718" s="248" t="s">
        <v>9</v>
      </c>
      <c r="BN718" s="136"/>
      <c r="BO718" s="141" t="s">
        <v>310</v>
      </c>
      <c r="BP718" s="248" t="s">
        <v>9</v>
      </c>
      <c r="BR718" s="136"/>
      <c r="BS718" s="141" t="s">
        <v>310</v>
      </c>
      <c r="BT718" s="248" t="s">
        <v>9</v>
      </c>
    </row>
    <row r="719" spans="1:72" s="174" customFormat="1" x14ac:dyDescent="0.15">
      <c r="A719" s="182"/>
      <c r="B719" s="168" t="s">
        <v>85</v>
      </c>
      <c r="C719" s="140"/>
      <c r="D719" s="170"/>
      <c r="E719" s="130"/>
      <c r="F719" s="136"/>
      <c r="G719" s="141" t="s">
        <v>311</v>
      </c>
      <c r="H719" s="179"/>
      <c r="J719" s="136"/>
      <c r="K719" s="141" t="s">
        <v>311</v>
      </c>
      <c r="L719" s="248" t="s">
        <v>9</v>
      </c>
      <c r="N719" s="136"/>
      <c r="O719" s="141" t="s">
        <v>311</v>
      </c>
      <c r="P719" s="248" t="s">
        <v>9</v>
      </c>
      <c r="R719" s="136"/>
      <c r="S719" s="141" t="s">
        <v>311</v>
      </c>
      <c r="T719" s="248" t="s">
        <v>9</v>
      </c>
      <c r="V719" s="136"/>
      <c r="W719" s="141" t="s">
        <v>311</v>
      </c>
      <c r="X719" s="241" t="s">
        <v>86</v>
      </c>
      <c r="Z719" s="136"/>
      <c r="AA719" s="141" t="s">
        <v>311</v>
      </c>
      <c r="AB719" s="248" t="s">
        <v>9</v>
      </c>
      <c r="AD719" s="136"/>
      <c r="AE719" s="141" t="s">
        <v>311</v>
      </c>
      <c r="AF719" s="248" t="s">
        <v>9</v>
      </c>
      <c r="AH719" s="136"/>
      <c r="AI719" s="141" t="s">
        <v>311</v>
      </c>
      <c r="AJ719" s="248" t="s">
        <v>9</v>
      </c>
      <c r="AL719" s="136"/>
      <c r="AM719" s="141" t="s">
        <v>311</v>
      </c>
      <c r="AN719" s="248" t="s">
        <v>9</v>
      </c>
      <c r="AP719" s="136"/>
      <c r="AQ719" s="141" t="s">
        <v>311</v>
      </c>
      <c r="AR719" s="248" t="s">
        <v>9</v>
      </c>
      <c r="AT719" s="136"/>
      <c r="AU719" s="141" t="s">
        <v>311</v>
      </c>
      <c r="AV719" s="248" t="s">
        <v>9</v>
      </c>
      <c r="AX719" s="136"/>
      <c r="AY719" s="141" t="s">
        <v>311</v>
      </c>
      <c r="AZ719" s="241" t="s">
        <v>86</v>
      </c>
      <c r="BB719" s="136"/>
      <c r="BC719" s="141" t="s">
        <v>311</v>
      </c>
      <c r="BD719" s="248" t="s">
        <v>9</v>
      </c>
      <c r="BF719" s="136"/>
      <c r="BG719" s="141" t="s">
        <v>311</v>
      </c>
      <c r="BH719" s="248" t="s">
        <v>9</v>
      </c>
      <c r="BJ719" s="136"/>
      <c r="BK719" s="141" t="s">
        <v>311</v>
      </c>
      <c r="BL719" s="248" t="s">
        <v>9</v>
      </c>
      <c r="BN719" s="136"/>
      <c r="BO719" s="141" t="s">
        <v>311</v>
      </c>
      <c r="BP719" s="248" t="s">
        <v>9</v>
      </c>
      <c r="BR719" s="136"/>
      <c r="BS719" s="141" t="s">
        <v>311</v>
      </c>
      <c r="BT719" s="248" t="s">
        <v>9</v>
      </c>
    </row>
    <row r="720" spans="1:72" s="174" customFormat="1" x14ac:dyDescent="0.15">
      <c r="A720" s="182"/>
      <c r="B720" s="168" t="s">
        <v>1076</v>
      </c>
      <c r="C720" s="140"/>
      <c r="D720" s="170"/>
      <c r="E720" s="130"/>
      <c r="F720" s="136"/>
      <c r="G720" s="141" t="s">
        <v>312</v>
      </c>
      <c r="H720" s="179"/>
      <c r="J720" s="136"/>
      <c r="K720" s="141" t="s">
        <v>312</v>
      </c>
      <c r="L720" s="248" t="s">
        <v>9</v>
      </c>
      <c r="N720" s="136"/>
      <c r="O720" s="141" t="s">
        <v>312</v>
      </c>
      <c r="P720" s="248" t="s">
        <v>9</v>
      </c>
      <c r="R720" s="136"/>
      <c r="S720" s="141" t="s">
        <v>312</v>
      </c>
      <c r="T720" s="248" t="s">
        <v>9</v>
      </c>
      <c r="V720" s="136"/>
      <c r="W720" s="141" t="s">
        <v>312</v>
      </c>
      <c r="X720" s="241" t="s">
        <v>1181</v>
      </c>
      <c r="Z720" s="136"/>
      <c r="AA720" s="141" t="s">
        <v>312</v>
      </c>
      <c r="AB720" s="248" t="s">
        <v>9</v>
      </c>
      <c r="AD720" s="136"/>
      <c r="AE720" s="141" t="s">
        <v>312</v>
      </c>
      <c r="AF720" s="248" t="s">
        <v>9</v>
      </c>
      <c r="AH720" s="136"/>
      <c r="AI720" s="141" t="s">
        <v>312</v>
      </c>
      <c r="AJ720" s="248" t="s">
        <v>9</v>
      </c>
      <c r="AL720" s="136"/>
      <c r="AM720" s="141" t="s">
        <v>312</v>
      </c>
      <c r="AN720" s="248" t="s">
        <v>9</v>
      </c>
      <c r="AP720" s="136"/>
      <c r="AQ720" s="141" t="s">
        <v>312</v>
      </c>
      <c r="AR720" s="248" t="s">
        <v>9</v>
      </c>
      <c r="AT720" s="136"/>
      <c r="AU720" s="141" t="s">
        <v>312</v>
      </c>
      <c r="AV720" s="248" t="s">
        <v>9</v>
      </c>
      <c r="AX720" s="136"/>
      <c r="AY720" s="141" t="s">
        <v>312</v>
      </c>
      <c r="AZ720" s="241" t="s">
        <v>1181</v>
      </c>
      <c r="BB720" s="136"/>
      <c r="BC720" s="141" t="s">
        <v>312</v>
      </c>
      <c r="BD720" s="248" t="s">
        <v>9</v>
      </c>
      <c r="BF720" s="136"/>
      <c r="BG720" s="141" t="s">
        <v>312</v>
      </c>
      <c r="BH720" s="248" t="s">
        <v>9</v>
      </c>
      <c r="BJ720" s="136"/>
      <c r="BK720" s="141" t="s">
        <v>312</v>
      </c>
      <c r="BL720" s="248" t="s">
        <v>9</v>
      </c>
      <c r="BN720" s="136"/>
      <c r="BO720" s="141" t="s">
        <v>312</v>
      </c>
      <c r="BP720" s="248" t="s">
        <v>9</v>
      </c>
      <c r="BR720" s="136"/>
      <c r="BS720" s="141" t="s">
        <v>312</v>
      </c>
      <c r="BT720" s="248" t="s">
        <v>9</v>
      </c>
    </row>
    <row r="721" spans="1:72" s="174" customFormat="1" x14ac:dyDescent="0.15">
      <c r="A721" s="182"/>
      <c r="B721" s="168" t="s">
        <v>261</v>
      </c>
      <c r="C721" s="140"/>
      <c r="D721" s="170"/>
      <c r="E721" s="130"/>
      <c r="F721" s="136"/>
      <c r="G721" s="141" t="s">
        <v>313</v>
      </c>
      <c r="H721" s="179"/>
      <c r="J721" s="136"/>
      <c r="K721" s="141" t="s">
        <v>313</v>
      </c>
      <c r="L721" s="248" t="s">
        <v>9</v>
      </c>
      <c r="N721" s="136"/>
      <c r="O721" s="141" t="s">
        <v>313</v>
      </c>
      <c r="P721" s="248" t="s">
        <v>9</v>
      </c>
      <c r="R721" s="136"/>
      <c r="S721" s="141" t="s">
        <v>313</v>
      </c>
      <c r="T721" s="248" t="s">
        <v>9</v>
      </c>
      <c r="V721" s="136"/>
      <c r="W721" s="141" t="s">
        <v>313</v>
      </c>
      <c r="X721" s="241" t="s">
        <v>433</v>
      </c>
      <c r="Z721" s="136"/>
      <c r="AA721" s="141" t="s">
        <v>313</v>
      </c>
      <c r="AB721" s="248" t="s">
        <v>9</v>
      </c>
      <c r="AD721" s="136"/>
      <c r="AE721" s="141" t="s">
        <v>313</v>
      </c>
      <c r="AF721" s="248" t="s">
        <v>9</v>
      </c>
      <c r="AH721" s="136"/>
      <c r="AI721" s="141" t="s">
        <v>313</v>
      </c>
      <c r="AJ721" s="248" t="s">
        <v>9</v>
      </c>
      <c r="AL721" s="136"/>
      <c r="AM721" s="141" t="s">
        <v>313</v>
      </c>
      <c r="AN721" s="248" t="s">
        <v>9</v>
      </c>
      <c r="AP721" s="136"/>
      <c r="AQ721" s="141" t="s">
        <v>313</v>
      </c>
      <c r="AR721" s="248" t="s">
        <v>9</v>
      </c>
      <c r="AT721" s="136"/>
      <c r="AU721" s="141" t="s">
        <v>313</v>
      </c>
      <c r="AV721" s="248" t="s">
        <v>9</v>
      </c>
      <c r="AX721" s="136"/>
      <c r="AY721" s="141" t="s">
        <v>313</v>
      </c>
      <c r="AZ721" s="241" t="s">
        <v>433</v>
      </c>
      <c r="BB721" s="136"/>
      <c r="BC721" s="141" t="s">
        <v>313</v>
      </c>
      <c r="BD721" s="248" t="s">
        <v>9</v>
      </c>
      <c r="BF721" s="136"/>
      <c r="BG721" s="141" t="s">
        <v>313</v>
      </c>
      <c r="BH721" s="248" t="s">
        <v>9</v>
      </c>
      <c r="BJ721" s="136"/>
      <c r="BK721" s="141" t="s">
        <v>313</v>
      </c>
      <c r="BL721" s="248" t="s">
        <v>9</v>
      </c>
      <c r="BN721" s="136"/>
      <c r="BO721" s="141" t="s">
        <v>313</v>
      </c>
      <c r="BP721" s="248" t="s">
        <v>9</v>
      </c>
      <c r="BR721" s="136"/>
      <c r="BS721" s="141" t="s">
        <v>313</v>
      </c>
      <c r="BT721" s="248" t="s">
        <v>9</v>
      </c>
    </row>
    <row r="722" spans="1:72" s="174" customFormat="1" x14ac:dyDescent="0.15">
      <c r="A722" s="182"/>
      <c r="B722" s="168" t="s">
        <v>415</v>
      </c>
      <c r="C722" s="140"/>
      <c r="D722" s="170"/>
      <c r="E722" s="130"/>
      <c r="F722" s="136"/>
      <c r="G722" s="141" t="s">
        <v>314</v>
      </c>
      <c r="H722" s="179"/>
      <c r="J722" s="136"/>
      <c r="K722" s="141" t="s">
        <v>314</v>
      </c>
      <c r="L722" s="248" t="s">
        <v>9</v>
      </c>
      <c r="N722" s="136"/>
      <c r="O722" s="141" t="s">
        <v>314</v>
      </c>
      <c r="P722" s="248" t="s">
        <v>9</v>
      </c>
      <c r="R722" s="136"/>
      <c r="S722" s="141" t="s">
        <v>314</v>
      </c>
      <c r="T722" s="248" t="s">
        <v>9</v>
      </c>
      <c r="V722" s="136"/>
      <c r="W722" s="141" t="s">
        <v>314</v>
      </c>
      <c r="X722" s="241" t="s">
        <v>1182</v>
      </c>
      <c r="Z722" s="136"/>
      <c r="AA722" s="141" t="s">
        <v>314</v>
      </c>
      <c r="AB722" s="248" t="s">
        <v>9</v>
      </c>
      <c r="AD722" s="136"/>
      <c r="AE722" s="141" t="s">
        <v>314</v>
      </c>
      <c r="AF722" s="248" t="s">
        <v>9</v>
      </c>
      <c r="AH722" s="136"/>
      <c r="AI722" s="141" t="s">
        <v>314</v>
      </c>
      <c r="AJ722" s="248" t="s">
        <v>9</v>
      </c>
      <c r="AL722" s="136"/>
      <c r="AM722" s="141" t="s">
        <v>314</v>
      </c>
      <c r="AN722" s="248" t="s">
        <v>9</v>
      </c>
      <c r="AP722" s="136"/>
      <c r="AQ722" s="141" t="s">
        <v>314</v>
      </c>
      <c r="AR722" s="248" t="s">
        <v>9</v>
      </c>
      <c r="AT722" s="136"/>
      <c r="AU722" s="141" t="s">
        <v>314</v>
      </c>
      <c r="AV722" s="248" t="s">
        <v>9</v>
      </c>
      <c r="AX722" s="136"/>
      <c r="AY722" s="141" t="s">
        <v>314</v>
      </c>
      <c r="AZ722" s="241" t="s">
        <v>1182</v>
      </c>
      <c r="BB722" s="136"/>
      <c r="BC722" s="141" t="s">
        <v>314</v>
      </c>
      <c r="BD722" s="248" t="s">
        <v>9</v>
      </c>
      <c r="BF722" s="136"/>
      <c r="BG722" s="141" t="s">
        <v>314</v>
      </c>
      <c r="BH722" s="248" t="s">
        <v>9</v>
      </c>
      <c r="BJ722" s="136"/>
      <c r="BK722" s="141" t="s">
        <v>314</v>
      </c>
      <c r="BL722" s="248" t="s">
        <v>9</v>
      </c>
      <c r="BN722" s="136"/>
      <c r="BO722" s="141" t="s">
        <v>314</v>
      </c>
      <c r="BP722" s="248" t="s">
        <v>9</v>
      </c>
      <c r="BR722" s="136"/>
      <c r="BS722" s="141" t="s">
        <v>314</v>
      </c>
      <c r="BT722" s="248" t="s">
        <v>9</v>
      </c>
    </row>
    <row r="723" spans="1:72" s="174" customFormat="1" x14ac:dyDescent="0.15">
      <c r="A723" s="182"/>
      <c r="B723" s="168" t="s">
        <v>85</v>
      </c>
      <c r="C723" s="140"/>
      <c r="D723" s="170"/>
      <c r="E723" s="130"/>
      <c r="F723" s="136"/>
      <c r="G723" s="141" t="s">
        <v>315</v>
      </c>
      <c r="H723" s="179"/>
      <c r="J723" s="136"/>
      <c r="K723" s="141" t="s">
        <v>315</v>
      </c>
      <c r="L723" s="248" t="s">
        <v>9</v>
      </c>
      <c r="N723" s="136"/>
      <c r="O723" s="141" t="s">
        <v>315</v>
      </c>
      <c r="P723" s="248" t="s">
        <v>9</v>
      </c>
      <c r="R723" s="136"/>
      <c r="S723" s="141" t="s">
        <v>315</v>
      </c>
      <c r="T723" s="248" t="s">
        <v>9</v>
      </c>
      <c r="V723" s="136"/>
      <c r="W723" s="141" t="s">
        <v>315</v>
      </c>
      <c r="X723" s="241" t="s">
        <v>86</v>
      </c>
      <c r="Z723" s="136"/>
      <c r="AA723" s="141" t="s">
        <v>315</v>
      </c>
      <c r="AB723" s="248" t="s">
        <v>9</v>
      </c>
      <c r="AD723" s="136"/>
      <c r="AE723" s="141" t="s">
        <v>315</v>
      </c>
      <c r="AF723" s="248" t="s">
        <v>9</v>
      </c>
      <c r="AH723" s="136"/>
      <c r="AI723" s="141" t="s">
        <v>315</v>
      </c>
      <c r="AJ723" s="248" t="s">
        <v>9</v>
      </c>
      <c r="AL723" s="136"/>
      <c r="AM723" s="141" t="s">
        <v>315</v>
      </c>
      <c r="AN723" s="248" t="s">
        <v>9</v>
      </c>
      <c r="AP723" s="136"/>
      <c r="AQ723" s="141" t="s">
        <v>315</v>
      </c>
      <c r="AR723" s="248" t="s">
        <v>9</v>
      </c>
      <c r="AT723" s="136"/>
      <c r="AU723" s="141" t="s">
        <v>315</v>
      </c>
      <c r="AV723" s="248" t="s">
        <v>9</v>
      </c>
      <c r="AX723" s="136"/>
      <c r="AY723" s="141" t="s">
        <v>315</v>
      </c>
      <c r="AZ723" s="241" t="s">
        <v>86</v>
      </c>
      <c r="BB723" s="136"/>
      <c r="BC723" s="141" t="s">
        <v>315</v>
      </c>
      <c r="BD723" s="248" t="s">
        <v>9</v>
      </c>
      <c r="BF723" s="136"/>
      <c r="BG723" s="141" t="s">
        <v>315</v>
      </c>
      <c r="BH723" s="248" t="s">
        <v>9</v>
      </c>
      <c r="BJ723" s="136"/>
      <c r="BK723" s="141" t="s">
        <v>315</v>
      </c>
      <c r="BL723" s="248" t="s">
        <v>9</v>
      </c>
      <c r="BN723" s="136"/>
      <c r="BO723" s="141" t="s">
        <v>315</v>
      </c>
      <c r="BP723" s="248" t="s">
        <v>9</v>
      </c>
      <c r="BR723" s="136"/>
      <c r="BS723" s="141" t="s">
        <v>315</v>
      </c>
      <c r="BT723" s="248" t="s">
        <v>9</v>
      </c>
    </row>
    <row r="724" spans="1:72" s="174" customFormat="1" x14ac:dyDescent="0.15">
      <c r="A724" s="182"/>
      <c r="B724" s="168" t="s">
        <v>1079</v>
      </c>
      <c r="C724" s="140"/>
      <c r="D724" s="170"/>
      <c r="E724" s="130"/>
      <c r="F724" s="136"/>
      <c r="G724" s="141" t="s">
        <v>316</v>
      </c>
      <c r="H724" s="179"/>
      <c r="J724" s="136"/>
      <c r="K724" s="141" t="s">
        <v>316</v>
      </c>
      <c r="L724" s="248" t="s">
        <v>9</v>
      </c>
      <c r="N724" s="136"/>
      <c r="O724" s="141" t="s">
        <v>316</v>
      </c>
      <c r="P724" s="248" t="s">
        <v>9</v>
      </c>
      <c r="R724" s="136"/>
      <c r="S724" s="141" t="s">
        <v>316</v>
      </c>
      <c r="T724" s="248" t="s">
        <v>9</v>
      </c>
      <c r="V724" s="136"/>
      <c r="W724" s="141" t="s">
        <v>316</v>
      </c>
      <c r="X724" s="241" t="s">
        <v>1183</v>
      </c>
      <c r="Z724" s="136"/>
      <c r="AA724" s="141" t="s">
        <v>316</v>
      </c>
      <c r="AB724" s="248" t="s">
        <v>9</v>
      </c>
      <c r="AD724" s="136"/>
      <c r="AE724" s="141" t="s">
        <v>316</v>
      </c>
      <c r="AF724" s="248" t="s">
        <v>9</v>
      </c>
      <c r="AH724" s="136"/>
      <c r="AI724" s="141" t="s">
        <v>316</v>
      </c>
      <c r="AJ724" s="248" t="s">
        <v>9</v>
      </c>
      <c r="AL724" s="136"/>
      <c r="AM724" s="141" t="s">
        <v>316</v>
      </c>
      <c r="AN724" s="248" t="s">
        <v>9</v>
      </c>
      <c r="AP724" s="136"/>
      <c r="AQ724" s="141" t="s">
        <v>316</v>
      </c>
      <c r="AR724" s="248" t="s">
        <v>9</v>
      </c>
      <c r="AT724" s="136"/>
      <c r="AU724" s="141" t="s">
        <v>316</v>
      </c>
      <c r="AV724" s="248" t="s">
        <v>9</v>
      </c>
      <c r="AX724" s="136"/>
      <c r="AY724" s="141" t="s">
        <v>316</v>
      </c>
      <c r="AZ724" s="241" t="s">
        <v>1183</v>
      </c>
      <c r="BB724" s="136"/>
      <c r="BC724" s="141" t="s">
        <v>316</v>
      </c>
      <c r="BD724" s="248" t="s">
        <v>9</v>
      </c>
      <c r="BF724" s="136"/>
      <c r="BG724" s="141" t="s">
        <v>316</v>
      </c>
      <c r="BH724" s="248" t="s">
        <v>9</v>
      </c>
      <c r="BJ724" s="136"/>
      <c r="BK724" s="141" t="s">
        <v>316</v>
      </c>
      <c r="BL724" s="248" t="s">
        <v>9</v>
      </c>
      <c r="BN724" s="136"/>
      <c r="BO724" s="141" t="s">
        <v>316</v>
      </c>
      <c r="BP724" s="248" t="s">
        <v>9</v>
      </c>
      <c r="BR724" s="136"/>
      <c r="BS724" s="141" t="s">
        <v>316</v>
      </c>
      <c r="BT724" s="248" t="s">
        <v>9</v>
      </c>
    </row>
    <row r="725" spans="1:72" s="174" customFormat="1" x14ac:dyDescent="0.15">
      <c r="A725" s="182"/>
      <c r="B725" s="168" t="s">
        <v>287</v>
      </c>
      <c r="C725" s="140"/>
      <c r="D725" s="170"/>
      <c r="E725" s="130"/>
      <c r="F725" s="136"/>
      <c r="G725" s="141" t="s">
        <v>317</v>
      </c>
      <c r="H725" s="179"/>
      <c r="J725" s="136"/>
      <c r="K725" s="141" t="s">
        <v>317</v>
      </c>
      <c r="L725" s="248" t="s">
        <v>9</v>
      </c>
      <c r="N725" s="136"/>
      <c r="O725" s="141" t="s">
        <v>317</v>
      </c>
      <c r="P725" s="248" t="s">
        <v>9</v>
      </c>
      <c r="R725" s="136"/>
      <c r="S725" s="141" t="s">
        <v>317</v>
      </c>
      <c r="T725" s="248" t="s">
        <v>9</v>
      </c>
      <c r="V725" s="136"/>
      <c r="W725" s="141" t="s">
        <v>317</v>
      </c>
      <c r="X725" s="241" t="s">
        <v>440</v>
      </c>
      <c r="Z725" s="136"/>
      <c r="AA725" s="141" t="s">
        <v>317</v>
      </c>
      <c r="AB725" s="248" t="s">
        <v>9</v>
      </c>
      <c r="AD725" s="136"/>
      <c r="AE725" s="141" t="s">
        <v>317</v>
      </c>
      <c r="AF725" s="248" t="s">
        <v>9</v>
      </c>
      <c r="AH725" s="136"/>
      <c r="AI725" s="141" t="s">
        <v>317</v>
      </c>
      <c r="AJ725" s="248" t="s">
        <v>9</v>
      </c>
      <c r="AL725" s="136"/>
      <c r="AM725" s="141" t="s">
        <v>317</v>
      </c>
      <c r="AN725" s="248" t="s">
        <v>9</v>
      </c>
      <c r="AP725" s="136"/>
      <c r="AQ725" s="141" t="s">
        <v>317</v>
      </c>
      <c r="AR725" s="248" t="s">
        <v>9</v>
      </c>
      <c r="AT725" s="136"/>
      <c r="AU725" s="141" t="s">
        <v>317</v>
      </c>
      <c r="AV725" s="248" t="s">
        <v>9</v>
      </c>
      <c r="AX725" s="136"/>
      <c r="AY725" s="141" t="s">
        <v>317</v>
      </c>
      <c r="AZ725" s="241" t="s">
        <v>440</v>
      </c>
      <c r="BB725" s="136"/>
      <c r="BC725" s="141" t="s">
        <v>317</v>
      </c>
      <c r="BD725" s="248" t="s">
        <v>9</v>
      </c>
      <c r="BF725" s="136"/>
      <c r="BG725" s="141" t="s">
        <v>317</v>
      </c>
      <c r="BH725" s="248" t="s">
        <v>9</v>
      </c>
      <c r="BJ725" s="136"/>
      <c r="BK725" s="141" t="s">
        <v>317</v>
      </c>
      <c r="BL725" s="248" t="s">
        <v>9</v>
      </c>
      <c r="BN725" s="136"/>
      <c r="BO725" s="141" t="s">
        <v>317</v>
      </c>
      <c r="BP725" s="248" t="s">
        <v>9</v>
      </c>
      <c r="BR725" s="136"/>
      <c r="BS725" s="141" t="s">
        <v>317</v>
      </c>
      <c r="BT725" s="248" t="s">
        <v>9</v>
      </c>
    </row>
    <row r="726" spans="1:72" s="174" customFormat="1" x14ac:dyDescent="0.15">
      <c r="A726" s="182"/>
      <c r="B726" s="168" t="s">
        <v>280</v>
      </c>
      <c r="C726" s="140"/>
      <c r="D726" s="170"/>
      <c r="E726" s="130"/>
      <c r="F726" s="136"/>
      <c r="G726" s="141" t="s">
        <v>318</v>
      </c>
      <c r="H726" s="179"/>
      <c r="J726" s="136"/>
      <c r="K726" s="141" t="s">
        <v>318</v>
      </c>
      <c r="L726" s="248" t="s">
        <v>9</v>
      </c>
      <c r="N726" s="136"/>
      <c r="O726" s="141" t="s">
        <v>318</v>
      </c>
      <c r="P726" s="248" t="s">
        <v>9</v>
      </c>
      <c r="R726" s="136"/>
      <c r="S726" s="141" t="s">
        <v>318</v>
      </c>
      <c r="T726" s="248" t="s">
        <v>9</v>
      </c>
      <c r="V726" s="136"/>
      <c r="W726" s="141" t="s">
        <v>318</v>
      </c>
      <c r="X726" s="241" t="s">
        <v>1178</v>
      </c>
      <c r="Z726" s="136"/>
      <c r="AA726" s="141" t="s">
        <v>318</v>
      </c>
      <c r="AB726" s="248" t="s">
        <v>9</v>
      </c>
      <c r="AD726" s="136"/>
      <c r="AE726" s="141" t="s">
        <v>318</v>
      </c>
      <c r="AF726" s="248" t="s">
        <v>9</v>
      </c>
      <c r="AH726" s="136"/>
      <c r="AI726" s="141" t="s">
        <v>318</v>
      </c>
      <c r="AJ726" s="248" t="s">
        <v>9</v>
      </c>
      <c r="AL726" s="136"/>
      <c r="AM726" s="141" t="s">
        <v>318</v>
      </c>
      <c r="AN726" s="248" t="s">
        <v>9</v>
      </c>
      <c r="AP726" s="136"/>
      <c r="AQ726" s="141" t="s">
        <v>318</v>
      </c>
      <c r="AR726" s="248" t="s">
        <v>9</v>
      </c>
      <c r="AT726" s="136"/>
      <c r="AU726" s="141" t="s">
        <v>318</v>
      </c>
      <c r="AV726" s="248" t="s">
        <v>9</v>
      </c>
      <c r="AX726" s="136"/>
      <c r="AY726" s="141" t="s">
        <v>318</v>
      </c>
      <c r="AZ726" s="241" t="s">
        <v>1178</v>
      </c>
      <c r="BB726" s="136"/>
      <c r="BC726" s="141" t="s">
        <v>318</v>
      </c>
      <c r="BD726" s="248" t="s">
        <v>9</v>
      </c>
      <c r="BF726" s="136"/>
      <c r="BG726" s="141" t="s">
        <v>318</v>
      </c>
      <c r="BH726" s="248" t="s">
        <v>9</v>
      </c>
      <c r="BJ726" s="136"/>
      <c r="BK726" s="141" t="s">
        <v>318</v>
      </c>
      <c r="BL726" s="248" t="s">
        <v>9</v>
      </c>
      <c r="BN726" s="136"/>
      <c r="BO726" s="141" t="s">
        <v>318</v>
      </c>
      <c r="BP726" s="248" t="s">
        <v>9</v>
      </c>
      <c r="BR726" s="136"/>
      <c r="BS726" s="141" t="s">
        <v>318</v>
      </c>
      <c r="BT726" s="248" t="s">
        <v>9</v>
      </c>
    </row>
    <row r="727" spans="1:72" s="174" customFormat="1" x14ac:dyDescent="0.15">
      <c r="A727" s="182"/>
      <c r="B727" s="168" t="s">
        <v>85</v>
      </c>
      <c r="C727" s="140"/>
      <c r="D727" s="170"/>
      <c r="E727" s="130"/>
      <c r="F727" s="136"/>
      <c r="G727" s="141" t="s">
        <v>319</v>
      </c>
      <c r="H727" s="179"/>
      <c r="J727" s="136"/>
      <c r="K727" s="141" t="s">
        <v>319</v>
      </c>
      <c r="L727" s="248" t="s">
        <v>9</v>
      </c>
      <c r="N727" s="136"/>
      <c r="O727" s="141" t="s">
        <v>319</v>
      </c>
      <c r="P727" s="248" t="s">
        <v>9</v>
      </c>
      <c r="R727" s="136"/>
      <c r="S727" s="141" t="s">
        <v>319</v>
      </c>
      <c r="T727" s="248" t="s">
        <v>9</v>
      </c>
      <c r="V727" s="136"/>
      <c r="W727" s="141" t="s">
        <v>319</v>
      </c>
      <c r="X727" s="241" t="s">
        <v>86</v>
      </c>
      <c r="Z727" s="136"/>
      <c r="AA727" s="141" t="s">
        <v>319</v>
      </c>
      <c r="AB727" s="248" t="s">
        <v>9</v>
      </c>
      <c r="AD727" s="136"/>
      <c r="AE727" s="141" t="s">
        <v>319</v>
      </c>
      <c r="AF727" s="248" t="s">
        <v>9</v>
      </c>
      <c r="AH727" s="136"/>
      <c r="AI727" s="141" t="s">
        <v>319</v>
      </c>
      <c r="AJ727" s="248" t="s">
        <v>9</v>
      </c>
      <c r="AL727" s="136"/>
      <c r="AM727" s="141" t="s">
        <v>319</v>
      </c>
      <c r="AN727" s="248" t="s">
        <v>9</v>
      </c>
      <c r="AP727" s="136"/>
      <c r="AQ727" s="141" t="s">
        <v>319</v>
      </c>
      <c r="AR727" s="248" t="s">
        <v>9</v>
      </c>
      <c r="AT727" s="136"/>
      <c r="AU727" s="141" t="s">
        <v>319</v>
      </c>
      <c r="AV727" s="248" t="s">
        <v>9</v>
      </c>
      <c r="AX727" s="136"/>
      <c r="AY727" s="141" t="s">
        <v>319</v>
      </c>
      <c r="AZ727" s="241" t="s">
        <v>86</v>
      </c>
      <c r="BB727" s="136"/>
      <c r="BC727" s="141" t="s">
        <v>319</v>
      </c>
      <c r="BD727" s="248" t="s">
        <v>9</v>
      </c>
      <c r="BF727" s="136"/>
      <c r="BG727" s="141" t="s">
        <v>319</v>
      </c>
      <c r="BH727" s="248" t="s">
        <v>9</v>
      </c>
      <c r="BJ727" s="136"/>
      <c r="BK727" s="141" t="s">
        <v>319</v>
      </c>
      <c r="BL727" s="248" t="s">
        <v>9</v>
      </c>
      <c r="BN727" s="136"/>
      <c r="BO727" s="141" t="s">
        <v>319</v>
      </c>
      <c r="BP727" s="248" t="s">
        <v>9</v>
      </c>
      <c r="BR727" s="136"/>
      <c r="BS727" s="141" t="s">
        <v>319</v>
      </c>
      <c r="BT727" s="248" t="s">
        <v>9</v>
      </c>
    </row>
    <row r="728" spans="1:72" s="174" customFormat="1" x14ac:dyDescent="0.15">
      <c r="A728" s="182"/>
      <c r="B728" s="168" t="s">
        <v>402</v>
      </c>
      <c r="C728" s="140"/>
      <c r="D728" s="170"/>
      <c r="E728" s="130"/>
      <c r="F728" s="136"/>
      <c r="G728" s="141" t="s">
        <v>320</v>
      </c>
      <c r="H728" s="179"/>
      <c r="J728" s="136"/>
      <c r="K728" s="141" t="s">
        <v>320</v>
      </c>
      <c r="L728" s="248" t="s">
        <v>9</v>
      </c>
      <c r="N728" s="136"/>
      <c r="O728" s="141" t="s">
        <v>320</v>
      </c>
      <c r="P728" s="248" t="s">
        <v>9</v>
      </c>
      <c r="R728" s="136"/>
      <c r="S728" s="141" t="s">
        <v>320</v>
      </c>
      <c r="T728" s="248" t="s">
        <v>9</v>
      </c>
      <c r="V728" s="136"/>
      <c r="W728" s="141" t="s">
        <v>320</v>
      </c>
      <c r="X728" s="241" t="s">
        <v>1184</v>
      </c>
      <c r="Z728" s="136"/>
      <c r="AA728" s="141" t="s">
        <v>320</v>
      </c>
      <c r="AB728" s="248" t="s">
        <v>9</v>
      </c>
      <c r="AD728" s="136"/>
      <c r="AE728" s="141" t="s">
        <v>320</v>
      </c>
      <c r="AF728" s="248" t="s">
        <v>9</v>
      </c>
      <c r="AH728" s="136"/>
      <c r="AI728" s="141" t="s">
        <v>320</v>
      </c>
      <c r="AJ728" s="248" t="s">
        <v>9</v>
      </c>
      <c r="AL728" s="136"/>
      <c r="AM728" s="141" t="s">
        <v>320</v>
      </c>
      <c r="AN728" s="248" t="s">
        <v>9</v>
      </c>
      <c r="AP728" s="136"/>
      <c r="AQ728" s="141" t="s">
        <v>320</v>
      </c>
      <c r="AR728" s="248" t="s">
        <v>9</v>
      </c>
      <c r="AT728" s="136"/>
      <c r="AU728" s="141" t="s">
        <v>320</v>
      </c>
      <c r="AV728" s="248" t="s">
        <v>9</v>
      </c>
      <c r="AX728" s="136"/>
      <c r="AY728" s="141" t="s">
        <v>320</v>
      </c>
      <c r="AZ728" s="241" t="s">
        <v>1184</v>
      </c>
      <c r="BB728" s="136"/>
      <c r="BC728" s="141" t="s">
        <v>320</v>
      </c>
      <c r="BD728" s="248" t="s">
        <v>9</v>
      </c>
      <c r="BF728" s="136"/>
      <c r="BG728" s="141" t="s">
        <v>320</v>
      </c>
      <c r="BH728" s="248" t="s">
        <v>9</v>
      </c>
      <c r="BJ728" s="136"/>
      <c r="BK728" s="141" t="s">
        <v>320</v>
      </c>
      <c r="BL728" s="248" t="s">
        <v>9</v>
      </c>
      <c r="BN728" s="136"/>
      <c r="BO728" s="141" t="s">
        <v>320</v>
      </c>
      <c r="BP728" s="248" t="s">
        <v>9</v>
      </c>
      <c r="BR728" s="136"/>
      <c r="BS728" s="141" t="s">
        <v>320</v>
      </c>
      <c r="BT728" s="248" t="s">
        <v>9</v>
      </c>
    </row>
    <row r="729" spans="1:72" s="174" customFormat="1" x14ac:dyDescent="0.15">
      <c r="A729" s="182"/>
      <c r="B729" s="168" t="s">
        <v>287</v>
      </c>
      <c r="C729" s="140"/>
      <c r="D729" s="170"/>
      <c r="E729" s="130"/>
      <c r="F729" s="136"/>
      <c r="G729" s="141" t="s">
        <v>321</v>
      </c>
      <c r="H729" s="179"/>
      <c r="J729" s="136"/>
      <c r="K729" s="141" t="s">
        <v>321</v>
      </c>
      <c r="L729" s="248" t="s">
        <v>9</v>
      </c>
      <c r="N729" s="136"/>
      <c r="O729" s="141" t="s">
        <v>321</v>
      </c>
      <c r="P729" s="248" t="s">
        <v>9</v>
      </c>
      <c r="R729" s="136"/>
      <c r="S729" s="141" t="s">
        <v>321</v>
      </c>
      <c r="T729" s="248" t="s">
        <v>9</v>
      </c>
      <c r="V729" s="136"/>
      <c r="W729" s="141" t="s">
        <v>321</v>
      </c>
      <c r="X729" s="241" t="s">
        <v>440</v>
      </c>
      <c r="Z729" s="136"/>
      <c r="AA729" s="141" t="s">
        <v>321</v>
      </c>
      <c r="AB729" s="248" t="s">
        <v>9</v>
      </c>
      <c r="AD729" s="136"/>
      <c r="AE729" s="141" t="s">
        <v>321</v>
      </c>
      <c r="AF729" s="248" t="s">
        <v>9</v>
      </c>
      <c r="AH729" s="136"/>
      <c r="AI729" s="141" t="s">
        <v>321</v>
      </c>
      <c r="AJ729" s="248" t="s">
        <v>9</v>
      </c>
      <c r="AL729" s="136"/>
      <c r="AM729" s="141" t="s">
        <v>321</v>
      </c>
      <c r="AN729" s="248" t="s">
        <v>9</v>
      </c>
      <c r="AP729" s="136"/>
      <c r="AQ729" s="141" t="s">
        <v>321</v>
      </c>
      <c r="AR729" s="248" t="s">
        <v>9</v>
      </c>
      <c r="AT729" s="136"/>
      <c r="AU729" s="141" t="s">
        <v>321</v>
      </c>
      <c r="AV729" s="248" t="s">
        <v>9</v>
      </c>
      <c r="AX729" s="136"/>
      <c r="AY729" s="141" t="s">
        <v>321</v>
      </c>
      <c r="AZ729" s="241" t="s">
        <v>440</v>
      </c>
      <c r="BB729" s="136"/>
      <c r="BC729" s="141" t="s">
        <v>321</v>
      </c>
      <c r="BD729" s="248" t="s">
        <v>9</v>
      </c>
      <c r="BF729" s="136"/>
      <c r="BG729" s="141" t="s">
        <v>321</v>
      </c>
      <c r="BH729" s="248" t="s">
        <v>9</v>
      </c>
      <c r="BJ729" s="136"/>
      <c r="BK729" s="141" t="s">
        <v>321</v>
      </c>
      <c r="BL729" s="248" t="s">
        <v>9</v>
      </c>
      <c r="BN729" s="136"/>
      <c r="BO729" s="141" t="s">
        <v>321</v>
      </c>
      <c r="BP729" s="248" t="s">
        <v>9</v>
      </c>
      <c r="BR729" s="136"/>
      <c r="BS729" s="141" t="s">
        <v>321</v>
      </c>
      <c r="BT729" s="248" t="s">
        <v>9</v>
      </c>
    </row>
    <row r="730" spans="1:72" s="174" customFormat="1" x14ac:dyDescent="0.15">
      <c r="A730" s="182"/>
      <c r="B730" s="168" t="s">
        <v>1078</v>
      </c>
      <c r="C730" s="140"/>
      <c r="D730" s="170"/>
      <c r="E730" s="130"/>
      <c r="F730" s="136"/>
      <c r="G730" s="141" t="s">
        <v>322</v>
      </c>
      <c r="H730" s="179"/>
      <c r="J730" s="136"/>
      <c r="K730" s="141" t="s">
        <v>322</v>
      </c>
      <c r="L730" s="248" t="s">
        <v>9</v>
      </c>
      <c r="N730" s="136"/>
      <c r="O730" s="141" t="s">
        <v>322</v>
      </c>
      <c r="P730" s="248" t="s">
        <v>9</v>
      </c>
      <c r="R730" s="136"/>
      <c r="S730" s="141" t="s">
        <v>322</v>
      </c>
      <c r="T730" s="248" t="s">
        <v>9</v>
      </c>
      <c r="V730" s="136"/>
      <c r="W730" s="141" t="s">
        <v>322</v>
      </c>
      <c r="X730" s="241" t="s">
        <v>1180</v>
      </c>
      <c r="Z730" s="136"/>
      <c r="AA730" s="141" t="s">
        <v>322</v>
      </c>
      <c r="AB730" s="248" t="s">
        <v>9</v>
      </c>
      <c r="AD730" s="136"/>
      <c r="AE730" s="141" t="s">
        <v>322</v>
      </c>
      <c r="AF730" s="248" t="s">
        <v>9</v>
      </c>
      <c r="AH730" s="136"/>
      <c r="AI730" s="141" t="s">
        <v>322</v>
      </c>
      <c r="AJ730" s="248" t="s">
        <v>9</v>
      </c>
      <c r="AL730" s="136"/>
      <c r="AM730" s="141" t="s">
        <v>322</v>
      </c>
      <c r="AN730" s="248" t="s">
        <v>9</v>
      </c>
      <c r="AP730" s="136"/>
      <c r="AQ730" s="141" t="s">
        <v>322</v>
      </c>
      <c r="AR730" s="248" t="s">
        <v>9</v>
      </c>
      <c r="AT730" s="136"/>
      <c r="AU730" s="141" t="s">
        <v>322</v>
      </c>
      <c r="AV730" s="248" t="s">
        <v>9</v>
      </c>
      <c r="AX730" s="136"/>
      <c r="AY730" s="141" t="s">
        <v>322</v>
      </c>
      <c r="AZ730" s="241" t="s">
        <v>1180</v>
      </c>
      <c r="BB730" s="136"/>
      <c r="BC730" s="141" t="s">
        <v>322</v>
      </c>
      <c r="BD730" s="248" t="s">
        <v>9</v>
      </c>
      <c r="BF730" s="136"/>
      <c r="BG730" s="141" t="s">
        <v>322</v>
      </c>
      <c r="BH730" s="248" t="s">
        <v>9</v>
      </c>
      <c r="BJ730" s="136"/>
      <c r="BK730" s="141" t="s">
        <v>322</v>
      </c>
      <c r="BL730" s="248" t="s">
        <v>9</v>
      </c>
      <c r="BN730" s="136"/>
      <c r="BO730" s="141" t="s">
        <v>322</v>
      </c>
      <c r="BP730" s="248" t="s">
        <v>9</v>
      </c>
      <c r="BR730" s="136"/>
      <c r="BS730" s="141" t="s">
        <v>322</v>
      </c>
      <c r="BT730" s="248" t="s">
        <v>9</v>
      </c>
    </row>
    <row r="731" spans="1:72" s="174" customFormat="1" x14ac:dyDescent="0.15">
      <c r="A731" s="182"/>
      <c r="B731" s="168" t="s">
        <v>85</v>
      </c>
      <c r="C731" s="140"/>
      <c r="D731" s="170"/>
      <c r="E731" s="130"/>
      <c r="F731" s="136"/>
      <c r="G731" s="141" t="s">
        <v>323</v>
      </c>
      <c r="H731" s="179"/>
      <c r="J731" s="136"/>
      <c r="K731" s="141" t="s">
        <v>323</v>
      </c>
      <c r="L731" s="248" t="s">
        <v>9</v>
      </c>
      <c r="N731" s="136"/>
      <c r="O731" s="141" t="s">
        <v>323</v>
      </c>
      <c r="P731" s="248" t="s">
        <v>9</v>
      </c>
      <c r="R731" s="136"/>
      <c r="S731" s="141" t="s">
        <v>323</v>
      </c>
      <c r="T731" s="248" t="s">
        <v>9</v>
      </c>
      <c r="V731" s="136"/>
      <c r="W731" s="141" t="s">
        <v>323</v>
      </c>
      <c r="X731" s="241" t="s">
        <v>86</v>
      </c>
      <c r="Z731" s="136"/>
      <c r="AA731" s="141" t="s">
        <v>323</v>
      </c>
      <c r="AB731" s="248" t="s">
        <v>9</v>
      </c>
      <c r="AD731" s="136"/>
      <c r="AE731" s="141" t="s">
        <v>323</v>
      </c>
      <c r="AF731" s="248" t="s">
        <v>9</v>
      </c>
      <c r="AH731" s="136"/>
      <c r="AI731" s="141" t="s">
        <v>323</v>
      </c>
      <c r="AJ731" s="248" t="s">
        <v>9</v>
      </c>
      <c r="AL731" s="136"/>
      <c r="AM731" s="141" t="s">
        <v>323</v>
      </c>
      <c r="AN731" s="248" t="s">
        <v>9</v>
      </c>
      <c r="AP731" s="136"/>
      <c r="AQ731" s="141" t="s">
        <v>323</v>
      </c>
      <c r="AR731" s="248" t="s">
        <v>9</v>
      </c>
      <c r="AT731" s="136"/>
      <c r="AU731" s="141" t="s">
        <v>323</v>
      </c>
      <c r="AV731" s="248" t="s">
        <v>9</v>
      </c>
      <c r="AX731" s="136"/>
      <c r="AY731" s="141" t="s">
        <v>323</v>
      </c>
      <c r="AZ731" s="241" t="s">
        <v>86</v>
      </c>
      <c r="BB731" s="136"/>
      <c r="BC731" s="141" t="s">
        <v>323</v>
      </c>
      <c r="BD731" s="248" t="s">
        <v>9</v>
      </c>
      <c r="BF731" s="136"/>
      <c r="BG731" s="141" t="s">
        <v>323</v>
      </c>
      <c r="BH731" s="248" t="s">
        <v>9</v>
      </c>
      <c r="BJ731" s="136"/>
      <c r="BK731" s="141" t="s">
        <v>323</v>
      </c>
      <c r="BL731" s="248" t="s">
        <v>9</v>
      </c>
      <c r="BN731" s="136"/>
      <c r="BO731" s="141" t="s">
        <v>323</v>
      </c>
      <c r="BP731" s="248" t="s">
        <v>9</v>
      </c>
      <c r="BR731" s="136"/>
      <c r="BS731" s="141" t="s">
        <v>323</v>
      </c>
      <c r="BT731" s="248" t="s">
        <v>9</v>
      </c>
    </row>
    <row r="732" spans="1:72" s="174" customFormat="1" x14ac:dyDescent="0.15">
      <c r="A732" s="182"/>
      <c r="B732" s="168" t="s">
        <v>275</v>
      </c>
      <c r="C732" s="140"/>
      <c r="D732" s="170"/>
      <c r="E732" s="130"/>
      <c r="F732" s="136"/>
      <c r="G732" s="141" t="s">
        <v>324</v>
      </c>
      <c r="H732" s="179"/>
      <c r="J732" s="136"/>
      <c r="K732" s="141" t="s">
        <v>324</v>
      </c>
      <c r="L732" s="248" t="s">
        <v>9</v>
      </c>
      <c r="N732" s="136"/>
      <c r="O732" s="141" t="s">
        <v>324</v>
      </c>
      <c r="P732" s="248" t="s">
        <v>9</v>
      </c>
      <c r="R732" s="136"/>
      <c r="S732" s="141" t="s">
        <v>324</v>
      </c>
      <c r="T732" s="248" t="s">
        <v>9</v>
      </c>
      <c r="V732" s="136"/>
      <c r="W732" s="141" t="s">
        <v>324</v>
      </c>
      <c r="X732" s="241" t="s">
        <v>1177</v>
      </c>
      <c r="Z732" s="136"/>
      <c r="AA732" s="141" t="s">
        <v>324</v>
      </c>
      <c r="AB732" s="248" t="s">
        <v>9</v>
      </c>
      <c r="AD732" s="136"/>
      <c r="AE732" s="141" t="s">
        <v>324</v>
      </c>
      <c r="AF732" s="248" t="s">
        <v>9</v>
      </c>
      <c r="AH732" s="136"/>
      <c r="AI732" s="141" t="s">
        <v>324</v>
      </c>
      <c r="AJ732" s="248" t="s">
        <v>9</v>
      </c>
      <c r="AL732" s="136"/>
      <c r="AM732" s="141" t="s">
        <v>324</v>
      </c>
      <c r="AN732" s="248" t="s">
        <v>9</v>
      </c>
      <c r="AP732" s="136"/>
      <c r="AQ732" s="141" t="s">
        <v>324</v>
      </c>
      <c r="AR732" s="248" t="s">
        <v>9</v>
      </c>
      <c r="AT732" s="136"/>
      <c r="AU732" s="141" t="s">
        <v>324</v>
      </c>
      <c r="AV732" s="248" t="s">
        <v>9</v>
      </c>
      <c r="AX732" s="136"/>
      <c r="AY732" s="141" t="s">
        <v>324</v>
      </c>
      <c r="AZ732" s="241" t="s">
        <v>1177</v>
      </c>
      <c r="BB732" s="136"/>
      <c r="BC732" s="141" t="s">
        <v>324</v>
      </c>
      <c r="BD732" s="248" t="s">
        <v>9</v>
      </c>
      <c r="BF732" s="136"/>
      <c r="BG732" s="141" t="s">
        <v>324</v>
      </c>
      <c r="BH732" s="248" t="s">
        <v>9</v>
      </c>
      <c r="BJ732" s="136"/>
      <c r="BK732" s="141" t="s">
        <v>324</v>
      </c>
      <c r="BL732" s="248" t="s">
        <v>9</v>
      </c>
      <c r="BN732" s="136"/>
      <c r="BO732" s="141" t="s">
        <v>324</v>
      </c>
      <c r="BP732" s="248" t="s">
        <v>9</v>
      </c>
      <c r="BR732" s="136"/>
      <c r="BS732" s="141" t="s">
        <v>324</v>
      </c>
      <c r="BT732" s="248" t="s">
        <v>9</v>
      </c>
    </row>
    <row r="733" spans="1:72" s="174" customFormat="1" x14ac:dyDescent="0.15">
      <c r="A733" s="182"/>
      <c r="B733" s="168" t="s">
        <v>85</v>
      </c>
      <c r="C733" s="140"/>
      <c r="D733" s="170"/>
      <c r="E733" s="130"/>
      <c r="F733" s="136"/>
      <c r="G733" s="141" t="s">
        <v>325</v>
      </c>
      <c r="H733" s="179"/>
      <c r="J733" s="136"/>
      <c r="K733" s="141" t="s">
        <v>325</v>
      </c>
      <c r="L733" s="248" t="s">
        <v>9</v>
      </c>
      <c r="N733" s="136"/>
      <c r="O733" s="141" t="s">
        <v>325</v>
      </c>
      <c r="P733" s="248" t="s">
        <v>9</v>
      </c>
      <c r="R733" s="136"/>
      <c r="S733" s="141" t="s">
        <v>325</v>
      </c>
      <c r="T733" s="248" t="s">
        <v>9</v>
      </c>
      <c r="V733" s="136"/>
      <c r="W733" s="141" t="s">
        <v>325</v>
      </c>
      <c r="X733" s="241" t="s">
        <v>86</v>
      </c>
      <c r="Z733" s="136"/>
      <c r="AA733" s="141" t="s">
        <v>325</v>
      </c>
      <c r="AB733" s="248" t="s">
        <v>9</v>
      </c>
      <c r="AD733" s="136"/>
      <c r="AE733" s="141" t="s">
        <v>325</v>
      </c>
      <c r="AF733" s="248" t="s">
        <v>9</v>
      </c>
      <c r="AH733" s="136"/>
      <c r="AI733" s="141" t="s">
        <v>325</v>
      </c>
      <c r="AJ733" s="248" t="s">
        <v>9</v>
      </c>
      <c r="AL733" s="136"/>
      <c r="AM733" s="141" t="s">
        <v>325</v>
      </c>
      <c r="AN733" s="248" t="s">
        <v>9</v>
      </c>
      <c r="AP733" s="136"/>
      <c r="AQ733" s="141" t="s">
        <v>325</v>
      </c>
      <c r="AR733" s="248" t="s">
        <v>9</v>
      </c>
      <c r="AT733" s="136"/>
      <c r="AU733" s="141" t="s">
        <v>325</v>
      </c>
      <c r="AV733" s="248" t="s">
        <v>9</v>
      </c>
      <c r="AX733" s="136"/>
      <c r="AY733" s="141" t="s">
        <v>325</v>
      </c>
      <c r="AZ733" s="241" t="s">
        <v>86</v>
      </c>
      <c r="BB733" s="136"/>
      <c r="BC733" s="141" t="s">
        <v>325</v>
      </c>
      <c r="BD733" s="248" t="s">
        <v>9</v>
      </c>
      <c r="BF733" s="136"/>
      <c r="BG733" s="141" t="s">
        <v>325</v>
      </c>
      <c r="BH733" s="248" t="s">
        <v>9</v>
      </c>
      <c r="BJ733" s="136"/>
      <c r="BK733" s="141" t="s">
        <v>325</v>
      </c>
      <c r="BL733" s="248" t="s">
        <v>9</v>
      </c>
      <c r="BN733" s="136"/>
      <c r="BO733" s="141" t="s">
        <v>325</v>
      </c>
      <c r="BP733" s="248" t="s">
        <v>9</v>
      </c>
      <c r="BR733" s="136"/>
      <c r="BS733" s="141" t="s">
        <v>325</v>
      </c>
      <c r="BT733" s="248" t="s">
        <v>9</v>
      </c>
    </row>
    <row r="734" spans="1:72" s="174" customFormat="1" x14ac:dyDescent="0.15">
      <c r="A734" s="182"/>
      <c r="B734" s="168" t="s">
        <v>1079</v>
      </c>
      <c r="C734" s="140"/>
      <c r="D734" s="170"/>
      <c r="E734" s="130"/>
      <c r="F734" s="136"/>
      <c r="G734" s="141" t="s">
        <v>326</v>
      </c>
      <c r="H734" s="179"/>
      <c r="J734" s="136"/>
      <c r="K734" s="141" t="s">
        <v>326</v>
      </c>
      <c r="L734" s="248" t="s">
        <v>9</v>
      </c>
      <c r="N734" s="136"/>
      <c r="O734" s="141" t="s">
        <v>326</v>
      </c>
      <c r="P734" s="248" t="s">
        <v>9</v>
      </c>
      <c r="R734" s="136"/>
      <c r="S734" s="141" t="s">
        <v>326</v>
      </c>
      <c r="T734" s="248" t="s">
        <v>9</v>
      </c>
      <c r="V734" s="136"/>
      <c r="W734" s="141" t="s">
        <v>326</v>
      </c>
      <c r="X734" s="241" t="s">
        <v>1183</v>
      </c>
      <c r="Z734" s="136"/>
      <c r="AA734" s="141" t="s">
        <v>326</v>
      </c>
      <c r="AB734" s="248" t="s">
        <v>9</v>
      </c>
      <c r="AD734" s="136"/>
      <c r="AE734" s="141" t="s">
        <v>326</v>
      </c>
      <c r="AF734" s="248" t="s">
        <v>9</v>
      </c>
      <c r="AH734" s="136"/>
      <c r="AI734" s="141" t="s">
        <v>326</v>
      </c>
      <c r="AJ734" s="248" t="s">
        <v>9</v>
      </c>
      <c r="AL734" s="136"/>
      <c r="AM734" s="141" t="s">
        <v>326</v>
      </c>
      <c r="AN734" s="248" t="s">
        <v>9</v>
      </c>
      <c r="AP734" s="136"/>
      <c r="AQ734" s="141" t="s">
        <v>326</v>
      </c>
      <c r="AR734" s="248" t="s">
        <v>9</v>
      </c>
      <c r="AT734" s="136"/>
      <c r="AU734" s="141" t="s">
        <v>326</v>
      </c>
      <c r="AV734" s="248" t="s">
        <v>9</v>
      </c>
      <c r="AX734" s="136"/>
      <c r="AY734" s="141" t="s">
        <v>326</v>
      </c>
      <c r="AZ734" s="241" t="s">
        <v>1183</v>
      </c>
      <c r="BB734" s="136"/>
      <c r="BC734" s="141" t="s">
        <v>326</v>
      </c>
      <c r="BD734" s="248" t="s">
        <v>9</v>
      </c>
      <c r="BF734" s="136"/>
      <c r="BG734" s="141" t="s">
        <v>326</v>
      </c>
      <c r="BH734" s="248" t="s">
        <v>9</v>
      </c>
      <c r="BJ734" s="136"/>
      <c r="BK734" s="141" t="s">
        <v>326</v>
      </c>
      <c r="BL734" s="248" t="s">
        <v>9</v>
      </c>
      <c r="BN734" s="136"/>
      <c r="BO734" s="141" t="s">
        <v>326</v>
      </c>
      <c r="BP734" s="248" t="s">
        <v>9</v>
      </c>
      <c r="BR734" s="136"/>
      <c r="BS734" s="141" t="s">
        <v>326</v>
      </c>
      <c r="BT734" s="248" t="s">
        <v>9</v>
      </c>
    </row>
    <row r="735" spans="1:72" s="174" customFormat="1" x14ac:dyDescent="0.15">
      <c r="A735" s="182"/>
      <c r="B735" s="168" t="s">
        <v>85</v>
      </c>
      <c r="C735" s="140"/>
      <c r="D735" s="170"/>
      <c r="E735" s="130"/>
      <c r="F735" s="136"/>
      <c r="G735" s="141" t="s">
        <v>327</v>
      </c>
      <c r="H735" s="179"/>
      <c r="J735" s="136"/>
      <c r="K735" s="141" t="s">
        <v>327</v>
      </c>
      <c r="L735" s="248" t="s">
        <v>9</v>
      </c>
      <c r="N735" s="136"/>
      <c r="O735" s="141" t="s">
        <v>327</v>
      </c>
      <c r="P735" s="248" t="s">
        <v>9</v>
      </c>
      <c r="R735" s="136"/>
      <c r="S735" s="141" t="s">
        <v>327</v>
      </c>
      <c r="T735" s="248" t="s">
        <v>9</v>
      </c>
      <c r="V735" s="136"/>
      <c r="W735" s="141" t="s">
        <v>327</v>
      </c>
      <c r="X735" s="241" t="s">
        <v>86</v>
      </c>
      <c r="Z735" s="136"/>
      <c r="AA735" s="141" t="s">
        <v>327</v>
      </c>
      <c r="AB735" s="248" t="s">
        <v>9</v>
      </c>
      <c r="AD735" s="136"/>
      <c r="AE735" s="141" t="s">
        <v>327</v>
      </c>
      <c r="AF735" s="248" t="s">
        <v>9</v>
      </c>
      <c r="AH735" s="136"/>
      <c r="AI735" s="141" t="s">
        <v>327</v>
      </c>
      <c r="AJ735" s="248" t="s">
        <v>9</v>
      </c>
      <c r="AL735" s="136"/>
      <c r="AM735" s="141" t="s">
        <v>327</v>
      </c>
      <c r="AN735" s="248" t="s">
        <v>9</v>
      </c>
      <c r="AP735" s="136"/>
      <c r="AQ735" s="141" t="s">
        <v>327</v>
      </c>
      <c r="AR735" s="248" t="s">
        <v>9</v>
      </c>
      <c r="AT735" s="136"/>
      <c r="AU735" s="141" t="s">
        <v>327</v>
      </c>
      <c r="AV735" s="248" t="s">
        <v>9</v>
      </c>
      <c r="AX735" s="136"/>
      <c r="AY735" s="141" t="s">
        <v>327</v>
      </c>
      <c r="AZ735" s="241" t="s">
        <v>86</v>
      </c>
      <c r="BB735" s="136"/>
      <c r="BC735" s="141" t="s">
        <v>327</v>
      </c>
      <c r="BD735" s="248" t="s">
        <v>9</v>
      </c>
      <c r="BF735" s="136"/>
      <c r="BG735" s="141" t="s">
        <v>327</v>
      </c>
      <c r="BH735" s="248" t="s">
        <v>9</v>
      </c>
      <c r="BJ735" s="136"/>
      <c r="BK735" s="141" t="s">
        <v>327</v>
      </c>
      <c r="BL735" s="248" t="s">
        <v>9</v>
      </c>
      <c r="BN735" s="136"/>
      <c r="BO735" s="141" t="s">
        <v>327</v>
      </c>
      <c r="BP735" s="248" t="s">
        <v>9</v>
      </c>
      <c r="BR735" s="136"/>
      <c r="BS735" s="141" t="s">
        <v>327</v>
      </c>
      <c r="BT735" s="248" t="s">
        <v>9</v>
      </c>
    </row>
    <row r="736" spans="1:72" s="174" customFormat="1" x14ac:dyDescent="0.15">
      <c r="A736" s="182"/>
      <c r="B736" s="168" t="s">
        <v>1077</v>
      </c>
      <c r="C736" s="140"/>
      <c r="D736" s="170"/>
      <c r="E736" s="130"/>
      <c r="F736" s="136"/>
      <c r="G736" s="141" t="s">
        <v>328</v>
      </c>
      <c r="H736" s="179"/>
      <c r="J736" s="136"/>
      <c r="K736" s="141" t="s">
        <v>328</v>
      </c>
      <c r="L736" s="248" t="s">
        <v>9</v>
      </c>
      <c r="N736" s="136"/>
      <c r="O736" s="141" t="s">
        <v>328</v>
      </c>
      <c r="P736" s="248" t="s">
        <v>9</v>
      </c>
      <c r="R736" s="136"/>
      <c r="S736" s="141" t="s">
        <v>328</v>
      </c>
      <c r="T736" s="248" t="s">
        <v>9</v>
      </c>
      <c r="V736" s="136"/>
      <c r="W736" s="141" t="s">
        <v>328</v>
      </c>
      <c r="X736" s="241" t="s">
        <v>1179</v>
      </c>
      <c r="Z736" s="136"/>
      <c r="AA736" s="141" t="s">
        <v>328</v>
      </c>
      <c r="AB736" s="248" t="s">
        <v>9</v>
      </c>
      <c r="AD736" s="136"/>
      <c r="AE736" s="141" t="s">
        <v>328</v>
      </c>
      <c r="AF736" s="248" t="s">
        <v>9</v>
      </c>
      <c r="AH736" s="136"/>
      <c r="AI736" s="141" t="s">
        <v>328</v>
      </c>
      <c r="AJ736" s="248" t="s">
        <v>9</v>
      </c>
      <c r="AL736" s="136"/>
      <c r="AM736" s="141" t="s">
        <v>328</v>
      </c>
      <c r="AN736" s="248" t="s">
        <v>9</v>
      </c>
      <c r="AP736" s="136"/>
      <c r="AQ736" s="141" t="s">
        <v>328</v>
      </c>
      <c r="AR736" s="248" t="s">
        <v>9</v>
      </c>
      <c r="AT736" s="136"/>
      <c r="AU736" s="141" t="s">
        <v>328</v>
      </c>
      <c r="AV736" s="248" t="s">
        <v>9</v>
      </c>
      <c r="AX736" s="136"/>
      <c r="AY736" s="141" t="s">
        <v>328</v>
      </c>
      <c r="AZ736" s="241" t="s">
        <v>1179</v>
      </c>
      <c r="BB736" s="136"/>
      <c r="BC736" s="141" t="s">
        <v>328</v>
      </c>
      <c r="BD736" s="248" t="s">
        <v>9</v>
      </c>
      <c r="BF736" s="136"/>
      <c r="BG736" s="141" t="s">
        <v>328</v>
      </c>
      <c r="BH736" s="248" t="s">
        <v>9</v>
      </c>
      <c r="BJ736" s="136"/>
      <c r="BK736" s="141" t="s">
        <v>328</v>
      </c>
      <c r="BL736" s="248" t="s">
        <v>9</v>
      </c>
      <c r="BN736" s="136"/>
      <c r="BO736" s="141" t="s">
        <v>328</v>
      </c>
      <c r="BP736" s="248" t="s">
        <v>9</v>
      </c>
      <c r="BR736" s="136"/>
      <c r="BS736" s="141" t="s">
        <v>328</v>
      </c>
      <c r="BT736" s="248" t="s">
        <v>9</v>
      </c>
    </row>
    <row r="737" spans="1:72" s="174" customFormat="1" x14ac:dyDescent="0.15">
      <c r="A737" s="182"/>
      <c r="B737" s="168" t="s">
        <v>85</v>
      </c>
      <c r="C737" s="140"/>
      <c r="D737" s="170"/>
      <c r="E737" s="130"/>
      <c r="F737" s="136"/>
      <c r="G737" s="141" t="s">
        <v>329</v>
      </c>
      <c r="H737" s="179"/>
      <c r="J737" s="136"/>
      <c r="K737" s="141" t="s">
        <v>329</v>
      </c>
      <c r="L737" s="248" t="s">
        <v>9</v>
      </c>
      <c r="N737" s="136"/>
      <c r="O737" s="141" t="s">
        <v>329</v>
      </c>
      <c r="P737" s="248" t="s">
        <v>9</v>
      </c>
      <c r="R737" s="136"/>
      <c r="S737" s="141" t="s">
        <v>329</v>
      </c>
      <c r="T737" s="248" t="s">
        <v>9</v>
      </c>
      <c r="V737" s="136"/>
      <c r="W737" s="141" t="s">
        <v>329</v>
      </c>
      <c r="X737" s="241" t="s">
        <v>86</v>
      </c>
      <c r="Z737" s="136"/>
      <c r="AA737" s="141" t="s">
        <v>329</v>
      </c>
      <c r="AB737" s="248" t="s">
        <v>9</v>
      </c>
      <c r="AD737" s="136"/>
      <c r="AE737" s="141" t="s">
        <v>329</v>
      </c>
      <c r="AF737" s="248" t="s">
        <v>9</v>
      </c>
      <c r="AH737" s="136"/>
      <c r="AI737" s="141" t="s">
        <v>329</v>
      </c>
      <c r="AJ737" s="248" t="s">
        <v>9</v>
      </c>
      <c r="AL737" s="136"/>
      <c r="AM737" s="141" t="s">
        <v>329</v>
      </c>
      <c r="AN737" s="248" t="s">
        <v>9</v>
      </c>
      <c r="AP737" s="136"/>
      <c r="AQ737" s="141" t="s">
        <v>329</v>
      </c>
      <c r="AR737" s="248" t="s">
        <v>9</v>
      </c>
      <c r="AT737" s="136"/>
      <c r="AU737" s="141" t="s">
        <v>329</v>
      </c>
      <c r="AV737" s="248" t="s">
        <v>9</v>
      </c>
      <c r="AX737" s="136"/>
      <c r="AY737" s="141" t="s">
        <v>329</v>
      </c>
      <c r="AZ737" s="241" t="s">
        <v>86</v>
      </c>
      <c r="BB737" s="136"/>
      <c r="BC737" s="141" t="s">
        <v>329</v>
      </c>
      <c r="BD737" s="248" t="s">
        <v>9</v>
      </c>
      <c r="BF737" s="136"/>
      <c r="BG737" s="141" t="s">
        <v>329</v>
      </c>
      <c r="BH737" s="248" t="s">
        <v>9</v>
      </c>
      <c r="BJ737" s="136"/>
      <c r="BK737" s="141" t="s">
        <v>329</v>
      </c>
      <c r="BL737" s="248" t="s">
        <v>9</v>
      </c>
      <c r="BN737" s="136"/>
      <c r="BO737" s="141" t="s">
        <v>329</v>
      </c>
      <c r="BP737" s="248" t="s">
        <v>9</v>
      </c>
      <c r="BR737" s="136"/>
      <c r="BS737" s="141" t="s">
        <v>329</v>
      </c>
      <c r="BT737" s="248" t="s">
        <v>9</v>
      </c>
    </row>
    <row r="738" spans="1:72" s="174" customFormat="1" x14ac:dyDescent="0.15">
      <c r="A738" s="182"/>
      <c r="B738" s="168" t="s">
        <v>402</v>
      </c>
      <c r="C738" s="140"/>
      <c r="D738" s="170"/>
      <c r="E738" s="130"/>
      <c r="F738" s="136"/>
      <c r="G738" s="141" t="s">
        <v>330</v>
      </c>
      <c r="H738" s="179"/>
      <c r="J738" s="136"/>
      <c r="K738" s="141" t="s">
        <v>330</v>
      </c>
      <c r="L738" s="248" t="s">
        <v>9</v>
      </c>
      <c r="N738" s="136"/>
      <c r="O738" s="141" t="s">
        <v>330</v>
      </c>
      <c r="P738" s="248" t="s">
        <v>9</v>
      </c>
      <c r="R738" s="136"/>
      <c r="S738" s="141" t="s">
        <v>330</v>
      </c>
      <c r="T738" s="248" t="s">
        <v>9</v>
      </c>
      <c r="V738" s="136"/>
      <c r="W738" s="141" t="s">
        <v>330</v>
      </c>
      <c r="X738" s="241" t="s">
        <v>1184</v>
      </c>
      <c r="Z738" s="136"/>
      <c r="AA738" s="141" t="s">
        <v>330</v>
      </c>
      <c r="AB738" s="248" t="s">
        <v>9</v>
      </c>
      <c r="AD738" s="136"/>
      <c r="AE738" s="141" t="s">
        <v>330</v>
      </c>
      <c r="AF738" s="248" t="s">
        <v>9</v>
      </c>
      <c r="AH738" s="136"/>
      <c r="AI738" s="141" t="s">
        <v>330</v>
      </c>
      <c r="AJ738" s="248" t="s">
        <v>9</v>
      </c>
      <c r="AL738" s="136"/>
      <c r="AM738" s="141" t="s">
        <v>330</v>
      </c>
      <c r="AN738" s="248" t="s">
        <v>9</v>
      </c>
      <c r="AP738" s="136"/>
      <c r="AQ738" s="141" t="s">
        <v>330</v>
      </c>
      <c r="AR738" s="248" t="s">
        <v>9</v>
      </c>
      <c r="AT738" s="136"/>
      <c r="AU738" s="141" t="s">
        <v>330</v>
      </c>
      <c r="AV738" s="248" t="s">
        <v>9</v>
      </c>
      <c r="AX738" s="136"/>
      <c r="AY738" s="141" t="s">
        <v>330</v>
      </c>
      <c r="AZ738" s="241" t="s">
        <v>1184</v>
      </c>
      <c r="BB738" s="136"/>
      <c r="BC738" s="141" t="s">
        <v>330</v>
      </c>
      <c r="BD738" s="248" t="s">
        <v>9</v>
      </c>
      <c r="BF738" s="136"/>
      <c r="BG738" s="141" t="s">
        <v>330</v>
      </c>
      <c r="BH738" s="248" t="s">
        <v>9</v>
      </c>
      <c r="BJ738" s="136"/>
      <c r="BK738" s="141" t="s">
        <v>330</v>
      </c>
      <c r="BL738" s="248" t="s">
        <v>9</v>
      </c>
      <c r="BN738" s="136"/>
      <c r="BO738" s="141" t="s">
        <v>330</v>
      </c>
      <c r="BP738" s="248" t="s">
        <v>9</v>
      </c>
      <c r="BR738" s="136"/>
      <c r="BS738" s="141" t="s">
        <v>330</v>
      </c>
      <c r="BT738" s="248" t="s">
        <v>9</v>
      </c>
    </row>
    <row r="739" spans="1:72" s="174" customFormat="1" x14ac:dyDescent="0.15">
      <c r="A739" s="182"/>
      <c r="B739" s="168" t="s">
        <v>85</v>
      </c>
      <c r="C739" s="140"/>
      <c r="D739" s="170"/>
      <c r="E739" s="130"/>
      <c r="F739" s="136"/>
      <c r="G739" s="141" t="s">
        <v>331</v>
      </c>
      <c r="H739" s="179"/>
      <c r="J739" s="136"/>
      <c r="K739" s="141" t="s">
        <v>331</v>
      </c>
      <c r="L739" s="248" t="s">
        <v>9</v>
      </c>
      <c r="N739" s="136"/>
      <c r="O739" s="141" t="s">
        <v>331</v>
      </c>
      <c r="P739" s="248" t="s">
        <v>9</v>
      </c>
      <c r="R739" s="136"/>
      <c r="S739" s="141" t="s">
        <v>331</v>
      </c>
      <c r="T739" s="248" t="s">
        <v>9</v>
      </c>
      <c r="V739" s="136"/>
      <c r="W739" s="141" t="s">
        <v>331</v>
      </c>
      <c r="X739" s="241" t="s">
        <v>86</v>
      </c>
      <c r="Z739" s="136"/>
      <c r="AA739" s="141" t="s">
        <v>331</v>
      </c>
      <c r="AB739" s="248" t="s">
        <v>9</v>
      </c>
      <c r="AD739" s="136"/>
      <c r="AE739" s="141" t="s">
        <v>331</v>
      </c>
      <c r="AF739" s="248" t="s">
        <v>9</v>
      </c>
      <c r="AH739" s="136"/>
      <c r="AI739" s="141" t="s">
        <v>331</v>
      </c>
      <c r="AJ739" s="248" t="s">
        <v>9</v>
      </c>
      <c r="AL739" s="136"/>
      <c r="AM739" s="141" t="s">
        <v>331</v>
      </c>
      <c r="AN739" s="248" t="s">
        <v>9</v>
      </c>
      <c r="AP739" s="136"/>
      <c r="AQ739" s="141" t="s">
        <v>331</v>
      </c>
      <c r="AR739" s="248" t="s">
        <v>9</v>
      </c>
      <c r="AT739" s="136"/>
      <c r="AU739" s="141" t="s">
        <v>331</v>
      </c>
      <c r="AV739" s="248" t="s">
        <v>9</v>
      </c>
      <c r="AX739" s="136"/>
      <c r="AY739" s="141" t="s">
        <v>331</v>
      </c>
      <c r="AZ739" s="241" t="s">
        <v>86</v>
      </c>
      <c r="BB739" s="136"/>
      <c r="BC739" s="141" t="s">
        <v>331</v>
      </c>
      <c r="BD739" s="248" t="s">
        <v>9</v>
      </c>
      <c r="BF739" s="136"/>
      <c r="BG739" s="141" t="s">
        <v>331</v>
      </c>
      <c r="BH739" s="248" t="s">
        <v>9</v>
      </c>
      <c r="BJ739" s="136"/>
      <c r="BK739" s="141" t="s">
        <v>331</v>
      </c>
      <c r="BL739" s="248" t="s">
        <v>9</v>
      </c>
      <c r="BN739" s="136"/>
      <c r="BO739" s="141" t="s">
        <v>331</v>
      </c>
      <c r="BP739" s="248" t="s">
        <v>9</v>
      </c>
      <c r="BR739" s="136"/>
      <c r="BS739" s="141" t="s">
        <v>331</v>
      </c>
      <c r="BT739" s="248" t="s">
        <v>9</v>
      </c>
    </row>
    <row r="740" spans="1:72" s="174" customFormat="1" x14ac:dyDescent="0.15">
      <c r="A740" s="182"/>
      <c r="B740" s="168" t="s">
        <v>275</v>
      </c>
      <c r="C740" s="140"/>
      <c r="D740" s="170"/>
      <c r="E740" s="130"/>
      <c r="F740" s="136"/>
      <c r="G740" s="141" t="s">
        <v>332</v>
      </c>
      <c r="H740" s="179"/>
      <c r="J740" s="136"/>
      <c r="K740" s="141" t="s">
        <v>332</v>
      </c>
      <c r="L740" s="248" t="s">
        <v>9</v>
      </c>
      <c r="N740" s="136"/>
      <c r="O740" s="141" t="s">
        <v>332</v>
      </c>
      <c r="P740" s="248" t="s">
        <v>9</v>
      </c>
      <c r="R740" s="136"/>
      <c r="S740" s="141" t="s">
        <v>332</v>
      </c>
      <c r="T740" s="248" t="s">
        <v>9</v>
      </c>
      <c r="V740" s="136"/>
      <c r="W740" s="141" t="s">
        <v>332</v>
      </c>
      <c r="X740" s="241" t="s">
        <v>1177</v>
      </c>
      <c r="Z740" s="136"/>
      <c r="AA740" s="141" t="s">
        <v>332</v>
      </c>
      <c r="AB740" s="248" t="s">
        <v>9</v>
      </c>
      <c r="AD740" s="136"/>
      <c r="AE740" s="141" t="s">
        <v>332</v>
      </c>
      <c r="AF740" s="248" t="s">
        <v>9</v>
      </c>
      <c r="AH740" s="136"/>
      <c r="AI740" s="141" t="s">
        <v>332</v>
      </c>
      <c r="AJ740" s="248" t="s">
        <v>9</v>
      </c>
      <c r="AL740" s="136"/>
      <c r="AM740" s="141" t="s">
        <v>332</v>
      </c>
      <c r="AN740" s="248" t="s">
        <v>9</v>
      </c>
      <c r="AP740" s="136"/>
      <c r="AQ740" s="141" t="s">
        <v>332</v>
      </c>
      <c r="AR740" s="248" t="s">
        <v>9</v>
      </c>
      <c r="AT740" s="136"/>
      <c r="AU740" s="141" t="s">
        <v>332</v>
      </c>
      <c r="AV740" s="248" t="s">
        <v>9</v>
      </c>
      <c r="AX740" s="136"/>
      <c r="AY740" s="141" t="s">
        <v>332</v>
      </c>
      <c r="AZ740" s="241" t="s">
        <v>1177</v>
      </c>
      <c r="BB740" s="136"/>
      <c r="BC740" s="141" t="s">
        <v>332</v>
      </c>
      <c r="BD740" s="248" t="s">
        <v>9</v>
      </c>
      <c r="BF740" s="136"/>
      <c r="BG740" s="141" t="s">
        <v>332</v>
      </c>
      <c r="BH740" s="248" t="s">
        <v>9</v>
      </c>
      <c r="BJ740" s="136"/>
      <c r="BK740" s="141" t="s">
        <v>332</v>
      </c>
      <c r="BL740" s="248" t="s">
        <v>9</v>
      </c>
      <c r="BN740" s="136"/>
      <c r="BO740" s="141" t="s">
        <v>332</v>
      </c>
      <c r="BP740" s="248" t="s">
        <v>9</v>
      </c>
      <c r="BR740" s="136"/>
      <c r="BS740" s="141" t="s">
        <v>332</v>
      </c>
      <c r="BT740" s="248" t="s">
        <v>9</v>
      </c>
    </row>
    <row r="741" spans="1:72" s="174" customFormat="1" x14ac:dyDescent="0.15">
      <c r="A741" s="182"/>
      <c r="B741" s="168" t="s">
        <v>85</v>
      </c>
      <c r="C741" s="140"/>
      <c r="D741" s="170"/>
      <c r="E741" s="130"/>
      <c r="F741" s="136"/>
      <c r="G741" s="141" t="s">
        <v>333</v>
      </c>
      <c r="H741" s="179"/>
      <c r="J741" s="136"/>
      <c r="K741" s="141" t="s">
        <v>333</v>
      </c>
      <c r="L741" s="248" t="s">
        <v>9</v>
      </c>
      <c r="N741" s="136"/>
      <c r="O741" s="141" t="s">
        <v>333</v>
      </c>
      <c r="P741" s="248" t="s">
        <v>9</v>
      </c>
      <c r="R741" s="136"/>
      <c r="S741" s="141" t="s">
        <v>333</v>
      </c>
      <c r="T741" s="248" t="s">
        <v>9</v>
      </c>
      <c r="V741" s="136"/>
      <c r="W741" s="141" t="s">
        <v>333</v>
      </c>
      <c r="X741" s="241" t="s">
        <v>86</v>
      </c>
      <c r="Z741" s="136"/>
      <c r="AA741" s="141" t="s">
        <v>333</v>
      </c>
      <c r="AB741" s="248" t="s">
        <v>9</v>
      </c>
      <c r="AD741" s="136"/>
      <c r="AE741" s="141" t="s">
        <v>333</v>
      </c>
      <c r="AF741" s="248" t="s">
        <v>9</v>
      </c>
      <c r="AH741" s="136"/>
      <c r="AI741" s="141" t="s">
        <v>333</v>
      </c>
      <c r="AJ741" s="248" t="s">
        <v>9</v>
      </c>
      <c r="AL741" s="136"/>
      <c r="AM741" s="141" t="s">
        <v>333</v>
      </c>
      <c r="AN741" s="248" t="s">
        <v>9</v>
      </c>
      <c r="AP741" s="136"/>
      <c r="AQ741" s="141" t="s">
        <v>333</v>
      </c>
      <c r="AR741" s="248" t="s">
        <v>9</v>
      </c>
      <c r="AT741" s="136"/>
      <c r="AU741" s="141" t="s">
        <v>333</v>
      </c>
      <c r="AV741" s="248" t="s">
        <v>9</v>
      </c>
      <c r="AX741" s="136"/>
      <c r="AY741" s="141" t="s">
        <v>333</v>
      </c>
      <c r="AZ741" s="241" t="s">
        <v>86</v>
      </c>
      <c r="BB741" s="136"/>
      <c r="BC741" s="141" t="s">
        <v>333</v>
      </c>
      <c r="BD741" s="248" t="s">
        <v>9</v>
      </c>
      <c r="BF741" s="136"/>
      <c r="BG741" s="141" t="s">
        <v>333</v>
      </c>
      <c r="BH741" s="248" t="s">
        <v>9</v>
      </c>
      <c r="BJ741" s="136"/>
      <c r="BK741" s="141" t="s">
        <v>333</v>
      </c>
      <c r="BL741" s="248" t="s">
        <v>9</v>
      </c>
      <c r="BN741" s="136"/>
      <c r="BO741" s="141" t="s">
        <v>333</v>
      </c>
      <c r="BP741" s="248" t="s">
        <v>9</v>
      </c>
      <c r="BR741" s="136"/>
      <c r="BS741" s="141" t="s">
        <v>333</v>
      </c>
      <c r="BT741" s="248" t="s">
        <v>9</v>
      </c>
    </row>
    <row r="742" spans="1:72" s="174" customFormat="1" x14ac:dyDescent="0.15">
      <c r="A742" s="182"/>
      <c r="B742" s="168" t="s">
        <v>1077</v>
      </c>
      <c r="C742" s="140"/>
      <c r="D742" s="170"/>
      <c r="E742" s="130"/>
      <c r="F742" s="136"/>
      <c r="G742" s="141" t="s">
        <v>334</v>
      </c>
      <c r="H742" s="179"/>
      <c r="J742" s="136"/>
      <c r="K742" s="141" t="s">
        <v>334</v>
      </c>
      <c r="L742" s="248" t="s">
        <v>9</v>
      </c>
      <c r="N742" s="136"/>
      <c r="O742" s="141" t="s">
        <v>334</v>
      </c>
      <c r="P742" s="248" t="s">
        <v>9</v>
      </c>
      <c r="R742" s="136"/>
      <c r="S742" s="141" t="s">
        <v>334</v>
      </c>
      <c r="T742" s="248" t="s">
        <v>9</v>
      </c>
      <c r="V742" s="136"/>
      <c r="W742" s="141" t="s">
        <v>334</v>
      </c>
      <c r="X742" s="241" t="s">
        <v>1179</v>
      </c>
      <c r="Z742" s="136"/>
      <c r="AA742" s="141" t="s">
        <v>334</v>
      </c>
      <c r="AB742" s="248" t="s">
        <v>9</v>
      </c>
      <c r="AD742" s="136"/>
      <c r="AE742" s="141" t="s">
        <v>334</v>
      </c>
      <c r="AF742" s="248" t="s">
        <v>9</v>
      </c>
      <c r="AH742" s="136"/>
      <c r="AI742" s="141" t="s">
        <v>334</v>
      </c>
      <c r="AJ742" s="248" t="s">
        <v>9</v>
      </c>
      <c r="AL742" s="136"/>
      <c r="AM742" s="141" t="s">
        <v>334</v>
      </c>
      <c r="AN742" s="248" t="s">
        <v>9</v>
      </c>
      <c r="AP742" s="136"/>
      <c r="AQ742" s="141" t="s">
        <v>334</v>
      </c>
      <c r="AR742" s="248" t="s">
        <v>9</v>
      </c>
      <c r="AT742" s="136"/>
      <c r="AU742" s="141" t="s">
        <v>334</v>
      </c>
      <c r="AV742" s="248" t="s">
        <v>9</v>
      </c>
      <c r="AX742" s="136"/>
      <c r="AY742" s="141" t="s">
        <v>334</v>
      </c>
      <c r="AZ742" s="241" t="s">
        <v>1179</v>
      </c>
      <c r="BB742" s="136"/>
      <c r="BC742" s="141" t="s">
        <v>334</v>
      </c>
      <c r="BD742" s="248" t="s">
        <v>9</v>
      </c>
      <c r="BF742" s="136"/>
      <c r="BG742" s="141" t="s">
        <v>334</v>
      </c>
      <c r="BH742" s="248" t="s">
        <v>9</v>
      </c>
      <c r="BJ742" s="136"/>
      <c r="BK742" s="141" t="s">
        <v>334</v>
      </c>
      <c r="BL742" s="248" t="s">
        <v>9</v>
      </c>
      <c r="BN742" s="136"/>
      <c r="BO742" s="141" t="s">
        <v>334</v>
      </c>
      <c r="BP742" s="248" t="s">
        <v>9</v>
      </c>
      <c r="BR742" s="136"/>
      <c r="BS742" s="141" t="s">
        <v>334</v>
      </c>
      <c r="BT742" s="248" t="s">
        <v>9</v>
      </c>
    </row>
    <row r="743" spans="1:72" s="174" customFormat="1" x14ac:dyDescent="0.15">
      <c r="A743" s="182"/>
      <c r="B743" s="168" t="s">
        <v>85</v>
      </c>
      <c r="C743" s="140"/>
      <c r="D743" s="170"/>
      <c r="E743" s="130"/>
      <c r="F743" s="136"/>
      <c r="G743" s="141" t="s">
        <v>335</v>
      </c>
      <c r="H743" s="179"/>
      <c r="J743" s="136"/>
      <c r="K743" s="141" t="s">
        <v>335</v>
      </c>
      <c r="L743" s="248" t="s">
        <v>9</v>
      </c>
      <c r="N743" s="136"/>
      <c r="O743" s="141" t="s">
        <v>335</v>
      </c>
      <c r="P743" s="248" t="s">
        <v>9</v>
      </c>
      <c r="R743" s="136"/>
      <c r="S743" s="141" t="s">
        <v>335</v>
      </c>
      <c r="T743" s="248" t="s">
        <v>9</v>
      </c>
      <c r="V743" s="136"/>
      <c r="W743" s="141" t="s">
        <v>335</v>
      </c>
      <c r="X743" s="241" t="s">
        <v>86</v>
      </c>
      <c r="Z743" s="136"/>
      <c r="AA743" s="141" t="s">
        <v>335</v>
      </c>
      <c r="AB743" s="248" t="s">
        <v>9</v>
      </c>
      <c r="AD743" s="136"/>
      <c r="AE743" s="141" t="s">
        <v>335</v>
      </c>
      <c r="AF743" s="248" t="s">
        <v>9</v>
      </c>
      <c r="AH743" s="136"/>
      <c r="AI743" s="141" t="s">
        <v>335</v>
      </c>
      <c r="AJ743" s="248" t="s">
        <v>9</v>
      </c>
      <c r="AL743" s="136"/>
      <c r="AM743" s="141" t="s">
        <v>335</v>
      </c>
      <c r="AN743" s="248" t="s">
        <v>9</v>
      </c>
      <c r="AP743" s="136"/>
      <c r="AQ743" s="141" t="s">
        <v>335</v>
      </c>
      <c r="AR743" s="248" t="s">
        <v>9</v>
      </c>
      <c r="AT743" s="136"/>
      <c r="AU743" s="141" t="s">
        <v>335</v>
      </c>
      <c r="AV743" s="248" t="s">
        <v>9</v>
      </c>
      <c r="AX743" s="136"/>
      <c r="AY743" s="141" t="s">
        <v>335</v>
      </c>
      <c r="AZ743" s="241" t="s">
        <v>86</v>
      </c>
      <c r="BB743" s="136"/>
      <c r="BC743" s="141" t="s">
        <v>335</v>
      </c>
      <c r="BD743" s="248" t="s">
        <v>9</v>
      </c>
      <c r="BF743" s="136"/>
      <c r="BG743" s="141" t="s">
        <v>335</v>
      </c>
      <c r="BH743" s="248" t="s">
        <v>9</v>
      </c>
      <c r="BJ743" s="136"/>
      <c r="BK743" s="141" t="s">
        <v>335</v>
      </c>
      <c r="BL743" s="248" t="s">
        <v>9</v>
      </c>
      <c r="BN743" s="136"/>
      <c r="BO743" s="141" t="s">
        <v>335</v>
      </c>
      <c r="BP743" s="248" t="s">
        <v>9</v>
      </c>
      <c r="BR743" s="136"/>
      <c r="BS743" s="141" t="s">
        <v>335</v>
      </c>
      <c r="BT743" s="248" t="s">
        <v>9</v>
      </c>
    </row>
    <row r="744" spans="1:72" s="174" customFormat="1" x14ac:dyDescent="0.15">
      <c r="A744" s="182"/>
      <c r="B744" s="168" t="s">
        <v>1079</v>
      </c>
      <c r="C744" s="140"/>
      <c r="D744" s="170"/>
      <c r="E744" s="130"/>
      <c r="F744" s="136"/>
      <c r="G744" s="141" t="s">
        <v>336</v>
      </c>
      <c r="H744" s="179"/>
      <c r="J744" s="136"/>
      <c r="K744" s="141" t="s">
        <v>336</v>
      </c>
      <c r="L744" s="248" t="s">
        <v>9</v>
      </c>
      <c r="N744" s="136"/>
      <c r="O744" s="141" t="s">
        <v>336</v>
      </c>
      <c r="P744" s="248" t="s">
        <v>9</v>
      </c>
      <c r="R744" s="136"/>
      <c r="S744" s="141" t="s">
        <v>336</v>
      </c>
      <c r="T744" s="248" t="s">
        <v>9</v>
      </c>
      <c r="V744" s="136"/>
      <c r="W744" s="141" t="s">
        <v>336</v>
      </c>
      <c r="X744" s="241" t="s">
        <v>1183</v>
      </c>
      <c r="Z744" s="136"/>
      <c r="AA744" s="141" t="s">
        <v>336</v>
      </c>
      <c r="AB744" s="248" t="s">
        <v>9</v>
      </c>
      <c r="AD744" s="136"/>
      <c r="AE744" s="141" t="s">
        <v>336</v>
      </c>
      <c r="AF744" s="248" t="s">
        <v>9</v>
      </c>
      <c r="AH744" s="136"/>
      <c r="AI744" s="141" t="s">
        <v>336</v>
      </c>
      <c r="AJ744" s="248" t="s">
        <v>9</v>
      </c>
      <c r="AL744" s="136"/>
      <c r="AM744" s="141" t="s">
        <v>336</v>
      </c>
      <c r="AN744" s="248" t="s">
        <v>9</v>
      </c>
      <c r="AP744" s="136"/>
      <c r="AQ744" s="141" t="s">
        <v>336</v>
      </c>
      <c r="AR744" s="248" t="s">
        <v>9</v>
      </c>
      <c r="AT744" s="136"/>
      <c r="AU744" s="141" t="s">
        <v>336</v>
      </c>
      <c r="AV744" s="248" t="s">
        <v>9</v>
      </c>
      <c r="AX744" s="136"/>
      <c r="AY744" s="141" t="s">
        <v>336</v>
      </c>
      <c r="AZ744" s="241" t="s">
        <v>1183</v>
      </c>
      <c r="BB744" s="136"/>
      <c r="BC744" s="141" t="s">
        <v>336</v>
      </c>
      <c r="BD744" s="248" t="s">
        <v>9</v>
      </c>
      <c r="BF744" s="136"/>
      <c r="BG744" s="141" t="s">
        <v>336</v>
      </c>
      <c r="BH744" s="248" t="s">
        <v>9</v>
      </c>
      <c r="BJ744" s="136"/>
      <c r="BK744" s="141" t="s">
        <v>336</v>
      </c>
      <c r="BL744" s="248" t="s">
        <v>9</v>
      </c>
      <c r="BN744" s="136"/>
      <c r="BO744" s="141" t="s">
        <v>336</v>
      </c>
      <c r="BP744" s="248" t="s">
        <v>9</v>
      </c>
      <c r="BR744" s="136"/>
      <c r="BS744" s="141" t="s">
        <v>336</v>
      </c>
      <c r="BT744" s="248" t="s">
        <v>9</v>
      </c>
    </row>
    <row r="745" spans="1:72" s="174" customFormat="1" x14ac:dyDescent="0.15">
      <c r="A745" s="182"/>
      <c r="B745" s="168" t="s">
        <v>85</v>
      </c>
      <c r="C745" s="140"/>
      <c r="D745" s="170"/>
      <c r="E745" s="130"/>
      <c r="F745" s="136"/>
      <c r="G745" s="141" t="s">
        <v>337</v>
      </c>
      <c r="H745" s="179"/>
      <c r="J745" s="136"/>
      <c r="K745" s="141" t="s">
        <v>337</v>
      </c>
      <c r="L745" s="248" t="s">
        <v>9</v>
      </c>
      <c r="N745" s="136"/>
      <c r="O745" s="141" t="s">
        <v>337</v>
      </c>
      <c r="P745" s="248" t="s">
        <v>9</v>
      </c>
      <c r="R745" s="136"/>
      <c r="S745" s="141" t="s">
        <v>337</v>
      </c>
      <c r="T745" s="248" t="s">
        <v>9</v>
      </c>
      <c r="V745" s="136"/>
      <c r="W745" s="141" t="s">
        <v>337</v>
      </c>
      <c r="X745" s="241" t="s">
        <v>86</v>
      </c>
      <c r="Z745" s="136"/>
      <c r="AA745" s="141" t="s">
        <v>337</v>
      </c>
      <c r="AB745" s="248" t="s">
        <v>9</v>
      </c>
      <c r="AD745" s="136"/>
      <c r="AE745" s="141" t="s">
        <v>337</v>
      </c>
      <c r="AF745" s="248" t="s">
        <v>9</v>
      </c>
      <c r="AH745" s="136"/>
      <c r="AI745" s="141" t="s">
        <v>337</v>
      </c>
      <c r="AJ745" s="248" t="s">
        <v>9</v>
      </c>
      <c r="AL745" s="136"/>
      <c r="AM745" s="141" t="s">
        <v>337</v>
      </c>
      <c r="AN745" s="248" t="s">
        <v>9</v>
      </c>
      <c r="AP745" s="136"/>
      <c r="AQ745" s="141" t="s">
        <v>337</v>
      </c>
      <c r="AR745" s="248" t="s">
        <v>9</v>
      </c>
      <c r="AT745" s="136"/>
      <c r="AU745" s="141" t="s">
        <v>337</v>
      </c>
      <c r="AV745" s="248" t="s">
        <v>9</v>
      </c>
      <c r="AX745" s="136"/>
      <c r="AY745" s="141" t="s">
        <v>337</v>
      </c>
      <c r="AZ745" s="241" t="s">
        <v>86</v>
      </c>
      <c r="BB745" s="136"/>
      <c r="BC745" s="141" t="s">
        <v>337</v>
      </c>
      <c r="BD745" s="248" t="s">
        <v>9</v>
      </c>
      <c r="BF745" s="136"/>
      <c r="BG745" s="141" t="s">
        <v>337</v>
      </c>
      <c r="BH745" s="248" t="s">
        <v>9</v>
      </c>
      <c r="BJ745" s="136"/>
      <c r="BK745" s="141" t="s">
        <v>337</v>
      </c>
      <c r="BL745" s="248" t="s">
        <v>9</v>
      </c>
      <c r="BN745" s="136"/>
      <c r="BO745" s="141" t="s">
        <v>337</v>
      </c>
      <c r="BP745" s="248" t="s">
        <v>9</v>
      </c>
      <c r="BR745" s="136"/>
      <c r="BS745" s="141" t="s">
        <v>337</v>
      </c>
      <c r="BT745" s="248" t="s">
        <v>9</v>
      </c>
    </row>
    <row r="746" spans="1:72" s="174" customFormat="1" x14ac:dyDescent="0.15">
      <c r="A746" s="182"/>
      <c r="B746" s="168" t="s">
        <v>402</v>
      </c>
      <c r="C746" s="140"/>
      <c r="D746" s="170"/>
      <c r="E746" s="130"/>
      <c r="F746" s="136"/>
      <c r="G746" s="141" t="s">
        <v>338</v>
      </c>
      <c r="H746" s="179"/>
      <c r="J746" s="136"/>
      <c r="K746" s="141" t="s">
        <v>338</v>
      </c>
      <c r="L746" s="248" t="s">
        <v>9</v>
      </c>
      <c r="N746" s="136"/>
      <c r="O746" s="141" t="s">
        <v>338</v>
      </c>
      <c r="P746" s="248" t="s">
        <v>9</v>
      </c>
      <c r="R746" s="136"/>
      <c r="S746" s="141" t="s">
        <v>338</v>
      </c>
      <c r="T746" s="248" t="s">
        <v>9</v>
      </c>
      <c r="V746" s="136"/>
      <c r="W746" s="141" t="s">
        <v>338</v>
      </c>
      <c r="X746" s="241" t="s">
        <v>1184</v>
      </c>
      <c r="Z746" s="136"/>
      <c r="AA746" s="141" t="s">
        <v>338</v>
      </c>
      <c r="AB746" s="248" t="s">
        <v>9</v>
      </c>
      <c r="AD746" s="136"/>
      <c r="AE746" s="141" t="s">
        <v>338</v>
      </c>
      <c r="AF746" s="248" t="s">
        <v>9</v>
      </c>
      <c r="AH746" s="136"/>
      <c r="AI746" s="141" t="s">
        <v>338</v>
      </c>
      <c r="AJ746" s="248" t="s">
        <v>9</v>
      </c>
      <c r="AL746" s="136"/>
      <c r="AM746" s="141" t="s">
        <v>338</v>
      </c>
      <c r="AN746" s="248" t="s">
        <v>9</v>
      </c>
      <c r="AP746" s="136"/>
      <c r="AQ746" s="141" t="s">
        <v>338</v>
      </c>
      <c r="AR746" s="248" t="s">
        <v>9</v>
      </c>
      <c r="AT746" s="136"/>
      <c r="AU746" s="141" t="s">
        <v>338</v>
      </c>
      <c r="AV746" s="248" t="s">
        <v>9</v>
      </c>
      <c r="AX746" s="136"/>
      <c r="AY746" s="141" t="s">
        <v>338</v>
      </c>
      <c r="AZ746" s="241" t="s">
        <v>1184</v>
      </c>
      <c r="BB746" s="136"/>
      <c r="BC746" s="141" t="s">
        <v>338</v>
      </c>
      <c r="BD746" s="248" t="s">
        <v>9</v>
      </c>
      <c r="BF746" s="136"/>
      <c r="BG746" s="141" t="s">
        <v>338</v>
      </c>
      <c r="BH746" s="248" t="s">
        <v>9</v>
      </c>
      <c r="BJ746" s="136"/>
      <c r="BK746" s="141" t="s">
        <v>338</v>
      </c>
      <c r="BL746" s="248" t="s">
        <v>9</v>
      </c>
      <c r="BN746" s="136"/>
      <c r="BO746" s="141" t="s">
        <v>338</v>
      </c>
      <c r="BP746" s="248" t="s">
        <v>9</v>
      </c>
      <c r="BR746" s="136"/>
      <c r="BS746" s="141" t="s">
        <v>338</v>
      </c>
      <c r="BT746" s="248" t="s">
        <v>9</v>
      </c>
    </row>
    <row r="747" spans="1:72" s="174" customFormat="1" x14ac:dyDescent="0.15">
      <c r="A747" s="182"/>
      <c r="B747" s="168" t="s">
        <v>85</v>
      </c>
      <c r="C747" s="140"/>
      <c r="D747" s="170"/>
      <c r="E747" s="130"/>
      <c r="F747" s="136"/>
      <c r="G747" s="141" t="s">
        <v>339</v>
      </c>
      <c r="H747" s="179"/>
      <c r="J747" s="136"/>
      <c r="K747" s="141" t="s">
        <v>339</v>
      </c>
      <c r="L747" s="248" t="s">
        <v>9</v>
      </c>
      <c r="N747" s="136"/>
      <c r="O747" s="141" t="s">
        <v>339</v>
      </c>
      <c r="P747" s="248" t="s">
        <v>9</v>
      </c>
      <c r="R747" s="136"/>
      <c r="S747" s="141" t="s">
        <v>339</v>
      </c>
      <c r="T747" s="248" t="s">
        <v>9</v>
      </c>
      <c r="V747" s="136"/>
      <c r="W747" s="141" t="s">
        <v>339</v>
      </c>
      <c r="X747" s="241" t="s">
        <v>86</v>
      </c>
      <c r="Z747" s="136"/>
      <c r="AA747" s="141" t="s">
        <v>339</v>
      </c>
      <c r="AB747" s="248" t="s">
        <v>9</v>
      </c>
      <c r="AD747" s="136"/>
      <c r="AE747" s="141" t="s">
        <v>339</v>
      </c>
      <c r="AF747" s="248" t="s">
        <v>9</v>
      </c>
      <c r="AH747" s="136"/>
      <c r="AI747" s="141" t="s">
        <v>339</v>
      </c>
      <c r="AJ747" s="248" t="s">
        <v>9</v>
      </c>
      <c r="AL747" s="136"/>
      <c r="AM747" s="141" t="s">
        <v>339</v>
      </c>
      <c r="AN747" s="248" t="s">
        <v>9</v>
      </c>
      <c r="AP747" s="136"/>
      <c r="AQ747" s="141" t="s">
        <v>339</v>
      </c>
      <c r="AR747" s="248" t="s">
        <v>9</v>
      </c>
      <c r="AT747" s="136"/>
      <c r="AU747" s="141" t="s">
        <v>339</v>
      </c>
      <c r="AV747" s="248" t="s">
        <v>9</v>
      </c>
      <c r="AX747" s="136"/>
      <c r="AY747" s="141" t="s">
        <v>339</v>
      </c>
      <c r="AZ747" s="241" t="s">
        <v>86</v>
      </c>
      <c r="BB747" s="136"/>
      <c r="BC747" s="141" t="s">
        <v>339</v>
      </c>
      <c r="BD747" s="248" t="s">
        <v>9</v>
      </c>
      <c r="BF747" s="136"/>
      <c r="BG747" s="141" t="s">
        <v>339</v>
      </c>
      <c r="BH747" s="248" t="s">
        <v>9</v>
      </c>
      <c r="BJ747" s="136"/>
      <c r="BK747" s="141" t="s">
        <v>339</v>
      </c>
      <c r="BL747" s="248" t="s">
        <v>9</v>
      </c>
      <c r="BN747" s="136"/>
      <c r="BO747" s="141" t="s">
        <v>339</v>
      </c>
      <c r="BP747" s="248" t="s">
        <v>9</v>
      </c>
      <c r="BR747" s="136"/>
      <c r="BS747" s="141" t="s">
        <v>339</v>
      </c>
      <c r="BT747" s="248" t="s">
        <v>9</v>
      </c>
    </row>
    <row r="748" spans="1:72" s="174" customFormat="1" x14ac:dyDescent="0.15">
      <c r="A748" s="182"/>
      <c r="B748" s="168" t="s">
        <v>275</v>
      </c>
      <c r="C748" s="140"/>
      <c r="D748" s="170"/>
      <c r="E748" s="130"/>
      <c r="F748" s="136"/>
      <c r="G748" s="141" t="s">
        <v>340</v>
      </c>
      <c r="H748" s="179"/>
      <c r="J748" s="136"/>
      <c r="K748" s="141" t="s">
        <v>340</v>
      </c>
      <c r="L748" s="248" t="s">
        <v>9</v>
      </c>
      <c r="N748" s="136"/>
      <c r="O748" s="141" t="s">
        <v>340</v>
      </c>
      <c r="P748" s="248" t="s">
        <v>9</v>
      </c>
      <c r="R748" s="136"/>
      <c r="S748" s="141" t="s">
        <v>340</v>
      </c>
      <c r="T748" s="248" t="s">
        <v>9</v>
      </c>
      <c r="V748" s="136"/>
      <c r="W748" s="141" t="s">
        <v>340</v>
      </c>
      <c r="X748" s="241" t="s">
        <v>1177</v>
      </c>
      <c r="Z748" s="136"/>
      <c r="AA748" s="141" t="s">
        <v>340</v>
      </c>
      <c r="AB748" s="248" t="s">
        <v>9</v>
      </c>
      <c r="AD748" s="136"/>
      <c r="AE748" s="141" t="s">
        <v>340</v>
      </c>
      <c r="AF748" s="248" t="s">
        <v>9</v>
      </c>
      <c r="AH748" s="136"/>
      <c r="AI748" s="141" t="s">
        <v>340</v>
      </c>
      <c r="AJ748" s="248" t="s">
        <v>9</v>
      </c>
      <c r="AL748" s="136"/>
      <c r="AM748" s="141" t="s">
        <v>340</v>
      </c>
      <c r="AN748" s="248" t="s">
        <v>9</v>
      </c>
      <c r="AP748" s="136"/>
      <c r="AQ748" s="141" t="s">
        <v>340</v>
      </c>
      <c r="AR748" s="248" t="s">
        <v>9</v>
      </c>
      <c r="AT748" s="136"/>
      <c r="AU748" s="141" t="s">
        <v>340</v>
      </c>
      <c r="AV748" s="248" t="s">
        <v>9</v>
      </c>
      <c r="AX748" s="136"/>
      <c r="AY748" s="141" t="s">
        <v>340</v>
      </c>
      <c r="AZ748" s="241" t="s">
        <v>1177</v>
      </c>
      <c r="BB748" s="136"/>
      <c r="BC748" s="141" t="s">
        <v>340</v>
      </c>
      <c r="BD748" s="248" t="s">
        <v>9</v>
      </c>
      <c r="BF748" s="136"/>
      <c r="BG748" s="141" t="s">
        <v>340</v>
      </c>
      <c r="BH748" s="248" t="s">
        <v>9</v>
      </c>
      <c r="BJ748" s="136"/>
      <c r="BK748" s="141" t="s">
        <v>340</v>
      </c>
      <c r="BL748" s="248" t="s">
        <v>9</v>
      </c>
      <c r="BN748" s="136"/>
      <c r="BO748" s="141" t="s">
        <v>340</v>
      </c>
      <c r="BP748" s="248" t="s">
        <v>9</v>
      </c>
      <c r="BR748" s="136"/>
      <c r="BS748" s="141" t="s">
        <v>340</v>
      </c>
      <c r="BT748" s="248" t="s">
        <v>9</v>
      </c>
    </row>
    <row r="749" spans="1:72" s="174" customFormat="1" x14ac:dyDescent="0.15">
      <c r="A749" s="182"/>
      <c r="B749" s="168" t="s">
        <v>85</v>
      </c>
      <c r="C749" s="140"/>
      <c r="D749" s="170"/>
      <c r="E749" s="130"/>
      <c r="F749" s="136"/>
      <c r="G749" s="141" t="s">
        <v>341</v>
      </c>
      <c r="H749" s="179"/>
      <c r="J749" s="136"/>
      <c r="K749" s="141" t="s">
        <v>341</v>
      </c>
      <c r="L749" s="248" t="s">
        <v>9</v>
      </c>
      <c r="N749" s="136"/>
      <c r="O749" s="141" t="s">
        <v>341</v>
      </c>
      <c r="P749" s="248" t="s">
        <v>9</v>
      </c>
      <c r="R749" s="136"/>
      <c r="S749" s="141" t="s">
        <v>341</v>
      </c>
      <c r="T749" s="248" t="s">
        <v>9</v>
      </c>
      <c r="V749" s="136"/>
      <c r="W749" s="141" t="s">
        <v>341</v>
      </c>
      <c r="X749" s="241" t="s">
        <v>86</v>
      </c>
      <c r="Z749" s="136"/>
      <c r="AA749" s="141" t="s">
        <v>341</v>
      </c>
      <c r="AB749" s="248" t="s">
        <v>9</v>
      </c>
      <c r="AD749" s="136"/>
      <c r="AE749" s="141" t="s">
        <v>341</v>
      </c>
      <c r="AF749" s="248" t="s">
        <v>9</v>
      </c>
      <c r="AH749" s="136"/>
      <c r="AI749" s="141" t="s">
        <v>341</v>
      </c>
      <c r="AJ749" s="248" t="s">
        <v>9</v>
      </c>
      <c r="AL749" s="136"/>
      <c r="AM749" s="141" t="s">
        <v>341</v>
      </c>
      <c r="AN749" s="248" t="s">
        <v>9</v>
      </c>
      <c r="AP749" s="136"/>
      <c r="AQ749" s="141" t="s">
        <v>341</v>
      </c>
      <c r="AR749" s="248" t="s">
        <v>9</v>
      </c>
      <c r="AT749" s="136"/>
      <c r="AU749" s="141" t="s">
        <v>341</v>
      </c>
      <c r="AV749" s="248" t="s">
        <v>9</v>
      </c>
      <c r="AX749" s="136"/>
      <c r="AY749" s="141" t="s">
        <v>341</v>
      </c>
      <c r="AZ749" s="241" t="s">
        <v>86</v>
      </c>
      <c r="BB749" s="136"/>
      <c r="BC749" s="141" t="s">
        <v>341</v>
      </c>
      <c r="BD749" s="248" t="s">
        <v>9</v>
      </c>
      <c r="BF749" s="136"/>
      <c r="BG749" s="141" t="s">
        <v>341</v>
      </c>
      <c r="BH749" s="248" t="s">
        <v>9</v>
      </c>
      <c r="BJ749" s="136"/>
      <c r="BK749" s="141" t="s">
        <v>341</v>
      </c>
      <c r="BL749" s="248" t="s">
        <v>9</v>
      </c>
      <c r="BN749" s="136"/>
      <c r="BO749" s="141" t="s">
        <v>341</v>
      </c>
      <c r="BP749" s="248" t="s">
        <v>9</v>
      </c>
      <c r="BR749" s="136"/>
      <c r="BS749" s="141" t="s">
        <v>341</v>
      </c>
      <c r="BT749" s="248" t="s">
        <v>9</v>
      </c>
    </row>
    <row r="750" spans="1:72" s="174" customFormat="1" x14ac:dyDescent="0.15">
      <c r="A750" s="182"/>
      <c r="B750" s="168" t="s">
        <v>1079</v>
      </c>
      <c r="C750" s="140"/>
      <c r="D750" s="170"/>
      <c r="E750" s="130"/>
      <c r="F750" s="136"/>
      <c r="G750" s="141" t="s">
        <v>342</v>
      </c>
      <c r="H750" s="179"/>
      <c r="J750" s="136"/>
      <c r="K750" s="141" t="s">
        <v>342</v>
      </c>
      <c r="L750" s="248" t="s">
        <v>9</v>
      </c>
      <c r="N750" s="136"/>
      <c r="O750" s="141" t="s">
        <v>342</v>
      </c>
      <c r="P750" s="248" t="s">
        <v>9</v>
      </c>
      <c r="R750" s="136"/>
      <c r="S750" s="141" t="s">
        <v>342</v>
      </c>
      <c r="T750" s="248" t="s">
        <v>9</v>
      </c>
      <c r="V750" s="136"/>
      <c r="W750" s="141" t="s">
        <v>342</v>
      </c>
      <c r="X750" s="241" t="s">
        <v>1183</v>
      </c>
      <c r="Z750" s="136"/>
      <c r="AA750" s="141" t="s">
        <v>342</v>
      </c>
      <c r="AB750" s="248" t="s">
        <v>9</v>
      </c>
      <c r="AD750" s="136"/>
      <c r="AE750" s="141" t="s">
        <v>342</v>
      </c>
      <c r="AF750" s="248" t="s">
        <v>9</v>
      </c>
      <c r="AH750" s="136"/>
      <c r="AI750" s="141" t="s">
        <v>342</v>
      </c>
      <c r="AJ750" s="248" t="s">
        <v>9</v>
      </c>
      <c r="AL750" s="136"/>
      <c r="AM750" s="141" t="s">
        <v>342</v>
      </c>
      <c r="AN750" s="248" t="s">
        <v>9</v>
      </c>
      <c r="AP750" s="136"/>
      <c r="AQ750" s="141" t="s">
        <v>342</v>
      </c>
      <c r="AR750" s="248" t="s">
        <v>9</v>
      </c>
      <c r="AT750" s="136"/>
      <c r="AU750" s="141" t="s">
        <v>342</v>
      </c>
      <c r="AV750" s="248" t="s">
        <v>9</v>
      </c>
      <c r="AX750" s="136"/>
      <c r="AY750" s="141" t="s">
        <v>342</v>
      </c>
      <c r="AZ750" s="241" t="s">
        <v>1183</v>
      </c>
      <c r="BB750" s="136"/>
      <c r="BC750" s="141" t="s">
        <v>342</v>
      </c>
      <c r="BD750" s="248" t="s">
        <v>9</v>
      </c>
      <c r="BF750" s="136"/>
      <c r="BG750" s="141" t="s">
        <v>342</v>
      </c>
      <c r="BH750" s="248" t="s">
        <v>9</v>
      </c>
      <c r="BJ750" s="136"/>
      <c r="BK750" s="141" t="s">
        <v>342</v>
      </c>
      <c r="BL750" s="248" t="s">
        <v>9</v>
      </c>
      <c r="BN750" s="136"/>
      <c r="BO750" s="141" t="s">
        <v>342</v>
      </c>
      <c r="BP750" s="248" t="s">
        <v>9</v>
      </c>
      <c r="BR750" s="136"/>
      <c r="BS750" s="141" t="s">
        <v>342</v>
      </c>
      <c r="BT750" s="248" t="s">
        <v>9</v>
      </c>
    </row>
    <row r="751" spans="1:72" s="174" customFormat="1" x14ac:dyDescent="0.15">
      <c r="A751" s="182"/>
      <c r="B751" s="168" t="s">
        <v>85</v>
      </c>
      <c r="C751" s="140"/>
      <c r="D751" s="170"/>
      <c r="E751" s="130"/>
      <c r="F751" s="136"/>
      <c r="G751" s="141" t="s">
        <v>343</v>
      </c>
      <c r="H751" s="179"/>
      <c r="J751" s="136"/>
      <c r="K751" s="141" t="s">
        <v>343</v>
      </c>
      <c r="L751" s="248" t="s">
        <v>9</v>
      </c>
      <c r="N751" s="136"/>
      <c r="O751" s="141" t="s">
        <v>343</v>
      </c>
      <c r="P751" s="248" t="s">
        <v>9</v>
      </c>
      <c r="R751" s="136"/>
      <c r="S751" s="141" t="s">
        <v>343</v>
      </c>
      <c r="T751" s="248" t="s">
        <v>9</v>
      </c>
      <c r="V751" s="136"/>
      <c r="W751" s="141" t="s">
        <v>343</v>
      </c>
      <c r="X751" s="241" t="s">
        <v>86</v>
      </c>
      <c r="Z751" s="136"/>
      <c r="AA751" s="141" t="s">
        <v>343</v>
      </c>
      <c r="AB751" s="248" t="s">
        <v>9</v>
      </c>
      <c r="AD751" s="136"/>
      <c r="AE751" s="141" t="s">
        <v>343</v>
      </c>
      <c r="AF751" s="248" t="s">
        <v>9</v>
      </c>
      <c r="AH751" s="136"/>
      <c r="AI751" s="141" t="s">
        <v>343</v>
      </c>
      <c r="AJ751" s="248" t="s">
        <v>9</v>
      </c>
      <c r="AL751" s="136"/>
      <c r="AM751" s="141" t="s">
        <v>343</v>
      </c>
      <c r="AN751" s="248" t="s">
        <v>9</v>
      </c>
      <c r="AP751" s="136"/>
      <c r="AQ751" s="141" t="s">
        <v>343</v>
      </c>
      <c r="AR751" s="248" t="s">
        <v>9</v>
      </c>
      <c r="AT751" s="136"/>
      <c r="AU751" s="141" t="s">
        <v>343</v>
      </c>
      <c r="AV751" s="248" t="s">
        <v>9</v>
      </c>
      <c r="AX751" s="136"/>
      <c r="AY751" s="141" t="s">
        <v>343</v>
      </c>
      <c r="AZ751" s="241" t="s">
        <v>86</v>
      </c>
      <c r="BB751" s="136"/>
      <c r="BC751" s="141" t="s">
        <v>343</v>
      </c>
      <c r="BD751" s="248" t="s">
        <v>9</v>
      </c>
      <c r="BF751" s="136"/>
      <c r="BG751" s="141" t="s">
        <v>343</v>
      </c>
      <c r="BH751" s="248" t="s">
        <v>9</v>
      </c>
      <c r="BJ751" s="136"/>
      <c r="BK751" s="141" t="s">
        <v>343</v>
      </c>
      <c r="BL751" s="248" t="s">
        <v>9</v>
      </c>
      <c r="BN751" s="136"/>
      <c r="BO751" s="141" t="s">
        <v>343</v>
      </c>
      <c r="BP751" s="248" t="s">
        <v>9</v>
      </c>
      <c r="BR751" s="136"/>
      <c r="BS751" s="141" t="s">
        <v>343</v>
      </c>
      <c r="BT751" s="248" t="s">
        <v>9</v>
      </c>
    </row>
    <row r="752" spans="1:72" s="174" customFormat="1" x14ac:dyDescent="0.15">
      <c r="A752" s="182"/>
      <c r="B752" s="168" t="s">
        <v>402</v>
      </c>
      <c r="C752" s="140"/>
      <c r="D752" s="170"/>
      <c r="E752" s="130"/>
      <c r="F752" s="136"/>
      <c r="G752" s="141" t="s">
        <v>344</v>
      </c>
      <c r="H752" s="179"/>
      <c r="J752" s="136"/>
      <c r="K752" s="141" t="s">
        <v>344</v>
      </c>
      <c r="L752" s="248" t="s">
        <v>9</v>
      </c>
      <c r="N752" s="136"/>
      <c r="O752" s="141" t="s">
        <v>344</v>
      </c>
      <c r="P752" s="248" t="s">
        <v>9</v>
      </c>
      <c r="R752" s="136"/>
      <c r="S752" s="141" t="s">
        <v>344</v>
      </c>
      <c r="T752" s="248" t="s">
        <v>9</v>
      </c>
      <c r="V752" s="136"/>
      <c r="W752" s="141" t="s">
        <v>344</v>
      </c>
      <c r="X752" s="241" t="s">
        <v>1184</v>
      </c>
      <c r="Z752" s="136"/>
      <c r="AA752" s="141" t="s">
        <v>344</v>
      </c>
      <c r="AB752" s="248" t="s">
        <v>9</v>
      </c>
      <c r="AD752" s="136"/>
      <c r="AE752" s="141" t="s">
        <v>344</v>
      </c>
      <c r="AF752" s="248" t="s">
        <v>9</v>
      </c>
      <c r="AH752" s="136"/>
      <c r="AI752" s="141" t="s">
        <v>344</v>
      </c>
      <c r="AJ752" s="248" t="s">
        <v>9</v>
      </c>
      <c r="AL752" s="136"/>
      <c r="AM752" s="141" t="s">
        <v>344</v>
      </c>
      <c r="AN752" s="248" t="s">
        <v>9</v>
      </c>
      <c r="AP752" s="136"/>
      <c r="AQ752" s="141" t="s">
        <v>344</v>
      </c>
      <c r="AR752" s="248" t="s">
        <v>9</v>
      </c>
      <c r="AT752" s="136"/>
      <c r="AU752" s="141" t="s">
        <v>344</v>
      </c>
      <c r="AV752" s="248" t="s">
        <v>9</v>
      </c>
      <c r="AX752" s="136"/>
      <c r="AY752" s="141" t="s">
        <v>344</v>
      </c>
      <c r="AZ752" s="241" t="s">
        <v>1184</v>
      </c>
      <c r="BB752" s="136"/>
      <c r="BC752" s="141" t="s">
        <v>344</v>
      </c>
      <c r="BD752" s="248" t="s">
        <v>9</v>
      </c>
      <c r="BF752" s="136"/>
      <c r="BG752" s="141" t="s">
        <v>344</v>
      </c>
      <c r="BH752" s="248" t="s">
        <v>9</v>
      </c>
      <c r="BJ752" s="136"/>
      <c r="BK752" s="141" t="s">
        <v>344</v>
      </c>
      <c r="BL752" s="248" t="s">
        <v>9</v>
      </c>
      <c r="BN752" s="136"/>
      <c r="BO752" s="141" t="s">
        <v>344</v>
      </c>
      <c r="BP752" s="248" t="s">
        <v>9</v>
      </c>
      <c r="BR752" s="136"/>
      <c r="BS752" s="141" t="s">
        <v>344</v>
      </c>
      <c r="BT752" s="248" t="s">
        <v>9</v>
      </c>
    </row>
    <row r="753" spans="1:72" s="174" customFormat="1" x14ac:dyDescent="0.15">
      <c r="A753" s="182"/>
      <c r="B753" s="168" t="s">
        <v>85</v>
      </c>
      <c r="C753" s="140"/>
      <c r="D753" s="170"/>
      <c r="E753" s="130"/>
      <c r="F753" s="136"/>
      <c r="G753" s="141" t="s">
        <v>345</v>
      </c>
      <c r="H753" s="179"/>
      <c r="J753" s="136"/>
      <c r="K753" s="141" t="s">
        <v>345</v>
      </c>
      <c r="L753" s="248" t="s">
        <v>9</v>
      </c>
      <c r="N753" s="136"/>
      <c r="O753" s="141" t="s">
        <v>345</v>
      </c>
      <c r="P753" s="248" t="s">
        <v>9</v>
      </c>
      <c r="R753" s="136"/>
      <c r="S753" s="141" t="s">
        <v>345</v>
      </c>
      <c r="T753" s="248" t="s">
        <v>9</v>
      </c>
      <c r="V753" s="136"/>
      <c r="W753" s="141" t="s">
        <v>345</v>
      </c>
      <c r="X753" s="241" t="s">
        <v>86</v>
      </c>
      <c r="Z753" s="136"/>
      <c r="AA753" s="141" t="s">
        <v>345</v>
      </c>
      <c r="AB753" s="248" t="s">
        <v>9</v>
      </c>
      <c r="AD753" s="136"/>
      <c r="AE753" s="141" t="s">
        <v>345</v>
      </c>
      <c r="AF753" s="248" t="s">
        <v>9</v>
      </c>
      <c r="AH753" s="136"/>
      <c r="AI753" s="141" t="s">
        <v>345</v>
      </c>
      <c r="AJ753" s="248" t="s">
        <v>9</v>
      </c>
      <c r="AL753" s="136"/>
      <c r="AM753" s="141" t="s">
        <v>345</v>
      </c>
      <c r="AN753" s="248" t="s">
        <v>9</v>
      </c>
      <c r="AP753" s="136"/>
      <c r="AQ753" s="141" t="s">
        <v>345</v>
      </c>
      <c r="AR753" s="248" t="s">
        <v>9</v>
      </c>
      <c r="AT753" s="136"/>
      <c r="AU753" s="141" t="s">
        <v>345</v>
      </c>
      <c r="AV753" s="248" t="s">
        <v>9</v>
      </c>
      <c r="AX753" s="136"/>
      <c r="AY753" s="141" t="s">
        <v>345</v>
      </c>
      <c r="AZ753" s="241" t="s">
        <v>86</v>
      </c>
      <c r="BB753" s="136"/>
      <c r="BC753" s="141" t="s">
        <v>345</v>
      </c>
      <c r="BD753" s="248" t="s">
        <v>9</v>
      </c>
      <c r="BF753" s="136"/>
      <c r="BG753" s="141" t="s">
        <v>345</v>
      </c>
      <c r="BH753" s="248" t="s">
        <v>9</v>
      </c>
      <c r="BJ753" s="136"/>
      <c r="BK753" s="141" t="s">
        <v>345</v>
      </c>
      <c r="BL753" s="248" t="s">
        <v>9</v>
      </c>
      <c r="BN753" s="136"/>
      <c r="BO753" s="141" t="s">
        <v>345</v>
      </c>
      <c r="BP753" s="248" t="s">
        <v>9</v>
      </c>
      <c r="BR753" s="136"/>
      <c r="BS753" s="141" t="s">
        <v>345</v>
      </c>
      <c r="BT753" s="248" t="s">
        <v>9</v>
      </c>
    </row>
    <row r="754" spans="1:72" s="174" customFormat="1" x14ac:dyDescent="0.15">
      <c r="A754" s="182"/>
      <c r="B754" s="168" t="s">
        <v>1077</v>
      </c>
      <c r="C754" s="140"/>
      <c r="D754" s="170"/>
      <c r="E754" s="130"/>
      <c r="F754" s="136"/>
      <c r="G754" s="141" t="s">
        <v>346</v>
      </c>
      <c r="H754" s="179"/>
      <c r="J754" s="136"/>
      <c r="K754" s="141" t="s">
        <v>346</v>
      </c>
      <c r="L754" s="248" t="s">
        <v>9</v>
      </c>
      <c r="N754" s="136"/>
      <c r="O754" s="141" t="s">
        <v>346</v>
      </c>
      <c r="P754" s="248" t="s">
        <v>9</v>
      </c>
      <c r="R754" s="136"/>
      <c r="S754" s="141" t="s">
        <v>346</v>
      </c>
      <c r="T754" s="248" t="s">
        <v>9</v>
      </c>
      <c r="V754" s="136"/>
      <c r="W754" s="141" t="s">
        <v>346</v>
      </c>
      <c r="X754" s="241" t="s">
        <v>1179</v>
      </c>
      <c r="Z754" s="136"/>
      <c r="AA754" s="141" t="s">
        <v>346</v>
      </c>
      <c r="AB754" s="248" t="s">
        <v>9</v>
      </c>
      <c r="AD754" s="136"/>
      <c r="AE754" s="141" t="s">
        <v>346</v>
      </c>
      <c r="AF754" s="248" t="s">
        <v>9</v>
      </c>
      <c r="AH754" s="136"/>
      <c r="AI754" s="141" t="s">
        <v>346</v>
      </c>
      <c r="AJ754" s="248" t="s">
        <v>9</v>
      </c>
      <c r="AL754" s="136"/>
      <c r="AM754" s="141" t="s">
        <v>346</v>
      </c>
      <c r="AN754" s="248" t="s">
        <v>9</v>
      </c>
      <c r="AP754" s="136"/>
      <c r="AQ754" s="141" t="s">
        <v>346</v>
      </c>
      <c r="AR754" s="248" t="s">
        <v>9</v>
      </c>
      <c r="AT754" s="136"/>
      <c r="AU754" s="141" t="s">
        <v>346</v>
      </c>
      <c r="AV754" s="248" t="s">
        <v>9</v>
      </c>
      <c r="AX754" s="136"/>
      <c r="AY754" s="141" t="s">
        <v>346</v>
      </c>
      <c r="AZ754" s="241" t="s">
        <v>1179</v>
      </c>
      <c r="BB754" s="136"/>
      <c r="BC754" s="141" t="s">
        <v>346</v>
      </c>
      <c r="BD754" s="248" t="s">
        <v>9</v>
      </c>
      <c r="BF754" s="136"/>
      <c r="BG754" s="141" t="s">
        <v>346</v>
      </c>
      <c r="BH754" s="248" t="s">
        <v>9</v>
      </c>
      <c r="BJ754" s="136"/>
      <c r="BK754" s="141" t="s">
        <v>346</v>
      </c>
      <c r="BL754" s="248" t="s">
        <v>9</v>
      </c>
      <c r="BN754" s="136"/>
      <c r="BO754" s="141" t="s">
        <v>346</v>
      </c>
      <c r="BP754" s="248" t="s">
        <v>9</v>
      </c>
      <c r="BR754" s="136"/>
      <c r="BS754" s="141" t="s">
        <v>346</v>
      </c>
      <c r="BT754" s="248" t="s">
        <v>9</v>
      </c>
    </row>
    <row r="755" spans="1:72" s="174" customFormat="1" x14ac:dyDescent="0.15">
      <c r="A755" s="182"/>
      <c r="B755" s="168" t="s">
        <v>408</v>
      </c>
      <c r="C755" s="140"/>
      <c r="D755" s="170"/>
      <c r="E755" s="130"/>
      <c r="F755" s="136"/>
      <c r="G755" s="141" t="s">
        <v>347</v>
      </c>
      <c r="H755" s="179"/>
      <c r="J755" s="136"/>
      <c r="K755" s="141" t="s">
        <v>347</v>
      </c>
      <c r="L755" s="248" t="s">
        <v>9</v>
      </c>
      <c r="N755" s="136"/>
      <c r="O755" s="141" t="s">
        <v>347</v>
      </c>
      <c r="P755" s="248" t="s">
        <v>9</v>
      </c>
      <c r="R755" s="136"/>
      <c r="S755" s="141" t="s">
        <v>347</v>
      </c>
      <c r="T755" s="248" t="s">
        <v>9</v>
      </c>
      <c r="V755" s="136"/>
      <c r="W755" s="141" t="s">
        <v>347</v>
      </c>
      <c r="X755" s="241" t="s">
        <v>1170</v>
      </c>
      <c r="Z755" s="136"/>
      <c r="AA755" s="141" t="s">
        <v>347</v>
      </c>
      <c r="AB755" s="248" t="s">
        <v>9</v>
      </c>
      <c r="AD755" s="136"/>
      <c r="AE755" s="141" t="s">
        <v>347</v>
      </c>
      <c r="AF755" s="248" t="s">
        <v>9</v>
      </c>
      <c r="AH755" s="136"/>
      <c r="AI755" s="141" t="s">
        <v>347</v>
      </c>
      <c r="AJ755" s="248" t="s">
        <v>9</v>
      </c>
      <c r="AL755" s="136"/>
      <c r="AM755" s="141" t="s">
        <v>347</v>
      </c>
      <c r="AN755" s="248" t="s">
        <v>9</v>
      </c>
      <c r="AP755" s="136"/>
      <c r="AQ755" s="141" t="s">
        <v>347</v>
      </c>
      <c r="AR755" s="248" t="s">
        <v>9</v>
      </c>
      <c r="AT755" s="136"/>
      <c r="AU755" s="141" t="s">
        <v>347</v>
      </c>
      <c r="AV755" s="248" t="s">
        <v>9</v>
      </c>
      <c r="AX755" s="136"/>
      <c r="AY755" s="141" t="s">
        <v>347</v>
      </c>
      <c r="AZ755" s="241" t="s">
        <v>1170</v>
      </c>
      <c r="BB755" s="136"/>
      <c r="BC755" s="141" t="s">
        <v>347</v>
      </c>
      <c r="BD755" s="248" t="s">
        <v>9</v>
      </c>
      <c r="BF755" s="136"/>
      <c r="BG755" s="141" t="s">
        <v>347</v>
      </c>
      <c r="BH755" s="248" t="s">
        <v>9</v>
      </c>
      <c r="BJ755" s="136"/>
      <c r="BK755" s="141" t="s">
        <v>347</v>
      </c>
      <c r="BL755" s="248" t="s">
        <v>9</v>
      </c>
      <c r="BN755" s="136"/>
      <c r="BO755" s="141" t="s">
        <v>347</v>
      </c>
      <c r="BP755" s="248" t="s">
        <v>9</v>
      </c>
      <c r="BR755" s="136"/>
      <c r="BS755" s="141" t="s">
        <v>347</v>
      </c>
      <c r="BT755" s="248" t="s">
        <v>9</v>
      </c>
    </row>
    <row r="756" spans="1:72" s="174" customFormat="1" x14ac:dyDescent="0.15">
      <c r="A756" s="182"/>
      <c r="B756" s="168" t="s">
        <v>419</v>
      </c>
      <c r="C756" s="140"/>
      <c r="D756" s="170"/>
      <c r="E756" s="130"/>
      <c r="F756" s="136"/>
      <c r="G756" s="141" t="s">
        <v>348</v>
      </c>
      <c r="H756" s="179"/>
      <c r="J756" s="136"/>
      <c r="K756" s="141" t="s">
        <v>348</v>
      </c>
      <c r="L756" s="248" t="s">
        <v>9</v>
      </c>
      <c r="N756" s="136"/>
      <c r="O756" s="141" t="s">
        <v>348</v>
      </c>
      <c r="P756" s="248" t="s">
        <v>9</v>
      </c>
      <c r="R756" s="136"/>
      <c r="S756" s="141" t="s">
        <v>348</v>
      </c>
      <c r="T756" s="248" t="s">
        <v>9</v>
      </c>
      <c r="V756" s="136"/>
      <c r="W756" s="141" t="s">
        <v>348</v>
      </c>
      <c r="X756" s="241" t="s">
        <v>436</v>
      </c>
      <c r="Z756" s="136"/>
      <c r="AA756" s="141" t="s">
        <v>348</v>
      </c>
      <c r="AB756" s="248" t="s">
        <v>9</v>
      </c>
      <c r="AD756" s="136"/>
      <c r="AE756" s="141" t="s">
        <v>348</v>
      </c>
      <c r="AF756" s="248" t="s">
        <v>9</v>
      </c>
      <c r="AH756" s="136"/>
      <c r="AI756" s="141" t="s">
        <v>348</v>
      </c>
      <c r="AJ756" s="248" t="s">
        <v>9</v>
      </c>
      <c r="AL756" s="136"/>
      <c r="AM756" s="141" t="s">
        <v>348</v>
      </c>
      <c r="AN756" s="248" t="s">
        <v>9</v>
      </c>
      <c r="AP756" s="136"/>
      <c r="AQ756" s="141" t="s">
        <v>348</v>
      </c>
      <c r="AR756" s="248" t="s">
        <v>9</v>
      </c>
      <c r="AT756" s="136"/>
      <c r="AU756" s="141" t="s">
        <v>348</v>
      </c>
      <c r="AV756" s="248" t="s">
        <v>9</v>
      </c>
      <c r="AX756" s="136"/>
      <c r="AY756" s="141" t="s">
        <v>348</v>
      </c>
      <c r="AZ756" s="241" t="s">
        <v>436</v>
      </c>
      <c r="BB756" s="136"/>
      <c r="BC756" s="141" t="s">
        <v>348</v>
      </c>
      <c r="BD756" s="248" t="s">
        <v>9</v>
      </c>
      <c r="BF756" s="136"/>
      <c r="BG756" s="141" t="s">
        <v>348</v>
      </c>
      <c r="BH756" s="248" t="s">
        <v>9</v>
      </c>
      <c r="BJ756" s="136"/>
      <c r="BK756" s="141" t="s">
        <v>348</v>
      </c>
      <c r="BL756" s="248" t="s">
        <v>9</v>
      </c>
      <c r="BN756" s="136"/>
      <c r="BO756" s="141" t="s">
        <v>348</v>
      </c>
      <c r="BP756" s="248" t="s">
        <v>9</v>
      </c>
      <c r="BR756" s="136"/>
      <c r="BS756" s="141" t="s">
        <v>348</v>
      </c>
      <c r="BT756" s="248" t="s">
        <v>9</v>
      </c>
    </row>
    <row r="757" spans="1:72" s="174" customFormat="1" x14ac:dyDescent="0.15">
      <c r="A757" s="182"/>
      <c r="B757" s="168" t="s">
        <v>291</v>
      </c>
      <c r="C757" s="140"/>
      <c r="D757" s="170"/>
      <c r="E757" s="130"/>
      <c r="F757" s="136"/>
      <c r="G757" s="141" t="s">
        <v>349</v>
      </c>
      <c r="H757" s="179"/>
      <c r="J757" s="136"/>
      <c r="K757" s="141" t="s">
        <v>349</v>
      </c>
      <c r="L757" s="248" t="s">
        <v>9</v>
      </c>
      <c r="N757" s="136"/>
      <c r="O757" s="141" t="s">
        <v>349</v>
      </c>
      <c r="P757" s="248" t="s">
        <v>9</v>
      </c>
      <c r="R757" s="136"/>
      <c r="S757" s="141" t="s">
        <v>349</v>
      </c>
      <c r="T757" s="248" t="s">
        <v>9</v>
      </c>
      <c r="V757" s="136"/>
      <c r="W757" s="141" t="s">
        <v>349</v>
      </c>
      <c r="X757" s="241" t="s">
        <v>441</v>
      </c>
      <c r="Z757" s="136"/>
      <c r="AA757" s="141" t="s">
        <v>349</v>
      </c>
      <c r="AB757" s="248" t="s">
        <v>9</v>
      </c>
      <c r="AD757" s="136"/>
      <c r="AE757" s="141" t="s">
        <v>349</v>
      </c>
      <c r="AF757" s="248" t="s">
        <v>9</v>
      </c>
      <c r="AH757" s="136"/>
      <c r="AI757" s="141" t="s">
        <v>349</v>
      </c>
      <c r="AJ757" s="248" t="s">
        <v>9</v>
      </c>
      <c r="AL757" s="136"/>
      <c r="AM757" s="141" t="s">
        <v>349</v>
      </c>
      <c r="AN757" s="248" t="s">
        <v>9</v>
      </c>
      <c r="AP757" s="136"/>
      <c r="AQ757" s="141" t="s">
        <v>349</v>
      </c>
      <c r="AR757" s="248" t="s">
        <v>9</v>
      </c>
      <c r="AT757" s="136"/>
      <c r="AU757" s="141" t="s">
        <v>349</v>
      </c>
      <c r="AV757" s="248" t="s">
        <v>9</v>
      </c>
      <c r="AX757" s="136"/>
      <c r="AY757" s="141" t="s">
        <v>349</v>
      </c>
      <c r="AZ757" s="241" t="s">
        <v>441</v>
      </c>
      <c r="BB757" s="136"/>
      <c r="BC757" s="141" t="s">
        <v>349</v>
      </c>
      <c r="BD757" s="248" t="s">
        <v>9</v>
      </c>
      <c r="BF757" s="136"/>
      <c r="BG757" s="141" t="s">
        <v>349</v>
      </c>
      <c r="BH757" s="248" t="s">
        <v>9</v>
      </c>
      <c r="BJ757" s="136"/>
      <c r="BK757" s="141" t="s">
        <v>349</v>
      </c>
      <c r="BL757" s="248" t="s">
        <v>9</v>
      </c>
      <c r="BN757" s="136"/>
      <c r="BO757" s="141" t="s">
        <v>349</v>
      </c>
      <c r="BP757" s="248" t="s">
        <v>9</v>
      </c>
      <c r="BR757" s="136"/>
      <c r="BS757" s="141" t="s">
        <v>349</v>
      </c>
      <c r="BT757" s="248" t="s">
        <v>9</v>
      </c>
    </row>
    <row r="758" spans="1:72" s="174" customFormat="1" x14ac:dyDescent="0.15">
      <c r="A758" s="182"/>
      <c r="B758" s="168" t="s">
        <v>257</v>
      </c>
      <c r="C758" s="140"/>
      <c r="D758" s="170"/>
      <c r="E758" s="130"/>
      <c r="F758" s="136"/>
      <c r="G758" s="141" t="s">
        <v>350</v>
      </c>
      <c r="H758" s="179"/>
      <c r="J758" s="136"/>
      <c r="K758" s="141" t="s">
        <v>350</v>
      </c>
      <c r="L758" s="248" t="s">
        <v>9</v>
      </c>
      <c r="N758" s="136"/>
      <c r="O758" s="141" t="s">
        <v>350</v>
      </c>
      <c r="P758" s="248" t="s">
        <v>9</v>
      </c>
      <c r="R758" s="136"/>
      <c r="S758" s="141" t="s">
        <v>350</v>
      </c>
      <c r="T758" s="248" t="s">
        <v>9</v>
      </c>
      <c r="V758" s="136"/>
      <c r="W758" s="141" t="s">
        <v>350</v>
      </c>
      <c r="X758" s="241" t="s">
        <v>1185</v>
      </c>
      <c r="Z758" s="136"/>
      <c r="AA758" s="141" t="s">
        <v>350</v>
      </c>
      <c r="AB758" s="248" t="s">
        <v>9</v>
      </c>
      <c r="AD758" s="136"/>
      <c r="AE758" s="141" t="s">
        <v>350</v>
      </c>
      <c r="AF758" s="248" t="s">
        <v>9</v>
      </c>
      <c r="AH758" s="136"/>
      <c r="AI758" s="141" t="s">
        <v>350</v>
      </c>
      <c r="AJ758" s="248" t="s">
        <v>9</v>
      </c>
      <c r="AL758" s="136"/>
      <c r="AM758" s="141" t="s">
        <v>350</v>
      </c>
      <c r="AN758" s="248" t="s">
        <v>9</v>
      </c>
      <c r="AP758" s="136"/>
      <c r="AQ758" s="141" t="s">
        <v>350</v>
      </c>
      <c r="AR758" s="248" t="s">
        <v>9</v>
      </c>
      <c r="AT758" s="136"/>
      <c r="AU758" s="141" t="s">
        <v>350</v>
      </c>
      <c r="AV758" s="248" t="s">
        <v>9</v>
      </c>
      <c r="AX758" s="136"/>
      <c r="AY758" s="141" t="s">
        <v>350</v>
      </c>
      <c r="AZ758" s="241" t="s">
        <v>1185</v>
      </c>
      <c r="BB758" s="136"/>
      <c r="BC758" s="141" t="s">
        <v>350</v>
      </c>
      <c r="BD758" s="248" t="s">
        <v>9</v>
      </c>
      <c r="BF758" s="136"/>
      <c r="BG758" s="141" t="s">
        <v>350</v>
      </c>
      <c r="BH758" s="248" t="s">
        <v>9</v>
      </c>
      <c r="BJ758" s="136"/>
      <c r="BK758" s="141" t="s">
        <v>350</v>
      </c>
      <c r="BL758" s="248" t="s">
        <v>9</v>
      </c>
      <c r="BN758" s="136"/>
      <c r="BO758" s="141" t="s">
        <v>350</v>
      </c>
      <c r="BP758" s="248" t="s">
        <v>9</v>
      </c>
      <c r="BR758" s="136"/>
      <c r="BS758" s="141" t="s">
        <v>350</v>
      </c>
      <c r="BT758" s="248" t="s">
        <v>9</v>
      </c>
    </row>
    <row r="759" spans="1:72" s="174" customFormat="1" x14ac:dyDescent="0.15">
      <c r="A759" s="182"/>
      <c r="B759" s="168" t="s">
        <v>407</v>
      </c>
      <c r="C759" s="140"/>
      <c r="D759" s="170"/>
      <c r="E759" s="130"/>
      <c r="F759" s="136"/>
      <c r="G759" s="141" t="s">
        <v>351</v>
      </c>
      <c r="H759" s="179"/>
      <c r="J759" s="136"/>
      <c r="K759" s="141" t="s">
        <v>351</v>
      </c>
      <c r="L759" s="248" t="s">
        <v>9</v>
      </c>
      <c r="N759" s="136"/>
      <c r="O759" s="141" t="s">
        <v>351</v>
      </c>
      <c r="P759" s="248" t="s">
        <v>9</v>
      </c>
      <c r="R759" s="136"/>
      <c r="S759" s="141" t="s">
        <v>351</v>
      </c>
      <c r="T759" s="248" t="s">
        <v>9</v>
      </c>
      <c r="V759" s="136"/>
      <c r="W759" s="141" t="s">
        <v>351</v>
      </c>
      <c r="X759" s="241" t="s">
        <v>1081</v>
      </c>
      <c r="Z759" s="136"/>
      <c r="AA759" s="141" t="s">
        <v>351</v>
      </c>
      <c r="AB759" s="248" t="s">
        <v>9</v>
      </c>
      <c r="AD759" s="136"/>
      <c r="AE759" s="141" t="s">
        <v>351</v>
      </c>
      <c r="AF759" s="248" t="s">
        <v>9</v>
      </c>
      <c r="AH759" s="136"/>
      <c r="AI759" s="141" t="s">
        <v>351</v>
      </c>
      <c r="AJ759" s="248" t="s">
        <v>9</v>
      </c>
      <c r="AL759" s="136"/>
      <c r="AM759" s="141" t="s">
        <v>351</v>
      </c>
      <c r="AN759" s="248" t="s">
        <v>9</v>
      </c>
      <c r="AP759" s="136"/>
      <c r="AQ759" s="141" t="s">
        <v>351</v>
      </c>
      <c r="AR759" s="248" t="s">
        <v>9</v>
      </c>
      <c r="AT759" s="136"/>
      <c r="AU759" s="141" t="s">
        <v>351</v>
      </c>
      <c r="AV759" s="248" t="s">
        <v>9</v>
      </c>
      <c r="AX759" s="136"/>
      <c r="AY759" s="141" t="s">
        <v>351</v>
      </c>
      <c r="AZ759" s="241" t="s">
        <v>1081</v>
      </c>
      <c r="BB759" s="136"/>
      <c r="BC759" s="141" t="s">
        <v>351</v>
      </c>
      <c r="BD759" s="248" t="s">
        <v>9</v>
      </c>
      <c r="BF759" s="136"/>
      <c r="BG759" s="141" t="s">
        <v>351</v>
      </c>
      <c r="BH759" s="248" t="s">
        <v>9</v>
      </c>
      <c r="BJ759" s="136"/>
      <c r="BK759" s="141" t="s">
        <v>351</v>
      </c>
      <c r="BL759" s="248" t="s">
        <v>9</v>
      </c>
      <c r="BN759" s="136"/>
      <c r="BO759" s="141" t="s">
        <v>351</v>
      </c>
      <c r="BP759" s="248" t="s">
        <v>9</v>
      </c>
      <c r="BR759" s="136"/>
      <c r="BS759" s="141" t="s">
        <v>351</v>
      </c>
      <c r="BT759" s="248" t="s">
        <v>9</v>
      </c>
    </row>
    <row r="760" spans="1:72" s="174" customFormat="1" x14ac:dyDescent="0.15">
      <c r="A760" s="182"/>
      <c r="B760" s="168" t="s">
        <v>407</v>
      </c>
      <c r="C760" s="140"/>
      <c r="D760" s="170"/>
      <c r="E760" s="130"/>
      <c r="F760" s="136"/>
      <c r="G760" s="141" t="s">
        <v>352</v>
      </c>
      <c r="H760" s="179"/>
      <c r="J760" s="136"/>
      <c r="K760" s="141" t="s">
        <v>352</v>
      </c>
      <c r="L760" s="248" t="s">
        <v>9</v>
      </c>
      <c r="N760" s="136"/>
      <c r="O760" s="141" t="s">
        <v>352</v>
      </c>
      <c r="P760" s="248" t="s">
        <v>9</v>
      </c>
      <c r="R760" s="136"/>
      <c r="S760" s="141" t="s">
        <v>352</v>
      </c>
      <c r="T760" s="248" t="s">
        <v>9</v>
      </c>
      <c r="V760" s="136"/>
      <c r="W760" s="141" t="s">
        <v>352</v>
      </c>
      <c r="X760" s="241" t="s">
        <v>1081</v>
      </c>
      <c r="Z760" s="136"/>
      <c r="AA760" s="141" t="s">
        <v>352</v>
      </c>
      <c r="AB760" s="248" t="s">
        <v>9</v>
      </c>
      <c r="AD760" s="136"/>
      <c r="AE760" s="141" t="s">
        <v>352</v>
      </c>
      <c r="AF760" s="248" t="s">
        <v>9</v>
      </c>
      <c r="AH760" s="136"/>
      <c r="AI760" s="141" t="s">
        <v>352</v>
      </c>
      <c r="AJ760" s="248" t="s">
        <v>9</v>
      </c>
      <c r="AL760" s="136"/>
      <c r="AM760" s="141" t="s">
        <v>352</v>
      </c>
      <c r="AN760" s="248" t="s">
        <v>9</v>
      </c>
      <c r="AP760" s="136"/>
      <c r="AQ760" s="141" t="s">
        <v>352</v>
      </c>
      <c r="AR760" s="248" t="s">
        <v>9</v>
      </c>
      <c r="AT760" s="136"/>
      <c r="AU760" s="141" t="s">
        <v>352</v>
      </c>
      <c r="AV760" s="248" t="s">
        <v>9</v>
      </c>
      <c r="AX760" s="136"/>
      <c r="AY760" s="141" t="s">
        <v>352</v>
      </c>
      <c r="AZ760" s="241" t="s">
        <v>1081</v>
      </c>
      <c r="BB760" s="136"/>
      <c r="BC760" s="141" t="s">
        <v>352</v>
      </c>
      <c r="BD760" s="248" t="s">
        <v>9</v>
      </c>
      <c r="BF760" s="136"/>
      <c r="BG760" s="141" t="s">
        <v>352</v>
      </c>
      <c r="BH760" s="248" t="s">
        <v>9</v>
      </c>
      <c r="BJ760" s="136"/>
      <c r="BK760" s="141" t="s">
        <v>352</v>
      </c>
      <c r="BL760" s="248" t="s">
        <v>9</v>
      </c>
      <c r="BN760" s="136"/>
      <c r="BO760" s="141" t="s">
        <v>352</v>
      </c>
      <c r="BP760" s="248" t="s">
        <v>9</v>
      </c>
      <c r="BR760" s="136"/>
      <c r="BS760" s="141" t="s">
        <v>352</v>
      </c>
      <c r="BT760" s="248" t="s">
        <v>9</v>
      </c>
    </row>
    <row r="761" spans="1:72" ht="12.75" customHeight="1" x14ac:dyDescent="0.15">
      <c r="A761" s="175"/>
      <c r="B761" s="176"/>
      <c r="C761" s="176"/>
      <c r="D761" s="190"/>
      <c r="E761" s="191"/>
      <c r="F761" s="192"/>
      <c r="G761" s="193"/>
      <c r="H761" s="194"/>
      <c r="I761" s="195"/>
      <c r="J761" s="192"/>
      <c r="K761" s="193"/>
      <c r="L761" s="243"/>
      <c r="M761" s="174"/>
      <c r="N761" s="192"/>
      <c r="O761" s="193"/>
      <c r="P761" s="243"/>
      <c r="R761" s="192"/>
      <c r="S761" s="193"/>
      <c r="T761" s="243"/>
      <c r="V761" s="192"/>
      <c r="W761" s="193"/>
      <c r="X761" s="243"/>
      <c r="Z761" s="192"/>
      <c r="AA761" s="193"/>
      <c r="AB761" s="243"/>
      <c r="AD761" s="192"/>
      <c r="AE761" s="193"/>
      <c r="AF761" s="243"/>
      <c r="AH761" s="192"/>
      <c r="AI761" s="193"/>
      <c r="AJ761" s="243"/>
      <c r="AL761" s="192"/>
      <c r="AM761" s="193"/>
      <c r="AN761" s="243"/>
      <c r="AP761" s="192"/>
      <c r="AQ761" s="193"/>
      <c r="AR761" s="243"/>
      <c r="AT761" s="192"/>
      <c r="AU761" s="193"/>
      <c r="AV761" s="243"/>
      <c r="AX761" s="192"/>
      <c r="AY761" s="193"/>
      <c r="AZ761" s="243"/>
      <c r="BB761" s="192"/>
      <c r="BC761" s="193"/>
      <c r="BD761" s="243"/>
      <c r="BF761" s="192"/>
      <c r="BG761" s="193"/>
      <c r="BH761" s="243"/>
      <c r="BJ761" s="192"/>
      <c r="BK761" s="193"/>
      <c r="BL761" s="243"/>
      <c r="BN761" s="192"/>
      <c r="BO761" s="193"/>
      <c r="BP761" s="243"/>
      <c r="BR761" s="192"/>
      <c r="BS761" s="193"/>
      <c r="BT761" s="243"/>
    </row>
    <row r="762" spans="1:72" x14ac:dyDescent="0.15">
      <c r="A762" s="175"/>
      <c r="B762" s="176"/>
      <c r="C762" s="176"/>
      <c r="E762" s="130"/>
      <c r="F762" s="180"/>
      <c r="G762" s="141"/>
      <c r="H762" s="196"/>
      <c r="I762" s="164"/>
      <c r="J762" s="180"/>
      <c r="K762" s="141"/>
      <c r="L762" s="244"/>
      <c r="M762" s="174"/>
      <c r="N762" s="180"/>
      <c r="O762" s="141"/>
      <c r="P762" s="244"/>
      <c r="R762" s="180"/>
      <c r="S762" s="141"/>
      <c r="T762" s="244"/>
      <c r="V762" s="180"/>
      <c r="W762" s="141"/>
      <c r="X762" s="244"/>
      <c r="Z762" s="180"/>
      <c r="AA762" s="141"/>
      <c r="AB762" s="244"/>
      <c r="AD762" s="180"/>
      <c r="AE762" s="141"/>
      <c r="AF762" s="244"/>
      <c r="AH762" s="180"/>
      <c r="AI762" s="141"/>
      <c r="AJ762" s="244"/>
      <c r="AL762" s="180"/>
      <c r="AM762" s="141"/>
      <c r="AN762" s="244"/>
      <c r="AP762" s="180"/>
      <c r="AQ762" s="141"/>
      <c r="AR762" s="244"/>
      <c r="AT762" s="180"/>
      <c r="AU762" s="141"/>
      <c r="AV762" s="244"/>
      <c r="AX762" s="180"/>
      <c r="AY762" s="141"/>
      <c r="AZ762" s="244"/>
      <c r="BB762" s="180"/>
      <c r="BC762" s="141"/>
      <c r="BD762" s="244"/>
      <c r="BF762" s="180"/>
      <c r="BG762" s="141"/>
      <c r="BH762" s="244"/>
      <c r="BJ762" s="180"/>
      <c r="BK762" s="141"/>
      <c r="BL762" s="244"/>
      <c r="BN762" s="180"/>
      <c r="BO762" s="141"/>
      <c r="BP762" s="244"/>
      <c r="BR762" s="180"/>
      <c r="BS762" s="141"/>
      <c r="BT762" s="244"/>
    </row>
    <row r="763" spans="1:72" x14ac:dyDescent="0.15">
      <c r="A763" s="175"/>
      <c r="B763" s="176"/>
      <c r="C763" s="176"/>
      <c r="E763" s="128"/>
      <c r="F763" s="131" t="s">
        <v>1028</v>
      </c>
      <c r="G763" s="185"/>
      <c r="H763" s="186"/>
      <c r="I763" s="164"/>
      <c r="J763" s="131" t="s">
        <v>1028</v>
      </c>
      <c r="K763" s="185"/>
      <c r="L763" s="242"/>
      <c r="M763" s="174"/>
      <c r="N763" s="131" t="s">
        <v>1028</v>
      </c>
      <c r="O763" s="185"/>
      <c r="P763" s="242"/>
      <c r="R763" s="131" t="s">
        <v>1028</v>
      </c>
      <c r="S763" s="185"/>
      <c r="T763" s="242"/>
      <c r="V763" s="131" t="s">
        <v>1028</v>
      </c>
      <c r="W763" s="185"/>
      <c r="X763" s="242"/>
      <c r="Z763" s="131" t="s">
        <v>1028</v>
      </c>
      <c r="AA763" s="185"/>
      <c r="AB763" s="242"/>
      <c r="AD763" s="131" t="s">
        <v>1028</v>
      </c>
      <c r="AE763" s="185"/>
      <c r="AF763" s="242"/>
      <c r="AH763" s="131" t="s">
        <v>1028</v>
      </c>
      <c r="AI763" s="185"/>
      <c r="AJ763" s="242"/>
      <c r="AL763" s="131" t="s">
        <v>1028</v>
      </c>
      <c r="AM763" s="185"/>
      <c r="AN763" s="242"/>
      <c r="AP763" s="131" t="s">
        <v>1028</v>
      </c>
      <c r="AQ763" s="185"/>
      <c r="AR763" s="242"/>
      <c r="AT763" s="131" t="s">
        <v>1028</v>
      </c>
      <c r="AU763" s="185"/>
      <c r="AV763" s="242"/>
      <c r="AX763" s="131" t="s">
        <v>1028</v>
      </c>
      <c r="AY763" s="185"/>
      <c r="AZ763" s="242"/>
      <c r="BB763" s="131" t="s">
        <v>1028</v>
      </c>
      <c r="BC763" s="185"/>
      <c r="BD763" s="242"/>
      <c r="BF763" s="131" t="s">
        <v>1028</v>
      </c>
      <c r="BG763" s="185"/>
      <c r="BH763" s="242"/>
      <c r="BJ763" s="131" t="s">
        <v>1028</v>
      </c>
      <c r="BK763" s="185"/>
      <c r="BL763" s="242"/>
      <c r="BN763" s="131" t="s">
        <v>1028</v>
      </c>
      <c r="BO763" s="185"/>
      <c r="BP763" s="242"/>
      <c r="BR763" s="131" t="s">
        <v>1028</v>
      </c>
      <c r="BS763" s="185"/>
      <c r="BT763" s="242"/>
    </row>
    <row r="764" spans="1:72" x14ac:dyDescent="0.15">
      <c r="A764" s="134" t="s">
        <v>447</v>
      </c>
      <c r="B764" s="135" t="s">
        <v>448</v>
      </c>
      <c r="C764" s="135" t="s">
        <v>449</v>
      </c>
      <c r="E764" s="128"/>
      <c r="F764" s="136"/>
      <c r="G764" s="137" t="s">
        <v>125</v>
      </c>
      <c r="H764" s="138" t="s">
        <v>450</v>
      </c>
      <c r="I764" s="164"/>
      <c r="J764" s="136"/>
      <c r="K764" s="137" t="s">
        <v>125</v>
      </c>
      <c r="L764" s="229" t="s">
        <v>450</v>
      </c>
      <c r="M764" s="174"/>
      <c r="N764" s="136"/>
      <c r="O764" s="137" t="s">
        <v>125</v>
      </c>
      <c r="P764" s="229" t="s">
        <v>450</v>
      </c>
      <c r="R764" s="136"/>
      <c r="S764" s="137" t="s">
        <v>125</v>
      </c>
      <c r="T764" s="229" t="s">
        <v>450</v>
      </c>
      <c r="V764" s="136"/>
      <c r="W764" s="137" t="s">
        <v>125</v>
      </c>
      <c r="X764" s="229" t="s">
        <v>450</v>
      </c>
      <c r="Z764" s="136"/>
      <c r="AA764" s="137" t="s">
        <v>125</v>
      </c>
      <c r="AB764" s="229" t="s">
        <v>450</v>
      </c>
      <c r="AD764" s="136"/>
      <c r="AE764" s="137" t="s">
        <v>125</v>
      </c>
      <c r="AF764" s="229" t="s">
        <v>450</v>
      </c>
      <c r="AH764" s="136"/>
      <c r="AI764" s="137" t="s">
        <v>125</v>
      </c>
      <c r="AJ764" s="229" t="s">
        <v>450</v>
      </c>
      <c r="AL764" s="136"/>
      <c r="AM764" s="137" t="s">
        <v>125</v>
      </c>
      <c r="AN764" s="229" t="s">
        <v>450</v>
      </c>
      <c r="AP764" s="136"/>
      <c r="AQ764" s="137" t="s">
        <v>125</v>
      </c>
      <c r="AR764" s="229" t="s">
        <v>450</v>
      </c>
      <c r="AT764" s="136"/>
      <c r="AU764" s="137" t="s">
        <v>125</v>
      </c>
      <c r="AV764" s="229" t="s">
        <v>450</v>
      </c>
      <c r="AX764" s="136"/>
      <c r="AY764" s="137" t="s">
        <v>125</v>
      </c>
      <c r="AZ764" s="229" t="s">
        <v>450</v>
      </c>
      <c r="BB764" s="136"/>
      <c r="BC764" s="137" t="s">
        <v>125</v>
      </c>
      <c r="BD764" s="229" t="s">
        <v>450</v>
      </c>
      <c r="BF764" s="136"/>
      <c r="BG764" s="137" t="s">
        <v>125</v>
      </c>
      <c r="BH764" s="229" t="s">
        <v>450</v>
      </c>
      <c r="BJ764" s="136"/>
      <c r="BK764" s="137" t="s">
        <v>125</v>
      </c>
      <c r="BL764" s="229" t="s">
        <v>450</v>
      </c>
      <c r="BN764" s="136"/>
      <c r="BO764" s="137" t="s">
        <v>125</v>
      </c>
      <c r="BP764" s="229" t="s">
        <v>450</v>
      </c>
      <c r="BR764" s="136"/>
      <c r="BS764" s="137" t="s">
        <v>125</v>
      </c>
      <c r="BT764" s="229" t="s">
        <v>450</v>
      </c>
    </row>
    <row r="765" spans="1:72" x14ac:dyDescent="0.15">
      <c r="A765" s="167" t="s">
        <v>1029</v>
      </c>
      <c r="B765" s="168" t="s">
        <v>400</v>
      </c>
      <c r="C765" s="140"/>
      <c r="D765" s="170"/>
      <c r="E765" s="130"/>
      <c r="F765" s="136"/>
      <c r="G765" s="141" t="s">
        <v>1030</v>
      </c>
      <c r="H765" s="172"/>
      <c r="I765" s="164"/>
      <c r="J765" s="136"/>
      <c r="K765" s="141" t="s">
        <v>1030</v>
      </c>
      <c r="L765" s="247" t="s">
        <v>1122</v>
      </c>
      <c r="M765" s="174"/>
      <c r="N765" s="136"/>
      <c r="O765" s="141" t="s">
        <v>1030</v>
      </c>
      <c r="P765" s="247" t="s">
        <v>1122</v>
      </c>
      <c r="R765" s="136"/>
      <c r="S765" s="141" t="s">
        <v>1030</v>
      </c>
      <c r="T765" s="247" t="s">
        <v>1122</v>
      </c>
      <c r="V765" s="136"/>
      <c r="W765" s="141" t="s">
        <v>1030</v>
      </c>
      <c r="X765" s="247" t="s">
        <v>1122</v>
      </c>
      <c r="Z765" s="136"/>
      <c r="AA765" s="141" t="s">
        <v>1030</v>
      </c>
      <c r="AB765" s="247" t="s">
        <v>1122</v>
      </c>
      <c r="AD765" s="136"/>
      <c r="AE765" s="141" t="s">
        <v>1030</v>
      </c>
      <c r="AF765" s="247" t="s">
        <v>1122</v>
      </c>
      <c r="AH765" s="136"/>
      <c r="AI765" s="141" t="s">
        <v>1030</v>
      </c>
      <c r="AJ765" s="247" t="s">
        <v>1122</v>
      </c>
      <c r="AL765" s="136"/>
      <c r="AM765" s="141" t="s">
        <v>1030</v>
      </c>
      <c r="AN765" s="247" t="s">
        <v>1122</v>
      </c>
      <c r="AP765" s="136"/>
      <c r="AQ765" s="141" t="s">
        <v>1030</v>
      </c>
      <c r="AR765" s="247" t="s">
        <v>1122</v>
      </c>
      <c r="AT765" s="136"/>
      <c r="AU765" s="141" t="s">
        <v>1030</v>
      </c>
      <c r="AV765" s="247" t="s">
        <v>1122</v>
      </c>
      <c r="AX765" s="136"/>
      <c r="AY765" s="141" t="s">
        <v>1030</v>
      </c>
      <c r="AZ765" s="247" t="s">
        <v>1122</v>
      </c>
      <c r="BB765" s="136"/>
      <c r="BC765" s="141" t="s">
        <v>1030</v>
      </c>
      <c r="BD765" s="247" t="s">
        <v>1122</v>
      </c>
      <c r="BF765" s="136"/>
      <c r="BG765" s="141" t="s">
        <v>1030</v>
      </c>
      <c r="BH765" s="247" t="s">
        <v>1122</v>
      </c>
      <c r="BJ765" s="136"/>
      <c r="BK765" s="141" t="s">
        <v>1030</v>
      </c>
      <c r="BL765" s="247" t="s">
        <v>1122</v>
      </c>
      <c r="BN765" s="136"/>
      <c r="BO765" s="141" t="s">
        <v>1030</v>
      </c>
      <c r="BP765" s="247" t="s">
        <v>1122</v>
      </c>
      <c r="BR765" s="136"/>
      <c r="BS765" s="141" t="s">
        <v>1030</v>
      </c>
      <c r="BT765" s="247" t="s">
        <v>1122</v>
      </c>
    </row>
    <row r="766" spans="1:72" x14ac:dyDescent="0.15">
      <c r="A766" s="167" t="s">
        <v>1031</v>
      </c>
      <c r="B766" s="168" t="s">
        <v>1080</v>
      </c>
      <c r="C766" s="140"/>
      <c r="D766" s="170"/>
      <c r="E766" s="130"/>
      <c r="F766" s="136"/>
      <c r="G766" s="141" t="s">
        <v>1032</v>
      </c>
      <c r="H766" s="172"/>
      <c r="I766" s="164"/>
      <c r="J766" s="136"/>
      <c r="K766" s="141" t="s">
        <v>1032</v>
      </c>
      <c r="L766" s="247" t="s">
        <v>1153</v>
      </c>
      <c r="M766" s="174"/>
      <c r="N766" s="136"/>
      <c r="O766" s="141" t="s">
        <v>1032</v>
      </c>
      <c r="P766" s="247" t="s">
        <v>1153</v>
      </c>
      <c r="R766" s="136"/>
      <c r="S766" s="141" t="s">
        <v>1032</v>
      </c>
      <c r="T766" s="247" t="s">
        <v>1153</v>
      </c>
      <c r="V766" s="136"/>
      <c r="W766" s="141" t="s">
        <v>1032</v>
      </c>
      <c r="X766" s="247" t="s">
        <v>1153</v>
      </c>
      <c r="Z766" s="136"/>
      <c r="AA766" s="141" t="s">
        <v>1032</v>
      </c>
      <c r="AB766" s="247" t="s">
        <v>1153</v>
      </c>
      <c r="AD766" s="136"/>
      <c r="AE766" s="141" t="s">
        <v>1032</v>
      </c>
      <c r="AF766" s="247" t="s">
        <v>1153</v>
      </c>
      <c r="AH766" s="136"/>
      <c r="AI766" s="141" t="s">
        <v>1032</v>
      </c>
      <c r="AJ766" s="247" t="s">
        <v>1153</v>
      </c>
      <c r="AL766" s="136"/>
      <c r="AM766" s="141" t="s">
        <v>1032</v>
      </c>
      <c r="AN766" s="247" t="s">
        <v>1153</v>
      </c>
      <c r="AP766" s="136"/>
      <c r="AQ766" s="141" t="s">
        <v>1032</v>
      </c>
      <c r="AR766" s="247" t="s">
        <v>1153</v>
      </c>
      <c r="AT766" s="136"/>
      <c r="AU766" s="141" t="s">
        <v>1032</v>
      </c>
      <c r="AV766" s="247" t="s">
        <v>1153</v>
      </c>
      <c r="AX766" s="136"/>
      <c r="AY766" s="141" t="s">
        <v>1032</v>
      </c>
      <c r="AZ766" s="247" t="s">
        <v>1153</v>
      </c>
      <c r="BB766" s="136"/>
      <c r="BC766" s="141" t="s">
        <v>1032</v>
      </c>
      <c r="BD766" s="247" t="s">
        <v>1153</v>
      </c>
      <c r="BF766" s="136"/>
      <c r="BG766" s="141" t="s">
        <v>1032</v>
      </c>
      <c r="BH766" s="247" t="s">
        <v>1153</v>
      </c>
      <c r="BJ766" s="136"/>
      <c r="BK766" s="141" t="s">
        <v>1032</v>
      </c>
      <c r="BL766" s="247" t="s">
        <v>1153</v>
      </c>
      <c r="BN766" s="136"/>
      <c r="BO766" s="141" t="s">
        <v>1032</v>
      </c>
      <c r="BP766" s="247" t="s">
        <v>1153</v>
      </c>
      <c r="BR766" s="136"/>
      <c r="BS766" s="141" t="s">
        <v>1032</v>
      </c>
      <c r="BT766" s="247" t="s">
        <v>1153</v>
      </c>
    </row>
    <row r="767" spans="1:72" x14ac:dyDescent="0.15">
      <c r="A767" s="175"/>
      <c r="B767" s="176"/>
      <c r="C767" s="176"/>
      <c r="D767" s="170"/>
      <c r="E767" s="130"/>
      <c r="F767" s="136"/>
      <c r="G767" s="197"/>
      <c r="H767" s="172"/>
      <c r="I767" s="164"/>
      <c r="J767" s="136"/>
      <c r="K767" s="197"/>
      <c r="L767" s="168"/>
      <c r="M767" s="174"/>
      <c r="N767" s="136"/>
      <c r="O767" s="197"/>
      <c r="P767" s="168"/>
      <c r="R767" s="136"/>
      <c r="S767" s="197"/>
      <c r="T767" s="168"/>
      <c r="V767" s="136"/>
      <c r="W767" s="197"/>
      <c r="X767" s="168"/>
      <c r="Z767" s="136"/>
      <c r="AA767" s="197"/>
      <c r="AB767" s="168"/>
      <c r="AD767" s="136"/>
      <c r="AE767" s="197"/>
      <c r="AF767" s="168"/>
      <c r="AH767" s="136"/>
      <c r="AI767" s="197"/>
      <c r="AJ767" s="168"/>
      <c r="AL767" s="136"/>
      <c r="AM767" s="197"/>
      <c r="AN767" s="168"/>
      <c r="AP767" s="136"/>
      <c r="AQ767" s="197"/>
      <c r="AR767" s="168"/>
      <c r="AT767" s="136"/>
      <c r="AU767" s="197"/>
      <c r="AV767" s="168"/>
      <c r="AX767" s="136"/>
      <c r="AY767" s="197"/>
      <c r="AZ767" s="168"/>
      <c r="BB767" s="136"/>
      <c r="BC767" s="197"/>
      <c r="BD767" s="168"/>
      <c r="BF767" s="136"/>
      <c r="BG767" s="197"/>
      <c r="BH767" s="168"/>
      <c r="BJ767" s="136"/>
      <c r="BK767" s="197"/>
      <c r="BL767" s="168"/>
      <c r="BN767" s="136"/>
      <c r="BO767" s="197"/>
      <c r="BP767" s="168"/>
      <c r="BR767" s="136"/>
      <c r="BS767" s="197"/>
      <c r="BT767" s="168"/>
    </row>
    <row r="768" spans="1:72" x14ac:dyDescent="0.15">
      <c r="A768" s="175"/>
      <c r="B768" s="176"/>
      <c r="C768" s="176"/>
      <c r="E768" s="130"/>
      <c r="F768" s="180"/>
      <c r="G768" s="197"/>
      <c r="H768" s="179"/>
      <c r="I768" s="164"/>
      <c r="J768" s="180"/>
      <c r="K768" s="197"/>
      <c r="L768" s="241"/>
      <c r="M768" s="174"/>
      <c r="N768" s="180"/>
      <c r="O768" s="197"/>
      <c r="P768" s="241"/>
      <c r="R768" s="180"/>
      <c r="S768" s="197"/>
      <c r="T768" s="241"/>
      <c r="V768" s="180"/>
      <c r="W768" s="197"/>
      <c r="X768" s="241"/>
      <c r="Z768" s="180"/>
      <c r="AA768" s="197"/>
      <c r="AB768" s="241"/>
      <c r="AD768" s="180"/>
      <c r="AE768" s="197"/>
      <c r="AF768" s="241"/>
      <c r="AH768" s="180"/>
      <c r="AI768" s="197"/>
      <c r="AJ768" s="241"/>
      <c r="AL768" s="180"/>
      <c r="AM768" s="197"/>
      <c r="AN768" s="241"/>
      <c r="AP768" s="180"/>
      <c r="AQ768" s="197"/>
      <c r="AR768" s="241"/>
      <c r="AT768" s="180"/>
      <c r="AU768" s="197"/>
      <c r="AV768" s="241"/>
      <c r="AX768" s="180"/>
      <c r="AY768" s="197"/>
      <c r="AZ768" s="241"/>
      <c r="BB768" s="180"/>
      <c r="BC768" s="197"/>
      <c r="BD768" s="241"/>
      <c r="BF768" s="180"/>
      <c r="BG768" s="197"/>
      <c r="BH768" s="241"/>
      <c r="BJ768" s="180"/>
      <c r="BK768" s="197"/>
      <c r="BL768" s="241"/>
      <c r="BN768" s="180"/>
      <c r="BO768" s="197"/>
      <c r="BP768" s="241"/>
      <c r="BR768" s="180"/>
      <c r="BS768" s="197"/>
      <c r="BT768" s="241"/>
    </row>
    <row r="769" spans="1:72" x14ac:dyDescent="0.15">
      <c r="A769" s="175"/>
      <c r="B769" s="176"/>
      <c r="C769" s="176"/>
      <c r="E769" s="128"/>
      <c r="F769" s="136" t="s">
        <v>1033</v>
      </c>
      <c r="G769" s="185"/>
      <c r="H769" s="186"/>
      <c r="I769" s="164"/>
      <c r="J769" s="136" t="s">
        <v>1033</v>
      </c>
      <c r="K769" s="185"/>
      <c r="L769" s="242"/>
      <c r="M769" s="174"/>
      <c r="N769" s="136" t="s">
        <v>1033</v>
      </c>
      <c r="O769" s="185"/>
      <c r="P769" s="242"/>
      <c r="R769" s="136" t="s">
        <v>1033</v>
      </c>
      <c r="S769" s="185"/>
      <c r="T769" s="242"/>
      <c r="V769" s="136" t="s">
        <v>1033</v>
      </c>
      <c r="W769" s="185"/>
      <c r="X769" s="242"/>
      <c r="Z769" s="136" t="s">
        <v>1033</v>
      </c>
      <c r="AA769" s="185"/>
      <c r="AB769" s="242"/>
      <c r="AD769" s="136" t="s">
        <v>1033</v>
      </c>
      <c r="AE769" s="185"/>
      <c r="AF769" s="242"/>
      <c r="AH769" s="136" t="s">
        <v>1033</v>
      </c>
      <c r="AI769" s="185"/>
      <c r="AJ769" s="242"/>
      <c r="AL769" s="136" t="s">
        <v>1033</v>
      </c>
      <c r="AM769" s="185"/>
      <c r="AN769" s="242"/>
      <c r="AP769" s="136" t="s">
        <v>1033</v>
      </c>
      <c r="AQ769" s="185"/>
      <c r="AR769" s="242"/>
      <c r="AT769" s="136" t="s">
        <v>1033</v>
      </c>
      <c r="AU769" s="185"/>
      <c r="AV769" s="242"/>
      <c r="AX769" s="136" t="s">
        <v>1033</v>
      </c>
      <c r="AY769" s="185"/>
      <c r="AZ769" s="242"/>
      <c r="BB769" s="136" t="s">
        <v>1033</v>
      </c>
      <c r="BC769" s="185"/>
      <c r="BD769" s="242"/>
      <c r="BF769" s="136" t="s">
        <v>1033</v>
      </c>
      <c r="BG769" s="185"/>
      <c r="BH769" s="242"/>
      <c r="BJ769" s="136" t="s">
        <v>1033</v>
      </c>
      <c r="BK769" s="185"/>
      <c r="BL769" s="242"/>
      <c r="BN769" s="136" t="s">
        <v>1033</v>
      </c>
      <c r="BO769" s="185"/>
      <c r="BP769" s="242"/>
      <c r="BR769" s="136" t="s">
        <v>1033</v>
      </c>
      <c r="BS769" s="185"/>
      <c r="BT769" s="242"/>
    </row>
    <row r="770" spans="1:72" x14ac:dyDescent="0.15">
      <c r="A770" s="134" t="s">
        <v>447</v>
      </c>
      <c r="B770" s="135" t="s">
        <v>448</v>
      </c>
      <c r="C770" s="135" t="s">
        <v>449</v>
      </c>
      <c r="E770" s="128"/>
      <c r="F770" s="136"/>
      <c r="G770" s="137" t="s">
        <v>125</v>
      </c>
      <c r="H770" s="138" t="s">
        <v>450</v>
      </c>
      <c r="I770" s="164"/>
      <c r="J770" s="136"/>
      <c r="K770" s="137" t="s">
        <v>125</v>
      </c>
      <c r="L770" s="229" t="s">
        <v>450</v>
      </c>
      <c r="M770" s="174"/>
      <c r="N770" s="136"/>
      <c r="O770" s="137" t="s">
        <v>125</v>
      </c>
      <c r="P770" s="229" t="s">
        <v>450</v>
      </c>
      <c r="R770" s="136"/>
      <c r="S770" s="137" t="s">
        <v>125</v>
      </c>
      <c r="T770" s="229" t="s">
        <v>450</v>
      </c>
      <c r="V770" s="136"/>
      <c r="W770" s="137" t="s">
        <v>125</v>
      </c>
      <c r="X770" s="229" t="s">
        <v>450</v>
      </c>
      <c r="Z770" s="136"/>
      <c r="AA770" s="137" t="s">
        <v>125</v>
      </c>
      <c r="AB770" s="229" t="s">
        <v>450</v>
      </c>
      <c r="AD770" s="136"/>
      <c r="AE770" s="137" t="s">
        <v>125</v>
      </c>
      <c r="AF770" s="229" t="s">
        <v>450</v>
      </c>
      <c r="AH770" s="136"/>
      <c r="AI770" s="137" t="s">
        <v>125</v>
      </c>
      <c r="AJ770" s="229" t="s">
        <v>450</v>
      </c>
      <c r="AL770" s="136"/>
      <c r="AM770" s="137" t="s">
        <v>125</v>
      </c>
      <c r="AN770" s="229" t="s">
        <v>450</v>
      </c>
      <c r="AP770" s="136"/>
      <c r="AQ770" s="137" t="s">
        <v>125</v>
      </c>
      <c r="AR770" s="229" t="s">
        <v>450</v>
      </c>
      <c r="AT770" s="136"/>
      <c r="AU770" s="137" t="s">
        <v>125</v>
      </c>
      <c r="AV770" s="229" t="s">
        <v>450</v>
      </c>
      <c r="AX770" s="136"/>
      <c r="AY770" s="137" t="s">
        <v>125</v>
      </c>
      <c r="AZ770" s="229" t="s">
        <v>450</v>
      </c>
      <c r="BB770" s="136"/>
      <c r="BC770" s="137" t="s">
        <v>125</v>
      </c>
      <c r="BD770" s="229" t="s">
        <v>450</v>
      </c>
      <c r="BF770" s="136"/>
      <c r="BG770" s="137" t="s">
        <v>125</v>
      </c>
      <c r="BH770" s="229" t="s">
        <v>450</v>
      </c>
      <c r="BJ770" s="136"/>
      <c r="BK770" s="137" t="s">
        <v>125</v>
      </c>
      <c r="BL770" s="229" t="s">
        <v>450</v>
      </c>
      <c r="BN770" s="136"/>
      <c r="BO770" s="137" t="s">
        <v>125</v>
      </c>
      <c r="BP770" s="229" t="s">
        <v>450</v>
      </c>
      <c r="BR770" s="136"/>
      <c r="BS770" s="137" t="s">
        <v>125</v>
      </c>
      <c r="BT770" s="229" t="s">
        <v>450</v>
      </c>
    </row>
    <row r="771" spans="1:72" x14ac:dyDescent="0.15">
      <c r="A771" s="167" t="s">
        <v>1034</v>
      </c>
      <c r="B771" s="168" t="s">
        <v>85</v>
      </c>
      <c r="C771" s="140"/>
      <c r="D771" s="170"/>
      <c r="E771" s="130"/>
      <c r="F771" s="136"/>
      <c r="G771" s="141" t="s">
        <v>192</v>
      </c>
      <c r="H771" s="172"/>
      <c r="I771" s="164"/>
      <c r="J771" s="136"/>
      <c r="K771" s="141" t="s">
        <v>192</v>
      </c>
      <c r="L771" s="247" t="s">
        <v>86</v>
      </c>
      <c r="N771" s="136"/>
      <c r="O771" s="141" t="s">
        <v>192</v>
      </c>
      <c r="P771" s="247" t="s">
        <v>86</v>
      </c>
      <c r="R771" s="136"/>
      <c r="S771" s="141" t="s">
        <v>192</v>
      </c>
      <c r="T771" s="247" t="s">
        <v>86</v>
      </c>
      <c r="V771" s="136"/>
      <c r="W771" s="141" t="s">
        <v>192</v>
      </c>
      <c r="X771" s="247" t="s">
        <v>86</v>
      </c>
      <c r="Z771" s="136"/>
      <c r="AA771" s="141" t="s">
        <v>192</v>
      </c>
      <c r="AB771" s="247" t="s">
        <v>86</v>
      </c>
      <c r="AD771" s="136"/>
      <c r="AE771" s="141" t="s">
        <v>192</v>
      </c>
      <c r="AF771" s="247" t="s">
        <v>86</v>
      </c>
      <c r="AH771" s="136"/>
      <c r="AI771" s="141" t="s">
        <v>192</v>
      </c>
      <c r="AJ771" s="247" t="s">
        <v>86</v>
      </c>
      <c r="AL771" s="136"/>
      <c r="AM771" s="141" t="s">
        <v>192</v>
      </c>
      <c r="AN771" s="247" t="s">
        <v>86</v>
      </c>
      <c r="AP771" s="136"/>
      <c r="AQ771" s="141" t="s">
        <v>192</v>
      </c>
      <c r="AR771" s="247" t="s">
        <v>86</v>
      </c>
      <c r="AT771" s="136"/>
      <c r="AU771" s="141" t="s">
        <v>192</v>
      </c>
      <c r="AV771" s="247" t="s">
        <v>86</v>
      </c>
      <c r="AX771" s="136"/>
      <c r="AY771" s="141" t="s">
        <v>192</v>
      </c>
      <c r="AZ771" s="247" t="s">
        <v>86</v>
      </c>
      <c r="BB771" s="136"/>
      <c r="BC771" s="141" t="s">
        <v>192</v>
      </c>
      <c r="BD771" s="247" t="s">
        <v>86</v>
      </c>
      <c r="BF771" s="136"/>
      <c r="BG771" s="141" t="s">
        <v>192</v>
      </c>
      <c r="BH771" s="247" t="s">
        <v>86</v>
      </c>
      <c r="BJ771" s="136"/>
      <c r="BK771" s="141" t="s">
        <v>192</v>
      </c>
      <c r="BL771" s="247" t="s">
        <v>86</v>
      </c>
      <c r="BN771" s="136"/>
      <c r="BO771" s="141" t="s">
        <v>192</v>
      </c>
      <c r="BP771" s="247" t="s">
        <v>86</v>
      </c>
      <c r="BR771" s="136"/>
      <c r="BS771" s="141" t="s">
        <v>192</v>
      </c>
      <c r="BT771" s="247" t="s">
        <v>86</v>
      </c>
    </row>
    <row r="772" spans="1:72" x14ac:dyDescent="0.15">
      <c r="A772" s="167" t="s">
        <v>1035</v>
      </c>
      <c r="B772" s="168" t="s">
        <v>85</v>
      </c>
      <c r="C772" s="140"/>
      <c r="D772" s="170"/>
      <c r="E772" s="130"/>
      <c r="F772" s="136"/>
      <c r="G772" s="141" t="s">
        <v>193</v>
      </c>
      <c r="H772" s="172"/>
      <c r="I772" s="164"/>
      <c r="J772" s="136"/>
      <c r="K772" s="141" t="s">
        <v>193</v>
      </c>
      <c r="L772" s="247" t="s">
        <v>86</v>
      </c>
      <c r="N772" s="136"/>
      <c r="O772" s="141" t="s">
        <v>193</v>
      </c>
      <c r="P772" s="247" t="s">
        <v>86</v>
      </c>
      <c r="R772" s="136"/>
      <c r="S772" s="141" t="s">
        <v>193</v>
      </c>
      <c r="T772" s="247" t="s">
        <v>86</v>
      </c>
      <c r="V772" s="136"/>
      <c r="W772" s="141" t="s">
        <v>193</v>
      </c>
      <c r="X772" s="247" t="s">
        <v>86</v>
      </c>
      <c r="Z772" s="136"/>
      <c r="AA772" s="141" t="s">
        <v>193</v>
      </c>
      <c r="AB772" s="247" t="s">
        <v>86</v>
      </c>
      <c r="AD772" s="136"/>
      <c r="AE772" s="141" t="s">
        <v>193</v>
      </c>
      <c r="AF772" s="247" t="s">
        <v>86</v>
      </c>
      <c r="AH772" s="136"/>
      <c r="AI772" s="141" t="s">
        <v>193</v>
      </c>
      <c r="AJ772" s="247" t="s">
        <v>86</v>
      </c>
      <c r="AL772" s="136"/>
      <c r="AM772" s="141" t="s">
        <v>193</v>
      </c>
      <c r="AN772" s="247" t="s">
        <v>86</v>
      </c>
      <c r="AP772" s="136"/>
      <c r="AQ772" s="141" t="s">
        <v>193</v>
      </c>
      <c r="AR772" s="247" t="s">
        <v>86</v>
      </c>
      <c r="AT772" s="136"/>
      <c r="AU772" s="141" t="s">
        <v>193</v>
      </c>
      <c r="AV772" s="247" t="s">
        <v>86</v>
      </c>
      <c r="AX772" s="136"/>
      <c r="AY772" s="141" t="s">
        <v>193</v>
      </c>
      <c r="AZ772" s="247" t="s">
        <v>86</v>
      </c>
      <c r="BB772" s="136"/>
      <c r="BC772" s="141" t="s">
        <v>193</v>
      </c>
      <c r="BD772" s="247" t="s">
        <v>86</v>
      </c>
      <c r="BF772" s="136"/>
      <c r="BG772" s="141" t="s">
        <v>193</v>
      </c>
      <c r="BH772" s="247" t="s">
        <v>86</v>
      </c>
      <c r="BJ772" s="136"/>
      <c r="BK772" s="141" t="s">
        <v>193</v>
      </c>
      <c r="BL772" s="247" t="s">
        <v>86</v>
      </c>
      <c r="BN772" s="136"/>
      <c r="BO772" s="141" t="s">
        <v>193</v>
      </c>
      <c r="BP772" s="247" t="s">
        <v>86</v>
      </c>
      <c r="BR772" s="136"/>
      <c r="BS772" s="141" t="s">
        <v>193</v>
      </c>
      <c r="BT772" s="247" t="s">
        <v>86</v>
      </c>
    </row>
    <row r="773" spans="1:72" x14ac:dyDescent="0.15">
      <c r="A773" s="167" t="s">
        <v>1036</v>
      </c>
      <c r="B773" s="168" t="s">
        <v>287</v>
      </c>
      <c r="C773" s="140"/>
      <c r="D773" s="170"/>
      <c r="E773" s="130"/>
      <c r="F773" s="136"/>
      <c r="G773" s="141" t="s">
        <v>196</v>
      </c>
      <c r="H773" s="172"/>
      <c r="I773" s="164"/>
      <c r="J773" s="136"/>
      <c r="K773" s="141" t="s">
        <v>196</v>
      </c>
      <c r="L773" s="247" t="s">
        <v>440</v>
      </c>
      <c r="N773" s="136"/>
      <c r="O773" s="141" t="s">
        <v>196</v>
      </c>
      <c r="P773" s="247" t="s">
        <v>440</v>
      </c>
      <c r="R773" s="136"/>
      <c r="S773" s="141" t="s">
        <v>196</v>
      </c>
      <c r="T773" s="247" t="s">
        <v>440</v>
      </c>
      <c r="V773" s="136"/>
      <c r="W773" s="141" t="s">
        <v>196</v>
      </c>
      <c r="X773" s="247" t="s">
        <v>440</v>
      </c>
      <c r="Z773" s="136"/>
      <c r="AA773" s="141" t="s">
        <v>196</v>
      </c>
      <c r="AB773" s="247" t="s">
        <v>440</v>
      </c>
      <c r="AD773" s="136"/>
      <c r="AE773" s="141" t="s">
        <v>196</v>
      </c>
      <c r="AF773" s="247" t="s">
        <v>440</v>
      </c>
      <c r="AH773" s="136"/>
      <c r="AI773" s="141" t="s">
        <v>196</v>
      </c>
      <c r="AJ773" s="247" t="s">
        <v>440</v>
      </c>
      <c r="AL773" s="136"/>
      <c r="AM773" s="141" t="s">
        <v>196</v>
      </c>
      <c r="AN773" s="247" t="s">
        <v>440</v>
      </c>
      <c r="AP773" s="136"/>
      <c r="AQ773" s="141" t="s">
        <v>196</v>
      </c>
      <c r="AR773" s="247" t="s">
        <v>440</v>
      </c>
      <c r="AT773" s="136"/>
      <c r="AU773" s="141" t="s">
        <v>196</v>
      </c>
      <c r="AV773" s="247" t="s">
        <v>440</v>
      </c>
      <c r="AX773" s="136"/>
      <c r="AY773" s="141" t="s">
        <v>196</v>
      </c>
      <c r="AZ773" s="247" t="s">
        <v>440</v>
      </c>
      <c r="BB773" s="136"/>
      <c r="BC773" s="141" t="s">
        <v>196</v>
      </c>
      <c r="BD773" s="247" t="s">
        <v>440</v>
      </c>
      <c r="BF773" s="136"/>
      <c r="BG773" s="141" t="s">
        <v>196</v>
      </c>
      <c r="BH773" s="247" t="s">
        <v>440</v>
      </c>
      <c r="BJ773" s="136"/>
      <c r="BK773" s="141" t="s">
        <v>196</v>
      </c>
      <c r="BL773" s="247" t="s">
        <v>440</v>
      </c>
      <c r="BN773" s="136"/>
      <c r="BO773" s="141" t="s">
        <v>196</v>
      </c>
      <c r="BP773" s="247" t="s">
        <v>440</v>
      </c>
      <c r="BR773" s="136"/>
      <c r="BS773" s="141" t="s">
        <v>196</v>
      </c>
      <c r="BT773" s="247" t="s">
        <v>440</v>
      </c>
    </row>
    <row r="774" spans="1:72" x14ac:dyDescent="0.15">
      <c r="A774" s="167" t="s">
        <v>1037</v>
      </c>
      <c r="B774" s="168" t="s">
        <v>85</v>
      </c>
      <c r="C774" s="140"/>
      <c r="D774" s="170"/>
      <c r="E774" s="130"/>
      <c r="F774" s="136"/>
      <c r="G774" s="141" t="s">
        <v>197</v>
      </c>
      <c r="H774" s="172"/>
      <c r="I774" s="164"/>
      <c r="J774" s="136"/>
      <c r="K774" s="141" t="s">
        <v>197</v>
      </c>
      <c r="L774" s="247" t="s">
        <v>86</v>
      </c>
      <c r="N774" s="136"/>
      <c r="O774" s="141" t="s">
        <v>197</v>
      </c>
      <c r="P774" s="247" t="s">
        <v>86</v>
      </c>
      <c r="R774" s="136"/>
      <c r="S774" s="141" t="s">
        <v>197</v>
      </c>
      <c r="T774" s="247" t="s">
        <v>86</v>
      </c>
      <c r="V774" s="136"/>
      <c r="W774" s="141" t="s">
        <v>197</v>
      </c>
      <c r="X774" s="247" t="s">
        <v>86</v>
      </c>
      <c r="Z774" s="136"/>
      <c r="AA774" s="141" t="s">
        <v>197</v>
      </c>
      <c r="AB774" s="247" t="s">
        <v>86</v>
      </c>
      <c r="AD774" s="136"/>
      <c r="AE774" s="141" t="s">
        <v>197</v>
      </c>
      <c r="AF774" s="247" t="s">
        <v>86</v>
      </c>
      <c r="AH774" s="136"/>
      <c r="AI774" s="141" t="s">
        <v>197</v>
      </c>
      <c r="AJ774" s="247" t="s">
        <v>86</v>
      </c>
      <c r="AL774" s="136"/>
      <c r="AM774" s="141" t="s">
        <v>197</v>
      </c>
      <c r="AN774" s="247" t="s">
        <v>86</v>
      </c>
      <c r="AP774" s="136"/>
      <c r="AQ774" s="141" t="s">
        <v>197</v>
      </c>
      <c r="AR774" s="247" t="s">
        <v>86</v>
      </c>
      <c r="AT774" s="136"/>
      <c r="AU774" s="141" t="s">
        <v>197</v>
      </c>
      <c r="AV774" s="247" t="s">
        <v>86</v>
      </c>
      <c r="AX774" s="136"/>
      <c r="AY774" s="141" t="s">
        <v>197</v>
      </c>
      <c r="AZ774" s="247" t="s">
        <v>86</v>
      </c>
      <c r="BB774" s="136"/>
      <c r="BC774" s="141" t="s">
        <v>197</v>
      </c>
      <c r="BD774" s="247" t="s">
        <v>86</v>
      </c>
      <c r="BF774" s="136"/>
      <c r="BG774" s="141" t="s">
        <v>197</v>
      </c>
      <c r="BH774" s="247" t="s">
        <v>86</v>
      </c>
      <c r="BJ774" s="136"/>
      <c r="BK774" s="141" t="s">
        <v>197</v>
      </c>
      <c r="BL774" s="247" t="s">
        <v>86</v>
      </c>
      <c r="BN774" s="136"/>
      <c r="BO774" s="141" t="s">
        <v>197</v>
      </c>
      <c r="BP774" s="247" t="s">
        <v>86</v>
      </c>
      <c r="BR774" s="136"/>
      <c r="BS774" s="141" t="s">
        <v>197</v>
      </c>
      <c r="BT774" s="247" t="s">
        <v>86</v>
      </c>
    </row>
    <row r="775" spans="1:72" x14ac:dyDescent="0.15">
      <c r="A775" s="175"/>
      <c r="B775" s="176"/>
      <c r="C775" s="176"/>
      <c r="D775" s="170"/>
      <c r="E775" s="130"/>
      <c r="F775" s="136"/>
      <c r="G775" s="197"/>
      <c r="H775" s="172"/>
      <c r="I775" s="164"/>
      <c r="J775" s="136"/>
      <c r="K775" s="197"/>
      <c r="L775" s="168"/>
      <c r="N775" s="136"/>
      <c r="O775" s="197"/>
      <c r="P775" s="168"/>
      <c r="R775" s="136"/>
      <c r="S775" s="197"/>
      <c r="T775" s="168"/>
      <c r="V775" s="136"/>
      <c r="W775" s="197"/>
      <c r="X775" s="168"/>
      <c r="Z775" s="136"/>
      <c r="AA775" s="197"/>
      <c r="AB775" s="168"/>
      <c r="AD775" s="136"/>
      <c r="AE775" s="197"/>
      <c r="AF775" s="168"/>
      <c r="AH775" s="136"/>
      <c r="AI775" s="197"/>
      <c r="AJ775" s="168"/>
      <c r="AL775" s="136"/>
      <c r="AM775" s="197"/>
      <c r="AN775" s="168"/>
      <c r="AP775" s="136"/>
      <c r="AQ775" s="197"/>
      <c r="AR775" s="168"/>
      <c r="AT775" s="136"/>
      <c r="AU775" s="197"/>
      <c r="AV775" s="168"/>
      <c r="AX775" s="136"/>
      <c r="AY775" s="197"/>
      <c r="AZ775" s="168"/>
      <c r="BB775" s="136"/>
      <c r="BC775" s="197"/>
      <c r="BD775" s="168"/>
      <c r="BF775" s="136"/>
      <c r="BG775" s="197"/>
      <c r="BH775" s="168"/>
      <c r="BJ775" s="136"/>
      <c r="BK775" s="197"/>
      <c r="BL775" s="168"/>
      <c r="BN775" s="136"/>
      <c r="BO775" s="197"/>
      <c r="BP775" s="168"/>
      <c r="BR775" s="136"/>
      <c r="BS775" s="197"/>
      <c r="BT775" s="168"/>
    </row>
    <row r="776" spans="1:72" x14ac:dyDescent="0.15">
      <c r="A776" s="175"/>
      <c r="B776" s="176"/>
      <c r="C776" s="129"/>
      <c r="E776" s="130"/>
      <c r="F776" s="180"/>
      <c r="G776" s="197"/>
      <c r="H776" s="179"/>
      <c r="I776" s="164"/>
      <c r="J776" s="180"/>
      <c r="K776" s="197"/>
      <c r="L776" s="241"/>
      <c r="N776" s="180"/>
      <c r="O776" s="197"/>
      <c r="P776" s="241"/>
      <c r="R776" s="180"/>
      <c r="S776" s="197"/>
      <c r="T776" s="241"/>
      <c r="V776" s="180"/>
      <c r="W776" s="197"/>
      <c r="X776" s="241"/>
      <c r="Z776" s="180"/>
      <c r="AA776" s="197"/>
      <c r="AB776" s="241"/>
      <c r="AD776" s="180"/>
      <c r="AE776" s="197"/>
      <c r="AF776" s="241"/>
      <c r="AH776" s="180"/>
      <c r="AI776" s="197"/>
      <c r="AJ776" s="241"/>
      <c r="AL776" s="180"/>
      <c r="AM776" s="197"/>
      <c r="AN776" s="241"/>
      <c r="AP776" s="180"/>
      <c r="AQ776" s="197"/>
      <c r="AR776" s="241"/>
      <c r="AT776" s="180"/>
      <c r="AU776" s="197"/>
      <c r="AV776" s="241"/>
      <c r="AX776" s="180"/>
      <c r="AY776" s="197"/>
      <c r="AZ776" s="241"/>
      <c r="BB776" s="180"/>
      <c r="BC776" s="197"/>
      <c r="BD776" s="241"/>
      <c r="BF776" s="180"/>
      <c r="BG776" s="197"/>
      <c r="BH776" s="241"/>
      <c r="BJ776" s="180"/>
      <c r="BK776" s="197"/>
      <c r="BL776" s="241"/>
      <c r="BN776" s="180"/>
      <c r="BO776" s="197"/>
      <c r="BP776" s="241"/>
      <c r="BR776" s="180"/>
      <c r="BS776" s="197"/>
      <c r="BT776" s="241"/>
    </row>
    <row r="777" spans="1:72" x14ac:dyDescent="0.15">
      <c r="A777" s="230"/>
      <c r="B777" s="146"/>
      <c r="C777" s="230"/>
      <c r="D777" s="231"/>
      <c r="E777" s="128"/>
      <c r="F777" s="136" t="s">
        <v>1053</v>
      </c>
      <c r="G777" s="185"/>
      <c r="H777" s="232"/>
      <c r="J777" s="136" t="s">
        <v>1053</v>
      </c>
      <c r="K777" s="185"/>
      <c r="L777" s="245"/>
      <c r="N777" s="136" t="s">
        <v>1053</v>
      </c>
      <c r="O777" s="185"/>
      <c r="P777" s="245"/>
      <c r="R777" s="136" t="s">
        <v>1053</v>
      </c>
      <c r="S777" s="185"/>
      <c r="T777" s="245"/>
      <c r="V777" s="136" t="s">
        <v>1053</v>
      </c>
      <c r="W777" s="185"/>
      <c r="X777" s="245"/>
      <c r="Z777" s="136" t="s">
        <v>1053</v>
      </c>
      <c r="AA777" s="185"/>
      <c r="AB777" s="245"/>
      <c r="AD777" s="136" t="s">
        <v>1053</v>
      </c>
      <c r="AE777" s="185"/>
      <c r="AF777" s="245"/>
      <c r="AH777" s="136" t="s">
        <v>1053</v>
      </c>
      <c r="AI777" s="185"/>
      <c r="AJ777" s="245"/>
      <c r="AL777" s="136" t="s">
        <v>1053</v>
      </c>
      <c r="AM777" s="185"/>
      <c r="AN777" s="245"/>
      <c r="AP777" s="136" t="s">
        <v>1053</v>
      </c>
      <c r="AQ777" s="185"/>
      <c r="AR777" s="245"/>
      <c r="AT777" s="136" t="s">
        <v>1053</v>
      </c>
      <c r="AU777" s="185"/>
      <c r="AV777" s="245"/>
      <c r="AX777" s="136" t="s">
        <v>1053</v>
      </c>
      <c r="AY777" s="185"/>
      <c r="AZ777" s="245"/>
      <c r="BB777" s="136" t="s">
        <v>1053</v>
      </c>
      <c r="BC777" s="185"/>
      <c r="BD777" s="245"/>
      <c r="BF777" s="136" t="s">
        <v>1053</v>
      </c>
      <c r="BG777" s="185"/>
      <c r="BH777" s="245"/>
      <c r="BJ777" s="136" t="s">
        <v>1053</v>
      </c>
      <c r="BK777" s="185"/>
      <c r="BL777" s="245"/>
      <c r="BN777" s="136" t="s">
        <v>1053</v>
      </c>
      <c r="BO777" s="185"/>
      <c r="BP777" s="245"/>
      <c r="BR777" s="136" t="s">
        <v>1053</v>
      </c>
      <c r="BS777" s="185"/>
      <c r="BT777" s="245"/>
    </row>
    <row r="778" spans="1:72" x14ac:dyDescent="0.15">
      <c r="A778" s="134" t="s">
        <v>447</v>
      </c>
      <c r="B778" s="135" t="s">
        <v>448</v>
      </c>
      <c r="C778" s="135" t="s">
        <v>449</v>
      </c>
      <c r="D778" s="231"/>
      <c r="E778" s="128"/>
      <c r="F778" s="136"/>
      <c r="G778" s="137" t="s">
        <v>125</v>
      </c>
      <c r="H778" s="138" t="s">
        <v>450</v>
      </c>
      <c r="J778" s="136"/>
      <c r="K778" s="137" t="s">
        <v>125</v>
      </c>
      <c r="L778" s="229" t="s">
        <v>450</v>
      </c>
      <c r="N778" s="136"/>
      <c r="O778" s="137" t="s">
        <v>125</v>
      </c>
      <c r="P778" s="229" t="s">
        <v>450</v>
      </c>
      <c r="R778" s="136"/>
      <c r="S778" s="137" t="s">
        <v>125</v>
      </c>
      <c r="T778" s="229" t="s">
        <v>450</v>
      </c>
      <c r="V778" s="136"/>
      <c r="W778" s="137" t="s">
        <v>125</v>
      </c>
      <c r="X778" s="229" t="s">
        <v>450</v>
      </c>
      <c r="Z778" s="136"/>
      <c r="AA778" s="137" t="s">
        <v>125</v>
      </c>
      <c r="AB778" s="229" t="s">
        <v>450</v>
      </c>
      <c r="AD778" s="136"/>
      <c r="AE778" s="137" t="s">
        <v>125</v>
      </c>
      <c r="AF778" s="229" t="s">
        <v>450</v>
      </c>
      <c r="AH778" s="136"/>
      <c r="AI778" s="137" t="s">
        <v>125</v>
      </c>
      <c r="AJ778" s="229" t="s">
        <v>450</v>
      </c>
      <c r="AL778" s="136"/>
      <c r="AM778" s="137" t="s">
        <v>125</v>
      </c>
      <c r="AN778" s="229" t="s">
        <v>450</v>
      </c>
      <c r="AP778" s="136"/>
      <c r="AQ778" s="137" t="s">
        <v>125</v>
      </c>
      <c r="AR778" s="229" t="s">
        <v>450</v>
      </c>
      <c r="AT778" s="136"/>
      <c r="AU778" s="137" t="s">
        <v>125</v>
      </c>
      <c r="AV778" s="229" t="s">
        <v>450</v>
      </c>
      <c r="AX778" s="136"/>
      <c r="AY778" s="137" t="s">
        <v>125</v>
      </c>
      <c r="AZ778" s="229" t="s">
        <v>450</v>
      </c>
      <c r="BB778" s="136"/>
      <c r="BC778" s="137" t="s">
        <v>125</v>
      </c>
      <c r="BD778" s="229" t="s">
        <v>450</v>
      </c>
      <c r="BF778" s="136"/>
      <c r="BG778" s="137" t="s">
        <v>125</v>
      </c>
      <c r="BH778" s="229" t="s">
        <v>450</v>
      </c>
      <c r="BJ778" s="136"/>
      <c r="BK778" s="137" t="s">
        <v>125</v>
      </c>
      <c r="BL778" s="229" t="s">
        <v>450</v>
      </c>
      <c r="BN778" s="136"/>
      <c r="BO778" s="137" t="s">
        <v>125</v>
      </c>
      <c r="BP778" s="229" t="s">
        <v>450</v>
      </c>
      <c r="BR778" s="136"/>
      <c r="BS778" s="137" t="s">
        <v>125</v>
      </c>
      <c r="BT778" s="229" t="s">
        <v>450</v>
      </c>
    </row>
    <row r="779" spans="1:72" x14ac:dyDescent="0.15">
      <c r="A779" s="182"/>
      <c r="B779" s="168" t="s">
        <v>85</v>
      </c>
      <c r="C779" s="140"/>
      <c r="D779" s="170"/>
      <c r="E779" s="130"/>
      <c r="F779" s="136"/>
      <c r="G779" s="141" t="s">
        <v>145</v>
      </c>
      <c r="H779" s="179"/>
      <c r="J779" s="136"/>
      <c r="K779" s="141" t="s">
        <v>145</v>
      </c>
      <c r="L779" s="241" t="s">
        <v>86</v>
      </c>
      <c r="N779" s="136"/>
      <c r="O779" s="141" t="s">
        <v>145</v>
      </c>
      <c r="P779" s="241" t="s">
        <v>86</v>
      </c>
      <c r="R779" s="136"/>
      <c r="S779" s="141" t="s">
        <v>145</v>
      </c>
      <c r="T779" s="241" t="s">
        <v>86</v>
      </c>
      <c r="V779" s="136"/>
      <c r="W779" s="141" t="s">
        <v>145</v>
      </c>
      <c r="X779" s="248" t="s">
        <v>440</v>
      </c>
      <c r="Z779" s="136"/>
      <c r="AA779" s="141" t="s">
        <v>145</v>
      </c>
      <c r="AB779" s="241" t="s">
        <v>86</v>
      </c>
      <c r="AD779" s="136"/>
      <c r="AE779" s="141" t="s">
        <v>145</v>
      </c>
      <c r="AF779" s="241" t="s">
        <v>86</v>
      </c>
      <c r="AH779" s="136"/>
      <c r="AI779" s="141" t="s">
        <v>145</v>
      </c>
      <c r="AJ779" s="241" t="s">
        <v>86</v>
      </c>
      <c r="AL779" s="136"/>
      <c r="AM779" s="141" t="s">
        <v>145</v>
      </c>
      <c r="AN779" s="241" t="s">
        <v>86</v>
      </c>
      <c r="AP779" s="136"/>
      <c r="AQ779" s="141" t="s">
        <v>145</v>
      </c>
      <c r="AR779" s="241" t="s">
        <v>86</v>
      </c>
      <c r="AT779" s="136"/>
      <c r="AU779" s="141" t="s">
        <v>145</v>
      </c>
      <c r="AV779" s="241" t="s">
        <v>86</v>
      </c>
      <c r="AX779" s="136"/>
      <c r="AY779" s="141" t="s">
        <v>145</v>
      </c>
      <c r="AZ779" s="248" t="s">
        <v>440</v>
      </c>
      <c r="BB779" s="136"/>
      <c r="BC779" s="141" t="s">
        <v>145</v>
      </c>
      <c r="BD779" s="241" t="s">
        <v>86</v>
      </c>
      <c r="BF779" s="136"/>
      <c r="BG779" s="141" t="s">
        <v>145</v>
      </c>
      <c r="BH779" s="241" t="s">
        <v>86</v>
      </c>
      <c r="BJ779" s="136"/>
      <c r="BK779" s="141" t="s">
        <v>145</v>
      </c>
      <c r="BL779" s="241" t="s">
        <v>86</v>
      </c>
      <c r="BN779" s="136"/>
      <c r="BO779" s="141" t="s">
        <v>145</v>
      </c>
      <c r="BP779" s="241" t="s">
        <v>86</v>
      </c>
      <c r="BR779" s="136"/>
      <c r="BS779" s="141" t="s">
        <v>145</v>
      </c>
      <c r="BT779" s="241" t="s">
        <v>86</v>
      </c>
    </row>
    <row r="780" spans="1:72" x14ac:dyDescent="0.15">
      <c r="A780" s="182"/>
      <c r="B780" s="168" t="s">
        <v>295</v>
      </c>
      <c r="C780" s="140"/>
      <c r="D780" s="170"/>
      <c r="E780" s="130"/>
      <c r="F780" s="136"/>
      <c r="G780" s="141" t="s">
        <v>146</v>
      </c>
      <c r="H780" s="179"/>
      <c r="J780" s="136"/>
      <c r="K780" s="141" t="s">
        <v>146</v>
      </c>
      <c r="L780" s="241" t="s">
        <v>438</v>
      </c>
      <c r="N780" s="136"/>
      <c r="O780" s="141" t="s">
        <v>146</v>
      </c>
      <c r="P780" s="241" t="s">
        <v>438</v>
      </c>
      <c r="R780" s="136"/>
      <c r="S780" s="141" t="s">
        <v>146</v>
      </c>
      <c r="T780" s="241" t="s">
        <v>438</v>
      </c>
      <c r="V780" s="136"/>
      <c r="W780" s="141" t="s">
        <v>146</v>
      </c>
      <c r="X780" s="241" t="s">
        <v>438</v>
      </c>
      <c r="Z780" s="136"/>
      <c r="AA780" s="141" t="s">
        <v>146</v>
      </c>
      <c r="AB780" s="241" t="s">
        <v>438</v>
      </c>
      <c r="AD780" s="136"/>
      <c r="AE780" s="141" t="s">
        <v>146</v>
      </c>
      <c r="AF780" s="241" t="s">
        <v>438</v>
      </c>
      <c r="AH780" s="136"/>
      <c r="AI780" s="141" t="s">
        <v>146</v>
      </c>
      <c r="AJ780" s="241" t="s">
        <v>438</v>
      </c>
      <c r="AL780" s="136"/>
      <c r="AM780" s="141" t="s">
        <v>146</v>
      </c>
      <c r="AN780" s="241" t="s">
        <v>438</v>
      </c>
      <c r="AP780" s="136"/>
      <c r="AQ780" s="141" t="s">
        <v>146</v>
      </c>
      <c r="AR780" s="241" t="s">
        <v>438</v>
      </c>
      <c r="AT780" s="136"/>
      <c r="AU780" s="141" t="s">
        <v>146</v>
      </c>
      <c r="AV780" s="241" t="s">
        <v>438</v>
      </c>
      <c r="AX780" s="136"/>
      <c r="AY780" s="141" t="s">
        <v>146</v>
      </c>
      <c r="AZ780" s="241" t="s">
        <v>438</v>
      </c>
      <c r="BB780" s="136"/>
      <c r="BC780" s="141" t="s">
        <v>146</v>
      </c>
      <c r="BD780" s="241" t="s">
        <v>438</v>
      </c>
      <c r="BF780" s="136"/>
      <c r="BG780" s="141" t="s">
        <v>146</v>
      </c>
      <c r="BH780" s="241" t="s">
        <v>438</v>
      </c>
      <c r="BJ780" s="136"/>
      <c r="BK780" s="141" t="s">
        <v>146</v>
      </c>
      <c r="BL780" s="241" t="s">
        <v>438</v>
      </c>
      <c r="BN780" s="136"/>
      <c r="BO780" s="141" t="s">
        <v>146</v>
      </c>
      <c r="BP780" s="241" t="s">
        <v>438</v>
      </c>
      <c r="BR780" s="136"/>
      <c r="BS780" s="141" t="s">
        <v>146</v>
      </c>
      <c r="BT780" s="241" t="s">
        <v>438</v>
      </c>
    </row>
    <row r="781" spans="1:72" x14ac:dyDescent="0.15">
      <c r="A781" s="182"/>
      <c r="B781" s="168" t="s">
        <v>85</v>
      </c>
      <c r="C781" s="140"/>
      <c r="D781" s="170"/>
      <c r="E781" s="130"/>
      <c r="F781" s="136"/>
      <c r="G781" s="141" t="s">
        <v>144</v>
      </c>
      <c r="H781" s="179"/>
      <c r="J781" s="136"/>
      <c r="K781" s="141" t="s">
        <v>144</v>
      </c>
      <c r="L781" s="241" t="s">
        <v>86</v>
      </c>
      <c r="N781" s="136"/>
      <c r="O781" s="141" t="s">
        <v>144</v>
      </c>
      <c r="P781" s="241" t="s">
        <v>86</v>
      </c>
      <c r="R781" s="136"/>
      <c r="S781" s="141" t="s">
        <v>144</v>
      </c>
      <c r="T781" s="241" t="s">
        <v>86</v>
      </c>
      <c r="V781" s="136"/>
      <c r="W781" s="141" t="s">
        <v>144</v>
      </c>
      <c r="X781" s="248" t="s">
        <v>440</v>
      </c>
      <c r="Z781" s="136"/>
      <c r="AA781" s="141" t="s">
        <v>144</v>
      </c>
      <c r="AB781" s="241" t="s">
        <v>86</v>
      </c>
      <c r="AD781" s="136"/>
      <c r="AE781" s="141" t="s">
        <v>144</v>
      </c>
      <c r="AF781" s="241" t="s">
        <v>86</v>
      </c>
      <c r="AH781" s="136"/>
      <c r="AI781" s="141" t="s">
        <v>144</v>
      </c>
      <c r="AJ781" s="241" t="s">
        <v>86</v>
      </c>
      <c r="AL781" s="136"/>
      <c r="AM781" s="141" t="s">
        <v>144</v>
      </c>
      <c r="AN781" s="241" t="s">
        <v>86</v>
      </c>
      <c r="AP781" s="136"/>
      <c r="AQ781" s="141" t="s">
        <v>144</v>
      </c>
      <c r="AR781" s="241" t="s">
        <v>86</v>
      </c>
      <c r="AT781" s="136"/>
      <c r="AU781" s="141" t="s">
        <v>144</v>
      </c>
      <c r="AV781" s="241" t="s">
        <v>86</v>
      </c>
      <c r="AX781" s="136"/>
      <c r="AY781" s="141" t="s">
        <v>144</v>
      </c>
      <c r="AZ781" s="248" t="s">
        <v>440</v>
      </c>
      <c r="BB781" s="136"/>
      <c r="BC781" s="141" t="s">
        <v>144</v>
      </c>
      <c r="BD781" s="241" t="s">
        <v>86</v>
      </c>
      <c r="BF781" s="136"/>
      <c r="BG781" s="141" t="s">
        <v>144</v>
      </c>
      <c r="BH781" s="241" t="s">
        <v>86</v>
      </c>
      <c r="BJ781" s="136"/>
      <c r="BK781" s="141" t="s">
        <v>144</v>
      </c>
      <c r="BL781" s="241" t="s">
        <v>86</v>
      </c>
      <c r="BN781" s="136"/>
      <c r="BO781" s="141" t="s">
        <v>144</v>
      </c>
      <c r="BP781" s="241" t="s">
        <v>86</v>
      </c>
      <c r="BR781" s="136"/>
      <c r="BS781" s="141" t="s">
        <v>144</v>
      </c>
      <c r="BT781" s="241" t="s">
        <v>86</v>
      </c>
    </row>
    <row r="782" spans="1:72" x14ac:dyDescent="0.15">
      <c r="A782" s="175"/>
      <c r="B782" s="176"/>
      <c r="C782" s="176"/>
      <c r="D782" s="231"/>
      <c r="E782" s="128"/>
      <c r="F782" s="136"/>
      <c r="G782" s="147"/>
      <c r="H782" s="179"/>
      <c r="I782" s="143"/>
      <c r="J782" s="136"/>
      <c r="K782" s="147"/>
      <c r="L782" s="241"/>
      <c r="N782" s="136"/>
      <c r="O782" s="147"/>
      <c r="P782" s="241"/>
      <c r="R782" s="136"/>
      <c r="S782" s="147"/>
      <c r="T782" s="241"/>
      <c r="V782" s="136"/>
      <c r="W782" s="147"/>
      <c r="X782" s="241"/>
      <c r="Z782" s="136"/>
      <c r="AA782" s="147"/>
      <c r="AB782" s="241"/>
      <c r="AD782" s="136"/>
      <c r="AE782" s="147"/>
      <c r="AF782" s="241"/>
      <c r="AH782" s="136"/>
      <c r="AI782" s="147"/>
      <c r="AJ782" s="241"/>
      <c r="AL782" s="136"/>
      <c r="AM782" s="147"/>
      <c r="AN782" s="241"/>
      <c r="AP782" s="136"/>
      <c r="AQ782" s="147"/>
      <c r="AR782" s="241"/>
      <c r="AT782" s="136"/>
      <c r="AU782" s="147"/>
      <c r="AV782" s="241"/>
      <c r="AX782" s="136"/>
      <c r="AY782" s="147"/>
      <c r="AZ782" s="241"/>
      <c r="BB782" s="136"/>
      <c r="BC782" s="147"/>
      <c r="BD782" s="241"/>
      <c r="BF782" s="136"/>
      <c r="BG782" s="147"/>
      <c r="BH782" s="241"/>
      <c r="BJ782" s="136"/>
      <c r="BK782" s="147"/>
      <c r="BL782" s="241"/>
      <c r="BN782" s="136"/>
      <c r="BO782" s="147"/>
      <c r="BP782" s="241"/>
      <c r="BR782" s="136"/>
      <c r="BS782" s="147"/>
      <c r="BT782" s="241"/>
    </row>
    <row r="783" spans="1:72" x14ac:dyDescent="0.15">
      <c r="A783" s="176"/>
      <c r="B783" s="176"/>
      <c r="C783" s="176"/>
      <c r="D783" s="231"/>
      <c r="E783" s="128"/>
      <c r="F783" s="154"/>
      <c r="G783" s="147"/>
      <c r="H783" s="179"/>
      <c r="I783" s="108"/>
      <c r="J783" s="154"/>
      <c r="K783" s="147"/>
      <c r="L783" s="241"/>
      <c r="N783" s="154"/>
      <c r="O783" s="147"/>
      <c r="P783" s="241"/>
      <c r="R783" s="154"/>
      <c r="S783" s="147"/>
      <c r="T783" s="241"/>
      <c r="V783" s="154"/>
      <c r="W783" s="147"/>
      <c r="X783" s="241"/>
      <c r="Z783" s="154"/>
      <c r="AA783" s="147"/>
      <c r="AB783" s="241"/>
      <c r="AD783" s="154"/>
      <c r="AE783" s="147"/>
      <c r="AF783" s="241"/>
      <c r="AH783" s="154"/>
      <c r="AI783" s="147"/>
      <c r="AJ783" s="241"/>
      <c r="AL783" s="154"/>
      <c r="AM783" s="147"/>
      <c r="AN783" s="241"/>
      <c r="AP783" s="154"/>
      <c r="AQ783" s="147"/>
      <c r="AR783" s="241"/>
      <c r="AT783" s="154"/>
      <c r="AU783" s="147"/>
      <c r="AV783" s="241"/>
      <c r="AX783" s="154"/>
      <c r="AY783" s="147"/>
      <c r="AZ783" s="241"/>
      <c r="BB783" s="154"/>
      <c r="BC783" s="147"/>
      <c r="BD783" s="241"/>
      <c r="BF783" s="154"/>
      <c r="BG783" s="147"/>
      <c r="BH783" s="241"/>
      <c r="BJ783" s="154"/>
      <c r="BK783" s="147"/>
      <c r="BL783" s="241"/>
      <c r="BN783" s="154"/>
      <c r="BO783" s="147"/>
      <c r="BP783" s="241"/>
      <c r="BR783" s="154"/>
      <c r="BS783" s="147"/>
      <c r="BT783" s="241"/>
    </row>
    <row r="784" spans="1:72" x14ac:dyDescent="0.15">
      <c r="A784" s="230"/>
      <c r="B784" s="146"/>
      <c r="C784" s="230"/>
      <c r="D784" s="231"/>
      <c r="E784" s="128"/>
      <c r="F784" s="136" t="s">
        <v>225</v>
      </c>
      <c r="G784" s="185"/>
      <c r="H784" s="232"/>
      <c r="J784" s="136" t="s">
        <v>225</v>
      </c>
      <c r="K784" s="185"/>
      <c r="L784" s="245"/>
      <c r="N784" s="136" t="s">
        <v>225</v>
      </c>
      <c r="O784" s="185"/>
      <c r="P784" s="245"/>
      <c r="R784" s="136" t="s">
        <v>225</v>
      </c>
      <c r="S784" s="185"/>
      <c r="T784" s="245"/>
      <c r="V784" s="136" t="s">
        <v>225</v>
      </c>
      <c r="W784" s="185"/>
      <c r="X784" s="245"/>
      <c r="Z784" s="136" t="s">
        <v>225</v>
      </c>
      <c r="AA784" s="185"/>
      <c r="AB784" s="245"/>
      <c r="AD784" s="136" t="s">
        <v>225</v>
      </c>
      <c r="AE784" s="185"/>
      <c r="AF784" s="245"/>
      <c r="AH784" s="136" t="s">
        <v>225</v>
      </c>
      <c r="AI784" s="185"/>
      <c r="AJ784" s="245"/>
      <c r="AL784" s="136" t="s">
        <v>225</v>
      </c>
      <c r="AM784" s="185"/>
      <c r="AN784" s="245"/>
      <c r="AP784" s="136" t="s">
        <v>225</v>
      </c>
      <c r="AQ784" s="185"/>
      <c r="AR784" s="245"/>
      <c r="AT784" s="136" t="s">
        <v>225</v>
      </c>
      <c r="AU784" s="185"/>
      <c r="AV784" s="245"/>
      <c r="AX784" s="136" t="s">
        <v>225</v>
      </c>
      <c r="AY784" s="185"/>
      <c r="AZ784" s="245"/>
      <c r="BB784" s="136" t="s">
        <v>225</v>
      </c>
      <c r="BC784" s="185"/>
      <c r="BD784" s="245"/>
      <c r="BF784" s="136" t="s">
        <v>225</v>
      </c>
      <c r="BG784" s="185"/>
      <c r="BH784" s="245"/>
      <c r="BJ784" s="136" t="s">
        <v>225</v>
      </c>
      <c r="BK784" s="185"/>
      <c r="BL784" s="245"/>
      <c r="BN784" s="136" t="s">
        <v>225</v>
      </c>
      <c r="BO784" s="185"/>
      <c r="BP784" s="245"/>
      <c r="BR784" s="136" t="s">
        <v>225</v>
      </c>
      <c r="BS784" s="185"/>
      <c r="BT784" s="245"/>
    </row>
    <row r="785" spans="1:72" x14ac:dyDescent="0.15">
      <c r="A785" s="134" t="s">
        <v>447</v>
      </c>
      <c r="B785" s="135" t="s">
        <v>448</v>
      </c>
      <c r="C785" s="135" t="s">
        <v>449</v>
      </c>
      <c r="D785" s="231"/>
      <c r="E785" s="128"/>
      <c r="F785" s="136"/>
      <c r="G785" s="137" t="s">
        <v>125</v>
      </c>
      <c r="H785" s="138" t="s">
        <v>450</v>
      </c>
      <c r="J785" s="136"/>
      <c r="K785" s="137" t="s">
        <v>125</v>
      </c>
      <c r="L785" s="229" t="s">
        <v>450</v>
      </c>
      <c r="N785" s="136"/>
      <c r="O785" s="137" t="s">
        <v>125</v>
      </c>
      <c r="P785" s="229" t="s">
        <v>450</v>
      </c>
      <c r="R785" s="136"/>
      <c r="S785" s="137" t="s">
        <v>125</v>
      </c>
      <c r="T785" s="229" t="s">
        <v>450</v>
      </c>
      <c r="V785" s="136"/>
      <c r="W785" s="137" t="s">
        <v>125</v>
      </c>
      <c r="X785" s="229" t="s">
        <v>450</v>
      </c>
      <c r="Z785" s="136"/>
      <c r="AA785" s="137" t="s">
        <v>125</v>
      </c>
      <c r="AB785" s="229" t="s">
        <v>450</v>
      </c>
      <c r="AD785" s="136"/>
      <c r="AE785" s="137" t="s">
        <v>125</v>
      </c>
      <c r="AF785" s="229" t="s">
        <v>450</v>
      </c>
      <c r="AH785" s="136"/>
      <c r="AI785" s="137" t="s">
        <v>125</v>
      </c>
      <c r="AJ785" s="229" t="s">
        <v>450</v>
      </c>
      <c r="AL785" s="136"/>
      <c r="AM785" s="137" t="s">
        <v>125</v>
      </c>
      <c r="AN785" s="229" t="s">
        <v>450</v>
      </c>
      <c r="AP785" s="136"/>
      <c r="AQ785" s="137" t="s">
        <v>125</v>
      </c>
      <c r="AR785" s="229" t="s">
        <v>450</v>
      </c>
      <c r="AT785" s="136"/>
      <c r="AU785" s="137" t="s">
        <v>125</v>
      </c>
      <c r="AV785" s="229" t="s">
        <v>450</v>
      </c>
      <c r="AX785" s="136"/>
      <c r="AY785" s="137" t="s">
        <v>125</v>
      </c>
      <c r="AZ785" s="229" t="s">
        <v>450</v>
      </c>
      <c r="BB785" s="136"/>
      <c r="BC785" s="137" t="s">
        <v>125</v>
      </c>
      <c r="BD785" s="229" t="s">
        <v>450</v>
      </c>
      <c r="BF785" s="136"/>
      <c r="BG785" s="137" t="s">
        <v>125</v>
      </c>
      <c r="BH785" s="229" t="s">
        <v>450</v>
      </c>
      <c r="BJ785" s="136"/>
      <c r="BK785" s="137" t="s">
        <v>125</v>
      </c>
      <c r="BL785" s="229" t="s">
        <v>450</v>
      </c>
      <c r="BN785" s="136"/>
      <c r="BO785" s="137" t="s">
        <v>125</v>
      </c>
      <c r="BP785" s="229" t="s">
        <v>450</v>
      </c>
      <c r="BR785" s="136"/>
      <c r="BS785" s="137" t="s">
        <v>125</v>
      </c>
      <c r="BT785" s="229" t="s">
        <v>450</v>
      </c>
    </row>
    <row r="786" spans="1:72" x14ac:dyDescent="0.15">
      <c r="A786" s="181"/>
      <c r="B786" s="140" t="s">
        <v>85</v>
      </c>
      <c r="C786" s="140"/>
      <c r="D786" s="231"/>
      <c r="E786" s="128"/>
      <c r="F786" s="136"/>
      <c r="G786" s="187" t="s">
        <v>226</v>
      </c>
      <c r="H786" s="179"/>
      <c r="J786" s="136"/>
      <c r="K786" s="187" t="s">
        <v>226</v>
      </c>
      <c r="L786" s="241" t="s">
        <v>86</v>
      </c>
      <c r="N786" s="136"/>
      <c r="O786" s="187" t="s">
        <v>226</v>
      </c>
      <c r="P786" s="241" t="s">
        <v>86</v>
      </c>
      <c r="R786" s="136"/>
      <c r="S786" s="187" t="s">
        <v>226</v>
      </c>
      <c r="T786" s="241" t="s">
        <v>86</v>
      </c>
      <c r="V786" s="136"/>
      <c r="W786" s="187" t="s">
        <v>226</v>
      </c>
      <c r="X786" s="241" t="s">
        <v>86</v>
      </c>
      <c r="Z786" s="136"/>
      <c r="AA786" s="187" t="s">
        <v>226</v>
      </c>
      <c r="AB786" s="241" t="s">
        <v>86</v>
      </c>
      <c r="AD786" s="136"/>
      <c r="AE786" s="187" t="s">
        <v>226</v>
      </c>
      <c r="AF786" s="241" t="s">
        <v>86</v>
      </c>
      <c r="AH786" s="136"/>
      <c r="AI786" s="187" t="s">
        <v>226</v>
      </c>
      <c r="AJ786" s="241" t="s">
        <v>86</v>
      </c>
      <c r="AL786" s="136"/>
      <c r="AM786" s="187" t="s">
        <v>226</v>
      </c>
      <c r="AN786" s="241" t="s">
        <v>86</v>
      </c>
      <c r="AP786" s="136"/>
      <c r="AQ786" s="187" t="s">
        <v>226</v>
      </c>
      <c r="AR786" s="241" t="s">
        <v>86</v>
      </c>
      <c r="AT786" s="136"/>
      <c r="AU786" s="187" t="s">
        <v>226</v>
      </c>
      <c r="AV786" s="241" t="s">
        <v>86</v>
      </c>
      <c r="AX786" s="136"/>
      <c r="AY786" s="187" t="s">
        <v>226</v>
      </c>
      <c r="AZ786" s="241" t="s">
        <v>86</v>
      </c>
      <c r="BB786" s="136"/>
      <c r="BC786" s="187" t="s">
        <v>226</v>
      </c>
      <c r="BD786" s="241" t="s">
        <v>86</v>
      </c>
      <c r="BF786" s="136"/>
      <c r="BG786" s="187" t="s">
        <v>226</v>
      </c>
      <c r="BH786" s="241" t="s">
        <v>86</v>
      </c>
      <c r="BJ786" s="136"/>
      <c r="BK786" s="187" t="s">
        <v>226</v>
      </c>
      <c r="BL786" s="241" t="s">
        <v>86</v>
      </c>
      <c r="BN786" s="136"/>
      <c r="BO786" s="187" t="s">
        <v>226</v>
      </c>
      <c r="BP786" s="241" t="s">
        <v>86</v>
      </c>
      <c r="BR786" s="136"/>
      <c r="BS786" s="187" t="s">
        <v>226</v>
      </c>
      <c r="BT786" s="241" t="s">
        <v>86</v>
      </c>
    </row>
    <row r="787" spans="1:72" x14ac:dyDescent="0.15">
      <c r="A787" s="181"/>
      <c r="B787" s="140" t="s">
        <v>85</v>
      </c>
      <c r="C787" s="140"/>
      <c r="D787" s="231"/>
      <c r="E787" s="128"/>
      <c r="F787" s="136"/>
      <c r="G787" s="187" t="s">
        <v>228</v>
      </c>
      <c r="H787" s="179"/>
      <c r="J787" s="136"/>
      <c r="K787" s="187" t="s">
        <v>228</v>
      </c>
      <c r="L787" s="241" t="s">
        <v>86</v>
      </c>
      <c r="N787" s="136"/>
      <c r="O787" s="187" t="s">
        <v>228</v>
      </c>
      <c r="P787" s="241" t="s">
        <v>86</v>
      </c>
      <c r="R787" s="136"/>
      <c r="S787" s="187" t="s">
        <v>228</v>
      </c>
      <c r="T787" s="241" t="s">
        <v>86</v>
      </c>
      <c r="V787" s="136"/>
      <c r="W787" s="187" t="s">
        <v>228</v>
      </c>
      <c r="X787" s="241" t="s">
        <v>86</v>
      </c>
      <c r="Z787" s="136"/>
      <c r="AA787" s="187" t="s">
        <v>228</v>
      </c>
      <c r="AB787" s="241" t="s">
        <v>86</v>
      </c>
      <c r="AD787" s="136"/>
      <c r="AE787" s="187" t="s">
        <v>228</v>
      </c>
      <c r="AF787" s="241" t="s">
        <v>86</v>
      </c>
      <c r="AH787" s="136"/>
      <c r="AI787" s="187" t="s">
        <v>228</v>
      </c>
      <c r="AJ787" s="241" t="s">
        <v>86</v>
      </c>
      <c r="AL787" s="136"/>
      <c r="AM787" s="187" t="s">
        <v>228</v>
      </c>
      <c r="AN787" s="241" t="s">
        <v>86</v>
      </c>
      <c r="AP787" s="136"/>
      <c r="AQ787" s="187" t="s">
        <v>228</v>
      </c>
      <c r="AR787" s="241" t="s">
        <v>86</v>
      </c>
      <c r="AT787" s="136"/>
      <c r="AU787" s="187" t="s">
        <v>228</v>
      </c>
      <c r="AV787" s="241" t="s">
        <v>86</v>
      </c>
      <c r="AX787" s="136"/>
      <c r="AY787" s="187" t="s">
        <v>228</v>
      </c>
      <c r="AZ787" s="241" t="s">
        <v>86</v>
      </c>
      <c r="BB787" s="136"/>
      <c r="BC787" s="187" t="s">
        <v>228</v>
      </c>
      <c r="BD787" s="241" t="s">
        <v>86</v>
      </c>
      <c r="BF787" s="136"/>
      <c r="BG787" s="187" t="s">
        <v>228</v>
      </c>
      <c r="BH787" s="241" t="s">
        <v>86</v>
      </c>
      <c r="BJ787" s="136"/>
      <c r="BK787" s="187" t="s">
        <v>228</v>
      </c>
      <c r="BL787" s="241" t="s">
        <v>86</v>
      </c>
      <c r="BN787" s="136"/>
      <c r="BO787" s="187" t="s">
        <v>228</v>
      </c>
      <c r="BP787" s="241" t="s">
        <v>86</v>
      </c>
      <c r="BR787" s="136"/>
      <c r="BS787" s="187" t="s">
        <v>228</v>
      </c>
      <c r="BT787" s="241" t="s">
        <v>86</v>
      </c>
    </row>
    <row r="788" spans="1:72" x14ac:dyDescent="0.15">
      <c r="A788" s="181"/>
      <c r="B788" s="140" t="s">
        <v>85</v>
      </c>
      <c r="C788" s="140"/>
      <c r="D788" s="231"/>
      <c r="E788" s="128"/>
      <c r="F788" s="136"/>
      <c r="G788" s="187" t="s">
        <v>229</v>
      </c>
      <c r="H788" s="179"/>
      <c r="J788" s="136"/>
      <c r="K788" s="187" t="s">
        <v>229</v>
      </c>
      <c r="L788" s="241" t="s">
        <v>86</v>
      </c>
      <c r="N788" s="136"/>
      <c r="O788" s="187" t="s">
        <v>229</v>
      </c>
      <c r="P788" s="241" t="s">
        <v>86</v>
      </c>
      <c r="R788" s="136"/>
      <c r="S788" s="187" t="s">
        <v>229</v>
      </c>
      <c r="T788" s="241" t="s">
        <v>86</v>
      </c>
      <c r="V788" s="136"/>
      <c r="W788" s="187" t="s">
        <v>229</v>
      </c>
      <c r="X788" s="241" t="s">
        <v>86</v>
      </c>
      <c r="Z788" s="136"/>
      <c r="AA788" s="187" t="s">
        <v>229</v>
      </c>
      <c r="AB788" s="241" t="s">
        <v>86</v>
      </c>
      <c r="AD788" s="136"/>
      <c r="AE788" s="187" t="s">
        <v>229</v>
      </c>
      <c r="AF788" s="241" t="s">
        <v>86</v>
      </c>
      <c r="AH788" s="136"/>
      <c r="AI788" s="187" t="s">
        <v>229</v>
      </c>
      <c r="AJ788" s="241" t="s">
        <v>86</v>
      </c>
      <c r="AL788" s="136"/>
      <c r="AM788" s="187" t="s">
        <v>229</v>
      </c>
      <c r="AN788" s="241" t="s">
        <v>86</v>
      </c>
      <c r="AP788" s="136"/>
      <c r="AQ788" s="187" t="s">
        <v>229</v>
      </c>
      <c r="AR788" s="241" t="s">
        <v>86</v>
      </c>
      <c r="AT788" s="136"/>
      <c r="AU788" s="187" t="s">
        <v>229</v>
      </c>
      <c r="AV788" s="241" t="s">
        <v>86</v>
      </c>
      <c r="AX788" s="136"/>
      <c r="AY788" s="187" t="s">
        <v>229</v>
      </c>
      <c r="AZ788" s="241" t="s">
        <v>86</v>
      </c>
      <c r="BB788" s="136"/>
      <c r="BC788" s="187" t="s">
        <v>229</v>
      </c>
      <c r="BD788" s="241" t="s">
        <v>86</v>
      </c>
      <c r="BF788" s="136"/>
      <c r="BG788" s="187" t="s">
        <v>229</v>
      </c>
      <c r="BH788" s="241" t="s">
        <v>86</v>
      </c>
      <c r="BJ788" s="136"/>
      <c r="BK788" s="187" t="s">
        <v>229</v>
      </c>
      <c r="BL788" s="241" t="s">
        <v>86</v>
      </c>
      <c r="BN788" s="136"/>
      <c r="BO788" s="187" t="s">
        <v>229</v>
      </c>
      <c r="BP788" s="241" t="s">
        <v>86</v>
      </c>
      <c r="BR788" s="136"/>
      <c r="BS788" s="187" t="s">
        <v>229</v>
      </c>
      <c r="BT788" s="241" t="s">
        <v>86</v>
      </c>
    </row>
    <row r="789" spans="1:72" x14ac:dyDescent="0.15">
      <c r="A789" s="181"/>
      <c r="B789" s="140" t="s">
        <v>85</v>
      </c>
      <c r="C789" s="140"/>
      <c r="D789" s="231"/>
      <c r="E789" s="128"/>
      <c r="F789" s="136"/>
      <c r="G789" s="187" t="s">
        <v>230</v>
      </c>
      <c r="H789" s="179"/>
      <c r="J789" s="136"/>
      <c r="K789" s="187" t="s">
        <v>230</v>
      </c>
      <c r="L789" s="241" t="s">
        <v>86</v>
      </c>
      <c r="N789" s="136"/>
      <c r="O789" s="187" t="s">
        <v>230</v>
      </c>
      <c r="P789" s="241" t="s">
        <v>86</v>
      </c>
      <c r="R789" s="136"/>
      <c r="S789" s="187" t="s">
        <v>230</v>
      </c>
      <c r="T789" s="241" t="s">
        <v>86</v>
      </c>
      <c r="V789" s="136"/>
      <c r="W789" s="187" t="s">
        <v>230</v>
      </c>
      <c r="X789" s="241" t="s">
        <v>86</v>
      </c>
      <c r="Z789" s="136"/>
      <c r="AA789" s="187" t="s">
        <v>230</v>
      </c>
      <c r="AB789" s="241" t="s">
        <v>86</v>
      </c>
      <c r="AD789" s="136"/>
      <c r="AE789" s="187" t="s">
        <v>230</v>
      </c>
      <c r="AF789" s="241" t="s">
        <v>86</v>
      </c>
      <c r="AH789" s="136"/>
      <c r="AI789" s="187" t="s">
        <v>230</v>
      </c>
      <c r="AJ789" s="241" t="s">
        <v>86</v>
      </c>
      <c r="AL789" s="136"/>
      <c r="AM789" s="187" t="s">
        <v>230</v>
      </c>
      <c r="AN789" s="241" t="s">
        <v>86</v>
      </c>
      <c r="AP789" s="136"/>
      <c r="AQ789" s="187" t="s">
        <v>230</v>
      </c>
      <c r="AR789" s="241" t="s">
        <v>86</v>
      </c>
      <c r="AT789" s="136"/>
      <c r="AU789" s="187" t="s">
        <v>230</v>
      </c>
      <c r="AV789" s="241" t="s">
        <v>86</v>
      </c>
      <c r="AX789" s="136"/>
      <c r="AY789" s="187" t="s">
        <v>230</v>
      </c>
      <c r="AZ789" s="241" t="s">
        <v>86</v>
      </c>
      <c r="BB789" s="136"/>
      <c r="BC789" s="187" t="s">
        <v>230</v>
      </c>
      <c r="BD789" s="241" t="s">
        <v>86</v>
      </c>
      <c r="BF789" s="136"/>
      <c r="BG789" s="187" t="s">
        <v>230</v>
      </c>
      <c r="BH789" s="241" t="s">
        <v>86</v>
      </c>
      <c r="BJ789" s="136"/>
      <c r="BK789" s="187" t="s">
        <v>230</v>
      </c>
      <c r="BL789" s="241" t="s">
        <v>86</v>
      </c>
      <c r="BN789" s="136"/>
      <c r="BO789" s="187" t="s">
        <v>230</v>
      </c>
      <c r="BP789" s="241" t="s">
        <v>86</v>
      </c>
      <c r="BR789" s="136"/>
      <c r="BS789" s="187" t="s">
        <v>230</v>
      </c>
      <c r="BT789" s="241" t="s">
        <v>86</v>
      </c>
    </row>
    <row r="790" spans="1:72" x14ac:dyDescent="0.15">
      <c r="A790" s="181"/>
      <c r="B790" s="140" t="s">
        <v>85</v>
      </c>
      <c r="C790" s="140"/>
      <c r="D790" s="231"/>
      <c r="E790" s="128"/>
      <c r="F790" s="136"/>
      <c r="G790" s="187" t="s">
        <v>231</v>
      </c>
      <c r="H790" s="179"/>
      <c r="J790" s="136"/>
      <c r="K790" s="187" t="s">
        <v>231</v>
      </c>
      <c r="L790" s="241" t="s">
        <v>86</v>
      </c>
      <c r="N790" s="136"/>
      <c r="O790" s="187" t="s">
        <v>231</v>
      </c>
      <c r="P790" s="241" t="s">
        <v>86</v>
      </c>
      <c r="R790" s="136"/>
      <c r="S790" s="187" t="s">
        <v>231</v>
      </c>
      <c r="T790" s="241" t="s">
        <v>86</v>
      </c>
      <c r="V790" s="136"/>
      <c r="W790" s="187" t="s">
        <v>231</v>
      </c>
      <c r="X790" s="241" t="s">
        <v>86</v>
      </c>
      <c r="Z790" s="136"/>
      <c r="AA790" s="187" t="s">
        <v>231</v>
      </c>
      <c r="AB790" s="241" t="s">
        <v>86</v>
      </c>
      <c r="AD790" s="136"/>
      <c r="AE790" s="187" t="s">
        <v>231</v>
      </c>
      <c r="AF790" s="241" t="s">
        <v>86</v>
      </c>
      <c r="AH790" s="136"/>
      <c r="AI790" s="187" t="s">
        <v>231</v>
      </c>
      <c r="AJ790" s="241" t="s">
        <v>86</v>
      </c>
      <c r="AL790" s="136"/>
      <c r="AM790" s="187" t="s">
        <v>231</v>
      </c>
      <c r="AN790" s="241" t="s">
        <v>86</v>
      </c>
      <c r="AP790" s="136"/>
      <c r="AQ790" s="187" t="s">
        <v>231</v>
      </c>
      <c r="AR790" s="241" t="s">
        <v>86</v>
      </c>
      <c r="AT790" s="136"/>
      <c r="AU790" s="187" t="s">
        <v>231</v>
      </c>
      <c r="AV790" s="241" t="s">
        <v>86</v>
      </c>
      <c r="AX790" s="136"/>
      <c r="AY790" s="187" t="s">
        <v>231</v>
      </c>
      <c r="AZ790" s="241" t="s">
        <v>86</v>
      </c>
      <c r="BB790" s="136"/>
      <c r="BC790" s="187" t="s">
        <v>231</v>
      </c>
      <c r="BD790" s="241" t="s">
        <v>86</v>
      </c>
      <c r="BF790" s="136"/>
      <c r="BG790" s="187" t="s">
        <v>231</v>
      </c>
      <c r="BH790" s="241" t="s">
        <v>86</v>
      </c>
      <c r="BJ790" s="136"/>
      <c r="BK790" s="187" t="s">
        <v>231</v>
      </c>
      <c r="BL790" s="241" t="s">
        <v>86</v>
      </c>
      <c r="BN790" s="136"/>
      <c r="BO790" s="187" t="s">
        <v>231</v>
      </c>
      <c r="BP790" s="241" t="s">
        <v>86</v>
      </c>
      <c r="BR790" s="136"/>
      <c r="BS790" s="187" t="s">
        <v>231</v>
      </c>
      <c r="BT790" s="241" t="s">
        <v>86</v>
      </c>
    </row>
    <row r="791" spans="1:72" x14ac:dyDescent="0.15">
      <c r="A791" s="181"/>
      <c r="B791" s="140" t="s">
        <v>85</v>
      </c>
      <c r="C791" s="140"/>
      <c r="D791" s="231"/>
      <c r="E791" s="128"/>
      <c r="F791" s="136"/>
      <c r="G791" s="187" t="s">
        <v>227</v>
      </c>
      <c r="H791" s="179"/>
      <c r="J791" s="136"/>
      <c r="K791" s="187" t="s">
        <v>227</v>
      </c>
      <c r="L791" s="241" t="s">
        <v>86</v>
      </c>
      <c r="N791" s="136"/>
      <c r="O791" s="187" t="s">
        <v>227</v>
      </c>
      <c r="P791" s="241" t="s">
        <v>86</v>
      </c>
      <c r="R791" s="136"/>
      <c r="S791" s="187" t="s">
        <v>227</v>
      </c>
      <c r="T791" s="241" t="s">
        <v>86</v>
      </c>
      <c r="V791" s="136"/>
      <c r="W791" s="187" t="s">
        <v>227</v>
      </c>
      <c r="X791" s="241" t="s">
        <v>86</v>
      </c>
      <c r="Z791" s="136"/>
      <c r="AA791" s="187" t="s">
        <v>227</v>
      </c>
      <c r="AB791" s="241" t="s">
        <v>86</v>
      </c>
      <c r="AD791" s="136"/>
      <c r="AE791" s="187" t="s">
        <v>227</v>
      </c>
      <c r="AF791" s="241" t="s">
        <v>86</v>
      </c>
      <c r="AH791" s="136"/>
      <c r="AI791" s="187" t="s">
        <v>227</v>
      </c>
      <c r="AJ791" s="241" t="s">
        <v>86</v>
      </c>
      <c r="AL791" s="136"/>
      <c r="AM791" s="187" t="s">
        <v>227</v>
      </c>
      <c r="AN791" s="241" t="s">
        <v>86</v>
      </c>
      <c r="AP791" s="136"/>
      <c r="AQ791" s="187" t="s">
        <v>227</v>
      </c>
      <c r="AR791" s="241" t="s">
        <v>86</v>
      </c>
      <c r="AT791" s="136"/>
      <c r="AU791" s="187" t="s">
        <v>227</v>
      </c>
      <c r="AV791" s="241" t="s">
        <v>86</v>
      </c>
      <c r="AX791" s="136"/>
      <c r="AY791" s="187" t="s">
        <v>227</v>
      </c>
      <c r="AZ791" s="241" t="s">
        <v>86</v>
      </c>
      <c r="BB791" s="136"/>
      <c r="BC791" s="187" t="s">
        <v>227</v>
      </c>
      <c r="BD791" s="241" t="s">
        <v>86</v>
      </c>
      <c r="BF791" s="136"/>
      <c r="BG791" s="187" t="s">
        <v>227</v>
      </c>
      <c r="BH791" s="241" t="s">
        <v>86</v>
      </c>
      <c r="BJ791" s="136"/>
      <c r="BK791" s="187" t="s">
        <v>227</v>
      </c>
      <c r="BL791" s="241" t="s">
        <v>86</v>
      </c>
      <c r="BN791" s="136"/>
      <c r="BO791" s="187" t="s">
        <v>227</v>
      </c>
      <c r="BP791" s="241" t="s">
        <v>86</v>
      </c>
      <c r="BR791" s="136"/>
      <c r="BS791" s="187" t="s">
        <v>227</v>
      </c>
      <c r="BT791" s="241" t="s">
        <v>86</v>
      </c>
    </row>
    <row r="792" spans="1:72" x14ac:dyDescent="0.15">
      <c r="A792" s="175"/>
      <c r="B792" s="176"/>
      <c r="C792" s="176"/>
      <c r="D792" s="231"/>
      <c r="E792" s="128"/>
      <c r="F792" s="136"/>
      <c r="G792" s="147"/>
      <c r="H792" s="179"/>
      <c r="J792" s="136"/>
      <c r="K792" s="147"/>
      <c r="L792" s="241"/>
      <c r="N792" s="136"/>
      <c r="O792" s="147"/>
      <c r="P792" s="241"/>
      <c r="R792" s="136"/>
      <c r="S792" s="147"/>
      <c r="T792" s="241"/>
      <c r="V792" s="136"/>
      <c r="W792" s="147"/>
      <c r="X792" s="241"/>
      <c r="Z792" s="136"/>
      <c r="AA792" s="147"/>
      <c r="AB792" s="241"/>
      <c r="AD792" s="136"/>
      <c r="AE792" s="147"/>
      <c r="AF792" s="241"/>
      <c r="AH792" s="136"/>
      <c r="AI792" s="147"/>
      <c r="AJ792" s="241"/>
      <c r="AL792" s="136"/>
      <c r="AM792" s="147"/>
      <c r="AN792" s="241"/>
      <c r="AP792" s="136"/>
      <c r="AQ792" s="147"/>
      <c r="AR792" s="241"/>
      <c r="AT792" s="136"/>
      <c r="AU792" s="147"/>
      <c r="AV792" s="241"/>
      <c r="AX792" s="136"/>
      <c r="AY792" s="147"/>
      <c r="AZ792" s="241"/>
      <c r="BB792" s="136"/>
      <c r="BC792" s="147"/>
      <c r="BD792" s="241"/>
      <c r="BF792" s="136"/>
      <c r="BG792" s="147"/>
      <c r="BH792" s="241"/>
      <c r="BJ792" s="136"/>
      <c r="BK792" s="147"/>
      <c r="BL792" s="241"/>
      <c r="BN792" s="136"/>
      <c r="BO792" s="147"/>
      <c r="BP792" s="241"/>
      <c r="BR792" s="136"/>
      <c r="BS792" s="147"/>
      <c r="BT792" s="241"/>
    </row>
    <row r="793" spans="1:72" x14ac:dyDescent="0.15">
      <c r="A793" s="176"/>
      <c r="B793" s="176"/>
      <c r="C793" s="176"/>
      <c r="D793" s="231"/>
      <c r="E793" s="128"/>
      <c r="F793" s="154"/>
      <c r="G793" s="147"/>
      <c r="H793" s="179"/>
      <c r="J793" s="154"/>
      <c r="K793" s="147"/>
      <c r="L793" s="241"/>
      <c r="N793" s="154"/>
      <c r="O793" s="147"/>
      <c r="P793" s="241"/>
      <c r="R793" s="154"/>
      <c r="S793" s="147"/>
      <c r="T793" s="241"/>
      <c r="V793" s="154"/>
      <c r="W793" s="147"/>
      <c r="X793" s="241"/>
      <c r="Z793" s="154"/>
      <c r="AA793" s="147"/>
      <c r="AB793" s="241"/>
      <c r="AD793" s="154"/>
      <c r="AE793" s="147"/>
      <c r="AF793" s="241"/>
      <c r="AH793" s="154"/>
      <c r="AI793" s="147"/>
      <c r="AJ793" s="241"/>
      <c r="AL793" s="154"/>
      <c r="AM793" s="147"/>
      <c r="AN793" s="241"/>
      <c r="AP793" s="154"/>
      <c r="AQ793" s="147"/>
      <c r="AR793" s="241"/>
      <c r="AT793" s="154"/>
      <c r="AU793" s="147"/>
      <c r="AV793" s="241"/>
      <c r="AX793" s="154"/>
      <c r="AY793" s="147"/>
      <c r="AZ793" s="241"/>
      <c r="BB793" s="154"/>
      <c r="BC793" s="147"/>
      <c r="BD793" s="241"/>
      <c r="BF793" s="154"/>
      <c r="BG793" s="147"/>
      <c r="BH793" s="241"/>
      <c r="BJ793" s="154"/>
      <c r="BK793" s="147"/>
      <c r="BL793" s="241"/>
      <c r="BN793" s="154"/>
      <c r="BO793" s="147"/>
      <c r="BP793" s="241"/>
      <c r="BR793" s="154"/>
      <c r="BS793" s="147"/>
      <c r="BT793" s="241"/>
    </row>
    <row r="794" spans="1:72" x14ac:dyDescent="0.15">
      <c r="A794" s="230"/>
      <c r="B794" s="176"/>
      <c r="C794" s="176"/>
      <c r="D794" s="231"/>
      <c r="E794" s="128"/>
      <c r="F794" s="233"/>
      <c r="G794" s="147"/>
      <c r="H794" s="179"/>
      <c r="J794" s="233"/>
      <c r="K794" s="147"/>
      <c r="L794" s="241"/>
      <c r="N794" s="233"/>
      <c r="O794" s="147"/>
      <c r="P794" s="241"/>
      <c r="R794" s="233"/>
      <c r="S794" s="147"/>
      <c r="T794" s="241"/>
      <c r="V794" s="233"/>
      <c r="W794" s="147"/>
      <c r="X794" s="241"/>
      <c r="Z794" s="233"/>
      <c r="AA794" s="147"/>
      <c r="AB794" s="241"/>
      <c r="AD794" s="233"/>
      <c r="AE794" s="147"/>
      <c r="AF794" s="241"/>
      <c r="AH794" s="233"/>
      <c r="AI794" s="147"/>
      <c r="AJ794" s="241"/>
      <c r="AL794" s="233"/>
      <c r="AM794" s="147"/>
      <c r="AN794" s="241"/>
      <c r="AP794" s="233"/>
      <c r="AQ794" s="147"/>
      <c r="AR794" s="241"/>
      <c r="AT794" s="233"/>
      <c r="AU794" s="147"/>
      <c r="AV794" s="241"/>
      <c r="AX794" s="233"/>
      <c r="AY794" s="147"/>
      <c r="AZ794" s="241"/>
      <c r="BB794" s="233"/>
      <c r="BC794" s="147"/>
      <c r="BD794" s="241"/>
      <c r="BF794" s="233"/>
      <c r="BG794" s="147"/>
      <c r="BH794" s="241"/>
      <c r="BJ794" s="233"/>
      <c r="BK794" s="147"/>
      <c r="BL794" s="241"/>
      <c r="BN794" s="233"/>
      <c r="BO794" s="147"/>
      <c r="BP794" s="241"/>
      <c r="BR794" s="233"/>
      <c r="BS794" s="147"/>
      <c r="BT794" s="241"/>
    </row>
    <row r="795" spans="1:72" x14ac:dyDescent="0.15">
      <c r="A795" s="230"/>
      <c r="B795" s="146"/>
      <c r="C795" s="230"/>
      <c r="D795" s="231"/>
      <c r="E795" s="128"/>
      <c r="F795" s="136" t="s">
        <v>1054</v>
      </c>
      <c r="G795" s="185"/>
      <c r="H795" s="232"/>
      <c r="J795" s="136" t="s">
        <v>1054</v>
      </c>
      <c r="K795" s="185"/>
      <c r="L795" s="245"/>
      <c r="N795" s="136" t="s">
        <v>1054</v>
      </c>
      <c r="O795" s="185"/>
      <c r="P795" s="245"/>
      <c r="R795" s="136" t="s">
        <v>1054</v>
      </c>
      <c r="S795" s="185"/>
      <c r="T795" s="245"/>
      <c r="V795" s="136" t="s">
        <v>1054</v>
      </c>
      <c r="W795" s="185"/>
      <c r="X795" s="245"/>
      <c r="Z795" s="136" t="s">
        <v>1054</v>
      </c>
      <c r="AA795" s="185"/>
      <c r="AB795" s="245"/>
      <c r="AD795" s="136" t="s">
        <v>1054</v>
      </c>
      <c r="AE795" s="185"/>
      <c r="AF795" s="245"/>
      <c r="AH795" s="136" t="s">
        <v>1054</v>
      </c>
      <c r="AI795" s="185"/>
      <c r="AJ795" s="245"/>
      <c r="AL795" s="136" t="s">
        <v>1054</v>
      </c>
      <c r="AM795" s="185"/>
      <c r="AN795" s="245"/>
      <c r="AP795" s="136" t="s">
        <v>1054</v>
      </c>
      <c r="AQ795" s="185"/>
      <c r="AR795" s="245"/>
      <c r="AT795" s="136" t="s">
        <v>1054</v>
      </c>
      <c r="AU795" s="185"/>
      <c r="AV795" s="245"/>
      <c r="AX795" s="136" t="s">
        <v>1054</v>
      </c>
      <c r="AY795" s="185"/>
      <c r="AZ795" s="245"/>
      <c r="BB795" s="136" t="s">
        <v>1054</v>
      </c>
      <c r="BC795" s="185"/>
      <c r="BD795" s="245"/>
      <c r="BF795" s="136" t="s">
        <v>1054</v>
      </c>
      <c r="BG795" s="185"/>
      <c r="BH795" s="245"/>
      <c r="BJ795" s="136" t="s">
        <v>1054</v>
      </c>
      <c r="BK795" s="185"/>
      <c r="BL795" s="245"/>
      <c r="BN795" s="136" t="s">
        <v>1054</v>
      </c>
      <c r="BO795" s="185"/>
      <c r="BP795" s="245"/>
      <c r="BR795" s="136" t="s">
        <v>1054</v>
      </c>
      <c r="BS795" s="185"/>
      <c r="BT795" s="245"/>
    </row>
    <row r="796" spans="1:72" x14ac:dyDescent="0.15">
      <c r="A796" s="134" t="s">
        <v>447</v>
      </c>
      <c r="B796" s="135" t="s">
        <v>448</v>
      </c>
      <c r="C796" s="135" t="s">
        <v>449</v>
      </c>
      <c r="D796" s="231"/>
      <c r="E796" s="128"/>
      <c r="F796" s="136"/>
      <c r="G796" s="137" t="s">
        <v>125</v>
      </c>
      <c r="H796" s="138" t="s">
        <v>450</v>
      </c>
      <c r="J796" s="136"/>
      <c r="K796" s="137" t="s">
        <v>125</v>
      </c>
      <c r="L796" s="229" t="s">
        <v>450</v>
      </c>
      <c r="N796" s="136"/>
      <c r="O796" s="137" t="s">
        <v>125</v>
      </c>
      <c r="P796" s="229" t="s">
        <v>450</v>
      </c>
      <c r="R796" s="136"/>
      <c r="S796" s="137" t="s">
        <v>125</v>
      </c>
      <c r="T796" s="229" t="s">
        <v>450</v>
      </c>
      <c r="V796" s="136"/>
      <c r="W796" s="137" t="s">
        <v>125</v>
      </c>
      <c r="X796" s="229" t="s">
        <v>450</v>
      </c>
      <c r="Z796" s="136"/>
      <c r="AA796" s="137" t="s">
        <v>125</v>
      </c>
      <c r="AB796" s="229" t="s">
        <v>450</v>
      </c>
      <c r="AD796" s="136"/>
      <c r="AE796" s="137" t="s">
        <v>125</v>
      </c>
      <c r="AF796" s="229" t="s">
        <v>450</v>
      </c>
      <c r="AH796" s="136"/>
      <c r="AI796" s="137" t="s">
        <v>125</v>
      </c>
      <c r="AJ796" s="229" t="s">
        <v>450</v>
      </c>
      <c r="AL796" s="136"/>
      <c r="AM796" s="137" t="s">
        <v>125</v>
      </c>
      <c r="AN796" s="229" t="s">
        <v>450</v>
      </c>
      <c r="AP796" s="136"/>
      <c r="AQ796" s="137" t="s">
        <v>125</v>
      </c>
      <c r="AR796" s="229" t="s">
        <v>450</v>
      </c>
      <c r="AT796" s="136"/>
      <c r="AU796" s="137" t="s">
        <v>125</v>
      </c>
      <c r="AV796" s="229" t="s">
        <v>450</v>
      </c>
      <c r="AX796" s="136"/>
      <c r="AY796" s="137" t="s">
        <v>125</v>
      </c>
      <c r="AZ796" s="229" t="s">
        <v>450</v>
      </c>
      <c r="BB796" s="136"/>
      <c r="BC796" s="137" t="s">
        <v>125</v>
      </c>
      <c r="BD796" s="229" t="s">
        <v>450</v>
      </c>
      <c r="BF796" s="136"/>
      <c r="BG796" s="137" t="s">
        <v>125</v>
      </c>
      <c r="BH796" s="229" t="s">
        <v>450</v>
      </c>
      <c r="BJ796" s="136"/>
      <c r="BK796" s="137" t="s">
        <v>125</v>
      </c>
      <c r="BL796" s="229" t="s">
        <v>450</v>
      </c>
      <c r="BN796" s="136"/>
      <c r="BO796" s="137" t="s">
        <v>125</v>
      </c>
      <c r="BP796" s="229" t="s">
        <v>450</v>
      </c>
      <c r="BR796" s="136"/>
      <c r="BS796" s="137" t="s">
        <v>125</v>
      </c>
      <c r="BT796" s="229" t="s">
        <v>450</v>
      </c>
    </row>
    <row r="797" spans="1:72" x14ac:dyDescent="0.15">
      <c r="A797" s="182"/>
      <c r="B797" s="168" t="s">
        <v>85</v>
      </c>
      <c r="C797" s="140"/>
      <c r="D797" s="170"/>
      <c r="E797" s="130"/>
      <c r="F797" s="136"/>
      <c r="G797" s="141" t="s">
        <v>220</v>
      </c>
      <c r="H797" s="179"/>
      <c r="J797" s="136"/>
      <c r="K797" s="141" t="s">
        <v>220</v>
      </c>
      <c r="L797" s="241" t="s">
        <v>86</v>
      </c>
      <c r="N797" s="136"/>
      <c r="O797" s="141" t="s">
        <v>220</v>
      </c>
      <c r="P797" s="241" t="s">
        <v>86</v>
      </c>
      <c r="R797" s="136"/>
      <c r="S797" s="141" t="s">
        <v>220</v>
      </c>
      <c r="T797" s="241" t="s">
        <v>86</v>
      </c>
      <c r="V797" s="136"/>
      <c r="W797" s="141" t="s">
        <v>220</v>
      </c>
      <c r="X797" s="248" t="s">
        <v>440</v>
      </c>
      <c r="Z797" s="136"/>
      <c r="AA797" s="141" t="s">
        <v>220</v>
      </c>
      <c r="AB797" s="241" t="s">
        <v>86</v>
      </c>
      <c r="AD797" s="136"/>
      <c r="AE797" s="141" t="s">
        <v>220</v>
      </c>
      <c r="AF797" s="248" t="s">
        <v>440</v>
      </c>
      <c r="AH797" s="136"/>
      <c r="AI797" s="141" t="s">
        <v>220</v>
      </c>
      <c r="AJ797" s="241" t="s">
        <v>86</v>
      </c>
      <c r="AL797" s="136"/>
      <c r="AM797" s="141" t="s">
        <v>220</v>
      </c>
      <c r="AN797" s="241" t="s">
        <v>86</v>
      </c>
      <c r="AP797" s="136"/>
      <c r="AQ797" s="141" t="s">
        <v>220</v>
      </c>
      <c r="AR797" s="241" t="s">
        <v>86</v>
      </c>
      <c r="AT797" s="136"/>
      <c r="AU797" s="141" t="s">
        <v>220</v>
      </c>
      <c r="AV797" s="241" t="s">
        <v>86</v>
      </c>
      <c r="AX797" s="136"/>
      <c r="AY797" s="141" t="s">
        <v>220</v>
      </c>
      <c r="AZ797" s="248" t="s">
        <v>440</v>
      </c>
      <c r="BB797" s="136"/>
      <c r="BC797" s="141" t="s">
        <v>220</v>
      </c>
      <c r="BD797" s="241" t="s">
        <v>86</v>
      </c>
      <c r="BF797" s="136"/>
      <c r="BG797" s="141" t="s">
        <v>220</v>
      </c>
      <c r="BH797" s="241" t="s">
        <v>86</v>
      </c>
      <c r="BJ797" s="136"/>
      <c r="BK797" s="141" t="s">
        <v>220</v>
      </c>
      <c r="BL797" s="248" t="s">
        <v>440</v>
      </c>
      <c r="BN797" s="136"/>
      <c r="BO797" s="141" t="s">
        <v>220</v>
      </c>
      <c r="BP797" s="241" t="s">
        <v>86</v>
      </c>
      <c r="BR797" s="136"/>
      <c r="BS797" s="141" t="s">
        <v>220</v>
      </c>
      <c r="BT797" s="241" t="s">
        <v>86</v>
      </c>
    </row>
    <row r="798" spans="1:72" x14ac:dyDescent="0.15">
      <c r="A798" s="182"/>
      <c r="B798" s="168" t="s">
        <v>287</v>
      </c>
      <c r="C798" s="140"/>
      <c r="D798" s="170"/>
      <c r="E798" s="130"/>
      <c r="F798" s="136"/>
      <c r="G798" s="141" t="s">
        <v>222</v>
      </c>
      <c r="H798" s="179"/>
      <c r="J798" s="136"/>
      <c r="K798" s="141" t="s">
        <v>222</v>
      </c>
      <c r="L798" s="241" t="s">
        <v>440</v>
      </c>
      <c r="N798" s="136"/>
      <c r="O798" s="141" t="s">
        <v>222</v>
      </c>
      <c r="P798" s="241" t="s">
        <v>440</v>
      </c>
      <c r="R798" s="136"/>
      <c r="S798" s="141" t="s">
        <v>222</v>
      </c>
      <c r="T798" s="241" t="s">
        <v>440</v>
      </c>
      <c r="V798" s="136"/>
      <c r="W798" s="141" t="s">
        <v>222</v>
      </c>
      <c r="X798" s="241" t="s">
        <v>440</v>
      </c>
      <c r="Z798" s="136"/>
      <c r="AA798" s="141" t="s">
        <v>222</v>
      </c>
      <c r="AB798" s="241" t="s">
        <v>440</v>
      </c>
      <c r="AD798" s="136"/>
      <c r="AE798" s="141" t="s">
        <v>222</v>
      </c>
      <c r="AF798" s="241" t="s">
        <v>440</v>
      </c>
      <c r="AH798" s="136"/>
      <c r="AI798" s="141" t="s">
        <v>222</v>
      </c>
      <c r="AJ798" s="241" t="s">
        <v>440</v>
      </c>
      <c r="AL798" s="136"/>
      <c r="AM798" s="141" t="s">
        <v>222</v>
      </c>
      <c r="AN798" s="241" t="s">
        <v>440</v>
      </c>
      <c r="AP798" s="136"/>
      <c r="AQ798" s="141" t="s">
        <v>222</v>
      </c>
      <c r="AR798" s="241" t="s">
        <v>440</v>
      </c>
      <c r="AT798" s="136"/>
      <c r="AU798" s="141" t="s">
        <v>222</v>
      </c>
      <c r="AV798" s="241" t="s">
        <v>440</v>
      </c>
      <c r="AX798" s="136"/>
      <c r="AY798" s="141" t="s">
        <v>222</v>
      </c>
      <c r="AZ798" s="241" t="s">
        <v>440</v>
      </c>
      <c r="BB798" s="136"/>
      <c r="BC798" s="141" t="s">
        <v>222</v>
      </c>
      <c r="BD798" s="241" t="s">
        <v>440</v>
      </c>
      <c r="BF798" s="136"/>
      <c r="BG798" s="141" t="s">
        <v>222</v>
      </c>
      <c r="BH798" s="241" t="s">
        <v>440</v>
      </c>
      <c r="BJ798" s="136"/>
      <c r="BK798" s="141" t="s">
        <v>222</v>
      </c>
      <c r="BL798" s="241" t="s">
        <v>440</v>
      </c>
      <c r="BN798" s="136"/>
      <c r="BO798" s="141" t="s">
        <v>222</v>
      </c>
      <c r="BP798" s="241" t="s">
        <v>440</v>
      </c>
      <c r="BR798" s="136"/>
      <c r="BS798" s="141" t="s">
        <v>222</v>
      </c>
      <c r="BT798" s="241" t="s">
        <v>440</v>
      </c>
    </row>
    <row r="799" spans="1:72" x14ac:dyDescent="0.15">
      <c r="A799" s="182"/>
      <c r="B799" s="168" t="s">
        <v>1074</v>
      </c>
      <c r="C799" s="140"/>
      <c r="D799" s="170"/>
      <c r="E799" s="130"/>
      <c r="F799" s="136"/>
      <c r="G799" s="141" t="s">
        <v>223</v>
      </c>
      <c r="H799" s="179"/>
      <c r="J799" s="136"/>
      <c r="K799" s="141" t="s">
        <v>223</v>
      </c>
      <c r="L799" s="241" t="s">
        <v>1154</v>
      </c>
      <c r="N799" s="136"/>
      <c r="O799" s="141" t="s">
        <v>223</v>
      </c>
      <c r="P799" s="241" t="s">
        <v>1154</v>
      </c>
      <c r="R799" s="136"/>
      <c r="S799" s="141" t="s">
        <v>223</v>
      </c>
      <c r="T799" s="241" t="s">
        <v>1154</v>
      </c>
      <c r="V799" s="136"/>
      <c r="W799" s="141" t="s">
        <v>223</v>
      </c>
      <c r="X799" s="241" t="s">
        <v>1154</v>
      </c>
      <c r="Z799" s="136"/>
      <c r="AA799" s="141" t="s">
        <v>223</v>
      </c>
      <c r="AB799" s="241" t="s">
        <v>1154</v>
      </c>
      <c r="AD799" s="136"/>
      <c r="AE799" s="141" t="s">
        <v>223</v>
      </c>
      <c r="AF799" s="241" t="s">
        <v>1154</v>
      </c>
      <c r="AH799" s="136"/>
      <c r="AI799" s="141" t="s">
        <v>223</v>
      </c>
      <c r="AJ799" s="241" t="s">
        <v>1154</v>
      </c>
      <c r="AL799" s="136"/>
      <c r="AM799" s="141" t="s">
        <v>223</v>
      </c>
      <c r="AN799" s="241" t="s">
        <v>1154</v>
      </c>
      <c r="AP799" s="136"/>
      <c r="AQ799" s="141" t="s">
        <v>223</v>
      </c>
      <c r="AR799" s="241" t="s">
        <v>1154</v>
      </c>
      <c r="AT799" s="136"/>
      <c r="AU799" s="141" t="s">
        <v>223</v>
      </c>
      <c r="AV799" s="241" t="s">
        <v>1154</v>
      </c>
      <c r="AX799" s="136"/>
      <c r="AY799" s="141" t="s">
        <v>223</v>
      </c>
      <c r="AZ799" s="241" t="s">
        <v>1154</v>
      </c>
      <c r="BB799" s="136"/>
      <c r="BC799" s="141" t="s">
        <v>223</v>
      </c>
      <c r="BD799" s="241" t="s">
        <v>1154</v>
      </c>
      <c r="BF799" s="136"/>
      <c r="BG799" s="141" t="s">
        <v>223</v>
      </c>
      <c r="BH799" s="241" t="s">
        <v>1154</v>
      </c>
      <c r="BJ799" s="136"/>
      <c r="BK799" s="141" t="s">
        <v>223</v>
      </c>
      <c r="BL799" s="248" t="s">
        <v>1191</v>
      </c>
      <c r="BN799" s="136"/>
      <c r="BO799" s="141" t="s">
        <v>223</v>
      </c>
      <c r="BP799" s="241" t="s">
        <v>1154</v>
      </c>
      <c r="BR799" s="136"/>
      <c r="BS799" s="141" t="s">
        <v>223</v>
      </c>
      <c r="BT799" s="241" t="s">
        <v>1154</v>
      </c>
    </row>
    <row r="800" spans="1:72" x14ac:dyDescent="0.15">
      <c r="A800" s="175"/>
      <c r="B800" s="176"/>
      <c r="C800" s="176"/>
      <c r="D800" s="231"/>
      <c r="E800" s="128"/>
      <c r="F800" s="136"/>
      <c r="G800" s="147"/>
      <c r="H800" s="179"/>
      <c r="J800" s="136"/>
      <c r="K800" s="147"/>
      <c r="L800" s="241"/>
      <c r="N800" s="136"/>
      <c r="O800" s="147"/>
      <c r="P800" s="241"/>
      <c r="R800" s="136"/>
      <c r="S800" s="147"/>
      <c r="T800" s="241"/>
      <c r="V800" s="136"/>
      <c r="W800" s="147"/>
      <c r="X800" s="241"/>
      <c r="Z800" s="136"/>
      <c r="AA800" s="147"/>
      <c r="AB800" s="241"/>
      <c r="AD800" s="136"/>
      <c r="AE800" s="147"/>
      <c r="AF800" s="241"/>
      <c r="AH800" s="136"/>
      <c r="AI800" s="147"/>
      <c r="AJ800" s="241"/>
      <c r="AL800" s="136"/>
      <c r="AM800" s="147"/>
      <c r="AN800" s="241"/>
      <c r="AP800" s="136"/>
      <c r="AQ800" s="147"/>
      <c r="AR800" s="241"/>
      <c r="AT800" s="136"/>
      <c r="AU800" s="147"/>
      <c r="AV800" s="241"/>
      <c r="AX800" s="136"/>
      <c r="AY800" s="147"/>
      <c r="AZ800" s="241"/>
      <c r="BB800" s="136"/>
      <c r="BC800" s="147"/>
      <c r="BD800" s="241"/>
      <c r="BF800" s="136"/>
      <c r="BG800" s="147"/>
      <c r="BH800" s="241"/>
      <c r="BJ800" s="136"/>
      <c r="BK800" s="147"/>
      <c r="BL800" s="241"/>
      <c r="BN800" s="136"/>
      <c r="BO800" s="147"/>
      <c r="BP800" s="241"/>
      <c r="BR800" s="136"/>
      <c r="BS800" s="147"/>
      <c r="BT800" s="241"/>
    </row>
    <row r="801" spans="1:72" x14ac:dyDescent="0.15">
      <c r="A801" s="176"/>
      <c r="B801" s="176"/>
      <c r="C801" s="176"/>
      <c r="D801" s="231"/>
      <c r="E801" s="128"/>
      <c r="F801" s="154"/>
      <c r="G801" s="147"/>
      <c r="H801" s="179"/>
      <c r="J801" s="154"/>
      <c r="K801" s="147"/>
      <c r="L801" s="241"/>
      <c r="N801" s="154"/>
      <c r="O801" s="147"/>
      <c r="P801" s="241"/>
      <c r="R801" s="154"/>
      <c r="S801" s="147"/>
      <c r="T801" s="241"/>
      <c r="V801" s="154"/>
      <c r="W801" s="147"/>
      <c r="X801" s="241"/>
      <c r="Z801" s="154"/>
      <c r="AA801" s="147"/>
      <c r="AB801" s="241"/>
      <c r="AD801" s="154"/>
      <c r="AE801" s="147"/>
      <c r="AF801" s="241"/>
      <c r="AH801" s="154"/>
      <c r="AI801" s="147"/>
      <c r="AJ801" s="241"/>
      <c r="AL801" s="154"/>
      <c r="AM801" s="147"/>
      <c r="AN801" s="241"/>
      <c r="AP801" s="154"/>
      <c r="AQ801" s="147"/>
      <c r="AR801" s="241"/>
      <c r="AT801" s="154"/>
      <c r="AU801" s="147"/>
      <c r="AV801" s="241"/>
      <c r="AX801" s="154"/>
      <c r="AY801" s="147"/>
      <c r="AZ801" s="241"/>
      <c r="BB801" s="154"/>
      <c r="BC801" s="147"/>
      <c r="BD801" s="241"/>
      <c r="BF801" s="154"/>
      <c r="BG801" s="147"/>
      <c r="BH801" s="241"/>
      <c r="BJ801" s="154"/>
      <c r="BK801" s="147"/>
      <c r="BL801" s="241"/>
      <c r="BN801" s="154"/>
      <c r="BO801" s="147"/>
      <c r="BP801" s="241"/>
      <c r="BR801" s="154"/>
      <c r="BS801" s="147"/>
      <c r="BT801" s="241"/>
    </row>
    <row r="802" spans="1:72" x14ac:dyDescent="0.15">
      <c r="A802" s="230"/>
      <c r="B802" s="146"/>
      <c r="C802" s="230"/>
      <c r="D802" s="231"/>
      <c r="E802" s="128"/>
      <c r="F802" s="136" t="s">
        <v>1055</v>
      </c>
      <c r="G802" s="185"/>
      <c r="H802" s="232"/>
      <c r="J802" s="136" t="s">
        <v>1055</v>
      </c>
      <c r="K802" s="185"/>
      <c r="L802" s="245"/>
      <c r="N802" s="136" t="s">
        <v>1055</v>
      </c>
      <c r="O802" s="185"/>
      <c r="P802" s="245"/>
      <c r="R802" s="136" t="s">
        <v>1055</v>
      </c>
      <c r="S802" s="185"/>
      <c r="T802" s="245"/>
      <c r="V802" s="136" t="s">
        <v>1055</v>
      </c>
      <c r="W802" s="185"/>
      <c r="X802" s="245"/>
      <c r="Z802" s="136" t="s">
        <v>1055</v>
      </c>
      <c r="AA802" s="185"/>
      <c r="AB802" s="245"/>
      <c r="AD802" s="136" t="s">
        <v>1055</v>
      </c>
      <c r="AE802" s="185"/>
      <c r="AF802" s="245"/>
      <c r="AH802" s="136" t="s">
        <v>1055</v>
      </c>
      <c r="AI802" s="185"/>
      <c r="AJ802" s="245"/>
      <c r="AL802" s="136" t="s">
        <v>1055</v>
      </c>
      <c r="AM802" s="185"/>
      <c r="AN802" s="245"/>
      <c r="AP802" s="136" t="s">
        <v>1055</v>
      </c>
      <c r="AQ802" s="185"/>
      <c r="AR802" s="245"/>
      <c r="AT802" s="136" t="s">
        <v>1055</v>
      </c>
      <c r="AU802" s="185"/>
      <c r="AV802" s="245"/>
      <c r="AX802" s="136" t="s">
        <v>1055</v>
      </c>
      <c r="AY802" s="185"/>
      <c r="AZ802" s="245"/>
      <c r="BB802" s="136" t="s">
        <v>1055</v>
      </c>
      <c r="BC802" s="185"/>
      <c r="BD802" s="245"/>
      <c r="BF802" s="136" t="s">
        <v>1055</v>
      </c>
      <c r="BG802" s="185"/>
      <c r="BH802" s="245"/>
      <c r="BJ802" s="136" t="s">
        <v>1055</v>
      </c>
      <c r="BK802" s="185"/>
      <c r="BL802" s="245"/>
      <c r="BN802" s="136" t="s">
        <v>1055</v>
      </c>
      <c r="BO802" s="185"/>
      <c r="BP802" s="245"/>
      <c r="BR802" s="136" t="s">
        <v>1055</v>
      </c>
      <c r="BS802" s="185"/>
      <c r="BT802" s="245"/>
    </row>
    <row r="803" spans="1:72" x14ac:dyDescent="0.15">
      <c r="A803" s="134" t="s">
        <v>447</v>
      </c>
      <c r="B803" s="135" t="s">
        <v>448</v>
      </c>
      <c r="C803" s="135" t="s">
        <v>449</v>
      </c>
      <c r="D803" s="231"/>
      <c r="E803" s="128"/>
      <c r="F803" s="136"/>
      <c r="G803" s="137" t="s">
        <v>125</v>
      </c>
      <c r="H803" s="138" t="s">
        <v>450</v>
      </c>
      <c r="J803" s="136"/>
      <c r="K803" s="137" t="s">
        <v>125</v>
      </c>
      <c r="L803" s="229" t="s">
        <v>450</v>
      </c>
      <c r="N803" s="136"/>
      <c r="O803" s="137" t="s">
        <v>125</v>
      </c>
      <c r="P803" s="229" t="s">
        <v>450</v>
      </c>
      <c r="R803" s="136"/>
      <c r="S803" s="137" t="s">
        <v>125</v>
      </c>
      <c r="T803" s="229" t="s">
        <v>450</v>
      </c>
      <c r="V803" s="136"/>
      <c r="W803" s="137" t="s">
        <v>125</v>
      </c>
      <c r="X803" s="229" t="s">
        <v>450</v>
      </c>
      <c r="Z803" s="136"/>
      <c r="AA803" s="137" t="s">
        <v>125</v>
      </c>
      <c r="AB803" s="229" t="s">
        <v>450</v>
      </c>
      <c r="AD803" s="136"/>
      <c r="AE803" s="137" t="s">
        <v>125</v>
      </c>
      <c r="AF803" s="229" t="s">
        <v>450</v>
      </c>
      <c r="AH803" s="136"/>
      <c r="AI803" s="137" t="s">
        <v>125</v>
      </c>
      <c r="AJ803" s="229" t="s">
        <v>450</v>
      </c>
      <c r="AL803" s="136"/>
      <c r="AM803" s="137" t="s">
        <v>125</v>
      </c>
      <c r="AN803" s="229" t="s">
        <v>450</v>
      </c>
      <c r="AP803" s="136"/>
      <c r="AQ803" s="137" t="s">
        <v>125</v>
      </c>
      <c r="AR803" s="229" t="s">
        <v>450</v>
      </c>
      <c r="AT803" s="136"/>
      <c r="AU803" s="137" t="s">
        <v>125</v>
      </c>
      <c r="AV803" s="229" t="s">
        <v>450</v>
      </c>
      <c r="AX803" s="136"/>
      <c r="AY803" s="137" t="s">
        <v>125</v>
      </c>
      <c r="AZ803" s="229" t="s">
        <v>450</v>
      </c>
      <c r="BB803" s="136"/>
      <c r="BC803" s="137" t="s">
        <v>125</v>
      </c>
      <c r="BD803" s="229" t="s">
        <v>450</v>
      </c>
      <c r="BF803" s="136"/>
      <c r="BG803" s="137" t="s">
        <v>125</v>
      </c>
      <c r="BH803" s="229" t="s">
        <v>450</v>
      </c>
      <c r="BJ803" s="136"/>
      <c r="BK803" s="137" t="s">
        <v>125</v>
      </c>
      <c r="BL803" s="229" t="s">
        <v>450</v>
      </c>
      <c r="BN803" s="136"/>
      <c r="BO803" s="137" t="s">
        <v>125</v>
      </c>
      <c r="BP803" s="229" t="s">
        <v>450</v>
      </c>
      <c r="BR803" s="136"/>
      <c r="BS803" s="137" t="s">
        <v>125</v>
      </c>
      <c r="BT803" s="229" t="s">
        <v>450</v>
      </c>
    </row>
    <row r="804" spans="1:72" x14ac:dyDescent="0.15">
      <c r="A804" s="182"/>
      <c r="B804" s="168" t="s">
        <v>85</v>
      </c>
      <c r="C804" s="140"/>
      <c r="D804" s="170"/>
      <c r="E804" s="130"/>
      <c r="F804" s="136"/>
      <c r="G804" s="141" t="s">
        <v>147</v>
      </c>
      <c r="H804" s="179"/>
      <c r="J804" s="136"/>
      <c r="K804" s="141" t="s">
        <v>147</v>
      </c>
      <c r="L804" s="241" t="s">
        <v>86</v>
      </c>
      <c r="N804" s="136"/>
      <c r="O804" s="141" t="s">
        <v>147</v>
      </c>
      <c r="P804" s="241" t="s">
        <v>86</v>
      </c>
      <c r="R804" s="136"/>
      <c r="S804" s="141" t="s">
        <v>147</v>
      </c>
      <c r="T804" s="241" t="s">
        <v>86</v>
      </c>
      <c r="V804" s="136"/>
      <c r="W804" s="141" t="s">
        <v>147</v>
      </c>
      <c r="X804" s="248" t="s">
        <v>440</v>
      </c>
      <c r="Z804" s="136"/>
      <c r="AA804" s="141" t="s">
        <v>147</v>
      </c>
      <c r="AB804" s="241" t="s">
        <v>86</v>
      </c>
      <c r="AD804" s="136"/>
      <c r="AE804" s="141" t="s">
        <v>147</v>
      </c>
      <c r="AF804" s="241" t="s">
        <v>86</v>
      </c>
      <c r="AH804" s="136"/>
      <c r="AI804" s="141" t="s">
        <v>147</v>
      </c>
      <c r="AJ804" s="241" t="s">
        <v>86</v>
      </c>
      <c r="AL804" s="136"/>
      <c r="AM804" s="141" t="s">
        <v>147</v>
      </c>
      <c r="AN804" s="241" t="s">
        <v>86</v>
      </c>
      <c r="AP804" s="136"/>
      <c r="AQ804" s="141" t="s">
        <v>147</v>
      </c>
      <c r="AR804" s="241" t="s">
        <v>86</v>
      </c>
      <c r="AT804" s="136"/>
      <c r="AU804" s="141" t="s">
        <v>147</v>
      </c>
      <c r="AV804" s="241" t="s">
        <v>86</v>
      </c>
      <c r="AX804" s="136"/>
      <c r="AY804" s="141" t="s">
        <v>147</v>
      </c>
      <c r="AZ804" s="248" t="s">
        <v>440</v>
      </c>
      <c r="BB804" s="136"/>
      <c r="BC804" s="141" t="s">
        <v>147</v>
      </c>
      <c r="BD804" s="241" t="s">
        <v>86</v>
      </c>
      <c r="BF804" s="136"/>
      <c r="BG804" s="141" t="s">
        <v>147</v>
      </c>
      <c r="BH804" s="241" t="s">
        <v>86</v>
      </c>
      <c r="BJ804" s="136"/>
      <c r="BK804" s="141" t="s">
        <v>147</v>
      </c>
      <c r="BL804" s="241" t="s">
        <v>86</v>
      </c>
      <c r="BN804" s="136"/>
      <c r="BO804" s="141" t="s">
        <v>147</v>
      </c>
      <c r="BP804" s="241" t="s">
        <v>86</v>
      </c>
      <c r="BR804" s="136"/>
      <c r="BS804" s="141" t="s">
        <v>147</v>
      </c>
      <c r="BT804" s="241" t="s">
        <v>86</v>
      </c>
    </row>
    <row r="805" spans="1:72" x14ac:dyDescent="0.15">
      <c r="A805" s="175"/>
      <c r="B805" s="176"/>
      <c r="C805" s="176"/>
      <c r="D805" s="231"/>
      <c r="E805" s="128"/>
      <c r="F805" s="136"/>
      <c r="G805" s="147"/>
      <c r="H805" s="179"/>
      <c r="J805" s="136"/>
      <c r="K805" s="147"/>
      <c r="L805" s="241"/>
      <c r="N805" s="136"/>
      <c r="O805" s="147"/>
      <c r="P805" s="241"/>
      <c r="R805" s="136"/>
      <c r="S805" s="147"/>
      <c r="T805" s="241"/>
      <c r="V805" s="136"/>
      <c r="W805" s="147"/>
      <c r="X805" s="241"/>
      <c r="Z805" s="136"/>
      <c r="AA805" s="147"/>
      <c r="AB805" s="241"/>
      <c r="AD805" s="136"/>
      <c r="AE805" s="147"/>
      <c r="AF805" s="241"/>
      <c r="AH805" s="136"/>
      <c r="AI805" s="147"/>
      <c r="AJ805" s="241"/>
      <c r="AL805" s="136"/>
      <c r="AM805" s="147"/>
      <c r="AN805" s="241"/>
      <c r="AP805" s="136"/>
      <c r="AQ805" s="147"/>
      <c r="AR805" s="241"/>
      <c r="AT805" s="136"/>
      <c r="AU805" s="147"/>
      <c r="AV805" s="241"/>
      <c r="AX805" s="136"/>
      <c r="AY805" s="147"/>
      <c r="AZ805" s="241"/>
      <c r="BB805" s="136"/>
      <c r="BC805" s="147"/>
      <c r="BD805" s="241"/>
      <c r="BF805" s="136"/>
      <c r="BG805" s="147"/>
      <c r="BH805" s="241"/>
      <c r="BJ805" s="136"/>
      <c r="BK805" s="147"/>
      <c r="BL805" s="241"/>
      <c r="BN805" s="136"/>
      <c r="BO805" s="147"/>
      <c r="BP805" s="241"/>
      <c r="BR805" s="136"/>
      <c r="BS805" s="147"/>
      <c r="BT805" s="241"/>
    </row>
    <row r="806" spans="1:72" x14ac:dyDescent="0.15">
      <c r="A806" s="230"/>
      <c r="B806" s="176"/>
      <c r="C806" s="176"/>
      <c r="D806" s="231"/>
      <c r="E806" s="128"/>
      <c r="F806" s="233"/>
      <c r="G806" s="147"/>
      <c r="H806" s="179"/>
      <c r="J806" s="233"/>
      <c r="K806" s="147"/>
      <c r="L806" s="241"/>
      <c r="N806" s="233"/>
      <c r="O806" s="147"/>
      <c r="P806" s="241"/>
      <c r="R806" s="233"/>
      <c r="S806" s="147"/>
      <c r="T806" s="241"/>
      <c r="V806" s="233"/>
      <c r="W806" s="147"/>
      <c r="X806" s="241"/>
      <c r="Z806" s="233"/>
      <c r="AA806" s="147"/>
      <c r="AB806" s="241"/>
      <c r="AD806" s="233"/>
      <c r="AE806" s="147"/>
      <c r="AF806" s="241"/>
      <c r="AH806" s="233"/>
      <c r="AI806" s="147"/>
      <c r="AJ806" s="241"/>
      <c r="AL806" s="233"/>
      <c r="AM806" s="147"/>
      <c r="AN806" s="241"/>
      <c r="AP806" s="233"/>
      <c r="AQ806" s="147"/>
      <c r="AR806" s="241"/>
      <c r="AT806" s="233"/>
      <c r="AU806" s="147"/>
      <c r="AV806" s="241"/>
      <c r="AX806" s="233"/>
      <c r="AY806" s="147"/>
      <c r="AZ806" s="241"/>
      <c r="BB806" s="233"/>
      <c r="BC806" s="147"/>
      <c r="BD806" s="241"/>
      <c r="BF806" s="233"/>
      <c r="BG806" s="147"/>
      <c r="BH806" s="241"/>
      <c r="BJ806" s="233"/>
      <c r="BK806" s="147"/>
      <c r="BL806" s="241"/>
      <c r="BN806" s="233"/>
      <c r="BO806" s="147"/>
      <c r="BP806" s="241"/>
      <c r="BR806" s="233"/>
      <c r="BS806" s="147"/>
      <c r="BT806" s="241"/>
    </row>
    <row r="807" spans="1:72" x14ac:dyDescent="0.15">
      <c r="A807" s="230"/>
      <c r="B807" s="146"/>
      <c r="C807" s="230"/>
      <c r="D807" s="231"/>
      <c r="E807" s="128"/>
      <c r="F807" s="136" t="s">
        <v>1056</v>
      </c>
      <c r="G807" s="185"/>
      <c r="H807" s="232"/>
      <c r="I807" s="108"/>
      <c r="J807" s="136" t="s">
        <v>1056</v>
      </c>
      <c r="K807" s="185"/>
      <c r="L807" s="245"/>
      <c r="N807" s="136" t="s">
        <v>1056</v>
      </c>
      <c r="O807" s="185"/>
      <c r="P807" s="245"/>
      <c r="R807" s="136" t="s">
        <v>1056</v>
      </c>
      <c r="S807" s="185"/>
      <c r="T807" s="245"/>
      <c r="V807" s="136" t="s">
        <v>1056</v>
      </c>
      <c r="W807" s="185"/>
      <c r="X807" s="245"/>
      <c r="Z807" s="136" t="s">
        <v>1056</v>
      </c>
      <c r="AA807" s="185"/>
      <c r="AB807" s="245"/>
      <c r="AD807" s="136" t="s">
        <v>1056</v>
      </c>
      <c r="AE807" s="185"/>
      <c r="AF807" s="245"/>
      <c r="AH807" s="136" t="s">
        <v>1056</v>
      </c>
      <c r="AI807" s="185"/>
      <c r="AJ807" s="245"/>
      <c r="AL807" s="136" t="s">
        <v>1056</v>
      </c>
      <c r="AM807" s="185"/>
      <c r="AN807" s="245"/>
      <c r="AP807" s="136" t="s">
        <v>1056</v>
      </c>
      <c r="AQ807" s="185"/>
      <c r="AR807" s="245"/>
      <c r="AT807" s="136" t="s">
        <v>1056</v>
      </c>
      <c r="AU807" s="185"/>
      <c r="AV807" s="245"/>
      <c r="AX807" s="136" t="s">
        <v>1056</v>
      </c>
      <c r="AY807" s="185"/>
      <c r="AZ807" s="245"/>
      <c r="BB807" s="136" t="s">
        <v>1056</v>
      </c>
      <c r="BC807" s="185"/>
      <c r="BD807" s="245"/>
      <c r="BF807" s="136" t="s">
        <v>1056</v>
      </c>
      <c r="BG807" s="185"/>
      <c r="BH807" s="245"/>
      <c r="BJ807" s="136" t="s">
        <v>1056</v>
      </c>
      <c r="BK807" s="185"/>
      <c r="BL807" s="245"/>
      <c r="BN807" s="136" t="s">
        <v>1056</v>
      </c>
      <c r="BO807" s="185"/>
      <c r="BP807" s="245"/>
      <c r="BR807" s="136" t="s">
        <v>1056</v>
      </c>
      <c r="BS807" s="185"/>
      <c r="BT807" s="245"/>
    </row>
    <row r="808" spans="1:72" x14ac:dyDescent="0.15">
      <c r="A808" s="134" t="s">
        <v>447</v>
      </c>
      <c r="B808" s="135" t="s">
        <v>448</v>
      </c>
      <c r="C808" s="135" t="s">
        <v>449</v>
      </c>
      <c r="D808" s="231"/>
      <c r="E808" s="128"/>
      <c r="F808" s="136"/>
      <c r="G808" s="137" t="s">
        <v>125</v>
      </c>
      <c r="H808" s="138" t="s">
        <v>450</v>
      </c>
      <c r="J808" s="136"/>
      <c r="K808" s="137" t="s">
        <v>125</v>
      </c>
      <c r="L808" s="229" t="s">
        <v>450</v>
      </c>
      <c r="N808" s="136"/>
      <c r="O808" s="137" t="s">
        <v>125</v>
      </c>
      <c r="P808" s="229" t="s">
        <v>450</v>
      </c>
      <c r="R808" s="136"/>
      <c r="S808" s="137" t="s">
        <v>125</v>
      </c>
      <c r="T808" s="229" t="s">
        <v>450</v>
      </c>
      <c r="V808" s="136"/>
      <c r="W808" s="137" t="s">
        <v>125</v>
      </c>
      <c r="X808" s="229" t="s">
        <v>450</v>
      </c>
      <c r="Z808" s="136"/>
      <c r="AA808" s="137" t="s">
        <v>125</v>
      </c>
      <c r="AB808" s="229" t="s">
        <v>450</v>
      </c>
      <c r="AD808" s="136"/>
      <c r="AE808" s="137" t="s">
        <v>125</v>
      </c>
      <c r="AF808" s="229" t="s">
        <v>450</v>
      </c>
      <c r="AH808" s="136"/>
      <c r="AI808" s="137" t="s">
        <v>125</v>
      </c>
      <c r="AJ808" s="229" t="s">
        <v>450</v>
      </c>
      <c r="AL808" s="136"/>
      <c r="AM808" s="137" t="s">
        <v>125</v>
      </c>
      <c r="AN808" s="229" t="s">
        <v>450</v>
      </c>
      <c r="AP808" s="136"/>
      <c r="AQ808" s="137" t="s">
        <v>125</v>
      </c>
      <c r="AR808" s="229" t="s">
        <v>450</v>
      </c>
      <c r="AT808" s="136"/>
      <c r="AU808" s="137" t="s">
        <v>125</v>
      </c>
      <c r="AV808" s="229" t="s">
        <v>450</v>
      </c>
      <c r="AX808" s="136"/>
      <c r="AY808" s="137" t="s">
        <v>125</v>
      </c>
      <c r="AZ808" s="229" t="s">
        <v>450</v>
      </c>
      <c r="BB808" s="136"/>
      <c r="BC808" s="137" t="s">
        <v>125</v>
      </c>
      <c r="BD808" s="229" t="s">
        <v>450</v>
      </c>
      <c r="BF808" s="136"/>
      <c r="BG808" s="137" t="s">
        <v>125</v>
      </c>
      <c r="BH808" s="229" t="s">
        <v>450</v>
      </c>
      <c r="BJ808" s="136"/>
      <c r="BK808" s="137" t="s">
        <v>125</v>
      </c>
      <c r="BL808" s="229" t="s">
        <v>450</v>
      </c>
      <c r="BN808" s="136"/>
      <c r="BO808" s="137" t="s">
        <v>125</v>
      </c>
      <c r="BP808" s="229" t="s">
        <v>450</v>
      </c>
      <c r="BR808" s="136"/>
      <c r="BS808" s="137" t="s">
        <v>125</v>
      </c>
      <c r="BT808" s="229" t="s">
        <v>450</v>
      </c>
    </row>
    <row r="809" spans="1:72" x14ac:dyDescent="0.15">
      <c r="A809" s="234" t="s">
        <v>1057</v>
      </c>
      <c r="B809" s="168" t="s">
        <v>85</v>
      </c>
      <c r="C809" s="140"/>
      <c r="D809" s="170"/>
      <c r="E809" s="130"/>
      <c r="F809" s="136"/>
      <c r="G809" s="141" t="s">
        <v>194</v>
      </c>
      <c r="H809" s="179"/>
      <c r="I809" s="222"/>
      <c r="J809" s="136"/>
      <c r="K809" s="141" t="s">
        <v>194</v>
      </c>
      <c r="L809" s="241" t="s">
        <v>86</v>
      </c>
      <c r="N809" s="136"/>
      <c r="O809" s="141" t="s">
        <v>194</v>
      </c>
      <c r="P809" s="241" t="s">
        <v>86</v>
      </c>
      <c r="R809" s="136"/>
      <c r="S809" s="141" t="s">
        <v>194</v>
      </c>
      <c r="T809" s="241" t="s">
        <v>86</v>
      </c>
      <c r="V809" s="136"/>
      <c r="W809" s="141" t="s">
        <v>194</v>
      </c>
      <c r="X809" s="241" t="s">
        <v>86</v>
      </c>
      <c r="Z809" s="136"/>
      <c r="AA809" s="141" t="s">
        <v>194</v>
      </c>
      <c r="AB809" s="241" t="s">
        <v>86</v>
      </c>
      <c r="AD809" s="136"/>
      <c r="AE809" s="141" t="s">
        <v>194</v>
      </c>
      <c r="AF809" s="241" t="s">
        <v>86</v>
      </c>
      <c r="AH809" s="136"/>
      <c r="AI809" s="141" t="s">
        <v>194</v>
      </c>
      <c r="AJ809" s="241" t="s">
        <v>86</v>
      </c>
      <c r="AL809" s="136"/>
      <c r="AM809" s="141" t="s">
        <v>194</v>
      </c>
      <c r="AN809" s="241" t="s">
        <v>86</v>
      </c>
      <c r="AP809" s="136"/>
      <c r="AQ809" s="141" t="s">
        <v>194</v>
      </c>
      <c r="AR809" s="241" t="s">
        <v>86</v>
      </c>
      <c r="AT809" s="136"/>
      <c r="AU809" s="141" t="s">
        <v>194</v>
      </c>
      <c r="AV809" s="241" t="s">
        <v>86</v>
      </c>
      <c r="AX809" s="136"/>
      <c r="AY809" s="141" t="s">
        <v>194</v>
      </c>
      <c r="AZ809" s="241" t="s">
        <v>86</v>
      </c>
      <c r="BB809" s="136"/>
      <c r="BC809" s="141" t="s">
        <v>194</v>
      </c>
      <c r="BD809" s="241" t="s">
        <v>86</v>
      </c>
      <c r="BF809" s="136"/>
      <c r="BG809" s="141" t="s">
        <v>194</v>
      </c>
      <c r="BH809" s="241" t="s">
        <v>86</v>
      </c>
      <c r="BJ809" s="136"/>
      <c r="BK809" s="141" t="s">
        <v>194</v>
      </c>
      <c r="BL809" s="241" t="s">
        <v>86</v>
      </c>
      <c r="BN809" s="136"/>
      <c r="BO809" s="141" t="s">
        <v>194</v>
      </c>
      <c r="BP809" s="241" t="s">
        <v>86</v>
      </c>
      <c r="BR809" s="136"/>
      <c r="BS809" s="141" t="s">
        <v>194</v>
      </c>
      <c r="BT809" s="241" t="s">
        <v>86</v>
      </c>
    </row>
    <row r="810" spans="1:72" x14ac:dyDescent="0.15">
      <c r="A810" s="234" t="s">
        <v>1058</v>
      </c>
      <c r="B810" s="168" t="s">
        <v>85</v>
      </c>
      <c r="C810" s="140"/>
      <c r="D810" s="170"/>
      <c r="E810" s="130"/>
      <c r="F810" s="136"/>
      <c r="G810" s="141" t="s">
        <v>195</v>
      </c>
      <c r="H810" s="179"/>
      <c r="I810" s="108"/>
      <c r="J810" s="136"/>
      <c r="K810" s="141" t="s">
        <v>195</v>
      </c>
      <c r="L810" s="241" t="s">
        <v>86</v>
      </c>
      <c r="N810" s="136"/>
      <c r="O810" s="141" t="s">
        <v>195</v>
      </c>
      <c r="P810" s="241" t="s">
        <v>86</v>
      </c>
      <c r="R810" s="136"/>
      <c r="S810" s="141" t="s">
        <v>195</v>
      </c>
      <c r="T810" s="241" t="s">
        <v>86</v>
      </c>
      <c r="V810" s="136"/>
      <c r="W810" s="141" t="s">
        <v>195</v>
      </c>
      <c r="X810" s="241" t="s">
        <v>86</v>
      </c>
      <c r="Z810" s="136"/>
      <c r="AA810" s="141" t="s">
        <v>195</v>
      </c>
      <c r="AB810" s="241" t="s">
        <v>86</v>
      </c>
      <c r="AD810" s="136"/>
      <c r="AE810" s="141" t="s">
        <v>195</v>
      </c>
      <c r="AF810" s="241" t="s">
        <v>86</v>
      </c>
      <c r="AH810" s="136"/>
      <c r="AI810" s="141" t="s">
        <v>195</v>
      </c>
      <c r="AJ810" s="241" t="s">
        <v>86</v>
      </c>
      <c r="AL810" s="136"/>
      <c r="AM810" s="141" t="s">
        <v>195</v>
      </c>
      <c r="AN810" s="241" t="s">
        <v>86</v>
      </c>
      <c r="AP810" s="136"/>
      <c r="AQ810" s="141" t="s">
        <v>195</v>
      </c>
      <c r="AR810" s="241" t="s">
        <v>86</v>
      </c>
      <c r="AT810" s="136"/>
      <c r="AU810" s="141" t="s">
        <v>195</v>
      </c>
      <c r="AV810" s="241" t="s">
        <v>86</v>
      </c>
      <c r="AX810" s="136"/>
      <c r="AY810" s="141" t="s">
        <v>195</v>
      </c>
      <c r="AZ810" s="241" t="s">
        <v>86</v>
      </c>
      <c r="BB810" s="136"/>
      <c r="BC810" s="141" t="s">
        <v>195</v>
      </c>
      <c r="BD810" s="241" t="s">
        <v>86</v>
      </c>
      <c r="BF810" s="136"/>
      <c r="BG810" s="141" t="s">
        <v>195</v>
      </c>
      <c r="BH810" s="241" t="s">
        <v>86</v>
      </c>
      <c r="BJ810" s="136"/>
      <c r="BK810" s="141" t="s">
        <v>195</v>
      </c>
      <c r="BL810" s="241" t="s">
        <v>86</v>
      </c>
      <c r="BN810" s="136"/>
      <c r="BO810" s="141" t="s">
        <v>195</v>
      </c>
      <c r="BP810" s="241" t="s">
        <v>86</v>
      </c>
      <c r="BR810" s="136"/>
      <c r="BS810" s="141" t="s">
        <v>195</v>
      </c>
      <c r="BT810" s="241" t="s">
        <v>86</v>
      </c>
    </row>
    <row r="811" spans="1:72" x14ac:dyDescent="0.15">
      <c r="A811" s="234" t="s">
        <v>1059</v>
      </c>
      <c r="B811" s="168" t="s">
        <v>287</v>
      </c>
      <c r="C811" s="140"/>
      <c r="D811" s="170"/>
      <c r="E811" s="130"/>
      <c r="F811" s="136"/>
      <c r="G811" s="141" t="s">
        <v>198</v>
      </c>
      <c r="H811" s="179"/>
      <c r="J811" s="136"/>
      <c r="K811" s="141" t="s">
        <v>198</v>
      </c>
      <c r="L811" s="241" t="s">
        <v>440</v>
      </c>
      <c r="N811" s="136"/>
      <c r="O811" s="141" t="s">
        <v>198</v>
      </c>
      <c r="P811" s="241" t="s">
        <v>440</v>
      </c>
      <c r="R811" s="136"/>
      <c r="S811" s="141" t="s">
        <v>198</v>
      </c>
      <c r="T811" s="241" t="s">
        <v>440</v>
      </c>
      <c r="V811" s="136"/>
      <c r="W811" s="141" t="s">
        <v>198</v>
      </c>
      <c r="X811" s="241" t="s">
        <v>440</v>
      </c>
      <c r="Z811" s="136"/>
      <c r="AA811" s="141" t="s">
        <v>198</v>
      </c>
      <c r="AB811" s="241" t="s">
        <v>440</v>
      </c>
      <c r="AD811" s="136"/>
      <c r="AE811" s="141" t="s">
        <v>198</v>
      </c>
      <c r="AF811" s="241" t="s">
        <v>440</v>
      </c>
      <c r="AH811" s="136"/>
      <c r="AI811" s="141" t="s">
        <v>198</v>
      </c>
      <c r="AJ811" s="241" t="s">
        <v>440</v>
      </c>
      <c r="AL811" s="136"/>
      <c r="AM811" s="141" t="s">
        <v>198</v>
      </c>
      <c r="AN811" s="241" t="s">
        <v>440</v>
      </c>
      <c r="AP811" s="136"/>
      <c r="AQ811" s="141" t="s">
        <v>198</v>
      </c>
      <c r="AR811" s="241" t="s">
        <v>440</v>
      </c>
      <c r="AT811" s="136"/>
      <c r="AU811" s="141" t="s">
        <v>198</v>
      </c>
      <c r="AV811" s="241" t="s">
        <v>440</v>
      </c>
      <c r="AX811" s="136"/>
      <c r="AY811" s="141" t="s">
        <v>198</v>
      </c>
      <c r="AZ811" s="241" t="s">
        <v>440</v>
      </c>
      <c r="BB811" s="136"/>
      <c r="BC811" s="141" t="s">
        <v>198</v>
      </c>
      <c r="BD811" s="241" t="s">
        <v>440</v>
      </c>
      <c r="BF811" s="136"/>
      <c r="BG811" s="141" t="s">
        <v>198</v>
      </c>
      <c r="BH811" s="241" t="s">
        <v>440</v>
      </c>
      <c r="BJ811" s="136"/>
      <c r="BK811" s="141" t="s">
        <v>198</v>
      </c>
      <c r="BL811" s="241" t="s">
        <v>440</v>
      </c>
      <c r="BN811" s="136"/>
      <c r="BO811" s="141" t="s">
        <v>198</v>
      </c>
      <c r="BP811" s="241" t="s">
        <v>440</v>
      </c>
      <c r="BR811" s="136"/>
      <c r="BS811" s="141" t="s">
        <v>198</v>
      </c>
      <c r="BT811" s="241" t="s">
        <v>440</v>
      </c>
    </row>
    <row r="812" spans="1:72" x14ac:dyDescent="0.15">
      <c r="A812" s="234" t="s">
        <v>1060</v>
      </c>
      <c r="B812" s="168" t="s">
        <v>85</v>
      </c>
      <c r="C812" s="140"/>
      <c r="D812" s="170"/>
      <c r="E812" s="130"/>
      <c r="F812" s="136"/>
      <c r="G812" s="141" t="s">
        <v>199</v>
      </c>
      <c r="H812" s="179"/>
      <c r="I812" s="222"/>
      <c r="J812" s="136"/>
      <c r="K812" s="141" t="s">
        <v>199</v>
      </c>
      <c r="L812" s="241" t="s">
        <v>86</v>
      </c>
      <c r="N812" s="136"/>
      <c r="O812" s="141" t="s">
        <v>199</v>
      </c>
      <c r="P812" s="241" t="s">
        <v>86</v>
      </c>
      <c r="R812" s="136"/>
      <c r="S812" s="141" t="s">
        <v>199</v>
      </c>
      <c r="T812" s="241" t="s">
        <v>86</v>
      </c>
      <c r="V812" s="136"/>
      <c r="W812" s="141" t="s">
        <v>199</v>
      </c>
      <c r="X812" s="241" t="s">
        <v>86</v>
      </c>
      <c r="Z812" s="136"/>
      <c r="AA812" s="141" t="s">
        <v>199</v>
      </c>
      <c r="AB812" s="241" t="s">
        <v>86</v>
      </c>
      <c r="AD812" s="136"/>
      <c r="AE812" s="141" t="s">
        <v>199</v>
      </c>
      <c r="AF812" s="241" t="s">
        <v>86</v>
      </c>
      <c r="AH812" s="136"/>
      <c r="AI812" s="141" t="s">
        <v>199</v>
      </c>
      <c r="AJ812" s="241" t="s">
        <v>86</v>
      </c>
      <c r="AL812" s="136"/>
      <c r="AM812" s="141" t="s">
        <v>199</v>
      </c>
      <c r="AN812" s="241" t="s">
        <v>86</v>
      </c>
      <c r="AP812" s="136"/>
      <c r="AQ812" s="141" t="s">
        <v>199</v>
      </c>
      <c r="AR812" s="241" t="s">
        <v>86</v>
      </c>
      <c r="AT812" s="136"/>
      <c r="AU812" s="141" t="s">
        <v>199</v>
      </c>
      <c r="AV812" s="241" t="s">
        <v>86</v>
      </c>
      <c r="AX812" s="136"/>
      <c r="AY812" s="141" t="s">
        <v>199</v>
      </c>
      <c r="AZ812" s="241" t="s">
        <v>86</v>
      </c>
      <c r="BB812" s="136"/>
      <c r="BC812" s="141" t="s">
        <v>199</v>
      </c>
      <c r="BD812" s="241" t="s">
        <v>86</v>
      </c>
      <c r="BF812" s="136"/>
      <c r="BG812" s="141" t="s">
        <v>199</v>
      </c>
      <c r="BH812" s="241" t="s">
        <v>86</v>
      </c>
      <c r="BJ812" s="136"/>
      <c r="BK812" s="141" t="s">
        <v>199</v>
      </c>
      <c r="BL812" s="241" t="s">
        <v>86</v>
      </c>
      <c r="BN812" s="136"/>
      <c r="BO812" s="141" t="s">
        <v>199</v>
      </c>
      <c r="BP812" s="241" t="s">
        <v>86</v>
      </c>
      <c r="BR812" s="136"/>
      <c r="BS812" s="141" t="s">
        <v>199</v>
      </c>
      <c r="BT812" s="241" t="s">
        <v>86</v>
      </c>
    </row>
    <row r="813" spans="1:72" x14ac:dyDescent="0.15">
      <c r="A813" s="175"/>
      <c r="B813" s="176"/>
      <c r="C813" s="176"/>
      <c r="D813" s="231"/>
      <c r="E813" s="128"/>
      <c r="F813" s="136"/>
      <c r="G813" s="147"/>
      <c r="H813" s="179"/>
      <c r="I813" s="108"/>
      <c r="J813" s="136"/>
      <c r="K813" s="147"/>
      <c r="L813" s="241"/>
      <c r="N813" s="136"/>
      <c r="O813" s="147"/>
      <c r="P813" s="241"/>
      <c r="R813" s="136"/>
      <c r="S813" s="147"/>
      <c r="T813" s="241"/>
      <c r="V813" s="136"/>
      <c r="W813" s="147"/>
      <c r="X813" s="241"/>
      <c r="Z813" s="136"/>
      <c r="AA813" s="147"/>
      <c r="AB813" s="241"/>
      <c r="AD813" s="136"/>
      <c r="AE813" s="147"/>
      <c r="AF813" s="241"/>
      <c r="AH813" s="136"/>
      <c r="AI813" s="147"/>
      <c r="AJ813" s="241"/>
      <c r="AL813" s="136"/>
      <c r="AM813" s="147"/>
      <c r="AN813" s="241"/>
      <c r="AP813" s="136"/>
      <c r="AQ813" s="147"/>
      <c r="AR813" s="241"/>
      <c r="AT813" s="136"/>
      <c r="AU813" s="147"/>
      <c r="AV813" s="241"/>
      <c r="AX813" s="136"/>
      <c r="AY813" s="147"/>
      <c r="AZ813" s="241"/>
      <c r="BB813" s="136"/>
      <c r="BC813" s="147"/>
      <c r="BD813" s="241"/>
      <c r="BF813" s="136"/>
      <c r="BG813" s="147"/>
      <c r="BH813" s="241"/>
      <c r="BJ813" s="136"/>
      <c r="BK813" s="147"/>
      <c r="BL813" s="241"/>
      <c r="BN813" s="136"/>
      <c r="BO813" s="147"/>
      <c r="BP813" s="241"/>
      <c r="BR813" s="136"/>
      <c r="BS813" s="147"/>
      <c r="BT813" s="241"/>
    </row>
    <row r="814" spans="1:72" x14ac:dyDescent="0.15">
      <c r="A814" s="176"/>
      <c r="B814" s="176"/>
      <c r="C814" s="176"/>
      <c r="D814" s="231"/>
      <c r="E814" s="128"/>
      <c r="F814" s="154"/>
      <c r="G814" s="147"/>
      <c r="H814" s="179"/>
      <c r="J814" s="154"/>
      <c r="K814" s="147"/>
      <c r="L814" s="241"/>
      <c r="N814" s="154"/>
      <c r="O814" s="147"/>
      <c r="P814" s="241"/>
      <c r="R814" s="154"/>
      <c r="S814" s="147"/>
      <c r="T814" s="241"/>
      <c r="V814" s="154"/>
      <c r="W814" s="147"/>
      <c r="X814" s="241"/>
      <c r="Z814" s="154"/>
      <c r="AA814" s="147"/>
      <c r="AB814" s="241"/>
      <c r="AD814" s="154"/>
      <c r="AE814" s="147"/>
      <c r="AF814" s="241"/>
      <c r="AH814" s="154"/>
      <c r="AI814" s="147"/>
      <c r="AJ814" s="241"/>
      <c r="AL814" s="154"/>
      <c r="AM814" s="147"/>
      <c r="AN814" s="241"/>
      <c r="AP814" s="154"/>
      <c r="AQ814" s="147"/>
      <c r="AR814" s="241"/>
      <c r="AT814" s="154"/>
      <c r="AU814" s="147"/>
      <c r="AV814" s="241"/>
      <c r="AX814" s="154"/>
      <c r="AY814" s="147"/>
      <c r="AZ814" s="241"/>
      <c r="BB814" s="154"/>
      <c r="BC814" s="147"/>
      <c r="BD814" s="241"/>
      <c r="BF814" s="154"/>
      <c r="BG814" s="147"/>
      <c r="BH814" s="241"/>
      <c r="BJ814" s="154"/>
      <c r="BK814" s="147"/>
      <c r="BL814" s="241"/>
      <c r="BN814" s="154"/>
      <c r="BO814" s="147"/>
      <c r="BP814" s="241"/>
      <c r="BR814" s="154"/>
      <c r="BS814" s="147"/>
      <c r="BT814" s="241"/>
    </row>
    <row r="815" spans="1:72" x14ac:dyDescent="0.15">
      <c r="A815" s="230"/>
      <c r="B815" s="146"/>
      <c r="C815" s="230"/>
      <c r="D815" s="231"/>
      <c r="E815" s="128"/>
      <c r="F815" s="136" t="s">
        <v>1061</v>
      </c>
      <c r="G815" s="185"/>
      <c r="H815" s="232"/>
      <c r="I815" s="222"/>
      <c r="J815" s="136" t="s">
        <v>1061</v>
      </c>
      <c r="K815" s="185"/>
      <c r="L815" s="245"/>
      <c r="N815" s="136" t="s">
        <v>1061</v>
      </c>
      <c r="O815" s="185"/>
      <c r="P815" s="245"/>
      <c r="R815" s="136" t="s">
        <v>1061</v>
      </c>
      <c r="S815" s="185"/>
      <c r="T815" s="245"/>
      <c r="V815" s="136" t="s">
        <v>1061</v>
      </c>
      <c r="W815" s="185"/>
      <c r="X815" s="245"/>
      <c r="Z815" s="136" t="s">
        <v>1061</v>
      </c>
      <c r="AA815" s="185"/>
      <c r="AB815" s="245"/>
      <c r="AD815" s="136" t="s">
        <v>1061</v>
      </c>
      <c r="AE815" s="185"/>
      <c r="AF815" s="245"/>
      <c r="AH815" s="136" t="s">
        <v>1061</v>
      </c>
      <c r="AI815" s="185"/>
      <c r="AJ815" s="245"/>
      <c r="AL815" s="136" t="s">
        <v>1061</v>
      </c>
      <c r="AM815" s="185"/>
      <c r="AN815" s="245"/>
      <c r="AP815" s="136" t="s">
        <v>1061</v>
      </c>
      <c r="AQ815" s="185"/>
      <c r="AR815" s="245"/>
      <c r="AT815" s="136" t="s">
        <v>1061</v>
      </c>
      <c r="AU815" s="185"/>
      <c r="AV815" s="245"/>
      <c r="AX815" s="136" t="s">
        <v>1061</v>
      </c>
      <c r="AY815" s="185"/>
      <c r="AZ815" s="245"/>
      <c r="BB815" s="136" t="s">
        <v>1061</v>
      </c>
      <c r="BC815" s="185"/>
      <c r="BD815" s="245"/>
      <c r="BF815" s="136" t="s">
        <v>1061</v>
      </c>
      <c r="BG815" s="185"/>
      <c r="BH815" s="245"/>
      <c r="BJ815" s="136" t="s">
        <v>1061</v>
      </c>
      <c r="BK815" s="185"/>
      <c r="BL815" s="245"/>
      <c r="BN815" s="136" t="s">
        <v>1061</v>
      </c>
      <c r="BO815" s="185"/>
      <c r="BP815" s="245"/>
      <c r="BR815" s="136" t="s">
        <v>1061</v>
      </c>
      <c r="BS815" s="185"/>
      <c r="BT815" s="245"/>
    </row>
    <row r="816" spans="1:72" x14ac:dyDescent="0.15">
      <c r="A816" s="134" t="s">
        <v>447</v>
      </c>
      <c r="B816" s="135" t="s">
        <v>448</v>
      </c>
      <c r="C816" s="135" t="s">
        <v>449</v>
      </c>
      <c r="D816" s="231"/>
      <c r="E816" s="128"/>
      <c r="F816" s="136"/>
      <c r="G816" s="137" t="s">
        <v>125</v>
      </c>
      <c r="H816" s="138" t="s">
        <v>450</v>
      </c>
      <c r="I816" s="108"/>
      <c r="J816" s="136"/>
      <c r="K816" s="137" t="s">
        <v>125</v>
      </c>
      <c r="L816" s="229" t="s">
        <v>450</v>
      </c>
      <c r="N816" s="136"/>
      <c r="O816" s="137" t="s">
        <v>125</v>
      </c>
      <c r="P816" s="229" t="s">
        <v>450</v>
      </c>
      <c r="R816" s="136"/>
      <c r="S816" s="137" t="s">
        <v>125</v>
      </c>
      <c r="T816" s="229" t="s">
        <v>450</v>
      </c>
      <c r="V816" s="136"/>
      <c r="W816" s="137" t="s">
        <v>125</v>
      </c>
      <c r="X816" s="229" t="s">
        <v>450</v>
      </c>
      <c r="Z816" s="136"/>
      <c r="AA816" s="137" t="s">
        <v>125</v>
      </c>
      <c r="AB816" s="229" t="s">
        <v>450</v>
      </c>
      <c r="AD816" s="136"/>
      <c r="AE816" s="137" t="s">
        <v>125</v>
      </c>
      <c r="AF816" s="229" t="s">
        <v>450</v>
      </c>
      <c r="AH816" s="136"/>
      <c r="AI816" s="137" t="s">
        <v>125</v>
      </c>
      <c r="AJ816" s="229" t="s">
        <v>450</v>
      </c>
      <c r="AL816" s="136"/>
      <c r="AM816" s="137" t="s">
        <v>125</v>
      </c>
      <c r="AN816" s="229" t="s">
        <v>450</v>
      </c>
      <c r="AP816" s="136"/>
      <c r="AQ816" s="137" t="s">
        <v>125</v>
      </c>
      <c r="AR816" s="229" t="s">
        <v>450</v>
      </c>
      <c r="AT816" s="136"/>
      <c r="AU816" s="137" t="s">
        <v>125</v>
      </c>
      <c r="AV816" s="229" t="s">
        <v>450</v>
      </c>
      <c r="AX816" s="136"/>
      <c r="AY816" s="137" t="s">
        <v>125</v>
      </c>
      <c r="AZ816" s="229" t="s">
        <v>450</v>
      </c>
      <c r="BB816" s="136"/>
      <c r="BC816" s="137" t="s">
        <v>125</v>
      </c>
      <c r="BD816" s="229" t="s">
        <v>450</v>
      </c>
      <c r="BF816" s="136"/>
      <c r="BG816" s="137" t="s">
        <v>125</v>
      </c>
      <c r="BH816" s="229" t="s">
        <v>450</v>
      </c>
      <c r="BJ816" s="136"/>
      <c r="BK816" s="137" t="s">
        <v>125</v>
      </c>
      <c r="BL816" s="229" t="s">
        <v>450</v>
      </c>
      <c r="BN816" s="136"/>
      <c r="BO816" s="137" t="s">
        <v>125</v>
      </c>
      <c r="BP816" s="229" t="s">
        <v>450</v>
      </c>
      <c r="BR816" s="136"/>
      <c r="BS816" s="137" t="s">
        <v>125</v>
      </c>
      <c r="BT816" s="229" t="s">
        <v>450</v>
      </c>
    </row>
    <row r="817" spans="1:72" x14ac:dyDescent="0.15">
      <c r="A817" s="181"/>
      <c r="B817" s="140" t="s">
        <v>85</v>
      </c>
      <c r="C817" s="140"/>
      <c r="D817" s="231"/>
      <c r="E817" s="128"/>
      <c r="F817" s="136"/>
      <c r="G817" s="187" t="s">
        <v>244</v>
      </c>
      <c r="H817" s="179"/>
      <c r="J817" s="136"/>
      <c r="K817" s="187" t="s">
        <v>244</v>
      </c>
      <c r="L817" s="241" t="s">
        <v>86</v>
      </c>
      <c r="N817" s="136"/>
      <c r="O817" s="187" t="s">
        <v>244</v>
      </c>
      <c r="P817" s="241" t="s">
        <v>86</v>
      </c>
      <c r="R817" s="136"/>
      <c r="S817" s="187" t="s">
        <v>244</v>
      </c>
      <c r="T817" s="241" t="s">
        <v>86</v>
      </c>
      <c r="V817" s="136"/>
      <c r="W817" s="187" t="s">
        <v>244</v>
      </c>
      <c r="X817" s="241" t="s">
        <v>86</v>
      </c>
      <c r="Z817" s="136"/>
      <c r="AA817" s="187" t="s">
        <v>244</v>
      </c>
      <c r="AB817" s="241" t="s">
        <v>86</v>
      </c>
      <c r="AD817" s="136"/>
      <c r="AE817" s="187" t="s">
        <v>244</v>
      </c>
      <c r="AF817" s="241" t="s">
        <v>86</v>
      </c>
      <c r="AH817" s="136"/>
      <c r="AI817" s="187" t="s">
        <v>244</v>
      </c>
      <c r="AJ817" s="241" t="s">
        <v>86</v>
      </c>
      <c r="AL817" s="136"/>
      <c r="AM817" s="187" t="s">
        <v>244</v>
      </c>
      <c r="AN817" s="241" t="s">
        <v>86</v>
      </c>
      <c r="AP817" s="136"/>
      <c r="AQ817" s="187" t="s">
        <v>244</v>
      </c>
      <c r="AR817" s="241" t="s">
        <v>86</v>
      </c>
      <c r="AT817" s="136"/>
      <c r="AU817" s="187" t="s">
        <v>244</v>
      </c>
      <c r="AV817" s="241" t="s">
        <v>86</v>
      </c>
      <c r="AX817" s="136"/>
      <c r="AY817" s="187" t="s">
        <v>244</v>
      </c>
      <c r="AZ817" s="241" t="s">
        <v>86</v>
      </c>
      <c r="BB817" s="136"/>
      <c r="BC817" s="187" t="s">
        <v>244</v>
      </c>
      <c r="BD817" s="241" t="s">
        <v>86</v>
      </c>
      <c r="BF817" s="136"/>
      <c r="BG817" s="187" t="s">
        <v>244</v>
      </c>
      <c r="BH817" s="241" t="s">
        <v>86</v>
      </c>
      <c r="BJ817" s="136"/>
      <c r="BK817" s="187" t="s">
        <v>244</v>
      </c>
      <c r="BL817" s="241" t="s">
        <v>86</v>
      </c>
      <c r="BN817" s="136"/>
      <c r="BO817" s="187" t="s">
        <v>244</v>
      </c>
      <c r="BP817" s="241" t="s">
        <v>86</v>
      </c>
      <c r="BR817" s="136"/>
      <c r="BS817" s="187" t="s">
        <v>244</v>
      </c>
      <c r="BT817" s="241" t="s">
        <v>86</v>
      </c>
    </row>
    <row r="818" spans="1:72" x14ac:dyDescent="0.15">
      <c r="A818" s="181"/>
      <c r="B818" s="140" t="s">
        <v>287</v>
      </c>
      <c r="C818" s="140"/>
      <c r="D818" s="231"/>
      <c r="E818" s="128"/>
      <c r="F818" s="136"/>
      <c r="G818" s="187" t="s">
        <v>237</v>
      </c>
      <c r="H818" s="179"/>
      <c r="I818" s="222"/>
      <c r="J818" s="136"/>
      <c r="K818" s="187" t="s">
        <v>237</v>
      </c>
      <c r="L818" s="241" t="s">
        <v>440</v>
      </c>
      <c r="N818" s="136"/>
      <c r="O818" s="187" t="s">
        <v>237</v>
      </c>
      <c r="P818" s="241" t="s">
        <v>440</v>
      </c>
      <c r="R818" s="136"/>
      <c r="S818" s="187" t="s">
        <v>237</v>
      </c>
      <c r="T818" s="241" t="s">
        <v>440</v>
      </c>
      <c r="V818" s="136"/>
      <c r="W818" s="187" t="s">
        <v>237</v>
      </c>
      <c r="X818" s="241" t="s">
        <v>440</v>
      </c>
      <c r="Z818" s="136"/>
      <c r="AA818" s="187" t="s">
        <v>237</v>
      </c>
      <c r="AB818" s="241" t="s">
        <v>440</v>
      </c>
      <c r="AD818" s="136"/>
      <c r="AE818" s="187" t="s">
        <v>237</v>
      </c>
      <c r="AF818" s="241" t="s">
        <v>440</v>
      </c>
      <c r="AH818" s="136"/>
      <c r="AI818" s="187" t="s">
        <v>237</v>
      </c>
      <c r="AJ818" s="241" t="s">
        <v>440</v>
      </c>
      <c r="AL818" s="136"/>
      <c r="AM818" s="187" t="s">
        <v>237</v>
      </c>
      <c r="AN818" s="241" t="s">
        <v>440</v>
      </c>
      <c r="AP818" s="136"/>
      <c r="AQ818" s="187" t="s">
        <v>237</v>
      </c>
      <c r="AR818" s="241" t="s">
        <v>440</v>
      </c>
      <c r="AT818" s="136"/>
      <c r="AU818" s="187" t="s">
        <v>237</v>
      </c>
      <c r="AV818" s="241" t="s">
        <v>440</v>
      </c>
      <c r="AX818" s="136"/>
      <c r="AY818" s="187" t="s">
        <v>237</v>
      </c>
      <c r="AZ818" s="241" t="s">
        <v>440</v>
      </c>
      <c r="BB818" s="136"/>
      <c r="BC818" s="187" t="s">
        <v>237</v>
      </c>
      <c r="BD818" s="241" t="s">
        <v>440</v>
      </c>
      <c r="BF818" s="136"/>
      <c r="BG818" s="187" t="s">
        <v>237</v>
      </c>
      <c r="BH818" s="241" t="s">
        <v>440</v>
      </c>
      <c r="BJ818" s="136"/>
      <c r="BK818" s="187" t="s">
        <v>237</v>
      </c>
      <c r="BL818" s="241" t="s">
        <v>440</v>
      </c>
      <c r="BN818" s="136"/>
      <c r="BO818" s="187" t="s">
        <v>237</v>
      </c>
      <c r="BP818" s="241" t="s">
        <v>440</v>
      </c>
      <c r="BR818" s="136"/>
      <c r="BS818" s="187" t="s">
        <v>237</v>
      </c>
      <c r="BT818" s="241" t="s">
        <v>440</v>
      </c>
    </row>
    <row r="819" spans="1:72" x14ac:dyDescent="0.15">
      <c r="A819" s="175"/>
      <c r="B819" s="176"/>
      <c r="C819" s="176"/>
      <c r="D819" s="231"/>
      <c r="E819" s="128"/>
      <c r="F819" s="136"/>
      <c r="G819" s="147"/>
      <c r="H819" s="179"/>
      <c r="I819" s="108"/>
      <c r="J819" s="136"/>
      <c r="K819" s="147"/>
      <c r="L819" s="241"/>
      <c r="N819" s="136"/>
      <c r="O819" s="147"/>
      <c r="P819" s="241"/>
      <c r="R819" s="136"/>
      <c r="S819" s="147"/>
      <c r="T819" s="241"/>
      <c r="V819" s="136"/>
      <c r="W819" s="147"/>
      <c r="X819" s="241"/>
      <c r="Z819" s="136"/>
      <c r="AA819" s="147"/>
      <c r="AB819" s="241"/>
      <c r="AD819" s="136"/>
      <c r="AE819" s="147"/>
      <c r="AF819" s="241"/>
      <c r="AH819" s="136"/>
      <c r="AI819" s="147"/>
      <c r="AJ819" s="241"/>
      <c r="AL819" s="136"/>
      <c r="AM819" s="147"/>
      <c r="AN819" s="241"/>
      <c r="AP819" s="136"/>
      <c r="AQ819" s="147"/>
      <c r="AR819" s="241"/>
      <c r="AT819" s="136"/>
      <c r="AU819" s="147"/>
      <c r="AV819" s="241"/>
      <c r="AX819" s="136"/>
      <c r="AY819" s="147"/>
      <c r="AZ819" s="241"/>
      <c r="BB819" s="136"/>
      <c r="BC819" s="147"/>
      <c r="BD819" s="241"/>
      <c r="BF819" s="136"/>
      <c r="BG819" s="147"/>
      <c r="BH819" s="241"/>
      <c r="BJ819" s="136"/>
      <c r="BK819" s="147"/>
      <c r="BL819" s="241"/>
      <c r="BN819" s="136"/>
      <c r="BO819" s="147"/>
      <c r="BP819" s="241"/>
      <c r="BR819" s="136"/>
      <c r="BS819" s="147"/>
      <c r="BT819" s="241"/>
    </row>
    <row r="820" spans="1:72" x14ac:dyDescent="0.15">
      <c r="A820" s="176"/>
      <c r="B820" s="176"/>
      <c r="C820" s="176"/>
      <c r="D820" s="231"/>
      <c r="E820" s="128"/>
      <c r="F820" s="154"/>
      <c r="G820" s="147"/>
      <c r="H820" s="179"/>
      <c r="J820" s="154"/>
      <c r="K820" s="147"/>
      <c r="L820" s="241"/>
      <c r="N820" s="154"/>
      <c r="O820" s="147"/>
      <c r="P820" s="241"/>
      <c r="R820" s="154"/>
      <c r="S820" s="147"/>
      <c r="T820" s="241"/>
      <c r="V820" s="154"/>
      <c r="W820" s="147"/>
      <c r="X820" s="241"/>
      <c r="Z820" s="154"/>
      <c r="AA820" s="147"/>
      <c r="AB820" s="241"/>
      <c r="AD820" s="154"/>
      <c r="AE820" s="147"/>
      <c r="AF820" s="241"/>
      <c r="AH820" s="154"/>
      <c r="AI820" s="147"/>
      <c r="AJ820" s="241"/>
      <c r="AL820" s="154"/>
      <c r="AM820" s="147"/>
      <c r="AN820" s="241"/>
      <c r="AP820" s="154"/>
      <c r="AQ820" s="147"/>
      <c r="AR820" s="241"/>
      <c r="AT820" s="154"/>
      <c r="AU820" s="147"/>
      <c r="AV820" s="241"/>
      <c r="AX820" s="154"/>
      <c r="AY820" s="147"/>
      <c r="AZ820" s="241"/>
      <c r="BB820" s="154"/>
      <c r="BC820" s="147"/>
      <c r="BD820" s="241"/>
      <c r="BF820" s="154"/>
      <c r="BG820" s="147"/>
      <c r="BH820" s="241"/>
      <c r="BJ820" s="154"/>
      <c r="BK820" s="147"/>
      <c r="BL820" s="241"/>
      <c r="BN820" s="154"/>
      <c r="BO820" s="147"/>
      <c r="BP820" s="241"/>
      <c r="BR820" s="154"/>
      <c r="BS820" s="147"/>
      <c r="BT820" s="241"/>
    </row>
    <row r="821" spans="1:72" x14ac:dyDescent="0.15">
      <c r="A821" s="230"/>
      <c r="B821" s="146"/>
      <c r="C821" s="230"/>
      <c r="D821" s="231"/>
      <c r="E821" s="128"/>
      <c r="F821" s="136" t="s">
        <v>1062</v>
      </c>
      <c r="G821" s="185"/>
      <c r="H821" s="232"/>
      <c r="I821" s="222"/>
      <c r="J821" s="136" t="s">
        <v>1062</v>
      </c>
      <c r="K821" s="185"/>
      <c r="L821" s="245"/>
      <c r="N821" s="136" t="s">
        <v>1062</v>
      </c>
      <c r="O821" s="185"/>
      <c r="P821" s="245"/>
      <c r="R821" s="136" t="s">
        <v>1062</v>
      </c>
      <c r="S821" s="185"/>
      <c r="T821" s="245"/>
      <c r="V821" s="136" t="s">
        <v>1062</v>
      </c>
      <c r="W821" s="185"/>
      <c r="X821" s="245"/>
      <c r="Z821" s="136" t="s">
        <v>1062</v>
      </c>
      <c r="AA821" s="185"/>
      <c r="AB821" s="245"/>
      <c r="AD821" s="136" t="s">
        <v>1062</v>
      </c>
      <c r="AE821" s="185"/>
      <c r="AF821" s="245"/>
      <c r="AH821" s="136" t="s">
        <v>1062</v>
      </c>
      <c r="AI821" s="185"/>
      <c r="AJ821" s="245"/>
      <c r="AL821" s="136" t="s">
        <v>1062</v>
      </c>
      <c r="AM821" s="185"/>
      <c r="AN821" s="245"/>
      <c r="AP821" s="136" t="s">
        <v>1062</v>
      </c>
      <c r="AQ821" s="185"/>
      <c r="AR821" s="245"/>
      <c r="AT821" s="136" t="s">
        <v>1062</v>
      </c>
      <c r="AU821" s="185"/>
      <c r="AV821" s="245"/>
      <c r="AX821" s="136" t="s">
        <v>1062</v>
      </c>
      <c r="AY821" s="185"/>
      <c r="AZ821" s="245"/>
      <c r="BB821" s="136" t="s">
        <v>1062</v>
      </c>
      <c r="BC821" s="185"/>
      <c r="BD821" s="245"/>
      <c r="BF821" s="136" t="s">
        <v>1062</v>
      </c>
      <c r="BG821" s="185"/>
      <c r="BH821" s="245"/>
      <c r="BJ821" s="136" t="s">
        <v>1062</v>
      </c>
      <c r="BK821" s="185"/>
      <c r="BL821" s="245"/>
      <c r="BN821" s="136" t="s">
        <v>1062</v>
      </c>
      <c r="BO821" s="185"/>
      <c r="BP821" s="245"/>
      <c r="BR821" s="136" t="s">
        <v>1062</v>
      </c>
      <c r="BS821" s="185"/>
      <c r="BT821" s="245"/>
    </row>
    <row r="822" spans="1:72" x14ac:dyDescent="0.15">
      <c r="A822" s="134" t="s">
        <v>447</v>
      </c>
      <c r="B822" s="135" t="s">
        <v>448</v>
      </c>
      <c r="C822" s="135" t="s">
        <v>449</v>
      </c>
      <c r="D822" s="231"/>
      <c r="E822" s="128"/>
      <c r="F822" s="136"/>
      <c r="G822" s="137" t="s">
        <v>125</v>
      </c>
      <c r="H822" s="138" t="s">
        <v>450</v>
      </c>
      <c r="I822" s="108"/>
      <c r="J822" s="136"/>
      <c r="K822" s="137" t="s">
        <v>125</v>
      </c>
      <c r="L822" s="229" t="s">
        <v>450</v>
      </c>
      <c r="N822" s="136"/>
      <c r="O822" s="137" t="s">
        <v>125</v>
      </c>
      <c r="P822" s="229" t="s">
        <v>450</v>
      </c>
      <c r="R822" s="136"/>
      <c r="S822" s="137" t="s">
        <v>125</v>
      </c>
      <c r="T822" s="229" t="s">
        <v>450</v>
      </c>
      <c r="V822" s="136"/>
      <c r="W822" s="137" t="s">
        <v>125</v>
      </c>
      <c r="X822" s="229" t="s">
        <v>450</v>
      </c>
      <c r="Z822" s="136"/>
      <c r="AA822" s="137" t="s">
        <v>125</v>
      </c>
      <c r="AB822" s="229" t="s">
        <v>450</v>
      </c>
      <c r="AD822" s="136"/>
      <c r="AE822" s="137" t="s">
        <v>125</v>
      </c>
      <c r="AF822" s="229" t="s">
        <v>450</v>
      </c>
      <c r="AH822" s="136"/>
      <c r="AI822" s="137" t="s">
        <v>125</v>
      </c>
      <c r="AJ822" s="229" t="s">
        <v>450</v>
      </c>
      <c r="AL822" s="136"/>
      <c r="AM822" s="137" t="s">
        <v>125</v>
      </c>
      <c r="AN822" s="229" t="s">
        <v>450</v>
      </c>
      <c r="AP822" s="136"/>
      <c r="AQ822" s="137" t="s">
        <v>125</v>
      </c>
      <c r="AR822" s="229" t="s">
        <v>450</v>
      </c>
      <c r="AT822" s="136"/>
      <c r="AU822" s="137" t="s">
        <v>125</v>
      </c>
      <c r="AV822" s="229" t="s">
        <v>450</v>
      </c>
      <c r="AX822" s="136"/>
      <c r="AY822" s="137" t="s">
        <v>125</v>
      </c>
      <c r="AZ822" s="229" t="s">
        <v>450</v>
      </c>
      <c r="BB822" s="136"/>
      <c r="BC822" s="137" t="s">
        <v>125</v>
      </c>
      <c r="BD822" s="229" t="s">
        <v>450</v>
      </c>
      <c r="BF822" s="136"/>
      <c r="BG822" s="137" t="s">
        <v>125</v>
      </c>
      <c r="BH822" s="229" t="s">
        <v>450</v>
      </c>
      <c r="BJ822" s="136"/>
      <c r="BK822" s="137" t="s">
        <v>125</v>
      </c>
      <c r="BL822" s="229" t="s">
        <v>450</v>
      </c>
      <c r="BN822" s="136"/>
      <c r="BO822" s="137" t="s">
        <v>125</v>
      </c>
      <c r="BP822" s="229" t="s">
        <v>450</v>
      </c>
      <c r="BR822" s="136"/>
      <c r="BS822" s="137" t="s">
        <v>125</v>
      </c>
      <c r="BT822" s="229" t="s">
        <v>450</v>
      </c>
    </row>
    <row r="823" spans="1:72" x14ac:dyDescent="0.15">
      <c r="A823" s="181"/>
      <c r="B823" s="140" t="s">
        <v>255</v>
      </c>
      <c r="C823" s="140"/>
      <c r="D823" s="231"/>
      <c r="E823" s="128"/>
      <c r="F823" s="136"/>
      <c r="G823" s="187" t="s">
        <v>245</v>
      </c>
      <c r="H823" s="179"/>
      <c r="J823" s="136"/>
      <c r="K823" s="187" t="s">
        <v>245</v>
      </c>
      <c r="L823" s="241" t="s">
        <v>1155</v>
      </c>
      <c r="N823" s="136"/>
      <c r="O823" s="187" t="s">
        <v>245</v>
      </c>
      <c r="P823" s="241" t="s">
        <v>1155</v>
      </c>
      <c r="R823" s="136"/>
      <c r="S823" s="187" t="s">
        <v>245</v>
      </c>
      <c r="T823" s="241" t="s">
        <v>1155</v>
      </c>
      <c r="V823" s="136"/>
      <c r="W823" s="187" t="s">
        <v>245</v>
      </c>
      <c r="X823" s="241" t="s">
        <v>1155</v>
      </c>
      <c r="Z823" s="136"/>
      <c r="AA823" s="187" t="s">
        <v>245</v>
      </c>
      <c r="AB823" s="241" t="s">
        <v>1155</v>
      </c>
      <c r="AD823" s="136"/>
      <c r="AE823" s="187" t="s">
        <v>245</v>
      </c>
      <c r="AF823" s="241" t="s">
        <v>1155</v>
      </c>
      <c r="AH823" s="136"/>
      <c r="AI823" s="187" t="s">
        <v>245</v>
      </c>
      <c r="AJ823" s="241" t="s">
        <v>1155</v>
      </c>
      <c r="AL823" s="136"/>
      <c r="AM823" s="187" t="s">
        <v>245</v>
      </c>
      <c r="AN823" s="241" t="s">
        <v>1155</v>
      </c>
      <c r="AP823" s="136"/>
      <c r="AQ823" s="187" t="s">
        <v>245</v>
      </c>
      <c r="AR823" s="241" t="s">
        <v>1155</v>
      </c>
      <c r="AT823" s="136"/>
      <c r="AU823" s="187" t="s">
        <v>245</v>
      </c>
      <c r="AV823" s="241" t="s">
        <v>1155</v>
      </c>
      <c r="AX823" s="136"/>
      <c r="AY823" s="187" t="s">
        <v>245</v>
      </c>
      <c r="AZ823" s="241" t="s">
        <v>1155</v>
      </c>
      <c r="BB823" s="136"/>
      <c r="BC823" s="187" t="s">
        <v>245</v>
      </c>
      <c r="BD823" s="241" t="s">
        <v>1155</v>
      </c>
      <c r="BF823" s="136"/>
      <c r="BG823" s="187" t="s">
        <v>245</v>
      </c>
      <c r="BH823" s="241" t="s">
        <v>1155</v>
      </c>
      <c r="BJ823" s="136"/>
      <c r="BK823" s="187" t="s">
        <v>245</v>
      </c>
      <c r="BL823" s="241" t="s">
        <v>1155</v>
      </c>
      <c r="BN823" s="136"/>
      <c r="BO823" s="187" t="s">
        <v>245</v>
      </c>
      <c r="BP823" s="241" t="s">
        <v>1155</v>
      </c>
      <c r="BR823" s="136"/>
      <c r="BS823" s="187" t="s">
        <v>245</v>
      </c>
      <c r="BT823" s="241" t="s">
        <v>1155</v>
      </c>
    </row>
    <row r="824" spans="1:72" x14ac:dyDescent="0.15">
      <c r="A824" s="175"/>
      <c r="B824" s="176"/>
      <c r="C824" s="176"/>
      <c r="D824" s="231"/>
      <c r="E824" s="128"/>
      <c r="F824" s="136"/>
      <c r="G824" s="147"/>
      <c r="H824" s="179"/>
      <c r="J824" s="136"/>
      <c r="K824" s="147"/>
      <c r="L824" s="241"/>
      <c r="N824" s="136"/>
      <c r="O824" s="147"/>
      <c r="P824" s="241"/>
      <c r="R824" s="136"/>
      <c r="S824" s="147"/>
      <c r="T824" s="241"/>
      <c r="V824" s="136"/>
      <c r="W824" s="147"/>
      <c r="X824" s="241"/>
      <c r="Z824" s="136"/>
      <c r="AA824" s="147"/>
      <c r="AB824" s="241"/>
      <c r="AD824" s="136"/>
      <c r="AE824" s="147"/>
      <c r="AF824" s="241"/>
      <c r="AH824" s="136"/>
      <c r="AI824" s="147"/>
      <c r="AJ824" s="241"/>
      <c r="AL824" s="136"/>
      <c r="AM824" s="147"/>
      <c r="AN824" s="241"/>
      <c r="AP824" s="136"/>
      <c r="AQ824" s="147"/>
      <c r="AR824" s="241"/>
      <c r="AT824" s="136"/>
      <c r="AU824" s="147"/>
      <c r="AV824" s="241"/>
      <c r="AX824" s="136"/>
      <c r="AY824" s="147"/>
      <c r="AZ824" s="241"/>
      <c r="BB824" s="136"/>
      <c r="BC824" s="147"/>
      <c r="BD824" s="241"/>
      <c r="BF824" s="136"/>
      <c r="BG824" s="147"/>
      <c r="BH824" s="241"/>
      <c r="BJ824" s="136"/>
      <c r="BK824" s="147"/>
      <c r="BL824" s="241"/>
      <c r="BN824" s="136"/>
      <c r="BO824" s="147"/>
      <c r="BP824" s="241"/>
      <c r="BR824" s="136"/>
      <c r="BS824" s="147"/>
      <c r="BT824" s="241"/>
    </row>
    <row r="825" spans="1:72" x14ac:dyDescent="0.15">
      <c r="A825" s="176"/>
      <c r="B825" s="176"/>
      <c r="C825" s="176"/>
      <c r="D825" s="231"/>
      <c r="E825" s="128"/>
      <c r="F825" s="154"/>
      <c r="G825" s="147"/>
      <c r="H825" s="179"/>
      <c r="J825" s="154"/>
      <c r="K825" s="147"/>
      <c r="L825" s="241"/>
      <c r="N825" s="154"/>
      <c r="O825" s="147"/>
      <c r="P825" s="241"/>
      <c r="R825" s="154"/>
      <c r="S825" s="147"/>
      <c r="T825" s="241"/>
      <c r="V825" s="154"/>
      <c r="W825" s="147"/>
      <c r="X825" s="241"/>
      <c r="Z825" s="154"/>
      <c r="AA825" s="147"/>
      <c r="AB825" s="241"/>
      <c r="AD825" s="154"/>
      <c r="AE825" s="147"/>
      <c r="AF825" s="241"/>
      <c r="AH825" s="154"/>
      <c r="AI825" s="147"/>
      <c r="AJ825" s="241"/>
      <c r="AL825" s="154"/>
      <c r="AM825" s="147"/>
      <c r="AN825" s="241"/>
      <c r="AP825" s="154"/>
      <c r="AQ825" s="147"/>
      <c r="AR825" s="241"/>
      <c r="AT825" s="154"/>
      <c r="AU825" s="147"/>
      <c r="AV825" s="241"/>
      <c r="AX825" s="154"/>
      <c r="AY825" s="147"/>
      <c r="AZ825" s="241"/>
      <c r="BB825" s="154"/>
      <c r="BC825" s="147"/>
      <c r="BD825" s="241"/>
      <c r="BF825" s="154"/>
      <c r="BG825" s="147"/>
      <c r="BH825" s="241"/>
      <c r="BJ825" s="154"/>
      <c r="BK825" s="147"/>
      <c r="BL825" s="241"/>
      <c r="BN825" s="154"/>
      <c r="BO825" s="147"/>
      <c r="BP825" s="241"/>
      <c r="BR825" s="154"/>
      <c r="BS825" s="147"/>
      <c r="BT825" s="241"/>
    </row>
    <row r="826" spans="1:72" x14ac:dyDescent="0.15">
      <c r="A826" s="230"/>
      <c r="B826" s="146"/>
      <c r="C826" s="230"/>
      <c r="D826" s="231"/>
      <c r="E826" s="128"/>
      <c r="F826" s="136" t="s">
        <v>1063</v>
      </c>
      <c r="G826" s="185"/>
      <c r="H826" s="232"/>
      <c r="J826" s="136" t="s">
        <v>1063</v>
      </c>
      <c r="K826" s="185"/>
      <c r="L826" s="245"/>
      <c r="N826" s="136" t="s">
        <v>1063</v>
      </c>
      <c r="O826" s="185"/>
      <c r="P826" s="245"/>
      <c r="R826" s="136" t="s">
        <v>1063</v>
      </c>
      <c r="S826" s="185"/>
      <c r="T826" s="245"/>
      <c r="V826" s="136" t="s">
        <v>1063</v>
      </c>
      <c r="W826" s="185"/>
      <c r="X826" s="245"/>
      <c r="Z826" s="136" t="s">
        <v>1063</v>
      </c>
      <c r="AA826" s="185"/>
      <c r="AB826" s="245"/>
      <c r="AD826" s="136" t="s">
        <v>1063</v>
      </c>
      <c r="AE826" s="185"/>
      <c r="AF826" s="245"/>
      <c r="AH826" s="136" t="s">
        <v>1063</v>
      </c>
      <c r="AI826" s="185"/>
      <c r="AJ826" s="245"/>
      <c r="AL826" s="136" t="s">
        <v>1063</v>
      </c>
      <c r="AM826" s="185"/>
      <c r="AN826" s="245"/>
      <c r="AP826" s="136" t="s">
        <v>1063</v>
      </c>
      <c r="AQ826" s="185"/>
      <c r="AR826" s="245"/>
      <c r="AT826" s="136" t="s">
        <v>1063</v>
      </c>
      <c r="AU826" s="185"/>
      <c r="AV826" s="245"/>
      <c r="AX826" s="136" t="s">
        <v>1063</v>
      </c>
      <c r="AY826" s="185"/>
      <c r="AZ826" s="245"/>
      <c r="BB826" s="136" t="s">
        <v>1063</v>
      </c>
      <c r="BC826" s="185"/>
      <c r="BD826" s="245"/>
      <c r="BF826" s="136" t="s">
        <v>1063</v>
      </c>
      <c r="BG826" s="185"/>
      <c r="BH826" s="245"/>
      <c r="BJ826" s="136" t="s">
        <v>1063</v>
      </c>
      <c r="BK826" s="185"/>
      <c r="BL826" s="245"/>
      <c r="BN826" s="136" t="s">
        <v>1063</v>
      </c>
      <c r="BO826" s="185"/>
      <c r="BP826" s="245"/>
      <c r="BR826" s="136" t="s">
        <v>1063</v>
      </c>
      <c r="BS826" s="185"/>
      <c r="BT826" s="245"/>
    </row>
    <row r="827" spans="1:72" x14ac:dyDescent="0.15">
      <c r="A827" s="134" t="s">
        <v>447</v>
      </c>
      <c r="B827" s="135" t="s">
        <v>448</v>
      </c>
      <c r="C827" s="135" t="s">
        <v>449</v>
      </c>
      <c r="D827" s="231"/>
      <c r="E827" s="128"/>
      <c r="F827" s="136"/>
      <c r="G827" s="137" t="s">
        <v>125</v>
      </c>
      <c r="H827" s="138" t="s">
        <v>450</v>
      </c>
      <c r="J827" s="136"/>
      <c r="K827" s="137" t="s">
        <v>125</v>
      </c>
      <c r="L827" s="229" t="s">
        <v>450</v>
      </c>
      <c r="N827" s="136"/>
      <c r="O827" s="137" t="s">
        <v>125</v>
      </c>
      <c r="P827" s="229" t="s">
        <v>450</v>
      </c>
      <c r="R827" s="136"/>
      <c r="S827" s="137" t="s">
        <v>125</v>
      </c>
      <c r="T827" s="229" t="s">
        <v>450</v>
      </c>
      <c r="V827" s="136"/>
      <c r="W827" s="137" t="s">
        <v>125</v>
      </c>
      <c r="X827" s="229" t="s">
        <v>450</v>
      </c>
      <c r="Z827" s="136"/>
      <c r="AA827" s="137" t="s">
        <v>125</v>
      </c>
      <c r="AB827" s="229" t="s">
        <v>450</v>
      </c>
      <c r="AD827" s="136"/>
      <c r="AE827" s="137" t="s">
        <v>125</v>
      </c>
      <c r="AF827" s="229" t="s">
        <v>450</v>
      </c>
      <c r="AH827" s="136"/>
      <c r="AI827" s="137" t="s">
        <v>125</v>
      </c>
      <c r="AJ827" s="229" t="s">
        <v>450</v>
      </c>
      <c r="AL827" s="136"/>
      <c r="AM827" s="137" t="s">
        <v>125</v>
      </c>
      <c r="AN827" s="229" t="s">
        <v>450</v>
      </c>
      <c r="AP827" s="136"/>
      <c r="AQ827" s="137" t="s">
        <v>125</v>
      </c>
      <c r="AR827" s="229" t="s">
        <v>450</v>
      </c>
      <c r="AT827" s="136"/>
      <c r="AU827" s="137" t="s">
        <v>125</v>
      </c>
      <c r="AV827" s="229" t="s">
        <v>450</v>
      </c>
      <c r="AX827" s="136"/>
      <c r="AY827" s="137" t="s">
        <v>125</v>
      </c>
      <c r="AZ827" s="229" t="s">
        <v>450</v>
      </c>
      <c r="BB827" s="136"/>
      <c r="BC827" s="137" t="s">
        <v>125</v>
      </c>
      <c r="BD827" s="229" t="s">
        <v>450</v>
      </c>
      <c r="BF827" s="136"/>
      <c r="BG827" s="137" t="s">
        <v>125</v>
      </c>
      <c r="BH827" s="229" t="s">
        <v>450</v>
      </c>
      <c r="BJ827" s="136"/>
      <c r="BK827" s="137" t="s">
        <v>125</v>
      </c>
      <c r="BL827" s="229" t="s">
        <v>450</v>
      </c>
      <c r="BN827" s="136"/>
      <c r="BO827" s="137" t="s">
        <v>125</v>
      </c>
      <c r="BP827" s="229" t="s">
        <v>450</v>
      </c>
      <c r="BR827" s="136"/>
      <c r="BS827" s="137" t="s">
        <v>125</v>
      </c>
      <c r="BT827" s="229" t="s">
        <v>450</v>
      </c>
    </row>
    <row r="828" spans="1:72" x14ac:dyDescent="0.15">
      <c r="A828" s="182"/>
      <c r="B828" s="168" t="s">
        <v>85</v>
      </c>
      <c r="C828" s="140"/>
      <c r="D828" s="170"/>
      <c r="E828" s="130"/>
      <c r="F828" s="136"/>
      <c r="G828" s="141" t="s">
        <v>240</v>
      </c>
      <c r="H828" s="179"/>
      <c r="J828" s="136"/>
      <c r="K828" s="141" t="s">
        <v>240</v>
      </c>
      <c r="L828" s="241" t="s">
        <v>86</v>
      </c>
      <c r="N828" s="136"/>
      <c r="O828" s="141" t="s">
        <v>240</v>
      </c>
      <c r="P828" s="241" t="s">
        <v>86</v>
      </c>
      <c r="R828" s="136"/>
      <c r="S828" s="141" t="s">
        <v>240</v>
      </c>
      <c r="T828" s="241" t="s">
        <v>86</v>
      </c>
      <c r="V828" s="136"/>
      <c r="W828" s="141" t="s">
        <v>240</v>
      </c>
      <c r="X828" s="241" t="s">
        <v>86</v>
      </c>
      <c r="Z828" s="136"/>
      <c r="AA828" s="141" t="s">
        <v>240</v>
      </c>
      <c r="AB828" s="241" t="s">
        <v>86</v>
      </c>
      <c r="AD828" s="136"/>
      <c r="AE828" s="141" t="s">
        <v>240</v>
      </c>
      <c r="AF828" s="241" t="s">
        <v>86</v>
      </c>
      <c r="AH828" s="136"/>
      <c r="AI828" s="141" t="s">
        <v>240</v>
      </c>
      <c r="AJ828" s="241" t="s">
        <v>86</v>
      </c>
      <c r="AL828" s="136"/>
      <c r="AM828" s="141" t="s">
        <v>240</v>
      </c>
      <c r="AN828" s="241" t="s">
        <v>86</v>
      </c>
      <c r="AP828" s="136"/>
      <c r="AQ828" s="141" t="s">
        <v>240</v>
      </c>
      <c r="AR828" s="241" t="s">
        <v>86</v>
      </c>
      <c r="AT828" s="136"/>
      <c r="AU828" s="141" t="s">
        <v>240</v>
      </c>
      <c r="AV828" s="241" t="s">
        <v>86</v>
      </c>
      <c r="AX828" s="136"/>
      <c r="AY828" s="141" t="s">
        <v>240</v>
      </c>
      <c r="AZ828" s="241" t="s">
        <v>86</v>
      </c>
      <c r="BB828" s="136"/>
      <c r="BC828" s="141" t="s">
        <v>240</v>
      </c>
      <c r="BD828" s="241" t="s">
        <v>86</v>
      </c>
      <c r="BF828" s="136"/>
      <c r="BG828" s="141" t="s">
        <v>240</v>
      </c>
      <c r="BH828" s="241" t="s">
        <v>86</v>
      </c>
      <c r="BJ828" s="136"/>
      <c r="BK828" s="141" t="s">
        <v>240</v>
      </c>
      <c r="BL828" s="241" t="s">
        <v>86</v>
      </c>
      <c r="BN828" s="136"/>
      <c r="BO828" s="141" t="s">
        <v>240</v>
      </c>
      <c r="BP828" s="241" t="s">
        <v>86</v>
      </c>
      <c r="BR828" s="136"/>
      <c r="BS828" s="141" t="s">
        <v>240</v>
      </c>
      <c r="BT828" s="241" t="s">
        <v>86</v>
      </c>
    </row>
    <row r="829" spans="1:72" x14ac:dyDescent="0.15">
      <c r="A829" s="182"/>
      <c r="B829" s="168" t="s">
        <v>85</v>
      </c>
      <c r="C829" s="140"/>
      <c r="D829" s="170"/>
      <c r="E829" s="130"/>
      <c r="F829" s="136"/>
      <c r="G829" s="141" t="s">
        <v>242</v>
      </c>
      <c r="H829" s="179"/>
      <c r="J829" s="136"/>
      <c r="K829" s="141" t="s">
        <v>242</v>
      </c>
      <c r="L829" s="241" t="s">
        <v>86</v>
      </c>
      <c r="N829" s="136"/>
      <c r="O829" s="141" t="s">
        <v>242</v>
      </c>
      <c r="P829" s="241" t="s">
        <v>86</v>
      </c>
      <c r="R829" s="136"/>
      <c r="S829" s="141" t="s">
        <v>242</v>
      </c>
      <c r="T829" s="241" t="s">
        <v>86</v>
      </c>
      <c r="V829" s="136"/>
      <c r="W829" s="141" t="s">
        <v>242</v>
      </c>
      <c r="X829" s="241" t="s">
        <v>86</v>
      </c>
      <c r="Z829" s="136"/>
      <c r="AA829" s="141" t="s">
        <v>242</v>
      </c>
      <c r="AB829" s="241" t="s">
        <v>86</v>
      </c>
      <c r="AD829" s="136"/>
      <c r="AE829" s="141" t="s">
        <v>242</v>
      </c>
      <c r="AF829" s="241" t="s">
        <v>86</v>
      </c>
      <c r="AH829" s="136"/>
      <c r="AI829" s="141" t="s">
        <v>242</v>
      </c>
      <c r="AJ829" s="241" t="s">
        <v>86</v>
      </c>
      <c r="AL829" s="136"/>
      <c r="AM829" s="141" t="s">
        <v>242</v>
      </c>
      <c r="AN829" s="241" t="s">
        <v>86</v>
      </c>
      <c r="AP829" s="136"/>
      <c r="AQ829" s="141" t="s">
        <v>242</v>
      </c>
      <c r="AR829" s="241" t="s">
        <v>86</v>
      </c>
      <c r="AT829" s="136"/>
      <c r="AU829" s="141" t="s">
        <v>242</v>
      </c>
      <c r="AV829" s="241" t="s">
        <v>86</v>
      </c>
      <c r="AX829" s="136"/>
      <c r="AY829" s="141" t="s">
        <v>242</v>
      </c>
      <c r="AZ829" s="241" t="s">
        <v>86</v>
      </c>
      <c r="BB829" s="136"/>
      <c r="BC829" s="141" t="s">
        <v>242</v>
      </c>
      <c r="BD829" s="241" t="s">
        <v>86</v>
      </c>
      <c r="BF829" s="136"/>
      <c r="BG829" s="141" t="s">
        <v>242</v>
      </c>
      <c r="BH829" s="241" t="s">
        <v>86</v>
      </c>
      <c r="BJ829" s="136"/>
      <c r="BK829" s="141" t="s">
        <v>242</v>
      </c>
      <c r="BL829" s="241" t="s">
        <v>86</v>
      </c>
      <c r="BN829" s="136"/>
      <c r="BO829" s="141" t="s">
        <v>242</v>
      </c>
      <c r="BP829" s="241" t="s">
        <v>86</v>
      </c>
      <c r="BR829" s="136"/>
      <c r="BS829" s="141" t="s">
        <v>242</v>
      </c>
      <c r="BT829" s="241" t="s">
        <v>86</v>
      </c>
    </row>
    <row r="830" spans="1:72" x14ac:dyDescent="0.15">
      <c r="A830" s="182"/>
      <c r="B830" s="168" t="s">
        <v>287</v>
      </c>
      <c r="C830" s="140"/>
      <c r="D830" s="170"/>
      <c r="E830" s="130"/>
      <c r="F830" s="136"/>
      <c r="G830" s="141" t="s">
        <v>235</v>
      </c>
      <c r="H830" s="179"/>
      <c r="J830" s="136"/>
      <c r="K830" s="141" t="s">
        <v>235</v>
      </c>
      <c r="L830" s="241" t="s">
        <v>440</v>
      </c>
      <c r="N830" s="136"/>
      <c r="O830" s="141" t="s">
        <v>235</v>
      </c>
      <c r="P830" s="241" t="s">
        <v>440</v>
      </c>
      <c r="R830" s="136"/>
      <c r="S830" s="141" t="s">
        <v>235</v>
      </c>
      <c r="T830" s="241" t="s">
        <v>440</v>
      </c>
      <c r="V830" s="136"/>
      <c r="W830" s="141" t="s">
        <v>235</v>
      </c>
      <c r="X830" s="241" t="s">
        <v>440</v>
      </c>
      <c r="Z830" s="136"/>
      <c r="AA830" s="141" t="s">
        <v>235</v>
      </c>
      <c r="AB830" s="241" t="s">
        <v>440</v>
      </c>
      <c r="AD830" s="136"/>
      <c r="AE830" s="141" t="s">
        <v>235</v>
      </c>
      <c r="AF830" s="241" t="s">
        <v>440</v>
      </c>
      <c r="AH830" s="136"/>
      <c r="AI830" s="141" t="s">
        <v>235</v>
      </c>
      <c r="AJ830" s="241" t="s">
        <v>440</v>
      </c>
      <c r="AL830" s="136"/>
      <c r="AM830" s="141" t="s">
        <v>235</v>
      </c>
      <c r="AN830" s="241" t="s">
        <v>440</v>
      </c>
      <c r="AP830" s="136"/>
      <c r="AQ830" s="141" t="s">
        <v>235</v>
      </c>
      <c r="AR830" s="241" t="s">
        <v>440</v>
      </c>
      <c r="AT830" s="136"/>
      <c r="AU830" s="141" t="s">
        <v>235</v>
      </c>
      <c r="AV830" s="241" t="s">
        <v>440</v>
      </c>
      <c r="AX830" s="136"/>
      <c r="AY830" s="141" t="s">
        <v>235</v>
      </c>
      <c r="AZ830" s="241" t="s">
        <v>440</v>
      </c>
      <c r="BB830" s="136"/>
      <c r="BC830" s="141" t="s">
        <v>235</v>
      </c>
      <c r="BD830" s="241" t="s">
        <v>440</v>
      </c>
      <c r="BF830" s="136"/>
      <c r="BG830" s="141" t="s">
        <v>235</v>
      </c>
      <c r="BH830" s="241" t="s">
        <v>440</v>
      </c>
      <c r="BJ830" s="136"/>
      <c r="BK830" s="141" t="s">
        <v>235</v>
      </c>
      <c r="BL830" s="241" t="s">
        <v>440</v>
      </c>
      <c r="BN830" s="136"/>
      <c r="BO830" s="141" t="s">
        <v>235</v>
      </c>
      <c r="BP830" s="241" t="s">
        <v>440</v>
      </c>
      <c r="BR830" s="136"/>
      <c r="BS830" s="141" t="s">
        <v>235</v>
      </c>
      <c r="BT830" s="241" t="s">
        <v>440</v>
      </c>
    </row>
    <row r="831" spans="1:72" x14ac:dyDescent="0.15">
      <c r="A831" s="182"/>
      <c r="B831" s="168" t="s">
        <v>287</v>
      </c>
      <c r="C831" s="140"/>
      <c r="D831" s="170"/>
      <c r="E831" s="130"/>
      <c r="F831" s="136"/>
      <c r="G831" s="141" t="s">
        <v>236</v>
      </c>
      <c r="H831" s="179"/>
      <c r="J831" s="136"/>
      <c r="K831" s="141" t="s">
        <v>236</v>
      </c>
      <c r="L831" s="241" t="s">
        <v>440</v>
      </c>
      <c r="N831" s="136"/>
      <c r="O831" s="141" t="s">
        <v>236</v>
      </c>
      <c r="P831" s="241" t="s">
        <v>440</v>
      </c>
      <c r="R831" s="136"/>
      <c r="S831" s="141" t="s">
        <v>236</v>
      </c>
      <c r="T831" s="241" t="s">
        <v>440</v>
      </c>
      <c r="V831" s="136"/>
      <c r="W831" s="141" t="s">
        <v>236</v>
      </c>
      <c r="X831" s="241" t="s">
        <v>440</v>
      </c>
      <c r="Z831" s="136"/>
      <c r="AA831" s="141" t="s">
        <v>236</v>
      </c>
      <c r="AB831" s="241" t="s">
        <v>440</v>
      </c>
      <c r="AD831" s="136"/>
      <c r="AE831" s="141" t="s">
        <v>236</v>
      </c>
      <c r="AF831" s="241" t="s">
        <v>440</v>
      </c>
      <c r="AH831" s="136"/>
      <c r="AI831" s="141" t="s">
        <v>236</v>
      </c>
      <c r="AJ831" s="241" t="s">
        <v>440</v>
      </c>
      <c r="AL831" s="136"/>
      <c r="AM831" s="141" t="s">
        <v>236</v>
      </c>
      <c r="AN831" s="241" t="s">
        <v>440</v>
      </c>
      <c r="AP831" s="136"/>
      <c r="AQ831" s="141" t="s">
        <v>236</v>
      </c>
      <c r="AR831" s="241" t="s">
        <v>440</v>
      </c>
      <c r="AT831" s="136"/>
      <c r="AU831" s="141" t="s">
        <v>236</v>
      </c>
      <c r="AV831" s="241" t="s">
        <v>440</v>
      </c>
      <c r="AX831" s="136"/>
      <c r="AY831" s="141" t="s">
        <v>236</v>
      </c>
      <c r="AZ831" s="241" t="s">
        <v>440</v>
      </c>
      <c r="BB831" s="136"/>
      <c r="BC831" s="141" t="s">
        <v>236</v>
      </c>
      <c r="BD831" s="241" t="s">
        <v>440</v>
      </c>
      <c r="BF831" s="136"/>
      <c r="BG831" s="141" t="s">
        <v>236</v>
      </c>
      <c r="BH831" s="241" t="s">
        <v>440</v>
      </c>
      <c r="BJ831" s="136"/>
      <c r="BK831" s="141" t="s">
        <v>236</v>
      </c>
      <c r="BL831" s="241" t="s">
        <v>440</v>
      </c>
      <c r="BN831" s="136"/>
      <c r="BO831" s="141" t="s">
        <v>236</v>
      </c>
      <c r="BP831" s="241" t="s">
        <v>440</v>
      </c>
      <c r="BR831" s="136"/>
      <c r="BS831" s="141" t="s">
        <v>236</v>
      </c>
      <c r="BT831" s="241" t="s">
        <v>440</v>
      </c>
    </row>
    <row r="832" spans="1:72" x14ac:dyDescent="0.15">
      <c r="A832" s="175"/>
      <c r="B832" s="176"/>
      <c r="C832" s="176"/>
      <c r="D832" s="231"/>
      <c r="E832" s="128"/>
      <c r="F832" s="136"/>
      <c r="G832" s="147"/>
      <c r="H832" s="179"/>
      <c r="J832" s="136"/>
      <c r="K832" s="147"/>
      <c r="L832" s="241"/>
      <c r="N832" s="136"/>
      <c r="O832" s="147"/>
      <c r="P832" s="241"/>
      <c r="R832" s="136"/>
      <c r="S832" s="147"/>
      <c r="T832" s="241"/>
      <c r="V832" s="136"/>
      <c r="W832" s="147"/>
      <c r="X832" s="241"/>
      <c r="Z832" s="136"/>
      <c r="AA832" s="147"/>
      <c r="AB832" s="241"/>
      <c r="AD832" s="136"/>
      <c r="AE832" s="147"/>
      <c r="AF832" s="241"/>
      <c r="AH832" s="136"/>
      <c r="AI832" s="147"/>
      <c r="AJ832" s="241"/>
      <c r="AL832" s="136"/>
      <c r="AM832" s="147"/>
      <c r="AN832" s="241"/>
      <c r="AP832" s="136"/>
      <c r="AQ832" s="147"/>
      <c r="AR832" s="241"/>
      <c r="AT832" s="136"/>
      <c r="AU832" s="147"/>
      <c r="AV832" s="241"/>
      <c r="AX832" s="136"/>
      <c r="AY832" s="147"/>
      <c r="AZ832" s="241"/>
      <c r="BB832" s="136"/>
      <c r="BC832" s="147"/>
      <c r="BD832" s="241"/>
      <c r="BF832" s="136"/>
      <c r="BG832" s="147"/>
      <c r="BH832" s="241"/>
      <c r="BJ832" s="136"/>
      <c r="BK832" s="147"/>
      <c r="BL832" s="241"/>
      <c r="BN832" s="136"/>
      <c r="BO832" s="147"/>
      <c r="BP832" s="241"/>
      <c r="BR832" s="136"/>
      <c r="BS832" s="147"/>
      <c r="BT832" s="241"/>
    </row>
    <row r="833" spans="1:72" x14ac:dyDescent="0.15">
      <c r="A833" s="176"/>
      <c r="B833" s="176"/>
      <c r="C833" s="176"/>
      <c r="D833" s="231"/>
      <c r="E833" s="128"/>
      <c r="F833" s="154"/>
      <c r="G833" s="147"/>
      <c r="H833" s="179"/>
      <c r="J833" s="154"/>
      <c r="K833" s="147"/>
      <c r="L833" s="241"/>
      <c r="N833" s="154"/>
      <c r="O833" s="147"/>
      <c r="P833" s="241"/>
      <c r="R833" s="154"/>
      <c r="S833" s="147"/>
      <c r="T833" s="241"/>
      <c r="V833" s="154"/>
      <c r="W833" s="147"/>
      <c r="X833" s="241"/>
      <c r="Z833" s="154"/>
      <c r="AA833" s="147"/>
      <c r="AB833" s="241"/>
      <c r="AD833" s="154"/>
      <c r="AE833" s="147"/>
      <c r="AF833" s="241"/>
      <c r="AH833" s="154"/>
      <c r="AI833" s="147"/>
      <c r="AJ833" s="241"/>
      <c r="AL833" s="154"/>
      <c r="AM833" s="147"/>
      <c r="AN833" s="241"/>
      <c r="AP833" s="154"/>
      <c r="AQ833" s="147"/>
      <c r="AR833" s="241"/>
      <c r="AT833" s="154"/>
      <c r="AU833" s="147"/>
      <c r="AV833" s="241"/>
      <c r="AX833" s="154"/>
      <c r="AY833" s="147"/>
      <c r="AZ833" s="241"/>
      <c r="BB833" s="154"/>
      <c r="BC833" s="147"/>
      <c r="BD833" s="241"/>
      <c r="BF833" s="154"/>
      <c r="BG833" s="147"/>
      <c r="BH833" s="241"/>
      <c r="BJ833" s="154"/>
      <c r="BK833" s="147"/>
      <c r="BL833" s="241"/>
      <c r="BN833" s="154"/>
      <c r="BO833" s="147"/>
      <c r="BP833" s="241"/>
      <c r="BR833" s="154"/>
      <c r="BS833" s="147"/>
      <c r="BT833" s="241"/>
    </row>
    <row r="834" spans="1:72" x14ac:dyDescent="0.15">
      <c r="A834" s="230"/>
      <c r="B834" s="146"/>
      <c r="C834" s="230"/>
      <c r="D834" s="231"/>
      <c r="E834" s="128"/>
      <c r="F834" s="136" t="s">
        <v>1064</v>
      </c>
      <c r="G834" s="185"/>
      <c r="H834" s="232"/>
      <c r="J834" s="136" t="s">
        <v>1064</v>
      </c>
      <c r="K834" s="185"/>
      <c r="L834" s="245"/>
      <c r="N834" s="136" t="s">
        <v>1064</v>
      </c>
      <c r="O834" s="185"/>
      <c r="P834" s="245"/>
      <c r="R834" s="136" t="s">
        <v>1064</v>
      </c>
      <c r="S834" s="185"/>
      <c r="T834" s="245"/>
      <c r="V834" s="136" t="s">
        <v>1064</v>
      </c>
      <c r="W834" s="185"/>
      <c r="X834" s="245"/>
      <c r="Z834" s="136" t="s">
        <v>1064</v>
      </c>
      <c r="AA834" s="185"/>
      <c r="AB834" s="245"/>
      <c r="AD834" s="136" t="s">
        <v>1064</v>
      </c>
      <c r="AE834" s="185"/>
      <c r="AF834" s="245"/>
      <c r="AH834" s="136" t="s">
        <v>1064</v>
      </c>
      <c r="AI834" s="185"/>
      <c r="AJ834" s="245"/>
      <c r="AL834" s="136" t="s">
        <v>1064</v>
      </c>
      <c r="AM834" s="185"/>
      <c r="AN834" s="245"/>
      <c r="AP834" s="136" t="s">
        <v>1064</v>
      </c>
      <c r="AQ834" s="185"/>
      <c r="AR834" s="245"/>
      <c r="AT834" s="136" t="s">
        <v>1064</v>
      </c>
      <c r="AU834" s="185"/>
      <c r="AV834" s="245"/>
      <c r="AX834" s="136" t="s">
        <v>1064</v>
      </c>
      <c r="AY834" s="185"/>
      <c r="AZ834" s="245"/>
      <c r="BB834" s="136" t="s">
        <v>1064</v>
      </c>
      <c r="BC834" s="185"/>
      <c r="BD834" s="245"/>
      <c r="BF834" s="136" t="s">
        <v>1064</v>
      </c>
      <c r="BG834" s="185"/>
      <c r="BH834" s="245"/>
      <c r="BJ834" s="136" t="s">
        <v>1064</v>
      </c>
      <c r="BK834" s="185"/>
      <c r="BL834" s="245"/>
      <c r="BN834" s="136" t="s">
        <v>1064</v>
      </c>
      <c r="BO834" s="185"/>
      <c r="BP834" s="245"/>
      <c r="BR834" s="136" t="s">
        <v>1064</v>
      </c>
      <c r="BS834" s="185"/>
      <c r="BT834" s="245"/>
    </row>
    <row r="835" spans="1:72" x14ac:dyDescent="0.15">
      <c r="A835" s="134" t="s">
        <v>447</v>
      </c>
      <c r="B835" s="135" t="s">
        <v>448</v>
      </c>
      <c r="C835" s="135" t="s">
        <v>449</v>
      </c>
      <c r="D835" s="231"/>
      <c r="E835" s="128"/>
      <c r="F835" s="136"/>
      <c r="G835" s="137" t="s">
        <v>125</v>
      </c>
      <c r="H835" s="138" t="s">
        <v>450</v>
      </c>
      <c r="J835" s="136"/>
      <c r="K835" s="137" t="s">
        <v>125</v>
      </c>
      <c r="L835" s="229" t="s">
        <v>450</v>
      </c>
      <c r="N835" s="136"/>
      <c r="O835" s="137" t="s">
        <v>125</v>
      </c>
      <c r="P835" s="229" t="s">
        <v>450</v>
      </c>
      <c r="R835" s="136"/>
      <c r="S835" s="137" t="s">
        <v>125</v>
      </c>
      <c r="T835" s="229" t="s">
        <v>450</v>
      </c>
      <c r="V835" s="136"/>
      <c r="W835" s="137" t="s">
        <v>125</v>
      </c>
      <c r="X835" s="229" t="s">
        <v>450</v>
      </c>
      <c r="Z835" s="136"/>
      <c r="AA835" s="137" t="s">
        <v>125</v>
      </c>
      <c r="AB835" s="229" t="s">
        <v>450</v>
      </c>
      <c r="AD835" s="136"/>
      <c r="AE835" s="137" t="s">
        <v>125</v>
      </c>
      <c r="AF835" s="229" t="s">
        <v>450</v>
      </c>
      <c r="AH835" s="136"/>
      <c r="AI835" s="137" t="s">
        <v>125</v>
      </c>
      <c r="AJ835" s="229" t="s">
        <v>450</v>
      </c>
      <c r="AL835" s="136"/>
      <c r="AM835" s="137" t="s">
        <v>125</v>
      </c>
      <c r="AN835" s="229" t="s">
        <v>450</v>
      </c>
      <c r="AP835" s="136"/>
      <c r="AQ835" s="137" t="s">
        <v>125</v>
      </c>
      <c r="AR835" s="229" t="s">
        <v>450</v>
      </c>
      <c r="AT835" s="136"/>
      <c r="AU835" s="137" t="s">
        <v>125</v>
      </c>
      <c r="AV835" s="229" t="s">
        <v>450</v>
      </c>
      <c r="AX835" s="136"/>
      <c r="AY835" s="137" t="s">
        <v>125</v>
      </c>
      <c r="AZ835" s="229" t="s">
        <v>450</v>
      </c>
      <c r="BB835" s="136"/>
      <c r="BC835" s="137" t="s">
        <v>125</v>
      </c>
      <c r="BD835" s="229" t="s">
        <v>450</v>
      </c>
      <c r="BF835" s="136"/>
      <c r="BG835" s="137" t="s">
        <v>125</v>
      </c>
      <c r="BH835" s="229" t="s">
        <v>450</v>
      </c>
      <c r="BJ835" s="136"/>
      <c r="BK835" s="137" t="s">
        <v>125</v>
      </c>
      <c r="BL835" s="229" t="s">
        <v>450</v>
      </c>
      <c r="BN835" s="136"/>
      <c r="BO835" s="137" t="s">
        <v>125</v>
      </c>
      <c r="BP835" s="229" t="s">
        <v>450</v>
      </c>
      <c r="BR835" s="136"/>
      <c r="BS835" s="137" t="s">
        <v>125</v>
      </c>
      <c r="BT835" s="229" t="s">
        <v>450</v>
      </c>
    </row>
    <row r="836" spans="1:72" x14ac:dyDescent="0.15">
      <c r="A836" s="182"/>
      <c r="B836" s="168" t="s">
        <v>255</v>
      </c>
      <c r="C836" s="140"/>
      <c r="D836" s="170"/>
      <c r="E836" s="130"/>
      <c r="F836" s="136"/>
      <c r="G836" s="141" t="s">
        <v>241</v>
      </c>
      <c r="H836" s="179"/>
      <c r="J836" s="136"/>
      <c r="K836" s="141" t="s">
        <v>241</v>
      </c>
      <c r="L836" s="241" t="s">
        <v>1155</v>
      </c>
      <c r="N836" s="136"/>
      <c r="O836" s="141" t="s">
        <v>241</v>
      </c>
      <c r="P836" s="241" t="s">
        <v>1155</v>
      </c>
      <c r="R836" s="136"/>
      <c r="S836" s="141" t="s">
        <v>241</v>
      </c>
      <c r="T836" s="241" t="s">
        <v>1155</v>
      </c>
      <c r="V836" s="136"/>
      <c r="W836" s="141" t="s">
        <v>241</v>
      </c>
      <c r="X836" s="241" t="s">
        <v>1155</v>
      </c>
      <c r="Z836" s="136"/>
      <c r="AA836" s="141" t="s">
        <v>241</v>
      </c>
      <c r="AB836" s="241" t="s">
        <v>1155</v>
      </c>
      <c r="AD836" s="136"/>
      <c r="AE836" s="141" t="s">
        <v>241</v>
      </c>
      <c r="AF836" s="241" t="s">
        <v>1155</v>
      </c>
      <c r="AH836" s="136"/>
      <c r="AI836" s="141" t="s">
        <v>241</v>
      </c>
      <c r="AJ836" s="241" t="s">
        <v>1155</v>
      </c>
      <c r="AL836" s="136"/>
      <c r="AM836" s="141" t="s">
        <v>241</v>
      </c>
      <c r="AN836" s="241" t="s">
        <v>1155</v>
      </c>
      <c r="AP836" s="136"/>
      <c r="AQ836" s="141" t="s">
        <v>241</v>
      </c>
      <c r="AR836" s="241" t="s">
        <v>1155</v>
      </c>
      <c r="AT836" s="136"/>
      <c r="AU836" s="141" t="s">
        <v>241</v>
      </c>
      <c r="AV836" s="241" t="s">
        <v>1155</v>
      </c>
      <c r="AX836" s="136"/>
      <c r="AY836" s="141" t="s">
        <v>241</v>
      </c>
      <c r="AZ836" s="241" t="s">
        <v>1155</v>
      </c>
      <c r="BB836" s="136"/>
      <c r="BC836" s="141" t="s">
        <v>241</v>
      </c>
      <c r="BD836" s="241" t="s">
        <v>1155</v>
      </c>
      <c r="BF836" s="136"/>
      <c r="BG836" s="141" t="s">
        <v>241</v>
      </c>
      <c r="BH836" s="241" t="s">
        <v>1155</v>
      </c>
      <c r="BJ836" s="136"/>
      <c r="BK836" s="141" t="s">
        <v>241</v>
      </c>
      <c r="BL836" s="241" t="s">
        <v>1155</v>
      </c>
      <c r="BN836" s="136"/>
      <c r="BO836" s="141" t="s">
        <v>241</v>
      </c>
      <c r="BP836" s="241" t="s">
        <v>1155</v>
      </c>
      <c r="BR836" s="136"/>
      <c r="BS836" s="141" t="s">
        <v>241</v>
      </c>
      <c r="BT836" s="241" t="s">
        <v>1155</v>
      </c>
    </row>
    <row r="837" spans="1:72" x14ac:dyDescent="0.15">
      <c r="A837" s="182"/>
      <c r="B837" s="168" t="s">
        <v>255</v>
      </c>
      <c r="C837" s="140"/>
      <c r="D837" s="170"/>
      <c r="E837" s="130"/>
      <c r="F837" s="136"/>
      <c r="G837" s="141" t="s">
        <v>243</v>
      </c>
      <c r="H837" s="179"/>
      <c r="J837" s="136"/>
      <c r="K837" s="141" t="s">
        <v>243</v>
      </c>
      <c r="L837" s="241" t="s">
        <v>1155</v>
      </c>
      <c r="N837" s="136"/>
      <c r="O837" s="141" t="s">
        <v>243</v>
      </c>
      <c r="P837" s="241" t="s">
        <v>1155</v>
      </c>
      <c r="R837" s="136"/>
      <c r="S837" s="141" t="s">
        <v>243</v>
      </c>
      <c r="T837" s="241" t="s">
        <v>1155</v>
      </c>
      <c r="V837" s="136"/>
      <c r="W837" s="141" t="s">
        <v>243</v>
      </c>
      <c r="X837" s="241" t="s">
        <v>1155</v>
      </c>
      <c r="Z837" s="136"/>
      <c r="AA837" s="141" t="s">
        <v>243</v>
      </c>
      <c r="AB837" s="241" t="s">
        <v>1155</v>
      </c>
      <c r="AD837" s="136"/>
      <c r="AE837" s="141" t="s">
        <v>243</v>
      </c>
      <c r="AF837" s="241" t="s">
        <v>1155</v>
      </c>
      <c r="AH837" s="136"/>
      <c r="AI837" s="141" t="s">
        <v>243</v>
      </c>
      <c r="AJ837" s="241" t="s">
        <v>1155</v>
      </c>
      <c r="AL837" s="136"/>
      <c r="AM837" s="141" t="s">
        <v>243</v>
      </c>
      <c r="AN837" s="241" t="s">
        <v>1155</v>
      </c>
      <c r="AP837" s="136"/>
      <c r="AQ837" s="141" t="s">
        <v>243</v>
      </c>
      <c r="AR837" s="241" t="s">
        <v>1155</v>
      </c>
      <c r="AT837" s="136"/>
      <c r="AU837" s="141" t="s">
        <v>243</v>
      </c>
      <c r="AV837" s="241" t="s">
        <v>1155</v>
      </c>
      <c r="AX837" s="136"/>
      <c r="AY837" s="141" t="s">
        <v>243</v>
      </c>
      <c r="AZ837" s="241" t="s">
        <v>1155</v>
      </c>
      <c r="BB837" s="136"/>
      <c r="BC837" s="141" t="s">
        <v>243</v>
      </c>
      <c r="BD837" s="241" t="s">
        <v>1155</v>
      </c>
      <c r="BF837" s="136"/>
      <c r="BG837" s="141" t="s">
        <v>243</v>
      </c>
      <c r="BH837" s="241" t="s">
        <v>1155</v>
      </c>
      <c r="BJ837" s="136"/>
      <c r="BK837" s="141" t="s">
        <v>243</v>
      </c>
      <c r="BL837" s="241" t="s">
        <v>1155</v>
      </c>
      <c r="BN837" s="136"/>
      <c r="BO837" s="141" t="s">
        <v>243</v>
      </c>
      <c r="BP837" s="241" t="s">
        <v>1155</v>
      </c>
      <c r="BR837" s="136"/>
      <c r="BS837" s="141" t="s">
        <v>243</v>
      </c>
      <c r="BT837" s="241" t="s">
        <v>1155</v>
      </c>
    </row>
    <row r="838" spans="1:72" x14ac:dyDescent="0.15">
      <c r="A838" s="175"/>
      <c r="B838" s="176"/>
      <c r="C838" s="176"/>
      <c r="D838" s="231"/>
      <c r="E838" s="128"/>
      <c r="F838" s="136"/>
      <c r="G838" s="147"/>
      <c r="H838" s="179"/>
      <c r="J838" s="136"/>
      <c r="K838" s="147"/>
      <c r="L838" s="241"/>
      <c r="N838" s="136"/>
      <c r="O838" s="147"/>
      <c r="P838" s="241"/>
      <c r="R838" s="136"/>
      <c r="S838" s="147"/>
      <c r="T838" s="241"/>
      <c r="V838" s="136"/>
      <c r="W838" s="147"/>
      <c r="X838" s="241"/>
      <c r="Z838" s="136"/>
      <c r="AA838" s="147"/>
      <c r="AB838" s="241"/>
      <c r="AD838" s="136"/>
      <c r="AE838" s="147"/>
      <c r="AF838" s="241"/>
      <c r="AH838" s="136"/>
      <c r="AI838" s="147"/>
      <c r="AJ838" s="241"/>
      <c r="AL838" s="136"/>
      <c r="AM838" s="147"/>
      <c r="AN838" s="241"/>
      <c r="AP838" s="136"/>
      <c r="AQ838" s="147"/>
      <c r="AR838" s="241"/>
      <c r="AT838" s="136"/>
      <c r="AU838" s="147"/>
      <c r="AV838" s="241"/>
      <c r="AX838" s="136"/>
      <c r="AY838" s="147"/>
      <c r="AZ838" s="241"/>
      <c r="BB838" s="136"/>
      <c r="BC838" s="147"/>
      <c r="BD838" s="241"/>
      <c r="BF838" s="136"/>
      <c r="BG838" s="147"/>
      <c r="BH838" s="241"/>
      <c r="BJ838" s="136"/>
      <c r="BK838" s="147"/>
      <c r="BL838" s="241"/>
      <c r="BN838" s="136"/>
      <c r="BO838" s="147"/>
      <c r="BP838" s="241"/>
      <c r="BR838" s="136"/>
      <c r="BS838" s="147"/>
      <c r="BT838" s="241"/>
    </row>
    <row r="839" spans="1:72" x14ac:dyDescent="0.15">
      <c r="A839" s="176"/>
      <c r="B839" s="176"/>
      <c r="C839" s="176"/>
      <c r="D839" s="231"/>
      <c r="E839" s="128"/>
      <c r="F839" s="154"/>
      <c r="G839" s="147"/>
      <c r="H839" s="179"/>
      <c r="J839" s="154"/>
      <c r="K839" s="147"/>
      <c r="L839" s="241"/>
      <c r="N839" s="154"/>
      <c r="O839" s="147"/>
      <c r="P839" s="241"/>
      <c r="R839" s="154"/>
      <c r="S839" s="147"/>
      <c r="T839" s="241"/>
      <c r="V839" s="154"/>
      <c r="W839" s="147"/>
      <c r="X839" s="241"/>
      <c r="Z839" s="154"/>
      <c r="AA839" s="147"/>
      <c r="AB839" s="241"/>
      <c r="AD839" s="154"/>
      <c r="AE839" s="147"/>
      <c r="AF839" s="241"/>
      <c r="AH839" s="154"/>
      <c r="AI839" s="147"/>
      <c r="AJ839" s="241"/>
      <c r="AL839" s="154"/>
      <c r="AM839" s="147"/>
      <c r="AN839" s="241"/>
      <c r="AP839" s="154"/>
      <c r="AQ839" s="147"/>
      <c r="AR839" s="241"/>
      <c r="AT839" s="154"/>
      <c r="AU839" s="147"/>
      <c r="AV839" s="241"/>
      <c r="AX839" s="154"/>
      <c r="AY839" s="147"/>
      <c r="AZ839" s="241"/>
      <c r="BB839" s="154"/>
      <c r="BC839" s="147"/>
      <c r="BD839" s="241"/>
      <c r="BF839" s="154"/>
      <c r="BG839" s="147"/>
      <c r="BH839" s="241"/>
      <c r="BJ839" s="154"/>
      <c r="BK839" s="147"/>
      <c r="BL839" s="241"/>
      <c r="BN839" s="154"/>
      <c r="BO839" s="147"/>
      <c r="BP839" s="241"/>
      <c r="BR839" s="154"/>
      <c r="BS839" s="147"/>
      <c r="BT839" s="241"/>
    </row>
    <row r="840" spans="1:72" x14ac:dyDescent="0.15">
      <c r="A840" s="230"/>
      <c r="B840" s="146"/>
      <c r="C840" s="230"/>
      <c r="D840" s="231"/>
      <c r="E840" s="128"/>
      <c r="F840" s="136" t="s">
        <v>1065</v>
      </c>
      <c r="G840" s="185"/>
      <c r="H840" s="232"/>
      <c r="J840" s="136" t="s">
        <v>1065</v>
      </c>
      <c r="K840" s="185"/>
      <c r="L840" s="245"/>
      <c r="N840" s="136" t="s">
        <v>1065</v>
      </c>
      <c r="O840" s="185"/>
      <c r="P840" s="245"/>
      <c r="R840" s="136" t="s">
        <v>1065</v>
      </c>
      <c r="S840" s="185"/>
      <c r="T840" s="245"/>
      <c r="V840" s="136" t="s">
        <v>1065</v>
      </c>
      <c r="W840" s="185"/>
      <c r="X840" s="245"/>
      <c r="Z840" s="136" t="s">
        <v>1065</v>
      </c>
      <c r="AA840" s="185"/>
      <c r="AB840" s="245"/>
      <c r="AD840" s="136" t="s">
        <v>1065</v>
      </c>
      <c r="AE840" s="185"/>
      <c r="AF840" s="245"/>
      <c r="AH840" s="136" t="s">
        <v>1065</v>
      </c>
      <c r="AI840" s="185"/>
      <c r="AJ840" s="245"/>
      <c r="AL840" s="136" t="s">
        <v>1065</v>
      </c>
      <c r="AM840" s="185"/>
      <c r="AN840" s="245"/>
      <c r="AP840" s="136" t="s">
        <v>1065</v>
      </c>
      <c r="AQ840" s="185"/>
      <c r="AR840" s="245"/>
      <c r="AT840" s="136" t="s">
        <v>1065</v>
      </c>
      <c r="AU840" s="185"/>
      <c r="AV840" s="245"/>
      <c r="AX840" s="136" t="s">
        <v>1065</v>
      </c>
      <c r="AY840" s="185"/>
      <c r="AZ840" s="245"/>
      <c r="BB840" s="136" t="s">
        <v>1065</v>
      </c>
      <c r="BC840" s="185"/>
      <c r="BD840" s="245"/>
      <c r="BF840" s="136" t="s">
        <v>1065</v>
      </c>
      <c r="BG840" s="185"/>
      <c r="BH840" s="245"/>
      <c r="BJ840" s="136" t="s">
        <v>1065</v>
      </c>
      <c r="BK840" s="185"/>
      <c r="BL840" s="245"/>
      <c r="BN840" s="136" t="s">
        <v>1065</v>
      </c>
      <c r="BO840" s="185"/>
      <c r="BP840" s="245"/>
      <c r="BR840" s="136" t="s">
        <v>1065</v>
      </c>
      <c r="BS840" s="185"/>
      <c r="BT840" s="245"/>
    </row>
    <row r="841" spans="1:72" x14ac:dyDescent="0.15">
      <c r="A841" s="134" t="s">
        <v>447</v>
      </c>
      <c r="B841" s="135" t="s">
        <v>448</v>
      </c>
      <c r="C841" s="135" t="s">
        <v>449</v>
      </c>
      <c r="D841" s="231"/>
      <c r="E841" s="128"/>
      <c r="F841" s="136"/>
      <c r="G841" s="137" t="s">
        <v>125</v>
      </c>
      <c r="H841" s="138" t="s">
        <v>450</v>
      </c>
      <c r="J841" s="136"/>
      <c r="K841" s="137" t="s">
        <v>125</v>
      </c>
      <c r="L841" s="229" t="s">
        <v>450</v>
      </c>
      <c r="N841" s="136"/>
      <c r="O841" s="137" t="s">
        <v>125</v>
      </c>
      <c r="P841" s="229" t="s">
        <v>450</v>
      </c>
      <c r="R841" s="136"/>
      <c r="S841" s="137" t="s">
        <v>125</v>
      </c>
      <c r="T841" s="229" t="s">
        <v>450</v>
      </c>
      <c r="V841" s="136"/>
      <c r="W841" s="137" t="s">
        <v>125</v>
      </c>
      <c r="X841" s="229" t="s">
        <v>450</v>
      </c>
      <c r="Z841" s="136"/>
      <c r="AA841" s="137" t="s">
        <v>125</v>
      </c>
      <c r="AB841" s="229" t="s">
        <v>450</v>
      </c>
      <c r="AD841" s="136"/>
      <c r="AE841" s="137" t="s">
        <v>125</v>
      </c>
      <c r="AF841" s="229" t="s">
        <v>450</v>
      </c>
      <c r="AH841" s="136"/>
      <c r="AI841" s="137" t="s">
        <v>125</v>
      </c>
      <c r="AJ841" s="229" t="s">
        <v>450</v>
      </c>
      <c r="AL841" s="136"/>
      <c r="AM841" s="137" t="s">
        <v>125</v>
      </c>
      <c r="AN841" s="229" t="s">
        <v>450</v>
      </c>
      <c r="AP841" s="136"/>
      <c r="AQ841" s="137" t="s">
        <v>125</v>
      </c>
      <c r="AR841" s="229" t="s">
        <v>450</v>
      </c>
      <c r="AT841" s="136"/>
      <c r="AU841" s="137" t="s">
        <v>125</v>
      </c>
      <c r="AV841" s="229" t="s">
        <v>450</v>
      </c>
      <c r="AX841" s="136"/>
      <c r="AY841" s="137" t="s">
        <v>125</v>
      </c>
      <c r="AZ841" s="229" t="s">
        <v>450</v>
      </c>
      <c r="BB841" s="136"/>
      <c r="BC841" s="137" t="s">
        <v>125</v>
      </c>
      <c r="BD841" s="229" t="s">
        <v>450</v>
      </c>
      <c r="BF841" s="136"/>
      <c r="BG841" s="137" t="s">
        <v>125</v>
      </c>
      <c r="BH841" s="229" t="s">
        <v>450</v>
      </c>
      <c r="BJ841" s="136"/>
      <c r="BK841" s="137" t="s">
        <v>125</v>
      </c>
      <c r="BL841" s="229" t="s">
        <v>450</v>
      </c>
      <c r="BN841" s="136"/>
      <c r="BO841" s="137" t="s">
        <v>125</v>
      </c>
      <c r="BP841" s="229" t="s">
        <v>450</v>
      </c>
      <c r="BR841" s="136"/>
      <c r="BS841" s="137" t="s">
        <v>125</v>
      </c>
      <c r="BT841" s="229" t="s">
        <v>450</v>
      </c>
    </row>
    <row r="842" spans="1:72" x14ac:dyDescent="0.15">
      <c r="A842" s="182"/>
      <c r="B842" s="168" t="s">
        <v>85</v>
      </c>
      <c r="C842" s="140"/>
      <c r="D842" s="170"/>
      <c r="E842" s="130"/>
      <c r="F842" s="136"/>
      <c r="G842" s="141" t="s">
        <v>238</v>
      </c>
      <c r="H842" s="179"/>
      <c r="J842" s="136"/>
      <c r="K842" s="141" t="s">
        <v>238</v>
      </c>
      <c r="L842" s="241" t="s">
        <v>86</v>
      </c>
      <c r="N842" s="136"/>
      <c r="O842" s="141" t="s">
        <v>238</v>
      </c>
      <c r="P842" s="241" t="s">
        <v>86</v>
      </c>
      <c r="R842" s="136"/>
      <c r="S842" s="141" t="s">
        <v>238</v>
      </c>
      <c r="T842" s="241" t="s">
        <v>86</v>
      </c>
      <c r="V842" s="136"/>
      <c r="W842" s="141" t="s">
        <v>238</v>
      </c>
      <c r="X842" s="241" t="s">
        <v>86</v>
      </c>
      <c r="Z842" s="136"/>
      <c r="AA842" s="141" t="s">
        <v>238</v>
      </c>
      <c r="AB842" s="241" t="s">
        <v>86</v>
      </c>
      <c r="AD842" s="136"/>
      <c r="AE842" s="141" t="s">
        <v>238</v>
      </c>
      <c r="AF842" s="241" t="s">
        <v>86</v>
      </c>
      <c r="AH842" s="136"/>
      <c r="AI842" s="141" t="s">
        <v>238</v>
      </c>
      <c r="AJ842" s="241" t="s">
        <v>86</v>
      </c>
      <c r="AL842" s="136"/>
      <c r="AM842" s="141" t="s">
        <v>238</v>
      </c>
      <c r="AN842" s="241" t="s">
        <v>86</v>
      </c>
      <c r="AP842" s="136"/>
      <c r="AQ842" s="141" t="s">
        <v>238</v>
      </c>
      <c r="AR842" s="241" t="s">
        <v>86</v>
      </c>
      <c r="AT842" s="136"/>
      <c r="AU842" s="141" t="s">
        <v>238</v>
      </c>
      <c r="AV842" s="241" t="s">
        <v>86</v>
      </c>
      <c r="AX842" s="136"/>
      <c r="AY842" s="141" t="s">
        <v>238</v>
      </c>
      <c r="AZ842" s="241" t="s">
        <v>86</v>
      </c>
      <c r="BB842" s="136"/>
      <c r="BC842" s="141" t="s">
        <v>238</v>
      </c>
      <c r="BD842" s="241" t="s">
        <v>86</v>
      </c>
      <c r="BF842" s="136"/>
      <c r="BG842" s="141" t="s">
        <v>238</v>
      </c>
      <c r="BH842" s="241" t="s">
        <v>86</v>
      </c>
      <c r="BJ842" s="136"/>
      <c r="BK842" s="141" t="s">
        <v>238</v>
      </c>
      <c r="BL842" s="241" t="s">
        <v>86</v>
      </c>
      <c r="BN842" s="136"/>
      <c r="BO842" s="141" t="s">
        <v>238</v>
      </c>
      <c r="BP842" s="241" t="s">
        <v>86</v>
      </c>
      <c r="BR842" s="136"/>
      <c r="BS842" s="141" t="s">
        <v>238</v>
      </c>
      <c r="BT842" s="241" t="s">
        <v>86</v>
      </c>
    </row>
    <row r="843" spans="1:72" x14ac:dyDescent="0.15">
      <c r="A843" s="182"/>
      <c r="B843" s="168" t="s">
        <v>287</v>
      </c>
      <c r="C843" s="140"/>
      <c r="D843" s="170"/>
      <c r="E843" s="130"/>
      <c r="F843" s="136"/>
      <c r="G843" s="141" t="s">
        <v>234</v>
      </c>
      <c r="H843" s="179"/>
      <c r="J843" s="136"/>
      <c r="K843" s="141" t="s">
        <v>234</v>
      </c>
      <c r="L843" s="241" t="s">
        <v>440</v>
      </c>
      <c r="N843" s="136"/>
      <c r="O843" s="141" t="s">
        <v>234</v>
      </c>
      <c r="P843" s="241" t="s">
        <v>440</v>
      </c>
      <c r="R843" s="136"/>
      <c r="S843" s="141" t="s">
        <v>234</v>
      </c>
      <c r="T843" s="241" t="s">
        <v>440</v>
      </c>
      <c r="V843" s="136"/>
      <c r="W843" s="141" t="s">
        <v>234</v>
      </c>
      <c r="X843" s="241" t="s">
        <v>440</v>
      </c>
      <c r="Z843" s="136"/>
      <c r="AA843" s="141" t="s">
        <v>234</v>
      </c>
      <c r="AB843" s="241" t="s">
        <v>440</v>
      </c>
      <c r="AD843" s="136"/>
      <c r="AE843" s="141" t="s">
        <v>234</v>
      </c>
      <c r="AF843" s="241" t="s">
        <v>440</v>
      </c>
      <c r="AH843" s="136"/>
      <c r="AI843" s="141" t="s">
        <v>234</v>
      </c>
      <c r="AJ843" s="241" t="s">
        <v>440</v>
      </c>
      <c r="AL843" s="136"/>
      <c r="AM843" s="141" t="s">
        <v>234</v>
      </c>
      <c r="AN843" s="241" t="s">
        <v>440</v>
      </c>
      <c r="AP843" s="136"/>
      <c r="AQ843" s="141" t="s">
        <v>234</v>
      </c>
      <c r="AR843" s="241" t="s">
        <v>440</v>
      </c>
      <c r="AT843" s="136"/>
      <c r="AU843" s="141" t="s">
        <v>234</v>
      </c>
      <c r="AV843" s="241" t="s">
        <v>440</v>
      </c>
      <c r="AX843" s="136"/>
      <c r="AY843" s="141" t="s">
        <v>234</v>
      </c>
      <c r="AZ843" s="241" t="s">
        <v>440</v>
      </c>
      <c r="BB843" s="136"/>
      <c r="BC843" s="141" t="s">
        <v>234</v>
      </c>
      <c r="BD843" s="241" t="s">
        <v>440</v>
      </c>
      <c r="BF843" s="136"/>
      <c r="BG843" s="141" t="s">
        <v>234</v>
      </c>
      <c r="BH843" s="241" t="s">
        <v>440</v>
      </c>
      <c r="BJ843" s="136"/>
      <c r="BK843" s="141" t="s">
        <v>234</v>
      </c>
      <c r="BL843" s="241" t="s">
        <v>440</v>
      </c>
      <c r="BN843" s="136"/>
      <c r="BO843" s="141" t="s">
        <v>234</v>
      </c>
      <c r="BP843" s="241" t="s">
        <v>440</v>
      </c>
      <c r="BR843" s="136"/>
      <c r="BS843" s="141" t="s">
        <v>234</v>
      </c>
      <c r="BT843" s="241" t="s">
        <v>440</v>
      </c>
    </row>
    <row r="844" spans="1:72" x14ac:dyDescent="0.15">
      <c r="A844" s="175"/>
      <c r="B844" s="176"/>
      <c r="C844" s="176"/>
      <c r="D844" s="231"/>
      <c r="E844" s="128"/>
      <c r="F844" s="136"/>
      <c r="G844" s="147"/>
      <c r="H844" s="179"/>
      <c r="J844" s="136"/>
      <c r="K844" s="147"/>
      <c r="L844" s="241"/>
      <c r="N844" s="136"/>
      <c r="O844" s="147"/>
      <c r="P844" s="241"/>
      <c r="R844" s="136"/>
      <c r="S844" s="147"/>
      <c r="T844" s="241"/>
      <c r="V844" s="136"/>
      <c r="W844" s="147"/>
      <c r="X844" s="241"/>
      <c r="Z844" s="136"/>
      <c r="AA844" s="147"/>
      <c r="AB844" s="241"/>
      <c r="AD844" s="136"/>
      <c r="AE844" s="147"/>
      <c r="AF844" s="241"/>
      <c r="AH844" s="136"/>
      <c r="AI844" s="147"/>
      <c r="AJ844" s="241"/>
      <c r="AL844" s="136"/>
      <c r="AM844" s="147"/>
      <c r="AN844" s="241"/>
      <c r="AP844" s="136"/>
      <c r="AQ844" s="147"/>
      <c r="AR844" s="241"/>
      <c r="AT844" s="136"/>
      <c r="AU844" s="147"/>
      <c r="AV844" s="241"/>
      <c r="AX844" s="136"/>
      <c r="AY844" s="147"/>
      <c r="AZ844" s="241"/>
      <c r="BB844" s="136"/>
      <c r="BC844" s="147"/>
      <c r="BD844" s="241"/>
      <c r="BF844" s="136"/>
      <c r="BG844" s="147"/>
      <c r="BH844" s="241"/>
      <c r="BJ844" s="136"/>
      <c r="BK844" s="147"/>
      <c r="BL844" s="241"/>
      <c r="BN844" s="136"/>
      <c r="BO844" s="147"/>
      <c r="BP844" s="241"/>
      <c r="BR844" s="136"/>
      <c r="BS844" s="147"/>
      <c r="BT844" s="241"/>
    </row>
    <row r="845" spans="1:72" x14ac:dyDescent="0.15">
      <c r="A845" s="176"/>
      <c r="B845" s="176"/>
      <c r="C845" s="176"/>
      <c r="D845" s="231"/>
      <c r="E845" s="128"/>
      <c r="F845" s="154"/>
      <c r="G845" s="147"/>
      <c r="H845" s="179"/>
      <c r="J845" s="154"/>
      <c r="K845" s="147"/>
      <c r="L845" s="241"/>
      <c r="N845" s="154"/>
      <c r="O845" s="147"/>
      <c r="P845" s="241"/>
      <c r="R845" s="154"/>
      <c r="S845" s="147"/>
      <c r="T845" s="241"/>
      <c r="V845" s="154"/>
      <c r="W845" s="147"/>
      <c r="X845" s="241"/>
      <c r="Z845" s="154"/>
      <c r="AA845" s="147"/>
      <c r="AB845" s="241"/>
      <c r="AD845" s="154"/>
      <c r="AE845" s="147"/>
      <c r="AF845" s="241"/>
      <c r="AH845" s="154"/>
      <c r="AI845" s="147"/>
      <c r="AJ845" s="241"/>
      <c r="AL845" s="154"/>
      <c r="AM845" s="147"/>
      <c r="AN845" s="241"/>
      <c r="AP845" s="154"/>
      <c r="AQ845" s="147"/>
      <c r="AR845" s="241"/>
      <c r="AT845" s="154"/>
      <c r="AU845" s="147"/>
      <c r="AV845" s="241"/>
      <c r="AX845" s="154"/>
      <c r="AY845" s="147"/>
      <c r="AZ845" s="241"/>
      <c r="BB845" s="154"/>
      <c r="BC845" s="147"/>
      <c r="BD845" s="241"/>
      <c r="BF845" s="154"/>
      <c r="BG845" s="147"/>
      <c r="BH845" s="241"/>
      <c r="BJ845" s="154"/>
      <c r="BK845" s="147"/>
      <c r="BL845" s="241"/>
      <c r="BN845" s="154"/>
      <c r="BO845" s="147"/>
      <c r="BP845" s="241"/>
      <c r="BR845" s="154"/>
      <c r="BS845" s="147"/>
      <c r="BT845" s="241"/>
    </row>
    <row r="846" spans="1:72" x14ac:dyDescent="0.15">
      <c r="A846" s="230"/>
      <c r="B846" s="146"/>
      <c r="C846" s="230"/>
      <c r="D846" s="231"/>
      <c r="E846" s="128"/>
      <c r="F846" s="136" t="s">
        <v>1066</v>
      </c>
      <c r="G846" s="185"/>
      <c r="H846" s="232"/>
      <c r="J846" s="136" t="s">
        <v>1066</v>
      </c>
      <c r="K846" s="185"/>
      <c r="L846" s="245"/>
      <c r="N846" s="136" t="s">
        <v>1066</v>
      </c>
      <c r="O846" s="185"/>
      <c r="P846" s="245"/>
      <c r="R846" s="136" t="s">
        <v>1066</v>
      </c>
      <c r="S846" s="185"/>
      <c r="T846" s="245"/>
      <c r="V846" s="136" t="s">
        <v>1066</v>
      </c>
      <c r="W846" s="185"/>
      <c r="X846" s="245"/>
      <c r="Z846" s="136" t="s">
        <v>1066</v>
      </c>
      <c r="AA846" s="185"/>
      <c r="AB846" s="245"/>
      <c r="AD846" s="136" t="s">
        <v>1066</v>
      </c>
      <c r="AE846" s="185"/>
      <c r="AF846" s="245"/>
      <c r="AH846" s="136" t="s">
        <v>1066</v>
      </c>
      <c r="AI846" s="185"/>
      <c r="AJ846" s="245"/>
      <c r="AL846" s="136" t="s">
        <v>1066</v>
      </c>
      <c r="AM846" s="185"/>
      <c r="AN846" s="245"/>
      <c r="AP846" s="136" t="s">
        <v>1066</v>
      </c>
      <c r="AQ846" s="185"/>
      <c r="AR846" s="245"/>
      <c r="AT846" s="136" t="s">
        <v>1066</v>
      </c>
      <c r="AU846" s="185"/>
      <c r="AV846" s="245"/>
      <c r="AX846" s="136" t="s">
        <v>1066</v>
      </c>
      <c r="AY846" s="185"/>
      <c r="AZ846" s="245"/>
      <c r="BB846" s="136" t="s">
        <v>1066</v>
      </c>
      <c r="BC846" s="185"/>
      <c r="BD846" s="245"/>
      <c r="BF846" s="136" t="s">
        <v>1066</v>
      </c>
      <c r="BG846" s="185"/>
      <c r="BH846" s="245"/>
      <c r="BJ846" s="136" t="s">
        <v>1066</v>
      </c>
      <c r="BK846" s="185"/>
      <c r="BL846" s="245"/>
      <c r="BN846" s="136" t="s">
        <v>1066</v>
      </c>
      <c r="BO846" s="185"/>
      <c r="BP846" s="245"/>
      <c r="BR846" s="136" t="s">
        <v>1066</v>
      </c>
      <c r="BS846" s="185"/>
      <c r="BT846" s="245"/>
    </row>
    <row r="847" spans="1:72" x14ac:dyDescent="0.15">
      <c r="A847" s="134" t="s">
        <v>447</v>
      </c>
      <c r="B847" s="135" t="s">
        <v>448</v>
      </c>
      <c r="C847" s="135" t="s">
        <v>449</v>
      </c>
      <c r="D847" s="231"/>
      <c r="E847" s="128"/>
      <c r="F847" s="136"/>
      <c r="G847" s="137" t="s">
        <v>125</v>
      </c>
      <c r="H847" s="138" t="s">
        <v>450</v>
      </c>
      <c r="J847" s="136"/>
      <c r="K847" s="137" t="s">
        <v>125</v>
      </c>
      <c r="L847" s="229" t="s">
        <v>450</v>
      </c>
      <c r="N847" s="136"/>
      <c r="O847" s="137" t="s">
        <v>125</v>
      </c>
      <c r="P847" s="229" t="s">
        <v>450</v>
      </c>
      <c r="R847" s="136"/>
      <c r="S847" s="137" t="s">
        <v>125</v>
      </c>
      <c r="T847" s="229" t="s">
        <v>450</v>
      </c>
      <c r="V847" s="136"/>
      <c r="W847" s="137" t="s">
        <v>125</v>
      </c>
      <c r="X847" s="229" t="s">
        <v>450</v>
      </c>
      <c r="Z847" s="136"/>
      <c r="AA847" s="137" t="s">
        <v>125</v>
      </c>
      <c r="AB847" s="229" t="s">
        <v>450</v>
      </c>
      <c r="AD847" s="136"/>
      <c r="AE847" s="137" t="s">
        <v>125</v>
      </c>
      <c r="AF847" s="229" t="s">
        <v>450</v>
      </c>
      <c r="AH847" s="136"/>
      <c r="AI847" s="137" t="s">
        <v>125</v>
      </c>
      <c r="AJ847" s="229" t="s">
        <v>450</v>
      </c>
      <c r="AL847" s="136"/>
      <c r="AM847" s="137" t="s">
        <v>125</v>
      </c>
      <c r="AN847" s="229" t="s">
        <v>450</v>
      </c>
      <c r="AP847" s="136"/>
      <c r="AQ847" s="137" t="s">
        <v>125</v>
      </c>
      <c r="AR847" s="229" t="s">
        <v>450</v>
      </c>
      <c r="AT847" s="136"/>
      <c r="AU847" s="137" t="s">
        <v>125</v>
      </c>
      <c r="AV847" s="229" t="s">
        <v>450</v>
      </c>
      <c r="AX847" s="136"/>
      <c r="AY847" s="137" t="s">
        <v>125</v>
      </c>
      <c r="AZ847" s="229" t="s">
        <v>450</v>
      </c>
      <c r="BB847" s="136"/>
      <c r="BC847" s="137" t="s">
        <v>125</v>
      </c>
      <c r="BD847" s="229" t="s">
        <v>450</v>
      </c>
      <c r="BF847" s="136"/>
      <c r="BG847" s="137" t="s">
        <v>125</v>
      </c>
      <c r="BH847" s="229" t="s">
        <v>450</v>
      </c>
      <c r="BJ847" s="136"/>
      <c r="BK847" s="137" t="s">
        <v>125</v>
      </c>
      <c r="BL847" s="229" t="s">
        <v>450</v>
      </c>
      <c r="BN847" s="136"/>
      <c r="BO847" s="137" t="s">
        <v>125</v>
      </c>
      <c r="BP847" s="229" t="s">
        <v>450</v>
      </c>
      <c r="BR847" s="136"/>
      <c r="BS847" s="137" t="s">
        <v>125</v>
      </c>
      <c r="BT847" s="229" t="s">
        <v>450</v>
      </c>
    </row>
    <row r="848" spans="1:72" x14ac:dyDescent="0.15">
      <c r="A848" s="182"/>
      <c r="B848" s="168" t="s">
        <v>255</v>
      </c>
      <c r="C848" s="140"/>
      <c r="D848" s="170"/>
      <c r="E848" s="130"/>
      <c r="F848" s="136"/>
      <c r="G848" s="141" t="s">
        <v>239</v>
      </c>
      <c r="H848" s="179"/>
      <c r="J848" s="136"/>
      <c r="K848" s="141" t="s">
        <v>239</v>
      </c>
      <c r="L848" s="241" t="s">
        <v>1155</v>
      </c>
      <c r="N848" s="136"/>
      <c r="O848" s="141" t="s">
        <v>239</v>
      </c>
      <c r="P848" s="241" t="s">
        <v>1155</v>
      </c>
      <c r="R848" s="136"/>
      <c r="S848" s="141" t="s">
        <v>239</v>
      </c>
      <c r="T848" s="241" t="s">
        <v>1155</v>
      </c>
      <c r="V848" s="136"/>
      <c r="W848" s="141" t="s">
        <v>239</v>
      </c>
      <c r="X848" s="241" t="s">
        <v>1155</v>
      </c>
      <c r="Z848" s="136"/>
      <c r="AA848" s="141" t="s">
        <v>239</v>
      </c>
      <c r="AB848" s="241" t="s">
        <v>1155</v>
      </c>
      <c r="AD848" s="136"/>
      <c r="AE848" s="141" t="s">
        <v>239</v>
      </c>
      <c r="AF848" s="241" t="s">
        <v>1155</v>
      </c>
      <c r="AH848" s="136"/>
      <c r="AI848" s="141" t="s">
        <v>239</v>
      </c>
      <c r="AJ848" s="241" t="s">
        <v>1155</v>
      </c>
      <c r="AL848" s="136"/>
      <c r="AM848" s="141" t="s">
        <v>239</v>
      </c>
      <c r="AN848" s="241" t="s">
        <v>1155</v>
      </c>
      <c r="AP848" s="136"/>
      <c r="AQ848" s="141" t="s">
        <v>239</v>
      </c>
      <c r="AR848" s="241" t="s">
        <v>1155</v>
      </c>
      <c r="AT848" s="136"/>
      <c r="AU848" s="141" t="s">
        <v>239</v>
      </c>
      <c r="AV848" s="241" t="s">
        <v>1155</v>
      </c>
      <c r="AX848" s="136"/>
      <c r="AY848" s="141" t="s">
        <v>239</v>
      </c>
      <c r="AZ848" s="241" t="s">
        <v>1155</v>
      </c>
      <c r="BB848" s="136"/>
      <c r="BC848" s="141" t="s">
        <v>239</v>
      </c>
      <c r="BD848" s="241" t="s">
        <v>1155</v>
      </c>
      <c r="BF848" s="136"/>
      <c r="BG848" s="141" t="s">
        <v>239</v>
      </c>
      <c r="BH848" s="241" t="s">
        <v>1155</v>
      </c>
      <c r="BJ848" s="136"/>
      <c r="BK848" s="141" t="s">
        <v>239</v>
      </c>
      <c r="BL848" s="241" t="s">
        <v>1155</v>
      </c>
      <c r="BN848" s="136"/>
      <c r="BO848" s="141" t="s">
        <v>239</v>
      </c>
      <c r="BP848" s="241" t="s">
        <v>1155</v>
      </c>
      <c r="BR848" s="136"/>
      <c r="BS848" s="141" t="s">
        <v>239</v>
      </c>
      <c r="BT848" s="241" t="s">
        <v>1155</v>
      </c>
    </row>
    <row r="849" spans="1:72" x14ac:dyDescent="0.15">
      <c r="A849" s="175"/>
      <c r="B849" s="176"/>
      <c r="C849" s="176"/>
      <c r="D849" s="231"/>
      <c r="E849" s="128"/>
      <c r="F849" s="136"/>
      <c r="G849" s="147"/>
      <c r="H849" s="179"/>
      <c r="J849" s="136"/>
      <c r="K849" s="147"/>
      <c r="L849" s="241"/>
      <c r="N849" s="136"/>
      <c r="O849" s="147"/>
      <c r="P849" s="241"/>
      <c r="R849" s="136"/>
      <c r="S849" s="147"/>
      <c r="T849" s="241"/>
      <c r="V849" s="136"/>
      <c r="W849" s="147"/>
      <c r="X849" s="241"/>
      <c r="Z849" s="136"/>
      <c r="AA849" s="147"/>
      <c r="AB849" s="241"/>
      <c r="AD849" s="136"/>
      <c r="AE849" s="147"/>
      <c r="AF849" s="241"/>
      <c r="AH849" s="136"/>
      <c r="AI849" s="147"/>
      <c r="AJ849" s="241"/>
      <c r="AL849" s="136"/>
      <c r="AM849" s="147"/>
      <c r="AN849" s="241"/>
      <c r="AP849" s="136"/>
      <c r="AQ849" s="147"/>
      <c r="AR849" s="241"/>
      <c r="AT849" s="136"/>
      <c r="AU849" s="147"/>
      <c r="AV849" s="241"/>
      <c r="AX849" s="136"/>
      <c r="AY849" s="147"/>
      <c r="AZ849" s="241"/>
      <c r="BB849" s="136"/>
      <c r="BC849" s="147"/>
      <c r="BD849" s="241"/>
      <c r="BF849" s="136"/>
      <c r="BG849" s="147"/>
      <c r="BH849" s="241"/>
      <c r="BJ849" s="136"/>
      <c r="BK849" s="147"/>
      <c r="BL849" s="241"/>
      <c r="BN849" s="136"/>
      <c r="BO849" s="147"/>
      <c r="BP849" s="241"/>
      <c r="BR849" s="136"/>
      <c r="BS849" s="147"/>
      <c r="BT849" s="241"/>
    </row>
    <row r="850" spans="1:72" x14ac:dyDescent="0.15">
      <c r="A850" s="176"/>
      <c r="B850" s="176"/>
      <c r="C850" s="176"/>
      <c r="D850" s="231"/>
      <c r="E850" s="128"/>
      <c r="F850" s="154"/>
      <c r="G850" s="147"/>
      <c r="H850" s="179"/>
      <c r="J850" s="154"/>
      <c r="K850" s="147"/>
      <c r="L850" s="241"/>
      <c r="N850" s="154"/>
      <c r="O850" s="147"/>
      <c r="P850" s="241"/>
      <c r="R850" s="154"/>
      <c r="S850" s="147"/>
      <c r="T850" s="241"/>
      <c r="V850" s="154"/>
      <c r="W850" s="147"/>
      <c r="X850" s="241"/>
      <c r="Z850" s="154"/>
      <c r="AA850" s="147"/>
      <c r="AB850" s="241"/>
      <c r="AD850" s="154"/>
      <c r="AE850" s="147"/>
      <c r="AF850" s="241"/>
      <c r="AH850" s="154"/>
      <c r="AI850" s="147"/>
      <c r="AJ850" s="241"/>
      <c r="AL850" s="154"/>
      <c r="AM850" s="147"/>
      <c r="AN850" s="241"/>
      <c r="AP850" s="154"/>
      <c r="AQ850" s="147"/>
      <c r="AR850" s="241"/>
      <c r="AT850" s="154"/>
      <c r="AU850" s="147"/>
      <c r="AV850" s="241"/>
      <c r="AX850" s="154"/>
      <c r="AY850" s="147"/>
      <c r="AZ850" s="241"/>
      <c r="BB850" s="154"/>
      <c r="BC850" s="147"/>
      <c r="BD850" s="241"/>
      <c r="BF850" s="154"/>
      <c r="BG850" s="147"/>
      <c r="BH850" s="241"/>
      <c r="BJ850" s="154"/>
      <c r="BK850" s="147"/>
      <c r="BL850" s="241"/>
      <c r="BN850" s="154"/>
      <c r="BO850" s="147"/>
      <c r="BP850" s="241"/>
      <c r="BR850" s="154"/>
      <c r="BS850" s="147"/>
      <c r="BT850" s="241"/>
    </row>
    <row r="851" spans="1:72" x14ac:dyDescent="0.15">
      <c r="A851" s="230"/>
      <c r="B851" s="146"/>
      <c r="C851" s="230"/>
      <c r="D851" s="231"/>
      <c r="E851" s="128"/>
      <c r="F851" s="136" t="s">
        <v>1067</v>
      </c>
      <c r="G851" s="185"/>
      <c r="H851" s="232"/>
      <c r="J851" s="136" t="s">
        <v>1067</v>
      </c>
      <c r="K851" s="185"/>
      <c r="L851" s="245"/>
      <c r="N851" s="136" t="s">
        <v>1067</v>
      </c>
      <c r="O851" s="185"/>
      <c r="P851" s="245"/>
      <c r="R851" s="136" t="s">
        <v>1067</v>
      </c>
      <c r="S851" s="185"/>
      <c r="T851" s="245"/>
      <c r="V851" s="136" t="s">
        <v>1067</v>
      </c>
      <c r="W851" s="185"/>
      <c r="X851" s="245"/>
      <c r="Z851" s="136" t="s">
        <v>1067</v>
      </c>
      <c r="AA851" s="185"/>
      <c r="AB851" s="245"/>
      <c r="AD851" s="136" t="s">
        <v>1067</v>
      </c>
      <c r="AE851" s="185"/>
      <c r="AF851" s="245"/>
      <c r="AH851" s="136" t="s">
        <v>1067</v>
      </c>
      <c r="AI851" s="185"/>
      <c r="AJ851" s="245"/>
      <c r="AL851" s="136" t="s">
        <v>1067</v>
      </c>
      <c r="AM851" s="185"/>
      <c r="AN851" s="245"/>
      <c r="AP851" s="136" t="s">
        <v>1067</v>
      </c>
      <c r="AQ851" s="185"/>
      <c r="AR851" s="245"/>
      <c r="AT851" s="136" t="s">
        <v>1067</v>
      </c>
      <c r="AU851" s="185"/>
      <c r="AV851" s="245"/>
      <c r="AX851" s="136" t="s">
        <v>1067</v>
      </c>
      <c r="AY851" s="185"/>
      <c r="AZ851" s="245"/>
      <c r="BB851" s="136" t="s">
        <v>1067</v>
      </c>
      <c r="BC851" s="185"/>
      <c r="BD851" s="245"/>
      <c r="BF851" s="136" t="s">
        <v>1067</v>
      </c>
      <c r="BG851" s="185"/>
      <c r="BH851" s="245"/>
      <c r="BJ851" s="136" t="s">
        <v>1067</v>
      </c>
      <c r="BK851" s="185"/>
      <c r="BL851" s="245"/>
      <c r="BN851" s="136" t="s">
        <v>1067</v>
      </c>
      <c r="BO851" s="185"/>
      <c r="BP851" s="245"/>
      <c r="BR851" s="136" t="s">
        <v>1067</v>
      </c>
      <c r="BS851" s="185"/>
      <c r="BT851" s="245"/>
    </row>
    <row r="852" spans="1:72" x14ac:dyDescent="0.15">
      <c r="A852" s="134" t="s">
        <v>447</v>
      </c>
      <c r="B852" s="135" t="s">
        <v>448</v>
      </c>
      <c r="C852" s="135" t="s">
        <v>449</v>
      </c>
      <c r="D852" s="231"/>
      <c r="E852" s="128"/>
      <c r="F852" s="136"/>
      <c r="G852" s="137" t="s">
        <v>125</v>
      </c>
      <c r="H852" s="138" t="s">
        <v>450</v>
      </c>
      <c r="J852" s="136"/>
      <c r="K852" s="137" t="s">
        <v>125</v>
      </c>
      <c r="L852" s="229" t="s">
        <v>450</v>
      </c>
      <c r="N852" s="136"/>
      <c r="O852" s="137" t="s">
        <v>125</v>
      </c>
      <c r="P852" s="229" t="s">
        <v>450</v>
      </c>
      <c r="R852" s="136"/>
      <c r="S852" s="137" t="s">
        <v>125</v>
      </c>
      <c r="T852" s="229" t="s">
        <v>450</v>
      </c>
      <c r="V852" s="136"/>
      <c r="W852" s="137" t="s">
        <v>125</v>
      </c>
      <c r="X852" s="229" t="s">
        <v>450</v>
      </c>
      <c r="Z852" s="136"/>
      <c r="AA852" s="137" t="s">
        <v>125</v>
      </c>
      <c r="AB852" s="229" t="s">
        <v>450</v>
      </c>
      <c r="AD852" s="136"/>
      <c r="AE852" s="137" t="s">
        <v>125</v>
      </c>
      <c r="AF852" s="229" t="s">
        <v>450</v>
      </c>
      <c r="AH852" s="136"/>
      <c r="AI852" s="137" t="s">
        <v>125</v>
      </c>
      <c r="AJ852" s="229" t="s">
        <v>450</v>
      </c>
      <c r="AL852" s="136"/>
      <c r="AM852" s="137" t="s">
        <v>125</v>
      </c>
      <c r="AN852" s="229" t="s">
        <v>450</v>
      </c>
      <c r="AP852" s="136"/>
      <c r="AQ852" s="137" t="s">
        <v>125</v>
      </c>
      <c r="AR852" s="229" t="s">
        <v>450</v>
      </c>
      <c r="AT852" s="136"/>
      <c r="AU852" s="137" t="s">
        <v>125</v>
      </c>
      <c r="AV852" s="229" t="s">
        <v>450</v>
      </c>
      <c r="AX852" s="136"/>
      <c r="AY852" s="137" t="s">
        <v>125</v>
      </c>
      <c r="AZ852" s="229" t="s">
        <v>450</v>
      </c>
      <c r="BB852" s="136"/>
      <c r="BC852" s="137" t="s">
        <v>125</v>
      </c>
      <c r="BD852" s="229" t="s">
        <v>450</v>
      </c>
      <c r="BF852" s="136"/>
      <c r="BG852" s="137" t="s">
        <v>125</v>
      </c>
      <c r="BH852" s="229" t="s">
        <v>450</v>
      </c>
      <c r="BJ852" s="136"/>
      <c r="BK852" s="137" t="s">
        <v>125</v>
      </c>
      <c r="BL852" s="229" t="s">
        <v>450</v>
      </c>
      <c r="BN852" s="136"/>
      <c r="BO852" s="137" t="s">
        <v>125</v>
      </c>
      <c r="BP852" s="229" t="s">
        <v>450</v>
      </c>
      <c r="BR852" s="136"/>
      <c r="BS852" s="137" t="s">
        <v>125</v>
      </c>
      <c r="BT852" s="229" t="s">
        <v>450</v>
      </c>
    </row>
    <row r="853" spans="1:72" x14ac:dyDescent="0.15">
      <c r="A853" s="235" t="s">
        <v>201</v>
      </c>
      <c r="B853" s="168" t="s">
        <v>85</v>
      </c>
      <c r="C853" s="140"/>
      <c r="D853" s="170"/>
      <c r="E853" s="130"/>
      <c r="F853" s="136"/>
      <c r="G853" s="141" t="s">
        <v>200</v>
      </c>
      <c r="H853" s="179"/>
      <c r="J853" s="136"/>
      <c r="K853" s="141" t="s">
        <v>200</v>
      </c>
      <c r="L853" s="241" t="s">
        <v>86</v>
      </c>
      <c r="N853" s="136"/>
      <c r="O853" s="141" t="s">
        <v>200</v>
      </c>
      <c r="P853" s="241" t="s">
        <v>86</v>
      </c>
      <c r="R853" s="136"/>
      <c r="S853" s="141" t="s">
        <v>200</v>
      </c>
      <c r="T853" s="241" t="s">
        <v>86</v>
      </c>
      <c r="V853" s="136"/>
      <c r="W853" s="141" t="s">
        <v>200</v>
      </c>
      <c r="X853" s="241" t="s">
        <v>86</v>
      </c>
      <c r="Z853" s="136"/>
      <c r="AA853" s="141" t="s">
        <v>200</v>
      </c>
      <c r="AB853" s="241" t="s">
        <v>86</v>
      </c>
      <c r="AD853" s="136"/>
      <c r="AE853" s="141" t="s">
        <v>200</v>
      </c>
      <c r="AF853" s="241" t="s">
        <v>86</v>
      </c>
      <c r="AH853" s="136"/>
      <c r="AI853" s="141" t="s">
        <v>200</v>
      </c>
      <c r="AJ853" s="241" t="s">
        <v>86</v>
      </c>
      <c r="AL853" s="136"/>
      <c r="AM853" s="141" t="s">
        <v>200</v>
      </c>
      <c r="AN853" s="241" t="s">
        <v>86</v>
      </c>
      <c r="AP853" s="136"/>
      <c r="AQ853" s="141" t="s">
        <v>200</v>
      </c>
      <c r="AR853" s="241" t="s">
        <v>86</v>
      </c>
      <c r="AT853" s="136"/>
      <c r="AU853" s="141" t="s">
        <v>200</v>
      </c>
      <c r="AV853" s="241" t="s">
        <v>86</v>
      </c>
      <c r="AX853" s="136"/>
      <c r="AY853" s="141" t="s">
        <v>200</v>
      </c>
      <c r="AZ853" s="241" t="s">
        <v>86</v>
      </c>
      <c r="BB853" s="136"/>
      <c r="BC853" s="141" t="s">
        <v>200</v>
      </c>
      <c r="BD853" s="241" t="s">
        <v>86</v>
      </c>
      <c r="BF853" s="136"/>
      <c r="BG853" s="141" t="s">
        <v>200</v>
      </c>
      <c r="BH853" s="241" t="s">
        <v>86</v>
      </c>
      <c r="BJ853" s="136"/>
      <c r="BK853" s="141" t="s">
        <v>200</v>
      </c>
      <c r="BL853" s="241" t="s">
        <v>86</v>
      </c>
      <c r="BN853" s="136"/>
      <c r="BO853" s="141" t="s">
        <v>200</v>
      </c>
      <c r="BP853" s="241" t="s">
        <v>86</v>
      </c>
      <c r="BR853" s="136"/>
      <c r="BS853" s="141" t="s">
        <v>200</v>
      </c>
      <c r="BT853" s="241" t="s">
        <v>86</v>
      </c>
    </row>
    <row r="854" spans="1:72" x14ac:dyDescent="0.15">
      <c r="A854" s="235" t="s">
        <v>203</v>
      </c>
      <c r="B854" s="168" t="s">
        <v>85</v>
      </c>
      <c r="C854" s="140"/>
      <c r="D854" s="170"/>
      <c r="E854" s="130"/>
      <c r="F854" s="136"/>
      <c r="G854" s="141" t="s">
        <v>202</v>
      </c>
      <c r="H854" s="179"/>
      <c r="J854" s="136"/>
      <c r="K854" s="141" t="s">
        <v>202</v>
      </c>
      <c r="L854" s="248" t="s">
        <v>1156</v>
      </c>
      <c r="N854" s="136"/>
      <c r="O854" s="141" t="s">
        <v>202</v>
      </c>
      <c r="P854" s="248" t="s">
        <v>1156</v>
      </c>
      <c r="R854" s="136"/>
      <c r="S854" s="141" t="s">
        <v>202</v>
      </c>
      <c r="T854" s="248" t="s">
        <v>1156</v>
      </c>
      <c r="V854" s="136"/>
      <c r="W854" s="141" t="s">
        <v>202</v>
      </c>
      <c r="X854" s="248" t="s">
        <v>1156</v>
      </c>
      <c r="Z854" s="136"/>
      <c r="AA854" s="141" t="s">
        <v>202</v>
      </c>
      <c r="AB854" s="248" t="s">
        <v>1156</v>
      </c>
      <c r="AD854" s="136"/>
      <c r="AE854" s="141" t="s">
        <v>202</v>
      </c>
      <c r="AF854" s="248" t="s">
        <v>1156</v>
      </c>
      <c r="AH854" s="136"/>
      <c r="AI854" s="141" t="s">
        <v>202</v>
      </c>
      <c r="AJ854" s="248" t="s">
        <v>1156</v>
      </c>
      <c r="AL854" s="136"/>
      <c r="AM854" s="141" t="s">
        <v>202</v>
      </c>
      <c r="AN854" s="248" t="s">
        <v>1156</v>
      </c>
      <c r="AP854" s="136"/>
      <c r="AQ854" s="141" t="s">
        <v>202</v>
      </c>
      <c r="AR854" s="248" t="s">
        <v>1156</v>
      </c>
      <c r="AT854" s="136"/>
      <c r="AU854" s="141" t="s">
        <v>202</v>
      </c>
      <c r="AV854" s="248" t="s">
        <v>1156</v>
      </c>
      <c r="AX854" s="136"/>
      <c r="AY854" s="141" t="s">
        <v>202</v>
      </c>
      <c r="AZ854" s="248" t="s">
        <v>1156</v>
      </c>
      <c r="BB854" s="136"/>
      <c r="BC854" s="141" t="s">
        <v>202</v>
      </c>
      <c r="BD854" s="248" t="s">
        <v>1156</v>
      </c>
      <c r="BF854" s="136"/>
      <c r="BG854" s="141" t="s">
        <v>202</v>
      </c>
      <c r="BH854" s="248" t="s">
        <v>1156</v>
      </c>
      <c r="BJ854" s="136"/>
      <c r="BK854" s="141" t="s">
        <v>202</v>
      </c>
      <c r="BL854" s="248" t="s">
        <v>1156</v>
      </c>
      <c r="BN854" s="136"/>
      <c r="BO854" s="141" t="s">
        <v>202</v>
      </c>
      <c r="BP854" s="248" t="s">
        <v>1156</v>
      </c>
      <c r="BR854" s="136"/>
      <c r="BS854" s="141" t="s">
        <v>202</v>
      </c>
      <c r="BT854" s="248" t="s">
        <v>1156</v>
      </c>
    </row>
    <row r="855" spans="1:72" x14ac:dyDescent="0.15">
      <c r="A855" s="235" t="s">
        <v>205</v>
      </c>
      <c r="B855" s="168" t="s">
        <v>85</v>
      </c>
      <c r="C855" s="140"/>
      <c r="D855" s="170"/>
      <c r="E855" s="130"/>
      <c r="F855" s="136"/>
      <c r="G855" s="141" t="s">
        <v>204</v>
      </c>
      <c r="H855" s="179"/>
      <c r="J855" s="136"/>
      <c r="K855" s="141" t="s">
        <v>204</v>
      </c>
      <c r="L855" s="241" t="s">
        <v>86</v>
      </c>
      <c r="N855" s="136"/>
      <c r="O855" s="141" t="s">
        <v>204</v>
      </c>
      <c r="P855" s="241" t="s">
        <v>86</v>
      </c>
      <c r="R855" s="136"/>
      <c r="S855" s="141" t="s">
        <v>204</v>
      </c>
      <c r="T855" s="241" t="s">
        <v>86</v>
      </c>
      <c r="V855" s="136"/>
      <c r="W855" s="141" t="s">
        <v>204</v>
      </c>
      <c r="X855" s="241" t="s">
        <v>86</v>
      </c>
      <c r="Z855" s="136"/>
      <c r="AA855" s="141" t="s">
        <v>204</v>
      </c>
      <c r="AB855" s="241" t="s">
        <v>86</v>
      </c>
      <c r="AD855" s="136"/>
      <c r="AE855" s="141" t="s">
        <v>204</v>
      </c>
      <c r="AF855" s="241" t="s">
        <v>86</v>
      </c>
      <c r="AH855" s="136"/>
      <c r="AI855" s="141" t="s">
        <v>204</v>
      </c>
      <c r="AJ855" s="241" t="s">
        <v>86</v>
      </c>
      <c r="AL855" s="136"/>
      <c r="AM855" s="141" t="s">
        <v>204</v>
      </c>
      <c r="AN855" s="241" t="s">
        <v>86</v>
      </c>
      <c r="AP855" s="136"/>
      <c r="AQ855" s="141" t="s">
        <v>204</v>
      </c>
      <c r="AR855" s="241" t="s">
        <v>86</v>
      </c>
      <c r="AT855" s="136"/>
      <c r="AU855" s="141" t="s">
        <v>204</v>
      </c>
      <c r="AV855" s="241" t="s">
        <v>86</v>
      </c>
      <c r="AX855" s="136"/>
      <c r="AY855" s="141" t="s">
        <v>204</v>
      </c>
      <c r="AZ855" s="241" t="s">
        <v>86</v>
      </c>
      <c r="BB855" s="136"/>
      <c r="BC855" s="141" t="s">
        <v>204</v>
      </c>
      <c r="BD855" s="241" t="s">
        <v>86</v>
      </c>
      <c r="BF855" s="136"/>
      <c r="BG855" s="141" t="s">
        <v>204</v>
      </c>
      <c r="BH855" s="241" t="s">
        <v>86</v>
      </c>
      <c r="BJ855" s="136"/>
      <c r="BK855" s="141" t="s">
        <v>204</v>
      </c>
      <c r="BL855" s="241" t="s">
        <v>86</v>
      </c>
      <c r="BN855" s="136"/>
      <c r="BO855" s="141" t="s">
        <v>204</v>
      </c>
      <c r="BP855" s="241" t="s">
        <v>86</v>
      </c>
      <c r="BR855" s="136"/>
      <c r="BS855" s="141" t="s">
        <v>204</v>
      </c>
      <c r="BT855" s="241" t="s">
        <v>86</v>
      </c>
    </row>
    <row r="856" spans="1:72" x14ac:dyDescent="0.15">
      <c r="A856" s="235" t="s">
        <v>207</v>
      </c>
      <c r="B856" s="168" t="s">
        <v>85</v>
      </c>
      <c r="C856" s="140"/>
      <c r="D856" s="170"/>
      <c r="E856" s="130"/>
      <c r="F856" s="136"/>
      <c r="G856" s="141" t="s">
        <v>206</v>
      </c>
      <c r="H856" s="179"/>
      <c r="J856" s="136"/>
      <c r="K856" s="141" t="s">
        <v>206</v>
      </c>
      <c r="L856" s="248" t="s">
        <v>429</v>
      </c>
      <c r="N856" s="136"/>
      <c r="O856" s="141" t="s">
        <v>206</v>
      </c>
      <c r="P856" s="248" t="s">
        <v>429</v>
      </c>
      <c r="R856" s="136"/>
      <c r="S856" s="141" t="s">
        <v>206</v>
      </c>
      <c r="T856" s="248" t="s">
        <v>429</v>
      </c>
      <c r="V856" s="136"/>
      <c r="W856" s="141" t="s">
        <v>206</v>
      </c>
      <c r="X856" s="248" t="s">
        <v>429</v>
      </c>
      <c r="Z856" s="136"/>
      <c r="AA856" s="141" t="s">
        <v>206</v>
      </c>
      <c r="AB856" s="248" t="s">
        <v>429</v>
      </c>
      <c r="AD856" s="136"/>
      <c r="AE856" s="141" t="s">
        <v>206</v>
      </c>
      <c r="AF856" s="248" t="s">
        <v>429</v>
      </c>
      <c r="AH856" s="136"/>
      <c r="AI856" s="141" t="s">
        <v>206</v>
      </c>
      <c r="AJ856" s="248" t="s">
        <v>429</v>
      </c>
      <c r="AL856" s="136"/>
      <c r="AM856" s="141" t="s">
        <v>206</v>
      </c>
      <c r="AN856" s="248" t="s">
        <v>429</v>
      </c>
      <c r="AP856" s="136"/>
      <c r="AQ856" s="141" t="s">
        <v>206</v>
      </c>
      <c r="AR856" s="248" t="s">
        <v>429</v>
      </c>
      <c r="AT856" s="136"/>
      <c r="AU856" s="141" t="s">
        <v>206</v>
      </c>
      <c r="AV856" s="248" t="s">
        <v>429</v>
      </c>
      <c r="AX856" s="136"/>
      <c r="AY856" s="141" t="s">
        <v>206</v>
      </c>
      <c r="AZ856" s="248" t="s">
        <v>429</v>
      </c>
      <c r="BB856" s="136"/>
      <c r="BC856" s="141" t="s">
        <v>206</v>
      </c>
      <c r="BD856" s="248" t="s">
        <v>429</v>
      </c>
      <c r="BF856" s="136"/>
      <c r="BG856" s="141" t="s">
        <v>206</v>
      </c>
      <c r="BH856" s="248" t="s">
        <v>429</v>
      </c>
      <c r="BJ856" s="136"/>
      <c r="BK856" s="141" t="s">
        <v>206</v>
      </c>
      <c r="BL856" s="248" t="s">
        <v>429</v>
      </c>
      <c r="BN856" s="136"/>
      <c r="BO856" s="141" t="s">
        <v>206</v>
      </c>
      <c r="BP856" s="248" t="s">
        <v>429</v>
      </c>
      <c r="BR856" s="136"/>
      <c r="BS856" s="141" t="s">
        <v>206</v>
      </c>
      <c r="BT856" s="248" t="s">
        <v>429</v>
      </c>
    </row>
    <row r="857" spans="1:72" x14ac:dyDescent="0.15">
      <c r="A857" s="235" t="s">
        <v>209</v>
      </c>
      <c r="B857" s="168" t="s">
        <v>85</v>
      </c>
      <c r="C857" s="140"/>
      <c r="D857" s="170"/>
      <c r="E857" s="130"/>
      <c r="F857" s="136"/>
      <c r="G857" s="141" t="s">
        <v>208</v>
      </c>
      <c r="H857" s="179"/>
      <c r="J857" s="136"/>
      <c r="K857" s="141" t="s">
        <v>208</v>
      </c>
      <c r="L857" s="241" t="s">
        <v>86</v>
      </c>
      <c r="N857" s="136"/>
      <c r="O857" s="141" t="s">
        <v>208</v>
      </c>
      <c r="P857" s="241" t="s">
        <v>86</v>
      </c>
      <c r="R857" s="136"/>
      <c r="S857" s="141" t="s">
        <v>208</v>
      </c>
      <c r="T857" s="241" t="s">
        <v>86</v>
      </c>
      <c r="V857" s="136"/>
      <c r="W857" s="141" t="s">
        <v>208</v>
      </c>
      <c r="X857" s="241" t="s">
        <v>86</v>
      </c>
      <c r="Z857" s="136"/>
      <c r="AA857" s="141" t="s">
        <v>208</v>
      </c>
      <c r="AB857" s="241" t="s">
        <v>86</v>
      </c>
      <c r="AD857" s="136"/>
      <c r="AE857" s="141" t="s">
        <v>208</v>
      </c>
      <c r="AF857" s="241" t="s">
        <v>86</v>
      </c>
      <c r="AH857" s="136"/>
      <c r="AI857" s="141" t="s">
        <v>208</v>
      </c>
      <c r="AJ857" s="241" t="s">
        <v>86</v>
      </c>
      <c r="AL857" s="136"/>
      <c r="AM857" s="141" t="s">
        <v>208</v>
      </c>
      <c r="AN857" s="241" t="s">
        <v>86</v>
      </c>
      <c r="AP857" s="136"/>
      <c r="AQ857" s="141" t="s">
        <v>208</v>
      </c>
      <c r="AR857" s="241" t="s">
        <v>86</v>
      </c>
      <c r="AT857" s="136"/>
      <c r="AU857" s="141" t="s">
        <v>208</v>
      </c>
      <c r="AV857" s="241" t="s">
        <v>86</v>
      </c>
      <c r="AX857" s="136"/>
      <c r="AY857" s="141" t="s">
        <v>208</v>
      </c>
      <c r="AZ857" s="241" t="s">
        <v>86</v>
      </c>
      <c r="BB857" s="136"/>
      <c r="BC857" s="141" t="s">
        <v>208</v>
      </c>
      <c r="BD857" s="241" t="s">
        <v>86</v>
      </c>
      <c r="BF857" s="136"/>
      <c r="BG857" s="141" t="s">
        <v>208</v>
      </c>
      <c r="BH857" s="241" t="s">
        <v>86</v>
      </c>
      <c r="BJ857" s="136"/>
      <c r="BK857" s="141" t="s">
        <v>208</v>
      </c>
      <c r="BL857" s="241" t="s">
        <v>86</v>
      </c>
      <c r="BN857" s="136"/>
      <c r="BO857" s="141" t="s">
        <v>208</v>
      </c>
      <c r="BP857" s="241" t="s">
        <v>86</v>
      </c>
      <c r="BR857" s="136"/>
      <c r="BS857" s="141" t="s">
        <v>208</v>
      </c>
      <c r="BT857" s="241" t="s">
        <v>86</v>
      </c>
    </row>
    <row r="858" spans="1:72" x14ac:dyDescent="0.15">
      <c r="A858" s="235" t="s">
        <v>211</v>
      </c>
      <c r="B858" s="168" t="s">
        <v>85</v>
      </c>
      <c r="C858" s="140"/>
      <c r="D858" s="170"/>
      <c r="E858" s="130"/>
      <c r="F858" s="136"/>
      <c r="G858" s="141" t="s">
        <v>210</v>
      </c>
      <c r="H858" s="179"/>
      <c r="J858" s="136"/>
      <c r="K858" s="141" t="s">
        <v>210</v>
      </c>
      <c r="L858" s="248" t="s">
        <v>1152</v>
      </c>
      <c r="N858" s="136"/>
      <c r="O858" s="141" t="s">
        <v>210</v>
      </c>
      <c r="P858" s="248" t="s">
        <v>1152</v>
      </c>
      <c r="R858" s="136"/>
      <c r="S858" s="141" t="s">
        <v>210</v>
      </c>
      <c r="T858" s="248" t="s">
        <v>1152</v>
      </c>
      <c r="V858" s="136"/>
      <c r="W858" s="141" t="s">
        <v>210</v>
      </c>
      <c r="X858" s="248" t="s">
        <v>1152</v>
      </c>
      <c r="Z858" s="136"/>
      <c r="AA858" s="141" t="s">
        <v>210</v>
      </c>
      <c r="AB858" s="248" t="s">
        <v>1152</v>
      </c>
      <c r="AD858" s="136"/>
      <c r="AE858" s="141" t="s">
        <v>210</v>
      </c>
      <c r="AF858" s="248" t="s">
        <v>1152</v>
      </c>
      <c r="AH858" s="136"/>
      <c r="AI858" s="141" t="s">
        <v>210</v>
      </c>
      <c r="AJ858" s="248" t="s">
        <v>1152</v>
      </c>
      <c r="AL858" s="136"/>
      <c r="AM858" s="141" t="s">
        <v>210</v>
      </c>
      <c r="AN858" s="248" t="s">
        <v>1152</v>
      </c>
      <c r="AP858" s="136"/>
      <c r="AQ858" s="141" t="s">
        <v>210</v>
      </c>
      <c r="AR858" s="248" t="s">
        <v>1152</v>
      </c>
      <c r="AT858" s="136"/>
      <c r="AU858" s="141" t="s">
        <v>210</v>
      </c>
      <c r="AV858" s="248" t="s">
        <v>1152</v>
      </c>
      <c r="AX858" s="136"/>
      <c r="AY858" s="141" t="s">
        <v>210</v>
      </c>
      <c r="AZ858" s="248" t="s">
        <v>1152</v>
      </c>
      <c r="BB858" s="136"/>
      <c r="BC858" s="141" t="s">
        <v>210</v>
      </c>
      <c r="BD858" s="248" t="s">
        <v>1152</v>
      </c>
      <c r="BF858" s="136"/>
      <c r="BG858" s="141" t="s">
        <v>210</v>
      </c>
      <c r="BH858" s="248" t="s">
        <v>1152</v>
      </c>
      <c r="BJ858" s="136"/>
      <c r="BK858" s="141" t="s">
        <v>210</v>
      </c>
      <c r="BL858" s="248" t="s">
        <v>1152</v>
      </c>
      <c r="BN858" s="136"/>
      <c r="BO858" s="141" t="s">
        <v>210</v>
      </c>
      <c r="BP858" s="248" t="s">
        <v>1152</v>
      </c>
      <c r="BR858" s="136"/>
      <c r="BS858" s="141" t="s">
        <v>210</v>
      </c>
      <c r="BT858" s="248" t="s">
        <v>1152</v>
      </c>
    </row>
    <row r="859" spans="1:72" x14ac:dyDescent="0.15">
      <c r="A859" s="235" t="s">
        <v>213</v>
      </c>
      <c r="B859" s="168" t="s">
        <v>85</v>
      </c>
      <c r="C859" s="140"/>
      <c r="D859" s="170"/>
      <c r="E859" s="130"/>
      <c r="F859" s="136"/>
      <c r="G859" s="141" t="s">
        <v>212</v>
      </c>
      <c r="H859" s="179"/>
      <c r="J859" s="136"/>
      <c r="K859" s="141" t="s">
        <v>212</v>
      </c>
      <c r="L859" s="241" t="s">
        <v>86</v>
      </c>
      <c r="N859" s="136"/>
      <c r="O859" s="141" t="s">
        <v>212</v>
      </c>
      <c r="P859" s="241" t="s">
        <v>86</v>
      </c>
      <c r="R859" s="136"/>
      <c r="S859" s="141" t="s">
        <v>212</v>
      </c>
      <c r="T859" s="241" t="s">
        <v>86</v>
      </c>
      <c r="V859" s="136"/>
      <c r="W859" s="141" t="s">
        <v>212</v>
      </c>
      <c r="X859" s="241" t="s">
        <v>86</v>
      </c>
      <c r="Z859" s="136"/>
      <c r="AA859" s="141" t="s">
        <v>212</v>
      </c>
      <c r="AB859" s="241" t="s">
        <v>86</v>
      </c>
      <c r="AD859" s="136"/>
      <c r="AE859" s="141" t="s">
        <v>212</v>
      </c>
      <c r="AF859" s="241" t="s">
        <v>86</v>
      </c>
      <c r="AH859" s="136"/>
      <c r="AI859" s="141" t="s">
        <v>212</v>
      </c>
      <c r="AJ859" s="241" t="s">
        <v>86</v>
      </c>
      <c r="AL859" s="136"/>
      <c r="AM859" s="141" t="s">
        <v>212</v>
      </c>
      <c r="AN859" s="241" t="s">
        <v>86</v>
      </c>
      <c r="AP859" s="136"/>
      <c r="AQ859" s="141" t="s">
        <v>212</v>
      </c>
      <c r="AR859" s="241" t="s">
        <v>86</v>
      </c>
      <c r="AT859" s="136"/>
      <c r="AU859" s="141" t="s">
        <v>212</v>
      </c>
      <c r="AV859" s="241" t="s">
        <v>86</v>
      </c>
      <c r="AX859" s="136"/>
      <c r="AY859" s="141" t="s">
        <v>212</v>
      </c>
      <c r="AZ859" s="241" t="s">
        <v>86</v>
      </c>
      <c r="BB859" s="136"/>
      <c r="BC859" s="141" t="s">
        <v>212</v>
      </c>
      <c r="BD859" s="241" t="s">
        <v>86</v>
      </c>
      <c r="BF859" s="136"/>
      <c r="BG859" s="141" t="s">
        <v>212</v>
      </c>
      <c r="BH859" s="241" t="s">
        <v>86</v>
      </c>
      <c r="BJ859" s="136"/>
      <c r="BK859" s="141" t="s">
        <v>212</v>
      </c>
      <c r="BL859" s="241" t="s">
        <v>86</v>
      </c>
      <c r="BN859" s="136"/>
      <c r="BO859" s="141" t="s">
        <v>212</v>
      </c>
      <c r="BP859" s="241" t="s">
        <v>86</v>
      </c>
      <c r="BR859" s="136"/>
      <c r="BS859" s="141" t="s">
        <v>212</v>
      </c>
      <c r="BT859" s="241" t="s">
        <v>86</v>
      </c>
    </row>
    <row r="860" spans="1:72" x14ac:dyDescent="0.15">
      <c r="A860" s="235" t="s">
        <v>215</v>
      </c>
      <c r="B860" s="168" t="s">
        <v>85</v>
      </c>
      <c r="C860" s="140"/>
      <c r="D860" s="170"/>
      <c r="E860" s="130"/>
      <c r="F860" s="136"/>
      <c r="G860" s="141" t="s">
        <v>214</v>
      </c>
      <c r="H860" s="179"/>
      <c r="J860" s="136"/>
      <c r="K860" s="141" t="s">
        <v>214</v>
      </c>
      <c r="L860" s="248" t="s">
        <v>1157</v>
      </c>
      <c r="N860" s="136"/>
      <c r="O860" s="141" t="s">
        <v>214</v>
      </c>
      <c r="P860" s="248" t="s">
        <v>1157</v>
      </c>
      <c r="R860" s="136"/>
      <c r="S860" s="141" t="s">
        <v>214</v>
      </c>
      <c r="T860" s="248" t="s">
        <v>1157</v>
      </c>
      <c r="V860" s="136"/>
      <c r="W860" s="141" t="s">
        <v>214</v>
      </c>
      <c r="X860" s="248" t="s">
        <v>1157</v>
      </c>
      <c r="Z860" s="136"/>
      <c r="AA860" s="141" t="s">
        <v>214</v>
      </c>
      <c r="AB860" s="248" t="s">
        <v>1157</v>
      </c>
      <c r="AD860" s="136"/>
      <c r="AE860" s="141" t="s">
        <v>214</v>
      </c>
      <c r="AF860" s="248" t="s">
        <v>1157</v>
      </c>
      <c r="AH860" s="136"/>
      <c r="AI860" s="141" t="s">
        <v>214</v>
      </c>
      <c r="AJ860" s="248" t="s">
        <v>1157</v>
      </c>
      <c r="AL860" s="136"/>
      <c r="AM860" s="141" t="s">
        <v>214</v>
      </c>
      <c r="AN860" s="248" t="s">
        <v>1157</v>
      </c>
      <c r="AP860" s="136"/>
      <c r="AQ860" s="141" t="s">
        <v>214</v>
      </c>
      <c r="AR860" s="248" t="s">
        <v>1157</v>
      </c>
      <c r="AT860" s="136"/>
      <c r="AU860" s="141" t="s">
        <v>214</v>
      </c>
      <c r="AV860" s="248" t="s">
        <v>1157</v>
      </c>
      <c r="AX860" s="136"/>
      <c r="AY860" s="141" t="s">
        <v>214</v>
      </c>
      <c r="AZ860" s="248" t="s">
        <v>1157</v>
      </c>
      <c r="BB860" s="136"/>
      <c r="BC860" s="141" t="s">
        <v>214</v>
      </c>
      <c r="BD860" s="248" t="s">
        <v>1157</v>
      </c>
      <c r="BF860" s="136"/>
      <c r="BG860" s="141" t="s">
        <v>214</v>
      </c>
      <c r="BH860" s="248" t="s">
        <v>1157</v>
      </c>
      <c r="BJ860" s="136"/>
      <c r="BK860" s="141" t="s">
        <v>214</v>
      </c>
      <c r="BL860" s="248" t="s">
        <v>1157</v>
      </c>
      <c r="BN860" s="136"/>
      <c r="BO860" s="141" t="s">
        <v>214</v>
      </c>
      <c r="BP860" s="248" t="s">
        <v>1157</v>
      </c>
      <c r="BR860" s="136"/>
      <c r="BS860" s="141" t="s">
        <v>214</v>
      </c>
      <c r="BT860" s="248" t="s">
        <v>1157</v>
      </c>
    </row>
    <row r="861" spans="1:72" x14ac:dyDescent="0.15">
      <c r="A861" s="235" t="s">
        <v>217</v>
      </c>
      <c r="B861" s="168" t="s">
        <v>85</v>
      </c>
      <c r="C861" s="140"/>
      <c r="D861" s="170"/>
      <c r="E861" s="130"/>
      <c r="F861" s="136"/>
      <c r="G861" s="141" t="s">
        <v>216</v>
      </c>
      <c r="H861" s="179"/>
      <c r="J861" s="136"/>
      <c r="K861" s="141" t="s">
        <v>216</v>
      </c>
      <c r="L861" s="241" t="s">
        <v>86</v>
      </c>
      <c r="N861" s="136"/>
      <c r="O861" s="141" t="s">
        <v>216</v>
      </c>
      <c r="P861" s="241" t="s">
        <v>86</v>
      </c>
      <c r="R861" s="136"/>
      <c r="S861" s="141" t="s">
        <v>216</v>
      </c>
      <c r="T861" s="241" t="s">
        <v>86</v>
      </c>
      <c r="V861" s="136"/>
      <c r="W861" s="141" t="s">
        <v>216</v>
      </c>
      <c r="X861" s="241" t="s">
        <v>86</v>
      </c>
      <c r="Z861" s="136"/>
      <c r="AA861" s="141" t="s">
        <v>216</v>
      </c>
      <c r="AB861" s="241" t="s">
        <v>86</v>
      </c>
      <c r="AD861" s="136"/>
      <c r="AE861" s="141" t="s">
        <v>216</v>
      </c>
      <c r="AF861" s="241" t="s">
        <v>86</v>
      </c>
      <c r="AH861" s="136"/>
      <c r="AI861" s="141" t="s">
        <v>216</v>
      </c>
      <c r="AJ861" s="241" t="s">
        <v>86</v>
      </c>
      <c r="AL861" s="136"/>
      <c r="AM861" s="141" t="s">
        <v>216</v>
      </c>
      <c r="AN861" s="241" t="s">
        <v>86</v>
      </c>
      <c r="AP861" s="136"/>
      <c r="AQ861" s="141" t="s">
        <v>216</v>
      </c>
      <c r="AR861" s="241" t="s">
        <v>86</v>
      </c>
      <c r="AT861" s="136"/>
      <c r="AU861" s="141" t="s">
        <v>216</v>
      </c>
      <c r="AV861" s="241" t="s">
        <v>86</v>
      </c>
      <c r="AX861" s="136"/>
      <c r="AY861" s="141" t="s">
        <v>216</v>
      </c>
      <c r="AZ861" s="241" t="s">
        <v>86</v>
      </c>
      <c r="BB861" s="136"/>
      <c r="BC861" s="141" t="s">
        <v>216</v>
      </c>
      <c r="BD861" s="241" t="s">
        <v>86</v>
      </c>
      <c r="BF861" s="136"/>
      <c r="BG861" s="141" t="s">
        <v>216</v>
      </c>
      <c r="BH861" s="241" t="s">
        <v>86</v>
      </c>
      <c r="BJ861" s="136"/>
      <c r="BK861" s="141" t="s">
        <v>216</v>
      </c>
      <c r="BL861" s="241" t="s">
        <v>86</v>
      </c>
      <c r="BN861" s="136"/>
      <c r="BO861" s="141" t="s">
        <v>216</v>
      </c>
      <c r="BP861" s="241" t="s">
        <v>86</v>
      </c>
      <c r="BR861" s="136"/>
      <c r="BS861" s="141" t="s">
        <v>216</v>
      </c>
      <c r="BT861" s="241" t="s">
        <v>86</v>
      </c>
    </row>
    <row r="862" spans="1:72" x14ac:dyDescent="0.15">
      <c r="A862" s="235" t="s">
        <v>219</v>
      </c>
      <c r="B862" s="168" t="s">
        <v>85</v>
      </c>
      <c r="C862" s="140"/>
      <c r="D862" s="170"/>
      <c r="E862" s="130"/>
      <c r="F862" s="136"/>
      <c r="G862" s="141" t="s">
        <v>218</v>
      </c>
      <c r="H862" s="179"/>
      <c r="J862" s="136"/>
      <c r="K862" s="141" t="s">
        <v>218</v>
      </c>
      <c r="L862" s="248" t="s">
        <v>1145</v>
      </c>
      <c r="N862" s="136"/>
      <c r="O862" s="141" t="s">
        <v>218</v>
      </c>
      <c r="P862" s="248" t="s">
        <v>1145</v>
      </c>
      <c r="R862" s="136"/>
      <c r="S862" s="141" t="s">
        <v>218</v>
      </c>
      <c r="T862" s="248" t="s">
        <v>1145</v>
      </c>
      <c r="V862" s="136"/>
      <c r="W862" s="141" t="s">
        <v>218</v>
      </c>
      <c r="X862" s="248" t="s">
        <v>1145</v>
      </c>
      <c r="Z862" s="136"/>
      <c r="AA862" s="141" t="s">
        <v>218</v>
      </c>
      <c r="AB862" s="248" t="s">
        <v>1145</v>
      </c>
      <c r="AD862" s="136"/>
      <c r="AE862" s="141" t="s">
        <v>218</v>
      </c>
      <c r="AF862" s="248" t="s">
        <v>1145</v>
      </c>
      <c r="AH862" s="136"/>
      <c r="AI862" s="141" t="s">
        <v>218</v>
      </c>
      <c r="AJ862" s="248" t="s">
        <v>1145</v>
      </c>
      <c r="AL862" s="136"/>
      <c r="AM862" s="141" t="s">
        <v>218</v>
      </c>
      <c r="AN862" s="248" t="s">
        <v>1145</v>
      </c>
      <c r="AP862" s="136"/>
      <c r="AQ862" s="141" t="s">
        <v>218</v>
      </c>
      <c r="AR862" s="248" t="s">
        <v>1145</v>
      </c>
      <c r="AT862" s="136"/>
      <c r="AU862" s="141" t="s">
        <v>218</v>
      </c>
      <c r="AV862" s="248" t="s">
        <v>1145</v>
      </c>
      <c r="AX862" s="136"/>
      <c r="AY862" s="141" t="s">
        <v>218</v>
      </c>
      <c r="AZ862" s="248" t="s">
        <v>1145</v>
      </c>
      <c r="BB862" s="136"/>
      <c r="BC862" s="141" t="s">
        <v>218</v>
      </c>
      <c r="BD862" s="248" t="s">
        <v>1145</v>
      </c>
      <c r="BF862" s="136"/>
      <c r="BG862" s="141" t="s">
        <v>218</v>
      </c>
      <c r="BH862" s="248" t="s">
        <v>1145</v>
      </c>
      <c r="BJ862" s="136"/>
      <c r="BK862" s="141" t="s">
        <v>218</v>
      </c>
      <c r="BL862" s="248" t="s">
        <v>1145</v>
      </c>
      <c r="BN862" s="136"/>
      <c r="BO862" s="141" t="s">
        <v>218</v>
      </c>
      <c r="BP862" s="248" t="s">
        <v>1145</v>
      </c>
      <c r="BR862" s="136"/>
      <c r="BS862" s="141" t="s">
        <v>218</v>
      </c>
      <c r="BT862" s="248" t="s">
        <v>1145</v>
      </c>
    </row>
    <row r="863" spans="1:72" x14ac:dyDescent="0.15">
      <c r="A863" s="175"/>
      <c r="B863" s="176"/>
      <c r="C863" s="176"/>
      <c r="D863" s="231"/>
      <c r="E863" s="128"/>
      <c r="F863" s="136"/>
      <c r="G863" s="147"/>
      <c r="H863" s="179"/>
      <c r="J863" s="136"/>
      <c r="K863" s="147"/>
      <c r="L863" s="241"/>
      <c r="N863" s="136"/>
      <c r="O863" s="147"/>
      <c r="P863" s="241"/>
      <c r="R863" s="136"/>
      <c r="S863" s="147"/>
      <c r="T863" s="241"/>
      <c r="V863" s="136"/>
      <c r="W863" s="147"/>
      <c r="X863" s="241"/>
      <c r="Z863" s="136"/>
      <c r="AA863" s="147"/>
      <c r="AB863" s="241"/>
      <c r="AD863" s="136"/>
      <c r="AE863" s="147"/>
      <c r="AF863" s="241"/>
      <c r="AH863" s="136"/>
      <c r="AI863" s="147"/>
      <c r="AJ863" s="241"/>
      <c r="AL863" s="136"/>
      <c r="AM863" s="147"/>
      <c r="AN863" s="241"/>
      <c r="AP863" s="136"/>
      <c r="AQ863" s="147"/>
      <c r="AR863" s="241"/>
      <c r="AT863" s="136"/>
      <c r="AU863" s="147"/>
      <c r="AV863" s="241"/>
      <c r="AX863" s="136"/>
      <c r="AY863" s="147"/>
      <c r="AZ863" s="241"/>
      <c r="BB863" s="136"/>
      <c r="BC863" s="147"/>
      <c r="BD863" s="241"/>
      <c r="BF863" s="136"/>
      <c r="BG863" s="147"/>
      <c r="BH863" s="241"/>
      <c r="BJ863" s="136"/>
      <c r="BK863" s="147"/>
      <c r="BL863" s="241"/>
      <c r="BN863" s="136"/>
      <c r="BO863" s="147"/>
      <c r="BP863" s="241"/>
      <c r="BR863" s="136"/>
      <c r="BS863" s="147"/>
      <c r="BT863" s="241"/>
    </row>
    <row r="864" spans="1:72" x14ac:dyDescent="0.15">
      <c r="A864" s="176"/>
      <c r="B864" s="176"/>
      <c r="C864" s="176"/>
      <c r="D864" s="231"/>
      <c r="E864" s="128"/>
      <c r="F864" s="136"/>
      <c r="G864" s="256"/>
      <c r="H864" s="255"/>
      <c r="J864" s="154"/>
      <c r="K864" s="147"/>
      <c r="L864" s="241"/>
      <c r="N864" s="154"/>
      <c r="O864" s="147"/>
      <c r="P864" s="241"/>
      <c r="R864" s="154"/>
      <c r="S864" s="147"/>
      <c r="T864" s="241"/>
      <c r="V864" s="154"/>
      <c r="W864" s="147"/>
      <c r="X864" s="241"/>
      <c r="Z864" s="154"/>
      <c r="AA864" s="147"/>
      <c r="AB864" s="241"/>
      <c r="AD864" s="154"/>
      <c r="AE864" s="147"/>
      <c r="AF864" s="241"/>
      <c r="AH864" s="154"/>
      <c r="AI864" s="147"/>
      <c r="AJ864" s="241"/>
      <c r="AL864" s="154"/>
      <c r="AM864" s="147"/>
      <c r="AN864" s="241"/>
      <c r="AP864" s="154"/>
      <c r="AQ864" s="147"/>
      <c r="AR864" s="241"/>
      <c r="AT864" s="154"/>
      <c r="AU864" s="147"/>
      <c r="AV864" s="241"/>
      <c r="AX864" s="154"/>
      <c r="AY864" s="147"/>
      <c r="AZ864" s="241"/>
      <c r="BB864" s="154"/>
      <c r="BC864" s="147"/>
      <c r="BD864" s="241"/>
      <c r="BF864" s="154"/>
      <c r="BG864" s="147"/>
      <c r="BH864" s="241"/>
      <c r="BJ864" s="154"/>
      <c r="BK864" s="147"/>
      <c r="BL864" s="241"/>
      <c r="BN864" s="154"/>
      <c r="BO864" s="147"/>
      <c r="BP864" s="241"/>
      <c r="BR864" s="154"/>
      <c r="BS864" s="147"/>
      <c r="BT864" s="241"/>
    </row>
    <row r="865" spans="1:73" x14ac:dyDescent="0.15">
      <c r="A865" s="163"/>
      <c r="B865" s="129"/>
      <c r="C865" s="146"/>
      <c r="E865" s="128"/>
      <c r="F865" s="131" t="s">
        <v>1239</v>
      </c>
      <c r="G865" s="185"/>
      <c r="H865" s="165"/>
      <c r="I865" s="143"/>
      <c r="J865" s="131" t="s">
        <v>1239</v>
      </c>
      <c r="K865" s="185"/>
      <c r="L865" s="240"/>
      <c r="N865" s="131" t="s">
        <v>1239</v>
      </c>
      <c r="O865" s="185"/>
      <c r="P865" s="240"/>
      <c r="R865" s="131" t="s">
        <v>1239</v>
      </c>
      <c r="S865" s="185"/>
      <c r="T865" s="240"/>
      <c r="V865" s="131" t="s">
        <v>1239</v>
      </c>
      <c r="W865" s="185"/>
      <c r="X865" s="240"/>
      <c r="Z865" s="131" t="s">
        <v>1239</v>
      </c>
      <c r="AA865" s="185"/>
      <c r="AB865" s="240"/>
      <c r="AD865" s="131" t="s">
        <v>1239</v>
      </c>
      <c r="AE865" s="185"/>
      <c r="AF865" s="240"/>
      <c r="AH865" s="131" t="s">
        <v>1239</v>
      </c>
      <c r="AI865" s="185"/>
      <c r="AJ865" s="240"/>
      <c r="AL865" s="131" t="s">
        <v>1239</v>
      </c>
      <c r="AM865" s="185"/>
      <c r="AN865" s="240"/>
      <c r="AP865" s="131" t="s">
        <v>1239</v>
      </c>
      <c r="AQ865" s="185"/>
      <c r="AR865" s="240"/>
      <c r="AT865" s="131" t="s">
        <v>1239</v>
      </c>
      <c r="AU865" s="185"/>
      <c r="AV865" s="240"/>
      <c r="AX865" s="131" t="s">
        <v>1239</v>
      </c>
      <c r="AY865" s="185"/>
      <c r="AZ865" s="240"/>
      <c r="BB865" s="131" t="s">
        <v>1239</v>
      </c>
      <c r="BC865" s="185"/>
      <c r="BD865" s="240"/>
      <c r="BF865" s="131" t="s">
        <v>1239</v>
      </c>
      <c r="BG865" s="185"/>
      <c r="BH865" s="240"/>
      <c r="BJ865" s="131" t="s">
        <v>1239</v>
      </c>
      <c r="BK865" s="185"/>
      <c r="BL865" s="240"/>
      <c r="BN865" s="131" t="s">
        <v>1239</v>
      </c>
      <c r="BO865" s="185"/>
      <c r="BP865" s="240"/>
      <c r="BR865" s="131" t="s">
        <v>1239</v>
      </c>
      <c r="BS865" s="185"/>
      <c r="BT865" s="240"/>
    </row>
    <row r="866" spans="1:73" x14ac:dyDescent="0.15">
      <c r="A866" s="134" t="s">
        <v>447</v>
      </c>
      <c r="B866" s="135" t="s">
        <v>448</v>
      </c>
      <c r="C866" s="135" t="s">
        <v>449</v>
      </c>
      <c r="D866" s="166"/>
      <c r="E866" s="128"/>
      <c r="F866" s="136"/>
      <c r="G866" s="137" t="s">
        <v>125</v>
      </c>
      <c r="H866" s="252" t="s">
        <v>450</v>
      </c>
      <c r="I866" s="143"/>
      <c r="J866" s="136"/>
      <c r="K866" s="137" t="s">
        <v>125</v>
      </c>
      <c r="L866" s="229" t="s">
        <v>450</v>
      </c>
      <c r="N866" s="136"/>
      <c r="O866" s="137" t="s">
        <v>125</v>
      </c>
      <c r="P866" s="229" t="s">
        <v>450</v>
      </c>
      <c r="R866" s="136"/>
      <c r="S866" s="137" t="s">
        <v>125</v>
      </c>
      <c r="T866" s="229" t="s">
        <v>450</v>
      </c>
      <c r="V866" s="136"/>
      <c r="W866" s="137" t="s">
        <v>125</v>
      </c>
      <c r="X866" s="229" t="s">
        <v>450</v>
      </c>
      <c r="Z866" s="136"/>
      <c r="AA866" s="137" t="s">
        <v>125</v>
      </c>
      <c r="AB866" s="229" t="s">
        <v>450</v>
      </c>
      <c r="AD866" s="136"/>
      <c r="AE866" s="137" t="s">
        <v>125</v>
      </c>
      <c r="AF866" s="229" t="s">
        <v>450</v>
      </c>
      <c r="AH866" s="136"/>
      <c r="AI866" s="137" t="s">
        <v>125</v>
      </c>
      <c r="AJ866" s="229" t="s">
        <v>450</v>
      </c>
      <c r="AL866" s="136"/>
      <c r="AM866" s="137" t="s">
        <v>125</v>
      </c>
      <c r="AN866" s="229" t="s">
        <v>450</v>
      </c>
      <c r="AP866" s="136"/>
      <c r="AQ866" s="137" t="s">
        <v>125</v>
      </c>
      <c r="AR866" s="229" t="s">
        <v>450</v>
      </c>
      <c r="AT866" s="136"/>
      <c r="AU866" s="137" t="s">
        <v>125</v>
      </c>
      <c r="AV866" s="229" t="s">
        <v>450</v>
      </c>
      <c r="AX866" s="136"/>
      <c r="AY866" s="137" t="s">
        <v>125</v>
      </c>
      <c r="AZ866" s="229" t="s">
        <v>450</v>
      </c>
      <c r="BB866" s="136"/>
      <c r="BC866" s="137" t="s">
        <v>125</v>
      </c>
      <c r="BD866" s="229" t="s">
        <v>450</v>
      </c>
      <c r="BF866" s="136"/>
      <c r="BG866" s="137" t="s">
        <v>125</v>
      </c>
      <c r="BH866" s="229" t="s">
        <v>450</v>
      </c>
      <c r="BJ866" s="136"/>
      <c r="BK866" s="137" t="s">
        <v>125</v>
      </c>
      <c r="BL866" s="229" t="s">
        <v>450</v>
      </c>
      <c r="BN866" s="136"/>
      <c r="BO866" s="137" t="s">
        <v>125</v>
      </c>
      <c r="BP866" s="229" t="s">
        <v>450</v>
      </c>
      <c r="BR866" s="136"/>
      <c r="BS866" s="137" t="s">
        <v>125</v>
      </c>
      <c r="BT866" s="229" t="s">
        <v>450</v>
      </c>
    </row>
    <row r="867" spans="1:73" ht="12.75" customHeight="1" x14ac:dyDescent="0.15">
      <c r="A867" s="182"/>
      <c r="B867" s="168" t="s">
        <v>1238</v>
      </c>
      <c r="C867" s="251"/>
      <c r="D867" s="170"/>
      <c r="E867" s="128"/>
      <c r="F867" s="171"/>
      <c r="G867" s="197" t="s">
        <v>1228</v>
      </c>
      <c r="H867" s="253"/>
      <c r="I867" s="143"/>
      <c r="J867" s="171"/>
      <c r="K867" s="141" t="s">
        <v>1228</v>
      </c>
      <c r="L867" s="246" t="s">
        <v>7</v>
      </c>
      <c r="N867" s="171"/>
      <c r="O867" s="141" t="s">
        <v>1228</v>
      </c>
      <c r="P867" s="246" t="s">
        <v>7</v>
      </c>
      <c r="R867" s="171"/>
      <c r="S867" s="141" t="s">
        <v>1228</v>
      </c>
      <c r="T867" s="246" t="s">
        <v>7</v>
      </c>
      <c r="V867" s="171"/>
      <c r="W867" s="141" t="s">
        <v>1228</v>
      </c>
      <c r="X867" s="246" t="s">
        <v>7</v>
      </c>
      <c r="Z867" s="171"/>
      <c r="AA867" s="141" t="s">
        <v>1228</v>
      </c>
      <c r="AB867" s="246" t="s">
        <v>7</v>
      </c>
      <c r="AD867" s="171"/>
      <c r="AE867" s="141" t="s">
        <v>1228</v>
      </c>
      <c r="AF867" s="246" t="s">
        <v>7</v>
      </c>
      <c r="AH867" s="171"/>
      <c r="AI867" s="141" t="s">
        <v>1228</v>
      </c>
      <c r="AJ867" s="246" t="s">
        <v>7</v>
      </c>
      <c r="AL867" s="171"/>
      <c r="AM867" s="141" t="s">
        <v>1228</v>
      </c>
      <c r="AN867" s="246" t="s">
        <v>7</v>
      </c>
      <c r="AP867" s="171"/>
      <c r="AQ867" s="141" t="s">
        <v>1228</v>
      </c>
      <c r="AR867" s="246" t="s">
        <v>7</v>
      </c>
      <c r="AT867" s="171"/>
      <c r="AU867" s="141" t="s">
        <v>1228</v>
      </c>
      <c r="AV867" s="247" t="s">
        <v>86</v>
      </c>
      <c r="AX867" s="171"/>
      <c r="AY867" s="141" t="s">
        <v>1228</v>
      </c>
      <c r="AZ867" s="246" t="s">
        <v>7</v>
      </c>
      <c r="BB867" s="171"/>
      <c r="BC867" s="141" t="s">
        <v>1228</v>
      </c>
      <c r="BD867" s="246" t="s">
        <v>7</v>
      </c>
      <c r="BF867" s="171"/>
      <c r="BG867" s="141" t="s">
        <v>1228</v>
      </c>
      <c r="BH867" s="246" t="s">
        <v>7</v>
      </c>
      <c r="BJ867" s="171"/>
      <c r="BK867" s="141" t="s">
        <v>1228</v>
      </c>
      <c r="BL867" s="246" t="s">
        <v>7</v>
      </c>
      <c r="BN867" s="171"/>
      <c r="BO867" s="141" t="s">
        <v>1228</v>
      </c>
      <c r="BP867" s="246" t="s">
        <v>7</v>
      </c>
      <c r="BR867" s="171"/>
      <c r="BS867" s="141" t="s">
        <v>1228</v>
      </c>
      <c r="BT867" s="246" t="s">
        <v>7</v>
      </c>
    </row>
    <row r="868" spans="1:73" ht="12.75" customHeight="1" x14ac:dyDescent="0.15">
      <c r="A868" s="182"/>
      <c r="B868" s="168" t="s">
        <v>1238</v>
      </c>
      <c r="C868" s="251"/>
      <c r="D868" s="170"/>
      <c r="E868" s="128"/>
      <c r="F868" s="171"/>
      <c r="G868" s="197" t="s">
        <v>1229</v>
      </c>
      <c r="H868" s="253"/>
      <c r="I868" s="143"/>
      <c r="J868" s="171"/>
      <c r="K868" s="141" t="s">
        <v>1229</v>
      </c>
      <c r="L868" s="246" t="s">
        <v>7</v>
      </c>
      <c r="N868" s="171"/>
      <c r="O868" s="141" t="s">
        <v>1229</v>
      </c>
      <c r="P868" s="246" t="s">
        <v>7</v>
      </c>
      <c r="R868" s="171"/>
      <c r="S868" s="141" t="s">
        <v>1229</v>
      </c>
      <c r="T868" s="246" t="s">
        <v>7</v>
      </c>
      <c r="V868" s="171"/>
      <c r="W868" s="141" t="s">
        <v>1229</v>
      </c>
      <c r="X868" s="246" t="s">
        <v>440</v>
      </c>
      <c r="Z868" s="171"/>
      <c r="AA868" s="141" t="s">
        <v>1229</v>
      </c>
      <c r="AB868" s="246" t="s">
        <v>440</v>
      </c>
      <c r="AD868" s="171"/>
      <c r="AE868" s="141" t="s">
        <v>1229</v>
      </c>
      <c r="AF868" s="246" t="s">
        <v>7</v>
      </c>
      <c r="AH868" s="171"/>
      <c r="AI868" s="141" t="s">
        <v>1229</v>
      </c>
      <c r="AJ868" s="246" t="s">
        <v>7</v>
      </c>
      <c r="AL868" s="171"/>
      <c r="AM868" s="141" t="s">
        <v>1229</v>
      </c>
      <c r="AN868" s="246" t="s">
        <v>7</v>
      </c>
      <c r="AP868" s="171"/>
      <c r="AQ868" s="141" t="s">
        <v>1229</v>
      </c>
      <c r="AR868" s="246" t="s">
        <v>7</v>
      </c>
      <c r="AT868" s="171"/>
      <c r="AU868" s="141" t="s">
        <v>1229</v>
      </c>
      <c r="AV868" s="246" t="s">
        <v>7</v>
      </c>
      <c r="AX868" s="171"/>
      <c r="AY868" s="141" t="s">
        <v>1229</v>
      </c>
      <c r="AZ868" s="246" t="s">
        <v>440</v>
      </c>
      <c r="BB868" s="171"/>
      <c r="BC868" s="141" t="s">
        <v>1229</v>
      </c>
      <c r="BD868" s="246" t="s">
        <v>440</v>
      </c>
      <c r="BF868" s="171"/>
      <c r="BG868" s="141" t="s">
        <v>1229</v>
      </c>
      <c r="BH868" s="246" t="s">
        <v>7</v>
      </c>
      <c r="BJ868" s="171"/>
      <c r="BK868" s="141" t="s">
        <v>1229</v>
      </c>
      <c r="BL868" s="246" t="s">
        <v>7</v>
      </c>
      <c r="BN868" s="171"/>
      <c r="BO868" s="141" t="s">
        <v>1229</v>
      </c>
      <c r="BP868" s="246" t="s">
        <v>7</v>
      </c>
      <c r="BR868" s="171"/>
      <c r="BS868" s="141" t="s">
        <v>1229</v>
      </c>
      <c r="BT868" s="246" t="s">
        <v>7</v>
      </c>
    </row>
    <row r="869" spans="1:73" ht="12.75" customHeight="1" x14ac:dyDescent="0.15">
      <c r="A869" s="182"/>
      <c r="B869" s="168" t="s">
        <v>1238</v>
      </c>
      <c r="C869" s="251"/>
      <c r="D869" s="170"/>
      <c r="E869" s="128"/>
      <c r="F869" s="171"/>
      <c r="G869" s="197" t="s">
        <v>1230</v>
      </c>
      <c r="H869" s="253"/>
      <c r="I869" s="143"/>
      <c r="J869" s="171"/>
      <c r="K869" s="141" t="s">
        <v>1230</v>
      </c>
      <c r="L869" s="246" t="s">
        <v>7</v>
      </c>
      <c r="N869" s="171"/>
      <c r="O869" s="141" t="s">
        <v>1230</v>
      </c>
      <c r="P869" s="246" t="s">
        <v>7</v>
      </c>
      <c r="R869" s="171"/>
      <c r="S869" s="141" t="s">
        <v>1230</v>
      </c>
      <c r="T869" s="246" t="s">
        <v>7</v>
      </c>
      <c r="V869" s="171"/>
      <c r="W869" s="141" t="s">
        <v>1230</v>
      </c>
      <c r="X869" s="246" t="s">
        <v>440</v>
      </c>
      <c r="Z869" s="171"/>
      <c r="AA869" s="141" t="s">
        <v>1230</v>
      </c>
      <c r="AB869" s="246" t="s">
        <v>440</v>
      </c>
      <c r="AD869" s="171"/>
      <c r="AE869" s="141" t="s">
        <v>1230</v>
      </c>
      <c r="AF869" s="246" t="s">
        <v>7</v>
      </c>
      <c r="AH869" s="171"/>
      <c r="AI869" s="141" t="s">
        <v>1230</v>
      </c>
      <c r="AJ869" s="246" t="s">
        <v>7</v>
      </c>
      <c r="AL869" s="171"/>
      <c r="AM869" s="141" t="s">
        <v>1230</v>
      </c>
      <c r="AN869" s="246" t="s">
        <v>7</v>
      </c>
      <c r="AP869" s="171"/>
      <c r="AQ869" s="141" t="s">
        <v>1230</v>
      </c>
      <c r="AR869" s="246" t="s">
        <v>7</v>
      </c>
      <c r="AT869" s="171"/>
      <c r="AU869" s="141" t="s">
        <v>1230</v>
      </c>
      <c r="AV869" s="246" t="s">
        <v>7</v>
      </c>
      <c r="AX869" s="171"/>
      <c r="AY869" s="141" t="s">
        <v>1230</v>
      </c>
      <c r="AZ869" s="246" t="s">
        <v>440</v>
      </c>
      <c r="BB869" s="171"/>
      <c r="BC869" s="141" t="s">
        <v>1230</v>
      </c>
      <c r="BD869" s="246" t="s">
        <v>440</v>
      </c>
      <c r="BF869" s="171"/>
      <c r="BG869" s="141" t="s">
        <v>1230</v>
      </c>
      <c r="BH869" s="246" t="s">
        <v>7</v>
      </c>
      <c r="BJ869" s="171"/>
      <c r="BK869" s="141" t="s">
        <v>1230</v>
      </c>
      <c r="BL869" s="246" t="s">
        <v>7</v>
      </c>
      <c r="BN869" s="171"/>
      <c r="BO869" s="141" t="s">
        <v>1230</v>
      </c>
      <c r="BP869" s="246" t="s">
        <v>7</v>
      </c>
      <c r="BR869" s="171"/>
      <c r="BS869" s="141" t="s">
        <v>1230</v>
      </c>
      <c r="BT869" s="246" t="s">
        <v>7</v>
      </c>
    </row>
    <row r="870" spans="1:73" ht="12.75" customHeight="1" x14ac:dyDescent="0.15">
      <c r="A870" s="182"/>
      <c r="B870" s="168" t="s">
        <v>1238</v>
      </c>
      <c r="C870" s="251"/>
      <c r="D870" s="170"/>
      <c r="E870" s="128"/>
      <c r="F870" s="171"/>
      <c r="G870" s="197" t="s">
        <v>1231</v>
      </c>
      <c r="H870" s="253"/>
      <c r="I870" s="143"/>
      <c r="J870" s="171"/>
      <c r="K870" s="141" t="s">
        <v>1231</v>
      </c>
      <c r="L870" s="246" t="s">
        <v>7</v>
      </c>
      <c r="N870" s="171"/>
      <c r="O870" s="141" t="s">
        <v>1231</v>
      </c>
      <c r="P870" s="246" t="s">
        <v>7</v>
      </c>
      <c r="R870" s="171"/>
      <c r="S870" s="141" t="s">
        <v>1231</v>
      </c>
      <c r="T870" s="246" t="s">
        <v>7</v>
      </c>
      <c r="V870" s="171"/>
      <c r="W870" s="141" t="s">
        <v>1231</v>
      </c>
      <c r="X870" s="246" t="s">
        <v>440</v>
      </c>
      <c r="Z870" s="171"/>
      <c r="AA870" s="141" t="s">
        <v>1231</v>
      </c>
      <c r="AB870" s="246" t="s">
        <v>440</v>
      </c>
      <c r="AD870" s="171"/>
      <c r="AE870" s="141" t="s">
        <v>1231</v>
      </c>
      <c r="AF870" s="246" t="s">
        <v>7</v>
      </c>
      <c r="AH870" s="171"/>
      <c r="AI870" s="141" t="s">
        <v>1231</v>
      </c>
      <c r="AJ870" s="246" t="s">
        <v>7</v>
      </c>
      <c r="AL870" s="171"/>
      <c r="AM870" s="141" t="s">
        <v>1231</v>
      </c>
      <c r="AN870" s="246" t="s">
        <v>7</v>
      </c>
      <c r="AP870" s="171"/>
      <c r="AQ870" s="141" t="s">
        <v>1231</v>
      </c>
      <c r="AR870" s="246" t="s">
        <v>7</v>
      </c>
      <c r="AT870" s="171"/>
      <c r="AU870" s="141" t="s">
        <v>1231</v>
      </c>
      <c r="AV870" s="246" t="s">
        <v>7</v>
      </c>
      <c r="AX870" s="171"/>
      <c r="AY870" s="141" t="s">
        <v>1231</v>
      </c>
      <c r="AZ870" s="246" t="s">
        <v>440</v>
      </c>
      <c r="BB870" s="171"/>
      <c r="BC870" s="141" t="s">
        <v>1231</v>
      </c>
      <c r="BD870" s="246" t="s">
        <v>440</v>
      </c>
      <c r="BF870" s="171"/>
      <c r="BG870" s="141" t="s">
        <v>1231</v>
      </c>
      <c r="BH870" s="246" t="s">
        <v>7</v>
      </c>
      <c r="BJ870" s="171"/>
      <c r="BK870" s="141" t="s">
        <v>1231</v>
      </c>
      <c r="BL870" s="246" t="s">
        <v>7</v>
      </c>
      <c r="BN870" s="171"/>
      <c r="BO870" s="141" t="s">
        <v>1231</v>
      </c>
      <c r="BP870" s="246" t="s">
        <v>7</v>
      </c>
      <c r="BR870" s="171"/>
      <c r="BS870" s="141" t="s">
        <v>1231</v>
      </c>
      <c r="BT870" s="246" t="s">
        <v>7</v>
      </c>
    </row>
    <row r="871" spans="1:73" ht="12.75" customHeight="1" x14ac:dyDescent="0.15">
      <c r="A871" s="182"/>
      <c r="B871" s="168" t="s">
        <v>1238</v>
      </c>
      <c r="C871" s="251"/>
      <c r="D871" s="170"/>
      <c r="E871" s="128"/>
      <c r="F871" s="171"/>
      <c r="G871" s="197" t="s">
        <v>1232</v>
      </c>
      <c r="H871" s="253"/>
      <c r="I871" s="143"/>
      <c r="J871" s="171"/>
      <c r="K871" s="141" t="s">
        <v>1232</v>
      </c>
      <c r="L871" s="247" t="s">
        <v>86</v>
      </c>
      <c r="N871" s="171"/>
      <c r="O871" s="141" t="s">
        <v>1232</v>
      </c>
      <c r="P871" s="247" t="s">
        <v>86</v>
      </c>
      <c r="R871" s="171"/>
      <c r="S871" s="141" t="s">
        <v>1232</v>
      </c>
      <c r="T871" s="247" t="s">
        <v>86</v>
      </c>
      <c r="V871" s="171"/>
      <c r="W871" s="141" t="s">
        <v>1232</v>
      </c>
      <c r="X871" s="246" t="s">
        <v>440</v>
      </c>
      <c r="Z871" s="171"/>
      <c r="AA871" s="141" t="s">
        <v>1232</v>
      </c>
      <c r="AB871" s="247" t="s">
        <v>86</v>
      </c>
      <c r="AD871" s="171"/>
      <c r="AE871" s="141" t="s">
        <v>1232</v>
      </c>
      <c r="AF871" s="247" t="s">
        <v>86</v>
      </c>
      <c r="AH871" s="171"/>
      <c r="AI871" s="141" t="s">
        <v>1232</v>
      </c>
      <c r="AJ871" s="247" t="s">
        <v>86</v>
      </c>
      <c r="AL871" s="171"/>
      <c r="AM871" s="141" t="s">
        <v>1232</v>
      </c>
      <c r="AN871" s="247" t="s">
        <v>86</v>
      </c>
      <c r="AP871" s="171"/>
      <c r="AQ871" s="141" t="s">
        <v>1232</v>
      </c>
      <c r="AR871" s="247" t="s">
        <v>86</v>
      </c>
      <c r="AT871" s="171"/>
      <c r="AU871" s="141" t="s">
        <v>1232</v>
      </c>
      <c r="AV871" s="247" t="s">
        <v>86</v>
      </c>
      <c r="AX871" s="171"/>
      <c r="AY871" s="141" t="s">
        <v>1232</v>
      </c>
      <c r="AZ871" s="246" t="s">
        <v>440</v>
      </c>
      <c r="BB871" s="171"/>
      <c r="BC871" s="141" t="s">
        <v>1232</v>
      </c>
      <c r="BD871" s="247" t="s">
        <v>86</v>
      </c>
      <c r="BF871" s="171"/>
      <c r="BG871" s="141" t="s">
        <v>1232</v>
      </c>
      <c r="BH871" s="247" t="s">
        <v>86</v>
      </c>
      <c r="BJ871" s="171"/>
      <c r="BK871" s="141" t="s">
        <v>1232</v>
      </c>
      <c r="BL871" s="247" t="s">
        <v>86</v>
      </c>
      <c r="BN871" s="171"/>
      <c r="BO871" s="141" t="s">
        <v>1232</v>
      </c>
      <c r="BP871" s="247" t="s">
        <v>86</v>
      </c>
      <c r="BR871" s="171"/>
      <c r="BS871" s="141" t="s">
        <v>1232</v>
      </c>
      <c r="BT871" s="247" t="s">
        <v>86</v>
      </c>
    </row>
    <row r="872" spans="1:73" ht="12.75" customHeight="1" x14ac:dyDescent="0.15">
      <c r="A872" s="182"/>
      <c r="B872" s="168" t="s">
        <v>1238</v>
      </c>
      <c r="C872" s="251"/>
      <c r="D872" s="170"/>
      <c r="E872" s="128"/>
      <c r="F872" s="171"/>
      <c r="G872" s="197" t="s">
        <v>1233</v>
      </c>
      <c r="H872" s="253"/>
      <c r="I872" s="143"/>
      <c r="J872" s="171"/>
      <c r="K872" s="141" t="s">
        <v>1233</v>
      </c>
      <c r="L872" s="246" t="s">
        <v>7</v>
      </c>
      <c r="N872" s="171"/>
      <c r="O872" s="141" t="s">
        <v>1233</v>
      </c>
      <c r="P872" s="246" t="s">
        <v>7</v>
      </c>
      <c r="R872" s="171"/>
      <c r="S872" s="141" t="s">
        <v>1233</v>
      </c>
      <c r="T872" s="246" t="s">
        <v>7</v>
      </c>
      <c r="V872" s="171"/>
      <c r="W872" s="141" t="s">
        <v>1233</v>
      </c>
      <c r="X872" s="246" t="s">
        <v>1122</v>
      </c>
      <c r="Z872" s="171"/>
      <c r="AA872" s="141" t="s">
        <v>1233</v>
      </c>
      <c r="AB872" s="246" t="s">
        <v>7</v>
      </c>
      <c r="AD872" s="171"/>
      <c r="AE872" s="141" t="s">
        <v>1233</v>
      </c>
      <c r="AF872" s="246" t="s">
        <v>7</v>
      </c>
      <c r="AH872" s="171"/>
      <c r="AI872" s="141" t="s">
        <v>1233</v>
      </c>
      <c r="AJ872" s="246" t="s">
        <v>7</v>
      </c>
      <c r="AL872" s="171"/>
      <c r="AM872" s="141" t="s">
        <v>1233</v>
      </c>
      <c r="AN872" s="246" t="s">
        <v>7</v>
      </c>
      <c r="AP872" s="171"/>
      <c r="AQ872" s="141" t="s">
        <v>1233</v>
      </c>
      <c r="AR872" s="246" t="s">
        <v>7</v>
      </c>
      <c r="AT872" s="171"/>
      <c r="AU872" s="141" t="s">
        <v>1233</v>
      </c>
      <c r="AV872" s="246" t="s">
        <v>7</v>
      </c>
      <c r="AX872" s="171"/>
      <c r="AY872" s="141" t="s">
        <v>1233</v>
      </c>
      <c r="AZ872" s="246" t="s">
        <v>1122</v>
      </c>
      <c r="BB872" s="171"/>
      <c r="BC872" s="141" t="s">
        <v>1233</v>
      </c>
      <c r="BD872" s="246" t="s">
        <v>7</v>
      </c>
      <c r="BF872" s="171"/>
      <c r="BG872" s="141" t="s">
        <v>1233</v>
      </c>
      <c r="BH872" s="246" t="s">
        <v>7</v>
      </c>
      <c r="BJ872" s="171"/>
      <c r="BK872" s="141" t="s">
        <v>1233</v>
      </c>
      <c r="BL872" s="246" t="s">
        <v>7</v>
      </c>
      <c r="BN872" s="171"/>
      <c r="BO872" s="141" t="s">
        <v>1233</v>
      </c>
      <c r="BP872" s="246" t="s">
        <v>7</v>
      </c>
      <c r="BR872" s="171"/>
      <c r="BS872" s="141" t="s">
        <v>1233</v>
      </c>
      <c r="BT872" s="246" t="s">
        <v>7</v>
      </c>
    </row>
    <row r="873" spans="1:73" ht="12.75" customHeight="1" x14ac:dyDescent="0.15">
      <c r="A873" s="182"/>
      <c r="B873" s="168" t="s">
        <v>1238</v>
      </c>
      <c r="C873" s="251"/>
      <c r="D873" s="170"/>
      <c r="E873" s="128"/>
      <c r="F873" s="171"/>
      <c r="G873" s="197" t="s">
        <v>1234</v>
      </c>
      <c r="H873" s="253"/>
      <c r="I873" s="143"/>
      <c r="J873" s="171"/>
      <c r="K873" s="141" t="s">
        <v>1234</v>
      </c>
      <c r="L873" s="246" t="s">
        <v>7</v>
      </c>
      <c r="N873" s="171"/>
      <c r="O873" s="141" t="s">
        <v>1234</v>
      </c>
      <c r="P873" s="246" t="s">
        <v>7</v>
      </c>
      <c r="R873" s="171"/>
      <c r="S873" s="141" t="s">
        <v>1234</v>
      </c>
      <c r="T873" s="246" t="s">
        <v>7</v>
      </c>
      <c r="V873" s="171"/>
      <c r="W873" s="141" t="s">
        <v>1234</v>
      </c>
      <c r="X873" s="247" t="s">
        <v>86</v>
      </c>
      <c r="Z873" s="171"/>
      <c r="AA873" s="141" t="s">
        <v>1234</v>
      </c>
      <c r="AB873" s="246" t="s">
        <v>7</v>
      </c>
      <c r="AD873" s="171"/>
      <c r="AE873" s="141" t="s">
        <v>1234</v>
      </c>
      <c r="AF873" s="246" t="s">
        <v>7</v>
      </c>
      <c r="AH873" s="171"/>
      <c r="AI873" s="141" t="s">
        <v>1234</v>
      </c>
      <c r="AJ873" s="246" t="s">
        <v>7</v>
      </c>
      <c r="AL873" s="171"/>
      <c r="AM873" s="141" t="s">
        <v>1234</v>
      </c>
      <c r="AN873" s="246" t="s">
        <v>7</v>
      </c>
      <c r="AP873" s="171"/>
      <c r="AQ873" s="141" t="s">
        <v>1234</v>
      </c>
      <c r="AR873" s="246" t="s">
        <v>7</v>
      </c>
      <c r="AT873" s="171"/>
      <c r="AU873" s="141" t="s">
        <v>1234</v>
      </c>
      <c r="AV873" s="246" t="s">
        <v>7</v>
      </c>
      <c r="AX873" s="171"/>
      <c r="AY873" s="141" t="s">
        <v>1234</v>
      </c>
      <c r="AZ873" s="247" t="s">
        <v>86</v>
      </c>
      <c r="BB873" s="171"/>
      <c r="BC873" s="141" t="s">
        <v>1234</v>
      </c>
      <c r="BD873" s="246" t="s">
        <v>7</v>
      </c>
      <c r="BF873" s="171"/>
      <c r="BG873" s="141" t="s">
        <v>1234</v>
      </c>
      <c r="BH873" s="246" t="s">
        <v>7</v>
      </c>
      <c r="BJ873" s="171"/>
      <c r="BK873" s="141" t="s">
        <v>1234</v>
      </c>
      <c r="BL873" s="246" t="s">
        <v>7</v>
      </c>
      <c r="BN873" s="171"/>
      <c r="BO873" s="141" t="s">
        <v>1234</v>
      </c>
      <c r="BP873" s="246" t="s">
        <v>7</v>
      </c>
      <c r="BR873" s="171"/>
      <c r="BS873" s="141" t="s">
        <v>1234</v>
      </c>
      <c r="BT873" s="246" t="s">
        <v>7</v>
      </c>
    </row>
    <row r="874" spans="1:73" ht="12.75" customHeight="1" x14ac:dyDescent="0.15">
      <c r="A874" s="167" t="s">
        <v>1235</v>
      </c>
      <c r="B874" s="168" t="s">
        <v>1238</v>
      </c>
      <c r="C874" s="251"/>
      <c r="D874" s="170"/>
      <c r="E874" s="128"/>
      <c r="F874" s="171"/>
      <c r="G874" s="197" t="s">
        <v>1236</v>
      </c>
      <c r="H874" s="253"/>
      <c r="I874" s="143"/>
      <c r="J874" s="171"/>
      <c r="K874" s="141" t="s">
        <v>1236</v>
      </c>
      <c r="L874" s="247" t="s">
        <v>86</v>
      </c>
      <c r="N874" s="171"/>
      <c r="O874" s="141" t="s">
        <v>1236</v>
      </c>
      <c r="P874" s="247" t="s">
        <v>86</v>
      </c>
      <c r="R874" s="171"/>
      <c r="S874" s="141" t="s">
        <v>1236</v>
      </c>
      <c r="T874" s="247" t="s">
        <v>86</v>
      </c>
      <c r="V874" s="171"/>
      <c r="W874" s="141" t="s">
        <v>1236</v>
      </c>
      <c r="X874" s="247" t="s">
        <v>86</v>
      </c>
      <c r="Z874" s="171"/>
      <c r="AA874" s="141" t="s">
        <v>1236</v>
      </c>
      <c r="AB874" s="247" t="s">
        <v>86</v>
      </c>
      <c r="AD874" s="171"/>
      <c r="AE874" s="141" t="s">
        <v>1236</v>
      </c>
      <c r="AF874" s="247" t="s">
        <v>86</v>
      </c>
      <c r="AH874" s="171"/>
      <c r="AI874" s="141" t="s">
        <v>1236</v>
      </c>
      <c r="AJ874" s="247" t="s">
        <v>86</v>
      </c>
      <c r="AL874" s="171"/>
      <c r="AM874" s="141" t="s">
        <v>1236</v>
      </c>
      <c r="AN874" s="247" t="s">
        <v>86</v>
      </c>
      <c r="AP874" s="171"/>
      <c r="AQ874" s="141" t="s">
        <v>1236</v>
      </c>
      <c r="AR874" s="247" t="s">
        <v>86</v>
      </c>
      <c r="AT874" s="171"/>
      <c r="AU874" s="141" t="s">
        <v>1236</v>
      </c>
      <c r="AV874" s="247" t="s">
        <v>86</v>
      </c>
      <c r="AX874" s="171"/>
      <c r="AY874" s="141" t="s">
        <v>1236</v>
      </c>
      <c r="AZ874" s="247" t="s">
        <v>86</v>
      </c>
      <c r="BB874" s="171"/>
      <c r="BC874" s="141" t="s">
        <v>1236</v>
      </c>
      <c r="BD874" s="247" t="s">
        <v>86</v>
      </c>
      <c r="BF874" s="171"/>
      <c r="BG874" s="141" t="s">
        <v>1236</v>
      </c>
      <c r="BH874" s="247" t="s">
        <v>86</v>
      </c>
      <c r="BJ874" s="171"/>
      <c r="BK874" s="141" t="s">
        <v>1236</v>
      </c>
      <c r="BL874" s="247" t="s">
        <v>86</v>
      </c>
      <c r="BN874" s="171"/>
      <c r="BO874" s="141" t="s">
        <v>1236</v>
      </c>
      <c r="BP874" s="247" t="s">
        <v>86</v>
      </c>
      <c r="BR874" s="171"/>
      <c r="BS874" s="141" t="s">
        <v>1236</v>
      </c>
      <c r="BT874" s="247" t="s">
        <v>86</v>
      </c>
    </row>
    <row r="875" spans="1:73" ht="12.75" customHeight="1" x14ac:dyDescent="0.15">
      <c r="A875" s="167" t="s">
        <v>1235</v>
      </c>
      <c r="B875" s="168" t="s">
        <v>1238</v>
      </c>
      <c r="C875" s="251"/>
      <c r="D875" s="170"/>
      <c r="E875" s="128"/>
      <c r="F875" s="171"/>
      <c r="G875" s="197" t="s">
        <v>1237</v>
      </c>
      <c r="H875" s="253"/>
      <c r="I875" s="143"/>
      <c r="J875" s="171"/>
      <c r="K875" s="141" t="s">
        <v>1237</v>
      </c>
      <c r="L875" s="246" t="s">
        <v>434</v>
      </c>
      <c r="N875" s="171"/>
      <c r="O875" s="141" t="s">
        <v>1237</v>
      </c>
      <c r="P875" s="246" t="s">
        <v>434</v>
      </c>
      <c r="R875" s="171"/>
      <c r="S875" s="141" t="s">
        <v>1237</v>
      </c>
      <c r="T875" s="246" t="s">
        <v>434</v>
      </c>
      <c r="V875" s="171"/>
      <c r="W875" s="141" t="s">
        <v>1237</v>
      </c>
      <c r="X875" s="246" t="s">
        <v>434</v>
      </c>
      <c r="Z875" s="171"/>
      <c r="AA875" s="141" t="s">
        <v>1237</v>
      </c>
      <c r="AB875" s="246" t="s">
        <v>434</v>
      </c>
      <c r="AD875" s="171"/>
      <c r="AE875" s="141" t="s">
        <v>1237</v>
      </c>
      <c r="AF875" s="246" t="s">
        <v>434</v>
      </c>
      <c r="AH875" s="171"/>
      <c r="AI875" s="141" t="s">
        <v>1237</v>
      </c>
      <c r="AJ875" s="246" t="s">
        <v>434</v>
      </c>
      <c r="AL875" s="171"/>
      <c r="AM875" s="141" t="s">
        <v>1237</v>
      </c>
      <c r="AN875" s="246" t="s">
        <v>434</v>
      </c>
      <c r="AP875" s="171"/>
      <c r="AQ875" s="141" t="s">
        <v>1237</v>
      </c>
      <c r="AR875" s="246" t="s">
        <v>434</v>
      </c>
      <c r="AT875" s="171"/>
      <c r="AU875" s="141" t="s">
        <v>1237</v>
      </c>
      <c r="AV875" s="246" t="s">
        <v>434</v>
      </c>
      <c r="AX875" s="171"/>
      <c r="AY875" s="141" t="s">
        <v>1237</v>
      </c>
      <c r="AZ875" s="246" t="s">
        <v>434</v>
      </c>
      <c r="BB875" s="171"/>
      <c r="BC875" s="141" t="s">
        <v>1237</v>
      </c>
      <c r="BD875" s="246" t="s">
        <v>434</v>
      </c>
      <c r="BF875" s="171"/>
      <c r="BG875" s="141" t="s">
        <v>1237</v>
      </c>
      <c r="BH875" s="246" t="s">
        <v>434</v>
      </c>
      <c r="BJ875" s="171"/>
      <c r="BK875" s="141" t="s">
        <v>1237</v>
      </c>
      <c r="BL875" s="246" t="s">
        <v>434</v>
      </c>
      <c r="BN875" s="171"/>
      <c r="BO875" s="141" t="s">
        <v>1237</v>
      </c>
      <c r="BP875" s="246" t="s">
        <v>434</v>
      </c>
      <c r="BR875" s="171"/>
      <c r="BS875" s="141" t="s">
        <v>1237</v>
      </c>
      <c r="BT875" s="246" t="s">
        <v>434</v>
      </c>
    </row>
    <row r="876" spans="1:73" x14ac:dyDescent="0.15">
      <c r="A876" s="176"/>
      <c r="B876" s="176"/>
      <c r="C876" s="176"/>
      <c r="D876" s="231"/>
      <c r="E876" s="250"/>
      <c r="F876" s="136"/>
      <c r="G876" s="254"/>
      <c r="H876" s="255"/>
      <c r="J876" s="136"/>
      <c r="K876" s="147"/>
      <c r="L876" s="241"/>
      <c r="N876" s="136"/>
      <c r="O876" s="147"/>
      <c r="P876" s="241"/>
      <c r="R876" s="136"/>
      <c r="S876" s="147"/>
      <c r="T876" s="241"/>
      <c r="V876" s="136"/>
      <c r="W876" s="147"/>
      <c r="X876" s="241"/>
      <c r="Z876" s="136"/>
      <c r="AA876" s="147"/>
      <c r="AB876" s="241"/>
      <c r="AD876" s="136"/>
      <c r="AE876" s="147"/>
      <c r="AF876" s="241"/>
      <c r="AH876" s="136"/>
      <c r="AI876" s="147"/>
      <c r="AJ876" s="241"/>
      <c r="AL876" s="136"/>
      <c r="AM876" s="147"/>
      <c r="AN876" s="241"/>
      <c r="AP876" s="136"/>
      <c r="AQ876" s="147"/>
      <c r="AR876" s="241"/>
      <c r="AT876" s="136"/>
      <c r="AU876" s="147"/>
      <c r="AV876" s="241"/>
      <c r="AX876" s="136"/>
      <c r="AY876" s="147"/>
      <c r="AZ876" s="241"/>
      <c r="BB876" s="136"/>
      <c r="BC876" s="147"/>
      <c r="BD876" s="241"/>
      <c r="BF876" s="136"/>
      <c r="BG876" s="147"/>
      <c r="BH876" s="241"/>
      <c r="BJ876" s="136"/>
      <c r="BK876" s="147"/>
      <c r="BL876" s="241"/>
      <c r="BN876" s="136"/>
      <c r="BO876" s="147"/>
      <c r="BP876" s="241"/>
      <c r="BR876" s="136"/>
      <c r="BS876" s="147"/>
      <c r="BT876" s="241"/>
    </row>
    <row r="877" spans="1:73" x14ac:dyDescent="0.15">
      <c r="A877" s="176"/>
      <c r="B877" s="176"/>
      <c r="C877" s="176"/>
      <c r="D877" s="231"/>
      <c r="E877" s="250"/>
      <c r="F877" s="154"/>
      <c r="G877" s="254"/>
      <c r="H877" s="179"/>
      <c r="J877" s="154"/>
      <c r="K877" s="147"/>
      <c r="L877" s="241"/>
      <c r="N877" s="154"/>
      <c r="O877" s="147"/>
      <c r="P877" s="241"/>
      <c r="R877" s="154"/>
      <c r="S877" s="147"/>
      <c r="T877" s="241"/>
      <c r="V877" s="154"/>
      <c r="W877" s="147"/>
      <c r="X877" s="241"/>
      <c r="Z877" s="154"/>
      <c r="AA877" s="147"/>
      <c r="AB877" s="241"/>
      <c r="AD877" s="154"/>
      <c r="AE877" s="147"/>
      <c r="AF877" s="241"/>
      <c r="AH877" s="154"/>
      <c r="AI877" s="147"/>
      <c r="AJ877" s="241"/>
      <c r="AL877" s="154"/>
      <c r="AM877" s="147"/>
      <c r="AN877" s="241"/>
      <c r="AP877" s="154"/>
      <c r="AQ877" s="147"/>
      <c r="AR877" s="241"/>
      <c r="AT877" s="154"/>
      <c r="AU877" s="147"/>
      <c r="AV877" s="241"/>
      <c r="AX877" s="154"/>
      <c r="AY877" s="147"/>
      <c r="AZ877" s="241"/>
      <c r="BB877" s="154"/>
      <c r="BC877" s="147"/>
      <c r="BD877" s="241"/>
      <c r="BF877" s="154"/>
      <c r="BG877" s="147"/>
      <c r="BH877" s="241"/>
      <c r="BJ877" s="154"/>
      <c r="BK877" s="147"/>
      <c r="BL877" s="241"/>
      <c r="BN877" s="154"/>
      <c r="BO877" s="147"/>
      <c r="BP877" s="241"/>
      <c r="BR877" s="154"/>
      <c r="BS877" s="147"/>
      <c r="BT877" s="241"/>
    </row>
    <row r="878" spans="1:73" x14ac:dyDescent="0.15">
      <c r="E878" s="130"/>
      <c r="F878" s="136" t="s">
        <v>1038</v>
      </c>
      <c r="G878" s="107"/>
      <c r="H878" s="198"/>
      <c r="BU878" s="249"/>
    </row>
    <row r="879" spans="1:73" x14ac:dyDescent="0.15">
      <c r="E879" s="130"/>
      <c r="F879" s="136"/>
      <c r="G879" s="137" t="s">
        <v>125</v>
      </c>
      <c r="H879" s="138" t="s">
        <v>450</v>
      </c>
    </row>
    <row r="880" spans="1:73" x14ac:dyDescent="0.15">
      <c r="E880" s="130"/>
      <c r="F880" s="154"/>
      <c r="G880" s="199" t="s">
        <v>1039</v>
      </c>
      <c r="H880" s="200" t="s">
        <v>440</v>
      </c>
    </row>
    <row r="881" spans="1:8" x14ac:dyDescent="0.15">
      <c r="A881" s="201"/>
      <c r="E881" s="130"/>
      <c r="F881" s="123" t="s">
        <v>1040</v>
      </c>
      <c r="G881" s="124"/>
      <c r="H881" s="125"/>
    </row>
    <row r="882" spans="1:8" x14ac:dyDescent="0.15">
      <c r="E882" s="130"/>
      <c r="F882" s="202"/>
      <c r="G882" s="203"/>
      <c r="H882" s="204"/>
    </row>
    <row r="883" spans="1:8" x14ac:dyDescent="0.15">
      <c r="E883" s="130"/>
      <c r="F883" s="202" t="s">
        <v>1041</v>
      </c>
      <c r="G883" s="205"/>
      <c r="H883" s="204"/>
    </row>
    <row r="884" spans="1:8" x14ac:dyDescent="0.15">
      <c r="E884" s="130"/>
      <c r="F884" s="206"/>
      <c r="G884" s="207"/>
      <c r="H884" s="208"/>
    </row>
    <row r="885" spans="1:8" x14ac:dyDescent="0.15">
      <c r="E885" s="130"/>
      <c r="F885" s="209" t="s">
        <v>1042</v>
      </c>
      <c r="G885" s="210"/>
      <c r="H885" s="211"/>
    </row>
    <row r="886" spans="1:8" x14ac:dyDescent="0.15">
      <c r="E886" s="130"/>
      <c r="F886" s="171"/>
      <c r="G886" s="137" t="s">
        <v>125</v>
      </c>
      <c r="H886" s="138" t="s">
        <v>450</v>
      </c>
    </row>
    <row r="887" spans="1:8" x14ac:dyDescent="0.15">
      <c r="E887" s="130"/>
      <c r="F887" s="180"/>
      <c r="G887" s="199" t="s">
        <v>1039</v>
      </c>
      <c r="H887" s="160" t="s">
        <v>86</v>
      </c>
    </row>
    <row r="888" spans="1:8" x14ac:dyDescent="0.15">
      <c r="A888" s="212"/>
      <c r="E888" s="213"/>
      <c r="F888" s="214" t="s">
        <v>1043</v>
      </c>
      <c r="G888" s="215"/>
      <c r="H888" s="216"/>
    </row>
    <row r="889" spans="1:8" x14ac:dyDescent="0.15">
      <c r="A889" s="212"/>
      <c r="E889" s="213"/>
      <c r="F889" s="214"/>
      <c r="G889" s="137" t="s">
        <v>125</v>
      </c>
      <c r="H889" s="138" t="s">
        <v>450</v>
      </c>
    </row>
    <row r="890" spans="1:8" x14ac:dyDescent="0.15">
      <c r="A890" s="212"/>
      <c r="E890" s="213"/>
      <c r="F890" s="217"/>
      <c r="G890" s="199"/>
      <c r="H890" s="160"/>
    </row>
    <row r="891" spans="1:8" x14ac:dyDescent="0.15">
      <c r="A891" s="212"/>
      <c r="E891" s="213"/>
      <c r="F891" s="214" t="s">
        <v>1044</v>
      </c>
      <c r="G891" s="218"/>
      <c r="H891" s="219"/>
    </row>
    <row r="892" spans="1:8" x14ac:dyDescent="0.15">
      <c r="A892" s="212"/>
      <c r="E892" s="213"/>
      <c r="F892" s="214"/>
      <c r="G892" s="137" t="s">
        <v>125</v>
      </c>
      <c r="H892" s="138" t="s">
        <v>450</v>
      </c>
    </row>
    <row r="893" spans="1:8" x14ac:dyDescent="0.15">
      <c r="A893" s="212"/>
      <c r="E893" s="213"/>
      <c r="F893" s="217"/>
      <c r="G893" s="199"/>
      <c r="H893" s="160"/>
    </row>
    <row r="894" spans="1:8" x14ac:dyDescent="0.15">
      <c r="A894" s="212"/>
      <c r="E894" s="213"/>
      <c r="F894" s="214" t="s">
        <v>1045</v>
      </c>
      <c r="G894" s="218"/>
      <c r="H894" s="219"/>
    </row>
    <row r="895" spans="1:8" x14ac:dyDescent="0.15">
      <c r="A895" s="212"/>
      <c r="E895" s="213"/>
      <c r="F895" s="214"/>
      <c r="G895" s="137" t="s">
        <v>125</v>
      </c>
      <c r="H895" s="138" t="s">
        <v>450</v>
      </c>
    </row>
    <row r="896" spans="1:8" x14ac:dyDescent="0.15">
      <c r="A896" s="212"/>
      <c r="E896" s="213"/>
      <c r="F896" s="217"/>
      <c r="G896" s="199"/>
      <c r="H896" s="160"/>
    </row>
    <row r="897" spans="1:8" x14ac:dyDescent="0.15">
      <c r="A897" s="212"/>
      <c r="E897" s="213"/>
      <c r="F897" s="214" t="s">
        <v>1046</v>
      </c>
      <c r="G897" s="218"/>
      <c r="H897" s="219"/>
    </row>
    <row r="898" spans="1:8" x14ac:dyDescent="0.15">
      <c r="A898" s="212"/>
      <c r="E898" s="213"/>
      <c r="F898" s="214"/>
      <c r="G898" s="137" t="s">
        <v>125</v>
      </c>
      <c r="H898" s="138" t="s">
        <v>450</v>
      </c>
    </row>
    <row r="899" spans="1:8" x14ac:dyDescent="0.15">
      <c r="A899" s="212"/>
      <c r="E899" s="213"/>
      <c r="F899" s="217"/>
      <c r="G899" s="199"/>
      <c r="H899" s="160"/>
    </row>
    <row r="900" spans="1:8" x14ac:dyDescent="0.15">
      <c r="A900" s="212"/>
      <c r="E900" s="213"/>
      <c r="F900" s="214" t="s">
        <v>142</v>
      </c>
      <c r="G900" s="218"/>
      <c r="H900" s="219"/>
    </row>
    <row r="901" spans="1:8" x14ac:dyDescent="0.15">
      <c r="A901" s="212"/>
      <c r="E901" s="213"/>
      <c r="F901" s="214"/>
      <c r="G901" s="137" t="s">
        <v>125</v>
      </c>
      <c r="H901" s="138" t="s">
        <v>450</v>
      </c>
    </row>
    <row r="902" spans="1:8" x14ac:dyDescent="0.15">
      <c r="A902" s="212"/>
      <c r="E902" s="213"/>
      <c r="F902" s="217"/>
      <c r="G902" s="199"/>
      <c r="H902" s="160"/>
    </row>
    <row r="903" spans="1:8" x14ac:dyDescent="0.15">
      <c r="A903" s="212"/>
      <c r="E903" s="213"/>
      <c r="F903" s="214" t="s">
        <v>1047</v>
      </c>
      <c r="G903" s="218"/>
      <c r="H903" s="219"/>
    </row>
    <row r="904" spans="1:8" x14ac:dyDescent="0.15">
      <c r="A904" s="212"/>
      <c r="E904" s="213"/>
      <c r="F904" s="214"/>
      <c r="G904" s="137" t="s">
        <v>125</v>
      </c>
      <c r="H904" s="138" t="s">
        <v>450</v>
      </c>
    </row>
    <row r="905" spans="1:8" x14ac:dyDescent="0.15">
      <c r="A905" s="212"/>
      <c r="E905" s="213"/>
      <c r="F905" s="217"/>
      <c r="G905" s="199"/>
      <c r="H905" s="160"/>
    </row>
    <row r="906" spans="1:8" x14ac:dyDescent="0.15">
      <c r="A906" s="212"/>
      <c r="E906" s="213"/>
      <c r="F906" s="214" t="s">
        <v>168</v>
      </c>
      <c r="G906" s="220"/>
      <c r="H906" s="221"/>
    </row>
    <row r="907" spans="1:8" x14ac:dyDescent="0.15">
      <c r="A907" s="212"/>
      <c r="E907" s="213"/>
      <c r="F907" s="214"/>
      <c r="G907" s="137" t="s">
        <v>125</v>
      </c>
      <c r="H907" s="138" t="s">
        <v>450</v>
      </c>
    </row>
    <row r="908" spans="1:8" x14ac:dyDescent="0.15">
      <c r="A908" s="212"/>
      <c r="E908" s="213"/>
      <c r="F908" s="217"/>
      <c r="G908" s="199"/>
      <c r="H908" s="160"/>
    </row>
    <row r="909" spans="1:8" x14ac:dyDescent="0.15">
      <c r="E909" s="213"/>
      <c r="F909" s="214" t="s">
        <v>186</v>
      </c>
      <c r="G909" s="215"/>
      <c r="H909" s="216"/>
    </row>
    <row r="910" spans="1:8" x14ac:dyDescent="0.15">
      <c r="E910" s="213"/>
      <c r="F910" s="214"/>
      <c r="G910" s="137" t="s">
        <v>1048</v>
      </c>
      <c r="H910" s="138" t="s">
        <v>298</v>
      </c>
    </row>
    <row r="911" spans="1:8" x14ac:dyDescent="0.15">
      <c r="E911" s="213"/>
      <c r="F911" s="217"/>
      <c r="G911" s="199"/>
      <c r="H911" s="200"/>
    </row>
    <row r="912" spans="1:8" x14ac:dyDescent="0.15">
      <c r="E912" s="213"/>
      <c r="F912" s="214" t="s">
        <v>1049</v>
      </c>
      <c r="G912" s="215"/>
      <c r="H912" s="216"/>
    </row>
    <row r="913" spans="1:8" x14ac:dyDescent="0.15">
      <c r="E913" s="213"/>
      <c r="F913" s="214"/>
      <c r="G913" s="137" t="s">
        <v>1048</v>
      </c>
      <c r="H913" s="138" t="s">
        <v>298</v>
      </c>
    </row>
    <row r="914" spans="1:8" x14ac:dyDescent="0.15">
      <c r="E914" s="213"/>
      <c r="F914" s="217"/>
      <c r="G914" s="199"/>
      <c r="H914" s="200"/>
    </row>
    <row r="915" spans="1:8" x14ac:dyDescent="0.15">
      <c r="E915" s="213"/>
      <c r="F915" s="214" t="s">
        <v>1033</v>
      </c>
      <c r="G915" s="215"/>
      <c r="H915" s="216"/>
    </row>
    <row r="916" spans="1:8" x14ac:dyDescent="0.15">
      <c r="E916" s="213"/>
      <c r="F916" s="214"/>
      <c r="G916" s="137" t="s">
        <v>1048</v>
      </c>
      <c r="H916" s="138" t="s">
        <v>298</v>
      </c>
    </row>
    <row r="917" spans="1:8" x14ac:dyDescent="0.15">
      <c r="E917" s="213"/>
      <c r="F917" s="217"/>
      <c r="G917" s="199"/>
      <c r="H917" s="200"/>
    </row>
    <row r="918" spans="1:8" x14ac:dyDescent="0.15">
      <c r="E918" s="213"/>
      <c r="F918" s="214" t="s">
        <v>1050</v>
      </c>
      <c r="G918" s="215"/>
      <c r="H918" s="216"/>
    </row>
    <row r="919" spans="1:8" x14ac:dyDescent="0.15">
      <c r="E919" s="213"/>
      <c r="F919" s="214"/>
      <c r="G919" s="137" t="s">
        <v>1048</v>
      </c>
      <c r="H919" s="138" t="s">
        <v>298</v>
      </c>
    </row>
    <row r="920" spans="1:8" x14ac:dyDescent="0.15">
      <c r="E920" s="213"/>
      <c r="F920" s="217"/>
      <c r="G920" s="199"/>
      <c r="H920" s="200"/>
    </row>
    <row r="921" spans="1:8" x14ac:dyDescent="0.15">
      <c r="E921" s="213"/>
      <c r="F921" s="214" t="s">
        <v>1051</v>
      </c>
      <c r="G921" s="215"/>
      <c r="H921" s="216"/>
    </row>
    <row r="922" spans="1:8" x14ac:dyDescent="0.15">
      <c r="E922" s="213"/>
      <c r="F922" s="214"/>
      <c r="G922" s="137" t="s">
        <v>1048</v>
      </c>
      <c r="H922" s="138" t="s">
        <v>298</v>
      </c>
    </row>
    <row r="923" spans="1:8" x14ac:dyDescent="0.15">
      <c r="E923" s="213"/>
      <c r="F923" s="217"/>
      <c r="G923" s="199"/>
      <c r="H923" s="200"/>
    </row>
    <row r="924" spans="1:8" x14ac:dyDescent="0.15">
      <c r="E924" s="213"/>
      <c r="F924" s="214" t="s">
        <v>1052</v>
      </c>
      <c r="G924" s="215"/>
      <c r="H924" s="216"/>
    </row>
    <row r="925" spans="1:8" x14ac:dyDescent="0.15">
      <c r="E925" s="213"/>
      <c r="F925" s="214"/>
      <c r="G925" s="137" t="s">
        <v>125</v>
      </c>
      <c r="H925" s="138" t="s">
        <v>450</v>
      </c>
    </row>
    <row r="926" spans="1:8" x14ac:dyDescent="0.15">
      <c r="E926" s="213"/>
      <c r="F926" s="223"/>
      <c r="G926" s="199" t="s">
        <v>1039</v>
      </c>
      <c r="H926" s="200" t="s">
        <v>440</v>
      </c>
    </row>
    <row r="927" spans="1:8" ht="13.5" thickBot="1" x14ac:dyDescent="0.2">
      <c r="E927" s="224"/>
      <c r="F927" s="225" t="s">
        <v>1040</v>
      </c>
      <c r="G927" s="226"/>
      <c r="H927" s="227"/>
    </row>
    <row r="928" spans="1:8" x14ac:dyDescent="0.15">
      <c r="A928" s="228"/>
    </row>
  </sheetData>
  <mergeCells count="80">
    <mergeCell ref="N568:P568"/>
    <mergeCell ref="N569:P569"/>
    <mergeCell ref="N570:P570"/>
    <mergeCell ref="N571:P571"/>
    <mergeCell ref="N567:P567"/>
    <mergeCell ref="J568:L568"/>
    <mergeCell ref="J569:L569"/>
    <mergeCell ref="J570:L570"/>
    <mergeCell ref="J571:L571"/>
    <mergeCell ref="J567:L567"/>
    <mergeCell ref="V568:X568"/>
    <mergeCell ref="V569:X569"/>
    <mergeCell ref="V570:X570"/>
    <mergeCell ref="V571:X571"/>
    <mergeCell ref="V567:X567"/>
    <mergeCell ref="R568:T568"/>
    <mergeCell ref="R569:T569"/>
    <mergeCell ref="R570:T570"/>
    <mergeCell ref="R571:T571"/>
    <mergeCell ref="R567:T567"/>
    <mergeCell ref="AD568:AF568"/>
    <mergeCell ref="AD569:AF569"/>
    <mergeCell ref="AD570:AF570"/>
    <mergeCell ref="AD571:AF571"/>
    <mergeCell ref="AD567:AF567"/>
    <mergeCell ref="Z568:AB568"/>
    <mergeCell ref="Z569:AB569"/>
    <mergeCell ref="Z570:AB570"/>
    <mergeCell ref="Z571:AB571"/>
    <mergeCell ref="Z567:AB567"/>
    <mergeCell ref="AL568:AN568"/>
    <mergeCell ref="AL569:AN569"/>
    <mergeCell ref="AL570:AN570"/>
    <mergeCell ref="AL571:AN571"/>
    <mergeCell ref="AL567:AN567"/>
    <mergeCell ref="AH568:AJ568"/>
    <mergeCell ref="AH569:AJ569"/>
    <mergeCell ref="AH570:AJ570"/>
    <mergeCell ref="AH571:AJ571"/>
    <mergeCell ref="AH567:AJ567"/>
    <mergeCell ref="AT568:AV568"/>
    <mergeCell ref="AT569:AV569"/>
    <mergeCell ref="AT570:AV570"/>
    <mergeCell ref="AT571:AV571"/>
    <mergeCell ref="AT567:AV567"/>
    <mergeCell ref="AP568:AR568"/>
    <mergeCell ref="AP569:AR569"/>
    <mergeCell ref="AP570:AR570"/>
    <mergeCell ref="AP571:AR571"/>
    <mergeCell ref="AP567:AR567"/>
    <mergeCell ref="BB568:BD568"/>
    <mergeCell ref="BB569:BD569"/>
    <mergeCell ref="BB570:BD570"/>
    <mergeCell ref="BB571:BD571"/>
    <mergeCell ref="BB567:BD567"/>
    <mergeCell ref="AX568:AZ568"/>
    <mergeCell ref="AX569:AZ569"/>
    <mergeCell ref="AX570:AZ570"/>
    <mergeCell ref="AX571:AZ571"/>
    <mergeCell ref="AX567:AZ567"/>
    <mergeCell ref="BJ568:BL568"/>
    <mergeCell ref="BJ569:BL569"/>
    <mergeCell ref="BJ570:BL570"/>
    <mergeCell ref="BJ571:BL571"/>
    <mergeCell ref="BJ567:BL567"/>
    <mergeCell ref="BF568:BH568"/>
    <mergeCell ref="BF569:BH569"/>
    <mergeCell ref="BF570:BH570"/>
    <mergeCell ref="BF571:BH571"/>
    <mergeCell ref="BF567:BH567"/>
    <mergeCell ref="BR568:BT568"/>
    <mergeCell ref="BR569:BT569"/>
    <mergeCell ref="BR570:BT570"/>
    <mergeCell ref="BR571:BT571"/>
    <mergeCell ref="BR567:BT567"/>
    <mergeCell ref="BN568:BP568"/>
    <mergeCell ref="BN569:BP569"/>
    <mergeCell ref="BN570:BP570"/>
    <mergeCell ref="BN571:BP571"/>
    <mergeCell ref="BN567:BP56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E9E2-2458-47B2-9F30-7762EB96A0B2}">
  <sheetPr codeName="Sheet5"/>
  <dimension ref="A1:DR33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7" customWidth="1"/>
    <col min="2" max="2" width="16.5" style="4" customWidth="1"/>
    <col min="3" max="3" width="18.625" style="9" customWidth="1"/>
    <col min="4" max="4" width="70.625" style="4" customWidth="1"/>
    <col min="5" max="6" width="39.5" style="4" customWidth="1"/>
    <col min="7" max="7" width="8" style="9" customWidth="1"/>
    <col min="8" max="8" width="8" style="4" customWidth="1"/>
    <col min="9" max="9" width="6.25" style="4" bestFit="1" customWidth="1"/>
    <col min="10" max="10" width="8" style="4" customWidth="1"/>
    <col min="11" max="11" width="7.625" style="4" bestFit="1" customWidth="1"/>
    <col min="12" max="12" width="7.375" style="4" bestFit="1" customWidth="1"/>
    <col min="13" max="13" width="10" style="4" bestFit="1" customWidth="1"/>
    <col min="14" max="14" width="10.125" style="4" bestFit="1" customWidth="1"/>
    <col min="15" max="15" width="7.375" style="4" bestFit="1" customWidth="1"/>
    <col min="16" max="16" width="10" style="4" bestFit="1" customWidth="1"/>
    <col min="17" max="17" width="10.75" style="4" bestFit="1" customWidth="1"/>
    <col min="18" max="18" width="13.25" style="4" bestFit="1" customWidth="1"/>
    <col min="19" max="19" width="12.625" style="4" bestFit="1" customWidth="1"/>
    <col min="20" max="20" width="15.75" style="4" bestFit="1" customWidth="1"/>
    <col min="21" max="21" width="10" style="4" bestFit="1" customWidth="1"/>
    <col min="22" max="22" width="10" style="10" customWidth="1"/>
    <col min="23" max="23" width="12.375" style="10" customWidth="1"/>
    <col min="24" max="24" width="12.375" style="4" customWidth="1"/>
    <col min="25" max="25" width="1" style="4" customWidth="1"/>
    <col min="26" max="26" width="7.5" style="4" bestFit="1" customWidth="1"/>
    <col min="27" max="27" width="11.25" style="4" customWidth="1"/>
    <col min="28" max="28" width="9.125" style="4" hidden="1" customWidth="1"/>
    <col min="29" max="29" width="9.125" style="4" customWidth="1"/>
    <col min="30" max="35" width="9.125" style="4" hidden="1" customWidth="1"/>
    <col min="36" max="39" width="14.5" style="4" customWidth="1"/>
    <col min="40" max="40" width="10.125" style="4" bestFit="1" customWidth="1"/>
    <col min="41" max="41" width="10" style="4" bestFit="1" customWidth="1"/>
    <col min="42" max="42" width="11.25" style="4" customWidth="1"/>
    <col min="43" max="46" width="14.5" style="4" customWidth="1"/>
    <col min="47" max="48" width="10" style="4" bestFit="1" customWidth="1"/>
    <col min="49" max="49" width="1" style="4" customWidth="1"/>
    <col min="50" max="53" width="16.625" style="4" customWidth="1"/>
    <col min="54" max="54" width="1" style="4" customWidth="1"/>
    <col min="55" max="55" width="11.375" style="4" customWidth="1"/>
    <col min="56" max="56" width="1" style="4" customWidth="1"/>
    <col min="57" max="62" width="6.75" style="4" customWidth="1"/>
    <col min="63" max="63" width="1" style="4" customWidth="1"/>
    <col min="64" max="65" width="9.25" style="4" customWidth="1"/>
    <col min="66" max="66" width="8.125" style="4" bestFit="1" customWidth="1"/>
    <col min="67" max="67" width="5.375" style="4" bestFit="1" customWidth="1"/>
    <col min="68" max="68" width="10" style="4" bestFit="1" customWidth="1"/>
    <col min="69" max="69" width="4.375" style="4" bestFit="1" customWidth="1"/>
    <col min="70" max="70" width="10" style="4" bestFit="1" customWidth="1"/>
    <col min="71" max="71" width="4.375" style="4" bestFit="1" customWidth="1"/>
    <col min="72" max="72" width="10" style="4" bestFit="1" customWidth="1"/>
    <col min="73" max="73" width="4.875" style="14" bestFit="1" customWidth="1"/>
    <col min="74" max="74" width="10" style="4" bestFit="1" customWidth="1"/>
    <col min="75" max="75" width="4.375" style="4" bestFit="1" customWidth="1"/>
    <col min="76" max="76" width="10" style="4" bestFit="1" customWidth="1"/>
    <col min="77" max="77" width="6.875" style="4" hidden="1" customWidth="1"/>
    <col min="78" max="78" width="7.125" style="4" hidden="1" customWidth="1"/>
    <col min="79" max="79" width="1" style="4" customWidth="1"/>
    <col min="80" max="80" width="11.25" style="4" bestFit="1" customWidth="1"/>
    <col min="81" max="81" width="1" style="4" customWidth="1"/>
    <col min="82" max="82" width="10.875" style="4" bestFit="1" customWidth="1"/>
    <col min="83" max="83" width="11.625" style="4" bestFit="1" customWidth="1"/>
    <col min="84" max="84" width="10.875" style="4" bestFit="1" customWidth="1"/>
    <col min="85" max="85" width="11.625" style="4" bestFit="1" customWidth="1"/>
    <col min="86" max="86" width="1" style="4" customWidth="1"/>
    <col min="87" max="88" width="16" style="4" customWidth="1"/>
    <col min="89" max="89" width="1" style="4" customWidth="1"/>
    <col min="90" max="90" width="12.125" style="4" customWidth="1"/>
    <col min="91" max="91" width="1" style="4" customWidth="1"/>
    <col min="92" max="92" width="16" style="4" customWidth="1"/>
    <col min="93" max="122" width="1.625" style="4" customWidth="1"/>
    <col min="123" max="16384" width="20.625" style="4"/>
  </cols>
  <sheetData>
    <row r="1" spans="1:122" x14ac:dyDescent="0.15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45"/>
      <c r="AQ1" s="7"/>
      <c r="AR1" s="45"/>
      <c r="AS1" s="45"/>
      <c r="AT1" s="45"/>
      <c r="AU1" s="7"/>
      <c r="AV1" s="7"/>
      <c r="AW1" s="45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</row>
    <row r="2" spans="1:122" x14ac:dyDescent="0.1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</row>
    <row r="3" spans="1:122" x14ac:dyDescent="0.1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X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</row>
    <row r="4" spans="1:122" x14ac:dyDescent="0.1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</row>
    <row r="5" spans="1:122" ht="28.5" x14ac:dyDescent="0.15">
      <c r="A5"/>
      <c r="B5" s="12" t="s">
        <v>18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U5" s="4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pans="1:122" s="11" customFormat="1" ht="16.5" x14ac:dyDescent="0.15">
      <c r="A6"/>
      <c r="B6" s="6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306" t="s">
        <v>19</v>
      </c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  <c r="AU6" s="307"/>
      <c r="AV6" s="308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309" t="s">
        <v>20</v>
      </c>
      <c r="BM6" s="310"/>
      <c r="BN6" s="310"/>
      <c r="BO6" s="310"/>
      <c r="BP6" s="310"/>
      <c r="BQ6" s="310"/>
      <c r="BR6" s="310"/>
      <c r="BS6" s="310"/>
      <c r="BT6" s="310"/>
      <c r="BU6" s="310"/>
      <c r="BV6" s="310"/>
      <c r="BW6" s="310"/>
      <c r="BX6" s="311"/>
      <c r="BY6" s="66"/>
      <c r="BZ6" s="67"/>
      <c r="CB6" s="14"/>
      <c r="CE6" s="15"/>
      <c r="CF6" s="15"/>
      <c r="CG6" s="15"/>
      <c r="CH6" s="15"/>
      <c r="CJ6" s="15"/>
      <c r="CK6" s="15"/>
      <c r="CL6" s="15"/>
      <c r="CM6" s="15"/>
      <c r="CN6" s="15"/>
    </row>
    <row r="7" spans="1:122" s="13" customFormat="1" ht="16.5" customHeight="1" x14ac:dyDescent="0.15">
      <c r="A7"/>
      <c r="B7" s="312" t="s">
        <v>21</v>
      </c>
      <c r="C7" s="312" t="s">
        <v>22</v>
      </c>
      <c r="D7" s="301" t="s">
        <v>23</v>
      </c>
      <c r="E7" s="294" t="s">
        <v>24</v>
      </c>
      <c r="F7" s="300"/>
      <c r="G7" s="294" t="s">
        <v>25</v>
      </c>
      <c r="H7" s="300"/>
      <c r="I7" s="301" t="s">
        <v>26</v>
      </c>
      <c r="J7" s="301" t="s">
        <v>10</v>
      </c>
      <c r="K7" s="301" t="s">
        <v>27</v>
      </c>
      <c r="L7" s="294" t="s">
        <v>54</v>
      </c>
      <c r="M7" s="314"/>
      <c r="N7" s="300"/>
      <c r="O7" s="294" t="s">
        <v>28</v>
      </c>
      <c r="P7" s="314"/>
      <c r="Q7" s="300"/>
      <c r="R7" s="294" t="s">
        <v>54</v>
      </c>
      <c r="S7" s="314"/>
      <c r="T7" s="94" t="s">
        <v>28</v>
      </c>
      <c r="U7" s="301" t="s">
        <v>0</v>
      </c>
      <c r="V7" s="315" t="s">
        <v>16</v>
      </c>
      <c r="W7" s="301" t="s">
        <v>65</v>
      </c>
      <c r="X7" s="301" t="s">
        <v>29</v>
      </c>
      <c r="Z7" s="303" t="s">
        <v>55</v>
      </c>
      <c r="AA7" s="304"/>
      <c r="AB7" s="304"/>
      <c r="AC7" s="304"/>
      <c r="AD7" s="304"/>
      <c r="AE7" s="304"/>
      <c r="AF7" s="304"/>
      <c r="AG7" s="304"/>
      <c r="AH7" s="304"/>
      <c r="AI7" s="304"/>
      <c r="AJ7" s="304"/>
      <c r="AK7" s="304"/>
      <c r="AL7" s="304"/>
      <c r="AM7" s="304"/>
      <c r="AN7" s="304"/>
      <c r="AO7" s="305"/>
      <c r="AP7" s="303" t="s">
        <v>56</v>
      </c>
      <c r="AQ7" s="304"/>
      <c r="AR7" s="304"/>
      <c r="AS7" s="304"/>
      <c r="AT7" s="304"/>
      <c r="AU7" s="304"/>
      <c r="AV7" s="305"/>
      <c r="BE7" s="296" t="s">
        <v>30</v>
      </c>
      <c r="BF7" s="298"/>
      <c r="BG7" s="294" t="s">
        <v>31</v>
      </c>
      <c r="BH7" s="300"/>
      <c r="BI7" s="294" t="s">
        <v>5</v>
      </c>
      <c r="BJ7" s="300"/>
      <c r="BL7" s="296" t="s">
        <v>57</v>
      </c>
      <c r="BM7" s="298"/>
      <c r="BN7" s="296" t="s">
        <v>17</v>
      </c>
      <c r="BO7" s="299"/>
      <c r="BP7" s="298"/>
      <c r="BQ7" s="296" t="s">
        <v>32</v>
      </c>
      <c r="BR7" s="298"/>
      <c r="BS7" s="296" t="s">
        <v>33</v>
      </c>
      <c r="BT7" s="298"/>
      <c r="BU7" s="296" t="s">
        <v>66</v>
      </c>
      <c r="BV7" s="298"/>
      <c r="BW7" s="296" t="s">
        <v>34</v>
      </c>
      <c r="BX7" s="298"/>
      <c r="BY7" s="293"/>
      <c r="BZ7" s="293"/>
      <c r="CA7" s="14"/>
    </row>
    <row r="8" spans="1:122" s="13" customFormat="1" ht="33" x14ac:dyDescent="0.15">
      <c r="A8" s="68"/>
      <c r="B8" s="313"/>
      <c r="C8" s="313"/>
      <c r="D8" s="302"/>
      <c r="E8" s="46" t="s">
        <v>1</v>
      </c>
      <c r="F8" s="46" t="s">
        <v>2</v>
      </c>
      <c r="G8" s="46" t="s">
        <v>15</v>
      </c>
      <c r="H8" s="46" t="s">
        <v>6</v>
      </c>
      <c r="I8" s="302"/>
      <c r="J8" s="302"/>
      <c r="K8" s="302"/>
      <c r="L8" s="46" t="s">
        <v>35</v>
      </c>
      <c r="M8" s="46" t="s">
        <v>53</v>
      </c>
      <c r="N8" s="46" t="s">
        <v>36</v>
      </c>
      <c r="O8" s="69" t="s">
        <v>35</v>
      </c>
      <c r="P8" s="69" t="s">
        <v>53</v>
      </c>
      <c r="Q8" s="69" t="s">
        <v>36</v>
      </c>
      <c r="R8" s="69" t="s">
        <v>37</v>
      </c>
      <c r="S8" s="69" t="s">
        <v>62</v>
      </c>
      <c r="T8" s="70" t="s">
        <v>3</v>
      </c>
      <c r="U8" s="302"/>
      <c r="V8" s="316"/>
      <c r="W8" s="302"/>
      <c r="X8" s="302"/>
      <c r="Y8" s="13" t="s">
        <v>84</v>
      </c>
      <c r="Z8" s="47" t="s">
        <v>38</v>
      </c>
      <c r="AA8" s="46" t="s">
        <v>39</v>
      </c>
      <c r="AB8" s="35"/>
      <c r="AC8" s="35" t="s">
        <v>106</v>
      </c>
      <c r="AD8" s="35"/>
      <c r="AE8" s="35"/>
      <c r="AF8" s="46"/>
      <c r="AG8" s="35"/>
      <c r="AH8" s="35"/>
      <c r="AI8" s="46"/>
      <c r="AJ8" s="35" t="s">
        <v>105</v>
      </c>
      <c r="AK8" s="35" t="s">
        <v>63</v>
      </c>
      <c r="AL8" s="35" t="s">
        <v>122</v>
      </c>
      <c r="AM8" s="35" t="s">
        <v>124</v>
      </c>
      <c r="AN8" s="294" t="s">
        <v>40</v>
      </c>
      <c r="AO8" s="295"/>
      <c r="AP8" s="46" t="s">
        <v>4</v>
      </c>
      <c r="AQ8" s="35" t="s">
        <v>105</v>
      </c>
      <c r="AR8" s="35" t="s">
        <v>63</v>
      </c>
      <c r="AS8" s="35" t="s">
        <v>121</v>
      </c>
      <c r="AT8" s="35" t="s">
        <v>123</v>
      </c>
      <c r="AU8" s="296" t="s">
        <v>40</v>
      </c>
      <c r="AV8" s="297"/>
      <c r="AW8" s="13" t="s">
        <v>71</v>
      </c>
      <c r="AX8" s="46" t="s">
        <v>41</v>
      </c>
      <c r="AY8" s="46" t="s">
        <v>87</v>
      </c>
      <c r="AZ8" s="46" t="s">
        <v>42</v>
      </c>
      <c r="BA8" s="46" t="s">
        <v>130</v>
      </c>
      <c r="BC8" s="46" t="s">
        <v>72</v>
      </c>
      <c r="BE8" s="47" t="s">
        <v>15</v>
      </c>
      <c r="BF8" s="47" t="s">
        <v>6</v>
      </c>
      <c r="BG8" s="47" t="s">
        <v>15</v>
      </c>
      <c r="BH8" s="47" t="s">
        <v>6</v>
      </c>
      <c r="BI8" s="47" t="s">
        <v>15</v>
      </c>
      <c r="BJ8" s="47" t="s">
        <v>6</v>
      </c>
      <c r="BK8" s="71" t="s">
        <v>119</v>
      </c>
      <c r="BL8" s="72" t="s">
        <v>43</v>
      </c>
      <c r="BM8" s="46" t="s">
        <v>58</v>
      </c>
      <c r="BN8" s="72" t="s">
        <v>43</v>
      </c>
      <c r="BO8" s="72" t="s">
        <v>44</v>
      </c>
      <c r="BP8" s="46" t="s">
        <v>59</v>
      </c>
      <c r="BQ8" s="46" t="s">
        <v>45</v>
      </c>
      <c r="BR8" s="46" t="s">
        <v>46</v>
      </c>
      <c r="BS8" s="46" t="s">
        <v>45</v>
      </c>
      <c r="BT8" s="46" t="s">
        <v>46</v>
      </c>
      <c r="BU8" s="46" t="s">
        <v>45</v>
      </c>
      <c r="BV8" s="46" t="s">
        <v>46</v>
      </c>
      <c r="BW8" s="46" t="s">
        <v>45</v>
      </c>
      <c r="BX8" s="46" t="s">
        <v>46</v>
      </c>
      <c r="BY8" s="46"/>
      <c r="BZ8" s="46"/>
      <c r="CA8" s="71" t="s">
        <v>108</v>
      </c>
      <c r="CB8" s="46" t="s">
        <v>60</v>
      </c>
      <c r="CD8" s="46" t="s">
        <v>47</v>
      </c>
      <c r="CE8" s="46" t="s">
        <v>48</v>
      </c>
      <c r="CF8" s="46" t="s">
        <v>49</v>
      </c>
      <c r="CG8" s="46" t="s">
        <v>50</v>
      </c>
      <c r="CI8" s="43" t="s">
        <v>51</v>
      </c>
      <c r="CJ8" s="43" t="s">
        <v>8</v>
      </c>
      <c r="CL8" s="43" t="s">
        <v>88</v>
      </c>
      <c r="CN8" s="43" t="s">
        <v>120</v>
      </c>
      <c r="CZ8" s="45"/>
    </row>
    <row r="9" spans="1:122" s="14" customFormat="1" x14ac:dyDescent="0.15">
      <c r="A9" s="68"/>
      <c r="B9" s="73" t="s">
        <v>139</v>
      </c>
      <c r="C9" s="74" t="s">
        <v>104</v>
      </c>
      <c r="D9" s="75" t="s">
        <v>109</v>
      </c>
      <c r="E9" s="44" t="s">
        <v>9</v>
      </c>
      <c r="F9" s="44" t="s">
        <v>9</v>
      </c>
      <c r="G9" s="44">
        <v>8192</v>
      </c>
      <c r="H9" s="44">
        <v>6144</v>
      </c>
      <c r="I9" s="44">
        <v>3</v>
      </c>
      <c r="J9" s="44" t="s">
        <v>61</v>
      </c>
      <c r="K9" s="76">
        <v>24</v>
      </c>
      <c r="L9" s="76">
        <v>3</v>
      </c>
      <c r="M9" s="76">
        <v>300</v>
      </c>
      <c r="N9" s="77">
        <f t="shared" ref="N9:N26" si="0">K9 / L9 * M9</f>
        <v>2400</v>
      </c>
      <c r="O9" s="76">
        <v>3</v>
      </c>
      <c r="P9" s="76">
        <v>255</v>
      </c>
      <c r="Q9" s="77">
        <f t="shared" ref="Q9:Q26" si="1">IF(CB9="single", "-", K9 / O9 * P9)</f>
        <v>2040</v>
      </c>
      <c r="R9" s="78">
        <f t="shared" ref="R9:R26" si="2">N9 / BL9 * IF(BW9=14, 16 / 7, 1) / IF(J9="RAW12",12, IF(J9="RAW14", 14, 10)) * I9</f>
        <v>1645.7142857142858</v>
      </c>
      <c r="S9" s="78">
        <f t="shared" ref="S9:S26" si="3">ROUNDUP(K9 / L9 * M9 / BL9,2)</f>
        <v>2400</v>
      </c>
      <c r="T9" s="78">
        <f t="shared" ref="T9:T26" si="4">BP9 * 8</f>
        <v>1360</v>
      </c>
      <c r="U9" s="78">
        <f>ROUNDDOWN(
IF(BA9="-", BP9* 10^6/ AZ9 * 8,
     K9 * 10^6/ BA9 )
/
(AX9 * IF(AY9="-", 1,IF(RIGHT(C9, 10)="LB-MF_auto", 1, AY9))
+ IF(C9="2exp LB-MF_manual", AX10, 0)
+ IF(C9="3exp LB-MF_manual", AX10 + AX11, 0)),2)</f>
        <v>15</v>
      </c>
      <c r="V9" s="78">
        <f>ROUNDDOWN(
IF(BA9="-", BP9* 10^6/ AZ9 * 8,
     K9 * 10^6/ BA9 )
/
(Y9 * IF(AY9="-", 1,IF(RIGHT(C9, 10)="LB-MF_auto", 1, AY9))
+ IF(C9="2exp LB-MF_manual", Y10, 0)
+ IF(C9="3exp LB-MF_manual", Y10 + Y11, 0)),2)</f>
        <v>15.45</v>
      </c>
      <c r="W9" s="79" t="s">
        <v>101</v>
      </c>
      <c r="X9" s="79" t="s">
        <v>129</v>
      </c>
      <c r="Y9" s="80">
        <v>6261</v>
      </c>
      <c r="Z9" s="54">
        <v>2</v>
      </c>
      <c r="AA9" s="54">
        <v>6144</v>
      </c>
      <c r="AB9" s="54"/>
      <c r="AC9" s="54" t="s">
        <v>9</v>
      </c>
      <c r="AD9" s="54"/>
      <c r="AE9" s="54"/>
      <c r="AF9" s="54"/>
      <c r="AG9" s="54"/>
      <c r="AH9" s="54"/>
      <c r="AI9" s="54"/>
      <c r="AJ9" s="54">
        <v>0</v>
      </c>
      <c r="AK9" s="54" t="s">
        <v>9</v>
      </c>
      <c r="AL9" s="54" t="s">
        <v>9</v>
      </c>
      <c r="AM9" s="54" t="s">
        <v>9</v>
      </c>
      <c r="AN9" s="81">
        <f>(BK9 - ((CG9 - CF9 + 1) / BH9 / BF9 + Z9 + AW9)) * IF(AY9="-", 1, IF(RIGHT(C9,10)="LB-MF_auto", 1, AY9))
- IF(AND(RIGHT(C9, 3)="DOL", AY9=2), SUM(AB9:AI10),
 IF(AND(RIGHT(C9,3)="DOL", AY9=3), SUM(AB9:AI11), SUM(AB9:AI9)))</f>
        <v>215</v>
      </c>
      <c r="AO9" s="82">
        <f>ROUNDDOWN(
IF(BA9="-",AZ9 / 8 * (1 / BP9 / 1000) * AN9,
BA9 * (1 / K9 / 1000) * AN9),
2)</f>
        <v>2.2200000000000002</v>
      </c>
      <c r="AP9" s="44">
        <v>8192</v>
      </c>
      <c r="AQ9" s="44">
        <v>0</v>
      </c>
      <c r="AR9" s="44" t="s">
        <v>9</v>
      </c>
      <c r="AS9" s="44" t="s">
        <v>9</v>
      </c>
      <c r="AT9" s="44" t="s">
        <v>9</v>
      </c>
      <c r="AU9" s="81">
        <f t="shared" ref="AU9:AU26" si="5">IF(AP9="-", "-",
ROUNDDOWN(
  IF(BA9="-",AZ9/8/BP9, BA9/K9)
  * R9 - AP9 - IF(AQ9="-", 0, AQ9 / 4) * CA9 - 100,
0))</f>
        <v>8713</v>
      </c>
      <c r="AV9" s="83">
        <f t="shared" ref="AV9:AV26" si="6">IF(AP9="-", "-",
ROUNDDOWN(
( IF(BA9="-",AZ9/8/BP9, BA9/K9)
  * R9 - AP9 - IF(AQ9="-", 0, AQ9 / 4) * CA9 - 100)
 / R9, 2))</f>
        <v>5.29</v>
      </c>
      <c r="AW9" s="80">
        <v>90</v>
      </c>
      <c r="AX9" s="44">
        <v>6451</v>
      </c>
      <c r="AY9" s="44" t="s">
        <v>9</v>
      </c>
      <c r="AZ9" s="44">
        <v>14032</v>
      </c>
      <c r="BA9" s="44">
        <v>248</v>
      </c>
      <c r="BB9" s="80"/>
      <c r="BC9" s="83">
        <f t="shared" ref="BC9:BC26" si="7">ROUNDDOWN(
IF(BA9="-", AZ9 / 8 / BP9, BA9 / K9), 2)</f>
        <v>10.33</v>
      </c>
      <c r="BD9" s="80"/>
      <c r="BE9" s="44">
        <v>1</v>
      </c>
      <c r="BF9" s="44">
        <v>1</v>
      </c>
      <c r="BG9" s="44">
        <v>1</v>
      </c>
      <c r="BH9" s="44">
        <v>1</v>
      </c>
      <c r="BI9" s="84">
        <v>1</v>
      </c>
      <c r="BJ9" s="84">
        <v>1</v>
      </c>
      <c r="BK9" s="85">
        <v>6451</v>
      </c>
      <c r="BL9" s="76">
        <v>1</v>
      </c>
      <c r="BM9" s="77">
        <f t="shared" ref="BM9:BM26" si="8">N9 / BL9</f>
        <v>2400</v>
      </c>
      <c r="BN9" s="76">
        <v>2</v>
      </c>
      <c r="BO9" s="76">
        <v>6</v>
      </c>
      <c r="BP9" s="77">
        <f t="shared" ref="BP9:BP26" si="9">IF(CB9="single", N9, Q9) / BN9 / BO9</f>
        <v>170</v>
      </c>
      <c r="BQ9" s="76">
        <v>2</v>
      </c>
      <c r="BR9" s="86">
        <f t="shared" ref="BR9:BR26" si="10">IF(CB9="single", N9, Q9) / BQ9</f>
        <v>1020</v>
      </c>
      <c r="BS9" s="76">
        <v>6</v>
      </c>
      <c r="BT9" s="86">
        <f t="shared" ref="BT9:BT26" si="11">BP9 / BS9</f>
        <v>28.333333333333332</v>
      </c>
      <c r="BU9" s="87">
        <v>2</v>
      </c>
      <c r="BV9" s="86">
        <f t="shared" ref="BV9:BV26" si="12">BP9 / BU9</f>
        <v>85</v>
      </c>
      <c r="BW9" s="87">
        <v>14</v>
      </c>
      <c r="BX9" s="86">
        <f t="shared" ref="BX9:BX26" si="13">N9 / BL9 / BW9</f>
        <v>171.42857142857142</v>
      </c>
      <c r="BY9" s="87"/>
      <c r="BZ9" s="86"/>
      <c r="CA9" s="85">
        <v>0</v>
      </c>
      <c r="CB9" s="44" t="s">
        <v>1227</v>
      </c>
      <c r="CC9" s="19"/>
      <c r="CD9" s="88">
        <v>0</v>
      </c>
      <c r="CE9" s="88">
        <v>8191</v>
      </c>
      <c r="CF9" s="88">
        <v>0</v>
      </c>
      <c r="CG9" s="88">
        <v>6143</v>
      </c>
      <c r="CH9" s="19"/>
      <c r="CI9" s="76">
        <v>8192</v>
      </c>
      <c r="CJ9" s="44">
        <v>6144</v>
      </c>
      <c r="CK9" s="19"/>
      <c r="CL9" s="44" t="s">
        <v>9</v>
      </c>
      <c r="CM9" s="19"/>
      <c r="CN9" s="44" t="s">
        <v>9</v>
      </c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45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</row>
    <row r="10" spans="1:122" s="14" customFormat="1" x14ac:dyDescent="0.15">
      <c r="A10" s="68"/>
      <c r="B10" s="73">
        <v>1</v>
      </c>
      <c r="C10" s="74" t="s">
        <v>104</v>
      </c>
      <c r="D10" s="75" t="s">
        <v>107</v>
      </c>
      <c r="E10" s="44" t="s">
        <v>1226</v>
      </c>
      <c r="F10" s="44" t="s">
        <v>1226</v>
      </c>
      <c r="G10" s="44">
        <v>4096</v>
      </c>
      <c r="H10" s="44">
        <v>3072</v>
      </c>
      <c r="I10" s="44">
        <v>3</v>
      </c>
      <c r="J10" s="44" t="s">
        <v>61</v>
      </c>
      <c r="K10" s="76">
        <v>24</v>
      </c>
      <c r="L10" s="76">
        <v>3</v>
      </c>
      <c r="M10" s="76">
        <v>300</v>
      </c>
      <c r="N10" s="77">
        <f t="shared" si="0"/>
        <v>2400</v>
      </c>
      <c r="O10" s="76">
        <v>3</v>
      </c>
      <c r="P10" s="76">
        <v>255</v>
      </c>
      <c r="Q10" s="77">
        <f t="shared" si="1"/>
        <v>2040</v>
      </c>
      <c r="R10" s="78">
        <f t="shared" si="2"/>
        <v>1645.7142857142858</v>
      </c>
      <c r="S10" s="78">
        <f t="shared" si="3"/>
        <v>2400</v>
      </c>
      <c r="T10" s="78">
        <f t="shared" si="4"/>
        <v>1360</v>
      </c>
      <c r="U10" s="78">
        <f>ROUNDDOWN(
IF(BA10="-", BP10* 10^6/ AZ10 * 8,
     K10 * 10^6/ BA10 )
/
(AX10 * IF(AY10="-", 1,IF(RIGHT(C10, 10)="LB-MF_auto", 1, AY10))
+ IF(C10="2exp LB-MF_manual", AX11, 0)
+ IF(C10="3exp LB-MF_manual", AX11 + AX12, 0)),2)</f>
        <v>30</v>
      </c>
      <c r="V10" s="78">
        <f>ROUNDDOWN(
IF(BA10="-", BP10* 10^6/ AZ10 * 8,
     K10 * 10^6/ BA10 )
/
(Y10 * IF(AY10="-", 1,IF(RIGHT(C10, 10)="LB-MF_auto", 1, AY10))
+ IF(C10="2exp LB-MF_manual", Y11, 0)
+ IF(C10="3exp LB-MF_manual", Y11 + Y12, 0)),2)</f>
        <v>36.270000000000003</v>
      </c>
      <c r="W10" s="79" t="s">
        <v>101</v>
      </c>
      <c r="X10" s="79" t="s">
        <v>126</v>
      </c>
      <c r="Y10" s="80">
        <v>3136</v>
      </c>
      <c r="Z10" s="54">
        <v>2</v>
      </c>
      <c r="AA10" s="54">
        <v>3072</v>
      </c>
      <c r="AB10" s="54"/>
      <c r="AC10" s="54" t="s">
        <v>9</v>
      </c>
      <c r="AD10" s="54"/>
      <c r="AE10" s="54"/>
      <c r="AF10" s="54"/>
      <c r="AG10" s="54"/>
      <c r="AH10" s="54"/>
      <c r="AI10" s="54"/>
      <c r="AJ10" s="54">
        <v>768</v>
      </c>
      <c r="AK10" s="54" t="s">
        <v>9</v>
      </c>
      <c r="AL10" s="54" t="s">
        <v>9</v>
      </c>
      <c r="AM10" s="54" t="s">
        <v>9</v>
      </c>
      <c r="AN10" s="81">
        <f>(BK10 - ((CG10 - CF10 + 1) / BH10 / BF10 + Z10 + AW10)) * IF(AY10="-", 1, IF(RIGHT(C10,10)="LB-MF_auto", 1, AY10))
- IF(AND(RIGHT(C10, 3)="DOL", AY10=2), SUM(AB10:AI11),
 IF(AND(RIGHT(C10,3)="DOL", AY10=3), SUM(AB10:AI12), SUM(AB10:AI10)))</f>
        <v>669</v>
      </c>
      <c r="AO10" s="82">
        <f>ROUNDDOWN(
IF(BA10="-",AZ10 / 8 * (1 / BP10 / 1000) * AN10,
BA10 * (1 / K10 / 1000) * AN10),
2)</f>
        <v>5.88</v>
      </c>
      <c r="AP10" s="44">
        <v>4096</v>
      </c>
      <c r="AQ10" s="44">
        <v>4096</v>
      </c>
      <c r="AR10" s="44" t="s">
        <v>9</v>
      </c>
      <c r="AS10" s="44" t="s">
        <v>9</v>
      </c>
      <c r="AT10" s="44" t="s">
        <v>9</v>
      </c>
      <c r="AU10" s="81">
        <f t="shared" si="5"/>
        <v>9248</v>
      </c>
      <c r="AV10" s="83">
        <f t="shared" si="6"/>
        <v>5.61</v>
      </c>
      <c r="AW10" s="80">
        <v>48</v>
      </c>
      <c r="AX10" s="44">
        <v>3791</v>
      </c>
      <c r="AY10" s="44" t="s">
        <v>9</v>
      </c>
      <c r="AZ10" s="44">
        <v>11904</v>
      </c>
      <c r="BA10" s="44">
        <v>211</v>
      </c>
      <c r="BB10" s="80"/>
      <c r="BC10" s="83">
        <f t="shared" si="7"/>
        <v>8.7899999999999991</v>
      </c>
      <c r="BD10" s="80"/>
      <c r="BE10" s="44">
        <v>1</v>
      </c>
      <c r="BF10" s="44">
        <v>1</v>
      </c>
      <c r="BG10" s="44">
        <v>2</v>
      </c>
      <c r="BH10" s="44">
        <v>2</v>
      </c>
      <c r="BI10" s="84">
        <v>1</v>
      </c>
      <c r="BJ10" s="84">
        <v>1</v>
      </c>
      <c r="BK10" s="85">
        <v>3791</v>
      </c>
      <c r="BL10" s="76">
        <v>1</v>
      </c>
      <c r="BM10" s="77">
        <f t="shared" si="8"/>
        <v>2400</v>
      </c>
      <c r="BN10" s="76">
        <v>2</v>
      </c>
      <c r="BO10" s="76">
        <v>6</v>
      </c>
      <c r="BP10" s="77">
        <f t="shared" si="9"/>
        <v>170</v>
      </c>
      <c r="BQ10" s="76">
        <v>2</v>
      </c>
      <c r="BR10" s="86">
        <f t="shared" si="10"/>
        <v>1020</v>
      </c>
      <c r="BS10" s="76">
        <v>6</v>
      </c>
      <c r="BT10" s="86">
        <f t="shared" si="11"/>
        <v>28.333333333333332</v>
      </c>
      <c r="BU10" s="87">
        <v>2</v>
      </c>
      <c r="BV10" s="86">
        <f t="shared" si="12"/>
        <v>85</v>
      </c>
      <c r="BW10" s="87">
        <v>14</v>
      </c>
      <c r="BX10" s="86">
        <f t="shared" si="13"/>
        <v>171.42857142857142</v>
      </c>
      <c r="BY10" s="87"/>
      <c r="BZ10" s="86"/>
      <c r="CA10" s="85">
        <v>1</v>
      </c>
      <c r="CB10" s="44" t="s">
        <v>1227</v>
      </c>
      <c r="CC10" s="19"/>
      <c r="CD10" s="88">
        <v>0</v>
      </c>
      <c r="CE10" s="88">
        <v>8191</v>
      </c>
      <c r="CF10" s="88">
        <v>0</v>
      </c>
      <c r="CG10" s="88">
        <v>6143</v>
      </c>
      <c r="CH10" s="19"/>
      <c r="CI10" s="76">
        <v>4096</v>
      </c>
      <c r="CJ10" s="44">
        <v>3072</v>
      </c>
      <c r="CK10" s="19"/>
      <c r="CL10" s="44" t="s">
        <v>9</v>
      </c>
      <c r="CM10" s="19"/>
      <c r="CN10" s="44" t="s">
        <v>9</v>
      </c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45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</row>
    <row r="11" spans="1:122" s="14" customFormat="1" x14ac:dyDescent="0.15">
      <c r="A11" s="68"/>
      <c r="B11" s="73">
        <v>2</v>
      </c>
      <c r="C11" s="74" t="s">
        <v>104</v>
      </c>
      <c r="D11" s="75" t="s">
        <v>109</v>
      </c>
      <c r="E11" s="44" t="s">
        <v>9</v>
      </c>
      <c r="F11" s="44" t="s">
        <v>9</v>
      </c>
      <c r="G11" s="44">
        <v>4096</v>
      </c>
      <c r="H11" s="44">
        <v>3072</v>
      </c>
      <c r="I11" s="44">
        <v>3</v>
      </c>
      <c r="J11" s="44" t="s">
        <v>61</v>
      </c>
      <c r="K11" s="76">
        <v>24</v>
      </c>
      <c r="L11" s="76">
        <v>3</v>
      </c>
      <c r="M11" s="76">
        <v>300</v>
      </c>
      <c r="N11" s="77">
        <f t="shared" si="0"/>
        <v>2400</v>
      </c>
      <c r="O11" s="76">
        <v>3</v>
      </c>
      <c r="P11" s="76">
        <v>255</v>
      </c>
      <c r="Q11" s="77">
        <f t="shared" si="1"/>
        <v>2040</v>
      </c>
      <c r="R11" s="78">
        <f t="shared" si="2"/>
        <v>1645.7142857142858</v>
      </c>
      <c r="S11" s="78">
        <f t="shared" si="3"/>
        <v>2400</v>
      </c>
      <c r="T11" s="78">
        <f t="shared" si="4"/>
        <v>1360</v>
      </c>
      <c r="U11" s="78">
        <f>ROUNDDOWN(
IF(BA11="-", BP11* 10^6/ AZ11 * 8,
     K11 * 10^6/ BA11 )
/
(AX11 * IF(AY11="-", 1,IF(RIGHT(C11, 10)="LB-MF_auto", 1, AY11))
+ IF(C11="2exp LB-MF_manual", AX12, 0)
+ IF(C11="3exp LB-MF_manual", AX12 + AX13, 0)),2)</f>
        <v>30</v>
      </c>
      <c r="V11" s="78">
        <f>ROUNDDOWN(
IF(BA11="-", BP11* 10^6/ AZ11 * 8,
     K11 * 10^6/ BA11 )
/
(Y11 * IF(AY11="-", 1,IF(RIGHT(C11, 10)="LB-MF_auto", 1, AY11))
+ IF(C11="2exp LB-MF_manual", Y12, 0)
+ IF(C11="3exp LB-MF_manual", Y12 + Y13, 0)),2)</f>
        <v>30.34</v>
      </c>
      <c r="W11" s="79" t="s">
        <v>101</v>
      </c>
      <c r="X11" s="79" t="s">
        <v>129</v>
      </c>
      <c r="Y11" s="80">
        <v>3189</v>
      </c>
      <c r="Z11" s="54">
        <v>2</v>
      </c>
      <c r="AA11" s="54">
        <v>3072</v>
      </c>
      <c r="AB11" s="54"/>
      <c r="AC11" s="54" t="s">
        <v>9</v>
      </c>
      <c r="AD11" s="54"/>
      <c r="AE11" s="54"/>
      <c r="AF11" s="54"/>
      <c r="AG11" s="54"/>
      <c r="AH11" s="54"/>
      <c r="AI11" s="54"/>
      <c r="AJ11" s="54">
        <v>1536</v>
      </c>
      <c r="AK11" s="54" t="s">
        <v>9</v>
      </c>
      <c r="AL11" s="54" t="s">
        <v>9</v>
      </c>
      <c r="AM11" s="54" t="s">
        <v>9</v>
      </c>
      <c r="AN11" s="81">
        <f>(BK11 - ((CG11 - CF11 + 1) / BH11 / BF11 + Z11 + AW11)) * IF(AY11="-", 1, IF(RIGHT(C11,10)="LB-MF_auto", 1, AY11))
- IF(AND(RIGHT(C11, 3)="DOL", AY11=2), SUM(AB11:AI12),
 IF(AND(RIGHT(C11,3)="DOL", AY11=3), SUM(AB11:AI13), SUM(AB11:AI11)))</f>
        <v>61</v>
      </c>
      <c r="AO11" s="82">
        <f>ROUNDDOWN(
IF(BA11="-",AZ11 / 8 * (1 / BP11 / 1000) * AN11,
BA11 * (1 / K11 / 1000) * AN11),
2)</f>
        <v>0.63</v>
      </c>
      <c r="AP11" s="44">
        <v>4096</v>
      </c>
      <c r="AQ11" s="44">
        <v>2048</v>
      </c>
      <c r="AR11" s="44" t="s">
        <v>9</v>
      </c>
      <c r="AS11" s="44" t="s">
        <v>9</v>
      </c>
      <c r="AT11" s="44" t="s">
        <v>9</v>
      </c>
      <c r="AU11" s="81">
        <f t="shared" si="5"/>
        <v>11785</v>
      </c>
      <c r="AV11" s="83">
        <f t="shared" si="6"/>
        <v>7.16</v>
      </c>
      <c r="AW11" s="80">
        <v>90</v>
      </c>
      <c r="AX11" s="44">
        <v>3225</v>
      </c>
      <c r="AY11" s="44" t="s">
        <v>9</v>
      </c>
      <c r="AZ11" s="44">
        <v>14032</v>
      </c>
      <c r="BA11" s="44">
        <v>248</v>
      </c>
      <c r="BB11" s="80"/>
      <c r="BC11" s="83">
        <f t="shared" si="7"/>
        <v>10.33</v>
      </c>
      <c r="BD11" s="80"/>
      <c r="BE11" s="44">
        <v>1</v>
      </c>
      <c r="BF11" s="44">
        <v>1</v>
      </c>
      <c r="BG11" s="44">
        <v>1</v>
      </c>
      <c r="BH11" s="44">
        <v>1</v>
      </c>
      <c r="BI11" s="84">
        <v>1</v>
      </c>
      <c r="BJ11" s="84">
        <v>1</v>
      </c>
      <c r="BK11" s="85">
        <v>3225</v>
      </c>
      <c r="BL11" s="76">
        <v>1</v>
      </c>
      <c r="BM11" s="77">
        <f t="shared" si="8"/>
        <v>2400</v>
      </c>
      <c r="BN11" s="76">
        <v>2</v>
      </c>
      <c r="BO11" s="76">
        <v>6</v>
      </c>
      <c r="BP11" s="77">
        <f t="shared" si="9"/>
        <v>170</v>
      </c>
      <c r="BQ11" s="76">
        <v>2</v>
      </c>
      <c r="BR11" s="86">
        <f t="shared" si="10"/>
        <v>1020</v>
      </c>
      <c r="BS11" s="76">
        <v>6</v>
      </c>
      <c r="BT11" s="86">
        <f t="shared" si="11"/>
        <v>28.333333333333332</v>
      </c>
      <c r="BU11" s="87">
        <v>2</v>
      </c>
      <c r="BV11" s="86">
        <f t="shared" si="12"/>
        <v>85</v>
      </c>
      <c r="BW11" s="87">
        <v>14</v>
      </c>
      <c r="BX11" s="86">
        <f t="shared" si="13"/>
        <v>171.42857142857142</v>
      </c>
      <c r="BY11" s="87"/>
      <c r="BZ11" s="86"/>
      <c r="CA11" s="85">
        <v>2</v>
      </c>
      <c r="CB11" s="44" t="s">
        <v>1227</v>
      </c>
      <c r="CC11" s="19"/>
      <c r="CD11" s="88">
        <v>2048</v>
      </c>
      <c r="CE11" s="88">
        <v>6143</v>
      </c>
      <c r="CF11" s="88">
        <v>1536</v>
      </c>
      <c r="CG11" s="88">
        <v>4607</v>
      </c>
      <c r="CH11" s="19"/>
      <c r="CI11" s="76">
        <v>4096</v>
      </c>
      <c r="CJ11" s="44">
        <v>3072</v>
      </c>
      <c r="CK11" s="19"/>
      <c r="CL11" s="44" t="s">
        <v>9</v>
      </c>
      <c r="CM11" s="19"/>
      <c r="CN11" s="44" t="s">
        <v>9</v>
      </c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45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</row>
    <row r="12" spans="1:122" s="14" customFormat="1" x14ac:dyDescent="0.15">
      <c r="A12" s="68"/>
      <c r="B12" s="283">
        <v>3</v>
      </c>
      <c r="C12" s="281" t="s">
        <v>114</v>
      </c>
      <c r="D12" s="75" t="s">
        <v>1172</v>
      </c>
      <c r="E12" s="44" t="s">
        <v>1226</v>
      </c>
      <c r="F12" s="44" t="s">
        <v>1226</v>
      </c>
      <c r="G12" s="44">
        <v>4096</v>
      </c>
      <c r="H12" s="44">
        <v>3072</v>
      </c>
      <c r="I12" s="44">
        <v>3</v>
      </c>
      <c r="J12" s="44" t="s">
        <v>113</v>
      </c>
      <c r="K12" s="76">
        <v>24</v>
      </c>
      <c r="L12" s="76">
        <v>3</v>
      </c>
      <c r="M12" s="76">
        <v>300</v>
      </c>
      <c r="N12" s="77">
        <f t="shared" si="0"/>
        <v>2400</v>
      </c>
      <c r="O12" s="76">
        <v>3</v>
      </c>
      <c r="P12" s="76">
        <v>255</v>
      </c>
      <c r="Q12" s="77">
        <f t="shared" si="1"/>
        <v>2040</v>
      </c>
      <c r="R12" s="78">
        <f t="shared" si="2"/>
        <v>1371.4285714285713</v>
      </c>
      <c r="S12" s="78">
        <f t="shared" si="3"/>
        <v>2400</v>
      </c>
      <c r="T12" s="78">
        <f t="shared" si="4"/>
        <v>1360</v>
      </c>
      <c r="U12" s="287">
        <f>ROUNDDOWN(
IF(BA12="-", BP12* 10^6/ AZ12 * 8,
     K12 * 10^6/ BA12 )
/
(AX12 * IF(AY12="-", 1,IF(RIGHT(C12, 10)="LB-MF_auto", 1, AY12))
+ IF(C12="2exp LB-MF_manual", AX13, 0)
+ IF(C12="3exp LB-MF_manual", AX13 + AX14, 0)),2)</f>
        <v>30</v>
      </c>
      <c r="V12" s="287">
        <f>ROUNDDOWN(
IF(BA12="-", BP12* 10^6/ AZ12 * 8,
     K12 * 10^6/ BA12 )
/
(Y12 * IF(AY12="-", 1,IF(RIGHT(C12, 10)="LB-MF_auto", 1, AY12))
+ IF(C12="2exp LB-MF_manual", Y13, 0)
+ IF(C12="3exp LB-MF_manual", Y13 + Y14, 0)),2)</f>
        <v>30.31</v>
      </c>
      <c r="W12" s="79" t="s">
        <v>127</v>
      </c>
      <c r="X12" s="79" t="s">
        <v>128</v>
      </c>
      <c r="Y12" s="80">
        <v>3142</v>
      </c>
      <c r="Z12" s="54">
        <v>2</v>
      </c>
      <c r="AA12" s="54">
        <v>3072</v>
      </c>
      <c r="AB12" s="54"/>
      <c r="AC12" s="54">
        <v>0</v>
      </c>
      <c r="AD12" s="54"/>
      <c r="AE12" s="54"/>
      <c r="AF12" s="54"/>
      <c r="AG12" s="54"/>
      <c r="AH12" s="54"/>
      <c r="AI12" s="54"/>
      <c r="AJ12" s="54" t="s">
        <v>9</v>
      </c>
      <c r="AK12" s="54" t="s">
        <v>9</v>
      </c>
      <c r="AL12" s="54">
        <v>0</v>
      </c>
      <c r="AM12" s="54">
        <v>752</v>
      </c>
      <c r="AN12" s="285">
        <f>(BK12 - ((CG12 - CF12 + 1) / BH12 / BF12 + Z12 + AW12)) * IF(AY12="-", 1, IF(RIGHT(C12,10)="LB-MF_auto", 1, AY12))
- IF(AND(RIGHT(C12, 3)="DOL", AY12=2), SUM(AB12:AI13),
 IF(AND(RIGHT(C12,3)="DOL", AY12=3), SUM(AB12:AI14), SUM(AB12:AI12)))</f>
        <v>52</v>
      </c>
      <c r="AO12" s="291">
        <f>ROUNDDOWN(
IF(BA12="-",AZ12 / 8 * (1 / BP12 / 1000) * AN12,
BA12 * (1 / K12 / 1000) * AN12),
2)</f>
        <v>0.54</v>
      </c>
      <c r="AP12" s="44">
        <v>4096</v>
      </c>
      <c r="AQ12" s="44" t="s">
        <v>9</v>
      </c>
      <c r="AR12" s="44" t="s">
        <v>9</v>
      </c>
      <c r="AS12" s="44">
        <v>0</v>
      </c>
      <c r="AT12" s="44">
        <v>508</v>
      </c>
      <c r="AU12" s="81">
        <f t="shared" si="5"/>
        <v>10204</v>
      </c>
      <c r="AV12" s="83">
        <f t="shared" si="6"/>
        <v>7.44</v>
      </c>
      <c r="AW12" s="80">
        <v>48</v>
      </c>
      <c r="AX12" s="289">
        <v>3174</v>
      </c>
      <c r="AY12" s="289">
        <v>1</v>
      </c>
      <c r="AZ12" s="44">
        <v>14256</v>
      </c>
      <c r="BA12" s="44">
        <v>252</v>
      </c>
      <c r="BB12" s="80"/>
      <c r="BC12" s="83">
        <f t="shared" si="7"/>
        <v>10.5</v>
      </c>
      <c r="BD12" s="80"/>
      <c r="BE12" s="44">
        <v>1</v>
      </c>
      <c r="BF12" s="44">
        <v>1</v>
      </c>
      <c r="BG12" s="44">
        <v>2</v>
      </c>
      <c r="BH12" s="44">
        <v>2</v>
      </c>
      <c r="BI12" s="84">
        <v>1</v>
      </c>
      <c r="BJ12" s="84">
        <v>1</v>
      </c>
      <c r="BK12" s="85">
        <v>3174</v>
      </c>
      <c r="BL12" s="76">
        <v>1</v>
      </c>
      <c r="BM12" s="77">
        <f t="shared" si="8"/>
        <v>2400</v>
      </c>
      <c r="BN12" s="76">
        <v>2</v>
      </c>
      <c r="BO12" s="76">
        <v>6</v>
      </c>
      <c r="BP12" s="77">
        <f t="shared" si="9"/>
        <v>170</v>
      </c>
      <c r="BQ12" s="76">
        <v>2</v>
      </c>
      <c r="BR12" s="86">
        <f t="shared" si="10"/>
        <v>1020</v>
      </c>
      <c r="BS12" s="76">
        <v>6</v>
      </c>
      <c r="BT12" s="86">
        <f t="shared" si="11"/>
        <v>28.333333333333332</v>
      </c>
      <c r="BU12" s="87">
        <v>2</v>
      </c>
      <c r="BV12" s="86">
        <f t="shared" si="12"/>
        <v>85</v>
      </c>
      <c r="BW12" s="87">
        <v>14</v>
      </c>
      <c r="BX12" s="86">
        <f t="shared" si="13"/>
        <v>171.42857142857142</v>
      </c>
      <c r="BY12" s="87"/>
      <c r="BZ12" s="86"/>
      <c r="CA12" s="85">
        <v>0</v>
      </c>
      <c r="CB12" s="44" t="s">
        <v>1227</v>
      </c>
      <c r="CC12" s="19"/>
      <c r="CD12" s="88">
        <v>0</v>
      </c>
      <c r="CE12" s="88">
        <v>8191</v>
      </c>
      <c r="CF12" s="88">
        <v>0</v>
      </c>
      <c r="CG12" s="88">
        <v>6143</v>
      </c>
      <c r="CH12" s="19"/>
      <c r="CI12" s="76">
        <v>4096</v>
      </c>
      <c r="CJ12" s="44">
        <v>3072</v>
      </c>
      <c r="CK12" s="19"/>
      <c r="CL12" s="44" t="s">
        <v>9</v>
      </c>
      <c r="CM12" s="19"/>
      <c r="CN12" s="44">
        <v>4</v>
      </c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45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</row>
    <row r="13" spans="1:122" s="14" customFormat="1" x14ac:dyDescent="0.15">
      <c r="A13" s="68"/>
      <c r="B13" s="284"/>
      <c r="C13" s="282"/>
      <c r="D13" s="75" t="s">
        <v>1224</v>
      </c>
      <c r="E13" s="44" t="s">
        <v>9</v>
      </c>
      <c r="F13" s="44" t="s">
        <v>9</v>
      </c>
      <c r="G13" s="44" t="s">
        <v>9</v>
      </c>
      <c r="H13" s="44" t="s">
        <v>9</v>
      </c>
      <c r="I13" s="44">
        <v>3</v>
      </c>
      <c r="J13" s="44" t="s">
        <v>113</v>
      </c>
      <c r="K13" s="76">
        <v>24</v>
      </c>
      <c r="L13" s="76">
        <v>3</v>
      </c>
      <c r="M13" s="76">
        <v>300</v>
      </c>
      <c r="N13" s="77">
        <f t="shared" si="0"/>
        <v>2400</v>
      </c>
      <c r="O13" s="76">
        <v>3</v>
      </c>
      <c r="P13" s="76">
        <v>255</v>
      </c>
      <c r="Q13" s="77">
        <f t="shared" si="1"/>
        <v>2040</v>
      </c>
      <c r="R13" s="78">
        <f t="shared" si="2"/>
        <v>1371.4285714285713</v>
      </c>
      <c r="S13" s="78">
        <f t="shared" si="3"/>
        <v>2400</v>
      </c>
      <c r="T13" s="78">
        <f t="shared" si="4"/>
        <v>1360</v>
      </c>
      <c r="U13" s="288"/>
      <c r="V13" s="288"/>
      <c r="W13" s="79" t="s">
        <v>101</v>
      </c>
      <c r="X13" s="79" t="s">
        <v>129</v>
      </c>
      <c r="Y13" s="80">
        <v>3142</v>
      </c>
      <c r="Z13" s="54" t="s">
        <v>9</v>
      </c>
      <c r="AA13" s="54" t="s">
        <v>9</v>
      </c>
      <c r="AB13" s="54"/>
      <c r="AC13" s="54" t="s">
        <v>9</v>
      </c>
      <c r="AD13" s="54"/>
      <c r="AE13" s="54"/>
      <c r="AF13" s="54"/>
      <c r="AG13" s="54"/>
      <c r="AH13" s="54"/>
      <c r="AI13" s="54"/>
      <c r="AJ13" s="54" t="s">
        <v>9</v>
      </c>
      <c r="AK13" s="54" t="s">
        <v>9</v>
      </c>
      <c r="AL13" s="54" t="s">
        <v>9</v>
      </c>
      <c r="AM13" s="54" t="s">
        <v>9</v>
      </c>
      <c r="AN13" s="286"/>
      <c r="AO13" s="292"/>
      <c r="AP13" s="44" t="s">
        <v>9</v>
      </c>
      <c r="AQ13" s="44" t="s">
        <v>9</v>
      </c>
      <c r="AR13" s="44" t="s">
        <v>9</v>
      </c>
      <c r="AS13" s="44" t="s">
        <v>9</v>
      </c>
      <c r="AT13" s="44" t="s">
        <v>9</v>
      </c>
      <c r="AU13" s="81" t="str">
        <f t="shared" si="5"/>
        <v>-</v>
      </c>
      <c r="AV13" s="83" t="str">
        <f t="shared" si="6"/>
        <v>-</v>
      </c>
      <c r="AW13" s="80">
        <v>48</v>
      </c>
      <c r="AX13" s="290"/>
      <c r="AY13" s="290"/>
      <c r="AZ13" s="44">
        <v>14256</v>
      </c>
      <c r="BA13" s="44">
        <v>252</v>
      </c>
      <c r="BB13" s="80"/>
      <c r="BC13" s="83">
        <f t="shared" si="7"/>
        <v>10.5</v>
      </c>
      <c r="BD13" s="80"/>
      <c r="BE13" s="44" t="s">
        <v>9</v>
      </c>
      <c r="BF13" s="44" t="s">
        <v>9</v>
      </c>
      <c r="BG13" s="44" t="s">
        <v>9</v>
      </c>
      <c r="BH13" s="44" t="s">
        <v>9</v>
      </c>
      <c r="BI13" s="84" t="s">
        <v>9</v>
      </c>
      <c r="BJ13" s="84" t="s">
        <v>9</v>
      </c>
      <c r="BK13" s="85"/>
      <c r="BL13" s="76">
        <v>1</v>
      </c>
      <c r="BM13" s="77">
        <f t="shared" si="8"/>
        <v>2400</v>
      </c>
      <c r="BN13" s="76">
        <v>2</v>
      </c>
      <c r="BO13" s="76">
        <v>6</v>
      </c>
      <c r="BP13" s="77">
        <f t="shared" si="9"/>
        <v>170</v>
      </c>
      <c r="BQ13" s="76">
        <v>2</v>
      </c>
      <c r="BR13" s="86">
        <f t="shared" si="10"/>
        <v>1020</v>
      </c>
      <c r="BS13" s="76">
        <v>6</v>
      </c>
      <c r="BT13" s="86">
        <f t="shared" si="11"/>
        <v>28.333333333333332</v>
      </c>
      <c r="BU13" s="87">
        <v>2</v>
      </c>
      <c r="BV13" s="86">
        <f t="shared" si="12"/>
        <v>85</v>
      </c>
      <c r="BW13" s="87">
        <v>14</v>
      </c>
      <c r="BX13" s="86">
        <f t="shared" si="13"/>
        <v>171.42857142857142</v>
      </c>
      <c r="BY13" s="87"/>
      <c r="BZ13" s="86"/>
      <c r="CA13" s="85">
        <v>0</v>
      </c>
      <c r="CB13" s="44" t="s">
        <v>1227</v>
      </c>
      <c r="CC13" s="19"/>
      <c r="CD13" s="88" t="s">
        <v>9</v>
      </c>
      <c r="CE13" s="88" t="s">
        <v>9</v>
      </c>
      <c r="CF13" s="88" t="s">
        <v>9</v>
      </c>
      <c r="CG13" s="88" t="s">
        <v>9</v>
      </c>
      <c r="CH13" s="19"/>
      <c r="CI13" s="76" t="s">
        <v>9</v>
      </c>
      <c r="CJ13" s="44" t="s">
        <v>9</v>
      </c>
      <c r="CK13" s="19"/>
      <c r="CL13" s="44" t="s">
        <v>9</v>
      </c>
      <c r="CM13" s="19"/>
      <c r="CN13" s="44">
        <v>1</v>
      </c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45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</row>
    <row r="14" spans="1:122" s="14" customFormat="1" x14ac:dyDescent="0.15">
      <c r="A14" s="68"/>
      <c r="B14" s="73">
        <v>4</v>
      </c>
      <c r="C14" s="74" t="s">
        <v>104</v>
      </c>
      <c r="D14" s="75" t="s">
        <v>107</v>
      </c>
      <c r="E14" s="44" t="s">
        <v>1226</v>
      </c>
      <c r="F14" s="44" t="s">
        <v>1226</v>
      </c>
      <c r="G14" s="44">
        <v>4096</v>
      </c>
      <c r="H14" s="44">
        <v>3072</v>
      </c>
      <c r="I14" s="44">
        <v>3</v>
      </c>
      <c r="J14" s="44" t="s">
        <v>113</v>
      </c>
      <c r="K14" s="76">
        <v>24</v>
      </c>
      <c r="L14" s="76">
        <v>3</v>
      </c>
      <c r="M14" s="76">
        <v>300</v>
      </c>
      <c r="N14" s="77">
        <f t="shared" si="0"/>
        <v>2400</v>
      </c>
      <c r="O14" s="76">
        <v>3</v>
      </c>
      <c r="P14" s="76">
        <v>255</v>
      </c>
      <c r="Q14" s="77">
        <f t="shared" si="1"/>
        <v>2040</v>
      </c>
      <c r="R14" s="78">
        <f t="shared" si="2"/>
        <v>1371.4285714285713</v>
      </c>
      <c r="S14" s="78">
        <f t="shared" si="3"/>
        <v>2400</v>
      </c>
      <c r="T14" s="78">
        <f t="shared" si="4"/>
        <v>1360</v>
      </c>
      <c r="U14" s="78">
        <f t="shared" ref="U14:U20" si="14">ROUNDDOWN(
IF(BA14="-", BP14* 10^6/ AZ14 * 8,
     K14 * 10^6/ BA14 )
/
(AX14 * IF(AY14="-", 1,IF(RIGHT(C14, 10)="LB-MF_auto", 1, AY14))
+ IF(C14="2exp LB-MF_manual", AX15, 0)
+ IF(C14="3exp LB-MF_manual", AX15 + AX16, 0)),2)</f>
        <v>30</v>
      </c>
      <c r="V14" s="78">
        <f t="shared" ref="V14:V20" si="15">ROUNDDOWN(
IF(BA14="-", BP14* 10^6/ AZ14 * 8,
     K14 * 10^6/ BA14 )
/
(Y14 * IF(AY14="-", 1,IF(RIGHT(C14, 10)="LB-MF_auto", 1, AY14))
+ IF(C14="2exp LB-MF_manual", Y15, 0)
+ IF(C14="3exp LB-MF_manual", Y15 + Y16, 0)),2)</f>
        <v>36.270000000000003</v>
      </c>
      <c r="W14" s="79" t="s">
        <v>101</v>
      </c>
      <c r="X14" s="79" t="s">
        <v>126</v>
      </c>
      <c r="Y14" s="80">
        <v>3136</v>
      </c>
      <c r="Z14" s="54">
        <v>2</v>
      </c>
      <c r="AA14" s="54">
        <v>3072</v>
      </c>
      <c r="AB14" s="54"/>
      <c r="AC14" s="54" t="s">
        <v>9</v>
      </c>
      <c r="AD14" s="54"/>
      <c r="AE14" s="54"/>
      <c r="AF14" s="54"/>
      <c r="AG14" s="54"/>
      <c r="AH14" s="54"/>
      <c r="AI14" s="54"/>
      <c r="AJ14" s="54">
        <v>768</v>
      </c>
      <c r="AK14" s="54" t="s">
        <v>9</v>
      </c>
      <c r="AL14" s="54" t="s">
        <v>9</v>
      </c>
      <c r="AM14" s="54" t="s">
        <v>9</v>
      </c>
      <c r="AN14" s="81">
        <f t="shared" ref="AN14:AN20" si="16">(BK14 - ((CG14 - CF14 + 1) / BH14 / BF14 + Z14 + AW14)) * IF(AY14="-", 1, IF(RIGHT(C14,10)="LB-MF_auto", 1, AY14))
- IF(AND(RIGHT(C14, 3)="DOL", AY14=2), SUM(AB14:AI15),
 IF(AND(RIGHT(C14,3)="DOL", AY14=3), SUM(AB14:AI16), SUM(AB14:AI14)))</f>
        <v>669</v>
      </c>
      <c r="AO14" s="82">
        <f t="shared" ref="AO14:AO20" si="17">ROUNDDOWN(
IF(BA14="-",AZ14 / 8 * (1 / BP14 / 1000) * AN14,
BA14 * (1 / K14 / 1000) * AN14),
2)</f>
        <v>5.88</v>
      </c>
      <c r="AP14" s="44">
        <v>4096</v>
      </c>
      <c r="AQ14" s="44">
        <v>4096</v>
      </c>
      <c r="AR14" s="44" t="s">
        <v>9</v>
      </c>
      <c r="AS14" s="44" t="s">
        <v>9</v>
      </c>
      <c r="AT14" s="44" t="s">
        <v>9</v>
      </c>
      <c r="AU14" s="81">
        <f t="shared" si="5"/>
        <v>6837</v>
      </c>
      <c r="AV14" s="83">
        <f t="shared" si="6"/>
        <v>4.9800000000000004</v>
      </c>
      <c r="AW14" s="80">
        <v>48</v>
      </c>
      <c r="AX14" s="44">
        <v>3791</v>
      </c>
      <c r="AY14" s="44" t="s">
        <v>9</v>
      </c>
      <c r="AZ14" s="44">
        <v>11904</v>
      </c>
      <c r="BA14" s="44">
        <v>211</v>
      </c>
      <c r="BB14" s="80"/>
      <c r="BC14" s="83">
        <f t="shared" si="7"/>
        <v>8.7899999999999991</v>
      </c>
      <c r="BD14" s="80"/>
      <c r="BE14" s="44">
        <v>1</v>
      </c>
      <c r="BF14" s="44">
        <v>1</v>
      </c>
      <c r="BG14" s="44">
        <v>2</v>
      </c>
      <c r="BH14" s="44">
        <v>2</v>
      </c>
      <c r="BI14" s="84">
        <v>1</v>
      </c>
      <c r="BJ14" s="84">
        <v>1</v>
      </c>
      <c r="BK14" s="85">
        <v>3791</v>
      </c>
      <c r="BL14" s="76">
        <v>1</v>
      </c>
      <c r="BM14" s="77">
        <f t="shared" si="8"/>
        <v>2400</v>
      </c>
      <c r="BN14" s="76">
        <v>2</v>
      </c>
      <c r="BO14" s="76">
        <v>6</v>
      </c>
      <c r="BP14" s="77">
        <f t="shared" si="9"/>
        <v>170</v>
      </c>
      <c r="BQ14" s="76">
        <v>2</v>
      </c>
      <c r="BR14" s="86">
        <f t="shared" si="10"/>
        <v>1020</v>
      </c>
      <c r="BS14" s="76">
        <v>6</v>
      </c>
      <c r="BT14" s="86">
        <f t="shared" si="11"/>
        <v>28.333333333333332</v>
      </c>
      <c r="BU14" s="87">
        <v>2</v>
      </c>
      <c r="BV14" s="86">
        <f t="shared" si="12"/>
        <v>85</v>
      </c>
      <c r="BW14" s="87">
        <v>14</v>
      </c>
      <c r="BX14" s="86">
        <f t="shared" si="13"/>
        <v>171.42857142857142</v>
      </c>
      <c r="BY14" s="87"/>
      <c r="BZ14" s="86"/>
      <c r="CA14" s="85">
        <v>1</v>
      </c>
      <c r="CB14" s="44" t="s">
        <v>1227</v>
      </c>
      <c r="CC14" s="19"/>
      <c r="CD14" s="88">
        <v>0</v>
      </c>
      <c r="CE14" s="88">
        <v>8191</v>
      </c>
      <c r="CF14" s="88">
        <v>0</v>
      </c>
      <c r="CG14" s="88">
        <v>6143</v>
      </c>
      <c r="CH14" s="19"/>
      <c r="CI14" s="76">
        <v>4096</v>
      </c>
      <c r="CJ14" s="44">
        <v>3072</v>
      </c>
      <c r="CK14" s="19"/>
      <c r="CL14" s="44" t="s">
        <v>9</v>
      </c>
      <c r="CM14" s="19"/>
      <c r="CN14" s="44" t="s">
        <v>9</v>
      </c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45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</row>
    <row r="15" spans="1:122" s="14" customFormat="1" x14ac:dyDescent="0.15">
      <c r="A15" s="68"/>
      <c r="B15" s="73">
        <v>5</v>
      </c>
      <c r="C15" s="74" t="s">
        <v>104</v>
      </c>
      <c r="D15" s="75" t="s">
        <v>1188</v>
      </c>
      <c r="E15" s="44" t="s">
        <v>1226</v>
      </c>
      <c r="F15" s="44" t="s">
        <v>1226</v>
      </c>
      <c r="G15" s="44">
        <v>4096</v>
      </c>
      <c r="H15" s="44">
        <v>2304</v>
      </c>
      <c r="I15" s="44">
        <v>3</v>
      </c>
      <c r="J15" s="44" t="s">
        <v>61</v>
      </c>
      <c r="K15" s="76">
        <v>24</v>
      </c>
      <c r="L15" s="76">
        <v>3</v>
      </c>
      <c r="M15" s="76">
        <v>300</v>
      </c>
      <c r="N15" s="77">
        <f t="shared" si="0"/>
        <v>2400</v>
      </c>
      <c r="O15" s="76">
        <v>3</v>
      </c>
      <c r="P15" s="76">
        <v>255</v>
      </c>
      <c r="Q15" s="77">
        <f t="shared" si="1"/>
        <v>2040</v>
      </c>
      <c r="R15" s="78">
        <f t="shared" si="2"/>
        <v>1645.7142857142858</v>
      </c>
      <c r="S15" s="78">
        <f t="shared" si="3"/>
        <v>2400</v>
      </c>
      <c r="T15" s="78">
        <f t="shared" si="4"/>
        <v>1360</v>
      </c>
      <c r="U15" s="78">
        <f t="shared" si="14"/>
        <v>60.01</v>
      </c>
      <c r="V15" s="78">
        <f t="shared" si="15"/>
        <v>80.430000000000007</v>
      </c>
      <c r="W15" s="79" t="s">
        <v>101</v>
      </c>
      <c r="X15" s="79" t="s">
        <v>126</v>
      </c>
      <c r="Y15" s="80">
        <v>2368</v>
      </c>
      <c r="Z15" s="54">
        <v>2</v>
      </c>
      <c r="AA15" s="54">
        <v>2304</v>
      </c>
      <c r="AB15" s="54"/>
      <c r="AC15" s="54" t="s">
        <v>9</v>
      </c>
      <c r="AD15" s="54"/>
      <c r="AE15" s="54"/>
      <c r="AF15" s="54"/>
      <c r="AG15" s="54"/>
      <c r="AH15" s="54"/>
      <c r="AI15" s="54"/>
      <c r="AJ15" s="54" t="s">
        <v>9</v>
      </c>
      <c r="AK15" s="54">
        <v>576</v>
      </c>
      <c r="AL15" s="54" t="s">
        <v>9</v>
      </c>
      <c r="AM15" s="54" t="s">
        <v>9</v>
      </c>
      <c r="AN15" s="81">
        <f t="shared" si="16"/>
        <v>820</v>
      </c>
      <c r="AO15" s="82">
        <f t="shared" si="17"/>
        <v>4.3</v>
      </c>
      <c r="AP15" s="44">
        <v>4096</v>
      </c>
      <c r="AQ15" s="44" t="s">
        <v>9</v>
      </c>
      <c r="AR15" s="44">
        <v>508</v>
      </c>
      <c r="AS15" s="44" t="s">
        <v>9</v>
      </c>
      <c r="AT15" s="44" t="s">
        <v>9</v>
      </c>
      <c r="AU15" s="81">
        <f t="shared" si="5"/>
        <v>4444</v>
      </c>
      <c r="AV15" s="83">
        <f t="shared" si="6"/>
        <v>2.7</v>
      </c>
      <c r="AW15" s="80">
        <v>48</v>
      </c>
      <c r="AX15" s="44">
        <v>3174</v>
      </c>
      <c r="AY15" s="44" t="s">
        <v>9</v>
      </c>
      <c r="AZ15" s="44">
        <v>7136</v>
      </c>
      <c r="BA15" s="44">
        <v>126</v>
      </c>
      <c r="BB15" s="80"/>
      <c r="BC15" s="83">
        <f t="shared" si="7"/>
        <v>5.25</v>
      </c>
      <c r="BD15" s="80"/>
      <c r="BE15" s="44">
        <v>1</v>
      </c>
      <c r="BF15" s="44">
        <v>1</v>
      </c>
      <c r="BG15" s="44">
        <v>2</v>
      </c>
      <c r="BH15" s="44">
        <v>2</v>
      </c>
      <c r="BI15" s="84">
        <v>1</v>
      </c>
      <c r="BJ15" s="84">
        <v>1</v>
      </c>
      <c r="BK15" s="85">
        <v>3174</v>
      </c>
      <c r="BL15" s="76">
        <v>1</v>
      </c>
      <c r="BM15" s="77">
        <f t="shared" si="8"/>
        <v>2400</v>
      </c>
      <c r="BN15" s="76">
        <v>2</v>
      </c>
      <c r="BO15" s="76">
        <v>6</v>
      </c>
      <c r="BP15" s="77">
        <f t="shared" si="9"/>
        <v>170</v>
      </c>
      <c r="BQ15" s="76">
        <v>2</v>
      </c>
      <c r="BR15" s="86">
        <f t="shared" si="10"/>
        <v>1020</v>
      </c>
      <c r="BS15" s="76">
        <v>6</v>
      </c>
      <c r="BT15" s="86">
        <f t="shared" si="11"/>
        <v>28.333333333333332</v>
      </c>
      <c r="BU15" s="87">
        <v>2</v>
      </c>
      <c r="BV15" s="86">
        <f t="shared" si="12"/>
        <v>85</v>
      </c>
      <c r="BW15" s="87">
        <v>14</v>
      </c>
      <c r="BX15" s="86">
        <f t="shared" si="13"/>
        <v>171.42857142857142</v>
      </c>
      <c r="BY15" s="87"/>
      <c r="BZ15" s="86"/>
      <c r="CA15" s="85">
        <v>0</v>
      </c>
      <c r="CB15" s="44" t="s">
        <v>1227</v>
      </c>
      <c r="CC15" s="19"/>
      <c r="CD15" s="88">
        <v>0</v>
      </c>
      <c r="CE15" s="88">
        <v>8191</v>
      </c>
      <c r="CF15" s="88">
        <v>768</v>
      </c>
      <c r="CG15" s="88">
        <v>5375</v>
      </c>
      <c r="CH15" s="19"/>
      <c r="CI15" s="76">
        <v>4096</v>
      </c>
      <c r="CJ15" s="44">
        <v>2304</v>
      </c>
      <c r="CK15" s="19"/>
      <c r="CL15" s="44" t="s">
        <v>9</v>
      </c>
      <c r="CM15" s="19"/>
      <c r="CN15" s="44" t="s">
        <v>9</v>
      </c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45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</row>
    <row r="16" spans="1:122" s="14" customFormat="1" x14ac:dyDescent="0.15">
      <c r="A16" s="68"/>
      <c r="B16" s="73">
        <v>6</v>
      </c>
      <c r="C16" s="74" t="s">
        <v>104</v>
      </c>
      <c r="D16" s="75" t="s">
        <v>111</v>
      </c>
      <c r="E16" s="44" t="s">
        <v>1226</v>
      </c>
      <c r="F16" s="44" t="s">
        <v>1226</v>
      </c>
      <c r="G16" s="44">
        <v>2048</v>
      </c>
      <c r="H16" s="44">
        <v>1152</v>
      </c>
      <c r="I16" s="44">
        <v>3</v>
      </c>
      <c r="J16" s="44" t="s">
        <v>61</v>
      </c>
      <c r="K16" s="76">
        <v>24</v>
      </c>
      <c r="L16" s="76">
        <v>3</v>
      </c>
      <c r="M16" s="76">
        <v>300</v>
      </c>
      <c r="N16" s="77">
        <f t="shared" si="0"/>
        <v>2400</v>
      </c>
      <c r="O16" s="76">
        <v>3</v>
      </c>
      <c r="P16" s="76">
        <v>255</v>
      </c>
      <c r="Q16" s="77">
        <f t="shared" si="1"/>
        <v>2040</v>
      </c>
      <c r="R16" s="78">
        <f t="shared" si="2"/>
        <v>1645.7142857142858</v>
      </c>
      <c r="S16" s="78">
        <f t="shared" si="3"/>
        <v>2400</v>
      </c>
      <c r="T16" s="78">
        <f t="shared" si="4"/>
        <v>1360</v>
      </c>
      <c r="U16" s="78">
        <f t="shared" si="14"/>
        <v>120.07</v>
      </c>
      <c r="V16" s="78">
        <f t="shared" si="15"/>
        <v>262.27999999999997</v>
      </c>
      <c r="W16" s="79" t="s">
        <v>101</v>
      </c>
      <c r="X16" s="79" t="s">
        <v>126</v>
      </c>
      <c r="Y16" s="80">
        <v>1204</v>
      </c>
      <c r="Z16" s="54">
        <v>2</v>
      </c>
      <c r="AA16" s="54">
        <v>1152</v>
      </c>
      <c r="AB16" s="54"/>
      <c r="AC16" s="54" t="s">
        <v>9</v>
      </c>
      <c r="AD16" s="54"/>
      <c r="AE16" s="54"/>
      <c r="AF16" s="54"/>
      <c r="AG16" s="54"/>
      <c r="AH16" s="54"/>
      <c r="AI16" s="54"/>
      <c r="AJ16" s="54" t="s">
        <v>9</v>
      </c>
      <c r="AK16" s="54" t="s">
        <v>9</v>
      </c>
      <c r="AL16" s="54" t="s">
        <v>9</v>
      </c>
      <c r="AM16" s="54" t="s">
        <v>9</v>
      </c>
      <c r="AN16" s="81">
        <f t="shared" si="16"/>
        <v>1446</v>
      </c>
      <c r="AO16" s="82">
        <f t="shared" si="17"/>
        <v>4.57</v>
      </c>
      <c r="AP16" s="44">
        <v>2048</v>
      </c>
      <c r="AQ16" s="44" t="s">
        <v>9</v>
      </c>
      <c r="AR16" s="44" t="s">
        <v>9</v>
      </c>
      <c r="AS16" s="44" t="s">
        <v>9</v>
      </c>
      <c r="AT16" s="44" t="s">
        <v>9</v>
      </c>
      <c r="AU16" s="81">
        <f t="shared" si="5"/>
        <v>3063</v>
      </c>
      <c r="AV16" s="83">
        <f t="shared" si="6"/>
        <v>1.86</v>
      </c>
      <c r="AW16" s="80">
        <v>30</v>
      </c>
      <c r="AX16" s="44">
        <v>2630</v>
      </c>
      <c r="AY16" s="44" t="s">
        <v>9</v>
      </c>
      <c r="AZ16" s="44">
        <v>4264</v>
      </c>
      <c r="BA16" s="44">
        <v>76</v>
      </c>
      <c r="BB16" s="80"/>
      <c r="BC16" s="83">
        <f t="shared" si="7"/>
        <v>3.16</v>
      </c>
      <c r="BD16" s="80"/>
      <c r="BE16" s="44">
        <v>1</v>
      </c>
      <c r="BF16" s="44">
        <v>1</v>
      </c>
      <c r="BG16" s="44">
        <v>4</v>
      </c>
      <c r="BH16" s="44">
        <v>4</v>
      </c>
      <c r="BI16" s="84">
        <v>1</v>
      </c>
      <c r="BJ16" s="84">
        <v>1</v>
      </c>
      <c r="BK16" s="85">
        <v>2630</v>
      </c>
      <c r="BL16" s="76">
        <v>1</v>
      </c>
      <c r="BM16" s="77">
        <f t="shared" si="8"/>
        <v>2400</v>
      </c>
      <c r="BN16" s="76">
        <v>2</v>
      </c>
      <c r="BO16" s="76">
        <v>6</v>
      </c>
      <c r="BP16" s="77">
        <f t="shared" si="9"/>
        <v>170</v>
      </c>
      <c r="BQ16" s="76">
        <v>2</v>
      </c>
      <c r="BR16" s="86">
        <f t="shared" si="10"/>
        <v>1020</v>
      </c>
      <c r="BS16" s="76">
        <v>6</v>
      </c>
      <c r="BT16" s="86">
        <f t="shared" si="11"/>
        <v>28.333333333333332</v>
      </c>
      <c r="BU16" s="87">
        <v>2</v>
      </c>
      <c r="BV16" s="86">
        <f t="shared" si="12"/>
        <v>85</v>
      </c>
      <c r="BW16" s="87">
        <v>14</v>
      </c>
      <c r="BX16" s="86">
        <f t="shared" si="13"/>
        <v>171.42857142857142</v>
      </c>
      <c r="BY16" s="87"/>
      <c r="BZ16" s="86"/>
      <c r="CA16" s="85">
        <v>0</v>
      </c>
      <c r="CB16" s="44" t="s">
        <v>1227</v>
      </c>
      <c r="CC16" s="19"/>
      <c r="CD16" s="88">
        <v>0</v>
      </c>
      <c r="CE16" s="88">
        <v>8191</v>
      </c>
      <c r="CF16" s="88">
        <v>768</v>
      </c>
      <c r="CG16" s="88">
        <v>5375</v>
      </c>
      <c r="CH16" s="19"/>
      <c r="CI16" s="76">
        <v>2048</v>
      </c>
      <c r="CJ16" s="44">
        <v>1152</v>
      </c>
      <c r="CK16" s="19"/>
      <c r="CL16" s="44" t="s">
        <v>9</v>
      </c>
      <c r="CM16" s="19"/>
      <c r="CN16" s="44" t="s">
        <v>9</v>
      </c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45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</row>
    <row r="17" spans="1:122" s="14" customFormat="1" x14ac:dyDescent="0.15">
      <c r="A17" s="68"/>
      <c r="B17" s="73">
        <v>7</v>
      </c>
      <c r="C17" s="74" t="s">
        <v>104</v>
      </c>
      <c r="D17" s="75" t="s">
        <v>111</v>
      </c>
      <c r="E17" s="44" t="s">
        <v>1226</v>
      </c>
      <c r="F17" s="44" t="s">
        <v>1226</v>
      </c>
      <c r="G17" s="44">
        <v>2048</v>
      </c>
      <c r="H17" s="44">
        <v>1152</v>
      </c>
      <c r="I17" s="44">
        <v>3</v>
      </c>
      <c r="J17" s="44" t="s">
        <v>61</v>
      </c>
      <c r="K17" s="76">
        <v>24</v>
      </c>
      <c r="L17" s="76">
        <v>3</v>
      </c>
      <c r="M17" s="76">
        <v>300</v>
      </c>
      <c r="N17" s="77">
        <f t="shared" si="0"/>
        <v>2400</v>
      </c>
      <c r="O17" s="76">
        <v>3</v>
      </c>
      <c r="P17" s="76">
        <v>255</v>
      </c>
      <c r="Q17" s="77">
        <f t="shared" si="1"/>
        <v>2040</v>
      </c>
      <c r="R17" s="78">
        <f t="shared" si="2"/>
        <v>1645.7142857142858</v>
      </c>
      <c r="S17" s="78">
        <f t="shared" si="3"/>
        <v>2400</v>
      </c>
      <c r="T17" s="78">
        <f t="shared" si="4"/>
        <v>1360</v>
      </c>
      <c r="U17" s="78">
        <f t="shared" si="14"/>
        <v>240.32</v>
      </c>
      <c r="V17" s="78">
        <f t="shared" si="15"/>
        <v>262.27999999999997</v>
      </c>
      <c r="W17" s="79" t="s">
        <v>101</v>
      </c>
      <c r="X17" s="79" t="s">
        <v>126</v>
      </c>
      <c r="Y17" s="80">
        <v>1204</v>
      </c>
      <c r="Z17" s="54">
        <v>2</v>
      </c>
      <c r="AA17" s="54">
        <v>1152</v>
      </c>
      <c r="AB17" s="54"/>
      <c r="AC17" s="54" t="s">
        <v>9</v>
      </c>
      <c r="AD17" s="54"/>
      <c r="AE17" s="54"/>
      <c r="AF17" s="54"/>
      <c r="AG17" s="54"/>
      <c r="AH17" s="54"/>
      <c r="AI17" s="54"/>
      <c r="AJ17" s="54" t="s">
        <v>9</v>
      </c>
      <c r="AK17" s="54" t="s">
        <v>9</v>
      </c>
      <c r="AL17" s="54" t="s">
        <v>9</v>
      </c>
      <c r="AM17" s="54" t="s">
        <v>9</v>
      </c>
      <c r="AN17" s="81">
        <f t="shared" si="16"/>
        <v>130</v>
      </c>
      <c r="AO17" s="82">
        <f t="shared" si="17"/>
        <v>0.41</v>
      </c>
      <c r="AP17" s="44">
        <v>2048</v>
      </c>
      <c r="AQ17" s="44" t="s">
        <v>9</v>
      </c>
      <c r="AR17" s="44" t="s">
        <v>9</v>
      </c>
      <c r="AS17" s="44" t="s">
        <v>9</v>
      </c>
      <c r="AT17" s="44" t="s">
        <v>9</v>
      </c>
      <c r="AU17" s="81">
        <f t="shared" si="5"/>
        <v>3063</v>
      </c>
      <c r="AV17" s="83">
        <f t="shared" si="6"/>
        <v>1.86</v>
      </c>
      <c r="AW17" s="80">
        <v>30</v>
      </c>
      <c r="AX17" s="44">
        <v>1314</v>
      </c>
      <c r="AY17" s="44" t="s">
        <v>9</v>
      </c>
      <c r="AZ17" s="44">
        <v>4264</v>
      </c>
      <c r="BA17" s="44">
        <v>76</v>
      </c>
      <c r="BB17" s="80"/>
      <c r="BC17" s="83">
        <f t="shared" si="7"/>
        <v>3.16</v>
      </c>
      <c r="BD17" s="80"/>
      <c r="BE17" s="44">
        <v>1</v>
      </c>
      <c r="BF17" s="44">
        <v>1</v>
      </c>
      <c r="BG17" s="44">
        <v>4</v>
      </c>
      <c r="BH17" s="44">
        <v>4</v>
      </c>
      <c r="BI17" s="84">
        <v>1</v>
      </c>
      <c r="BJ17" s="84">
        <v>1</v>
      </c>
      <c r="BK17" s="85">
        <v>1314</v>
      </c>
      <c r="BL17" s="76">
        <v>1</v>
      </c>
      <c r="BM17" s="77">
        <f t="shared" si="8"/>
        <v>2400</v>
      </c>
      <c r="BN17" s="76">
        <v>2</v>
      </c>
      <c r="BO17" s="76">
        <v>6</v>
      </c>
      <c r="BP17" s="77">
        <f t="shared" si="9"/>
        <v>170</v>
      </c>
      <c r="BQ17" s="76">
        <v>2</v>
      </c>
      <c r="BR17" s="86">
        <f t="shared" si="10"/>
        <v>1020</v>
      </c>
      <c r="BS17" s="76">
        <v>6</v>
      </c>
      <c r="BT17" s="86">
        <f t="shared" si="11"/>
        <v>28.333333333333332</v>
      </c>
      <c r="BU17" s="87">
        <v>2</v>
      </c>
      <c r="BV17" s="86">
        <f t="shared" si="12"/>
        <v>85</v>
      </c>
      <c r="BW17" s="87">
        <v>14</v>
      </c>
      <c r="BX17" s="86">
        <f t="shared" si="13"/>
        <v>171.42857142857142</v>
      </c>
      <c r="BY17" s="87"/>
      <c r="BZ17" s="86"/>
      <c r="CA17" s="85">
        <v>0</v>
      </c>
      <c r="CB17" s="44" t="s">
        <v>1227</v>
      </c>
      <c r="CC17" s="19"/>
      <c r="CD17" s="88">
        <v>0</v>
      </c>
      <c r="CE17" s="88">
        <v>8191</v>
      </c>
      <c r="CF17" s="88">
        <v>768</v>
      </c>
      <c r="CG17" s="88">
        <v>5375</v>
      </c>
      <c r="CH17" s="19"/>
      <c r="CI17" s="76">
        <v>2048</v>
      </c>
      <c r="CJ17" s="44">
        <v>1152</v>
      </c>
      <c r="CK17" s="19"/>
      <c r="CL17" s="44" t="s">
        <v>9</v>
      </c>
      <c r="CM17" s="19"/>
      <c r="CN17" s="44" t="s">
        <v>9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45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</row>
    <row r="18" spans="1:122" s="14" customFormat="1" x14ac:dyDescent="0.15">
      <c r="A18" s="68"/>
      <c r="B18" s="73">
        <v>8</v>
      </c>
      <c r="C18" s="74" t="s">
        <v>104</v>
      </c>
      <c r="D18" s="75" t="s">
        <v>110</v>
      </c>
      <c r="E18" s="44" t="s">
        <v>1226</v>
      </c>
      <c r="F18" s="44" t="s">
        <v>1226</v>
      </c>
      <c r="G18" s="44">
        <v>2048</v>
      </c>
      <c r="H18" s="44">
        <v>1536</v>
      </c>
      <c r="I18" s="44">
        <v>3</v>
      </c>
      <c r="J18" s="44" t="s">
        <v>61</v>
      </c>
      <c r="K18" s="76">
        <v>24</v>
      </c>
      <c r="L18" s="76">
        <v>3</v>
      </c>
      <c r="M18" s="76">
        <v>300</v>
      </c>
      <c r="N18" s="77">
        <f t="shared" si="0"/>
        <v>2400</v>
      </c>
      <c r="O18" s="76">
        <v>3</v>
      </c>
      <c r="P18" s="76">
        <v>255</v>
      </c>
      <c r="Q18" s="77">
        <f t="shared" si="1"/>
        <v>2040</v>
      </c>
      <c r="R18" s="78">
        <f t="shared" si="2"/>
        <v>1645.7142857142858</v>
      </c>
      <c r="S18" s="78">
        <f t="shared" si="3"/>
        <v>2400</v>
      </c>
      <c r="T18" s="78">
        <f t="shared" si="4"/>
        <v>1360</v>
      </c>
      <c r="U18" s="78">
        <f t="shared" si="14"/>
        <v>30</v>
      </c>
      <c r="V18" s="78">
        <f t="shared" si="15"/>
        <v>127</v>
      </c>
      <c r="W18" s="79" t="s">
        <v>101</v>
      </c>
      <c r="X18" s="79" t="s">
        <v>126</v>
      </c>
      <c r="Y18" s="80">
        <v>1588</v>
      </c>
      <c r="Z18" s="54">
        <v>2</v>
      </c>
      <c r="AA18" s="54">
        <v>1536</v>
      </c>
      <c r="AB18" s="54"/>
      <c r="AC18" s="54" t="s">
        <v>9</v>
      </c>
      <c r="AD18" s="54"/>
      <c r="AE18" s="54"/>
      <c r="AF18" s="54"/>
      <c r="AG18" s="54"/>
      <c r="AH18" s="54"/>
      <c r="AI18" s="54"/>
      <c r="AJ18" s="54">
        <v>384</v>
      </c>
      <c r="AK18" s="54" t="s">
        <v>9</v>
      </c>
      <c r="AL18" s="54" t="s">
        <v>9</v>
      </c>
      <c r="AM18" s="54" t="s">
        <v>9</v>
      </c>
      <c r="AN18" s="81">
        <f t="shared" si="16"/>
        <v>5154</v>
      </c>
      <c r="AO18" s="82">
        <f t="shared" si="17"/>
        <v>25.55</v>
      </c>
      <c r="AP18" s="44">
        <v>2048</v>
      </c>
      <c r="AQ18" s="44">
        <v>2048</v>
      </c>
      <c r="AR18" s="44" t="s">
        <v>9</v>
      </c>
      <c r="AS18" s="44" t="s">
        <v>9</v>
      </c>
      <c r="AT18" s="44" t="s">
        <v>9</v>
      </c>
      <c r="AU18" s="81">
        <f t="shared" si="5"/>
        <v>5500</v>
      </c>
      <c r="AV18" s="83">
        <f t="shared" si="6"/>
        <v>3.34</v>
      </c>
      <c r="AW18" s="80">
        <v>30</v>
      </c>
      <c r="AX18" s="44">
        <v>6722</v>
      </c>
      <c r="AY18" s="44" t="s">
        <v>9</v>
      </c>
      <c r="AZ18" s="44">
        <v>6728</v>
      </c>
      <c r="BA18" s="44">
        <v>119</v>
      </c>
      <c r="BB18" s="80"/>
      <c r="BC18" s="83">
        <f t="shared" si="7"/>
        <v>4.95</v>
      </c>
      <c r="BD18" s="80"/>
      <c r="BE18" s="44">
        <v>1</v>
      </c>
      <c r="BF18" s="44">
        <v>1</v>
      </c>
      <c r="BG18" s="44">
        <v>4</v>
      </c>
      <c r="BH18" s="44">
        <v>4</v>
      </c>
      <c r="BI18" s="84">
        <v>1</v>
      </c>
      <c r="BJ18" s="84">
        <v>1</v>
      </c>
      <c r="BK18" s="85">
        <v>6722</v>
      </c>
      <c r="BL18" s="76">
        <v>1</v>
      </c>
      <c r="BM18" s="77">
        <f t="shared" si="8"/>
        <v>2400</v>
      </c>
      <c r="BN18" s="76">
        <v>2</v>
      </c>
      <c r="BO18" s="76">
        <v>6</v>
      </c>
      <c r="BP18" s="77">
        <f t="shared" si="9"/>
        <v>170</v>
      </c>
      <c r="BQ18" s="76">
        <v>2</v>
      </c>
      <c r="BR18" s="86">
        <f t="shared" si="10"/>
        <v>1020</v>
      </c>
      <c r="BS18" s="76">
        <v>6</v>
      </c>
      <c r="BT18" s="86">
        <f t="shared" si="11"/>
        <v>28.333333333333332</v>
      </c>
      <c r="BU18" s="87">
        <v>2</v>
      </c>
      <c r="BV18" s="86">
        <f t="shared" si="12"/>
        <v>85</v>
      </c>
      <c r="BW18" s="87">
        <v>14</v>
      </c>
      <c r="BX18" s="86">
        <f t="shared" si="13"/>
        <v>171.42857142857142</v>
      </c>
      <c r="BY18" s="87"/>
      <c r="BZ18" s="86"/>
      <c r="CA18" s="85">
        <v>1</v>
      </c>
      <c r="CB18" s="44" t="s">
        <v>1227</v>
      </c>
      <c r="CC18" s="19"/>
      <c r="CD18" s="88">
        <v>0</v>
      </c>
      <c r="CE18" s="88">
        <v>8191</v>
      </c>
      <c r="CF18" s="88">
        <v>0</v>
      </c>
      <c r="CG18" s="88">
        <v>6143</v>
      </c>
      <c r="CH18" s="19"/>
      <c r="CI18" s="76">
        <v>2048</v>
      </c>
      <c r="CJ18" s="44">
        <v>1536</v>
      </c>
      <c r="CK18" s="19"/>
      <c r="CL18" s="44" t="s">
        <v>9</v>
      </c>
      <c r="CM18" s="19"/>
      <c r="CN18" s="44" t="s">
        <v>9</v>
      </c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45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</row>
    <row r="19" spans="1:122" s="14" customFormat="1" x14ac:dyDescent="0.15">
      <c r="A19" s="68"/>
      <c r="B19" s="73">
        <v>9</v>
      </c>
      <c r="C19" s="74" t="s">
        <v>104</v>
      </c>
      <c r="D19" s="75" t="s">
        <v>112</v>
      </c>
      <c r="E19" s="44" t="s">
        <v>9</v>
      </c>
      <c r="F19" s="44" t="s">
        <v>9</v>
      </c>
      <c r="G19" s="44">
        <v>4096</v>
      </c>
      <c r="H19" s="44">
        <v>3072</v>
      </c>
      <c r="I19" s="44">
        <v>3</v>
      </c>
      <c r="J19" s="44" t="s">
        <v>61</v>
      </c>
      <c r="K19" s="76">
        <v>24</v>
      </c>
      <c r="L19" s="76">
        <v>3</v>
      </c>
      <c r="M19" s="76">
        <v>300</v>
      </c>
      <c r="N19" s="77">
        <f t="shared" si="0"/>
        <v>2400</v>
      </c>
      <c r="O19" s="76">
        <v>3</v>
      </c>
      <c r="P19" s="76">
        <v>255</v>
      </c>
      <c r="Q19" s="77">
        <f t="shared" si="1"/>
        <v>2040</v>
      </c>
      <c r="R19" s="78">
        <f t="shared" si="2"/>
        <v>1645.7142857142858</v>
      </c>
      <c r="S19" s="78">
        <f t="shared" si="3"/>
        <v>2400</v>
      </c>
      <c r="T19" s="78">
        <f t="shared" si="4"/>
        <v>1360</v>
      </c>
      <c r="U19" s="78">
        <f t="shared" si="14"/>
        <v>30</v>
      </c>
      <c r="V19" s="78">
        <f t="shared" si="15"/>
        <v>30.34</v>
      </c>
      <c r="W19" s="79" t="s">
        <v>101</v>
      </c>
      <c r="X19" s="79" t="s">
        <v>129</v>
      </c>
      <c r="Y19" s="80">
        <v>3189</v>
      </c>
      <c r="Z19" s="54">
        <v>2</v>
      </c>
      <c r="AA19" s="54">
        <v>3072</v>
      </c>
      <c r="AB19" s="54"/>
      <c r="AC19" s="54" t="s">
        <v>9</v>
      </c>
      <c r="AD19" s="54"/>
      <c r="AE19" s="54"/>
      <c r="AF19" s="54"/>
      <c r="AG19" s="54"/>
      <c r="AH19" s="54"/>
      <c r="AI19" s="54"/>
      <c r="AJ19" s="54">
        <v>1536</v>
      </c>
      <c r="AK19" s="54" t="s">
        <v>9</v>
      </c>
      <c r="AL19" s="54" t="s">
        <v>9</v>
      </c>
      <c r="AM19" s="54" t="s">
        <v>9</v>
      </c>
      <c r="AN19" s="81">
        <f t="shared" si="16"/>
        <v>61</v>
      </c>
      <c r="AO19" s="82">
        <f t="shared" si="17"/>
        <v>0.63</v>
      </c>
      <c r="AP19" s="44">
        <v>4096</v>
      </c>
      <c r="AQ19" s="44">
        <v>2048</v>
      </c>
      <c r="AR19" s="44" t="s">
        <v>9</v>
      </c>
      <c r="AS19" s="44" t="s">
        <v>9</v>
      </c>
      <c r="AT19" s="44" t="s">
        <v>9</v>
      </c>
      <c r="AU19" s="81">
        <f t="shared" si="5"/>
        <v>11785</v>
      </c>
      <c r="AV19" s="83">
        <f t="shared" si="6"/>
        <v>7.16</v>
      </c>
      <c r="AW19" s="80">
        <v>90</v>
      </c>
      <c r="AX19" s="44">
        <v>3225</v>
      </c>
      <c r="AY19" s="44" t="s">
        <v>9</v>
      </c>
      <c r="AZ19" s="44">
        <v>14032</v>
      </c>
      <c r="BA19" s="44">
        <v>248</v>
      </c>
      <c r="BB19" s="80"/>
      <c r="BC19" s="83">
        <f t="shared" si="7"/>
        <v>10.33</v>
      </c>
      <c r="BD19" s="80"/>
      <c r="BE19" s="44">
        <v>1</v>
      </c>
      <c r="BF19" s="44">
        <v>1</v>
      </c>
      <c r="BG19" s="44">
        <v>1</v>
      </c>
      <c r="BH19" s="44">
        <v>1</v>
      </c>
      <c r="BI19" s="84">
        <v>1</v>
      </c>
      <c r="BJ19" s="84">
        <v>1</v>
      </c>
      <c r="BK19" s="85">
        <v>3225</v>
      </c>
      <c r="BL19" s="76">
        <v>1</v>
      </c>
      <c r="BM19" s="77">
        <f t="shared" si="8"/>
        <v>2400</v>
      </c>
      <c r="BN19" s="76">
        <v>2</v>
      </c>
      <c r="BO19" s="76">
        <v>6</v>
      </c>
      <c r="BP19" s="77">
        <f t="shared" si="9"/>
        <v>170</v>
      </c>
      <c r="BQ19" s="76">
        <v>2</v>
      </c>
      <c r="BR19" s="86">
        <f t="shared" si="10"/>
        <v>1020</v>
      </c>
      <c r="BS19" s="76">
        <v>6</v>
      </c>
      <c r="BT19" s="86">
        <f t="shared" si="11"/>
        <v>28.333333333333332</v>
      </c>
      <c r="BU19" s="87">
        <v>2</v>
      </c>
      <c r="BV19" s="86">
        <f t="shared" si="12"/>
        <v>85</v>
      </c>
      <c r="BW19" s="87">
        <v>14</v>
      </c>
      <c r="BX19" s="86">
        <f t="shared" si="13"/>
        <v>171.42857142857142</v>
      </c>
      <c r="BY19" s="87"/>
      <c r="BZ19" s="86"/>
      <c r="CA19" s="85">
        <v>2</v>
      </c>
      <c r="CB19" s="44" t="s">
        <v>1227</v>
      </c>
      <c r="CC19" s="19"/>
      <c r="CD19" s="88">
        <v>2048</v>
      </c>
      <c r="CE19" s="88">
        <v>6143</v>
      </c>
      <c r="CF19" s="88">
        <v>1536</v>
      </c>
      <c r="CG19" s="88">
        <v>4607</v>
      </c>
      <c r="CH19" s="19"/>
      <c r="CI19" s="76">
        <v>4096</v>
      </c>
      <c r="CJ19" s="44">
        <v>3072</v>
      </c>
      <c r="CK19" s="19"/>
      <c r="CL19" s="44" t="s">
        <v>9</v>
      </c>
      <c r="CM19" s="19"/>
      <c r="CN19" s="44" t="s">
        <v>9</v>
      </c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45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</row>
    <row r="20" spans="1:122" s="14" customFormat="1" x14ac:dyDescent="0.15">
      <c r="A20" s="68"/>
      <c r="B20" s="283">
        <v>10</v>
      </c>
      <c r="C20" s="281" t="s">
        <v>114</v>
      </c>
      <c r="D20" s="75" t="s">
        <v>1212</v>
      </c>
      <c r="E20" s="44" t="s">
        <v>1226</v>
      </c>
      <c r="F20" s="44" t="s">
        <v>1226</v>
      </c>
      <c r="G20" s="44">
        <v>4096</v>
      </c>
      <c r="H20" s="44">
        <v>2304</v>
      </c>
      <c r="I20" s="44">
        <v>3</v>
      </c>
      <c r="J20" s="44" t="s">
        <v>113</v>
      </c>
      <c r="K20" s="76">
        <v>24</v>
      </c>
      <c r="L20" s="76">
        <v>3</v>
      </c>
      <c r="M20" s="76">
        <v>300</v>
      </c>
      <c r="N20" s="77">
        <f t="shared" si="0"/>
        <v>2400</v>
      </c>
      <c r="O20" s="76">
        <v>3</v>
      </c>
      <c r="P20" s="76">
        <v>255</v>
      </c>
      <c r="Q20" s="77">
        <f t="shared" si="1"/>
        <v>2040</v>
      </c>
      <c r="R20" s="78">
        <f t="shared" si="2"/>
        <v>1371.4285714285713</v>
      </c>
      <c r="S20" s="78">
        <f t="shared" si="3"/>
        <v>2400</v>
      </c>
      <c r="T20" s="78">
        <f t="shared" si="4"/>
        <v>1360</v>
      </c>
      <c r="U20" s="287">
        <f t="shared" si="14"/>
        <v>30</v>
      </c>
      <c r="V20" s="287">
        <f t="shared" si="15"/>
        <v>40.11</v>
      </c>
      <c r="W20" s="79" t="s">
        <v>127</v>
      </c>
      <c r="X20" s="79" t="s">
        <v>128</v>
      </c>
      <c r="Y20" s="80">
        <v>2374</v>
      </c>
      <c r="Z20" s="54">
        <v>2</v>
      </c>
      <c r="AA20" s="54">
        <v>2304</v>
      </c>
      <c r="AB20" s="54"/>
      <c r="AC20" s="54">
        <v>0</v>
      </c>
      <c r="AD20" s="54"/>
      <c r="AE20" s="54"/>
      <c r="AF20" s="54"/>
      <c r="AG20" s="54"/>
      <c r="AH20" s="54"/>
      <c r="AI20" s="54"/>
      <c r="AJ20" s="54" t="s">
        <v>9</v>
      </c>
      <c r="AK20" s="54" t="s">
        <v>9</v>
      </c>
      <c r="AL20" s="54">
        <v>0</v>
      </c>
      <c r="AM20" s="54">
        <v>576</v>
      </c>
      <c r="AN20" s="285">
        <f t="shared" si="16"/>
        <v>820</v>
      </c>
      <c r="AO20" s="291">
        <f t="shared" si="17"/>
        <v>8.61</v>
      </c>
      <c r="AP20" s="44">
        <v>4096</v>
      </c>
      <c r="AQ20" s="44" t="s">
        <v>9</v>
      </c>
      <c r="AR20" s="44" t="s">
        <v>9</v>
      </c>
      <c r="AS20" s="44">
        <v>0</v>
      </c>
      <c r="AT20" s="44">
        <v>508</v>
      </c>
      <c r="AU20" s="81">
        <f t="shared" si="5"/>
        <v>10204</v>
      </c>
      <c r="AV20" s="83">
        <f t="shared" si="6"/>
        <v>7.44</v>
      </c>
      <c r="AW20" s="80">
        <v>48</v>
      </c>
      <c r="AX20" s="289">
        <v>3174</v>
      </c>
      <c r="AY20" s="289">
        <v>1</v>
      </c>
      <c r="AZ20" s="44">
        <v>14256</v>
      </c>
      <c r="BA20" s="44">
        <v>252</v>
      </c>
      <c r="BB20" s="80"/>
      <c r="BC20" s="83">
        <f t="shared" si="7"/>
        <v>10.5</v>
      </c>
      <c r="BD20" s="80"/>
      <c r="BE20" s="44">
        <v>1</v>
      </c>
      <c r="BF20" s="44">
        <v>1</v>
      </c>
      <c r="BG20" s="44">
        <v>2</v>
      </c>
      <c r="BH20" s="44">
        <v>2</v>
      </c>
      <c r="BI20" s="84">
        <v>1</v>
      </c>
      <c r="BJ20" s="84">
        <v>1</v>
      </c>
      <c r="BK20" s="85">
        <v>3174</v>
      </c>
      <c r="BL20" s="76">
        <v>1</v>
      </c>
      <c r="BM20" s="77">
        <f t="shared" si="8"/>
        <v>2400</v>
      </c>
      <c r="BN20" s="76">
        <v>2</v>
      </c>
      <c r="BO20" s="76">
        <v>6</v>
      </c>
      <c r="BP20" s="77">
        <f t="shared" si="9"/>
        <v>170</v>
      </c>
      <c r="BQ20" s="76">
        <v>2</v>
      </c>
      <c r="BR20" s="86">
        <f t="shared" si="10"/>
        <v>1020</v>
      </c>
      <c r="BS20" s="76">
        <v>6</v>
      </c>
      <c r="BT20" s="86">
        <f t="shared" si="11"/>
        <v>28.333333333333332</v>
      </c>
      <c r="BU20" s="87">
        <v>2</v>
      </c>
      <c r="BV20" s="86">
        <f t="shared" si="12"/>
        <v>85</v>
      </c>
      <c r="BW20" s="87">
        <v>14</v>
      </c>
      <c r="BX20" s="86">
        <f t="shared" si="13"/>
        <v>171.42857142857142</v>
      </c>
      <c r="BY20" s="87"/>
      <c r="BZ20" s="86"/>
      <c r="CA20" s="85">
        <v>0</v>
      </c>
      <c r="CB20" s="44" t="s">
        <v>1227</v>
      </c>
      <c r="CC20" s="19"/>
      <c r="CD20" s="88">
        <v>0</v>
      </c>
      <c r="CE20" s="88">
        <v>8191</v>
      </c>
      <c r="CF20" s="88">
        <v>768</v>
      </c>
      <c r="CG20" s="88">
        <v>5375</v>
      </c>
      <c r="CH20" s="19"/>
      <c r="CI20" s="76">
        <v>4096</v>
      </c>
      <c r="CJ20" s="44">
        <v>2304</v>
      </c>
      <c r="CK20" s="19"/>
      <c r="CL20" s="44" t="s">
        <v>9</v>
      </c>
      <c r="CM20" s="19"/>
      <c r="CN20" s="44">
        <v>4</v>
      </c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45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</row>
    <row r="21" spans="1:122" s="14" customFormat="1" x14ac:dyDescent="0.15">
      <c r="A21" s="68"/>
      <c r="B21" s="284"/>
      <c r="C21" s="282"/>
      <c r="D21" s="75" t="s">
        <v>1225</v>
      </c>
      <c r="E21" s="44" t="s">
        <v>9</v>
      </c>
      <c r="F21" s="44" t="s">
        <v>9</v>
      </c>
      <c r="G21" s="44" t="s">
        <v>9</v>
      </c>
      <c r="H21" s="44" t="s">
        <v>9</v>
      </c>
      <c r="I21" s="44">
        <v>3</v>
      </c>
      <c r="J21" s="44" t="s">
        <v>113</v>
      </c>
      <c r="K21" s="76">
        <v>24</v>
      </c>
      <c r="L21" s="76">
        <v>3</v>
      </c>
      <c r="M21" s="76">
        <v>300</v>
      </c>
      <c r="N21" s="77">
        <f t="shared" si="0"/>
        <v>2400</v>
      </c>
      <c r="O21" s="76">
        <v>3</v>
      </c>
      <c r="P21" s="76">
        <v>255</v>
      </c>
      <c r="Q21" s="77">
        <f t="shared" si="1"/>
        <v>2040</v>
      </c>
      <c r="R21" s="78">
        <f t="shared" si="2"/>
        <v>1371.4285714285713</v>
      </c>
      <c r="S21" s="78">
        <f t="shared" si="3"/>
        <v>2400</v>
      </c>
      <c r="T21" s="78">
        <f t="shared" si="4"/>
        <v>1360</v>
      </c>
      <c r="U21" s="288"/>
      <c r="V21" s="288"/>
      <c r="W21" s="79" t="s">
        <v>101</v>
      </c>
      <c r="X21" s="79" t="s">
        <v>129</v>
      </c>
      <c r="Y21" s="80">
        <v>2374</v>
      </c>
      <c r="Z21" s="54" t="s">
        <v>9</v>
      </c>
      <c r="AA21" s="54" t="s">
        <v>9</v>
      </c>
      <c r="AB21" s="54"/>
      <c r="AC21" s="54" t="s">
        <v>9</v>
      </c>
      <c r="AD21" s="54"/>
      <c r="AE21" s="54"/>
      <c r="AF21" s="54"/>
      <c r="AG21" s="54"/>
      <c r="AH21" s="54"/>
      <c r="AI21" s="54"/>
      <c r="AJ21" s="54" t="s">
        <v>9</v>
      </c>
      <c r="AK21" s="54" t="s">
        <v>9</v>
      </c>
      <c r="AL21" s="54" t="s">
        <v>9</v>
      </c>
      <c r="AM21" s="54" t="s">
        <v>9</v>
      </c>
      <c r="AN21" s="286"/>
      <c r="AO21" s="292"/>
      <c r="AP21" s="44" t="s">
        <v>9</v>
      </c>
      <c r="AQ21" s="44" t="s">
        <v>9</v>
      </c>
      <c r="AR21" s="44" t="s">
        <v>9</v>
      </c>
      <c r="AS21" s="44" t="s">
        <v>9</v>
      </c>
      <c r="AT21" s="44" t="s">
        <v>9</v>
      </c>
      <c r="AU21" s="81" t="str">
        <f t="shared" si="5"/>
        <v>-</v>
      </c>
      <c r="AV21" s="83" t="str">
        <f t="shared" si="6"/>
        <v>-</v>
      </c>
      <c r="AW21" s="80">
        <v>48</v>
      </c>
      <c r="AX21" s="290"/>
      <c r="AY21" s="290"/>
      <c r="AZ21" s="44">
        <v>14256</v>
      </c>
      <c r="BA21" s="44">
        <v>252</v>
      </c>
      <c r="BB21" s="80"/>
      <c r="BC21" s="83">
        <f t="shared" si="7"/>
        <v>10.5</v>
      </c>
      <c r="BD21" s="80"/>
      <c r="BE21" s="44" t="s">
        <v>9</v>
      </c>
      <c r="BF21" s="44" t="s">
        <v>9</v>
      </c>
      <c r="BG21" s="44" t="s">
        <v>9</v>
      </c>
      <c r="BH21" s="44" t="s">
        <v>9</v>
      </c>
      <c r="BI21" s="84" t="s">
        <v>9</v>
      </c>
      <c r="BJ21" s="84" t="s">
        <v>9</v>
      </c>
      <c r="BK21" s="85">
        <v>3174</v>
      </c>
      <c r="BL21" s="76">
        <v>1</v>
      </c>
      <c r="BM21" s="77">
        <f t="shared" si="8"/>
        <v>2400</v>
      </c>
      <c r="BN21" s="76">
        <v>2</v>
      </c>
      <c r="BO21" s="76">
        <v>6</v>
      </c>
      <c r="BP21" s="77">
        <f t="shared" si="9"/>
        <v>170</v>
      </c>
      <c r="BQ21" s="76">
        <v>2</v>
      </c>
      <c r="BR21" s="86">
        <f t="shared" si="10"/>
        <v>1020</v>
      </c>
      <c r="BS21" s="76">
        <v>6</v>
      </c>
      <c r="BT21" s="86">
        <f t="shared" si="11"/>
        <v>28.333333333333332</v>
      </c>
      <c r="BU21" s="87">
        <v>2</v>
      </c>
      <c r="BV21" s="86">
        <f t="shared" si="12"/>
        <v>85</v>
      </c>
      <c r="BW21" s="87">
        <v>14</v>
      </c>
      <c r="BX21" s="86">
        <f t="shared" si="13"/>
        <v>171.42857142857142</v>
      </c>
      <c r="BY21" s="87"/>
      <c r="BZ21" s="86"/>
      <c r="CA21" s="85">
        <v>0</v>
      </c>
      <c r="CB21" s="44" t="s">
        <v>1227</v>
      </c>
      <c r="CC21" s="19"/>
      <c r="CD21" s="88" t="s">
        <v>9</v>
      </c>
      <c r="CE21" s="88" t="s">
        <v>9</v>
      </c>
      <c r="CF21" s="88" t="s">
        <v>9</v>
      </c>
      <c r="CG21" s="88" t="s">
        <v>9</v>
      </c>
      <c r="CH21" s="19"/>
      <c r="CI21" s="76" t="s">
        <v>9</v>
      </c>
      <c r="CJ21" s="44" t="s">
        <v>9</v>
      </c>
      <c r="CK21" s="19"/>
      <c r="CL21" s="44" t="s">
        <v>9</v>
      </c>
      <c r="CM21" s="19"/>
      <c r="CN21" s="44">
        <v>1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45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</row>
    <row r="22" spans="1:122" s="14" customFormat="1" x14ac:dyDescent="0.15">
      <c r="A22" s="68"/>
      <c r="B22" s="73">
        <v>11</v>
      </c>
      <c r="C22" s="74" t="s">
        <v>104</v>
      </c>
      <c r="D22" s="75" t="s">
        <v>107</v>
      </c>
      <c r="E22" s="44" t="s">
        <v>1226</v>
      </c>
      <c r="F22" s="44" t="s">
        <v>1226</v>
      </c>
      <c r="G22" s="44">
        <v>4096</v>
      </c>
      <c r="H22" s="44">
        <v>2304</v>
      </c>
      <c r="I22" s="44">
        <v>3</v>
      </c>
      <c r="J22" s="44" t="s">
        <v>113</v>
      </c>
      <c r="K22" s="76">
        <v>24</v>
      </c>
      <c r="L22" s="76">
        <v>3</v>
      </c>
      <c r="M22" s="76">
        <v>300</v>
      </c>
      <c r="N22" s="77">
        <f t="shared" si="0"/>
        <v>2400</v>
      </c>
      <c r="O22" s="76">
        <v>3</v>
      </c>
      <c r="P22" s="76">
        <v>255</v>
      </c>
      <c r="Q22" s="77">
        <f t="shared" si="1"/>
        <v>2040</v>
      </c>
      <c r="R22" s="78">
        <f t="shared" si="2"/>
        <v>1371.4285714285713</v>
      </c>
      <c r="S22" s="78">
        <f t="shared" si="3"/>
        <v>2400</v>
      </c>
      <c r="T22" s="78">
        <f t="shared" si="4"/>
        <v>1360</v>
      </c>
      <c r="U22" s="78">
        <f>ROUNDDOWN(
IF(BA22="-", BP22* 10^6/ AZ22 * 8,
     K22 * 10^6/ BA22 )
/
(AX22 * IF(AY22="-", 1,IF(RIGHT(C22, 10)="LB-MF_auto", 1, AY22))
+ IF(C22="2exp LB-MF_manual",#REF!, 0)
+ IF(C22="3exp LB-MF_manual",#REF! + AX23, 0)),2)</f>
        <v>30</v>
      </c>
      <c r="V22" s="78">
        <f>ROUNDDOWN(
IF(BA22="-", BP22* 10^6/ AZ22 * 8,
     K22 * 10^6/ BA22 )
/
(Y22 * IF(AY22="-", 1,IF(RIGHT(C22, 10)="LB-MF_auto", 1, AY22))
+ IF(C22="2exp LB-MF_manual",#REF!, 0)
+ IF(C22="3exp LB-MF_manual",#REF! + Y23, 0)),2)</f>
        <v>48.03</v>
      </c>
      <c r="W22" s="79" t="s">
        <v>101</v>
      </c>
      <c r="X22" s="79" t="s">
        <v>126</v>
      </c>
      <c r="Y22" s="80">
        <v>2368</v>
      </c>
      <c r="Z22" s="54">
        <v>2</v>
      </c>
      <c r="AA22" s="54">
        <v>2304</v>
      </c>
      <c r="AB22" s="54"/>
      <c r="AC22" s="54" t="s">
        <v>9</v>
      </c>
      <c r="AD22" s="54"/>
      <c r="AE22" s="54"/>
      <c r="AF22" s="54"/>
      <c r="AG22" s="54"/>
      <c r="AH22" s="54"/>
      <c r="AI22" s="54"/>
      <c r="AJ22" s="54">
        <v>576</v>
      </c>
      <c r="AK22" s="54" t="s">
        <v>9</v>
      </c>
      <c r="AL22" s="54" t="s">
        <v>9</v>
      </c>
      <c r="AM22" s="54" t="s">
        <v>9</v>
      </c>
      <c r="AN22" s="81">
        <f>(BK22 - ((CG22 - CF22 + 1) / BH22 / BF22 + Z22 + AW22)) * IF(AY22="-", 1, IF(RIGHT(C22,10)="LB-MF_auto", 1, AY22))
- IF(AND(RIGHT(C22, 3)="DOL", AY22=2), SUM(AB22:AI22),
 IF(AND(RIGHT(C22,3)="DOL", AY22=3), SUM(AB22:AI23), SUM(AB22:AI22)))</f>
        <v>1437</v>
      </c>
      <c r="AO22" s="82">
        <f t="shared" ref="AO22:AO26" si="18">ROUNDDOWN(
IF(BA22="-",AZ22 / 8 * (1 / BP22 / 1000) * AN22,
BA22 * (1 / K22 / 1000) * AN22),
2)</f>
        <v>12.63</v>
      </c>
      <c r="AP22" s="44">
        <v>4096</v>
      </c>
      <c r="AQ22" s="44">
        <v>4096</v>
      </c>
      <c r="AR22" s="44" t="s">
        <v>9</v>
      </c>
      <c r="AS22" s="44" t="s">
        <v>9</v>
      </c>
      <c r="AT22" s="44" t="s">
        <v>9</v>
      </c>
      <c r="AU22" s="81">
        <f t="shared" si="5"/>
        <v>6837</v>
      </c>
      <c r="AV22" s="83">
        <f t="shared" si="6"/>
        <v>4.9800000000000004</v>
      </c>
      <c r="AW22" s="80">
        <v>48</v>
      </c>
      <c r="AX22" s="44">
        <v>3791</v>
      </c>
      <c r="AY22" s="44" t="s">
        <v>9</v>
      </c>
      <c r="AZ22" s="44">
        <v>11904</v>
      </c>
      <c r="BA22" s="44">
        <v>211</v>
      </c>
      <c r="BB22" s="80"/>
      <c r="BC22" s="83">
        <f t="shared" si="7"/>
        <v>8.7899999999999991</v>
      </c>
      <c r="BD22" s="80"/>
      <c r="BE22" s="44">
        <v>1</v>
      </c>
      <c r="BF22" s="44">
        <v>1</v>
      </c>
      <c r="BG22" s="44">
        <v>2</v>
      </c>
      <c r="BH22" s="44">
        <v>2</v>
      </c>
      <c r="BI22" s="84">
        <v>1</v>
      </c>
      <c r="BJ22" s="84">
        <v>1</v>
      </c>
      <c r="BK22" s="85">
        <v>3791</v>
      </c>
      <c r="BL22" s="76">
        <v>1</v>
      </c>
      <c r="BM22" s="77">
        <f t="shared" si="8"/>
        <v>2400</v>
      </c>
      <c r="BN22" s="76">
        <v>2</v>
      </c>
      <c r="BO22" s="76">
        <v>6</v>
      </c>
      <c r="BP22" s="77">
        <f t="shared" si="9"/>
        <v>170</v>
      </c>
      <c r="BQ22" s="76">
        <v>2</v>
      </c>
      <c r="BR22" s="86">
        <f t="shared" si="10"/>
        <v>1020</v>
      </c>
      <c r="BS22" s="76">
        <v>6</v>
      </c>
      <c r="BT22" s="86">
        <f t="shared" si="11"/>
        <v>28.333333333333332</v>
      </c>
      <c r="BU22" s="87">
        <v>2</v>
      </c>
      <c r="BV22" s="86">
        <f t="shared" si="12"/>
        <v>85</v>
      </c>
      <c r="BW22" s="87">
        <v>14</v>
      </c>
      <c r="BX22" s="86">
        <f t="shared" si="13"/>
        <v>171.42857142857142</v>
      </c>
      <c r="BY22" s="87"/>
      <c r="BZ22" s="86"/>
      <c r="CA22" s="85">
        <v>1</v>
      </c>
      <c r="CB22" s="44" t="s">
        <v>1227</v>
      </c>
      <c r="CC22" s="19"/>
      <c r="CD22" s="88">
        <v>0</v>
      </c>
      <c r="CE22" s="88">
        <v>8191</v>
      </c>
      <c r="CF22" s="88">
        <v>768</v>
      </c>
      <c r="CG22" s="88">
        <v>5375</v>
      </c>
      <c r="CH22" s="19"/>
      <c r="CI22" s="76">
        <v>4096</v>
      </c>
      <c r="CJ22" s="44">
        <v>2304</v>
      </c>
      <c r="CK22" s="19"/>
      <c r="CL22" s="44" t="s">
        <v>9</v>
      </c>
      <c r="CM22" s="19"/>
      <c r="CN22" s="44" t="s">
        <v>9</v>
      </c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45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</row>
    <row r="23" spans="1:122" s="14" customFormat="1" x14ac:dyDescent="0.15">
      <c r="A23" s="68"/>
      <c r="B23" s="73">
        <v>12</v>
      </c>
      <c r="C23" s="74" t="s">
        <v>104</v>
      </c>
      <c r="D23" s="75" t="s">
        <v>110</v>
      </c>
      <c r="E23" s="44" t="s">
        <v>1226</v>
      </c>
      <c r="F23" s="44" t="s">
        <v>1226</v>
      </c>
      <c r="G23" s="44">
        <v>2048</v>
      </c>
      <c r="H23" s="44">
        <v>1152</v>
      </c>
      <c r="I23" s="44">
        <v>3</v>
      </c>
      <c r="J23" s="44" t="s">
        <v>61</v>
      </c>
      <c r="K23" s="76">
        <v>24</v>
      </c>
      <c r="L23" s="76">
        <v>3</v>
      </c>
      <c r="M23" s="76">
        <v>300</v>
      </c>
      <c r="N23" s="77">
        <f t="shared" si="0"/>
        <v>2400</v>
      </c>
      <c r="O23" s="76">
        <v>3</v>
      </c>
      <c r="P23" s="76">
        <v>255</v>
      </c>
      <c r="Q23" s="77">
        <f t="shared" si="1"/>
        <v>2040</v>
      </c>
      <c r="R23" s="78">
        <f t="shared" si="2"/>
        <v>1645.7142857142858</v>
      </c>
      <c r="S23" s="78">
        <f t="shared" si="3"/>
        <v>2400</v>
      </c>
      <c r="T23" s="78">
        <f t="shared" si="4"/>
        <v>1360</v>
      </c>
      <c r="U23" s="78">
        <f>ROUNDDOWN(
IF(BA23="-", BP23* 10^6/ AZ23 * 8,
     K23 * 10^6/ BA23 )
/
(AX23 * IF(AY23="-", 1,IF(RIGHT(C23, 10)="LB-MF_auto", 1, AY23))
+ IF(C23="2exp LB-MF_manual", AX24, 0)
+ IF(C23="3exp LB-MF_manual", AX24 + AX25, 0)),2)</f>
        <v>120.04</v>
      </c>
      <c r="V23" s="78">
        <f>ROUNDDOWN(
IF(BA23="-", BP23* 10^6/ AZ23 * 8,
     K23 * 10^6/ BA23 )
/
(Y23 * IF(AY23="-", 1,IF(RIGHT(C23, 10)="LB-MF_auto", 1, AY23))
+ IF(C23="2exp LB-MF_manual", Y24, 0)
+ IF(C23="3exp LB-MF_manual", Y24 + Y25, 0)),2)</f>
        <v>167.5</v>
      </c>
      <c r="W23" s="79" t="s">
        <v>101</v>
      </c>
      <c r="X23" s="79" t="s">
        <v>126</v>
      </c>
      <c r="Y23" s="80">
        <v>1204</v>
      </c>
      <c r="Z23" s="54">
        <v>2</v>
      </c>
      <c r="AA23" s="54">
        <v>1152</v>
      </c>
      <c r="AB23" s="54"/>
      <c r="AC23" s="54" t="s">
        <v>9</v>
      </c>
      <c r="AD23" s="54"/>
      <c r="AE23" s="54"/>
      <c r="AF23" s="54"/>
      <c r="AG23" s="54"/>
      <c r="AH23" s="54"/>
      <c r="AI23" s="54"/>
      <c r="AJ23" s="54">
        <v>288</v>
      </c>
      <c r="AK23" s="54" t="s">
        <v>9</v>
      </c>
      <c r="AL23" s="54" t="s">
        <v>9</v>
      </c>
      <c r="AM23" s="54" t="s">
        <v>9</v>
      </c>
      <c r="AN23" s="81">
        <f>(BK23 - ((CG23 - CF23 + 1) / BH23 / BF23 + Z23 + AW23)) * IF(AY23="-", 1, IF(RIGHT(C23,10)="LB-MF_auto", 1, AY23))
- IF(AND(RIGHT(C23, 3)="DOL", AY23=2), SUM(AB23:AI24),
 IF(AND(RIGHT(C23,3)="DOL", AY23=3), SUM(AB23:AI25), SUM(AB23:AI23)))</f>
        <v>496</v>
      </c>
      <c r="AO23" s="82">
        <f t="shared" si="18"/>
        <v>2.4500000000000002</v>
      </c>
      <c r="AP23" s="44">
        <v>2048</v>
      </c>
      <c r="AQ23" s="44">
        <v>2048</v>
      </c>
      <c r="AR23" s="44" t="s">
        <v>9</v>
      </c>
      <c r="AS23" s="44" t="s">
        <v>9</v>
      </c>
      <c r="AT23" s="44" t="s">
        <v>9</v>
      </c>
      <c r="AU23" s="81">
        <f t="shared" si="5"/>
        <v>5500</v>
      </c>
      <c r="AV23" s="83">
        <f t="shared" si="6"/>
        <v>3.34</v>
      </c>
      <c r="AW23" s="80">
        <v>30</v>
      </c>
      <c r="AX23" s="44">
        <v>1680</v>
      </c>
      <c r="AY23" s="44" t="s">
        <v>9</v>
      </c>
      <c r="AZ23" s="44">
        <v>6728</v>
      </c>
      <c r="BA23" s="44">
        <v>119</v>
      </c>
      <c r="BB23" s="80"/>
      <c r="BC23" s="83">
        <f t="shared" si="7"/>
        <v>4.95</v>
      </c>
      <c r="BD23" s="80"/>
      <c r="BE23" s="44">
        <v>1</v>
      </c>
      <c r="BF23" s="44">
        <v>1</v>
      </c>
      <c r="BG23" s="44">
        <v>4</v>
      </c>
      <c r="BH23" s="44">
        <v>4</v>
      </c>
      <c r="BI23" s="84">
        <v>1</v>
      </c>
      <c r="BJ23" s="84">
        <v>1</v>
      </c>
      <c r="BK23" s="85">
        <v>1680</v>
      </c>
      <c r="BL23" s="76">
        <v>1</v>
      </c>
      <c r="BM23" s="77">
        <f t="shared" si="8"/>
        <v>2400</v>
      </c>
      <c r="BN23" s="76">
        <v>2</v>
      </c>
      <c r="BO23" s="76">
        <v>6</v>
      </c>
      <c r="BP23" s="77">
        <f t="shared" si="9"/>
        <v>170</v>
      </c>
      <c r="BQ23" s="76">
        <v>2</v>
      </c>
      <c r="BR23" s="86">
        <f t="shared" si="10"/>
        <v>1020</v>
      </c>
      <c r="BS23" s="76">
        <v>6</v>
      </c>
      <c r="BT23" s="86">
        <f t="shared" si="11"/>
        <v>28.333333333333332</v>
      </c>
      <c r="BU23" s="87">
        <v>2</v>
      </c>
      <c r="BV23" s="86">
        <f t="shared" si="12"/>
        <v>85</v>
      </c>
      <c r="BW23" s="87">
        <v>14</v>
      </c>
      <c r="BX23" s="86">
        <f t="shared" si="13"/>
        <v>171.42857142857142</v>
      </c>
      <c r="BY23" s="87"/>
      <c r="BZ23" s="86"/>
      <c r="CA23" s="85">
        <v>1</v>
      </c>
      <c r="CB23" s="44" t="s">
        <v>1227</v>
      </c>
      <c r="CC23" s="19"/>
      <c r="CD23" s="88">
        <v>0</v>
      </c>
      <c r="CE23" s="88">
        <v>8191</v>
      </c>
      <c r="CF23" s="88">
        <v>768</v>
      </c>
      <c r="CG23" s="88">
        <v>5375</v>
      </c>
      <c r="CH23" s="19"/>
      <c r="CI23" s="76">
        <v>2048</v>
      </c>
      <c r="CJ23" s="44">
        <v>1152</v>
      </c>
      <c r="CK23" s="19"/>
      <c r="CL23" s="44" t="s">
        <v>9</v>
      </c>
      <c r="CM23" s="19"/>
      <c r="CN23" s="44" t="s">
        <v>9</v>
      </c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45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</row>
    <row r="24" spans="1:122" s="14" customFormat="1" x14ac:dyDescent="0.15">
      <c r="A24" s="68"/>
      <c r="B24" s="73">
        <v>13</v>
      </c>
      <c r="C24" s="74" t="s">
        <v>104</v>
      </c>
      <c r="D24" s="75" t="s">
        <v>1188</v>
      </c>
      <c r="E24" s="44" t="s">
        <v>1226</v>
      </c>
      <c r="F24" s="44" t="s">
        <v>1226</v>
      </c>
      <c r="G24" s="44">
        <v>3840</v>
      </c>
      <c r="H24" s="44">
        <v>2160</v>
      </c>
      <c r="I24" s="44">
        <v>3</v>
      </c>
      <c r="J24" s="44" t="s">
        <v>61</v>
      </c>
      <c r="K24" s="76">
        <v>24</v>
      </c>
      <c r="L24" s="76">
        <v>3</v>
      </c>
      <c r="M24" s="76">
        <v>300</v>
      </c>
      <c r="N24" s="77">
        <f t="shared" si="0"/>
        <v>2400</v>
      </c>
      <c r="O24" s="76">
        <v>3</v>
      </c>
      <c r="P24" s="76">
        <v>255</v>
      </c>
      <c r="Q24" s="77">
        <f t="shared" si="1"/>
        <v>2040</v>
      </c>
      <c r="R24" s="78">
        <f t="shared" si="2"/>
        <v>1645.7142857142858</v>
      </c>
      <c r="S24" s="78">
        <f t="shared" si="3"/>
        <v>2400</v>
      </c>
      <c r="T24" s="78">
        <f t="shared" si="4"/>
        <v>1360</v>
      </c>
      <c r="U24" s="78">
        <f>ROUNDDOWN(
IF(BA24="-", BP24* 10^6/ AZ24 * 8,
     K24 * 10^6/ BA24 )
/
(AX24 * IF(AY24="-", 1,IF(RIGHT(C24, 10)="LB-MF_auto", 1, AY24))
+ IF(C24="2exp LB-MF_manual", AX25, 0)
+ IF(C24="3exp LB-MF_manual", AX25 + AX26, 0)),2)</f>
        <v>60.01</v>
      </c>
      <c r="V24" s="78">
        <f>ROUNDDOWN(
IF(BA24="-", BP24* 10^6/ AZ24 * 8,
     K24 * 10^6/ BA24 )
/
(Y24 * IF(AY24="-", 1,IF(RIGHT(C24, 10)="LB-MF_auto", 1, AY24))
+ IF(C24="2exp LB-MF_manual", Y25, 0)
+ IF(C24="3exp LB-MF_manual", Y25 + Y26, 0)),2)</f>
        <v>85.64</v>
      </c>
      <c r="W24" s="79" t="s">
        <v>101</v>
      </c>
      <c r="X24" s="79" t="s">
        <v>126</v>
      </c>
      <c r="Y24" s="80">
        <v>2224</v>
      </c>
      <c r="Z24" s="54">
        <v>2</v>
      </c>
      <c r="AA24" s="54">
        <v>2160</v>
      </c>
      <c r="AB24" s="54"/>
      <c r="AC24" s="54" t="s">
        <v>9</v>
      </c>
      <c r="AD24" s="54"/>
      <c r="AE24" s="54"/>
      <c r="AF24" s="54"/>
      <c r="AG24" s="54"/>
      <c r="AH24" s="54"/>
      <c r="AI24" s="54"/>
      <c r="AJ24" s="54" t="s">
        <v>9</v>
      </c>
      <c r="AK24" s="54">
        <v>528</v>
      </c>
      <c r="AL24" s="54" t="s">
        <v>9</v>
      </c>
      <c r="AM24" s="54" t="s">
        <v>9</v>
      </c>
      <c r="AN24" s="81">
        <f>(BK24 - ((CG24 - CF24 + 1) / BH24 / BF24 + Z24 + AW24)) * IF(AY24="-", 1, IF(RIGHT(C24,10)="LB-MF_auto", 1, AY24))
- IF(AND(RIGHT(C24, 3)="DOL", AY24=2), SUM(AB24:AI25),
 IF(AND(RIGHT(C24,3)="DOL", AY24=3), SUM(AB24:AI26), SUM(AB24:AI24)))</f>
        <v>964</v>
      </c>
      <c r="AO24" s="82">
        <f t="shared" si="18"/>
        <v>5.0599999999999996</v>
      </c>
      <c r="AP24" s="44">
        <v>3840</v>
      </c>
      <c r="AQ24" s="44" t="s">
        <v>9</v>
      </c>
      <c r="AR24" s="44">
        <v>480</v>
      </c>
      <c r="AS24" s="44" t="s">
        <v>9</v>
      </c>
      <c r="AT24" s="44" t="s">
        <v>9</v>
      </c>
      <c r="AU24" s="81">
        <f t="shared" si="5"/>
        <v>4700</v>
      </c>
      <c r="AV24" s="83">
        <f t="shared" si="6"/>
        <v>2.85</v>
      </c>
      <c r="AW24" s="80">
        <v>48</v>
      </c>
      <c r="AX24" s="44">
        <v>3174</v>
      </c>
      <c r="AY24" s="44" t="s">
        <v>9</v>
      </c>
      <c r="AZ24" s="44">
        <v>7136</v>
      </c>
      <c r="BA24" s="44">
        <v>126</v>
      </c>
      <c r="BB24" s="80"/>
      <c r="BC24" s="83">
        <f t="shared" si="7"/>
        <v>5.25</v>
      </c>
      <c r="BD24" s="80"/>
      <c r="BE24" s="44">
        <v>1</v>
      </c>
      <c r="BF24" s="44">
        <v>1</v>
      </c>
      <c r="BG24" s="44">
        <v>2</v>
      </c>
      <c r="BH24" s="44">
        <v>2</v>
      </c>
      <c r="BI24" s="84">
        <v>1</v>
      </c>
      <c r="BJ24" s="84">
        <v>1</v>
      </c>
      <c r="BK24" s="85">
        <v>3174</v>
      </c>
      <c r="BL24" s="76">
        <v>1</v>
      </c>
      <c r="BM24" s="77">
        <f t="shared" si="8"/>
        <v>2400</v>
      </c>
      <c r="BN24" s="76">
        <v>2</v>
      </c>
      <c r="BO24" s="76">
        <v>6</v>
      </c>
      <c r="BP24" s="77">
        <f t="shared" si="9"/>
        <v>170</v>
      </c>
      <c r="BQ24" s="76">
        <v>2</v>
      </c>
      <c r="BR24" s="86">
        <f t="shared" si="10"/>
        <v>1020</v>
      </c>
      <c r="BS24" s="76">
        <v>6</v>
      </c>
      <c r="BT24" s="86">
        <f t="shared" si="11"/>
        <v>28.333333333333332</v>
      </c>
      <c r="BU24" s="87">
        <v>2</v>
      </c>
      <c r="BV24" s="86">
        <f t="shared" si="12"/>
        <v>85</v>
      </c>
      <c r="BW24" s="87">
        <v>14</v>
      </c>
      <c r="BX24" s="86">
        <f t="shared" si="13"/>
        <v>171.42857142857142</v>
      </c>
      <c r="BY24" s="87"/>
      <c r="BZ24" s="86"/>
      <c r="CA24" s="85">
        <v>0</v>
      </c>
      <c r="CB24" s="44" t="s">
        <v>1227</v>
      </c>
      <c r="CC24" s="19"/>
      <c r="CD24" s="88">
        <v>0</v>
      </c>
      <c r="CE24" s="88">
        <v>8191</v>
      </c>
      <c r="CF24" s="88">
        <v>912</v>
      </c>
      <c r="CG24" s="88">
        <v>5231</v>
      </c>
      <c r="CH24" s="19"/>
      <c r="CI24" s="76">
        <v>3840</v>
      </c>
      <c r="CJ24" s="44">
        <v>2160</v>
      </c>
      <c r="CK24" s="19"/>
      <c r="CL24" s="44" t="s">
        <v>9</v>
      </c>
      <c r="CM24" s="19"/>
      <c r="CN24" s="44" t="s">
        <v>9</v>
      </c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45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</row>
    <row r="25" spans="1:122" s="14" customFormat="1" x14ac:dyDescent="0.15">
      <c r="A25" s="68"/>
      <c r="B25" s="73">
        <v>14</v>
      </c>
      <c r="C25" s="74" t="s">
        <v>104</v>
      </c>
      <c r="D25" s="75" t="s">
        <v>110</v>
      </c>
      <c r="E25" s="44" t="s">
        <v>1226</v>
      </c>
      <c r="F25" s="44" t="s">
        <v>1226</v>
      </c>
      <c r="G25" s="44">
        <v>2048</v>
      </c>
      <c r="H25" s="44">
        <v>1152</v>
      </c>
      <c r="I25" s="44">
        <v>3</v>
      </c>
      <c r="J25" s="44" t="s">
        <v>61</v>
      </c>
      <c r="K25" s="76">
        <v>24</v>
      </c>
      <c r="L25" s="76">
        <v>3</v>
      </c>
      <c r="M25" s="76">
        <v>300</v>
      </c>
      <c r="N25" s="77">
        <f t="shared" si="0"/>
        <v>2400</v>
      </c>
      <c r="O25" s="76">
        <v>3</v>
      </c>
      <c r="P25" s="76">
        <v>255</v>
      </c>
      <c r="Q25" s="77">
        <f t="shared" si="1"/>
        <v>2040</v>
      </c>
      <c r="R25" s="78">
        <f t="shared" si="2"/>
        <v>1645.7142857142858</v>
      </c>
      <c r="S25" s="78">
        <f t="shared" si="3"/>
        <v>2400</v>
      </c>
      <c r="T25" s="78">
        <f t="shared" si="4"/>
        <v>1360</v>
      </c>
      <c r="U25" s="78">
        <f>ROUNDDOWN(
IF(BA25="-", BP25* 10^6/ AZ25 * 8,
     K25 * 10^6/ BA25 )
/
(AX25 * IF(AY25="-", 1,IF(RIGHT(C25, 10)="LB-MF_auto", 1, AY25))
+ IF(C25="2exp LB-MF_manual", AX26, 0)
+ IF(C25="3exp LB-MF_manual", AX26 + AX27, 0)),2)</f>
        <v>30</v>
      </c>
      <c r="V25" s="78">
        <f>ROUNDDOWN(
IF(BA25="-", BP25* 10^6/ AZ25 * 8,
     K25 * 10^6/ BA25 )
/
(Y25 * IF(AY25="-", 1,IF(RIGHT(C25, 10)="LB-MF_auto", 1, AY25))
+ IF(C25="2exp LB-MF_manual", Y26, 0)
+ IF(C25="3exp LB-MF_manual", Y26 + Y27, 0)),2)</f>
        <v>167.5</v>
      </c>
      <c r="W25" s="79" t="s">
        <v>101</v>
      </c>
      <c r="X25" s="79" t="s">
        <v>126</v>
      </c>
      <c r="Y25" s="80">
        <v>1204</v>
      </c>
      <c r="Z25" s="54">
        <v>2</v>
      </c>
      <c r="AA25" s="54">
        <v>1152</v>
      </c>
      <c r="AB25" s="54"/>
      <c r="AC25" s="54" t="s">
        <v>9</v>
      </c>
      <c r="AD25" s="54"/>
      <c r="AE25" s="54"/>
      <c r="AF25" s="54"/>
      <c r="AG25" s="54"/>
      <c r="AH25" s="54"/>
      <c r="AI25" s="54"/>
      <c r="AJ25" s="54">
        <v>288</v>
      </c>
      <c r="AK25" s="54" t="s">
        <v>9</v>
      </c>
      <c r="AL25" s="54" t="s">
        <v>9</v>
      </c>
      <c r="AM25" s="54" t="s">
        <v>9</v>
      </c>
      <c r="AN25" s="81">
        <f>(BK25 - ((CG25 - CF25 + 1) / BH25 / BF25 + Z25 + AW25)) * IF(AY25="-", 1, IF(RIGHT(C25,10)="LB-MF_auto", 1, AY25))
- IF(AND(RIGHT(C25, 3)="DOL", AY25=2), SUM(AB25:AI26),
 IF(AND(RIGHT(C25,3)="DOL", AY25=3), SUM(AB25:AI27), SUM(AB25:AI25)))</f>
        <v>5538</v>
      </c>
      <c r="AO25" s="82">
        <f t="shared" si="18"/>
        <v>27.45</v>
      </c>
      <c r="AP25" s="44">
        <v>2048</v>
      </c>
      <c r="AQ25" s="44">
        <v>2048</v>
      </c>
      <c r="AR25" s="44" t="s">
        <v>9</v>
      </c>
      <c r="AS25" s="44" t="s">
        <v>9</v>
      </c>
      <c r="AT25" s="44" t="s">
        <v>9</v>
      </c>
      <c r="AU25" s="81">
        <f t="shared" si="5"/>
        <v>5500</v>
      </c>
      <c r="AV25" s="83">
        <f t="shared" si="6"/>
        <v>3.34</v>
      </c>
      <c r="AW25" s="80">
        <v>30</v>
      </c>
      <c r="AX25" s="44">
        <v>6722</v>
      </c>
      <c r="AY25" s="44" t="s">
        <v>9</v>
      </c>
      <c r="AZ25" s="44">
        <v>6728</v>
      </c>
      <c r="BA25" s="44">
        <v>119</v>
      </c>
      <c r="BB25" s="80"/>
      <c r="BC25" s="83">
        <f t="shared" si="7"/>
        <v>4.95</v>
      </c>
      <c r="BD25" s="80"/>
      <c r="BE25" s="44">
        <v>1</v>
      </c>
      <c r="BF25" s="44">
        <v>1</v>
      </c>
      <c r="BG25" s="44">
        <v>4</v>
      </c>
      <c r="BH25" s="44">
        <v>4</v>
      </c>
      <c r="BI25" s="84">
        <v>1</v>
      </c>
      <c r="BJ25" s="84">
        <v>1</v>
      </c>
      <c r="BK25" s="85">
        <v>6722</v>
      </c>
      <c r="BL25" s="76">
        <v>1</v>
      </c>
      <c r="BM25" s="77">
        <f t="shared" si="8"/>
        <v>2400</v>
      </c>
      <c r="BN25" s="76">
        <v>2</v>
      </c>
      <c r="BO25" s="76">
        <v>6</v>
      </c>
      <c r="BP25" s="77">
        <f t="shared" si="9"/>
        <v>170</v>
      </c>
      <c r="BQ25" s="76">
        <v>2</v>
      </c>
      <c r="BR25" s="86">
        <f t="shared" si="10"/>
        <v>1020</v>
      </c>
      <c r="BS25" s="76">
        <v>6</v>
      </c>
      <c r="BT25" s="86">
        <f t="shared" si="11"/>
        <v>28.333333333333332</v>
      </c>
      <c r="BU25" s="87">
        <v>2</v>
      </c>
      <c r="BV25" s="86">
        <f t="shared" si="12"/>
        <v>85</v>
      </c>
      <c r="BW25" s="87">
        <v>14</v>
      </c>
      <c r="BX25" s="86">
        <f t="shared" si="13"/>
        <v>171.42857142857142</v>
      </c>
      <c r="BY25" s="87"/>
      <c r="BZ25" s="86"/>
      <c r="CA25" s="85">
        <v>1</v>
      </c>
      <c r="CB25" s="44" t="s">
        <v>1227</v>
      </c>
      <c r="CC25" s="19"/>
      <c r="CD25" s="88">
        <v>0</v>
      </c>
      <c r="CE25" s="88">
        <v>8191</v>
      </c>
      <c r="CF25" s="88">
        <v>768</v>
      </c>
      <c r="CG25" s="88">
        <v>5375</v>
      </c>
      <c r="CH25" s="19"/>
      <c r="CI25" s="76">
        <v>2048</v>
      </c>
      <c r="CJ25" s="44">
        <v>1152</v>
      </c>
      <c r="CK25" s="19"/>
      <c r="CL25" s="44" t="s">
        <v>9</v>
      </c>
      <c r="CM25" s="19"/>
      <c r="CN25" s="44" t="s">
        <v>9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45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</row>
    <row r="26" spans="1:122" s="14" customFormat="1" x14ac:dyDescent="0.15">
      <c r="A26" s="68"/>
      <c r="B26" s="73" t="s">
        <v>140</v>
      </c>
      <c r="C26" s="74" t="s">
        <v>104</v>
      </c>
      <c r="D26" s="75" t="s">
        <v>107</v>
      </c>
      <c r="E26" s="44" t="s">
        <v>1226</v>
      </c>
      <c r="F26" s="44" t="s">
        <v>1226</v>
      </c>
      <c r="G26" s="44">
        <v>4096</v>
      </c>
      <c r="H26" s="44">
        <v>3072</v>
      </c>
      <c r="I26" s="44">
        <v>3</v>
      </c>
      <c r="J26" s="44" t="s">
        <v>61</v>
      </c>
      <c r="K26" s="76">
        <v>24</v>
      </c>
      <c r="L26" s="76">
        <v>3</v>
      </c>
      <c r="M26" s="76">
        <v>300</v>
      </c>
      <c r="N26" s="77">
        <f t="shared" si="0"/>
        <v>2400</v>
      </c>
      <c r="O26" s="76">
        <v>3</v>
      </c>
      <c r="P26" s="76">
        <v>255</v>
      </c>
      <c r="Q26" s="77">
        <f t="shared" si="1"/>
        <v>2040</v>
      </c>
      <c r="R26" s="78">
        <f t="shared" si="2"/>
        <v>1645.7142857142858</v>
      </c>
      <c r="S26" s="78">
        <f t="shared" si="3"/>
        <v>2400</v>
      </c>
      <c r="T26" s="78">
        <f t="shared" si="4"/>
        <v>1360</v>
      </c>
      <c r="U26" s="78">
        <f>ROUNDDOWN(
IF(BA26="-", BP26* 10^6/ AZ26 * 8,
     K26 * 10^6/ BA26 )
/
(AX26 * IF(AY26="-", 1,IF(RIGHT(C26, 10)="LB-MF_auto", 1, AY26))
+ IF(C26="2exp LB-MF_manual", AX27, 0)
+ IF(C26="3exp LB-MF_manual", AX27 + AX28, 0)),2)</f>
        <v>30</v>
      </c>
      <c r="V26" s="78">
        <f>ROUNDDOWN(
IF(BA26="-", BP26* 10^6/ AZ26 * 8,
     K26 * 10^6/ BA26 )
/
(Y26 * IF(AY26="-", 1,IF(RIGHT(C26, 10)="LB-MF_auto", 1, AY26))
+ IF(C26="2exp LB-MF_manual", Y27, 0)
+ IF(C26="3exp LB-MF_manual", Y27 + Y28, 0)),2)</f>
        <v>36.270000000000003</v>
      </c>
      <c r="W26" s="79" t="s">
        <v>101</v>
      </c>
      <c r="X26" s="79" t="s">
        <v>126</v>
      </c>
      <c r="Y26" s="80">
        <v>3136</v>
      </c>
      <c r="Z26" s="54">
        <v>2</v>
      </c>
      <c r="AA26" s="54">
        <v>3072</v>
      </c>
      <c r="AB26" s="54"/>
      <c r="AC26" s="54" t="s">
        <v>9</v>
      </c>
      <c r="AD26" s="54"/>
      <c r="AE26" s="54"/>
      <c r="AF26" s="54"/>
      <c r="AG26" s="54"/>
      <c r="AH26" s="54"/>
      <c r="AI26" s="54"/>
      <c r="AJ26" s="54">
        <v>768</v>
      </c>
      <c r="AK26" s="54" t="s">
        <v>9</v>
      </c>
      <c r="AL26" s="54" t="s">
        <v>9</v>
      </c>
      <c r="AM26" s="54" t="s">
        <v>9</v>
      </c>
      <c r="AN26" s="81">
        <f>(BK26 - ((CG26 - CF26 + 1) / BH26 / BF26 + Z26 + AW26)) * IF(AY26="-", 1, IF(RIGHT(C26,10)="LB-MF_auto", 1, AY26))
- IF(AND(RIGHT(C26, 3)="DOL", AY26=2), SUM(AB26:AI27),
 IF(AND(RIGHT(C26,3)="DOL", AY26=3), SUM(AB26:AI28), SUM(AB26:AI26)))</f>
        <v>669</v>
      </c>
      <c r="AO26" s="82">
        <f t="shared" si="18"/>
        <v>5.88</v>
      </c>
      <c r="AP26" s="44">
        <v>4096</v>
      </c>
      <c r="AQ26" s="44">
        <v>4096</v>
      </c>
      <c r="AR26" s="44" t="s">
        <v>9</v>
      </c>
      <c r="AS26" s="44" t="s">
        <v>9</v>
      </c>
      <c r="AT26" s="44" t="s">
        <v>9</v>
      </c>
      <c r="AU26" s="81">
        <f t="shared" si="5"/>
        <v>9248</v>
      </c>
      <c r="AV26" s="83">
        <f t="shared" si="6"/>
        <v>5.61</v>
      </c>
      <c r="AW26" s="80">
        <v>48</v>
      </c>
      <c r="AX26" s="44">
        <v>3791</v>
      </c>
      <c r="AY26" s="44" t="s">
        <v>9</v>
      </c>
      <c r="AZ26" s="44">
        <v>11904</v>
      </c>
      <c r="BA26" s="44">
        <v>211</v>
      </c>
      <c r="BB26" s="80"/>
      <c r="BC26" s="83">
        <f t="shared" si="7"/>
        <v>8.7899999999999991</v>
      </c>
      <c r="BD26" s="80"/>
      <c r="BE26" s="44">
        <v>1</v>
      </c>
      <c r="BF26" s="44">
        <v>1</v>
      </c>
      <c r="BG26" s="44">
        <v>2</v>
      </c>
      <c r="BH26" s="44">
        <v>2</v>
      </c>
      <c r="BI26" s="84">
        <v>1</v>
      </c>
      <c r="BJ26" s="84">
        <v>1</v>
      </c>
      <c r="BK26" s="85">
        <v>3791</v>
      </c>
      <c r="BL26" s="76">
        <v>1</v>
      </c>
      <c r="BM26" s="77">
        <f t="shared" si="8"/>
        <v>2400</v>
      </c>
      <c r="BN26" s="76">
        <v>2</v>
      </c>
      <c r="BO26" s="76">
        <v>6</v>
      </c>
      <c r="BP26" s="77">
        <f t="shared" si="9"/>
        <v>170</v>
      </c>
      <c r="BQ26" s="76">
        <v>2</v>
      </c>
      <c r="BR26" s="86">
        <f t="shared" si="10"/>
        <v>1020</v>
      </c>
      <c r="BS26" s="76">
        <v>6</v>
      </c>
      <c r="BT26" s="86">
        <f t="shared" si="11"/>
        <v>28.333333333333332</v>
      </c>
      <c r="BU26" s="87">
        <v>2</v>
      </c>
      <c r="BV26" s="86">
        <f t="shared" si="12"/>
        <v>85</v>
      </c>
      <c r="BW26" s="87">
        <v>14</v>
      </c>
      <c r="BX26" s="86">
        <f t="shared" si="13"/>
        <v>171.42857142857142</v>
      </c>
      <c r="BY26" s="87"/>
      <c r="BZ26" s="86"/>
      <c r="CA26" s="85">
        <v>1</v>
      </c>
      <c r="CB26" s="44" t="s">
        <v>1227</v>
      </c>
      <c r="CC26" s="19"/>
      <c r="CD26" s="88">
        <v>0</v>
      </c>
      <c r="CE26" s="88">
        <v>8191</v>
      </c>
      <c r="CF26" s="88">
        <v>0</v>
      </c>
      <c r="CG26" s="88">
        <v>6143</v>
      </c>
      <c r="CH26" s="19"/>
      <c r="CI26" s="76">
        <v>4096</v>
      </c>
      <c r="CJ26" s="44">
        <v>3072</v>
      </c>
      <c r="CK26" s="19"/>
      <c r="CL26" s="44" t="s">
        <v>9</v>
      </c>
      <c r="CM26" s="19"/>
      <c r="CN26" s="44" t="s">
        <v>9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45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</row>
    <row r="27" spans="1:122" s="92" customFormat="1" x14ac:dyDescent="0.15">
      <c r="A27" s="68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89"/>
      <c r="X27" s="89"/>
      <c r="Y27" s="45"/>
      <c r="Z27" s="90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91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N27" s="45"/>
      <c r="CO27" s="93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</row>
    <row r="28" spans="1:122" x14ac:dyDescent="0.15">
      <c r="B28" s="7"/>
      <c r="C28" s="34"/>
      <c r="D28" s="7"/>
      <c r="E28" s="7"/>
      <c r="F28" s="7"/>
      <c r="G28" s="3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45"/>
      <c r="W28" s="45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45"/>
      <c r="AJ28" s="7"/>
      <c r="AK28" s="7"/>
      <c r="AL28" s="7"/>
      <c r="AM28" s="7"/>
      <c r="AN28" s="7"/>
      <c r="AO28" s="7"/>
      <c r="AP28" s="7"/>
      <c r="AQ28" s="45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19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</row>
    <row r="29" spans="1:122" x14ac:dyDescent="0.1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M29" s="45"/>
    </row>
    <row r="30" spans="1:122" x14ac:dyDescent="0.1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M30" s="45"/>
    </row>
    <row r="31" spans="1:122" x14ac:dyDescent="0.15">
      <c r="A31" s="45"/>
      <c r="B31" s="45"/>
      <c r="C31" s="45"/>
    </row>
    <row r="33" spans="21:21" x14ac:dyDescent="0.15">
      <c r="U33" s="18"/>
    </row>
  </sheetData>
  <mergeCells count="47"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  <mergeCell ref="X7:X8"/>
    <mergeCell ref="Z7:AO7"/>
    <mergeCell ref="AP7:AV7"/>
    <mergeCell ref="BE7:BF7"/>
    <mergeCell ref="BG7:BH7"/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AY12:AY13"/>
    <mergeCell ref="AY20:AY21"/>
    <mergeCell ref="AX12:AX13"/>
    <mergeCell ref="AX20:AX21"/>
    <mergeCell ref="AO12:AO13"/>
    <mergeCell ref="AO20:AO21"/>
    <mergeCell ref="C12:C13"/>
    <mergeCell ref="C20:C21"/>
    <mergeCell ref="B12:B13"/>
    <mergeCell ref="B20:B21"/>
    <mergeCell ref="AN12:AN13"/>
    <mergeCell ref="AN20:AN21"/>
    <mergeCell ref="V12:V13"/>
    <mergeCell ref="V20:V21"/>
    <mergeCell ref="U12:U13"/>
    <mergeCell ref="U20:U21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G4044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2" max="2" width="25.625" customWidth="1"/>
    <col min="3" max="4" width="28.125" customWidth="1"/>
  </cols>
  <sheetData>
    <row r="3" spans="2:7" ht="36" x14ac:dyDescent="0.15">
      <c r="B3" s="3" t="s">
        <v>67</v>
      </c>
      <c r="C3" s="3"/>
      <c r="G3" s="3"/>
    </row>
    <row r="4" spans="2:7" ht="36" x14ac:dyDescent="0.15">
      <c r="C4" s="3"/>
    </row>
    <row r="5" spans="2:7" ht="36" x14ac:dyDescent="0.15">
      <c r="C5" s="3"/>
    </row>
    <row r="6" spans="2:7" ht="36" x14ac:dyDescent="0.15">
      <c r="C6" s="3"/>
    </row>
    <row r="11" spans="2:7" ht="30" x14ac:dyDescent="0.15">
      <c r="B11" s="36" t="s">
        <v>68</v>
      </c>
      <c r="C11" s="36" t="s">
        <v>69</v>
      </c>
      <c r="D11" s="36" t="s">
        <v>70</v>
      </c>
    </row>
    <row r="12" spans="2:7" ht="15" x14ac:dyDescent="0.15">
      <c r="B12" s="38">
        <v>0</v>
      </c>
      <c r="C12" s="39">
        <f>20*LOG(D12)</f>
        <v>0</v>
      </c>
      <c r="D12" s="39">
        <f>16384/(16384-B12)</f>
        <v>1</v>
      </c>
    </row>
    <row r="13" spans="2:7" ht="15" x14ac:dyDescent="0.15">
      <c r="B13" s="38">
        <v>4</v>
      </c>
      <c r="C13" s="39">
        <f t="shared" ref="C13:C76" si="0">20*LOG(D13)</f>
        <v>2.1208374267412578E-3</v>
      </c>
      <c r="D13" s="39">
        <f t="shared" ref="D13:D76" si="1">16384/(16384-B13)</f>
        <v>1.0002442002442002</v>
      </c>
    </row>
    <row r="14" spans="2:7" ht="15" x14ac:dyDescent="0.15">
      <c r="B14" s="38">
        <v>8</v>
      </c>
      <c r="C14" s="39">
        <f t="shared" si="0"/>
        <v>4.2421928257494338E-3</v>
      </c>
      <c r="D14" s="39">
        <f t="shared" si="1"/>
        <v>1.0004885197850513</v>
      </c>
    </row>
    <row r="15" spans="2:7" ht="15" x14ac:dyDescent="0.15">
      <c r="B15" s="38">
        <v>12</v>
      </c>
      <c r="C15" s="39">
        <f t="shared" si="0"/>
        <v>6.3640664500959378E-3</v>
      </c>
      <c r="D15" s="39">
        <f t="shared" si="1"/>
        <v>1.0007329587099927</v>
      </c>
    </row>
    <row r="16" spans="2:7" ht="15" x14ac:dyDescent="0.15">
      <c r="B16" s="38">
        <v>16</v>
      </c>
      <c r="C16" s="39">
        <f t="shared" si="0"/>
        <v>8.4864585530358815E-3</v>
      </c>
      <c r="D16" s="39">
        <f t="shared" si="1"/>
        <v>1.0009775171065494</v>
      </c>
    </row>
    <row r="17" spans="2:4" ht="15" x14ac:dyDescent="0.15">
      <c r="B17" s="38">
        <v>20</v>
      </c>
      <c r="C17" s="39">
        <f t="shared" si="0"/>
        <v>1.0609369388011207E-2</v>
      </c>
      <c r="D17" s="39">
        <f t="shared" si="1"/>
        <v>1.0012221950623319</v>
      </c>
    </row>
    <row r="18" spans="2:4" ht="15" x14ac:dyDescent="0.15">
      <c r="B18" s="38">
        <v>24</v>
      </c>
      <c r="C18" s="39">
        <f t="shared" si="0"/>
        <v>1.2732799208649972E-2</v>
      </c>
      <c r="D18" s="39">
        <f t="shared" si="1"/>
        <v>1.0014669926650366</v>
      </c>
    </row>
    <row r="19" spans="2:4" ht="15" x14ac:dyDescent="0.15">
      <c r="B19" s="38">
        <v>28</v>
      </c>
      <c r="C19" s="39">
        <f t="shared" si="0"/>
        <v>1.4856748268767523E-2</v>
      </c>
      <c r="D19" s="39">
        <f t="shared" si="1"/>
        <v>1.0017119100024456</v>
      </c>
    </row>
    <row r="20" spans="2:4" ht="15" x14ac:dyDescent="0.15">
      <c r="B20" s="38">
        <v>32</v>
      </c>
      <c r="C20" s="39">
        <f t="shared" si="0"/>
        <v>1.6981216822360021E-2</v>
      </c>
      <c r="D20" s="39">
        <f t="shared" si="1"/>
        <v>1.0019569471624266</v>
      </c>
    </row>
    <row r="21" spans="2:4" ht="15" x14ac:dyDescent="0.15">
      <c r="B21" s="38">
        <v>36</v>
      </c>
      <c r="C21" s="39">
        <f t="shared" si="0"/>
        <v>1.9106205123617166E-2</v>
      </c>
      <c r="D21" s="39">
        <f t="shared" si="1"/>
        <v>1.0022021042329337</v>
      </c>
    </row>
    <row r="22" spans="2:4" ht="15" x14ac:dyDescent="0.15">
      <c r="B22" s="38">
        <v>40</v>
      </c>
      <c r="C22" s="39">
        <f t="shared" si="0"/>
        <v>2.1231713426911859E-2</v>
      </c>
      <c r="D22" s="39">
        <f t="shared" si="1"/>
        <v>1.0024473813020069</v>
      </c>
    </row>
    <row r="23" spans="2:4" ht="15" x14ac:dyDescent="0.15">
      <c r="B23" s="38">
        <v>44</v>
      </c>
      <c r="C23" s="39">
        <f t="shared" si="0"/>
        <v>2.3357741986801385E-2</v>
      </c>
      <c r="D23" s="39">
        <f t="shared" si="1"/>
        <v>1.0026927784577724</v>
      </c>
    </row>
    <row r="24" spans="2:4" ht="15" x14ac:dyDescent="0.15">
      <c r="B24" s="38">
        <v>48</v>
      </c>
      <c r="C24" s="39">
        <f t="shared" si="0"/>
        <v>2.5484291058034372E-2</v>
      </c>
      <c r="D24" s="39">
        <f t="shared" si="1"/>
        <v>1.0029382957884427</v>
      </c>
    </row>
    <row r="25" spans="2:4" ht="15" x14ac:dyDescent="0.15">
      <c r="B25" s="38">
        <v>52</v>
      </c>
      <c r="C25" s="39">
        <f t="shared" si="0"/>
        <v>2.7611360895544324E-2</v>
      </c>
      <c r="D25" s="39">
        <f t="shared" si="1"/>
        <v>1.0031839333823169</v>
      </c>
    </row>
    <row r="26" spans="2:4" ht="15" x14ac:dyDescent="0.15">
      <c r="B26" s="38">
        <v>56</v>
      </c>
      <c r="C26" s="39">
        <f t="shared" si="0"/>
        <v>2.9738951754452674E-2</v>
      </c>
      <c r="D26" s="39">
        <f t="shared" si="1"/>
        <v>1.0034296913277805</v>
      </c>
    </row>
    <row r="27" spans="2:4" ht="15" x14ac:dyDescent="0.15">
      <c r="B27" s="38">
        <v>60</v>
      </c>
      <c r="C27" s="39">
        <f t="shared" si="0"/>
        <v>3.1867063890068104E-2</v>
      </c>
      <c r="D27" s="39">
        <f t="shared" si="1"/>
        <v>1.0036755697133055</v>
      </c>
    </row>
    <row r="28" spans="2:4" ht="15" x14ac:dyDescent="0.15">
      <c r="B28" s="38">
        <v>64</v>
      </c>
      <c r="C28" s="39">
        <f t="shared" si="0"/>
        <v>3.39956975578877E-2</v>
      </c>
      <c r="D28" s="39">
        <f t="shared" si="1"/>
        <v>1.003921568627451</v>
      </c>
    </row>
    <row r="29" spans="2:4" ht="15" x14ac:dyDescent="0.15">
      <c r="B29" s="38">
        <v>68</v>
      </c>
      <c r="C29" s="39">
        <f t="shared" si="0"/>
        <v>3.6124853013594312E-2</v>
      </c>
      <c r="D29" s="39">
        <f t="shared" si="1"/>
        <v>1.0041676881588624</v>
      </c>
    </row>
    <row r="30" spans="2:4" ht="15" x14ac:dyDescent="0.15">
      <c r="B30" s="38">
        <v>72</v>
      </c>
      <c r="C30" s="39">
        <f t="shared" si="0"/>
        <v>3.8254530513063489E-2</v>
      </c>
      <c r="D30" s="39">
        <f t="shared" si="1"/>
        <v>1.0044139283962727</v>
      </c>
    </row>
    <row r="31" spans="2:4" ht="15" x14ac:dyDescent="0.15">
      <c r="B31" s="38">
        <v>76</v>
      </c>
      <c r="C31" s="39">
        <f t="shared" si="0"/>
        <v>4.0384730312351229E-2</v>
      </c>
      <c r="D31" s="39">
        <f t="shared" si="1"/>
        <v>1.0046602894285013</v>
      </c>
    </row>
    <row r="32" spans="2:4" ht="15" x14ac:dyDescent="0.15">
      <c r="B32" s="38">
        <v>80</v>
      </c>
      <c r="C32" s="39">
        <f t="shared" si="0"/>
        <v>4.2515452667710507E-2</v>
      </c>
      <c r="D32" s="39">
        <f t="shared" si="1"/>
        <v>1.0049067713444553</v>
      </c>
    </row>
    <row r="33" spans="2:4" ht="15" x14ac:dyDescent="0.15">
      <c r="B33" s="38">
        <v>84</v>
      </c>
      <c r="C33" s="39">
        <f t="shared" si="0"/>
        <v>4.4646697835579022E-2</v>
      </c>
      <c r="D33" s="39">
        <f t="shared" si="1"/>
        <v>1.0051533742331289</v>
      </c>
    </row>
    <row r="34" spans="2:4" ht="15" x14ac:dyDescent="0.15">
      <c r="B34" s="38">
        <v>88</v>
      </c>
      <c r="C34" s="39">
        <f t="shared" si="0"/>
        <v>4.6778466072580384E-2</v>
      </c>
      <c r="D34" s="39">
        <f t="shared" si="1"/>
        <v>1.0054000981836033</v>
      </c>
    </row>
    <row r="35" spans="2:4" ht="15" x14ac:dyDescent="0.15">
      <c r="B35" s="38">
        <v>92</v>
      </c>
      <c r="C35" s="39">
        <f t="shared" si="0"/>
        <v>4.891075763553298E-2</v>
      </c>
      <c r="D35" s="39">
        <f t="shared" si="1"/>
        <v>1.0056469432850479</v>
      </c>
    </row>
    <row r="36" spans="2:4" ht="15" x14ac:dyDescent="0.15">
      <c r="B36" s="38">
        <v>96</v>
      </c>
      <c r="C36" s="39">
        <f t="shared" si="0"/>
        <v>5.1043572781439589E-2</v>
      </c>
      <c r="D36" s="39">
        <f t="shared" si="1"/>
        <v>1.005893909626719</v>
      </c>
    </row>
    <row r="37" spans="2:4" ht="15" x14ac:dyDescent="0.15">
      <c r="B37" s="38">
        <v>100</v>
      </c>
      <c r="C37" s="39">
        <f t="shared" si="0"/>
        <v>5.3176911767496275E-2</v>
      </c>
      <c r="D37" s="39">
        <f t="shared" si="1"/>
        <v>1.0061409972979611</v>
      </c>
    </row>
    <row r="38" spans="2:4" ht="15" x14ac:dyDescent="0.15">
      <c r="B38" s="38">
        <v>104</v>
      </c>
      <c r="C38" s="39">
        <f t="shared" si="0"/>
        <v>5.5310774851085882E-2</v>
      </c>
      <c r="D38" s="39">
        <f t="shared" si="1"/>
        <v>1.0063882063882064</v>
      </c>
    </row>
    <row r="39" spans="2:4" ht="15" x14ac:dyDescent="0.15">
      <c r="B39" s="38">
        <v>108</v>
      </c>
      <c r="C39" s="39">
        <f t="shared" si="0"/>
        <v>5.7445162289781117E-2</v>
      </c>
      <c r="D39" s="39">
        <f t="shared" si="1"/>
        <v>1.0066355369869746</v>
      </c>
    </row>
    <row r="40" spans="2:4" ht="15" x14ac:dyDescent="0.15">
      <c r="B40" s="38">
        <v>112</v>
      </c>
      <c r="C40" s="39">
        <f t="shared" si="0"/>
        <v>5.9580074341347614E-2</v>
      </c>
      <c r="D40" s="39">
        <f t="shared" si="1"/>
        <v>1.0068829891838742</v>
      </c>
    </row>
    <row r="41" spans="2:4" ht="15" x14ac:dyDescent="0.15">
      <c r="B41" s="38">
        <v>116</v>
      </c>
      <c r="C41" s="39">
        <f t="shared" si="0"/>
        <v>6.1715511263735562E-2</v>
      </c>
      <c r="D41" s="39">
        <f t="shared" si="1"/>
        <v>1.0071305630686009</v>
      </c>
    </row>
    <row r="42" spans="2:4" ht="15" x14ac:dyDescent="0.15">
      <c r="B42" s="38">
        <v>120</v>
      </c>
      <c r="C42" s="39">
        <f t="shared" si="0"/>
        <v>6.3851473315090446E-2</v>
      </c>
      <c r="D42" s="39">
        <f t="shared" si="1"/>
        <v>1.0073782587309394</v>
      </c>
    </row>
    <row r="43" spans="2:4" ht="15" x14ac:dyDescent="0.15">
      <c r="B43" s="38">
        <v>124</v>
      </c>
      <c r="C43" s="39">
        <f t="shared" si="0"/>
        <v>6.5987960753746536E-2</v>
      </c>
      <c r="D43" s="39">
        <f t="shared" si="1"/>
        <v>1.0076260762607625</v>
      </c>
    </row>
    <row r="44" spans="2:4" ht="15" x14ac:dyDescent="0.15">
      <c r="B44" s="38">
        <v>128</v>
      </c>
      <c r="C44" s="39">
        <f t="shared" si="0"/>
        <v>6.8124973838229921E-2</v>
      </c>
      <c r="D44" s="39">
        <f t="shared" si="1"/>
        <v>1.0078740157480315</v>
      </c>
    </row>
    <row r="45" spans="2:4" ht="15" x14ac:dyDescent="0.15">
      <c r="B45" s="38">
        <v>132</v>
      </c>
      <c r="C45" s="39">
        <f t="shared" si="0"/>
        <v>7.026251282725407E-2</v>
      </c>
      <c r="D45" s="39">
        <f t="shared" si="1"/>
        <v>1.0081220772827959</v>
      </c>
    </row>
    <row r="46" spans="2:4" ht="15" x14ac:dyDescent="0.15">
      <c r="B46" s="38">
        <v>136</v>
      </c>
      <c r="C46" s="39">
        <f t="shared" si="0"/>
        <v>7.2400577979728459E-2</v>
      </c>
      <c r="D46" s="39">
        <f t="shared" si="1"/>
        <v>1.0083702609551946</v>
      </c>
    </row>
    <row r="47" spans="2:4" ht="15" x14ac:dyDescent="0.15">
      <c r="B47" s="38">
        <v>140</v>
      </c>
      <c r="C47" s="39">
        <f t="shared" si="0"/>
        <v>7.4539169554748444E-2</v>
      </c>
      <c r="D47" s="39">
        <f t="shared" si="1"/>
        <v>1.0086185668554544</v>
      </c>
    </row>
    <row r="48" spans="2:4" ht="15" x14ac:dyDescent="0.15">
      <c r="B48" s="38">
        <v>144</v>
      </c>
      <c r="C48" s="39">
        <f t="shared" si="0"/>
        <v>7.6678287811603921E-2</v>
      </c>
      <c r="D48" s="39">
        <f t="shared" si="1"/>
        <v>1.0088669950738915</v>
      </c>
    </row>
    <row r="49" spans="2:4" ht="15" x14ac:dyDescent="0.15">
      <c r="B49" s="38">
        <v>148</v>
      </c>
      <c r="C49" s="39">
        <f t="shared" si="0"/>
        <v>7.8817933009778643E-2</v>
      </c>
      <c r="D49" s="39">
        <f t="shared" si="1"/>
        <v>1.0091155457009116</v>
      </c>
    </row>
    <row r="50" spans="2:4" ht="15" x14ac:dyDescent="0.15">
      <c r="B50" s="38">
        <v>152</v>
      </c>
      <c r="C50" s="39">
        <f t="shared" si="0"/>
        <v>8.0958105408943729E-2</v>
      </c>
      <c r="D50" s="39">
        <f t="shared" si="1"/>
        <v>1.0093642188270084</v>
      </c>
    </row>
    <row r="51" spans="2:4" ht="15" x14ac:dyDescent="0.15">
      <c r="B51" s="38">
        <v>156</v>
      </c>
      <c r="C51" s="39">
        <f t="shared" si="0"/>
        <v>8.3098805268962614E-2</v>
      </c>
      <c r="D51" s="39">
        <f t="shared" si="1"/>
        <v>1.0096130145427655</v>
      </c>
    </row>
    <row r="52" spans="2:4" ht="15" x14ac:dyDescent="0.15">
      <c r="B52" s="38">
        <v>160</v>
      </c>
      <c r="C52" s="39">
        <f t="shared" si="0"/>
        <v>8.524003284989605E-2</v>
      </c>
      <c r="D52" s="39">
        <f t="shared" si="1"/>
        <v>1.0098619329388561</v>
      </c>
    </row>
    <row r="53" spans="2:4" ht="15" x14ac:dyDescent="0.15">
      <c r="B53" s="38">
        <v>164</v>
      </c>
      <c r="C53" s="39">
        <f t="shared" si="0"/>
        <v>8.7381788411989861E-2</v>
      </c>
      <c r="D53" s="39">
        <f t="shared" si="1"/>
        <v>1.0101109741060419</v>
      </c>
    </row>
    <row r="54" spans="2:4" ht="15" x14ac:dyDescent="0.15">
      <c r="B54" s="38">
        <v>168</v>
      </c>
      <c r="C54" s="39">
        <f t="shared" si="0"/>
        <v>8.9524072215689518E-2</v>
      </c>
      <c r="D54" s="39">
        <f t="shared" si="1"/>
        <v>1.0103601381351752</v>
      </c>
    </row>
    <row r="55" spans="2:4" ht="15" x14ac:dyDescent="0.15">
      <c r="B55" s="38">
        <v>172</v>
      </c>
      <c r="C55" s="39">
        <f t="shared" si="0"/>
        <v>9.1666884521625885E-2</v>
      </c>
      <c r="D55" s="39">
        <f t="shared" si="1"/>
        <v>1.0106094251171971</v>
      </c>
    </row>
    <row r="56" spans="2:4" ht="15" x14ac:dyDescent="0.15">
      <c r="B56" s="38">
        <v>176</v>
      </c>
      <c r="C56" s="39">
        <f t="shared" si="0"/>
        <v>9.3810225590629903E-2</v>
      </c>
      <c r="D56" s="39">
        <f t="shared" si="1"/>
        <v>1.0108588351431391</v>
      </c>
    </row>
    <row r="57" spans="2:4" ht="15" x14ac:dyDescent="0.15">
      <c r="B57" s="38">
        <v>180</v>
      </c>
      <c r="C57" s="39">
        <f t="shared" si="0"/>
        <v>9.5954095683722151E-2</v>
      </c>
      <c r="D57" s="39">
        <f t="shared" si="1"/>
        <v>1.0111083683041224</v>
      </c>
    </row>
    <row r="58" spans="2:4" ht="15" x14ac:dyDescent="0.15">
      <c r="B58" s="38">
        <v>184</v>
      </c>
      <c r="C58" s="39">
        <f t="shared" si="0"/>
        <v>9.8098495062115973E-2</v>
      </c>
      <c r="D58" s="39">
        <f t="shared" si="1"/>
        <v>1.011358024691358</v>
      </c>
    </row>
    <row r="59" spans="2:4" ht="15" x14ac:dyDescent="0.15">
      <c r="B59" s="38">
        <v>188</v>
      </c>
      <c r="C59" s="39">
        <f t="shared" si="0"/>
        <v>0.1002434239872186</v>
      </c>
      <c r="D59" s="39">
        <f t="shared" si="1"/>
        <v>1.0116078043961472</v>
      </c>
    </row>
    <row r="60" spans="2:4" ht="15" x14ac:dyDescent="0.15">
      <c r="B60" s="38">
        <v>192</v>
      </c>
      <c r="C60" s="39">
        <f t="shared" si="0"/>
        <v>0.10238888272063226</v>
      </c>
      <c r="D60" s="39">
        <f t="shared" si="1"/>
        <v>1.0118577075098814</v>
      </c>
    </row>
    <row r="61" spans="2:4" ht="15" x14ac:dyDescent="0.15">
      <c r="B61" s="38">
        <v>196</v>
      </c>
      <c r="C61" s="39">
        <f t="shared" si="0"/>
        <v>0.10453487152415344</v>
      </c>
      <c r="D61" s="39">
        <f t="shared" si="1"/>
        <v>1.0121077341240425</v>
      </c>
    </row>
    <row r="62" spans="2:4" ht="15" x14ac:dyDescent="0.15">
      <c r="B62" s="38">
        <v>200</v>
      </c>
      <c r="C62" s="39">
        <f t="shared" si="0"/>
        <v>0.10668139065976837</v>
      </c>
      <c r="D62" s="39">
        <f t="shared" si="1"/>
        <v>1.0123578843302026</v>
      </c>
    </row>
    <row r="63" spans="2:4" ht="15" x14ac:dyDescent="0.15">
      <c r="B63" s="38">
        <v>204</v>
      </c>
      <c r="C63" s="39">
        <f t="shared" si="0"/>
        <v>0.10882844038966544</v>
      </c>
      <c r="D63" s="39">
        <f t="shared" si="1"/>
        <v>1.0126081582200248</v>
      </c>
    </row>
    <row r="64" spans="2:4" ht="15" x14ac:dyDescent="0.15">
      <c r="B64" s="38">
        <v>208</v>
      </c>
      <c r="C64" s="39">
        <f t="shared" si="0"/>
        <v>0.11097602097621745</v>
      </c>
      <c r="D64" s="39">
        <f t="shared" si="1"/>
        <v>1.0128585558852621</v>
      </c>
    </row>
    <row r="65" spans="2:4" ht="15" x14ac:dyDescent="0.15">
      <c r="B65" s="38">
        <v>212</v>
      </c>
      <c r="C65" s="39">
        <f t="shared" si="0"/>
        <v>0.11312413268200169</v>
      </c>
      <c r="D65" s="39">
        <f t="shared" si="1"/>
        <v>1.0131090774177591</v>
      </c>
    </row>
    <row r="66" spans="2:4" ht="15" x14ac:dyDescent="0.15">
      <c r="B66" s="38">
        <v>216</v>
      </c>
      <c r="C66" s="39">
        <f t="shared" si="0"/>
        <v>0.11527277576978398</v>
      </c>
      <c r="D66" s="39">
        <f t="shared" si="1"/>
        <v>1.0133597229094509</v>
      </c>
    </row>
    <row r="67" spans="2:4" ht="15" x14ac:dyDescent="0.15">
      <c r="B67" s="38">
        <v>220</v>
      </c>
      <c r="C67" s="39">
        <f t="shared" si="0"/>
        <v>0.11742195050252548</v>
      </c>
      <c r="D67" s="39">
        <f t="shared" si="1"/>
        <v>1.0136104924523632</v>
      </c>
    </row>
    <row r="68" spans="2:4" ht="15" x14ac:dyDescent="0.15">
      <c r="B68" s="38">
        <v>224</v>
      </c>
      <c r="C68" s="39">
        <f t="shared" si="0"/>
        <v>0.11957165714338766</v>
      </c>
      <c r="D68" s="39">
        <f t="shared" si="1"/>
        <v>1.0138613861386139</v>
      </c>
    </row>
    <row r="69" spans="2:4" ht="15" x14ac:dyDescent="0.15">
      <c r="B69" s="38">
        <v>228</v>
      </c>
      <c r="C69" s="39">
        <f t="shared" si="0"/>
        <v>0.12172189595572201</v>
      </c>
      <c r="D69" s="39">
        <f t="shared" si="1"/>
        <v>1.014112404060411</v>
      </c>
    </row>
    <row r="70" spans="2:4" ht="15" x14ac:dyDescent="0.15">
      <c r="B70" s="38">
        <v>232</v>
      </c>
      <c r="C70" s="39">
        <f t="shared" si="0"/>
        <v>0.12387266720307684</v>
      </c>
      <c r="D70" s="39">
        <f t="shared" si="1"/>
        <v>1.0143635463100544</v>
      </c>
    </row>
    <row r="71" spans="2:4" ht="15" x14ac:dyDescent="0.15">
      <c r="B71" s="38">
        <v>236</v>
      </c>
      <c r="C71" s="39">
        <f t="shared" si="0"/>
        <v>0.12602397114919844</v>
      </c>
      <c r="D71" s="39">
        <f t="shared" si="1"/>
        <v>1.0146148129799355</v>
      </c>
    </row>
    <row r="72" spans="2:4" ht="15" x14ac:dyDescent="0.15">
      <c r="B72" s="38">
        <v>240</v>
      </c>
      <c r="C72" s="39">
        <f t="shared" si="0"/>
        <v>0.12817580805802842</v>
      </c>
      <c r="D72" s="39">
        <f t="shared" si="1"/>
        <v>1.0148662041625371</v>
      </c>
    </row>
    <row r="73" spans="2:4" ht="15" x14ac:dyDescent="0.15">
      <c r="B73" s="38">
        <v>244</v>
      </c>
      <c r="C73" s="39">
        <f t="shared" si="0"/>
        <v>0.1303281781937029</v>
      </c>
      <c r="D73" s="39">
        <f t="shared" si="1"/>
        <v>1.0151177199504338</v>
      </c>
    </row>
    <row r="74" spans="2:4" ht="15" x14ac:dyDescent="0.15">
      <c r="B74" s="38">
        <v>248</v>
      </c>
      <c r="C74" s="39">
        <f t="shared" si="0"/>
        <v>0.13248108182055357</v>
      </c>
      <c r="D74" s="39">
        <f t="shared" si="1"/>
        <v>1.0153693604362914</v>
      </c>
    </row>
    <row r="75" spans="2:4" ht="15" x14ac:dyDescent="0.15">
      <c r="B75" s="38">
        <v>252</v>
      </c>
      <c r="C75" s="39">
        <f t="shared" si="0"/>
        <v>0.1346345192031147</v>
      </c>
      <c r="D75" s="39">
        <f t="shared" si="1"/>
        <v>1.0156211257128689</v>
      </c>
    </row>
    <row r="76" spans="2:4" ht="15" x14ac:dyDescent="0.15">
      <c r="B76" s="38">
        <v>256</v>
      </c>
      <c r="C76" s="39">
        <f t="shared" si="0"/>
        <v>0.13678849060610884</v>
      </c>
      <c r="D76" s="39">
        <f t="shared" si="1"/>
        <v>1.0158730158730158</v>
      </c>
    </row>
    <row r="77" spans="2:4" ht="15" x14ac:dyDescent="0.15">
      <c r="B77" s="38">
        <v>260</v>
      </c>
      <c r="C77" s="39">
        <f t="shared" ref="C77:C140" si="2">20*LOG(D77)</f>
        <v>0.1389429962944633</v>
      </c>
      <c r="D77" s="39">
        <f t="shared" ref="D77:D140" si="3">16384/(16384-B77)</f>
        <v>1.016125031009675</v>
      </c>
    </row>
    <row r="78" spans="2:4" ht="15" x14ac:dyDescent="0.15">
      <c r="B78" s="38">
        <v>264</v>
      </c>
      <c r="C78" s="39">
        <f t="shared" si="2"/>
        <v>0.14109803653329786</v>
      </c>
      <c r="D78" s="39">
        <f t="shared" si="3"/>
        <v>1.0163771712158809</v>
      </c>
    </row>
    <row r="79" spans="2:4" ht="15" x14ac:dyDescent="0.15">
      <c r="B79" s="38">
        <v>268</v>
      </c>
      <c r="C79" s="39">
        <f t="shared" si="2"/>
        <v>0.14325361158793171</v>
      </c>
      <c r="D79" s="39">
        <f t="shared" si="3"/>
        <v>1.0166294365847606</v>
      </c>
    </row>
    <row r="80" spans="2:4" ht="15" x14ac:dyDescent="0.15">
      <c r="B80" s="38">
        <v>272</v>
      </c>
      <c r="C80" s="39">
        <f t="shared" si="2"/>
        <v>0.14540972172387867</v>
      </c>
      <c r="D80" s="39">
        <f t="shared" si="3"/>
        <v>1.0168818272095332</v>
      </c>
    </row>
    <row r="81" spans="2:4" ht="15" x14ac:dyDescent="0.15">
      <c r="B81" s="38">
        <v>276</v>
      </c>
      <c r="C81" s="39">
        <f t="shared" si="2"/>
        <v>0.14756636720685612</v>
      </c>
      <c r="D81" s="39">
        <f t="shared" si="3"/>
        <v>1.0171343431835114</v>
      </c>
    </row>
    <row r="82" spans="2:4" ht="15" x14ac:dyDescent="0.15">
      <c r="B82" s="38">
        <v>280</v>
      </c>
      <c r="C82" s="39">
        <f t="shared" si="2"/>
        <v>0.14972354830277271</v>
      </c>
      <c r="D82" s="39">
        <f t="shared" si="3"/>
        <v>1.0173869846000994</v>
      </c>
    </row>
    <row r="83" spans="2:4" ht="15" x14ac:dyDescent="0.15">
      <c r="B83" s="38">
        <v>284</v>
      </c>
      <c r="C83" s="39">
        <f t="shared" si="2"/>
        <v>0.15188126527774079</v>
      </c>
      <c r="D83" s="39">
        <f t="shared" si="3"/>
        <v>1.0176397515527951</v>
      </c>
    </row>
    <row r="84" spans="2:4" ht="15" x14ac:dyDescent="0.15">
      <c r="B84" s="38">
        <v>288</v>
      </c>
      <c r="C84" s="39">
        <f t="shared" si="2"/>
        <v>0.15403951839806629</v>
      </c>
      <c r="D84" s="39">
        <f t="shared" si="3"/>
        <v>1.0178926441351888</v>
      </c>
    </row>
    <row r="85" spans="2:4" ht="15" x14ac:dyDescent="0.15">
      <c r="B85" s="38">
        <v>292</v>
      </c>
      <c r="C85" s="39">
        <f t="shared" si="2"/>
        <v>0.15619830793025924</v>
      </c>
      <c r="D85" s="39">
        <f t="shared" si="3"/>
        <v>1.0181456624409644</v>
      </c>
    </row>
    <row r="86" spans="2:4" ht="15" x14ac:dyDescent="0.15">
      <c r="B86" s="38">
        <v>296</v>
      </c>
      <c r="C86" s="39">
        <f t="shared" si="2"/>
        <v>0.15835763414102341</v>
      </c>
      <c r="D86" s="39">
        <f t="shared" si="3"/>
        <v>1.0183988065638985</v>
      </c>
    </row>
    <row r="87" spans="2:4" ht="15" x14ac:dyDescent="0.15">
      <c r="B87" s="38">
        <v>300</v>
      </c>
      <c r="C87" s="39">
        <f t="shared" si="2"/>
        <v>0.16051749729726517</v>
      </c>
      <c r="D87" s="39">
        <f t="shared" si="3"/>
        <v>1.0186520765978613</v>
      </c>
    </row>
    <row r="88" spans="2:4" ht="15" x14ac:dyDescent="0.15">
      <c r="B88" s="38">
        <v>304</v>
      </c>
      <c r="C88" s="39">
        <f t="shared" si="2"/>
        <v>0.16267789766608498</v>
      </c>
      <c r="D88" s="39">
        <f t="shared" si="3"/>
        <v>1.0189054726368159</v>
      </c>
    </row>
    <row r="89" spans="2:4" ht="15" x14ac:dyDescent="0.15">
      <c r="B89" s="38">
        <v>308</v>
      </c>
      <c r="C89" s="39">
        <f t="shared" si="2"/>
        <v>0.16483883551478989</v>
      </c>
      <c r="D89" s="39">
        <f t="shared" si="3"/>
        <v>1.0191589947748196</v>
      </c>
    </row>
    <row r="90" spans="2:4" ht="15" x14ac:dyDescent="0.15">
      <c r="B90" s="38">
        <v>312</v>
      </c>
      <c r="C90" s="39">
        <f t="shared" si="2"/>
        <v>0.16700031111087954</v>
      </c>
      <c r="D90" s="39">
        <f t="shared" si="3"/>
        <v>1.0194126431060229</v>
      </c>
    </row>
    <row r="91" spans="2:4" ht="15" x14ac:dyDescent="0.15">
      <c r="B91" s="38">
        <v>316</v>
      </c>
      <c r="C91" s="39">
        <f t="shared" si="2"/>
        <v>0.16916232472205858</v>
      </c>
      <c r="D91" s="39">
        <f t="shared" si="3"/>
        <v>1.0196664177246701</v>
      </c>
    </row>
    <row r="92" spans="2:4" ht="15" x14ac:dyDescent="0.15">
      <c r="B92" s="38">
        <v>320</v>
      </c>
      <c r="C92" s="39">
        <f t="shared" si="2"/>
        <v>0.17132487661622831</v>
      </c>
      <c r="D92" s="39">
        <f t="shared" si="3"/>
        <v>1.0199203187250996</v>
      </c>
    </row>
    <row r="93" spans="2:4" ht="15" x14ac:dyDescent="0.15">
      <c r="B93" s="38">
        <v>324</v>
      </c>
      <c r="C93" s="39">
        <f t="shared" si="2"/>
        <v>0.17348796706149144</v>
      </c>
      <c r="D93" s="39">
        <f t="shared" si="3"/>
        <v>1.0201743462017434</v>
      </c>
    </row>
    <row r="94" spans="2:4" ht="15" x14ac:dyDescent="0.15">
      <c r="B94" s="38">
        <v>328</v>
      </c>
      <c r="C94" s="39">
        <f t="shared" si="2"/>
        <v>0.17565159632615165</v>
      </c>
      <c r="D94" s="39">
        <f t="shared" si="3"/>
        <v>1.020428500249128</v>
      </c>
    </row>
    <row r="95" spans="2:4" ht="15" x14ac:dyDescent="0.15">
      <c r="B95" s="38">
        <v>332</v>
      </c>
      <c r="C95" s="39">
        <f t="shared" si="2"/>
        <v>0.1778157646787123</v>
      </c>
      <c r="D95" s="39">
        <f t="shared" si="3"/>
        <v>1.0206827809618739</v>
      </c>
    </row>
    <row r="96" spans="2:4" ht="15" x14ac:dyDescent="0.15">
      <c r="B96" s="38">
        <v>336</v>
      </c>
      <c r="C96" s="39">
        <f t="shared" si="2"/>
        <v>0.17998047238787596</v>
      </c>
      <c r="D96" s="39">
        <f t="shared" si="3"/>
        <v>1.0209371884346958</v>
      </c>
    </row>
    <row r="97" spans="2:4" ht="15" x14ac:dyDescent="0.15">
      <c r="B97" s="38">
        <v>340</v>
      </c>
      <c r="C97" s="39">
        <f t="shared" si="2"/>
        <v>0.1821457197225512</v>
      </c>
      <c r="D97" s="39">
        <f t="shared" si="3"/>
        <v>1.0211917227624034</v>
      </c>
    </row>
    <row r="98" spans="2:4" ht="15" x14ac:dyDescent="0.15">
      <c r="B98" s="38">
        <v>344</v>
      </c>
      <c r="C98" s="39">
        <f t="shared" si="2"/>
        <v>0.18431150695184012</v>
      </c>
      <c r="D98" s="39">
        <f t="shared" si="3"/>
        <v>1.0214463840399002</v>
      </c>
    </row>
    <row r="99" spans="2:4" ht="15" x14ac:dyDescent="0.15">
      <c r="B99" s="38">
        <v>348</v>
      </c>
      <c r="C99" s="39">
        <f t="shared" si="2"/>
        <v>0.18647783434505499</v>
      </c>
      <c r="D99" s="39">
        <f t="shared" si="3"/>
        <v>1.0217011723621852</v>
      </c>
    </row>
    <row r="100" spans="2:4" ht="15" x14ac:dyDescent="0.15">
      <c r="B100" s="38">
        <v>352</v>
      </c>
      <c r="C100" s="39">
        <f t="shared" si="2"/>
        <v>0.18864470217170004</v>
      </c>
      <c r="D100" s="39">
        <f t="shared" si="3"/>
        <v>1.0219560878243512</v>
      </c>
    </row>
    <row r="101" spans="2:4" ht="15" x14ac:dyDescent="0.15">
      <c r="B101" s="38">
        <v>356</v>
      </c>
      <c r="C101" s="39">
        <f t="shared" si="2"/>
        <v>0.19081211070149179</v>
      </c>
      <c r="D101" s="39">
        <f t="shared" si="3"/>
        <v>1.0222111305215873</v>
      </c>
    </row>
    <row r="102" spans="2:4" ht="15" x14ac:dyDescent="0.15">
      <c r="B102" s="38">
        <v>360</v>
      </c>
      <c r="C102" s="39">
        <f t="shared" si="2"/>
        <v>0.192980060204339</v>
      </c>
      <c r="D102" s="39">
        <f t="shared" si="3"/>
        <v>1.0224663005491763</v>
      </c>
    </row>
    <row r="103" spans="2:4" ht="15" x14ac:dyDescent="0.15">
      <c r="B103" s="38">
        <v>364</v>
      </c>
      <c r="C103" s="39">
        <f t="shared" si="2"/>
        <v>0.19514855095035727</v>
      </c>
      <c r="D103" s="39">
        <f t="shared" si="3"/>
        <v>1.0227215980024968</v>
      </c>
    </row>
    <row r="104" spans="2:4" ht="15" x14ac:dyDescent="0.15">
      <c r="B104" s="38">
        <v>368</v>
      </c>
      <c r="C104" s="39">
        <f t="shared" si="2"/>
        <v>0.1973175832098662</v>
      </c>
      <c r="D104" s="39">
        <f t="shared" si="3"/>
        <v>1.022977022977023</v>
      </c>
    </row>
    <row r="105" spans="2:4" ht="15" x14ac:dyDescent="0.15">
      <c r="B105" s="38">
        <v>372</v>
      </c>
      <c r="C105" s="39">
        <f t="shared" si="2"/>
        <v>0.19948715725338487</v>
      </c>
      <c r="D105" s="39">
        <f t="shared" si="3"/>
        <v>1.0232325755683238</v>
      </c>
    </row>
    <row r="106" spans="2:4" ht="15" x14ac:dyDescent="0.15">
      <c r="B106" s="38">
        <v>376</v>
      </c>
      <c r="C106" s="39">
        <f t="shared" si="2"/>
        <v>0.20165727335163461</v>
      </c>
      <c r="D106" s="39">
        <f t="shared" si="3"/>
        <v>1.0234882558720639</v>
      </c>
    </row>
    <row r="107" spans="2:4" ht="15" x14ac:dyDescent="0.15">
      <c r="B107" s="38">
        <v>380</v>
      </c>
      <c r="C107" s="39">
        <f t="shared" si="2"/>
        <v>0.20382793177554415</v>
      </c>
      <c r="D107" s="39">
        <f t="shared" si="3"/>
        <v>1.0237440639840041</v>
      </c>
    </row>
    <row r="108" spans="2:4" ht="15" x14ac:dyDescent="0.15">
      <c r="B108" s="38">
        <v>384</v>
      </c>
      <c r="C108" s="39">
        <f t="shared" si="2"/>
        <v>0.20599913279623921</v>
      </c>
      <c r="D108" s="39">
        <f t="shared" si="3"/>
        <v>1.024</v>
      </c>
    </row>
    <row r="109" spans="2:4" ht="15" x14ac:dyDescent="0.15">
      <c r="B109" s="38">
        <v>388</v>
      </c>
      <c r="C109" s="39">
        <f t="shared" si="2"/>
        <v>0.20817087668505488</v>
      </c>
      <c r="D109" s="39">
        <f t="shared" si="3"/>
        <v>1.0242560640160041</v>
      </c>
    </row>
    <row r="110" spans="2:4" ht="15" x14ac:dyDescent="0.15">
      <c r="B110" s="38">
        <v>392</v>
      </c>
      <c r="C110" s="39">
        <f t="shared" si="2"/>
        <v>0.21034316371352352</v>
      </c>
      <c r="D110" s="39">
        <f t="shared" si="3"/>
        <v>1.024512256128064</v>
      </c>
    </row>
    <row r="111" spans="2:4" ht="15" x14ac:dyDescent="0.15">
      <c r="B111" s="38">
        <v>396</v>
      </c>
      <c r="C111" s="39">
        <f t="shared" si="2"/>
        <v>0.21251599415338901</v>
      </c>
      <c r="D111" s="39">
        <f t="shared" si="3"/>
        <v>1.0247685764323242</v>
      </c>
    </row>
    <row r="112" spans="2:4" ht="15" x14ac:dyDescent="0.15">
      <c r="B112" s="38">
        <v>400</v>
      </c>
      <c r="C112" s="39">
        <f t="shared" si="2"/>
        <v>0.2146893682765928</v>
      </c>
      <c r="D112" s="39">
        <f t="shared" si="3"/>
        <v>1.025025025025025</v>
      </c>
    </row>
    <row r="113" spans="2:4" ht="15" x14ac:dyDescent="0.15">
      <c r="B113" s="38">
        <v>404</v>
      </c>
      <c r="C113" s="39">
        <f t="shared" si="2"/>
        <v>0.2168632863552824</v>
      </c>
      <c r="D113" s="39">
        <f t="shared" si="3"/>
        <v>1.0252816020025031</v>
      </c>
    </row>
    <row r="114" spans="2:4" ht="15" x14ac:dyDescent="0.15">
      <c r="B114" s="38">
        <v>408</v>
      </c>
      <c r="C114" s="39">
        <f t="shared" si="2"/>
        <v>0.21903774866181061</v>
      </c>
      <c r="D114" s="39">
        <f t="shared" si="3"/>
        <v>1.0255383074611917</v>
      </c>
    </row>
    <row r="115" spans="2:4" ht="15" x14ac:dyDescent="0.15">
      <c r="B115" s="38">
        <v>412</v>
      </c>
      <c r="C115" s="39">
        <f t="shared" si="2"/>
        <v>0.22121275546873487</v>
      </c>
      <c r="D115" s="39">
        <f t="shared" si="3"/>
        <v>1.0257951414976207</v>
      </c>
    </row>
    <row r="116" spans="2:4" ht="15" x14ac:dyDescent="0.15">
      <c r="B116" s="38">
        <v>416</v>
      </c>
      <c r="C116" s="39">
        <f t="shared" si="2"/>
        <v>0.22338830704881613</v>
      </c>
      <c r="D116" s="39">
        <f t="shared" si="3"/>
        <v>1.0260521042084167</v>
      </c>
    </row>
    <row r="117" spans="2:4" ht="15" x14ac:dyDescent="0.15">
      <c r="B117" s="38">
        <v>420</v>
      </c>
      <c r="C117" s="39">
        <f t="shared" si="2"/>
        <v>0.22556440367502203</v>
      </c>
      <c r="D117" s="39">
        <f t="shared" si="3"/>
        <v>1.0263091956903032</v>
      </c>
    </row>
    <row r="118" spans="2:4" ht="15" x14ac:dyDescent="0.15">
      <c r="B118" s="38">
        <v>424</v>
      </c>
      <c r="C118" s="39">
        <f t="shared" si="2"/>
        <v>0.22774104562052214</v>
      </c>
      <c r="D118" s="39">
        <f t="shared" si="3"/>
        <v>1.0265664160401002</v>
      </c>
    </row>
    <row r="119" spans="2:4" ht="15" x14ac:dyDescent="0.15">
      <c r="B119" s="38">
        <v>428</v>
      </c>
      <c r="C119" s="39">
        <f t="shared" si="2"/>
        <v>0.22991823315869492</v>
      </c>
      <c r="D119" s="39">
        <f t="shared" si="3"/>
        <v>1.0268237653547254</v>
      </c>
    </row>
    <row r="120" spans="2:4" ht="15" x14ac:dyDescent="0.15">
      <c r="B120" s="38">
        <v>432</v>
      </c>
      <c r="C120" s="39">
        <f t="shared" si="2"/>
        <v>0.23209596656312464</v>
      </c>
      <c r="D120" s="39">
        <f t="shared" si="3"/>
        <v>1.0270812437311936</v>
      </c>
    </row>
    <row r="121" spans="2:4" ht="15" x14ac:dyDescent="0.15">
      <c r="B121" s="38">
        <v>436</v>
      </c>
      <c r="C121" s="39">
        <f t="shared" si="2"/>
        <v>0.23427424610759723</v>
      </c>
      <c r="D121" s="39">
        <f t="shared" si="3"/>
        <v>1.0273388512666164</v>
      </c>
    </row>
    <row r="122" spans="2:4" ht="15" x14ac:dyDescent="0.15">
      <c r="B122" s="38">
        <v>440</v>
      </c>
      <c r="C122" s="39">
        <f t="shared" si="2"/>
        <v>0.23645307206611027</v>
      </c>
      <c r="D122" s="39">
        <f t="shared" si="3"/>
        <v>1.0275965880582036</v>
      </c>
    </row>
    <row r="123" spans="2:4" ht="15" x14ac:dyDescent="0.15">
      <c r="B123" s="38">
        <v>444</v>
      </c>
      <c r="C123" s="39">
        <f t="shared" si="2"/>
        <v>0.23863244471286318</v>
      </c>
      <c r="D123" s="39">
        <f t="shared" si="3"/>
        <v>1.0278544542032622</v>
      </c>
    </row>
    <row r="124" spans="2:4" ht="15" x14ac:dyDescent="0.15">
      <c r="B124" s="38">
        <v>448</v>
      </c>
      <c r="C124" s="39">
        <f t="shared" si="2"/>
        <v>0.24081236432226361</v>
      </c>
      <c r="D124" s="39">
        <f t="shared" si="3"/>
        <v>1.0281124497991967</v>
      </c>
    </row>
    <row r="125" spans="2:4" ht="15" x14ac:dyDescent="0.15">
      <c r="B125" s="38">
        <v>452</v>
      </c>
      <c r="C125" s="39">
        <f t="shared" si="2"/>
        <v>0.24299283116892681</v>
      </c>
      <c r="D125" s="39">
        <f t="shared" si="3"/>
        <v>1.0283705749435099</v>
      </c>
    </row>
    <row r="126" spans="2:4" ht="15" x14ac:dyDescent="0.15">
      <c r="B126" s="38">
        <v>456</v>
      </c>
      <c r="C126" s="39">
        <f t="shared" si="2"/>
        <v>0.24517384552767277</v>
      </c>
      <c r="D126" s="39">
        <f t="shared" si="3"/>
        <v>1.0286288297338022</v>
      </c>
    </row>
    <row r="127" spans="2:4" ht="15" x14ac:dyDescent="0.15">
      <c r="B127" s="38">
        <v>460</v>
      </c>
      <c r="C127" s="39">
        <f t="shared" si="2"/>
        <v>0.24735540767352734</v>
      </c>
      <c r="D127" s="39">
        <f t="shared" si="3"/>
        <v>1.0288872142677719</v>
      </c>
    </row>
    <row r="128" spans="2:4" ht="15" x14ac:dyDescent="0.15">
      <c r="B128" s="38">
        <v>464</v>
      </c>
      <c r="C128" s="39">
        <f t="shared" si="2"/>
        <v>0.24953751788173081</v>
      </c>
      <c r="D128" s="39">
        <f t="shared" si="3"/>
        <v>1.0291457286432162</v>
      </c>
    </row>
    <row r="129" spans="2:4" ht="15" x14ac:dyDescent="0.15">
      <c r="B129" s="38">
        <v>468</v>
      </c>
      <c r="C129" s="39">
        <f t="shared" si="2"/>
        <v>0.25172017642772015</v>
      </c>
      <c r="D129" s="39">
        <f t="shared" si="3"/>
        <v>1.0294043729580296</v>
      </c>
    </row>
    <row r="130" spans="2:4" ht="15" x14ac:dyDescent="0.15">
      <c r="B130" s="38">
        <v>472</v>
      </c>
      <c r="C130" s="39">
        <f t="shared" si="2"/>
        <v>0.25390338358715059</v>
      </c>
      <c r="D130" s="39">
        <f t="shared" si="3"/>
        <v>1.029663147310206</v>
      </c>
    </row>
    <row r="131" spans="2:4" ht="15" x14ac:dyDescent="0.15">
      <c r="B131" s="38">
        <v>476</v>
      </c>
      <c r="C131" s="39">
        <f t="shared" si="2"/>
        <v>0.25608713963588003</v>
      </c>
      <c r="D131" s="39">
        <f t="shared" si="3"/>
        <v>1.0299220517978376</v>
      </c>
    </row>
    <row r="132" spans="2:4" ht="15" x14ac:dyDescent="0.15">
      <c r="B132" s="38">
        <v>480</v>
      </c>
      <c r="C132" s="39">
        <f t="shared" si="2"/>
        <v>0.25827144484997355</v>
      </c>
      <c r="D132" s="39">
        <f t="shared" si="3"/>
        <v>1.0301810865191148</v>
      </c>
    </row>
    <row r="133" spans="2:4" ht="15" x14ac:dyDescent="0.15">
      <c r="B133" s="38">
        <v>484</v>
      </c>
      <c r="C133" s="39">
        <f t="shared" si="2"/>
        <v>0.26045629950570459</v>
      </c>
      <c r="D133" s="39">
        <f t="shared" si="3"/>
        <v>1.030440251572327</v>
      </c>
    </row>
    <row r="134" spans="2:4" ht="15" x14ac:dyDescent="0.15">
      <c r="B134" s="38">
        <v>488</v>
      </c>
      <c r="C134" s="39">
        <f t="shared" si="2"/>
        <v>0.26264170387955971</v>
      </c>
      <c r="D134" s="39">
        <f t="shared" si="3"/>
        <v>1.0306995470558631</v>
      </c>
    </row>
    <row r="135" spans="2:4" ht="15" x14ac:dyDescent="0.15">
      <c r="B135" s="38">
        <v>492</v>
      </c>
      <c r="C135" s="39">
        <f t="shared" si="2"/>
        <v>0.26482765824823035</v>
      </c>
      <c r="D135" s="39">
        <f t="shared" si="3"/>
        <v>1.0309589730682105</v>
      </c>
    </row>
    <row r="136" spans="2:4" ht="15" x14ac:dyDescent="0.15">
      <c r="B136" s="38">
        <v>496</v>
      </c>
      <c r="C136" s="39">
        <f t="shared" si="2"/>
        <v>0.26701416288861551</v>
      </c>
      <c r="D136" s="39">
        <f t="shared" si="3"/>
        <v>1.0312185297079557</v>
      </c>
    </row>
    <row r="137" spans="2:4" ht="15" x14ac:dyDescent="0.15">
      <c r="B137" s="38">
        <v>500</v>
      </c>
      <c r="C137" s="39">
        <f t="shared" si="2"/>
        <v>0.26920121807782676</v>
      </c>
      <c r="D137" s="39">
        <f t="shared" si="3"/>
        <v>1.0314782170737848</v>
      </c>
    </row>
    <row r="138" spans="2:4" ht="15" x14ac:dyDescent="0.15">
      <c r="B138" s="38">
        <v>504</v>
      </c>
      <c r="C138" s="39">
        <f t="shared" si="2"/>
        <v>0.27138882409318532</v>
      </c>
      <c r="D138" s="39">
        <f t="shared" si="3"/>
        <v>1.0317380352644836</v>
      </c>
    </row>
    <row r="139" spans="2:4" ht="15" x14ac:dyDescent="0.15">
      <c r="B139" s="38">
        <v>508</v>
      </c>
      <c r="C139" s="39">
        <f t="shared" si="2"/>
        <v>0.27357698121221952</v>
      </c>
      <c r="D139" s="39">
        <f t="shared" si="3"/>
        <v>1.0319979843789369</v>
      </c>
    </row>
    <row r="140" spans="2:4" ht="15" x14ac:dyDescent="0.15">
      <c r="B140" s="38">
        <v>512</v>
      </c>
      <c r="C140" s="39">
        <f t="shared" si="2"/>
        <v>0.27576568971266568</v>
      </c>
      <c r="D140" s="39">
        <f t="shared" si="3"/>
        <v>1.032258064516129</v>
      </c>
    </row>
    <row r="141" spans="2:4" ht="15" x14ac:dyDescent="0.15">
      <c r="B141" s="38">
        <v>516</v>
      </c>
      <c r="C141" s="39">
        <f t="shared" ref="C141:C204" si="4">20*LOG(D141)</f>
        <v>0.27795494987247682</v>
      </c>
      <c r="D141" s="39">
        <f t="shared" ref="D141:D204" si="5">16384/(16384-B141)</f>
        <v>1.032518275775145</v>
      </c>
    </row>
    <row r="142" spans="2:4" ht="15" x14ac:dyDescent="0.15">
      <c r="B142" s="38">
        <v>520</v>
      </c>
      <c r="C142" s="39">
        <f t="shared" si="4"/>
        <v>0.28014476196981031</v>
      </c>
      <c r="D142" s="39">
        <f t="shared" si="5"/>
        <v>1.032778618255169</v>
      </c>
    </row>
    <row r="143" spans="2:4" ht="15" x14ac:dyDescent="0.15">
      <c r="B143" s="38">
        <v>524</v>
      </c>
      <c r="C143" s="39">
        <f t="shared" si="4"/>
        <v>0.2823351262830347</v>
      </c>
      <c r="D143" s="39">
        <f t="shared" si="5"/>
        <v>1.0330390920554855</v>
      </c>
    </row>
    <row r="144" spans="2:4" ht="15" x14ac:dyDescent="0.15">
      <c r="B144" s="38">
        <v>528</v>
      </c>
      <c r="C144" s="39">
        <f t="shared" si="4"/>
        <v>0.28452604309073254</v>
      </c>
      <c r="D144" s="39">
        <f t="shared" si="5"/>
        <v>1.0332996972754793</v>
      </c>
    </row>
    <row r="145" spans="2:4" ht="15" x14ac:dyDescent="0.15">
      <c r="B145" s="38">
        <v>532</v>
      </c>
      <c r="C145" s="39">
        <f t="shared" si="4"/>
        <v>0.28671751267169399</v>
      </c>
      <c r="D145" s="39">
        <f t="shared" si="5"/>
        <v>1.0335604340146354</v>
      </c>
    </row>
    <row r="146" spans="2:4" ht="15" x14ac:dyDescent="0.15">
      <c r="B146" s="38">
        <v>536</v>
      </c>
      <c r="C146" s="39">
        <f t="shared" si="4"/>
        <v>0.28890953530492153</v>
      </c>
      <c r="D146" s="39">
        <f t="shared" si="5"/>
        <v>1.0338213023725391</v>
      </c>
    </row>
    <row r="147" spans="2:4" ht="15" x14ac:dyDescent="0.15">
      <c r="B147" s="38">
        <v>540</v>
      </c>
      <c r="C147" s="39">
        <f t="shared" si="4"/>
        <v>0.29110211126962893</v>
      </c>
      <c r="D147" s="39">
        <f t="shared" si="5"/>
        <v>1.0340823024488766</v>
      </c>
    </row>
    <row r="148" spans="2:4" ht="15" x14ac:dyDescent="0.15">
      <c r="B148" s="38">
        <v>544</v>
      </c>
      <c r="C148" s="39">
        <f t="shared" si="4"/>
        <v>0.29329524084524072</v>
      </c>
      <c r="D148" s="39">
        <f t="shared" si="5"/>
        <v>1.0343434343434343</v>
      </c>
    </row>
    <row r="149" spans="2:4" ht="15" x14ac:dyDescent="0.15">
      <c r="B149" s="38">
        <v>548</v>
      </c>
      <c r="C149" s="39">
        <f t="shared" si="4"/>
        <v>0.29548892431139495</v>
      </c>
      <c r="D149" s="39">
        <f t="shared" si="5"/>
        <v>1.0346046981561001</v>
      </c>
    </row>
    <row r="150" spans="2:4" ht="15" x14ac:dyDescent="0.15">
      <c r="B150" s="38">
        <v>552</v>
      </c>
      <c r="C150" s="39">
        <f t="shared" si="4"/>
        <v>0.29768316194793831</v>
      </c>
      <c r="D150" s="39">
        <f t="shared" si="5"/>
        <v>1.0348660939868621</v>
      </c>
    </row>
    <row r="151" spans="2:4" ht="15" x14ac:dyDescent="0.15">
      <c r="B151" s="38">
        <v>556</v>
      </c>
      <c r="C151" s="39">
        <f t="shared" si="4"/>
        <v>0.29987795403493145</v>
      </c>
      <c r="D151" s="39">
        <f t="shared" si="5"/>
        <v>1.0351276219358099</v>
      </c>
    </row>
    <row r="152" spans="2:4" ht="15" x14ac:dyDescent="0.15">
      <c r="B152" s="38">
        <v>560</v>
      </c>
      <c r="C152" s="39">
        <f t="shared" si="4"/>
        <v>0.30207330085265127</v>
      </c>
      <c r="D152" s="39">
        <f t="shared" si="5"/>
        <v>1.0353892821031345</v>
      </c>
    </row>
    <row r="153" spans="2:4" ht="15" x14ac:dyDescent="0.15">
      <c r="B153" s="38">
        <v>564</v>
      </c>
      <c r="C153" s="39">
        <f t="shared" si="4"/>
        <v>0.30426920268157931</v>
      </c>
      <c r="D153" s="39">
        <f t="shared" si="5"/>
        <v>1.0356510745891276</v>
      </c>
    </row>
    <row r="154" spans="2:4" ht="15" x14ac:dyDescent="0.15">
      <c r="B154" s="38">
        <v>568</v>
      </c>
      <c r="C154" s="39">
        <f t="shared" si="4"/>
        <v>0.30646565980241725</v>
      </c>
      <c r="D154" s="39">
        <f t="shared" si="5"/>
        <v>1.0359129994941831</v>
      </c>
    </row>
    <row r="155" spans="2:4" ht="15" x14ac:dyDescent="0.15">
      <c r="B155" s="38">
        <v>572</v>
      </c>
      <c r="C155" s="39">
        <f t="shared" si="4"/>
        <v>0.30866267249607349</v>
      </c>
      <c r="D155" s="39">
        <f t="shared" si="5"/>
        <v>1.0361750569187957</v>
      </c>
    </row>
    <row r="156" spans="2:4" ht="15" x14ac:dyDescent="0.15">
      <c r="B156" s="38">
        <v>576</v>
      </c>
      <c r="C156" s="39">
        <f t="shared" si="4"/>
        <v>0.31086024104367671</v>
      </c>
      <c r="D156" s="39">
        <f t="shared" si="5"/>
        <v>1.0364372469635628</v>
      </c>
    </row>
    <row r="157" spans="2:4" ht="15" x14ac:dyDescent="0.15">
      <c r="B157" s="38">
        <v>580</v>
      </c>
      <c r="C157" s="39">
        <f t="shared" si="4"/>
        <v>0.31305836572656237</v>
      </c>
      <c r="D157" s="39">
        <f t="shared" si="5"/>
        <v>1.0366995697291825</v>
      </c>
    </row>
    <row r="158" spans="2:4" ht="15" x14ac:dyDescent="0.15">
      <c r="B158" s="38">
        <v>584</v>
      </c>
      <c r="C158" s="39">
        <f t="shared" si="4"/>
        <v>0.31525704682628275</v>
      </c>
      <c r="D158" s="39">
        <f t="shared" si="5"/>
        <v>1.0369620253164558</v>
      </c>
    </row>
    <row r="159" spans="2:4" ht="15" x14ac:dyDescent="0.15">
      <c r="B159" s="38">
        <v>588</v>
      </c>
      <c r="C159" s="39">
        <f t="shared" si="4"/>
        <v>0.3174562846246024</v>
      </c>
      <c r="D159" s="39">
        <f t="shared" si="5"/>
        <v>1.0372246138262851</v>
      </c>
    </row>
    <row r="160" spans="2:4" ht="15" x14ac:dyDescent="0.15">
      <c r="B160" s="38">
        <v>592</v>
      </c>
      <c r="C160" s="39">
        <f t="shared" si="4"/>
        <v>0.31965607940350499</v>
      </c>
      <c r="D160" s="39">
        <f t="shared" si="5"/>
        <v>1.0374873353596759</v>
      </c>
    </row>
    <row r="161" spans="2:4" ht="15" x14ac:dyDescent="0.15">
      <c r="B161" s="38">
        <v>596</v>
      </c>
      <c r="C161" s="39">
        <f t="shared" si="4"/>
        <v>0.32185643144518078</v>
      </c>
      <c r="D161" s="39">
        <f t="shared" si="5"/>
        <v>1.0377501900177351</v>
      </c>
    </row>
    <row r="162" spans="2:4" ht="15" x14ac:dyDescent="0.15">
      <c r="B162" s="38">
        <v>600</v>
      </c>
      <c r="C162" s="39">
        <f t="shared" si="4"/>
        <v>0.32405734103203915</v>
      </c>
      <c r="D162" s="39">
        <f t="shared" si="5"/>
        <v>1.0380131779016726</v>
      </c>
    </row>
    <row r="163" spans="2:4" ht="15" x14ac:dyDescent="0.15">
      <c r="B163" s="38">
        <v>604</v>
      </c>
      <c r="C163" s="39">
        <f t="shared" si="4"/>
        <v>0.32625880844670407</v>
      </c>
      <c r="D163" s="39">
        <f t="shared" si="5"/>
        <v>1.0382762991128009</v>
      </c>
    </row>
    <row r="164" spans="2:4" ht="15" x14ac:dyDescent="0.15">
      <c r="B164" s="38">
        <v>608</v>
      </c>
      <c r="C164" s="39">
        <f t="shared" si="4"/>
        <v>0.3284608339720147</v>
      </c>
      <c r="D164" s="39">
        <f t="shared" si="5"/>
        <v>1.0385395537525355</v>
      </c>
    </row>
    <row r="165" spans="2:4" ht="15" x14ac:dyDescent="0.15">
      <c r="B165" s="38">
        <v>612</v>
      </c>
      <c r="C165" s="39">
        <f t="shared" si="4"/>
        <v>0.33066341789102294</v>
      </c>
      <c r="D165" s="39">
        <f t="shared" si="5"/>
        <v>1.0388029419223941</v>
      </c>
    </row>
    <row r="166" spans="2:4" ht="15" x14ac:dyDescent="0.15">
      <c r="B166" s="38">
        <v>616</v>
      </c>
      <c r="C166" s="39">
        <f t="shared" si="4"/>
        <v>0.3328665604869982</v>
      </c>
      <c r="D166" s="39">
        <f t="shared" si="5"/>
        <v>1.0390664637239979</v>
      </c>
    </row>
    <row r="167" spans="2:4" ht="15" x14ac:dyDescent="0.15">
      <c r="B167" s="38">
        <v>620</v>
      </c>
      <c r="C167" s="39">
        <f t="shared" si="4"/>
        <v>0.33507026204342621</v>
      </c>
      <c r="D167" s="39">
        <f t="shared" si="5"/>
        <v>1.0393301192590714</v>
      </c>
    </row>
    <row r="168" spans="2:4" ht="15" x14ac:dyDescent="0.15">
      <c r="B168" s="38">
        <v>624</v>
      </c>
      <c r="C168" s="39">
        <f t="shared" si="4"/>
        <v>0.33727452284400483</v>
      </c>
      <c r="D168" s="39">
        <f t="shared" si="5"/>
        <v>1.0395939086294417</v>
      </c>
    </row>
    <row r="169" spans="2:4" ht="15" x14ac:dyDescent="0.15">
      <c r="B169" s="38">
        <v>628</v>
      </c>
      <c r="C169" s="39">
        <f t="shared" si="4"/>
        <v>0.33947934317265205</v>
      </c>
      <c r="D169" s="39">
        <f t="shared" si="5"/>
        <v>1.03985783193704</v>
      </c>
    </row>
    <row r="170" spans="2:4" ht="15" x14ac:dyDescent="0.15">
      <c r="B170" s="38">
        <v>632</v>
      </c>
      <c r="C170" s="39">
        <f t="shared" si="4"/>
        <v>0.34168472331349797</v>
      </c>
      <c r="D170" s="39">
        <f t="shared" si="5"/>
        <v>1.0401218892839004</v>
      </c>
    </row>
    <row r="171" spans="2:4" ht="15" x14ac:dyDescent="0.15">
      <c r="B171" s="38">
        <v>636</v>
      </c>
      <c r="C171" s="39">
        <f t="shared" si="4"/>
        <v>0.34389066355089509</v>
      </c>
      <c r="D171" s="39">
        <f t="shared" si="5"/>
        <v>1.0403860807721614</v>
      </c>
    </row>
    <row r="172" spans="2:4" ht="15" x14ac:dyDescent="0.15">
      <c r="B172" s="38">
        <v>640</v>
      </c>
      <c r="C172" s="39">
        <f t="shared" si="4"/>
        <v>0.34609716416940961</v>
      </c>
      <c r="D172" s="39">
        <f t="shared" si="5"/>
        <v>1.0406504065040652</v>
      </c>
    </row>
    <row r="173" spans="2:4" ht="15" x14ac:dyDescent="0.15">
      <c r="B173" s="38">
        <v>644</v>
      </c>
      <c r="C173" s="39">
        <f t="shared" si="4"/>
        <v>0.34830422545381923</v>
      </c>
      <c r="D173" s="39">
        <f t="shared" si="5"/>
        <v>1.0409148665819568</v>
      </c>
    </row>
    <row r="174" spans="2:4" ht="15" x14ac:dyDescent="0.15">
      <c r="B174" s="38">
        <v>648</v>
      </c>
      <c r="C174" s="39">
        <f t="shared" si="4"/>
        <v>0.35051184768912858</v>
      </c>
      <c r="D174" s="39">
        <f t="shared" si="5"/>
        <v>1.0411794611082867</v>
      </c>
    </row>
    <row r="175" spans="2:4" ht="15" x14ac:dyDescent="0.15">
      <c r="B175" s="38">
        <v>652</v>
      </c>
      <c r="C175" s="39">
        <f t="shared" si="4"/>
        <v>0.35272003116055173</v>
      </c>
      <c r="D175" s="39">
        <f t="shared" si="5"/>
        <v>1.0414441901856089</v>
      </c>
    </row>
    <row r="176" spans="2:4" ht="15" x14ac:dyDescent="0.15">
      <c r="B176" s="38">
        <v>656</v>
      </c>
      <c r="C176" s="39">
        <f t="shared" si="4"/>
        <v>0.35492877615352636</v>
      </c>
      <c r="D176" s="39">
        <f t="shared" si="5"/>
        <v>1.0417090539165819</v>
      </c>
    </row>
    <row r="177" spans="1:4" ht="15" x14ac:dyDescent="0.15">
      <c r="B177" s="38">
        <v>660</v>
      </c>
      <c r="C177" s="39">
        <f t="shared" si="4"/>
        <v>0.35713808295370308</v>
      </c>
      <c r="D177" s="39">
        <f t="shared" si="5"/>
        <v>1.0419740524039685</v>
      </c>
    </row>
    <row r="178" spans="1:4" ht="15" x14ac:dyDescent="0.15">
      <c r="B178" s="38">
        <v>664</v>
      </c>
      <c r="C178" s="39">
        <f t="shared" si="4"/>
        <v>0.35934795184695278</v>
      </c>
      <c r="D178" s="39">
        <f t="shared" si="5"/>
        <v>1.0422391857506361</v>
      </c>
    </row>
    <row r="179" spans="1:4" ht="15" x14ac:dyDescent="0.15">
      <c r="B179" s="38">
        <v>668</v>
      </c>
      <c r="C179" s="39">
        <f t="shared" si="4"/>
        <v>0.36155838311936478</v>
      </c>
      <c r="D179" s="39">
        <f t="shared" si="5"/>
        <v>1.0425044540595572</v>
      </c>
    </row>
    <row r="180" spans="1:4" ht="15" x14ac:dyDescent="0.15">
      <c r="B180" s="38">
        <v>672</v>
      </c>
      <c r="C180" s="39">
        <f t="shared" si="4"/>
        <v>0.36376937705724482</v>
      </c>
      <c r="D180" s="39">
        <f t="shared" si="5"/>
        <v>1.0427698574338085</v>
      </c>
    </row>
    <row r="181" spans="1:4" ht="15" x14ac:dyDescent="0.15">
      <c r="B181" s="38">
        <v>676</v>
      </c>
      <c r="C181" s="39">
        <f t="shared" si="4"/>
        <v>0.36598093394712139</v>
      </c>
      <c r="D181" s="39">
        <f t="shared" si="5"/>
        <v>1.0430353959765724</v>
      </c>
    </row>
    <row r="182" spans="1:4" ht="15" x14ac:dyDescent="0.15">
      <c r="B182" s="38">
        <v>680</v>
      </c>
      <c r="C182" s="39">
        <f t="shared" si="4"/>
        <v>0.36819305407573882</v>
      </c>
      <c r="D182" s="39">
        <f t="shared" si="5"/>
        <v>1.043301069791136</v>
      </c>
    </row>
    <row r="183" spans="1:4" ht="15" x14ac:dyDescent="0.15">
      <c r="B183" s="38">
        <v>684</v>
      </c>
      <c r="C183" s="39">
        <f t="shared" si="4"/>
        <v>0.37040573773005908</v>
      </c>
      <c r="D183" s="39">
        <f t="shared" si="5"/>
        <v>1.0435668789808916</v>
      </c>
    </row>
    <row r="184" spans="1:4" ht="15" x14ac:dyDescent="0.15">
      <c r="B184" s="38">
        <v>688</v>
      </c>
      <c r="C184" s="39">
        <f t="shared" si="4"/>
        <v>0.37261898519726949</v>
      </c>
      <c r="D184" s="39">
        <f t="shared" si="5"/>
        <v>1.0438328236493375</v>
      </c>
    </row>
    <row r="185" spans="1:4" ht="15" x14ac:dyDescent="0.15">
      <c r="B185" s="38">
        <v>692</v>
      </c>
      <c r="C185" s="39">
        <f t="shared" si="4"/>
        <v>0.37483279676476916</v>
      </c>
      <c r="D185" s="39">
        <f t="shared" si="5"/>
        <v>1.0440989039000765</v>
      </c>
    </row>
    <row r="186" spans="1:4" ht="15" x14ac:dyDescent="0.15">
      <c r="B186" s="38">
        <v>696</v>
      </c>
      <c r="C186" s="39">
        <f t="shared" si="4"/>
        <v>0.37704717272018262</v>
      </c>
      <c r="D186" s="39">
        <f t="shared" si="5"/>
        <v>1.044365119836818</v>
      </c>
    </row>
    <row r="187" spans="1:4" ht="15" x14ac:dyDescent="0.15">
      <c r="B187" s="38">
        <v>700</v>
      </c>
      <c r="C187" s="39">
        <f t="shared" si="4"/>
        <v>0.37926211335135185</v>
      </c>
      <c r="D187" s="39">
        <f t="shared" si="5"/>
        <v>1.0446314715633767</v>
      </c>
    </row>
    <row r="188" spans="1:4" ht="15" x14ac:dyDescent="0.15">
      <c r="B188" s="38">
        <v>704</v>
      </c>
      <c r="C188" s="39">
        <f t="shared" si="4"/>
        <v>0.38147761894634269</v>
      </c>
      <c r="D188" s="39">
        <f t="shared" si="5"/>
        <v>1.0448979591836736</v>
      </c>
    </row>
    <row r="189" spans="1:4" ht="15" x14ac:dyDescent="0.15">
      <c r="B189" s="38">
        <v>708</v>
      </c>
      <c r="C189" s="39">
        <f t="shared" si="4"/>
        <v>0.38369368979343449</v>
      </c>
      <c r="D189" s="39">
        <f t="shared" si="5"/>
        <v>1.0451645828017351</v>
      </c>
    </row>
    <row r="190" spans="1:4" ht="15" x14ac:dyDescent="0.15">
      <c r="B190" s="38">
        <v>712</v>
      </c>
      <c r="C190" s="39">
        <f t="shared" si="4"/>
        <v>0.38591032618113613</v>
      </c>
      <c r="D190" s="39">
        <f t="shared" si="5"/>
        <v>1.0454313425216948</v>
      </c>
    </row>
    <row r="191" spans="1:4" ht="15" x14ac:dyDescent="0.15">
      <c r="B191" s="38">
        <v>716</v>
      </c>
      <c r="C191" s="39">
        <f t="shared" si="4"/>
        <v>0.38812752839817005</v>
      </c>
      <c r="D191" s="39">
        <f t="shared" si="5"/>
        <v>1.0456982384477918</v>
      </c>
    </row>
    <row r="192" spans="1:4" ht="15" x14ac:dyDescent="0.15">
      <c r="A192" s="37"/>
      <c r="B192" s="38">
        <v>720</v>
      </c>
      <c r="C192" s="39">
        <f t="shared" si="4"/>
        <v>0.39034529673348278</v>
      </c>
      <c r="D192" s="39">
        <f t="shared" si="5"/>
        <v>1.0459652706843718</v>
      </c>
    </row>
    <row r="193" spans="2:4" ht="15" x14ac:dyDescent="0.15">
      <c r="B193" s="38">
        <v>724</v>
      </c>
      <c r="C193" s="39">
        <f t="shared" si="4"/>
        <v>0.39256363147624368</v>
      </c>
      <c r="D193" s="39">
        <f t="shared" si="5"/>
        <v>1.0462324393358877</v>
      </c>
    </row>
    <row r="194" spans="2:4" ht="15" x14ac:dyDescent="0.15">
      <c r="B194" s="38">
        <v>728</v>
      </c>
      <c r="C194" s="39">
        <f t="shared" si="4"/>
        <v>0.39478253291584053</v>
      </c>
      <c r="D194" s="39">
        <f t="shared" si="5"/>
        <v>1.0464997445068984</v>
      </c>
    </row>
    <row r="195" spans="2:4" ht="15" x14ac:dyDescent="0.15">
      <c r="B195" s="38">
        <v>732</v>
      </c>
      <c r="C195" s="39">
        <f t="shared" si="4"/>
        <v>0.39700200134188407</v>
      </c>
      <c r="D195" s="39">
        <f t="shared" si="5"/>
        <v>1.04676718630207</v>
      </c>
    </row>
    <row r="196" spans="2:4" ht="15" x14ac:dyDescent="0.15">
      <c r="B196" s="38">
        <v>736</v>
      </c>
      <c r="C196" s="39">
        <f t="shared" si="4"/>
        <v>0.39922203704421111</v>
      </c>
      <c r="D196" s="39">
        <f t="shared" si="5"/>
        <v>1.047034764826176</v>
      </c>
    </row>
    <row r="197" spans="2:4" ht="15" x14ac:dyDescent="0.15">
      <c r="B197" s="38">
        <v>740</v>
      </c>
      <c r="C197" s="39">
        <f t="shared" si="4"/>
        <v>0.40144264031287369</v>
      </c>
      <c r="D197" s="39">
        <f t="shared" si="5"/>
        <v>1.0473024801840962</v>
      </c>
    </row>
    <row r="198" spans="2:4" ht="15" x14ac:dyDescent="0.15">
      <c r="B198" s="38">
        <v>744</v>
      </c>
      <c r="C198" s="39">
        <f t="shared" si="4"/>
        <v>0.40366381143814994</v>
      </c>
      <c r="D198" s="39">
        <f t="shared" si="5"/>
        <v>1.0475703324808183</v>
      </c>
    </row>
    <row r="199" spans="2:4" ht="15" x14ac:dyDescent="0.15">
      <c r="B199" s="38">
        <v>748</v>
      </c>
      <c r="C199" s="39">
        <f t="shared" si="4"/>
        <v>0.40588555071054477</v>
      </c>
      <c r="D199" s="39">
        <f t="shared" si="5"/>
        <v>1.0478383218214378</v>
      </c>
    </row>
    <row r="200" spans="2:4" ht="15" x14ac:dyDescent="0.15">
      <c r="B200" s="38">
        <v>752</v>
      </c>
      <c r="C200" s="39">
        <f t="shared" si="4"/>
        <v>0.40810785842077779</v>
      </c>
      <c r="D200" s="39">
        <f t="shared" si="5"/>
        <v>1.0481064483111566</v>
      </c>
    </row>
    <row r="201" spans="2:4" ht="15" x14ac:dyDescent="0.15">
      <c r="B201" s="38">
        <v>756</v>
      </c>
      <c r="C201" s="39">
        <f t="shared" si="4"/>
        <v>0.41033073485979726</v>
      </c>
      <c r="D201" s="39">
        <f t="shared" si="5"/>
        <v>1.0483747120552853</v>
      </c>
    </row>
    <row r="202" spans="2:4" ht="15" x14ac:dyDescent="0.15">
      <c r="B202" s="38">
        <v>760</v>
      </c>
      <c r="C202" s="39">
        <f t="shared" si="4"/>
        <v>0.41255418031877522</v>
      </c>
      <c r="D202" s="39">
        <f t="shared" si="5"/>
        <v>1.0486431131592422</v>
      </c>
    </row>
    <row r="203" spans="2:4" ht="15" x14ac:dyDescent="0.15">
      <c r="B203" s="38">
        <v>764</v>
      </c>
      <c r="C203" s="39">
        <f t="shared" si="4"/>
        <v>0.41477819508910352</v>
      </c>
      <c r="D203" s="39">
        <f t="shared" si="5"/>
        <v>1.0489116517285531</v>
      </c>
    </row>
    <row r="204" spans="2:4" ht="15" x14ac:dyDescent="0.15">
      <c r="B204" s="38">
        <v>768</v>
      </c>
      <c r="C204" s="39">
        <f t="shared" si="4"/>
        <v>0.41700277946240322</v>
      </c>
      <c r="D204" s="39">
        <f t="shared" si="5"/>
        <v>1.0491803278688525</v>
      </c>
    </row>
    <row r="205" spans="2:4" ht="15" x14ac:dyDescent="0.15">
      <c r="B205" s="38">
        <v>772</v>
      </c>
      <c r="C205" s="39">
        <f t="shared" ref="C205:C268" si="6">20*LOG(D205)</f>
        <v>0.41922793373051304</v>
      </c>
      <c r="D205" s="39">
        <f t="shared" ref="D205:D268" si="7">16384/(16384-B205)</f>
        <v>1.0494491416858827</v>
      </c>
    </row>
    <row r="206" spans="2:4" ht="15" x14ac:dyDescent="0.15">
      <c r="B206" s="38">
        <v>776</v>
      </c>
      <c r="C206" s="39">
        <f t="shared" si="6"/>
        <v>0.42145365818550135</v>
      </c>
      <c r="D206" s="39">
        <f t="shared" si="7"/>
        <v>1.0497180932854946</v>
      </c>
    </row>
    <row r="207" spans="2:4" ht="15" x14ac:dyDescent="0.15">
      <c r="B207" s="38">
        <v>780</v>
      </c>
      <c r="C207" s="39">
        <f t="shared" si="6"/>
        <v>0.42367995311965945</v>
      </c>
      <c r="D207" s="39">
        <f t="shared" si="7"/>
        <v>1.0499871827736478</v>
      </c>
    </row>
    <row r="208" spans="2:4" ht="15" x14ac:dyDescent="0.15">
      <c r="B208" s="38">
        <v>784</v>
      </c>
      <c r="C208" s="39">
        <f t="shared" si="6"/>
        <v>0.42590681882550274</v>
      </c>
      <c r="D208" s="39">
        <f t="shared" si="7"/>
        <v>1.0502564102564103</v>
      </c>
    </row>
    <row r="209" spans="2:4" ht="15" x14ac:dyDescent="0.15">
      <c r="B209" s="38">
        <v>788</v>
      </c>
      <c r="C209" s="39">
        <f t="shared" si="6"/>
        <v>0.42813425559577151</v>
      </c>
      <c r="D209" s="39">
        <f t="shared" si="7"/>
        <v>1.0505257758399589</v>
      </c>
    </row>
    <row r="210" spans="2:4" ht="15" x14ac:dyDescent="0.15">
      <c r="B210" s="38">
        <v>792</v>
      </c>
      <c r="C210" s="39">
        <f t="shared" si="6"/>
        <v>0.43036226372343378</v>
      </c>
      <c r="D210" s="39">
        <f t="shared" si="7"/>
        <v>1.0507952796305797</v>
      </c>
    </row>
    <row r="211" spans="2:4" ht="15" x14ac:dyDescent="0.15">
      <c r="B211" s="38">
        <v>796</v>
      </c>
      <c r="C211" s="39">
        <f t="shared" si="6"/>
        <v>0.43259084350168059</v>
      </c>
      <c r="D211" s="39">
        <f t="shared" si="7"/>
        <v>1.0510649217346677</v>
      </c>
    </row>
    <row r="212" spans="2:4" ht="15" x14ac:dyDescent="0.15">
      <c r="B212" s="38">
        <v>800</v>
      </c>
      <c r="C212" s="39">
        <f t="shared" si="6"/>
        <v>0.43481999522392878</v>
      </c>
      <c r="D212" s="39">
        <f t="shared" si="7"/>
        <v>1.0513347022587269</v>
      </c>
    </row>
    <row r="213" spans="2:4" ht="15" x14ac:dyDescent="0.15">
      <c r="B213" s="38">
        <v>804</v>
      </c>
      <c r="C213" s="39">
        <f t="shared" si="6"/>
        <v>0.43704971918382213</v>
      </c>
      <c r="D213" s="39">
        <f t="shared" si="7"/>
        <v>1.051604621309371</v>
      </c>
    </row>
    <row r="214" spans="2:4" ht="15" x14ac:dyDescent="0.15">
      <c r="B214" s="38">
        <v>808</v>
      </c>
      <c r="C214" s="39">
        <f t="shared" si="6"/>
        <v>0.4392800156752299</v>
      </c>
      <c r="D214" s="39">
        <f t="shared" si="7"/>
        <v>1.0518746789933231</v>
      </c>
    </row>
    <row r="215" spans="2:4" ht="15" x14ac:dyDescent="0.15">
      <c r="B215" s="38">
        <v>812</v>
      </c>
      <c r="C215" s="39">
        <f t="shared" si="6"/>
        <v>0.44151088499224828</v>
      </c>
      <c r="D215" s="39">
        <f t="shared" si="7"/>
        <v>1.0521448754174159</v>
      </c>
    </row>
    <row r="216" spans="2:4" ht="15" x14ac:dyDescent="0.15">
      <c r="B216" s="38">
        <v>816</v>
      </c>
      <c r="C216" s="39">
        <f t="shared" si="6"/>
        <v>0.443742327429201</v>
      </c>
      <c r="D216" s="39">
        <f t="shared" si="7"/>
        <v>1.052415210688592</v>
      </c>
    </row>
    <row r="217" spans="2:4" ht="15" x14ac:dyDescent="0.15">
      <c r="B217" s="38">
        <v>820</v>
      </c>
      <c r="C217" s="39">
        <f t="shared" si="6"/>
        <v>0.44597434328063673</v>
      </c>
      <c r="D217" s="39">
        <f t="shared" si="7"/>
        <v>1.0526856849139039</v>
      </c>
    </row>
    <row r="218" spans="2:4" ht="15" x14ac:dyDescent="0.15">
      <c r="B218" s="38">
        <v>824</v>
      </c>
      <c r="C218" s="39">
        <f t="shared" si="6"/>
        <v>0.44820693284133151</v>
      </c>
      <c r="D218" s="39">
        <f t="shared" si="7"/>
        <v>1.0529562982005141</v>
      </c>
    </row>
    <row r="219" spans="2:4" ht="15" x14ac:dyDescent="0.15">
      <c r="B219" s="38">
        <v>828</v>
      </c>
      <c r="C219" s="39">
        <f t="shared" si="6"/>
        <v>0.4504400964062919</v>
      </c>
      <c r="D219" s="39">
        <f t="shared" si="7"/>
        <v>1.0532270506556956</v>
      </c>
    </row>
    <row r="220" spans="2:4" ht="15" x14ac:dyDescent="0.15">
      <c r="B220" s="38">
        <v>832</v>
      </c>
      <c r="C220" s="39">
        <f t="shared" si="6"/>
        <v>0.4526738342707482</v>
      </c>
      <c r="D220" s="39">
        <f t="shared" si="7"/>
        <v>1.0534979423868314</v>
      </c>
    </row>
    <row r="221" spans="2:4" ht="15" x14ac:dyDescent="0.15">
      <c r="B221" s="38">
        <v>836</v>
      </c>
      <c r="C221" s="39">
        <f t="shared" si="6"/>
        <v>0.45490814673015934</v>
      </c>
      <c r="D221" s="39">
        <f t="shared" si="7"/>
        <v>1.0537689735014151</v>
      </c>
    </row>
    <row r="222" spans="2:4" ht="15" x14ac:dyDescent="0.15">
      <c r="B222" s="38">
        <v>840</v>
      </c>
      <c r="C222" s="39">
        <f t="shared" si="6"/>
        <v>0.45714303408021328</v>
      </c>
      <c r="D222" s="39">
        <f t="shared" si="7"/>
        <v>1.054040144107051</v>
      </c>
    </row>
    <row r="223" spans="2:4" ht="15" x14ac:dyDescent="0.15">
      <c r="B223" s="38">
        <v>844</v>
      </c>
      <c r="C223" s="39">
        <f t="shared" si="6"/>
        <v>0.45937849661682484</v>
      </c>
      <c r="D223" s="39">
        <f t="shared" si="7"/>
        <v>1.0543114543114542</v>
      </c>
    </row>
    <row r="224" spans="2:4" ht="15" x14ac:dyDescent="0.15">
      <c r="B224" s="38">
        <v>848</v>
      </c>
      <c r="C224" s="39">
        <f t="shared" si="6"/>
        <v>0.46161453463614155</v>
      </c>
      <c r="D224" s="39">
        <f t="shared" si="7"/>
        <v>1.054582904222451</v>
      </c>
    </row>
    <row r="225" spans="2:4" ht="15" x14ac:dyDescent="0.15">
      <c r="B225" s="38">
        <v>852</v>
      </c>
      <c r="C225" s="39">
        <f t="shared" si="6"/>
        <v>0.46385114843453562</v>
      </c>
      <c r="D225" s="39">
        <f t="shared" si="7"/>
        <v>1.0548544939479785</v>
      </c>
    </row>
    <row r="226" spans="2:4" ht="15" x14ac:dyDescent="0.15">
      <c r="B226" s="38">
        <v>856</v>
      </c>
      <c r="C226" s="39">
        <f t="shared" si="6"/>
        <v>0.46608833830860696</v>
      </c>
      <c r="D226" s="39">
        <f t="shared" si="7"/>
        <v>1.0551262235960845</v>
      </c>
    </row>
    <row r="227" spans="2:4" ht="15" x14ac:dyDescent="0.15">
      <c r="B227" s="38">
        <v>860</v>
      </c>
      <c r="C227" s="39">
        <f t="shared" si="6"/>
        <v>0.46832610455518892</v>
      </c>
      <c r="D227" s="39">
        <f t="shared" si="7"/>
        <v>1.0553980932749292</v>
      </c>
    </row>
    <row r="228" spans="2:4" ht="15" x14ac:dyDescent="0.15">
      <c r="B228" s="38">
        <v>864</v>
      </c>
      <c r="C228" s="39">
        <f t="shared" si="6"/>
        <v>0.47056444747134218</v>
      </c>
      <c r="D228" s="39">
        <f t="shared" si="7"/>
        <v>1.0556701030927835</v>
      </c>
    </row>
    <row r="229" spans="2:4" ht="15" x14ac:dyDescent="0.15">
      <c r="B229" s="38">
        <v>868</v>
      </c>
      <c r="C229" s="39">
        <f t="shared" si="6"/>
        <v>0.4728033673543578</v>
      </c>
      <c r="D229" s="39">
        <f t="shared" si="7"/>
        <v>1.0559422531580305</v>
      </c>
    </row>
    <row r="230" spans="2:4" ht="15" x14ac:dyDescent="0.15">
      <c r="B230" s="38">
        <v>872</v>
      </c>
      <c r="C230" s="39">
        <f t="shared" si="6"/>
        <v>0.47504286450175559</v>
      </c>
      <c r="D230" s="39">
        <f t="shared" si="7"/>
        <v>1.0562145435791646</v>
      </c>
    </row>
    <row r="231" spans="2:4" ht="15" x14ac:dyDescent="0.15">
      <c r="B231" s="38">
        <v>876</v>
      </c>
      <c r="C231" s="39">
        <f t="shared" si="6"/>
        <v>0.47728293921128728</v>
      </c>
      <c r="D231" s="39">
        <f t="shared" si="7"/>
        <v>1.0564869744647924</v>
      </c>
    </row>
    <row r="232" spans="2:4" ht="15" x14ac:dyDescent="0.15">
      <c r="B232" s="38">
        <v>880</v>
      </c>
      <c r="C232" s="39">
        <f t="shared" si="6"/>
        <v>0.47952359178093179</v>
      </c>
      <c r="D232" s="39">
        <f t="shared" si="7"/>
        <v>1.0567595459236325</v>
      </c>
    </row>
    <row r="233" spans="2:4" ht="15" x14ac:dyDescent="0.15">
      <c r="B233" s="38">
        <v>884</v>
      </c>
      <c r="C233" s="39">
        <f t="shared" si="6"/>
        <v>0.48176482250890529</v>
      </c>
      <c r="D233" s="39">
        <f t="shared" si="7"/>
        <v>1.0570322580645162</v>
      </c>
    </row>
    <row r="234" spans="2:4" ht="15" x14ac:dyDescent="0.15">
      <c r="B234" s="38">
        <v>888</v>
      </c>
      <c r="C234" s="39">
        <f t="shared" si="6"/>
        <v>0.48400663169364749</v>
      </c>
      <c r="D234" s="39">
        <f t="shared" si="7"/>
        <v>1.0573051109963862</v>
      </c>
    </row>
    <row r="235" spans="2:4" ht="15" x14ac:dyDescent="0.15">
      <c r="B235" s="38">
        <v>892</v>
      </c>
      <c r="C235" s="39">
        <f t="shared" si="6"/>
        <v>0.48624901963383121</v>
      </c>
      <c r="D235" s="39">
        <f t="shared" si="7"/>
        <v>1.0575781048282984</v>
      </c>
    </row>
    <row r="236" spans="2:4" ht="15" x14ac:dyDescent="0.15">
      <c r="B236" s="38">
        <v>896</v>
      </c>
      <c r="C236" s="39">
        <f t="shared" si="6"/>
        <v>0.48849198662836596</v>
      </c>
      <c r="D236" s="39">
        <f t="shared" si="7"/>
        <v>1.0578512396694215</v>
      </c>
    </row>
    <row r="237" spans="2:4" ht="15" x14ac:dyDescent="0.15">
      <c r="B237" s="38">
        <v>900</v>
      </c>
      <c r="C237" s="39">
        <f t="shared" si="6"/>
        <v>0.49073553297638506</v>
      </c>
      <c r="D237" s="39">
        <f t="shared" si="7"/>
        <v>1.0581245156290364</v>
      </c>
    </row>
    <row r="238" spans="2:4" ht="15" x14ac:dyDescent="0.15">
      <c r="B238" s="38">
        <v>904</v>
      </c>
      <c r="C238" s="39">
        <f t="shared" si="6"/>
        <v>0.4929796589772581</v>
      </c>
      <c r="D238" s="39">
        <f t="shared" si="7"/>
        <v>1.0583979328165374</v>
      </c>
    </row>
    <row r="239" spans="2:4" ht="15" x14ac:dyDescent="0.15">
      <c r="B239" s="38">
        <v>908</v>
      </c>
      <c r="C239" s="39">
        <f t="shared" si="6"/>
        <v>0.49522436493058797</v>
      </c>
      <c r="D239" s="39">
        <f t="shared" si="7"/>
        <v>1.0586714913414319</v>
      </c>
    </row>
    <row r="240" spans="2:4" ht="15" x14ac:dyDescent="0.15">
      <c r="B240" s="38">
        <v>912</v>
      </c>
      <c r="C240" s="39">
        <f t="shared" si="6"/>
        <v>0.49746965113620623</v>
      </c>
      <c r="D240" s="39">
        <f t="shared" si="7"/>
        <v>1.0589451913133403</v>
      </c>
    </row>
    <row r="241" spans="2:4" ht="15" x14ac:dyDescent="0.15">
      <c r="B241" s="38">
        <v>916</v>
      </c>
      <c r="C241" s="39">
        <f t="shared" si="6"/>
        <v>0.49971551789417751</v>
      </c>
      <c r="D241" s="39">
        <f t="shared" si="7"/>
        <v>1.0592190328419964</v>
      </c>
    </row>
    <row r="242" spans="2:4" ht="15" x14ac:dyDescent="0.15">
      <c r="B242" s="38">
        <v>920</v>
      </c>
      <c r="C242" s="39">
        <f t="shared" si="6"/>
        <v>0.50196196550480243</v>
      </c>
      <c r="D242" s="39">
        <f t="shared" si="7"/>
        <v>1.0594930160372478</v>
      </c>
    </row>
    <row r="243" spans="2:4" ht="15" x14ac:dyDescent="0.15">
      <c r="B243" s="38">
        <v>924</v>
      </c>
      <c r="C243" s="39">
        <f t="shared" si="6"/>
        <v>0.50420899426861299</v>
      </c>
      <c r="D243" s="39">
        <f t="shared" si="7"/>
        <v>1.0597671410090557</v>
      </c>
    </row>
    <row r="244" spans="2:4" ht="15" x14ac:dyDescent="0.15">
      <c r="B244" s="38">
        <v>928</v>
      </c>
      <c r="C244" s="39">
        <f t="shared" si="6"/>
        <v>0.50645660448637286</v>
      </c>
      <c r="D244" s="39">
        <f t="shared" si="7"/>
        <v>1.0600414078674949</v>
      </c>
    </row>
    <row r="245" spans="2:4" ht="15" x14ac:dyDescent="0.15">
      <c r="B245" s="38">
        <v>932</v>
      </c>
      <c r="C245" s="39">
        <f t="shared" si="6"/>
        <v>0.50870479645908095</v>
      </c>
      <c r="D245" s="39">
        <f t="shared" si="7"/>
        <v>1.0603158167227544</v>
      </c>
    </row>
    <row r="246" spans="2:4" ht="15" x14ac:dyDescent="0.15">
      <c r="B246" s="38">
        <v>936</v>
      </c>
      <c r="C246" s="39">
        <f t="shared" si="6"/>
        <v>0.51095357048796808</v>
      </c>
      <c r="D246" s="39">
        <f t="shared" si="7"/>
        <v>1.0605903676851371</v>
      </c>
    </row>
    <row r="247" spans="2:4" ht="15" x14ac:dyDescent="0.15">
      <c r="B247" s="38">
        <v>940</v>
      </c>
      <c r="C247" s="39">
        <f t="shared" si="6"/>
        <v>0.51320292687450508</v>
      </c>
      <c r="D247" s="39">
        <f t="shared" si="7"/>
        <v>1.0608650608650609</v>
      </c>
    </row>
    <row r="248" spans="2:4" ht="15" x14ac:dyDescent="0.15">
      <c r="B248" s="38">
        <v>944</v>
      </c>
      <c r="C248" s="39">
        <f t="shared" si="6"/>
        <v>0.5154528659203873</v>
      </c>
      <c r="D248" s="39">
        <f t="shared" si="7"/>
        <v>1.0611398963730569</v>
      </c>
    </row>
    <row r="249" spans="2:4" ht="15" x14ac:dyDescent="0.15">
      <c r="B249" s="38">
        <v>948</v>
      </c>
      <c r="C249" s="39">
        <f t="shared" si="6"/>
        <v>0.5177033879275541</v>
      </c>
      <c r="D249" s="39">
        <f t="shared" si="7"/>
        <v>1.061414874319772</v>
      </c>
    </row>
    <row r="250" spans="2:4" ht="15" x14ac:dyDescent="0.15">
      <c r="B250" s="38">
        <v>952</v>
      </c>
      <c r="C250" s="39">
        <f t="shared" si="6"/>
        <v>0.51995449319817277</v>
      </c>
      <c r="D250" s="39">
        <f t="shared" si="7"/>
        <v>1.0616899948159668</v>
      </c>
    </row>
    <row r="251" spans="2:4" ht="15" x14ac:dyDescent="0.15">
      <c r="B251" s="38">
        <v>956</v>
      </c>
      <c r="C251" s="39">
        <f t="shared" si="6"/>
        <v>0.52220618203464841</v>
      </c>
      <c r="D251" s="39">
        <f t="shared" si="7"/>
        <v>1.0619652579725174</v>
      </c>
    </row>
    <row r="252" spans="2:4" ht="15" x14ac:dyDescent="0.15">
      <c r="B252" s="38">
        <v>960</v>
      </c>
      <c r="C252" s="39">
        <f t="shared" si="6"/>
        <v>0.52445845473962349</v>
      </c>
      <c r="D252" s="39">
        <f t="shared" si="7"/>
        <v>1.0622406639004149</v>
      </c>
    </row>
    <row r="253" spans="2:4" ht="15" x14ac:dyDescent="0.15">
      <c r="B253" s="38">
        <v>964</v>
      </c>
      <c r="C253" s="39">
        <f t="shared" si="6"/>
        <v>0.52671131161597129</v>
      </c>
      <c r="D253" s="39">
        <f t="shared" si="7"/>
        <v>1.0625162127107652</v>
      </c>
    </row>
    <row r="254" spans="2:4" ht="15" x14ac:dyDescent="0.15">
      <c r="B254" s="38">
        <v>968</v>
      </c>
      <c r="C254" s="39">
        <f t="shared" si="6"/>
        <v>0.52896475296680334</v>
      </c>
      <c r="D254" s="39">
        <f t="shared" si="7"/>
        <v>1.0627919045147898</v>
      </c>
    </row>
    <row r="255" spans="2:4" ht="15" x14ac:dyDescent="0.15">
      <c r="B255" s="38">
        <v>972</v>
      </c>
      <c r="C255" s="39">
        <f t="shared" si="6"/>
        <v>0.53121877909546755</v>
      </c>
      <c r="D255" s="39">
        <f t="shared" si="7"/>
        <v>1.0630677394238255</v>
      </c>
    </row>
    <row r="256" spans="2:4" ht="15" x14ac:dyDescent="0.15">
      <c r="B256" s="38">
        <v>976</v>
      </c>
      <c r="C256" s="39">
        <f t="shared" si="6"/>
        <v>0.53347339030554852</v>
      </c>
      <c r="D256" s="39">
        <f t="shared" si="7"/>
        <v>1.063343717549325</v>
      </c>
    </row>
    <row r="257" spans="2:4" ht="15" x14ac:dyDescent="0.15">
      <c r="B257" s="38">
        <v>980</v>
      </c>
      <c r="C257" s="39">
        <f t="shared" si="6"/>
        <v>0.53572858690086478</v>
      </c>
      <c r="D257" s="39">
        <f t="shared" si="7"/>
        <v>1.0636198390028564</v>
      </c>
    </row>
    <row r="258" spans="2:4" ht="15" x14ac:dyDescent="0.15">
      <c r="B258" s="38">
        <v>984</v>
      </c>
      <c r="C258" s="39">
        <f t="shared" si="6"/>
        <v>0.53798436918547332</v>
      </c>
      <c r="D258" s="39">
        <f t="shared" si="7"/>
        <v>1.0638961038961039</v>
      </c>
    </row>
    <row r="259" spans="2:4" ht="15" x14ac:dyDescent="0.15">
      <c r="B259" s="38">
        <v>988</v>
      </c>
      <c r="C259" s="39">
        <f t="shared" si="6"/>
        <v>0.54024073746366874</v>
      </c>
      <c r="D259" s="39">
        <f t="shared" si="7"/>
        <v>1.0641725123408678</v>
      </c>
    </row>
    <row r="260" spans="2:4" ht="15" x14ac:dyDescent="0.15">
      <c r="B260" s="38">
        <v>992</v>
      </c>
      <c r="C260" s="39">
        <f t="shared" si="6"/>
        <v>0.54249769203998033</v>
      </c>
      <c r="D260" s="39">
        <f t="shared" si="7"/>
        <v>1.0644490644490645</v>
      </c>
    </row>
    <row r="261" spans="2:4" ht="15" x14ac:dyDescent="0.15">
      <c r="B261" s="38">
        <v>996</v>
      </c>
      <c r="C261" s="39">
        <f t="shared" si="6"/>
        <v>0.54475523321917618</v>
      </c>
      <c r="D261" s="39">
        <f t="shared" si="7"/>
        <v>1.0647257603327267</v>
      </c>
    </row>
    <row r="262" spans="2:4" ht="15" x14ac:dyDescent="0.15">
      <c r="B262" s="38">
        <v>1000</v>
      </c>
      <c r="C262" s="39">
        <f t="shared" si="6"/>
        <v>0.54701336130626665</v>
      </c>
      <c r="D262" s="39">
        <f t="shared" si="7"/>
        <v>1.0650026001040043</v>
      </c>
    </row>
    <row r="263" spans="2:4" ht="15" x14ac:dyDescent="0.15">
      <c r="B263" s="38">
        <v>1004</v>
      </c>
      <c r="C263" s="39">
        <f t="shared" si="6"/>
        <v>0.5492720766064898</v>
      </c>
      <c r="D263" s="39">
        <f t="shared" si="7"/>
        <v>1.0652795838751625</v>
      </c>
    </row>
    <row r="264" spans="2:4" ht="15" x14ac:dyDescent="0.15">
      <c r="B264" s="38">
        <v>1008</v>
      </c>
      <c r="C264" s="39">
        <f t="shared" si="6"/>
        <v>0.5515313794253327</v>
      </c>
      <c r="D264" s="39">
        <f t="shared" si="7"/>
        <v>1.0655567117585849</v>
      </c>
    </row>
    <row r="265" spans="2:4" ht="15" x14ac:dyDescent="0.15">
      <c r="B265" s="38">
        <v>1012</v>
      </c>
      <c r="C265" s="39">
        <f t="shared" si="6"/>
        <v>0.55379127006851203</v>
      </c>
      <c r="D265" s="39">
        <f t="shared" si="7"/>
        <v>1.0658339838667708</v>
      </c>
    </row>
    <row r="266" spans="2:4" ht="15" x14ac:dyDescent="0.15">
      <c r="B266" s="38">
        <v>1016</v>
      </c>
      <c r="C266" s="39">
        <f t="shared" si="6"/>
        <v>0.55605174884198982</v>
      </c>
      <c r="D266" s="39">
        <f t="shared" si="7"/>
        <v>1.0661114003123373</v>
      </c>
    </row>
    <row r="267" spans="2:4" ht="15" x14ac:dyDescent="0.15">
      <c r="B267" s="38">
        <v>1020</v>
      </c>
      <c r="C267" s="39">
        <f t="shared" si="6"/>
        <v>0.55831281605196448</v>
      </c>
      <c r="D267" s="39">
        <f t="shared" si="7"/>
        <v>1.0663889612080188</v>
      </c>
    </row>
    <row r="268" spans="2:4" ht="15" x14ac:dyDescent="0.15">
      <c r="B268" s="38">
        <v>1024</v>
      </c>
      <c r="C268" s="39">
        <f t="shared" si="6"/>
        <v>0.56057447200487065</v>
      </c>
      <c r="D268" s="39">
        <f t="shared" si="7"/>
        <v>1.0666666666666667</v>
      </c>
    </row>
    <row r="269" spans="2:4" ht="15" x14ac:dyDescent="0.15">
      <c r="B269" s="38">
        <v>1028</v>
      </c>
      <c r="C269" s="39">
        <f t="shared" ref="C269:C332" si="8">20*LOG(D269)</f>
        <v>0.56283671700738835</v>
      </c>
      <c r="D269" s="39">
        <f t="shared" ref="D269:D332" si="9">16384/(16384-B269)</f>
        <v>1.0669445168012504</v>
      </c>
    </row>
    <row r="270" spans="2:4" ht="15" x14ac:dyDescent="0.15">
      <c r="B270" s="38">
        <v>1032</v>
      </c>
      <c r="C270" s="39">
        <f t="shared" si="8"/>
        <v>0.56509955136643153</v>
      </c>
      <c r="D270" s="39">
        <f t="shared" si="9"/>
        <v>1.0672225117248566</v>
      </c>
    </row>
    <row r="271" spans="2:4" ht="15" x14ac:dyDescent="0.15">
      <c r="B271" s="38">
        <v>1036</v>
      </c>
      <c r="C271" s="39">
        <f t="shared" si="8"/>
        <v>0.56736297538915947</v>
      </c>
      <c r="D271" s="39">
        <f t="shared" si="9"/>
        <v>1.0675006515506906</v>
      </c>
    </row>
    <row r="272" spans="2:4" ht="15" x14ac:dyDescent="0.15">
      <c r="B272" s="38">
        <v>1040</v>
      </c>
      <c r="C272" s="39">
        <f t="shared" si="8"/>
        <v>0.5696269893829673</v>
      </c>
      <c r="D272" s="39">
        <f t="shared" si="9"/>
        <v>1.0677789363920751</v>
      </c>
    </row>
    <row r="273" spans="2:4" ht="15" x14ac:dyDescent="0.15">
      <c r="B273" s="38">
        <v>1044</v>
      </c>
      <c r="C273" s="39">
        <f t="shared" si="8"/>
        <v>0.57189159365549125</v>
      </c>
      <c r="D273" s="39">
        <f t="shared" si="9"/>
        <v>1.0680573663624511</v>
      </c>
    </row>
    <row r="274" spans="2:4" ht="15" x14ac:dyDescent="0.15">
      <c r="B274" s="38">
        <v>1048</v>
      </c>
      <c r="C274" s="39">
        <f t="shared" si="8"/>
        <v>0.57415678851461061</v>
      </c>
      <c r="D274" s="39">
        <f t="shared" si="9"/>
        <v>1.0683359415753781</v>
      </c>
    </row>
    <row r="275" spans="2:4" ht="15" x14ac:dyDescent="0.15">
      <c r="B275" s="38">
        <v>1052</v>
      </c>
      <c r="C275" s="39">
        <f t="shared" si="8"/>
        <v>0.57642257426844379</v>
      </c>
      <c r="D275" s="39">
        <f t="shared" si="9"/>
        <v>1.0686146621445343</v>
      </c>
    </row>
    <row r="276" spans="2:4" ht="15" x14ac:dyDescent="0.15">
      <c r="B276" s="38">
        <v>1056</v>
      </c>
      <c r="C276" s="39">
        <f t="shared" si="8"/>
        <v>0.57868895122534991</v>
      </c>
      <c r="D276" s="39">
        <f t="shared" si="9"/>
        <v>1.068893528183716</v>
      </c>
    </row>
    <row r="277" spans="2:4" ht="15" x14ac:dyDescent="0.15">
      <c r="B277" s="38">
        <v>1060</v>
      </c>
      <c r="C277" s="39">
        <f t="shared" si="8"/>
        <v>0.58095591969393301</v>
      </c>
      <c r="D277" s="39">
        <f t="shared" si="9"/>
        <v>1.069172539806839</v>
      </c>
    </row>
    <row r="278" spans="2:4" ht="15" x14ac:dyDescent="0.15">
      <c r="B278" s="38">
        <v>1064</v>
      </c>
      <c r="C278" s="39">
        <f t="shared" si="8"/>
        <v>0.58322347998303181</v>
      </c>
      <c r="D278" s="39">
        <f t="shared" si="9"/>
        <v>1.0694516971279373</v>
      </c>
    </row>
    <row r="279" spans="2:4" ht="15" x14ac:dyDescent="0.15">
      <c r="B279" s="38">
        <v>1068</v>
      </c>
      <c r="C279" s="39">
        <f t="shared" si="8"/>
        <v>0.5854916324017353</v>
      </c>
      <c r="D279" s="39">
        <f t="shared" si="9"/>
        <v>1.0697310002611649</v>
      </c>
    </row>
    <row r="280" spans="2:4" ht="15" x14ac:dyDescent="0.15">
      <c r="B280" s="38">
        <v>1072</v>
      </c>
      <c r="C280" s="39">
        <f t="shared" si="8"/>
        <v>0.58776037725936858</v>
      </c>
      <c r="D280" s="39">
        <f t="shared" si="9"/>
        <v>1.0700104493207943</v>
      </c>
    </row>
    <row r="281" spans="2:4" ht="15" x14ac:dyDescent="0.15">
      <c r="B281" s="38">
        <v>1076</v>
      </c>
      <c r="C281" s="39">
        <f t="shared" si="8"/>
        <v>0.59002971486549971</v>
      </c>
      <c r="D281" s="39">
        <f t="shared" si="9"/>
        <v>1.0702900444212176</v>
      </c>
    </row>
    <row r="282" spans="2:4" ht="15" x14ac:dyDescent="0.15">
      <c r="B282" s="38">
        <v>1080</v>
      </c>
      <c r="C282" s="39">
        <f t="shared" si="8"/>
        <v>0.59229964552994552</v>
      </c>
      <c r="D282" s="39">
        <f t="shared" si="9"/>
        <v>1.0705697856769472</v>
      </c>
    </row>
    <row r="283" spans="2:4" ht="15" x14ac:dyDescent="0.15">
      <c r="B283" s="38">
        <v>1084</v>
      </c>
      <c r="C283" s="39">
        <f t="shared" si="8"/>
        <v>0.59457016956275943</v>
      </c>
      <c r="D283" s="39">
        <f t="shared" si="9"/>
        <v>1.0708496732026145</v>
      </c>
    </row>
    <row r="284" spans="2:4" ht="15" x14ac:dyDescent="0.15">
      <c r="B284" s="38">
        <v>1088</v>
      </c>
      <c r="C284" s="39">
        <f t="shared" si="8"/>
        <v>0.5968412872742368</v>
      </c>
      <c r="D284" s="39">
        <f t="shared" si="9"/>
        <v>1.0711297071129706</v>
      </c>
    </row>
    <row r="285" spans="2:4" ht="15" x14ac:dyDescent="0.15">
      <c r="B285" s="38">
        <v>1092</v>
      </c>
      <c r="C285" s="39">
        <f t="shared" si="8"/>
        <v>0.59911299897492376</v>
      </c>
      <c r="D285" s="39">
        <f t="shared" si="9"/>
        <v>1.0714098875228877</v>
      </c>
    </row>
    <row r="286" spans="2:4" ht="15" x14ac:dyDescent="0.15">
      <c r="B286" s="38">
        <v>1096</v>
      </c>
      <c r="C286" s="39">
        <f t="shared" si="8"/>
        <v>0.60138530497560605</v>
      </c>
      <c r="D286" s="39">
        <f t="shared" si="9"/>
        <v>1.0716902145473575</v>
      </c>
    </row>
    <row r="287" spans="2:4" ht="15" x14ac:dyDescent="0.15">
      <c r="B287" s="38">
        <v>1100</v>
      </c>
      <c r="C287" s="39">
        <f t="shared" si="8"/>
        <v>0.60365820558730943</v>
      </c>
      <c r="D287" s="39">
        <f t="shared" si="9"/>
        <v>1.0719706883014917</v>
      </c>
    </row>
    <row r="288" spans="2:4" ht="15" x14ac:dyDescent="0.15">
      <c r="B288" s="38">
        <v>1104</v>
      </c>
      <c r="C288" s="39">
        <f t="shared" si="8"/>
        <v>0.605931701121313</v>
      </c>
      <c r="D288" s="39">
        <f t="shared" si="9"/>
        <v>1.0722513089005237</v>
      </c>
    </row>
    <row r="289" spans="2:4" ht="15" x14ac:dyDescent="0.15">
      <c r="B289" s="38">
        <v>1108</v>
      </c>
      <c r="C289" s="39">
        <f t="shared" si="8"/>
        <v>0.60820579188913082</v>
      </c>
      <c r="D289" s="39">
        <f t="shared" si="9"/>
        <v>1.0725320764598063</v>
      </c>
    </row>
    <row r="290" spans="2:4" ht="15" x14ac:dyDescent="0.15">
      <c r="B290" s="38">
        <v>1112</v>
      </c>
      <c r="C290" s="39">
        <f t="shared" si="8"/>
        <v>0.61048047820252771</v>
      </c>
      <c r="D290" s="39">
        <f t="shared" si="9"/>
        <v>1.0728129910948141</v>
      </c>
    </row>
    <row r="291" spans="2:4" ht="15" x14ac:dyDescent="0.15">
      <c r="B291" s="38">
        <v>1116</v>
      </c>
      <c r="C291" s="39">
        <f t="shared" si="8"/>
        <v>0.61275576037351243</v>
      </c>
      <c r="D291" s="39">
        <f t="shared" si="9"/>
        <v>1.0730940529211423</v>
      </c>
    </row>
    <row r="292" spans="2:4" ht="15" x14ac:dyDescent="0.15">
      <c r="B292" s="38">
        <v>1120</v>
      </c>
      <c r="C292" s="39">
        <f t="shared" si="8"/>
        <v>0.61503163871433719</v>
      </c>
      <c r="D292" s="39">
        <f t="shared" si="9"/>
        <v>1.0733752620545074</v>
      </c>
    </row>
    <row r="293" spans="2:4" ht="15" x14ac:dyDescent="0.15">
      <c r="B293" s="38">
        <v>1124</v>
      </c>
      <c r="C293" s="39">
        <f t="shared" si="8"/>
        <v>0.61730811353750115</v>
      </c>
      <c r="D293" s="39">
        <f t="shared" si="9"/>
        <v>1.073656618610747</v>
      </c>
    </row>
    <row r="294" spans="2:4" ht="15" x14ac:dyDescent="0.15">
      <c r="B294" s="38">
        <v>1128</v>
      </c>
      <c r="C294" s="39">
        <f t="shared" si="8"/>
        <v>0.61958518515575056</v>
      </c>
      <c r="D294" s="39">
        <f t="shared" si="9"/>
        <v>1.0739381227058207</v>
      </c>
    </row>
    <row r="295" spans="2:4" ht="15" x14ac:dyDescent="0.15">
      <c r="B295" s="38">
        <v>1132</v>
      </c>
      <c r="C295" s="39">
        <f t="shared" si="8"/>
        <v>0.62186285388207463</v>
      </c>
      <c r="D295" s="39">
        <f t="shared" si="9"/>
        <v>1.0742197744558091</v>
      </c>
    </row>
    <row r="296" spans="2:4" ht="15" x14ac:dyDescent="0.15">
      <c r="B296" s="38">
        <v>1136</v>
      </c>
      <c r="C296" s="39">
        <f t="shared" si="8"/>
        <v>0.62414112002971112</v>
      </c>
      <c r="D296" s="39">
        <f t="shared" si="9"/>
        <v>1.074501573976915</v>
      </c>
    </row>
    <row r="297" spans="2:4" ht="15" x14ac:dyDescent="0.15">
      <c r="B297" s="38">
        <v>1140</v>
      </c>
      <c r="C297" s="39">
        <f t="shared" si="8"/>
        <v>0.62641998391214226</v>
      </c>
      <c r="D297" s="39">
        <f t="shared" si="9"/>
        <v>1.0747835213854631</v>
      </c>
    </row>
    <row r="298" spans="2:4" ht="15" x14ac:dyDescent="0.15">
      <c r="B298" s="38">
        <v>1144</v>
      </c>
      <c r="C298" s="39">
        <f t="shared" si="8"/>
        <v>0.62869944584310067</v>
      </c>
      <c r="D298" s="39">
        <f t="shared" si="9"/>
        <v>1.0750656167979002</v>
      </c>
    </row>
    <row r="299" spans="2:4" ht="15" x14ac:dyDescent="0.15">
      <c r="B299" s="38">
        <v>1148</v>
      </c>
      <c r="C299" s="39">
        <f t="shared" si="8"/>
        <v>0.63097950613656284</v>
      </c>
      <c r="D299" s="39">
        <f t="shared" si="9"/>
        <v>1.0753478603307955</v>
      </c>
    </row>
    <row r="300" spans="2:4" ht="15" x14ac:dyDescent="0.15">
      <c r="B300" s="38">
        <v>1152</v>
      </c>
      <c r="C300" s="39">
        <f t="shared" si="8"/>
        <v>0.63326016510675176</v>
      </c>
      <c r="D300" s="39">
        <f t="shared" si="9"/>
        <v>1.0756302521008403</v>
      </c>
    </row>
    <row r="301" spans="2:4" ht="15" x14ac:dyDescent="0.15">
      <c r="B301" s="38">
        <v>1156</v>
      </c>
      <c r="C301" s="39">
        <f t="shared" si="8"/>
        <v>0.63554142306814321</v>
      </c>
      <c r="D301" s="39">
        <f t="shared" si="9"/>
        <v>1.075912792224849</v>
      </c>
    </row>
    <row r="302" spans="2:4" ht="15" x14ac:dyDescent="0.15">
      <c r="B302" s="38">
        <v>1160</v>
      </c>
      <c r="C302" s="39">
        <f t="shared" si="8"/>
        <v>0.63782328033545355</v>
      </c>
      <c r="D302" s="39">
        <f t="shared" si="9"/>
        <v>1.0761954808197582</v>
      </c>
    </row>
    <row r="303" spans="2:4" ht="15" x14ac:dyDescent="0.15">
      <c r="B303" s="38">
        <v>1164</v>
      </c>
      <c r="C303" s="39">
        <f t="shared" si="8"/>
        <v>0.6401057372236536</v>
      </c>
      <c r="D303" s="39">
        <f t="shared" si="9"/>
        <v>1.0764783180026281</v>
      </c>
    </row>
    <row r="304" spans="2:4" ht="15" x14ac:dyDescent="0.15">
      <c r="B304" s="38">
        <v>1168</v>
      </c>
      <c r="C304" s="39">
        <f t="shared" si="8"/>
        <v>0.64238879404796012</v>
      </c>
      <c r="D304" s="39">
        <f t="shared" si="9"/>
        <v>1.0767613038906414</v>
      </c>
    </row>
    <row r="305" spans="2:4" ht="15" x14ac:dyDescent="0.15">
      <c r="B305" s="38">
        <v>1172</v>
      </c>
      <c r="C305" s="39">
        <f t="shared" si="8"/>
        <v>0.64467245112383798</v>
      </c>
      <c r="D305" s="39">
        <f t="shared" si="9"/>
        <v>1.0770444386011044</v>
      </c>
    </row>
    <row r="306" spans="2:4" ht="15" x14ac:dyDescent="0.15">
      <c r="B306" s="38">
        <v>1176</v>
      </c>
      <c r="C306" s="39">
        <f t="shared" si="8"/>
        <v>0.64695670876699984</v>
      </c>
      <c r="D306" s="39">
        <f t="shared" si="9"/>
        <v>1.0773277222514466</v>
      </c>
    </row>
    <row r="307" spans="2:4" ht="15" x14ac:dyDescent="0.15">
      <c r="B307" s="38">
        <v>1180</v>
      </c>
      <c r="C307" s="39">
        <f t="shared" si="8"/>
        <v>0.64924156729341176</v>
      </c>
      <c r="D307" s="39">
        <f t="shared" si="9"/>
        <v>1.0776111549592213</v>
      </c>
    </row>
    <row r="308" spans="2:4" ht="15" x14ac:dyDescent="0.15">
      <c r="B308" s="38">
        <v>1184</v>
      </c>
      <c r="C308" s="39">
        <f t="shared" si="8"/>
        <v>0.65152702701928356</v>
      </c>
      <c r="D308" s="39">
        <f t="shared" si="9"/>
        <v>1.0778947368421052</v>
      </c>
    </row>
    <row r="309" spans="2:4" ht="15" x14ac:dyDescent="0.15">
      <c r="B309" s="38">
        <v>1188</v>
      </c>
      <c r="C309" s="39">
        <f t="shared" si="8"/>
        <v>0.65381308826107953</v>
      </c>
      <c r="D309" s="39">
        <f t="shared" si="9"/>
        <v>1.0781784680178994</v>
      </c>
    </row>
    <row r="310" spans="2:4" ht="15" x14ac:dyDescent="0.15">
      <c r="B310" s="38">
        <v>1192</v>
      </c>
      <c r="C310" s="39">
        <f t="shared" si="8"/>
        <v>0.65609975133551146</v>
      </c>
      <c r="D310" s="39">
        <f t="shared" si="9"/>
        <v>1.0784623486045286</v>
      </c>
    </row>
    <row r="311" spans="2:4" ht="15" x14ac:dyDescent="0.15">
      <c r="B311" s="38">
        <v>1196</v>
      </c>
      <c r="C311" s="39">
        <f t="shared" si="8"/>
        <v>0.65838701655954357</v>
      </c>
      <c r="D311" s="39">
        <f t="shared" si="9"/>
        <v>1.0787463787200422</v>
      </c>
    </row>
    <row r="312" spans="2:4" ht="15" x14ac:dyDescent="0.15">
      <c r="B312" s="38">
        <v>1200</v>
      </c>
      <c r="C312" s="39">
        <f t="shared" si="8"/>
        <v>0.66067488425038501</v>
      </c>
      <c r="D312" s="39">
        <f t="shared" si="9"/>
        <v>1.0790305584826132</v>
      </c>
    </row>
    <row r="313" spans="2:4" ht="15" x14ac:dyDescent="0.15">
      <c r="B313" s="38">
        <v>1204</v>
      </c>
      <c r="C313" s="39">
        <f t="shared" si="8"/>
        <v>0.66296335472550294</v>
      </c>
      <c r="D313" s="39">
        <f t="shared" si="9"/>
        <v>1.0793148880105401</v>
      </c>
    </row>
    <row r="314" spans="2:4" ht="15" x14ac:dyDescent="0.15">
      <c r="B314" s="38">
        <v>1208</v>
      </c>
      <c r="C314" s="39">
        <f t="shared" si="8"/>
        <v>0.66525242830261222</v>
      </c>
      <c r="D314" s="39">
        <f t="shared" si="9"/>
        <v>1.0795993674222457</v>
      </c>
    </row>
    <row r="315" spans="2:4" ht="15" x14ac:dyDescent="0.15">
      <c r="B315" s="38">
        <v>1212</v>
      </c>
      <c r="C315" s="39">
        <f t="shared" si="8"/>
        <v>0.66754210529967672</v>
      </c>
      <c r="D315" s="39">
        <f t="shared" si="9"/>
        <v>1.0798839968362774</v>
      </c>
    </row>
    <row r="316" spans="2:4" ht="15" x14ac:dyDescent="0.15">
      <c r="B316" s="38">
        <v>1216</v>
      </c>
      <c r="C316" s="39">
        <f t="shared" si="8"/>
        <v>0.66983238603491313</v>
      </c>
      <c r="D316" s="39">
        <f t="shared" si="9"/>
        <v>1.0801687763713079</v>
      </c>
    </row>
    <row r="317" spans="2:4" ht="15" x14ac:dyDescent="0.15">
      <c r="B317" s="38">
        <v>1220</v>
      </c>
      <c r="C317" s="39">
        <f t="shared" si="8"/>
        <v>0.67212327082679546</v>
      </c>
      <c r="D317" s="39">
        <f t="shared" si="9"/>
        <v>1.0804537061461357</v>
      </c>
    </row>
    <row r="318" spans="2:4" ht="15" x14ac:dyDescent="0.15">
      <c r="B318" s="38">
        <v>1224</v>
      </c>
      <c r="C318" s="39">
        <f t="shared" si="8"/>
        <v>0.67441475999403977</v>
      </c>
      <c r="D318" s="39">
        <f t="shared" si="9"/>
        <v>1.0807387862796833</v>
      </c>
    </row>
    <row r="319" spans="2:4" ht="15" x14ac:dyDescent="0.15">
      <c r="B319" s="38">
        <v>1228</v>
      </c>
      <c r="C319" s="39">
        <f t="shared" si="8"/>
        <v>0.67670685385562401</v>
      </c>
      <c r="D319" s="39">
        <f t="shared" si="9"/>
        <v>1.0810240168910004</v>
      </c>
    </row>
    <row r="320" spans="2:4" ht="15" x14ac:dyDescent="0.15">
      <c r="B320" s="38">
        <v>1232</v>
      </c>
      <c r="C320" s="39">
        <f t="shared" si="8"/>
        <v>0.67899955273077006</v>
      </c>
      <c r="D320" s="39">
        <f t="shared" si="9"/>
        <v>1.0813093980992607</v>
      </c>
    </row>
    <row r="321" spans="2:4" ht="15" x14ac:dyDescent="0.15">
      <c r="B321" s="38">
        <v>1236</v>
      </c>
      <c r="C321" s="39">
        <f t="shared" si="8"/>
        <v>0.68129285693896136</v>
      </c>
      <c r="D321" s="39">
        <f t="shared" si="9"/>
        <v>1.0815949300237655</v>
      </c>
    </row>
    <row r="322" spans="2:4" ht="15" x14ac:dyDescent="0.15">
      <c r="B322" s="38">
        <v>1240</v>
      </c>
      <c r="C322" s="39">
        <f t="shared" si="8"/>
        <v>0.68358676679992836</v>
      </c>
      <c r="D322" s="39">
        <f t="shared" si="9"/>
        <v>1.0818806127839409</v>
      </c>
    </row>
    <row r="323" spans="2:4" ht="15" x14ac:dyDescent="0.15">
      <c r="B323" s="38">
        <v>1244</v>
      </c>
      <c r="C323" s="39">
        <f t="shared" si="8"/>
        <v>0.68588128263365533</v>
      </c>
      <c r="D323" s="39">
        <f t="shared" si="9"/>
        <v>1.0821664464993395</v>
      </c>
    </row>
    <row r="324" spans="2:4" ht="15" x14ac:dyDescent="0.15">
      <c r="B324" s="38">
        <v>1248</v>
      </c>
      <c r="C324" s="39">
        <f t="shared" si="8"/>
        <v>0.68817640476038422</v>
      </c>
      <c r="D324" s="39">
        <f t="shared" si="9"/>
        <v>1.0824524312896406</v>
      </c>
    </row>
    <row r="325" spans="2:4" ht="15" x14ac:dyDescent="0.15">
      <c r="B325" s="38">
        <v>1252</v>
      </c>
      <c r="C325" s="39">
        <f t="shared" si="8"/>
        <v>0.69047213350060499</v>
      </c>
      <c r="D325" s="39">
        <f t="shared" si="9"/>
        <v>1.0827385672746497</v>
      </c>
    </row>
    <row r="326" spans="2:4" ht="15" x14ac:dyDescent="0.15">
      <c r="B326" s="38">
        <v>1256</v>
      </c>
      <c r="C326" s="39">
        <f t="shared" si="8"/>
        <v>0.69276846917506862</v>
      </c>
      <c r="D326" s="39">
        <f t="shared" si="9"/>
        <v>1.0830248545742993</v>
      </c>
    </row>
    <row r="327" spans="2:4" ht="15" x14ac:dyDescent="0.15">
      <c r="B327" s="38">
        <v>1260</v>
      </c>
      <c r="C327" s="39">
        <f t="shared" si="8"/>
        <v>0.69506541210477546</v>
      </c>
      <c r="D327" s="39">
        <f t="shared" si="9"/>
        <v>1.0833112933086486</v>
      </c>
    </row>
    <row r="328" spans="2:4" ht="15" x14ac:dyDescent="0.15">
      <c r="B328" s="38">
        <v>1264</v>
      </c>
      <c r="C328" s="39">
        <f t="shared" si="8"/>
        <v>0.69736296261098063</v>
      </c>
      <c r="D328" s="39">
        <f t="shared" si="9"/>
        <v>1.0835978835978837</v>
      </c>
    </row>
    <row r="329" spans="2:4" ht="15" x14ac:dyDescent="0.15">
      <c r="B329" s="38">
        <v>1268</v>
      </c>
      <c r="C329" s="39">
        <f t="shared" si="8"/>
        <v>0.69966112101519617</v>
      </c>
      <c r="D329" s="39">
        <f t="shared" si="9"/>
        <v>1.083884625562318</v>
      </c>
    </row>
    <row r="330" spans="2:4" ht="15" x14ac:dyDescent="0.15">
      <c r="B330" s="38">
        <v>1272</v>
      </c>
      <c r="C330" s="39">
        <f t="shared" si="8"/>
        <v>0.70195988763919182</v>
      </c>
      <c r="D330" s="39">
        <f t="shared" si="9"/>
        <v>1.0841715193223929</v>
      </c>
    </row>
    <row r="331" spans="2:4" ht="15" x14ac:dyDescent="0.15">
      <c r="B331" s="38">
        <v>1276</v>
      </c>
      <c r="C331" s="39">
        <f t="shared" si="8"/>
        <v>0.70425926280498619</v>
      </c>
      <c r="D331" s="39">
        <f t="shared" si="9"/>
        <v>1.0844585649986762</v>
      </c>
    </row>
    <row r="332" spans="2:4" ht="15" x14ac:dyDescent="0.15">
      <c r="B332" s="38">
        <v>1280</v>
      </c>
      <c r="C332" s="39">
        <f t="shared" si="8"/>
        <v>0.7065592468348596</v>
      </c>
      <c r="D332" s="39">
        <f t="shared" si="9"/>
        <v>1.0847457627118644</v>
      </c>
    </row>
    <row r="333" spans="2:4" ht="15" x14ac:dyDescent="0.15">
      <c r="B333" s="38">
        <v>1284</v>
      </c>
      <c r="C333" s="39">
        <f t="shared" ref="C333:C396" si="10">20*LOG(D333)</f>
        <v>0.70885984005134584</v>
      </c>
      <c r="D333" s="39">
        <f t="shared" ref="D333:D396" si="11">16384/(16384-B333)</f>
        <v>1.0850331125827815</v>
      </c>
    </row>
    <row r="334" spans="2:4" ht="15" x14ac:dyDescent="0.15">
      <c r="B334" s="38">
        <v>1288</v>
      </c>
      <c r="C334" s="39">
        <f t="shared" si="10"/>
        <v>0.71116104277723624</v>
      </c>
      <c r="D334" s="39">
        <f t="shared" si="11"/>
        <v>1.0853206147323795</v>
      </c>
    </row>
    <row r="335" spans="2:4" ht="15" x14ac:dyDescent="0.15">
      <c r="B335" s="38">
        <v>1292</v>
      </c>
      <c r="C335" s="39">
        <f t="shared" si="10"/>
        <v>0.71346285533557552</v>
      </c>
      <c r="D335" s="39">
        <f t="shared" si="11"/>
        <v>1.0856082692817386</v>
      </c>
    </row>
    <row r="336" spans="2:4" ht="15" x14ac:dyDescent="0.15">
      <c r="B336" s="38">
        <v>1296</v>
      </c>
      <c r="C336" s="39">
        <f t="shared" si="10"/>
        <v>0.71576527804967249</v>
      </c>
      <c r="D336" s="39">
        <f t="shared" si="11"/>
        <v>1.085896076352068</v>
      </c>
    </row>
    <row r="337" spans="2:4" ht="15" x14ac:dyDescent="0.15">
      <c r="B337" s="38">
        <v>1300</v>
      </c>
      <c r="C337" s="39">
        <f t="shared" si="10"/>
        <v>0.71806831124308357</v>
      </c>
      <c r="D337" s="39">
        <f t="shared" si="11"/>
        <v>1.0861840360647044</v>
      </c>
    </row>
    <row r="338" spans="2:4" ht="15" x14ac:dyDescent="0.15">
      <c r="B338" s="38">
        <v>1304</v>
      </c>
      <c r="C338" s="39">
        <f t="shared" si="10"/>
        <v>0.72037195523962883</v>
      </c>
      <c r="D338" s="39">
        <f t="shared" si="11"/>
        <v>1.086472148541114</v>
      </c>
    </row>
    <row r="339" spans="2:4" ht="15" x14ac:dyDescent="0.15">
      <c r="B339" s="38">
        <v>1308</v>
      </c>
      <c r="C339" s="39">
        <f t="shared" si="10"/>
        <v>0.72267621036338681</v>
      </c>
      <c r="D339" s="39">
        <f t="shared" si="11"/>
        <v>1.0867604139028919</v>
      </c>
    </row>
    <row r="340" spans="2:4" ht="15" x14ac:dyDescent="0.15">
      <c r="B340" s="38">
        <v>1312</v>
      </c>
      <c r="C340" s="39">
        <f t="shared" si="10"/>
        <v>0.72498107693869152</v>
      </c>
      <c r="D340" s="39">
        <f t="shared" si="11"/>
        <v>1.0870488322717622</v>
      </c>
    </row>
    <row r="341" spans="2:4" ht="15" x14ac:dyDescent="0.15">
      <c r="B341" s="38">
        <v>1316</v>
      </c>
      <c r="C341" s="39">
        <f t="shared" si="10"/>
        <v>0.72728655529013486</v>
      </c>
      <c r="D341" s="39">
        <f t="shared" si="11"/>
        <v>1.087337403769578</v>
      </c>
    </row>
    <row r="342" spans="2:4" ht="15" x14ac:dyDescent="0.15">
      <c r="B342" s="38">
        <v>1320</v>
      </c>
      <c r="C342" s="39">
        <f t="shared" si="10"/>
        <v>0.7295926457425661</v>
      </c>
      <c r="D342" s="39">
        <f t="shared" si="11"/>
        <v>1.0876261285183217</v>
      </c>
    </row>
    <row r="343" spans="2:4" ht="15" x14ac:dyDescent="0.15">
      <c r="B343" s="38">
        <v>1324</v>
      </c>
      <c r="C343" s="39">
        <f t="shared" si="10"/>
        <v>0.73189934862109896</v>
      </c>
      <c r="D343" s="39">
        <f t="shared" si="11"/>
        <v>1.0879150066401062</v>
      </c>
    </row>
    <row r="344" spans="2:4" ht="15" x14ac:dyDescent="0.15">
      <c r="B344" s="38">
        <v>1328</v>
      </c>
      <c r="C344" s="39">
        <f t="shared" si="10"/>
        <v>0.73420666425110037</v>
      </c>
      <c r="D344" s="39">
        <f t="shared" si="11"/>
        <v>1.0882040382571732</v>
      </c>
    </row>
    <row r="345" spans="2:4" ht="15" x14ac:dyDescent="0.15">
      <c r="B345" s="38">
        <v>1332</v>
      </c>
      <c r="C345" s="39">
        <f t="shared" si="10"/>
        <v>0.73651459295819965</v>
      </c>
      <c r="D345" s="39">
        <f t="shared" si="11"/>
        <v>1.0884932234918947</v>
      </c>
    </row>
    <row r="346" spans="2:4" ht="15" x14ac:dyDescent="0.15">
      <c r="B346" s="38">
        <v>1336</v>
      </c>
      <c r="C346" s="39">
        <f t="shared" si="10"/>
        <v>0.73882313506828612</v>
      </c>
      <c r="D346" s="39">
        <f t="shared" si="11"/>
        <v>1.0887825624667731</v>
      </c>
    </row>
    <row r="347" spans="2:4" ht="15" x14ac:dyDescent="0.15">
      <c r="B347" s="38">
        <v>1340</v>
      </c>
      <c r="C347" s="39">
        <f t="shared" si="10"/>
        <v>0.74113229090750521</v>
      </c>
      <c r="D347" s="39">
        <f t="shared" si="11"/>
        <v>1.0890720553044404</v>
      </c>
    </row>
    <row r="348" spans="2:4" ht="15" x14ac:dyDescent="0.15">
      <c r="B348" s="38">
        <v>1344</v>
      </c>
      <c r="C348" s="39">
        <f t="shared" si="10"/>
        <v>0.74344206080226605</v>
      </c>
      <c r="D348" s="39">
        <f t="shared" si="11"/>
        <v>1.0893617021276596</v>
      </c>
    </row>
    <row r="349" spans="2:4" ht="15" x14ac:dyDescent="0.15">
      <c r="B349" s="38">
        <v>1348</v>
      </c>
      <c r="C349" s="39">
        <f t="shared" si="10"/>
        <v>0.74575244507923855</v>
      </c>
      <c r="D349" s="39">
        <f t="shared" si="11"/>
        <v>1.0896515030593243</v>
      </c>
    </row>
    <row r="350" spans="2:4" ht="15" x14ac:dyDescent="0.15">
      <c r="B350" s="38">
        <v>1352</v>
      </c>
      <c r="C350" s="39">
        <f t="shared" si="10"/>
        <v>0.74806344406535019</v>
      </c>
      <c r="D350" s="39">
        <f t="shared" si="11"/>
        <v>1.0899414582224587</v>
      </c>
    </row>
    <row r="351" spans="2:4" ht="15" x14ac:dyDescent="0.15">
      <c r="B351" s="38">
        <v>1356</v>
      </c>
      <c r="C351" s="39">
        <f t="shared" si="10"/>
        <v>0.75037505808779503</v>
      </c>
      <c r="D351" s="39">
        <f t="shared" si="11"/>
        <v>1.0902315677402183</v>
      </c>
    </row>
    <row r="352" spans="2:4" ht="15" x14ac:dyDescent="0.15">
      <c r="B352" s="38">
        <v>1360</v>
      </c>
      <c r="C352" s="39">
        <f t="shared" si="10"/>
        <v>0.75268728747402147</v>
      </c>
      <c r="D352" s="39">
        <f t="shared" si="11"/>
        <v>1.0905218317358893</v>
      </c>
    </row>
    <row r="353" spans="2:4" ht="15" x14ac:dyDescent="0.15">
      <c r="B353" s="38">
        <v>1364</v>
      </c>
      <c r="C353" s="39">
        <f t="shared" si="10"/>
        <v>0.75500013255174248</v>
      </c>
      <c r="D353" s="39">
        <f t="shared" si="11"/>
        <v>1.0908122503328894</v>
      </c>
    </row>
    <row r="354" spans="2:4" ht="15" x14ac:dyDescent="0.15">
      <c r="B354" s="38">
        <v>1368</v>
      </c>
      <c r="C354" s="39">
        <f t="shared" si="10"/>
        <v>0.75731359364893613</v>
      </c>
      <c r="D354" s="39">
        <f t="shared" si="11"/>
        <v>1.0911028236547682</v>
      </c>
    </row>
    <row r="355" spans="2:4" ht="15" x14ac:dyDescent="0.15">
      <c r="B355" s="38">
        <v>1372</v>
      </c>
      <c r="C355" s="39">
        <f t="shared" si="10"/>
        <v>0.75962767109383877</v>
      </c>
      <c r="D355" s="39">
        <f t="shared" si="11"/>
        <v>1.0913935518252065</v>
      </c>
    </row>
    <row r="356" spans="2:4" ht="15" x14ac:dyDescent="0.15">
      <c r="B356" s="38">
        <v>1376</v>
      </c>
      <c r="C356" s="39">
        <f t="shared" si="10"/>
        <v>0.76194236521494974</v>
      </c>
      <c r="D356" s="39">
        <f t="shared" si="11"/>
        <v>1.091684434968017</v>
      </c>
    </row>
    <row r="357" spans="2:4" ht="15" x14ac:dyDescent="0.15">
      <c r="B357" s="38">
        <v>1380</v>
      </c>
      <c r="C357" s="39">
        <f t="shared" si="10"/>
        <v>0.76425767634103137</v>
      </c>
      <c r="D357" s="39">
        <f t="shared" si="11"/>
        <v>1.0919754732071447</v>
      </c>
    </row>
    <row r="358" spans="2:4" ht="15" x14ac:dyDescent="0.15">
      <c r="B358" s="38">
        <v>1384</v>
      </c>
      <c r="C358" s="39">
        <f t="shared" si="10"/>
        <v>0.76657360480111025</v>
      </c>
      <c r="D358" s="39">
        <f t="shared" si="11"/>
        <v>1.0922666666666667</v>
      </c>
    </row>
    <row r="359" spans="2:4" ht="15" x14ac:dyDescent="0.15">
      <c r="B359" s="38">
        <v>1388</v>
      </c>
      <c r="C359" s="39">
        <f t="shared" si="10"/>
        <v>0.76889015092447233</v>
      </c>
      <c r="D359" s="39">
        <f t="shared" si="11"/>
        <v>1.0925580154707921</v>
      </c>
    </row>
    <row r="360" spans="2:4" ht="15" x14ac:dyDescent="0.15">
      <c r="B360" s="38">
        <v>1392</v>
      </c>
      <c r="C360" s="39">
        <f t="shared" si="10"/>
        <v>0.77120731504067441</v>
      </c>
      <c r="D360" s="39">
        <f t="shared" si="11"/>
        <v>1.0928495197438635</v>
      </c>
    </row>
    <row r="361" spans="2:4" ht="15" x14ac:dyDescent="0.15">
      <c r="B361" s="38">
        <v>1396</v>
      </c>
      <c r="C361" s="39">
        <f t="shared" si="10"/>
        <v>0.7735250974795278</v>
      </c>
      <c r="D361" s="39">
        <f t="shared" si="11"/>
        <v>1.093141179610355</v>
      </c>
    </row>
    <row r="362" spans="2:4" ht="15" x14ac:dyDescent="0.15">
      <c r="B362" s="38">
        <v>1400</v>
      </c>
      <c r="C362" s="39">
        <f t="shared" si="10"/>
        <v>0.77584349857111501</v>
      </c>
      <c r="D362" s="39">
        <f t="shared" si="11"/>
        <v>1.0934329951948745</v>
      </c>
    </row>
    <row r="363" spans="2:4" ht="15" x14ac:dyDescent="0.15">
      <c r="B363" s="38">
        <v>1404</v>
      </c>
      <c r="C363" s="39">
        <f t="shared" si="10"/>
        <v>0.77816251864578145</v>
      </c>
      <c r="D363" s="39">
        <f t="shared" si="11"/>
        <v>1.0937249666221629</v>
      </c>
    </row>
    <row r="364" spans="2:4" ht="15" x14ac:dyDescent="0.15">
      <c r="B364" s="38">
        <v>1408</v>
      </c>
      <c r="C364" s="39">
        <f t="shared" si="10"/>
        <v>0.78048215803413534</v>
      </c>
      <c r="D364" s="39">
        <f t="shared" si="11"/>
        <v>1.0940170940170941</v>
      </c>
    </row>
    <row r="365" spans="2:4" ht="15" x14ac:dyDescent="0.15">
      <c r="B365" s="38">
        <v>1412</v>
      </c>
      <c r="C365" s="39">
        <f t="shared" si="10"/>
        <v>0.78280241706704989</v>
      </c>
      <c r="D365" s="39">
        <f t="shared" si="11"/>
        <v>1.0943093775046755</v>
      </c>
    </row>
    <row r="366" spans="2:4" ht="15" x14ac:dyDescent="0.15">
      <c r="B366" s="38">
        <v>1416</v>
      </c>
      <c r="C366" s="39">
        <f t="shared" si="10"/>
        <v>0.78512329607566378</v>
      </c>
      <c r="D366" s="39">
        <f t="shared" si="11"/>
        <v>1.094601817210048</v>
      </c>
    </row>
    <row r="367" spans="2:4" ht="15" x14ac:dyDescent="0.15">
      <c r="B367" s="38">
        <v>1420</v>
      </c>
      <c r="C367" s="39">
        <f t="shared" si="10"/>
        <v>0.78744479539138568</v>
      </c>
      <c r="D367" s="39">
        <f t="shared" si="11"/>
        <v>1.094894413258487</v>
      </c>
    </row>
    <row r="368" spans="2:4" ht="15" x14ac:dyDescent="0.15">
      <c r="B368" s="38">
        <v>1424</v>
      </c>
      <c r="C368" s="39">
        <f t="shared" si="10"/>
        <v>0.78976691534588372</v>
      </c>
      <c r="D368" s="39">
        <f t="shared" si="11"/>
        <v>1.0951871657754011</v>
      </c>
    </row>
    <row r="369" spans="2:4" ht="15" x14ac:dyDescent="0.15">
      <c r="B369" s="38">
        <v>1428</v>
      </c>
      <c r="C369" s="39">
        <f t="shared" si="10"/>
        <v>0.79208965627109373</v>
      </c>
      <c r="D369" s="39">
        <f t="shared" si="11"/>
        <v>1.0954800748863331</v>
      </c>
    </row>
    <row r="370" spans="2:4" ht="15" x14ac:dyDescent="0.15">
      <c r="B370" s="38">
        <v>1432</v>
      </c>
      <c r="C370" s="39">
        <f t="shared" si="10"/>
        <v>0.7944130184992213</v>
      </c>
      <c r="D370" s="39">
        <f t="shared" si="11"/>
        <v>1.0957731407169609</v>
      </c>
    </row>
    <row r="371" spans="2:4" ht="15" x14ac:dyDescent="0.15">
      <c r="B371" s="38">
        <v>1436</v>
      </c>
      <c r="C371" s="39">
        <f t="shared" si="10"/>
        <v>0.79673700236273526</v>
      </c>
      <c r="D371" s="39">
        <f t="shared" si="11"/>
        <v>1.096066363393096</v>
      </c>
    </row>
    <row r="372" spans="2:4" ht="15" x14ac:dyDescent="0.15">
      <c r="B372" s="38">
        <v>1440</v>
      </c>
      <c r="C372" s="39">
        <f t="shared" si="10"/>
        <v>0.79906160819437233</v>
      </c>
      <c r="D372" s="39">
        <f t="shared" si="11"/>
        <v>1.0963597430406853</v>
      </c>
    </row>
    <row r="373" spans="2:4" ht="15" x14ac:dyDescent="0.15">
      <c r="B373" s="38">
        <v>1444</v>
      </c>
      <c r="C373" s="39">
        <f t="shared" si="10"/>
        <v>0.80138683632713548</v>
      </c>
      <c r="D373" s="39">
        <f t="shared" si="11"/>
        <v>1.09665327978581</v>
      </c>
    </row>
    <row r="374" spans="2:4" ht="15" x14ac:dyDescent="0.15">
      <c r="B374" s="38">
        <v>1448</v>
      </c>
      <c r="C374" s="39">
        <f t="shared" si="10"/>
        <v>0.80371268709429666</v>
      </c>
      <c r="D374" s="39">
        <f t="shared" si="11"/>
        <v>1.0969469737546866</v>
      </c>
    </row>
    <row r="375" spans="2:4" ht="15" x14ac:dyDescent="0.15">
      <c r="B375" s="38">
        <v>1452</v>
      </c>
      <c r="C375" s="39">
        <f t="shared" si="10"/>
        <v>0.80603916082939686</v>
      </c>
      <c r="D375" s="39">
        <f t="shared" si="11"/>
        <v>1.0972408250736674</v>
      </c>
    </row>
    <row r="376" spans="2:4" ht="15" x14ac:dyDescent="0.15">
      <c r="B376" s="38">
        <v>1456</v>
      </c>
      <c r="C376" s="39">
        <f t="shared" si="10"/>
        <v>0.80836625786624006</v>
      </c>
      <c r="D376" s="39">
        <f t="shared" si="11"/>
        <v>1.097534833869239</v>
      </c>
    </row>
    <row r="377" spans="2:4" ht="15" x14ac:dyDescent="0.15">
      <c r="B377" s="38">
        <v>1460</v>
      </c>
      <c r="C377" s="39">
        <f t="shared" si="10"/>
        <v>0.81069397853890501</v>
      </c>
      <c r="D377" s="39">
        <f t="shared" si="11"/>
        <v>1.0978290002680247</v>
      </c>
    </row>
    <row r="378" spans="2:4" ht="15" x14ac:dyDescent="0.15">
      <c r="B378" s="38">
        <v>1464</v>
      </c>
      <c r="C378" s="39">
        <f t="shared" si="10"/>
        <v>0.81302232318173562</v>
      </c>
      <c r="D378" s="39">
        <f t="shared" si="11"/>
        <v>1.098123324396783</v>
      </c>
    </row>
    <row r="379" spans="2:4" ht="15" x14ac:dyDescent="0.15">
      <c r="B379" s="38">
        <v>1468</v>
      </c>
      <c r="C379" s="39">
        <f t="shared" si="10"/>
        <v>0.81535129212934288</v>
      </c>
      <c r="D379" s="39">
        <f t="shared" si="11"/>
        <v>1.0984178063824082</v>
      </c>
    </row>
    <row r="380" spans="2:4" ht="15" x14ac:dyDescent="0.15">
      <c r="B380" s="38">
        <v>1472</v>
      </c>
      <c r="C380" s="39">
        <f t="shared" si="10"/>
        <v>0.81768088571661179</v>
      </c>
      <c r="D380" s="39">
        <f t="shared" si="11"/>
        <v>1.0987124463519313</v>
      </c>
    </row>
    <row r="381" spans="2:4" ht="15" x14ac:dyDescent="0.15">
      <c r="B381" s="38">
        <v>1476</v>
      </c>
      <c r="C381" s="39">
        <f t="shared" si="10"/>
        <v>0.82001110427869328</v>
      </c>
      <c r="D381" s="39">
        <f t="shared" si="11"/>
        <v>1.0990072444325194</v>
      </c>
    </row>
    <row r="382" spans="2:4" ht="15" x14ac:dyDescent="0.15">
      <c r="B382" s="38">
        <v>1480</v>
      </c>
      <c r="C382" s="39">
        <f t="shared" si="10"/>
        <v>0.82234194815101036</v>
      </c>
      <c r="D382" s="39">
        <f t="shared" si="11"/>
        <v>1.0993022007514761</v>
      </c>
    </row>
    <row r="383" spans="2:4" ht="15" x14ac:dyDescent="0.15">
      <c r="B383" s="38">
        <v>1484</v>
      </c>
      <c r="C383" s="39">
        <f t="shared" si="10"/>
        <v>0.82467341766925295</v>
      </c>
      <c r="D383" s="39">
        <f t="shared" si="11"/>
        <v>1.0995973154362415</v>
      </c>
    </row>
    <row r="384" spans="2:4" ht="15" x14ac:dyDescent="0.15">
      <c r="B384" s="38">
        <v>1488</v>
      </c>
      <c r="C384" s="39">
        <f t="shared" si="10"/>
        <v>0.82700551316938642</v>
      </c>
      <c r="D384" s="39">
        <f t="shared" si="11"/>
        <v>1.0998925886143931</v>
      </c>
    </row>
    <row r="385" spans="2:4" ht="15" x14ac:dyDescent="0.15">
      <c r="B385" s="38">
        <v>1492</v>
      </c>
      <c r="C385" s="39">
        <f t="shared" si="10"/>
        <v>0.8293382349876417</v>
      </c>
      <c r="D385" s="39">
        <f t="shared" si="11"/>
        <v>1.1001880204136449</v>
      </c>
    </row>
    <row r="386" spans="2:4" ht="15" x14ac:dyDescent="0.15">
      <c r="B386" s="38">
        <v>1496</v>
      </c>
      <c r="C386" s="39">
        <f t="shared" si="10"/>
        <v>0.83167158346052328</v>
      </c>
      <c r="D386" s="39">
        <f t="shared" si="11"/>
        <v>1.1004836109618485</v>
      </c>
    </row>
    <row r="387" spans="2:4" ht="15" x14ac:dyDescent="0.15">
      <c r="B387" s="38">
        <v>1500</v>
      </c>
      <c r="C387" s="39">
        <f t="shared" si="10"/>
        <v>0.83400555892480466</v>
      </c>
      <c r="D387" s="39">
        <f t="shared" si="11"/>
        <v>1.1007793603869926</v>
      </c>
    </row>
    <row r="388" spans="2:4" ht="15" x14ac:dyDescent="0.15">
      <c r="B388" s="38">
        <v>1504</v>
      </c>
      <c r="C388" s="39">
        <f t="shared" si="10"/>
        <v>0.83634016171753678</v>
      </c>
      <c r="D388" s="39">
        <f t="shared" si="11"/>
        <v>1.1010752688172043</v>
      </c>
    </row>
    <row r="389" spans="2:4" ht="15" x14ac:dyDescent="0.15">
      <c r="B389" s="38">
        <v>1508</v>
      </c>
      <c r="C389" s="39">
        <f t="shared" si="10"/>
        <v>0.83867539217603548</v>
      </c>
      <c r="D389" s="39">
        <f t="shared" si="11"/>
        <v>1.1013713363807476</v>
      </c>
    </row>
    <row r="390" spans="2:4" ht="15" x14ac:dyDescent="0.15">
      <c r="B390" s="38">
        <v>1512</v>
      </c>
      <c r="C390" s="39">
        <f t="shared" si="10"/>
        <v>0.84101125063789073</v>
      </c>
      <c r="D390" s="39">
        <f t="shared" si="11"/>
        <v>1.1016675632060247</v>
      </c>
    </row>
    <row r="391" spans="2:4" ht="15" x14ac:dyDescent="0.15">
      <c r="B391" s="38">
        <v>1516</v>
      </c>
      <c r="C391" s="39">
        <f t="shared" si="10"/>
        <v>0.84334773744096858</v>
      </c>
      <c r="D391" s="39">
        <f t="shared" si="11"/>
        <v>1.1019639494215765</v>
      </c>
    </row>
    <row r="392" spans="2:4" ht="15" x14ac:dyDescent="0.15">
      <c r="B392" s="38">
        <v>1520</v>
      </c>
      <c r="C392" s="39">
        <f t="shared" si="10"/>
        <v>0.84568485292340301</v>
      </c>
      <c r="D392" s="39">
        <f t="shared" si="11"/>
        <v>1.1022604951560817</v>
      </c>
    </row>
    <row r="393" spans="2:4" ht="15" x14ac:dyDescent="0.15">
      <c r="B393" s="38">
        <v>1524</v>
      </c>
      <c r="C393" s="39">
        <f t="shared" si="10"/>
        <v>0.84802259742360431</v>
      </c>
      <c r="D393" s="39">
        <f t="shared" si="11"/>
        <v>1.1025572005383579</v>
      </c>
    </row>
    <row r="394" spans="2:4" ht="15" x14ac:dyDescent="0.15">
      <c r="B394" s="38">
        <v>1528</v>
      </c>
      <c r="C394" s="39">
        <f t="shared" si="10"/>
        <v>0.85036097128025456</v>
      </c>
      <c r="D394" s="39">
        <f t="shared" si="11"/>
        <v>1.1028540656973613</v>
      </c>
    </row>
    <row r="395" spans="2:4" ht="15" x14ac:dyDescent="0.15">
      <c r="B395" s="38">
        <v>1532</v>
      </c>
      <c r="C395" s="39">
        <f t="shared" si="10"/>
        <v>0.85269997483230875</v>
      </c>
      <c r="D395" s="39">
        <f t="shared" si="11"/>
        <v>1.1031510907621869</v>
      </c>
    </row>
    <row r="396" spans="2:4" ht="15" x14ac:dyDescent="0.15">
      <c r="B396" s="38">
        <v>1536</v>
      </c>
      <c r="C396" s="39">
        <f t="shared" si="10"/>
        <v>0.85503960841899762</v>
      </c>
      <c r="D396" s="39">
        <f t="shared" si="11"/>
        <v>1.103448275862069</v>
      </c>
    </row>
    <row r="397" spans="2:4" ht="15" x14ac:dyDescent="0.15">
      <c r="B397" s="38">
        <v>1540</v>
      </c>
      <c r="C397" s="39">
        <f t="shared" ref="C397:C460" si="12">20*LOG(D397)</f>
        <v>0.85737987237982449</v>
      </c>
      <c r="D397" s="39">
        <f t="shared" ref="D397:D460" si="13">16384/(16384-B397)</f>
        <v>1.103745621126381</v>
      </c>
    </row>
    <row r="398" spans="2:4" ht="15" x14ac:dyDescent="0.15">
      <c r="B398" s="38">
        <v>1544</v>
      </c>
      <c r="C398" s="39">
        <f t="shared" si="12"/>
        <v>0.85972076705457023</v>
      </c>
      <c r="D398" s="39">
        <f t="shared" si="13"/>
        <v>1.1040431266846362</v>
      </c>
    </row>
    <row r="399" spans="2:4" ht="15" x14ac:dyDescent="0.15">
      <c r="B399" s="38">
        <v>1548</v>
      </c>
      <c r="C399" s="39">
        <f t="shared" si="12"/>
        <v>0.8620622927832845</v>
      </c>
      <c r="D399" s="39">
        <f t="shared" si="13"/>
        <v>1.104340792666487</v>
      </c>
    </row>
    <row r="400" spans="2:4" ht="15" x14ac:dyDescent="0.15">
      <c r="B400" s="38">
        <v>1552</v>
      </c>
      <c r="C400" s="39">
        <f t="shared" si="12"/>
        <v>0.86440444990629661</v>
      </c>
      <c r="D400" s="39">
        <f t="shared" si="13"/>
        <v>1.1046386192017259</v>
      </c>
    </row>
    <row r="401" spans="2:4" ht="15" x14ac:dyDescent="0.15">
      <c r="B401" s="38">
        <v>1556</v>
      </c>
      <c r="C401" s="39">
        <f t="shared" si="12"/>
        <v>0.86674723876421322</v>
      </c>
      <c r="D401" s="39">
        <f t="shared" si="13"/>
        <v>1.1049366064202859</v>
      </c>
    </row>
    <row r="402" spans="2:4" ht="15" x14ac:dyDescent="0.15">
      <c r="B402" s="38">
        <v>1560</v>
      </c>
      <c r="C402" s="39">
        <f t="shared" si="12"/>
        <v>0.86909065969791177</v>
      </c>
      <c r="D402" s="39">
        <f t="shared" si="13"/>
        <v>1.1052347544522396</v>
      </c>
    </row>
    <row r="403" spans="2:4" ht="15" x14ac:dyDescent="0.15">
      <c r="B403" s="38">
        <v>1564</v>
      </c>
      <c r="C403" s="39">
        <f t="shared" si="12"/>
        <v>0.87143471304854692</v>
      </c>
      <c r="D403" s="39">
        <f t="shared" si="13"/>
        <v>1.1055330634278002</v>
      </c>
    </row>
    <row r="404" spans="2:4" ht="15" x14ac:dyDescent="0.15">
      <c r="B404" s="38">
        <v>1568</v>
      </c>
      <c r="C404" s="39">
        <f t="shared" si="12"/>
        <v>0.87377939915755287</v>
      </c>
      <c r="D404" s="39">
        <f t="shared" si="13"/>
        <v>1.1058315334773219</v>
      </c>
    </row>
    <row r="405" spans="2:4" ht="15" x14ac:dyDescent="0.15">
      <c r="B405" s="38">
        <v>1572</v>
      </c>
      <c r="C405" s="39">
        <f t="shared" si="12"/>
        <v>0.87612471836663453</v>
      </c>
      <c r="D405" s="39">
        <f t="shared" si="13"/>
        <v>1.1061301647312989</v>
      </c>
    </row>
    <row r="406" spans="2:4" ht="15" x14ac:dyDescent="0.15">
      <c r="B406" s="38">
        <v>1576</v>
      </c>
      <c r="C406" s="39">
        <f t="shared" si="12"/>
        <v>0.87847067101778076</v>
      </c>
      <c r="D406" s="39">
        <f t="shared" si="13"/>
        <v>1.1064289573203674</v>
      </c>
    </row>
    <row r="407" spans="2:4" ht="15" x14ac:dyDescent="0.15">
      <c r="B407" s="38">
        <v>1580</v>
      </c>
      <c r="C407" s="39">
        <f t="shared" si="12"/>
        <v>0.88081725745325079</v>
      </c>
      <c r="D407" s="39">
        <f t="shared" si="13"/>
        <v>1.1067279113753039</v>
      </c>
    </row>
    <row r="408" spans="2:4" ht="15" x14ac:dyDescent="0.15">
      <c r="B408" s="38">
        <v>1584</v>
      </c>
      <c r="C408" s="39">
        <f t="shared" si="12"/>
        <v>0.88316447801558695</v>
      </c>
      <c r="D408" s="39">
        <f t="shared" si="13"/>
        <v>1.107027027027027</v>
      </c>
    </row>
    <row r="409" spans="2:4" ht="15" x14ac:dyDescent="0.15">
      <c r="B409" s="38">
        <v>1588</v>
      </c>
      <c r="C409" s="39">
        <f t="shared" si="12"/>
        <v>0.88551233304760546</v>
      </c>
      <c r="D409" s="39">
        <f t="shared" si="13"/>
        <v>1.1073263044065964</v>
      </c>
    </row>
    <row r="410" spans="2:4" ht="15" x14ac:dyDescent="0.15">
      <c r="B410" s="38">
        <v>1592</v>
      </c>
      <c r="C410" s="39">
        <f t="shared" si="12"/>
        <v>0.88786082289240253</v>
      </c>
      <c r="D410" s="39">
        <f t="shared" si="13"/>
        <v>1.1076257436452137</v>
      </c>
    </row>
    <row r="411" spans="2:4" ht="15" x14ac:dyDescent="0.15">
      <c r="B411" s="38">
        <v>1596</v>
      </c>
      <c r="C411" s="39">
        <f t="shared" si="12"/>
        <v>0.89020994789335095</v>
      </c>
      <c r="D411" s="39">
        <f t="shared" si="13"/>
        <v>1.1079253448742223</v>
      </c>
    </row>
    <row r="412" spans="2:4" ht="15" x14ac:dyDescent="0.15">
      <c r="B412" s="38">
        <v>1600</v>
      </c>
      <c r="C412" s="39">
        <f t="shared" si="12"/>
        <v>0.89255970839410503</v>
      </c>
      <c r="D412" s="39">
        <f t="shared" si="13"/>
        <v>1.1082251082251082</v>
      </c>
    </row>
    <row r="413" spans="2:4" ht="15" x14ac:dyDescent="0.15">
      <c r="B413" s="38">
        <v>1604</v>
      </c>
      <c r="C413" s="39">
        <f t="shared" si="12"/>
        <v>0.89491010473859667</v>
      </c>
      <c r="D413" s="39">
        <f t="shared" si="13"/>
        <v>1.1085250338294994</v>
      </c>
    </row>
    <row r="414" spans="2:4" ht="15" x14ac:dyDescent="0.15">
      <c r="B414" s="38">
        <v>1608</v>
      </c>
      <c r="C414" s="39">
        <f t="shared" si="12"/>
        <v>0.89726113727103507</v>
      </c>
      <c r="D414" s="39">
        <f t="shared" si="13"/>
        <v>1.1088251218191663</v>
      </c>
    </row>
    <row r="415" spans="2:4" ht="15" x14ac:dyDescent="0.15">
      <c r="B415" s="38">
        <v>1612</v>
      </c>
      <c r="C415" s="39">
        <f t="shared" si="12"/>
        <v>0.89961280633591156</v>
      </c>
      <c r="D415" s="39">
        <f t="shared" si="13"/>
        <v>1.1091253723260222</v>
      </c>
    </row>
    <row r="416" spans="2:4" ht="15" x14ac:dyDescent="0.15">
      <c r="B416" s="38">
        <v>1616</v>
      </c>
      <c r="C416" s="39">
        <f t="shared" si="12"/>
        <v>0.90196511227799747</v>
      </c>
      <c r="D416" s="39">
        <f t="shared" si="13"/>
        <v>1.1094257854821234</v>
      </c>
    </row>
    <row r="417" spans="2:4" ht="15" x14ac:dyDescent="0.15">
      <c r="B417" s="38">
        <v>1620</v>
      </c>
      <c r="C417" s="39">
        <f t="shared" si="12"/>
        <v>0.90431805544234378</v>
      </c>
      <c r="D417" s="39">
        <f t="shared" si="13"/>
        <v>1.1097263614196695</v>
      </c>
    </row>
    <row r="418" spans="2:4" ht="15" x14ac:dyDescent="0.15">
      <c r="B418" s="38">
        <v>1624</v>
      </c>
      <c r="C418" s="39">
        <f t="shared" si="12"/>
        <v>0.90667163617427948</v>
      </c>
      <c r="D418" s="39">
        <f t="shared" si="13"/>
        <v>1.1100271002710027</v>
      </c>
    </row>
    <row r="419" spans="2:4" ht="15" x14ac:dyDescent="0.15">
      <c r="B419" s="38">
        <v>1628</v>
      </c>
      <c r="C419" s="39">
        <f t="shared" si="12"/>
        <v>0.90902585481941733</v>
      </c>
      <c r="D419" s="39">
        <f t="shared" si="13"/>
        <v>1.1103280021686093</v>
      </c>
    </row>
    <row r="420" spans="2:4" ht="15" x14ac:dyDescent="0.15">
      <c r="B420" s="38">
        <v>1632</v>
      </c>
      <c r="C420" s="39">
        <f t="shared" si="12"/>
        <v>0.91138071172365254</v>
      </c>
      <c r="D420" s="39">
        <f t="shared" si="13"/>
        <v>1.1106290672451193</v>
      </c>
    </row>
    <row r="421" spans="2:4" ht="15" x14ac:dyDescent="0.15">
      <c r="B421" s="38">
        <v>1636</v>
      </c>
      <c r="C421" s="39">
        <f t="shared" si="12"/>
        <v>0.91373620723315674</v>
      </c>
      <c r="D421" s="39">
        <f t="shared" si="13"/>
        <v>1.1109302956333063</v>
      </c>
    </row>
    <row r="422" spans="2:4" ht="15" x14ac:dyDescent="0.15">
      <c r="B422" s="38">
        <v>1640</v>
      </c>
      <c r="C422" s="39">
        <f t="shared" si="12"/>
        <v>0.9160923416943868</v>
      </c>
      <c r="D422" s="39">
        <f t="shared" si="13"/>
        <v>1.1112316874660879</v>
      </c>
    </row>
    <row r="423" spans="2:4" ht="15" x14ac:dyDescent="0.15">
      <c r="B423" s="38">
        <v>1644</v>
      </c>
      <c r="C423" s="39">
        <f t="shared" si="12"/>
        <v>0.91844911545408192</v>
      </c>
      <c r="D423" s="39">
        <f t="shared" si="13"/>
        <v>1.1115332428765266</v>
      </c>
    </row>
    <row r="424" spans="2:4" ht="15" x14ac:dyDescent="0.15">
      <c r="B424" s="38">
        <v>1648</v>
      </c>
      <c r="C424" s="39">
        <f t="shared" si="12"/>
        <v>0.92080652885926095</v>
      </c>
      <c r="D424" s="39">
        <f t="shared" si="13"/>
        <v>1.1118349619978285</v>
      </c>
    </row>
    <row r="425" spans="2:4" ht="15" x14ac:dyDescent="0.15">
      <c r="B425" s="38">
        <v>1652</v>
      </c>
      <c r="C425" s="39">
        <f t="shared" si="12"/>
        <v>0.92316458225722764</v>
      </c>
      <c r="D425" s="39">
        <f t="shared" si="13"/>
        <v>1.1121368449633451</v>
      </c>
    </row>
    <row r="426" spans="2:4" ht="15" x14ac:dyDescent="0.15">
      <c r="B426" s="38">
        <v>1656</v>
      </c>
      <c r="C426" s="39">
        <f t="shared" si="12"/>
        <v>0.92552327599556805</v>
      </c>
      <c r="D426" s="39">
        <f t="shared" si="13"/>
        <v>1.1124388919065724</v>
      </c>
    </row>
    <row r="427" spans="2:4" ht="15" x14ac:dyDescent="0.15">
      <c r="B427" s="38">
        <v>1660</v>
      </c>
      <c r="C427" s="39">
        <f t="shared" si="12"/>
        <v>0.92788261042215281</v>
      </c>
      <c r="D427" s="39">
        <f t="shared" si="13"/>
        <v>1.1127411029611518</v>
      </c>
    </row>
    <row r="428" spans="2:4" ht="15" x14ac:dyDescent="0.15">
      <c r="B428" s="38">
        <v>1664</v>
      </c>
      <c r="C428" s="39">
        <f t="shared" si="12"/>
        <v>0.93024258588513375</v>
      </c>
      <c r="D428" s="39">
        <f t="shared" si="13"/>
        <v>1.1130434782608696</v>
      </c>
    </row>
    <row r="429" spans="2:4" ht="15" x14ac:dyDescent="0.15">
      <c r="B429" s="38">
        <v>1668</v>
      </c>
      <c r="C429" s="39">
        <f t="shared" si="12"/>
        <v>0.9326032027329465</v>
      </c>
      <c r="D429" s="39">
        <f t="shared" si="13"/>
        <v>1.1133460179396575</v>
      </c>
    </row>
    <row r="430" spans="2:4" ht="15" x14ac:dyDescent="0.15">
      <c r="B430" s="38">
        <v>1672</v>
      </c>
      <c r="C430" s="39">
        <f t="shared" si="12"/>
        <v>0.93496446131431266</v>
      </c>
      <c r="D430" s="39">
        <f t="shared" si="13"/>
        <v>1.1136487221315932</v>
      </c>
    </row>
    <row r="431" spans="2:4" ht="15" x14ac:dyDescent="0.15">
      <c r="B431" s="38">
        <v>1676</v>
      </c>
      <c r="C431" s="39">
        <f t="shared" si="12"/>
        <v>0.9373263619782386</v>
      </c>
      <c r="D431" s="39">
        <f t="shared" si="13"/>
        <v>1.1139515909709001</v>
      </c>
    </row>
    <row r="432" spans="2:4" ht="15" x14ac:dyDescent="0.15">
      <c r="B432" s="38">
        <v>1680</v>
      </c>
      <c r="C432" s="39">
        <f t="shared" si="12"/>
        <v>0.93968890507401404</v>
      </c>
      <c r="D432" s="39">
        <f t="shared" si="13"/>
        <v>1.1142546245919478</v>
      </c>
    </row>
    <row r="433" spans="2:4" ht="15" x14ac:dyDescent="0.15">
      <c r="B433" s="38">
        <v>1684</v>
      </c>
      <c r="C433" s="39">
        <f t="shared" si="12"/>
        <v>0.94205209095121245</v>
      </c>
      <c r="D433" s="39">
        <f t="shared" si="13"/>
        <v>1.1145578231292517</v>
      </c>
    </row>
    <row r="434" spans="2:4" ht="15" x14ac:dyDescent="0.15">
      <c r="B434" s="38">
        <v>1688</v>
      </c>
      <c r="C434" s="39">
        <f t="shared" si="12"/>
        <v>0.94441591995969743</v>
      </c>
      <c r="D434" s="39">
        <f t="shared" si="13"/>
        <v>1.1148611867174743</v>
      </c>
    </row>
    <row r="435" spans="2:4" ht="15" x14ac:dyDescent="0.15">
      <c r="B435" s="38">
        <v>1692</v>
      </c>
      <c r="C435" s="39">
        <f t="shared" si="12"/>
        <v>0.94678039244961187</v>
      </c>
      <c r="D435" s="39">
        <f t="shared" si="13"/>
        <v>1.1151647154914239</v>
      </c>
    </row>
    <row r="436" spans="2:4" ht="15" x14ac:dyDescent="0.15">
      <c r="B436" s="38">
        <v>1696</v>
      </c>
      <c r="C436" s="39">
        <f t="shared" si="12"/>
        <v>0.94914550877139114</v>
      </c>
      <c r="D436" s="39">
        <f t="shared" si="13"/>
        <v>1.1154684095860568</v>
      </c>
    </row>
    <row r="437" spans="2:4" ht="15" x14ac:dyDescent="0.15">
      <c r="B437" s="38">
        <v>1700</v>
      </c>
      <c r="C437" s="39">
        <f t="shared" si="12"/>
        <v>0.95151126927575147</v>
      </c>
      <c r="D437" s="39">
        <f t="shared" si="13"/>
        <v>1.1157722691364751</v>
      </c>
    </row>
    <row r="438" spans="2:4" ht="15" x14ac:dyDescent="0.15">
      <c r="B438" s="38">
        <v>1704</v>
      </c>
      <c r="C438" s="39">
        <f t="shared" si="12"/>
        <v>0.95387767431370052</v>
      </c>
      <c r="D438" s="39">
        <f t="shared" si="13"/>
        <v>1.1160762942779292</v>
      </c>
    </row>
    <row r="439" spans="2:4" ht="15" x14ac:dyDescent="0.15">
      <c r="B439" s="38">
        <v>1708</v>
      </c>
      <c r="C439" s="39">
        <f t="shared" si="12"/>
        <v>0.95624472423652918</v>
      </c>
      <c r="D439" s="39">
        <f t="shared" si="13"/>
        <v>1.1163804851458163</v>
      </c>
    </row>
    <row r="440" spans="2:4" ht="15" x14ac:dyDescent="0.15">
      <c r="B440" s="38">
        <v>1712</v>
      </c>
      <c r="C440" s="39">
        <f t="shared" si="12"/>
        <v>0.95861241939581765</v>
      </c>
      <c r="D440" s="39">
        <f t="shared" si="13"/>
        <v>1.1166848418756816</v>
      </c>
    </row>
    <row r="441" spans="2:4" ht="15" x14ac:dyDescent="0.15">
      <c r="B441" s="38">
        <v>1716</v>
      </c>
      <c r="C441" s="39">
        <f t="shared" si="12"/>
        <v>0.96098076014343214</v>
      </c>
      <c r="D441" s="39">
        <f t="shared" si="13"/>
        <v>1.1169893646032178</v>
      </c>
    </row>
    <row r="442" spans="2:4" ht="15" x14ac:dyDescent="0.15">
      <c r="B442" s="38">
        <v>1720</v>
      </c>
      <c r="C442" s="39">
        <f t="shared" si="12"/>
        <v>0.96334974683152885</v>
      </c>
      <c r="D442" s="39">
        <f t="shared" si="13"/>
        <v>1.1172940534642661</v>
      </c>
    </row>
    <row r="443" spans="2:4" ht="15" x14ac:dyDescent="0.15">
      <c r="B443" s="38">
        <v>1724</v>
      </c>
      <c r="C443" s="39">
        <f t="shared" si="12"/>
        <v>0.96571937981255274</v>
      </c>
      <c r="D443" s="39">
        <f t="shared" si="13"/>
        <v>1.1175989085948159</v>
      </c>
    </row>
    <row r="444" spans="2:4" ht="15" x14ac:dyDescent="0.15">
      <c r="B444" s="38">
        <v>1728</v>
      </c>
      <c r="C444" s="39">
        <f t="shared" si="12"/>
        <v>0.96808965943923087</v>
      </c>
      <c r="D444" s="39">
        <f t="shared" si="13"/>
        <v>1.1179039301310043</v>
      </c>
    </row>
    <row r="445" spans="2:4" ht="15" x14ac:dyDescent="0.15">
      <c r="B445" s="38">
        <v>1732</v>
      </c>
      <c r="C445" s="39">
        <f t="shared" si="12"/>
        <v>0.97046058606458918</v>
      </c>
      <c r="D445" s="39">
        <f t="shared" si="13"/>
        <v>1.1182091182091183</v>
      </c>
    </row>
    <row r="446" spans="2:4" ht="15" x14ac:dyDescent="0.15">
      <c r="B446" s="38">
        <v>1736</v>
      </c>
      <c r="C446" s="39">
        <f t="shared" si="12"/>
        <v>0.97283216004193274</v>
      </c>
      <c r="D446" s="39">
        <f t="shared" si="13"/>
        <v>1.1185144729655925</v>
      </c>
    </row>
    <row r="447" spans="2:4" ht="15" x14ac:dyDescent="0.15">
      <c r="B447" s="38">
        <v>1740</v>
      </c>
      <c r="C447" s="39">
        <f t="shared" si="12"/>
        <v>0.97520438172486468</v>
      </c>
      <c r="D447" s="39">
        <f t="shared" si="13"/>
        <v>1.1188199945370116</v>
      </c>
    </row>
    <row r="448" spans="2:4" ht="15" x14ac:dyDescent="0.15">
      <c r="B448" s="38">
        <v>1744</v>
      </c>
      <c r="C448" s="39">
        <f t="shared" si="12"/>
        <v>0.97757725146727359</v>
      </c>
      <c r="D448" s="39">
        <f t="shared" si="13"/>
        <v>1.1191256830601093</v>
      </c>
    </row>
    <row r="449" spans="2:7" ht="15" x14ac:dyDescent="0.15">
      <c r="B449" s="38">
        <v>1748</v>
      </c>
      <c r="C449" s="39">
        <f t="shared" si="12"/>
        <v>0.97995076962333627</v>
      </c>
      <c r="D449" s="39">
        <f t="shared" si="13"/>
        <v>1.1194315386717681</v>
      </c>
    </row>
    <row r="450" spans="2:7" ht="15" x14ac:dyDescent="0.15">
      <c r="B450" s="38">
        <v>1752</v>
      </c>
      <c r="C450" s="39">
        <f t="shared" si="12"/>
        <v>0.98232493654752506</v>
      </c>
      <c r="D450" s="39">
        <f t="shared" si="13"/>
        <v>1.1197375615090213</v>
      </c>
    </row>
    <row r="451" spans="2:7" ht="15" x14ac:dyDescent="0.15">
      <c r="B451" s="38">
        <v>1756</v>
      </c>
      <c r="C451" s="39">
        <f t="shared" si="12"/>
        <v>0.98469975259459952</v>
      </c>
      <c r="D451" s="39">
        <f t="shared" si="13"/>
        <v>1.1200437517090511</v>
      </c>
    </row>
    <row r="452" spans="2:7" ht="15" x14ac:dyDescent="0.15">
      <c r="B452" s="38">
        <v>1760</v>
      </c>
      <c r="C452" s="39">
        <f t="shared" si="12"/>
        <v>0.9870752181196103</v>
      </c>
      <c r="D452" s="39">
        <f t="shared" si="13"/>
        <v>1.1203501094091903</v>
      </c>
    </row>
    <row r="453" spans="2:7" ht="15" x14ac:dyDescent="0.15">
      <c r="B453" s="38">
        <v>1764</v>
      </c>
      <c r="C453" s="39">
        <f t="shared" si="12"/>
        <v>0.98945133347790148</v>
      </c>
      <c r="D453" s="39">
        <f t="shared" si="13"/>
        <v>1.120656634746922</v>
      </c>
      <c r="G453" s="17"/>
    </row>
    <row r="454" spans="2:7" ht="16.5" x14ac:dyDescent="0.15">
      <c r="B454" s="38">
        <v>1768</v>
      </c>
      <c r="C454" s="39">
        <f t="shared" si="12"/>
        <v>0.99182809902510738</v>
      </c>
      <c r="D454" s="39">
        <f t="shared" si="13"/>
        <v>1.1209633278598796</v>
      </c>
      <c r="G454" s="16"/>
    </row>
    <row r="455" spans="2:7" ht="15" x14ac:dyDescent="0.15">
      <c r="B455" s="38">
        <v>1772</v>
      </c>
      <c r="C455" s="39">
        <f t="shared" si="12"/>
        <v>0.99420551511715305</v>
      </c>
      <c r="D455" s="39">
        <f t="shared" si="13"/>
        <v>1.1212701888858472</v>
      </c>
      <c r="G455" s="17"/>
    </row>
    <row r="456" spans="2:7" ht="15" x14ac:dyDescent="0.15">
      <c r="B456" s="38">
        <v>1776</v>
      </c>
      <c r="C456" s="39">
        <f t="shared" si="12"/>
        <v>0.99658358211025999</v>
      </c>
      <c r="D456" s="39">
        <f t="shared" si="13"/>
        <v>1.1215772179627601</v>
      </c>
      <c r="G456" s="17"/>
    </row>
    <row r="457" spans="2:7" ht="15" x14ac:dyDescent="0.15">
      <c r="B457" s="38">
        <v>1780</v>
      </c>
      <c r="C457" s="39">
        <f t="shared" si="12"/>
        <v>0.99896230036093803</v>
      </c>
      <c r="D457" s="39">
        <f t="shared" si="13"/>
        <v>1.1218844152287044</v>
      </c>
      <c r="G457" s="17"/>
    </row>
    <row r="458" spans="2:7" ht="15" x14ac:dyDescent="0.15">
      <c r="B458" s="38">
        <v>1784</v>
      </c>
      <c r="C458" s="39">
        <f t="shared" si="12"/>
        <v>1.0013416702259921</v>
      </c>
      <c r="D458" s="39">
        <f t="shared" si="13"/>
        <v>1.1221917808219177</v>
      </c>
      <c r="G458" s="17"/>
    </row>
    <row r="459" spans="2:7" ht="16.5" x14ac:dyDescent="0.15">
      <c r="B459" s="38">
        <v>1788</v>
      </c>
      <c r="C459" s="39">
        <f t="shared" si="12"/>
        <v>1.003721692062522</v>
      </c>
      <c r="D459" s="39">
        <f t="shared" si="13"/>
        <v>1.1224993148807894</v>
      </c>
      <c r="G459" s="16"/>
    </row>
    <row r="460" spans="2:7" ht="16.5" x14ac:dyDescent="0.15">
      <c r="B460" s="38">
        <v>1792</v>
      </c>
      <c r="C460" s="39">
        <f t="shared" si="12"/>
        <v>1.0061023662279149</v>
      </c>
      <c r="D460" s="39">
        <f t="shared" si="13"/>
        <v>1.1228070175438596</v>
      </c>
      <c r="G460" s="16"/>
    </row>
    <row r="461" spans="2:7" ht="15" x14ac:dyDescent="0.15">
      <c r="B461" s="38">
        <v>1796</v>
      </c>
      <c r="C461" s="39">
        <f t="shared" ref="C461:C524" si="14">20*LOG(D461)</f>
        <v>1.0084836930798602</v>
      </c>
      <c r="D461" s="39">
        <f t="shared" ref="D461:D524" si="15">16384/(16384-B461)</f>
        <v>1.1231148889498217</v>
      </c>
    </row>
    <row r="462" spans="2:7" ht="15" x14ac:dyDescent="0.15">
      <c r="B462" s="38">
        <v>1800</v>
      </c>
      <c r="C462" s="39">
        <f t="shared" si="14"/>
        <v>1.0108656729763374</v>
      </c>
      <c r="D462" s="39">
        <f t="shared" si="15"/>
        <v>1.1234229292375206</v>
      </c>
    </row>
    <row r="463" spans="2:7" ht="15" x14ac:dyDescent="0.15">
      <c r="B463" s="38">
        <v>1804</v>
      </c>
      <c r="C463" s="39">
        <f t="shared" si="14"/>
        <v>1.0132483062756186</v>
      </c>
      <c r="D463" s="39">
        <f t="shared" si="15"/>
        <v>1.1237311385459534</v>
      </c>
    </row>
    <row r="464" spans="2:7" ht="15" x14ac:dyDescent="0.15">
      <c r="B464" s="38">
        <v>1808</v>
      </c>
      <c r="C464" s="39">
        <f t="shared" si="14"/>
        <v>1.0156315933362745</v>
      </c>
      <c r="D464" s="39">
        <f t="shared" si="15"/>
        <v>1.1240395170142701</v>
      </c>
    </row>
    <row r="465" spans="2:4" ht="15" x14ac:dyDescent="0.15">
      <c r="B465" s="38">
        <v>1812</v>
      </c>
      <c r="C465" s="39">
        <f t="shared" si="14"/>
        <v>1.0180155345171682</v>
      </c>
      <c r="D465" s="39">
        <f t="shared" si="15"/>
        <v>1.1243480647817732</v>
      </c>
    </row>
    <row r="466" spans="2:4" ht="15" x14ac:dyDescent="0.15">
      <c r="B466" s="38">
        <v>1816</v>
      </c>
      <c r="C466" s="39">
        <f t="shared" si="14"/>
        <v>1.0204001301774628</v>
      </c>
      <c r="D466" s="39">
        <f t="shared" si="15"/>
        <v>1.1246567819879187</v>
      </c>
    </row>
    <row r="467" spans="2:4" ht="15" x14ac:dyDescent="0.15">
      <c r="B467" s="38">
        <v>1820</v>
      </c>
      <c r="C467" s="39">
        <f t="shared" si="14"/>
        <v>1.0227853806766114</v>
      </c>
      <c r="D467" s="39">
        <f t="shared" si="15"/>
        <v>1.1249656687723153</v>
      </c>
    </row>
    <row r="468" spans="2:4" ht="15" x14ac:dyDescent="0.15">
      <c r="B468" s="38">
        <v>1824</v>
      </c>
      <c r="C468" s="39">
        <f t="shared" si="14"/>
        <v>1.0251712863743669</v>
      </c>
      <c r="D468" s="39">
        <f t="shared" si="15"/>
        <v>1.1252747252747253</v>
      </c>
    </row>
    <row r="469" spans="2:4" ht="15" x14ac:dyDescent="0.15">
      <c r="B469" s="38">
        <v>1828</v>
      </c>
      <c r="C469" s="39">
        <f t="shared" si="14"/>
        <v>1.0275578476307783</v>
      </c>
      <c r="D469" s="39">
        <f t="shared" si="15"/>
        <v>1.1255839516350645</v>
      </c>
    </row>
    <row r="470" spans="2:4" ht="15" x14ac:dyDescent="0.15">
      <c r="B470" s="38">
        <v>1832</v>
      </c>
      <c r="C470" s="39">
        <f t="shared" si="14"/>
        <v>1.0299450648061921</v>
      </c>
      <c r="D470" s="39">
        <f t="shared" si="15"/>
        <v>1.125893347993403</v>
      </c>
    </row>
    <row r="471" spans="2:4" ht="15" x14ac:dyDescent="0.15">
      <c r="B471" s="38">
        <v>1836</v>
      </c>
      <c r="C471" s="39">
        <f t="shared" si="14"/>
        <v>1.0323329382612494</v>
      </c>
      <c r="D471" s="39">
        <f t="shared" si="15"/>
        <v>1.1262029144899643</v>
      </c>
    </row>
    <row r="472" spans="2:4" ht="15" x14ac:dyDescent="0.15">
      <c r="B472" s="38">
        <v>1840</v>
      </c>
      <c r="C472" s="39">
        <f t="shared" si="14"/>
        <v>1.0347214683568897</v>
      </c>
      <c r="D472" s="39">
        <f t="shared" si="15"/>
        <v>1.1265126512651265</v>
      </c>
    </row>
    <row r="473" spans="2:4" ht="15" x14ac:dyDescent="0.15">
      <c r="B473" s="38">
        <v>1844</v>
      </c>
      <c r="C473" s="39">
        <f t="shared" si="14"/>
        <v>1.0371106554543539</v>
      </c>
      <c r="D473" s="39">
        <f t="shared" si="15"/>
        <v>1.1268225584594223</v>
      </c>
    </row>
    <row r="474" spans="2:4" ht="15" x14ac:dyDescent="0.15">
      <c r="B474" s="38">
        <v>1848</v>
      </c>
      <c r="C474" s="39">
        <f t="shared" si="14"/>
        <v>1.0395004999151765</v>
      </c>
      <c r="D474" s="39">
        <f t="shared" si="15"/>
        <v>1.1271326362135388</v>
      </c>
    </row>
    <row r="475" spans="2:4" ht="15" x14ac:dyDescent="0.15">
      <c r="B475" s="38">
        <v>1852</v>
      </c>
      <c r="C475" s="39">
        <f t="shared" si="14"/>
        <v>1.0418910021011933</v>
      </c>
      <c r="D475" s="39">
        <f t="shared" si="15"/>
        <v>1.1274428846683182</v>
      </c>
    </row>
    <row r="476" spans="2:4" ht="15" x14ac:dyDescent="0.15">
      <c r="B476" s="38">
        <v>1856</v>
      </c>
      <c r="C476" s="39">
        <f t="shared" si="14"/>
        <v>1.0442821623745377</v>
      </c>
      <c r="D476" s="39">
        <f t="shared" si="15"/>
        <v>1.1277533039647578</v>
      </c>
    </row>
    <row r="477" spans="2:4" ht="15" x14ac:dyDescent="0.15">
      <c r="B477" s="38">
        <v>1860</v>
      </c>
      <c r="C477" s="39">
        <f t="shared" si="14"/>
        <v>1.0466739810976411</v>
      </c>
      <c r="D477" s="39">
        <f t="shared" si="15"/>
        <v>1.12806389424401</v>
      </c>
    </row>
    <row r="478" spans="2:4" ht="15" x14ac:dyDescent="0.15">
      <c r="B478" s="38">
        <v>1864</v>
      </c>
      <c r="C478" s="39">
        <f t="shared" si="14"/>
        <v>1.0490664586332357</v>
      </c>
      <c r="D478" s="39">
        <f t="shared" si="15"/>
        <v>1.1283746556473828</v>
      </c>
    </row>
    <row r="479" spans="2:4" ht="15" x14ac:dyDescent="0.15">
      <c r="B479" s="38">
        <v>1868</v>
      </c>
      <c r="C479" s="39">
        <f t="shared" si="14"/>
        <v>1.0514595953443577</v>
      </c>
      <c r="D479" s="39">
        <f t="shared" si="15"/>
        <v>1.1286855883163407</v>
      </c>
    </row>
    <row r="480" spans="2:4" ht="15" x14ac:dyDescent="0.15">
      <c r="B480" s="38">
        <v>1872</v>
      </c>
      <c r="C480" s="39">
        <f t="shared" si="14"/>
        <v>1.053853391594334</v>
      </c>
      <c r="D480" s="39">
        <f t="shared" si="15"/>
        <v>1.1289966923925028</v>
      </c>
    </row>
    <row r="481" spans="2:4" ht="15" x14ac:dyDescent="0.15">
      <c r="B481" s="38">
        <v>1876</v>
      </c>
      <c r="C481" s="39">
        <f t="shared" si="14"/>
        <v>1.0562478477468005</v>
      </c>
      <c r="D481" s="39">
        <f t="shared" si="15"/>
        <v>1.1293079680176454</v>
      </c>
    </row>
    <row r="482" spans="2:4" ht="15" x14ac:dyDescent="0.15">
      <c r="B482" s="38">
        <v>1880</v>
      </c>
      <c r="C482" s="39">
        <f t="shared" si="14"/>
        <v>1.0586429641656905</v>
      </c>
      <c r="D482" s="39">
        <f t="shared" si="15"/>
        <v>1.1296194153337011</v>
      </c>
    </row>
    <row r="483" spans="2:4" ht="15" x14ac:dyDescent="0.15">
      <c r="B483" s="38">
        <v>1884</v>
      </c>
      <c r="C483" s="39">
        <f t="shared" si="14"/>
        <v>1.0610387412152371</v>
      </c>
      <c r="D483" s="39">
        <f t="shared" si="15"/>
        <v>1.1299310344827587</v>
      </c>
    </row>
    <row r="484" spans="2:4" ht="15" x14ac:dyDescent="0.15">
      <c r="B484" s="38">
        <v>1888</v>
      </c>
      <c r="C484" s="39">
        <f t="shared" si="14"/>
        <v>1.0634351792599777</v>
      </c>
      <c r="D484" s="39">
        <f t="shared" si="15"/>
        <v>1.130242825607064</v>
      </c>
    </row>
    <row r="485" spans="2:4" ht="15" x14ac:dyDescent="0.15">
      <c r="B485" s="38">
        <v>1892</v>
      </c>
      <c r="C485" s="39">
        <f t="shared" si="14"/>
        <v>1.0658322786647503</v>
      </c>
      <c r="D485" s="39">
        <f t="shared" si="15"/>
        <v>1.1305547888490202</v>
      </c>
    </row>
    <row r="486" spans="2:4" ht="15" x14ac:dyDescent="0.15">
      <c r="B486" s="38">
        <v>1896</v>
      </c>
      <c r="C486" s="39">
        <f t="shared" si="14"/>
        <v>1.0682300397946956</v>
      </c>
      <c r="D486" s="39">
        <f t="shared" si="15"/>
        <v>1.1308669243511873</v>
      </c>
    </row>
    <row r="487" spans="2:4" ht="15" x14ac:dyDescent="0.15">
      <c r="B487" s="38">
        <v>1900</v>
      </c>
      <c r="C487" s="39">
        <f t="shared" si="14"/>
        <v>1.0706284630152538</v>
      </c>
      <c r="D487" s="39">
        <f t="shared" si="15"/>
        <v>1.1311792322562828</v>
      </c>
    </row>
    <row r="488" spans="2:4" ht="15" x14ac:dyDescent="0.15">
      <c r="B488" s="38">
        <v>1904</v>
      </c>
      <c r="C488" s="39">
        <f t="shared" si="14"/>
        <v>1.0730275486921734</v>
      </c>
      <c r="D488" s="39">
        <f t="shared" si="15"/>
        <v>1.1314917127071824</v>
      </c>
    </row>
    <row r="489" spans="2:4" ht="15" x14ac:dyDescent="0.15">
      <c r="B489" s="38">
        <v>1908</v>
      </c>
      <c r="C489" s="39">
        <f t="shared" si="14"/>
        <v>1.0754272971915</v>
      </c>
      <c r="D489" s="39">
        <f t="shared" si="15"/>
        <v>1.131804365846919</v>
      </c>
    </row>
    <row r="490" spans="2:4" ht="15" x14ac:dyDescent="0.15">
      <c r="B490" s="38">
        <v>1912</v>
      </c>
      <c r="C490" s="39">
        <f t="shared" si="14"/>
        <v>1.0778277088795876</v>
      </c>
      <c r="D490" s="39">
        <f t="shared" si="15"/>
        <v>1.1321171918186843</v>
      </c>
    </row>
    <row r="491" spans="2:4" ht="15" x14ac:dyDescent="0.15">
      <c r="B491" s="38">
        <v>1916</v>
      </c>
      <c r="C491" s="39">
        <f t="shared" si="14"/>
        <v>1.0802287841230926</v>
      </c>
      <c r="D491" s="39">
        <f t="shared" si="15"/>
        <v>1.1324301907658281</v>
      </c>
    </row>
    <row r="492" spans="2:4" ht="15" x14ac:dyDescent="0.15">
      <c r="B492" s="38">
        <v>1920</v>
      </c>
      <c r="C492" s="39">
        <f t="shared" si="14"/>
        <v>1.0826305232889726</v>
      </c>
      <c r="D492" s="39">
        <f t="shared" si="15"/>
        <v>1.1327433628318584</v>
      </c>
    </row>
    <row r="493" spans="2:4" ht="15" x14ac:dyDescent="0.15">
      <c r="B493" s="38">
        <v>1924</v>
      </c>
      <c r="C493" s="39">
        <f t="shared" si="14"/>
        <v>1.085032926744494</v>
      </c>
      <c r="D493" s="39">
        <f t="shared" si="15"/>
        <v>1.1330567081604426</v>
      </c>
    </row>
    <row r="494" spans="2:4" ht="15" x14ac:dyDescent="0.15">
      <c r="B494" s="38">
        <v>1928</v>
      </c>
      <c r="C494" s="39">
        <f t="shared" si="14"/>
        <v>1.0874359948572254</v>
      </c>
      <c r="D494" s="39">
        <f t="shared" si="15"/>
        <v>1.1333702268954067</v>
      </c>
    </row>
    <row r="495" spans="2:4" ht="15" x14ac:dyDescent="0.15">
      <c r="B495" s="38">
        <v>1932</v>
      </c>
      <c r="C495" s="39">
        <f t="shared" si="14"/>
        <v>1.089839727995042</v>
      </c>
      <c r="D495" s="39">
        <f t="shared" si="15"/>
        <v>1.1336839191807362</v>
      </c>
    </row>
    <row r="496" spans="2:4" ht="15" x14ac:dyDescent="0.15">
      <c r="B496" s="38">
        <v>1936</v>
      </c>
      <c r="C496" s="39">
        <f t="shared" si="14"/>
        <v>1.0922441265261227</v>
      </c>
      <c r="D496" s="39">
        <f t="shared" si="15"/>
        <v>1.1339977851605758</v>
      </c>
    </row>
    <row r="497" spans="2:4" ht="15" x14ac:dyDescent="0.15">
      <c r="B497" s="38">
        <v>1940</v>
      </c>
      <c r="C497" s="39">
        <f t="shared" si="14"/>
        <v>1.0946491908189544</v>
      </c>
      <c r="D497" s="39">
        <f t="shared" si="15"/>
        <v>1.1343118249792301</v>
      </c>
    </row>
    <row r="498" spans="2:4" ht="15" x14ac:dyDescent="0.15">
      <c r="B498" s="38">
        <v>1944</v>
      </c>
      <c r="C498" s="39">
        <f t="shared" si="14"/>
        <v>1.0970549212423291</v>
      </c>
      <c r="D498" s="39">
        <f t="shared" si="15"/>
        <v>1.1346260387811635</v>
      </c>
    </row>
    <row r="499" spans="2:4" ht="15" x14ac:dyDescent="0.15">
      <c r="B499" s="38">
        <v>1948</v>
      </c>
      <c r="C499" s="39">
        <f t="shared" si="14"/>
        <v>1.0994613181653441</v>
      </c>
      <c r="D499" s="39">
        <f t="shared" si="15"/>
        <v>1.1349404267110004</v>
      </c>
    </row>
    <row r="500" spans="2:4" ht="15" x14ac:dyDescent="0.15">
      <c r="B500" s="38">
        <v>1952</v>
      </c>
      <c r="C500" s="39">
        <f t="shared" si="14"/>
        <v>1.1018683819574044</v>
      </c>
      <c r="D500" s="39">
        <f t="shared" si="15"/>
        <v>1.1352549889135255</v>
      </c>
    </row>
    <row r="501" spans="2:4" ht="15" x14ac:dyDescent="0.15">
      <c r="B501" s="38">
        <v>1956</v>
      </c>
      <c r="C501" s="39">
        <f t="shared" si="14"/>
        <v>1.1042761129882246</v>
      </c>
      <c r="D501" s="39">
        <f t="shared" si="15"/>
        <v>1.1355697255336845</v>
      </c>
    </row>
    <row r="502" spans="2:4" ht="15" x14ac:dyDescent="0.15">
      <c r="B502" s="38">
        <v>1960</v>
      </c>
      <c r="C502" s="39">
        <f t="shared" si="14"/>
        <v>1.1066845116278246</v>
      </c>
      <c r="D502" s="39">
        <f t="shared" si="15"/>
        <v>1.1358846367165836</v>
      </c>
    </row>
    <row r="503" spans="2:4" ht="15" x14ac:dyDescent="0.15">
      <c r="B503" s="38">
        <v>1964</v>
      </c>
      <c r="C503" s="39">
        <f t="shared" si="14"/>
        <v>1.1090935782465299</v>
      </c>
      <c r="D503" s="39">
        <f t="shared" si="15"/>
        <v>1.1361997226074896</v>
      </c>
    </row>
    <row r="504" spans="2:4" ht="15" x14ac:dyDescent="0.15">
      <c r="B504" s="38">
        <v>1968</v>
      </c>
      <c r="C504" s="39">
        <f t="shared" si="14"/>
        <v>1.1115033132149796</v>
      </c>
      <c r="D504" s="39">
        <f t="shared" si="15"/>
        <v>1.1365149833518313</v>
      </c>
    </row>
    <row r="505" spans="2:4" ht="15" x14ac:dyDescent="0.15">
      <c r="B505" s="38">
        <v>1972</v>
      </c>
      <c r="C505" s="39">
        <f t="shared" si="14"/>
        <v>1.113913716904118</v>
      </c>
      <c r="D505" s="39">
        <f t="shared" si="15"/>
        <v>1.1368304190951986</v>
      </c>
    </row>
    <row r="506" spans="2:4" ht="15" x14ac:dyDescent="0.15">
      <c r="B506" s="38">
        <v>1976</v>
      </c>
      <c r="C506" s="39">
        <f t="shared" si="14"/>
        <v>1.1163247896851971</v>
      </c>
      <c r="D506" s="39">
        <f t="shared" si="15"/>
        <v>1.1371460299833427</v>
      </c>
    </row>
    <row r="507" spans="2:4" ht="15" x14ac:dyDescent="0.15">
      <c r="B507" s="38">
        <v>1980</v>
      </c>
      <c r="C507" s="39">
        <f t="shared" si="14"/>
        <v>1.1187365319297808</v>
      </c>
      <c r="D507" s="39">
        <f t="shared" si="15"/>
        <v>1.1374618161621772</v>
      </c>
    </row>
    <row r="508" spans="2:4" ht="15" x14ac:dyDescent="0.15">
      <c r="B508" s="38">
        <v>1984</v>
      </c>
      <c r="C508" s="39">
        <f t="shared" si="14"/>
        <v>1.1211489440097415</v>
      </c>
      <c r="D508" s="39">
        <f t="shared" si="15"/>
        <v>1.1377777777777778</v>
      </c>
    </row>
    <row r="509" spans="2:4" ht="15" x14ac:dyDescent="0.15">
      <c r="B509" s="38">
        <v>1988</v>
      </c>
      <c r="C509" s="39">
        <f t="shared" si="14"/>
        <v>1.1235620262972617</v>
      </c>
      <c r="D509" s="39">
        <f t="shared" si="15"/>
        <v>1.1380939149763822</v>
      </c>
    </row>
    <row r="510" spans="2:4" ht="15" x14ac:dyDescent="0.15">
      <c r="B510" s="38">
        <v>1992</v>
      </c>
      <c r="C510" s="39">
        <f t="shared" si="14"/>
        <v>1.1259757791648353</v>
      </c>
      <c r="D510" s="39">
        <f t="shared" si="15"/>
        <v>1.1384102279043913</v>
      </c>
    </row>
    <row r="511" spans="2:4" ht="15" x14ac:dyDescent="0.15">
      <c r="B511" s="38">
        <v>1996</v>
      </c>
      <c r="C511" s="39">
        <f t="shared" si="14"/>
        <v>1.1283902029852648</v>
      </c>
      <c r="D511" s="39">
        <f t="shared" si="15"/>
        <v>1.1387267167083681</v>
      </c>
    </row>
    <row r="512" spans="2:4" ht="15" x14ac:dyDescent="0.15">
      <c r="B512" s="38">
        <v>2000</v>
      </c>
      <c r="C512" s="39">
        <f t="shared" si="14"/>
        <v>1.1308052981316636</v>
      </c>
      <c r="D512" s="39">
        <f t="shared" si="15"/>
        <v>1.1390433815350389</v>
      </c>
    </row>
    <row r="513" spans="2:4" ht="15" x14ac:dyDescent="0.15">
      <c r="B513" s="38">
        <v>2004</v>
      </c>
      <c r="C513" s="39">
        <f t="shared" si="14"/>
        <v>1.1332210649774592</v>
      </c>
      <c r="D513" s="39">
        <f t="shared" si="15"/>
        <v>1.1393602225312935</v>
      </c>
    </row>
    <row r="514" spans="2:4" ht="15" x14ac:dyDescent="0.15">
      <c r="B514" s="38">
        <v>2008</v>
      </c>
      <c r="C514" s="39">
        <f t="shared" si="14"/>
        <v>1.1356375038963868</v>
      </c>
      <c r="D514" s="39">
        <f t="shared" si="15"/>
        <v>1.1396772398441848</v>
      </c>
    </row>
    <row r="515" spans="2:4" ht="15" x14ac:dyDescent="0.15">
      <c r="B515" s="38">
        <v>2012</v>
      </c>
      <c r="C515" s="39">
        <f t="shared" si="14"/>
        <v>1.1380546152624968</v>
      </c>
      <c r="D515" s="39">
        <f t="shared" si="15"/>
        <v>1.1399944336209296</v>
      </c>
    </row>
    <row r="516" spans="2:4" ht="15" x14ac:dyDescent="0.15">
      <c r="B516" s="38">
        <v>2016</v>
      </c>
      <c r="C516" s="39">
        <f t="shared" si="14"/>
        <v>1.1404723994501513</v>
      </c>
      <c r="D516" s="39">
        <f t="shared" si="15"/>
        <v>1.1403118040089086</v>
      </c>
    </row>
    <row r="517" spans="2:4" ht="15" x14ac:dyDescent="0.15">
      <c r="B517" s="38">
        <v>2020</v>
      </c>
      <c r="C517" s="39">
        <f t="shared" si="14"/>
        <v>1.1428908568340244</v>
      </c>
      <c r="D517" s="39">
        <f t="shared" si="15"/>
        <v>1.1406293511556669</v>
      </c>
    </row>
    <row r="518" spans="2:4" ht="15" x14ac:dyDescent="0.15">
      <c r="B518" s="38">
        <v>2024</v>
      </c>
      <c r="C518" s="39">
        <f t="shared" si="14"/>
        <v>1.1453099877891044</v>
      </c>
      <c r="D518" s="39">
        <f t="shared" si="15"/>
        <v>1.1409470752089137</v>
      </c>
    </row>
    <row r="519" spans="2:4" ht="15" x14ac:dyDescent="0.15">
      <c r="B519" s="38">
        <v>2028</v>
      </c>
      <c r="C519" s="39">
        <f t="shared" si="14"/>
        <v>1.1477297926906906</v>
      </c>
      <c r="D519" s="39">
        <f t="shared" si="15"/>
        <v>1.1412649763165228</v>
      </c>
    </row>
    <row r="520" spans="2:4" ht="15" x14ac:dyDescent="0.15">
      <c r="B520" s="38">
        <v>2032</v>
      </c>
      <c r="C520" s="39">
        <f t="shared" si="14"/>
        <v>1.1501502719143972</v>
      </c>
      <c r="D520" s="39">
        <f t="shared" si="15"/>
        <v>1.1415830546265329</v>
      </c>
    </row>
    <row r="521" spans="2:4" ht="15" x14ac:dyDescent="0.15">
      <c r="B521" s="38">
        <v>2036</v>
      </c>
      <c r="C521" s="39">
        <f t="shared" si="14"/>
        <v>1.152571425836155</v>
      </c>
      <c r="D521" s="39">
        <f t="shared" si="15"/>
        <v>1.141901310287148</v>
      </c>
    </row>
    <row r="522" spans="2:4" ht="15" x14ac:dyDescent="0.15">
      <c r="B522" s="38">
        <v>2040</v>
      </c>
      <c r="C522" s="39">
        <f t="shared" si="14"/>
        <v>1.1549932548322064</v>
      </c>
      <c r="D522" s="39">
        <f t="shared" si="15"/>
        <v>1.1422197434467374</v>
      </c>
    </row>
    <row r="523" spans="2:4" ht="15" x14ac:dyDescent="0.15">
      <c r="B523" s="38">
        <v>2044</v>
      </c>
      <c r="C523" s="39">
        <f t="shared" si="14"/>
        <v>1.1574157592791083</v>
      </c>
      <c r="D523" s="39">
        <f t="shared" si="15"/>
        <v>1.1425383542538354</v>
      </c>
    </row>
    <row r="524" spans="2:4" ht="15" x14ac:dyDescent="0.15">
      <c r="B524" s="38">
        <v>2048</v>
      </c>
      <c r="C524" s="39">
        <f t="shared" si="14"/>
        <v>1.1598389395537347</v>
      </c>
      <c r="D524" s="39">
        <f t="shared" si="15"/>
        <v>1.1428571428571428</v>
      </c>
    </row>
    <row r="525" spans="2:4" ht="15" x14ac:dyDescent="0.15">
      <c r="B525" s="38">
        <v>2052</v>
      </c>
      <c r="C525" s="39">
        <f t="shared" ref="C525:C588" si="16">20*LOG(D525)</f>
        <v>1.1622627960332756</v>
      </c>
      <c r="D525" s="39">
        <f t="shared" ref="D525:D588" si="17">16384/(16384-B525)</f>
        <v>1.1431761094055262</v>
      </c>
    </row>
    <row r="526" spans="2:4" ht="15" x14ac:dyDescent="0.15">
      <c r="B526" s="38">
        <v>2056</v>
      </c>
      <c r="C526" s="39">
        <f t="shared" si="16"/>
        <v>1.1646873290952326</v>
      </c>
      <c r="D526" s="39">
        <f t="shared" si="17"/>
        <v>1.1434952540480179</v>
      </c>
    </row>
    <row r="527" spans="2:4" ht="15" x14ac:dyDescent="0.15">
      <c r="B527" s="38">
        <v>2060</v>
      </c>
      <c r="C527" s="39">
        <f t="shared" si="16"/>
        <v>1.1671125391174275</v>
      </c>
      <c r="D527" s="39">
        <f t="shared" si="17"/>
        <v>1.1438145769338173</v>
      </c>
    </row>
    <row r="528" spans="2:4" ht="15" x14ac:dyDescent="0.15">
      <c r="B528" s="38">
        <v>2064</v>
      </c>
      <c r="C528" s="39">
        <f t="shared" si="16"/>
        <v>1.1695384264779989</v>
      </c>
      <c r="D528" s="39">
        <f t="shared" si="17"/>
        <v>1.1441340782122904</v>
      </c>
    </row>
    <row r="529" spans="2:4" ht="15" x14ac:dyDescent="0.15">
      <c r="B529" s="38">
        <v>2068</v>
      </c>
      <c r="C529" s="39">
        <f t="shared" si="16"/>
        <v>1.1719649915554007</v>
      </c>
      <c r="D529" s="39">
        <f t="shared" si="17"/>
        <v>1.1444537580329701</v>
      </c>
    </row>
    <row r="530" spans="2:4" ht="15" x14ac:dyDescent="0.15">
      <c r="B530" s="38">
        <v>2072</v>
      </c>
      <c r="C530" s="39">
        <f t="shared" si="16"/>
        <v>1.1743922347284033</v>
      </c>
      <c r="D530" s="39">
        <f t="shared" si="17"/>
        <v>1.1447736165455562</v>
      </c>
    </row>
    <row r="531" spans="2:4" ht="15" x14ac:dyDescent="0.15">
      <c r="B531" s="38">
        <v>2076</v>
      </c>
      <c r="C531" s="39">
        <f t="shared" si="16"/>
        <v>1.1768201563760956</v>
      </c>
      <c r="D531" s="39">
        <f t="shared" si="17"/>
        <v>1.1450936538999161</v>
      </c>
    </row>
    <row r="532" spans="2:4" ht="15" x14ac:dyDescent="0.15">
      <c r="B532" s="38">
        <v>2080</v>
      </c>
      <c r="C532" s="39">
        <f t="shared" si="16"/>
        <v>1.1792487568778856</v>
      </c>
      <c r="D532" s="39">
        <f t="shared" si="17"/>
        <v>1.145413870246085</v>
      </c>
    </row>
    <row r="533" spans="2:4" ht="15" x14ac:dyDescent="0.15">
      <c r="B533" s="38">
        <v>2084</v>
      </c>
      <c r="C533" s="39">
        <f t="shared" si="16"/>
        <v>1.1816780366134985</v>
      </c>
      <c r="D533" s="39">
        <f t="shared" si="17"/>
        <v>1.1457342657342657</v>
      </c>
    </row>
    <row r="534" spans="2:4" ht="15" x14ac:dyDescent="0.15">
      <c r="B534" s="38">
        <v>2088</v>
      </c>
      <c r="C534" s="39">
        <f t="shared" si="16"/>
        <v>1.184107995962979</v>
      </c>
      <c r="D534" s="39">
        <f t="shared" si="17"/>
        <v>1.1460548405148294</v>
      </c>
    </row>
    <row r="535" spans="2:4" ht="15" x14ac:dyDescent="0.15">
      <c r="B535" s="38">
        <v>2092</v>
      </c>
      <c r="C535" s="39">
        <f t="shared" si="16"/>
        <v>1.1865386353066885</v>
      </c>
      <c r="D535" s="39">
        <f t="shared" si="17"/>
        <v>1.1463755947383152</v>
      </c>
    </row>
    <row r="536" spans="2:4" ht="15" x14ac:dyDescent="0.15">
      <c r="B536" s="38">
        <v>2096</v>
      </c>
      <c r="C536" s="39">
        <f t="shared" si="16"/>
        <v>1.1889699550253106</v>
      </c>
      <c r="D536" s="39">
        <f t="shared" si="17"/>
        <v>1.1466965285554311</v>
      </c>
    </row>
    <row r="537" spans="2:4" ht="15" x14ac:dyDescent="0.15">
      <c r="B537" s="38">
        <v>2100</v>
      </c>
      <c r="C537" s="39">
        <f t="shared" si="16"/>
        <v>1.1914019554998487</v>
      </c>
      <c r="D537" s="39">
        <f t="shared" si="17"/>
        <v>1.1470176421170541</v>
      </c>
    </row>
    <row r="538" spans="2:4" ht="15" x14ac:dyDescent="0.15">
      <c r="B538" s="38">
        <v>2104</v>
      </c>
      <c r="C538" s="39">
        <f t="shared" si="16"/>
        <v>1.1938346371116224</v>
      </c>
      <c r="D538" s="39">
        <f t="shared" si="17"/>
        <v>1.1473389355742296</v>
      </c>
    </row>
    <row r="539" spans="2:4" ht="15" x14ac:dyDescent="0.15">
      <c r="B539" s="38">
        <v>2108</v>
      </c>
      <c r="C539" s="39">
        <f t="shared" si="16"/>
        <v>1.196268000242279</v>
      </c>
      <c r="D539" s="39">
        <f t="shared" si="17"/>
        <v>1.1476604090781732</v>
      </c>
    </row>
    <row r="540" spans="2:4" ht="15" x14ac:dyDescent="0.15">
      <c r="B540" s="38">
        <v>2112</v>
      </c>
      <c r="C540" s="39">
        <f t="shared" si="16"/>
        <v>1.1987020452737775</v>
      </c>
      <c r="D540" s="39">
        <f t="shared" si="17"/>
        <v>1.147982062780269</v>
      </c>
    </row>
    <row r="541" spans="2:4" ht="15" x14ac:dyDescent="0.15">
      <c r="B541" s="38">
        <v>2116</v>
      </c>
      <c r="C541" s="39">
        <f t="shared" si="16"/>
        <v>1.2011367725884066</v>
      </c>
      <c r="D541" s="39">
        <f t="shared" si="17"/>
        <v>1.1483038968320718</v>
      </c>
    </row>
    <row r="542" spans="2:4" ht="15" x14ac:dyDescent="0.15">
      <c r="B542" s="38">
        <v>2120</v>
      </c>
      <c r="C542" s="39">
        <f t="shared" si="16"/>
        <v>1.2035721825687711</v>
      </c>
      <c r="D542" s="39">
        <f t="shared" si="17"/>
        <v>1.1486259113853057</v>
      </c>
    </row>
    <row r="543" spans="2:4" ht="15" x14ac:dyDescent="0.15">
      <c r="B543" s="38">
        <v>2124</v>
      </c>
      <c r="C543" s="39">
        <f t="shared" si="16"/>
        <v>1.2060082755978001</v>
      </c>
      <c r="D543" s="39">
        <f t="shared" si="17"/>
        <v>1.1489481065918654</v>
      </c>
    </row>
    <row r="544" spans="2:4" ht="15" x14ac:dyDescent="0.15">
      <c r="B544" s="38">
        <v>2128</v>
      </c>
      <c r="C544" s="39">
        <f t="shared" si="16"/>
        <v>1.208445052058744</v>
      </c>
      <c r="D544" s="39">
        <f t="shared" si="17"/>
        <v>1.149270482603816</v>
      </c>
    </row>
    <row r="545" spans="2:4" ht="15" x14ac:dyDescent="0.15">
      <c r="B545" s="38">
        <v>2132</v>
      </c>
      <c r="C545" s="39">
        <f t="shared" si="16"/>
        <v>1.2108825123351761</v>
      </c>
      <c r="D545" s="39">
        <f t="shared" si="17"/>
        <v>1.1495930395733933</v>
      </c>
    </row>
    <row r="546" spans="2:4" ht="15" x14ac:dyDescent="0.15">
      <c r="B546" s="38">
        <v>2136</v>
      </c>
      <c r="C546" s="39">
        <f t="shared" si="16"/>
        <v>1.2133206568109927</v>
      </c>
      <c r="D546" s="39">
        <f t="shared" si="17"/>
        <v>1.149915777653004</v>
      </c>
    </row>
    <row r="547" spans="2:4" ht="15" x14ac:dyDescent="0.15">
      <c r="B547" s="38">
        <v>2140</v>
      </c>
      <c r="C547" s="39">
        <f t="shared" si="16"/>
        <v>1.2157594858704137</v>
      </c>
      <c r="D547" s="39">
        <f t="shared" si="17"/>
        <v>1.1502386969952261</v>
      </c>
    </row>
    <row r="548" spans="2:4" ht="15" x14ac:dyDescent="0.15">
      <c r="B548" s="38">
        <v>2144</v>
      </c>
      <c r="C548" s="39">
        <f t="shared" si="16"/>
        <v>1.2181989998979841</v>
      </c>
      <c r="D548" s="39">
        <f t="shared" si="17"/>
        <v>1.1505617977528091</v>
      </c>
    </row>
    <row r="549" spans="2:4" ht="15" x14ac:dyDescent="0.15">
      <c r="B549" s="38">
        <v>2148</v>
      </c>
      <c r="C549" s="39">
        <f t="shared" si="16"/>
        <v>1.2206391992785692</v>
      </c>
      <c r="D549" s="39">
        <f t="shared" si="17"/>
        <v>1.1508850800786738</v>
      </c>
    </row>
    <row r="550" spans="2:4" ht="15" x14ac:dyDescent="0.15">
      <c r="B550" s="38">
        <v>2152</v>
      </c>
      <c r="C550" s="39">
        <f t="shared" si="16"/>
        <v>1.2230800843973622</v>
      </c>
      <c r="D550" s="39">
        <f t="shared" si="17"/>
        <v>1.1512085441259134</v>
      </c>
    </row>
    <row r="551" spans="2:4" ht="15" x14ac:dyDescent="0.15">
      <c r="B551" s="38">
        <v>2156</v>
      </c>
      <c r="C551" s="39">
        <f t="shared" si="16"/>
        <v>1.22552165563988</v>
      </c>
      <c r="D551" s="39">
        <f t="shared" si="17"/>
        <v>1.1515321900477931</v>
      </c>
    </row>
    <row r="552" spans="2:4" ht="15" x14ac:dyDescent="0.15">
      <c r="B552" s="38">
        <v>2160</v>
      </c>
      <c r="C552" s="39">
        <f t="shared" si="16"/>
        <v>1.227963913391966</v>
      </c>
      <c r="D552" s="39">
        <f t="shared" si="17"/>
        <v>1.1518560179977504</v>
      </c>
    </row>
    <row r="553" spans="2:4" ht="15" x14ac:dyDescent="0.15">
      <c r="B553" s="38">
        <v>2164</v>
      </c>
      <c r="C553" s="39">
        <f t="shared" si="16"/>
        <v>1.2304068580397849</v>
      </c>
      <c r="D553" s="39">
        <f t="shared" si="17"/>
        <v>1.1521800281293952</v>
      </c>
    </row>
    <row r="554" spans="2:4" ht="15" x14ac:dyDescent="0.15">
      <c r="B554" s="38">
        <v>2168</v>
      </c>
      <c r="C554" s="39">
        <f t="shared" si="16"/>
        <v>1.2328504899698327</v>
      </c>
      <c r="D554" s="39">
        <f t="shared" si="17"/>
        <v>1.152504220596511</v>
      </c>
    </row>
    <row r="555" spans="2:4" ht="15" x14ac:dyDescent="0.15">
      <c r="B555" s="38">
        <v>2172</v>
      </c>
      <c r="C555" s="39">
        <f t="shared" si="16"/>
        <v>1.235294809568928</v>
      </c>
      <c r="D555" s="39">
        <f t="shared" si="17"/>
        <v>1.1528285955530537</v>
      </c>
    </row>
    <row r="556" spans="2:4" ht="15" x14ac:dyDescent="0.15">
      <c r="B556" s="38">
        <v>2176</v>
      </c>
      <c r="C556" s="39">
        <f t="shared" si="16"/>
        <v>1.2377398172242187</v>
      </c>
      <c r="D556" s="39">
        <f t="shared" si="17"/>
        <v>1.1531531531531531</v>
      </c>
    </row>
    <row r="557" spans="2:4" ht="15" x14ac:dyDescent="0.15">
      <c r="B557" s="38">
        <v>2180</v>
      </c>
      <c r="C557" s="39">
        <f t="shared" si="16"/>
        <v>1.2401855133231767</v>
      </c>
      <c r="D557" s="39">
        <f t="shared" si="17"/>
        <v>1.1534778935511123</v>
      </c>
    </row>
    <row r="558" spans="2:4" ht="15" x14ac:dyDescent="0.15">
      <c r="B558" s="38">
        <v>2184</v>
      </c>
      <c r="C558" s="39">
        <f t="shared" si="16"/>
        <v>1.2426318982536055</v>
      </c>
      <c r="D558" s="39">
        <f t="shared" si="17"/>
        <v>1.1538028169014085</v>
      </c>
    </row>
    <row r="559" spans="2:4" ht="15" x14ac:dyDescent="0.15">
      <c r="B559" s="38">
        <v>2188</v>
      </c>
      <c r="C559" s="39">
        <f t="shared" si="16"/>
        <v>1.2450789724036302</v>
      </c>
      <c r="D559" s="39">
        <f t="shared" si="17"/>
        <v>1.1541279233586925</v>
      </c>
    </row>
    <row r="560" spans="2:4" ht="15" x14ac:dyDescent="0.15">
      <c r="B560" s="38">
        <v>2192</v>
      </c>
      <c r="C560" s="39">
        <f t="shared" si="16"/>
        <v>1.2475267361617108</v>
      </c>
      <c r="D560" s="39">
        <f t="shared" si="17"/>
        <v>1.1544532130777903</v>
      </c>
    </row>
    <row r="561" spans="2:4" ht="15" x14ac:dyDescent="0.15">
      <c r="B561" s="38">
        <v>2196</v>
      </c>
      <c r="C561" s="39">
        <f t="shared" si="16"/>
        <v>1.2499751899166318</v>
      </c>
      <c r="D561" s="39">
        <f t="shared" si="17"/>
        <v>1.1547786862137017</v>
      </c>
    </row>
    <row r="562" spans="2:4" ht="15" x14ac:dyDescent="0.15">
      <c r="B562" s="38">
        <v>2200</v>
      </c>
      <c r="C562" s="39">
        <f t="shared" si="16"/>
        <v>1.2524243340575079</v>
      </c>
      <c r="D562" s="39">
        <f t="shared" si="17"/>
        <v>1.1551043429216019</v>
      </c>
    </row>
    <row r="563" spans="2:4" ht="15" x14ac:dyDescent="0.15">
      <c r="B563" s="38">
        <v>2204</v>
      </c>
      <c r="C563" s="39">
        <f t="shared" si="16"/>
        <v>1.2548741689737795</v>
      </c>
      <c r="D563" s="39">
        <f t="shared" si="17"/>
        <v>1.1554301833568406</v>
      </c>
    </row>
    <row r="564" spans="2:4" ht="15" x14ac:dyDescent="0.15">
      <c r="B564" s="38">
        <v>2208</v>
      </c>
      <c r="C564" s="39">
        <f t="shared" si="16"/>
        <v>1.2573246950552233</v>
      </c>
      <c r="D564" s="39">
        <f t="shared" si="17"/>
        <v>1.1557562076749435</v>
      </c>
    </row>
    <row r="565" spans="2:4" ht="15" x14ac:dyDescent="0.15">
      <c r="B565" s="38">
        <v>2212</v>
      </c>
      <c r="C565" s="39">
        <f t="shared" si="16"/>
        <v>1.2597759126919423</v>
      </c>
      <c r="D565" s="39">
        <f t="shared" si="17"/>
        <v>1.1560824160316117</v>
      </c>
    </row>
    <row r="566" spans="2:4" ht="15" x14ac:dyDescent="0.15">
      <c r="B566" s="38">
        <v>2216</v>
      </c>
      <c r="C566" s="39">
        <f t="shared" si="16"/>
        <v>1.2622278222743675</v>
      </c>
      <c r="D566" s="39">
        <f t="shared" si="17"/>
        <v>1.1564088085827215</v>
      </c>
    </row>
    <row r="567" spans="2:4" ht="15" x14ac:dyDescent="0.15">
      <c r="B567" s="38">
        <v>2220</v>
      </c>
      <c r="C567" s="39">
        <f t="shared" si="16"/>
        <v>1.2646804241932661</v>
      </c>
      <c r="D567" s="39">
        <f t="shared" si="17"/>
        <v>1.1567353854843265</v>
      </c>
    </row>
    <row r="568" spans="2:4" ht="15" x14ac:dyDescent="0.15">
      <c r="B568" s="38">
        <v>2224</v>
      </c>
      <c r="C568" s="39">
        <f t="shared" si="16"/>
        <v>1.2671337188397307</v>
      </c>
      <c r="D568" s="39">
        <f t="shared" si="17"/>
        <v>1.1570621468926554</v>
      </c>
    </row>
    <row r="569" spans="2:4" ht="15" x14ac:dyDescent="0.15">
      <c r="B569" s="38">
        <v>2228</v>
      </c>
      <c r="C569" s="39">
        <f t="shared" si="16"/>
        <v>1.2695877066051895</v>
      </c>
      <c r="D569" s="39">
        <f t="shared" si="17"/>
        <v>1.1573890929641142</v>
      </c>
    </row>
    <row r="570" spans="2:4" ht="15" x14ac:dyDescent="0.15">
      <c r="B570" s="38">
        <v>2232</v>
      </c>
      <c r="C570" s="39">
        <f t="shared" si="16"/>
        <v>1.2720423878814</v>
      </c>
      <c r="D570" s="39">
        <f t="shared" si="17"/>
        <v>1.1577162238552854</v>
      </c>
    </row>
    <row r="571" spans="2:4" ht="15" x14ac:dyDescent="0.15">
      <c r="B571" s="38">
        <v>2236</v>
      </c>
      <c r="C571" s="39">
        <f t="shared" si="16"/>
        <v>1.2744977630604548</v>
      </c>
      <c r="D571" s="39">
        <f t="shared" si="17"/>
        <v>1.1580435397229289</v>
      </c>
    </row>
    <row r="572" spans="2:4" ht="15" x14ac:dyDescent="0.15">
      <c r="B572" s="38">
        <v>2240</v>
      </c>
      <c r="C572" s="39">
        <f t="shared" si="16"/>
        <v>1.2769538325347782</v>
      </c>
      <c r="D572" s="39">
        <f t="shared" si="17"/>
        <v>1.158371040723982</v>
      </c>
    </row>
    <row r="573" spans="2:4" ht="15" x14ac:dyDescent="0.15">
      <c r="B573" s="38">
        <v>2244</v>
      </c>
      <c r="C573" s="39">
        <f t="shared" si="16"/>
        <v>1.2794105966971223</v>
      </c>
      <c r="D573" s="39">
        <f t="shared" si="17"/>
        <v>1.1586987270155586</v>
      </c>
    </row>
    <row r="574" spans="2:4" ht="15" x14ac:dyDescent="0.15">
      <c r="B574" s="38">
        <v>2248</v>
      </c>
      <c r="C574" s="39">
        <f t="shared" si="16"/>
        <v>1.2818680559405817</v>
      </c>
      <c r="D574" s="39">
        <f t="shared" si="17"/>
        <v>1.159026598754952</v>
      </c>
    </row>
    <row r="575" spans="2:4" ht="15" x14ac:dyDescent="0.15">
      <c r="B575" s="38">
        <v>2252</v>
      </c>
      <c r="C575" s="39">
        <f t="shared" si="16"/>
        <v>1.2843262106585764</v>
      </c>
      <c r="D575" s="39">
        <f t="shared" si="17"/>
        <v>1.159354656099632</v>
      </c>
    </row>
    <row r="576" spans="2:4" ht="15" x14ac:dyDescent="0.15">
      <c r="B576" s="38">
        <v>2256</v>
      </c>
      <c r="C576" s="39">
        <f t="shared" si="16"/>
        <v>1.2867850612448679</v>
      </c>
      <c r="D576" s="39">
        <f t="shared" si="17"/>
        <v>1.1596828992072481</v>
      </c>
    </row>
    <row r="577" spans="2:4" ht="15" x14ac:dyDescent="0.15">
      <c r="B577" s="38">
        <v>2260</v>
      </c>
      <c r="C577" s="39">
        <f t="shared" si="16"/>
        <v>1.289244608093544</v>
      </c>
      <c r="D577" s="39">
        <f t="shared" si="17"/>
        <v>1.1600113282356272</v>
      </c>
    </row>
    <row r="578" spans="2:4" ht="15" x14ac:dyDescent="0.15">
      <c r="B578" s="38">
        <v>2264</v>
      </c>
      <c r="C578" s="39">
        <f t="shared" si="16"/>
        <v>1.291704851599035</v>
      </c>
      <c r="D578" s="39">
        <f t="shared" si="17"/>
        <v>1.1603399433427761</v>
      </c>
    </row>
    <row r="579" spans="2:4" ht="15" x14ac:dyDescent="0.15">
      <c r="B579" s="38">
        <v>2268</v>
      </c>
      <c r="C579" s="39">
        <f t="shared" si="16"/>
        <v>1.2941657921561034</v>
      </c>
      <c r="D579" s="39">
        <f t="shared" si="17"/>
        <v>1.1606687446868802</v>
      </c>
    </row>
    <row r="580" spans="2:4" ht="15" x14ac:dyDescent="0.15">
      <c r="B580" s="38">
        <v>2272</v>
      </c>
      <c r="C580" s="39">
        <f t="shared" si="16"/>
        <v>1.2966274301598446</v>
      </c>
      <c r="D580" s="39">
        <f t="shared" si="17"/>
        <v>1.1609977324263039</v>
      </c>
    </row>
    <row r="581" spans="2:4" ht="15" x14ac:dyDescent="0.15">
      <c r="B581" s="38">
        <v>2276</v>
      </c>
      <c r="C581" s="39">
        <f t="shared" si="16"/>
        <v>1.2990897660056941</v>
      </c>
      <c r="D581" s="39">
        <f t="shared" si="17"/>
        <v>1.1613269067195917</v>
      </c>
    </row>
    <row r="582" spans="2:4" ht="15" x14ac:dyDescent="0.15">
      <c r="B582" s="38">
        <v>2280</v>
      </c>
      <c r="C582" s="39">
        <f t="shared" si="16"/>
        <v>1.3015528000894232</v>
      </c>
      <c r="D582" s="39">
        <f t="shared" si="17"/>
        <v>1.161656267725468</v>
      </c>
    </row>
    <row r="583" spans="2:4" ht="15" x14ac:dyDescent="0.15">
      <c r="B583" s="38">
        <v>2284</v>
      </c>
      <c r="C583" s="39">
        <f t="shared" si="16"/>
        <v>1.3040165328071365</v>
      </c>
      <c r="D583" s="39">
        <f t="shared" si="17"/>
        <v>1.1619858156028369</v>
      </c>
    </row>
    <row r="584" spans="2:4" ht="15" x14ac:dyDescent="0.15">
      <c r="B584" s="38">
        <v>2288</v>
      </c>
      <c r="C584" s="39">
        <f t="shared" si="16"/>
        <v>1.3064809645552806</v>
      </c>
      <c r="D584" s="39">
        <f t="shared" si="17"/>
        <v>1.1623155505107832</v>
      </c>
    </row>
    <row r="585" spans="2:4" ht="15" x14ac:dyDescent="0.15">
      <c r="B585" s="38">
        <v>2292</v>
      </c>
      <c r="C585" s="39">
        <f t="shared" si="16"/>
        <v>1.3089460957306367</v>
      </c>
      <c r="D585" s="39">
        <f t="shared" si="17"/>
        <v>1.1626454726085722</v>
      </c>
    </row>
    <row r="586" spans="2:4" ht="15" x14ac:dyDescent="0.15">
      <c r="B586" s="38">
        <v>2296</v>
      </c>
      <c r="C586" s="39">
        <f t="shared" si="16"/>
        <v>1.3114119267303248</v>
      </c>
      <c r="D586" s="39">
        <f t="shared" si="17"/>
        <v>1.1629755820556502</v>
      </c>
    </row>
    <row r="587" spans="2:4" ht="15" x14ac:dyDescent="0.15">
      <c r="B587" s="38">
        <v>2300</v>
      </c>
      <c r="C587" s="39">
        <f t="shared" si="16"/>
        <v>1.3138784579518021</v>
      </c>
      <c r="D587" s="39">
        <f t="shared" si="17"/>
        <v>1.1633058790116444</v>
      </c>
    </row>
    <row r="588" spans="2:4" ht="15" x14ac:dyDescent="0.15">
      <c r="B588" s="38">
        <v>2304</v>
      </c>
      <c r="C588" s="39">
        <f t="shared" si="16"/>
        <v>1.316345689792866</v>
      </c>
      <c r="D588" s="39">
        <f t="shared" si="17"/>
        <v>1.1636363636363636</v>
      </c>
    </row>
    <row r="589" spans="2:4" ht="15" x14ac:dyDescent="0.15">
      <c r="B589" s="38">
        <v>2308</v>
      </c>
      <c r="C589" s="39">
        <f t="shared" ref="C589:C652" si="18">20*LOG(D589)</f>
        <v>1.3188136226516531</v>
      </c>
      <c r="D589" s="39">
        <f t="shared" ref="D589:D652" si="19">16384/(16384-B589)</f>
        <v>1.1639670360897982</v>
      </c>
    </row>
    <row r="590" spans="2:4" ht="15" x14ac:dyDescent="0.15">
      <c r="B590" s="38">
        <v>2312</v>
      </c>
      <c r="C590" s="39">
        <f t="shared" si="18"/>
        <v>1.3212822569266371</v>
      </c>
      <c r="D590" s="39">
        <f t="shared" si="19"/>
        <v>1.1642978965321205</v>
      </c>
    </row>
    <row r="591" spans="2:4" ht="15" x14ac:dyDescent="0.15">
      <c r="B591" s="38">
        <v>2316</v>
      </c>
      <c r="C591" s="39">
        <f t="shared" si="18"/>
        <v>1.3237515930166346</v>
      </c>
      <c r="D591" s="39">
        <f t="shared" si="19"/>
        <v>1.1646289451236849</v>
      </c>
    </row>
    <row r="592" spans="2:4" ht="15" x14ac:dyDescent="0.15">
      <c r="B592" s="38">
        <v>2320</v>
      </c>
      <c r="C592" s="39">
        <f t="shared" si="18"/>
        <v>1.3262216313208008</v>
      </c>
      <c r="D592" s="39">
        <f t="shared" si="19"/>
        <v>1.1649601820250284</v>
      </c>
    </row>
    <row r="593" spans="2:4" ht="15" x14ac:dyDescent="0.15">
      <c r="B593" s="38">
        <v>2324</v>
      </c>
      <c r="C593" s="39">
        <f t="shared" si="18"/>
        <v>1.3286923722386323</v>
      </c>
      <c r="D593" s="39">
        <f t="shared" si="19"/>
        <v>1.1652916073968707</v>
      </c>
    </row>
    <row r="594" spans="2:4" ht="15" x14ac:dyDescent="0.15">
      <c r="B594" s="38">
        <v>2328</v>
      </c>
      <c r="C594" s="39">
        <f t="shared" si="18"/>
        <v>1.3311638161699637</v>
      </c>
      <c r="D594" s="39">
        <f t="shared" si="19"/>
        <v>1.1656232214001139</v>
      </c>
    </row>
    <row r="595" spans="2:4" ht="15" x14ac:dyDescent="0.15">
      <c r="B595" s="38">
        <v>2332</v>
      </c>
      <c r="C595" s="39">
        <f t="shared" si="18"/>
        <v>1.3336359635149762</v>
      </c>
      <c r="D595" s="39">
        <f t="shared" si="19"/>
        <v>1.1659550241958441</v>
      </c>
    </row>
    <row r="596" spans="2:4" ht="15" x14ac:dyDescent="0.15">
      <c r="B596" s="38">
        <v>2336</v>
      </c>
      <c r="C596" s="39">
        <f t="shared" si="18"/>
        <v>1.3361088146741873</v>
      </c>
      <c r="D596" s="39">
        <f t="shared" si="19"/>
        <v>1.1662870159453302</v>
      </c>
    </row>
    <row r="597" spans="2:4" ht="15" x14ac:dyDescent="0.15">
      <c r="B597" s="38">
        <v>2340</v>
      </c>
      <c r="C597" s="39">
        <f t="shared" si="18"/>
        <v>1.3385823700484631</v>
      </c>
      <c r="D597" s="39">
        <f t="shared" si="19"/>
        <v>1.1666191968100257</v>
      </c>
    </row>
    <row r="598" spans="2:4" ht="15" x14ac:dyDescent="0.15">
      <c r="B598" s="38">
        <v>2344</v>
      </c>
      <c r="C598" s="39">
        <f t="shared" si="18"/>
        <v>1.3410566300390048</v>
      </c>
      <c r="D598" s="39">
        <f t="shared" si="19"/>
        <v>1.1669515669515669</v>
      </c>
    </row>
    <row r="599" spans="2:4" ht="15" x14ac:dyDescent="0.15">
      <c r="B599" s="38">
        <v>2348</v>
      </c>
      <c r="C599" s="39">
        <f t="shared" si="18"/>
        <v>1.3435315950473639</v>
      </c>
      <c r="D599" s="39">
        <f t="shared" si="19"/>
        <v>1.1672841265317755</v>
      </c>
    </row>
    <row r="600" spans="2:4" ht="15" x14ac:dyDescent="0.15">
      <c r="B600" s="38">
        <v>2352</v>
      </c>
      <c r="C600" s="39">
        <f t="shared" si="18"/>
        <v>1.3460072654754289</v>
      </c>
      <c r="D600" s="39">
        <f t="shared" si="19"/>
        <v>1.1676168757126568</v>
      </c>
    </row>
    <row r="601" spans="2:4" ht="15" x14ac:dyDescent="0.15">
      <c r="B601" s="38">
        <v>2356</v>
      </c>
      <c r="C601" s="39">
        <f t="shared" si="18"/>
        <v>1.3484836417254364</v>
      </c>
      <c r="D601" s="39">
        <f t="shared" si="19"/>
        <v>1.1679498146564016</v>
      </c>
    </row>
    <row r="602" spans="2:4" ht="15" x14ac:dyDescent="0.15">
      <c r="B602" s="38">
        <v>2360</v>
      </c>
      <c r="C602" s="39">
        <f t="shared" si="18"/>
        <v>1.3509607241999637</v>
      </c>
      <c r="D602" s="39">
        <f t="shared" si="19"/>
        <v>1.168282943525385</v>
      </c>
    </row>
    <row r="603" spans="2:4" ht="15" x14ac:dyDescent="0.15">
      <c r="B603" s="38">
        <v>2364</v>
      </c>
      <c r="C603" s="39">
        <f t="shared" si="18"/>
        <v>1.3534385133019375</v>
      </c>
      <c r="D603" s="39">
        <f t="shared" si="19"/>
        <v>1.1686162624821683</v>
      </c>
    </row>
    <row r="604" spans="2:4" ht="15" x14ac:dyDescent="0.15">
      <c r="B604" s="38">
        <v>2368</v>
      </c>
      <c r="C604" s="39">
        <f t="shared" si="18"/>
        <v>1.355917009434624</v>
      </c>
      <c r="D604" s="39">
        <f t="shared" si="19"/>
        <v>1.1689497716894977</v>
      </c>
    </row>
    <row r="605" spans="2:4" ht="15" x14ac:dyDescent="0.15">
      <c r="B605" s="38">
        <v>2372</v>
      </c>
      <c r="C605" s="39">
        <f t="shared" si="18"/>
        <v>1.3583962130016394</v>
      </c>
      <c r="D605" s="39">
        <f t="shared" si="19"/>
        <v>1.1692834713103055</v>
      </c>
    </row>
    <row r="606" spans="2:4" ht="15" x14ac:dyDescent="0.15">
      <c r="B606" s="38">
        <v>2376</v>
      </c>
      <c r="C606" s="39">
        <f t="shared" si="18"/>
        <v>1.3608761244069403</v>
      </c>
      <c r="D606" s="39">
        <f t="shared" si="19"/>
        <v>1.1696173615077099</v>
      </c>
    </row>
    <row r="607" spans="2:4" ht="15" x14ac:dyDescent="0.15">
      <c r="B607" s="38">
        <v>2380</v>
      </c>
      <c r="C607" s="39">
        <f t="shared" si="18"/>
        <v>1.3633567440548344</v>
      </c>
      <c r="D607" s="39">
        <f t="shared" si="19"/>
        <v>1.1699514424450157</v>
      </c>
    </row>
    <row r="608" spans="2:4" ht="15" x14ac:dyDescent="0.15">
      <c r="B608" s="38">
        <v>2384</v>
      </c>
      <c r="C608" s="39">
        <f t="shared" si="18"/>
        <v>1.3658380723499746</v>
      </c>
      <c r="D608" s="39">
        <f t="shared" si="19"/>
        <v>1.1702857142857144</v>
      </c>
    </row>
    <row r="609" spans="2:4" ht="15" x14ac:dyDescent="0.15">
      <c r="B609" s="38">
        <v>2388</v>
      </c>
      <c r="C609" s="39">
        <f t="shared" si="18"/>
        <v>1.3683201096973583</v>
      </c>
      <c r="D609" s="39">
        <f t="shared" si="19"/>
        <v>1.1706201771934839</v>
      </c>
    </row>
    <row r="610" spans="2:4" ht="15" x14ac:dyDescent="0.15">
      <c r="B610" s="38">
        <v>2392</v>
      </c>
      <c r="C610" s="39">
        <f t="shared" si="18"/>
        <v>1.3708028565023322</v>
      </c>
      <c r="D610" s="39">
        <f t="shared" si="19"/>
        <v>1.1709548313321898</v>
      </c>
    </row>
    <row r="611" spans="2:4" ht="15" x14ac:dyDescent="0.15">
      <c r="B611" s="38">
        <v>2396</v>
      </c>
      <c r="C611" s="39">
        <f t="shared" si="18"/>
        <v>1.3732863131705924</v>
      </c>
      <c r="D611" s="39">
        <f t="shared" si="19"/>
        <v>1.1712896768658851</v>
      </c>
    </row>
    <row r="612" spans="2:4" ht="15" x14ac:dyDescent="0.15">
      <c r="B612" s="38">
        <v>2400</v>
      </c>
      <c r="C612" s="39">
        <f t="shared" si="18"/>
        <v>1.3757704801081783</v>
      </c>
      <c r="D612" s="39">
        <f t="shared" si="19"/>
        <v>1.1716247139588101</v>
      </c>
    </row>
    <row r="613" spans="2:4" ht="15" x14ac:dyDescent="0.15">
      <c r="B613" s="38">
        <v>2404</v>
      </c>
      <c r="C613" s="39">
        <f t="shared" si="18"/>
        <v>1.3782553577214831</v>
      </c>
      <c r="D613" s="39">
        <f t="shared" si="19"/>
        <v>1.1719599427753935</v>
      </c>
    </row>
    <row r="614" spans="2:4" ht="15" x14ac:dyDescent="0.15">
      <c r="B614" s="38">
        <v>2408</v>
      </c>
      <c r="C614" s="39">
        <f t="shared" si="18"/>
        <v>1.3807409464172435</v>
      </c>
      <c r="D614" s="39">
        <f t="shared" si="19"/>
        <v>1.1722953634802518</v>
      </c>
    </row>
    <row r="615" spans="2:4" ht="15" x14ac:dyDescent="0.15">
      <c r="B615" s="38">
        <v>2412</v>
      </c>
      <c r="C615" s="39">
        <f t="shared" si="18"/>
        <v>1.3832272466025515</v>
      </c>
      <c r="D615" s="39">
        <f t="shared" si="19"/>
        <v>1.1726309762381906</v>
      </c>
    </row>
    <row r="616" spans="2:4" ht="15" x14ac:dyDescent="0.15">
      <c r="B616" s="38">
        <v>2416</v>
      </c>
      <c r="C616" s="39">
        <f t="shared" si="18"/>
        <v>1.3857142586848448</v>
      </c>
      <c r="D616" s="39">
        <f t="shared" si="19"/>
        <v>1.1729667812142039</v>
      </c>
    </row>
    <row r="617" spans="2:4" ht="15" x14ac:dyDescent="0.15">
      <c r="B617" s="38">
        <v>2420</v>
      </c>
      <c r="C617" s="39">
        <f t="shared" si="18"/>
        <v>1.3882019830719106</v>
      </c>
      <c r="D617" s="39">
        <f t="shared" si="19"/>
        <v>1.1733027785734746</v>
      </c>
    </row>
    <row r="618" spans="2:4" ht="15" x14ac:dyDescent="0.15">
      <c r="B618" s="38">
        <v>2424</v>
      </c>
      <c r="C618" s="39">
        <f t="shared" si="18"/>
        <v>1.3906904201718884</v>
      </c>
      <c r="D618" s="39">
        <f t="shared" si="19"/>
        <v>1.1736389684813753</v>
      </c>
    </row>
    <row r="619" spans="2:4" ht="15" x14ac:dyDescent="0.15">
      <c r="B619" s="38">
        <v>2428</v>
      </c>
      <c r="C619" s="39">
        <f t="shared" si="18"/>
        <v>1.3931795703932701</v>
      </c>
      <c r="D619" s="39">
        <f t="shared" si="19"/>
        <v>1.1739753511034681</v>
      </c>
    </row>
    <row r="620" spans="2:4" ht="15" x14ac:dyDescent="0.15">
      <c r="B620" s="38">
        <v>2432</v>
      </c>
      <c r="C620" s="39">
        <f t="shared" si="18"/>
        <v>1.395669434144895</v>
      </c>
      <c r="D620" s="39">
        <f t="shared" si="19"/>
        <v>1.1743119266055047</v>
      </c>
    </row>
    <row r="621" spans="2:4" ht="15" x14ac:dyDescent="0.15">
      <c r="B621" s="38">
        <v>2436</v>
      </c>
      <c r="C621" s="39">
        <f t="shared" si="18"/>
        <v>1.3981600118359558</v>
      </c>
      <c r="D621" s="39">
        <f t="shared" si="19"/>
        <v>1.174648695153427</v>
      </c>
    </row>
    <row r="622" spans="2:4" ht="15" x14ac:dyDescent="0.15">
      <c r="B622" s="38">
        <v>2440</v>
      </c>
      <c r="C622" s="39">
        <f t="shared" si="18"/>
        <v>1.4006513038759989</v>
      </c>
      <c r="D622" s="39">
        <f t="shared" si="19"/>
        <v>1.1749856569133676</v>
      </c>
    </row>
    <row r="623" spans="2:4" ht="15" x14ac:dyDescent="0.15">
      <c r="B623" s="38">
        <v>2444</v>
      </c>
      <c r="C623" s="39">
        <f t="shared" si="18"/>
        <v>1.4031433106749223</v>
      </c>
      <c r="D623" s="39">
        <f t="shared" si="19"/>
        <v>1.1753228120516499</v>
      </c>
    </row>
    <row r="624" spans="2:4" ht="15" x14ac:dyDescent="0.15">
      <c r="B624" s="38">
        <v>2448</v>
      </c>
      <c r="C624" s="39">
        <f t="shared" si="18"/>
        <v>1.4056360326429751</v>
      </c>
      <c r="D624" s="39">
        <f t="shared" si="19"/>
        <v>1.1756601607347876</v>
      </c>
    </row>
    <row r="625" spans="2:4" ht="15" x14ac:dyDescent="0.15">
      <c r="B625" s="38">
        <v>2452</v>
      </c>
      <c r="C625" s="39">
        <f t="shared" si="18"/>
        <v>1.4081294701907618</v>
      </c>
      <c r="D625" s="39">
        <f t="shared" si="19"/>
        <v>1.1759977031294861</v>
      </c>
    </row>
    <row r="626" spans="2:4" ht="15" x14ac:dyDescent="0.15">
      <c r="B626" s="38">
        <v>2456</v>
      </c>
      <c r="C626" s="39">
        <f t="shared" si="18"/>
        <v>1.4106236237292391</v>
      </c>
      <c r="D626" s="39">
        <f t="shared" si="19"/>
        <v>1.1763354394026422</v>
      </c>
    </row>
    <row r="627" spans="2:4" ht="15" x14ac:dyDescent="0.15">
      <c r="B627" s="38">
        <v>2460</v>
      </c>
      <c r="C627" s="39">
        <f t="shared" si="18"/>
        <v>1.4131184936697196</v>
      </c>
      <c r="D627" s="39">
        <f t="shared" si="19"/>
        <v>1.1766733697213445</v>
      </c>
    </row>
    <row r="628" spans="2:4" ht="15" x14ac:dyDescent="0.15">
      <c r="B628" s="38">
        <v>2464</v>
      </c>
      <c r="C628" s="39">
        <f t="shared" si="18"/>
        <v>1.4156140804238684</v>
      </c>
      <c r="D628" s="39">
        <f t="shared" si="19"/>
        <v>1.1770114942528735</v>
      </c>
    </row>
    <row r="629" spans="2:4" ht="15" x14ac:dyDescent="0.15">
      <c r="B629" s="38">
        <v>2468</v>
      </c>
      <c r="C629" s="39">
        <f t="shared" si="18"/>
        <v>1.4181103844037075</v>
      </c>
      <c r="D629" s="39">
        <f t="shared" si="19"/>
        <v>1.1773498131647024</v>
      </c>
    </row>
    <row r="630" spans="2:4" ht="15" x14ac:dyDescent="0.15">
      <c r="B630" s="38">
        <v>2472</v>
      </c>
      <c r="C630" s="39">
        <f t="shared" si="18"/>
        <v>1.4206074060216141</v>
      </c>
      <c r="D630" s="39">
        <f t="shared" si="19"/>
        <v>1.1776883266244969</v>
      </c>
    </row>
    <row r="631" spans="2:4" ht="15" x14ac:dyDescent="0.15">
      <c r="B631" s="38">
        <v>2476</v>
      </c>
      <c r="C631" s="39">
        <f t="shared" si="18"/>
        <v>1.4231051456903174</v>
      </c>
      <c r="D631" s="39">
        <f t="shared" si="19"/>
        <v>1.1780270348001149</v>
      </c>
    </row>
    <row r="632" spans="2:4" ht="15" x14ac:dyDescent="0.15">
      <c r="B632" s="38">
        <v>2480</v>
      </c>
      <c r="C632" s="39">
        <f t="shared" si="18"/>
        <v>1.4256036038229096</v>
      </c>
      <c r="D632" s="39">
        <f t="shared" si="19"/>
        <v>1.1783659378596087</v>
      </c>
    </row>
    <row r="633" spans="2:4" ht="15" x14ac:dyDescent="0.15">
      <c r="B633" s="38">
        <v>2484</v>
      </c>
      <c r="C633" s="39">
        <f t="shared" si="18"/>
        <v>1.4281027808328328</v>
      </c>
      <c r="D633" s="39">
        <f t="shared" si="19"/>
        <v>1.178705035971223</v>
      </c>
    </row>
    <row r="634" spans="2:4" ht="15" x14ac:dyDescent="0.15">
      <c r="B634" s="38">
        <v>2488</v>
      </c>
      <c r="C634" s="39">
        <f t="shared" si="18"/>
        <v>1.4306026771338909</v>
      </c>
      <c r="D634" s="39">
        <f t="shared" si="19"/>
        <v>1.1790443293033968</v>
      </c>
    </row>
    <row r="635" spans="2:4" ht="15" x14ac:dyDescent="0.15">
      <c r="B635" s="38">
        <v>2492</v>
      </c>
      <c r="C635" s="39">
        <f t="shared" si="18"/>
        <v>1.4331032931402405</v>
      </c>
      <c r="D635" s="39">
        <f t="shared" si="19"/>
        <v>1.1793838180247624</v>
      </c>
    </row>
    <row r="636" spans="2:4" ht="15" x14ac:dyDescent="0.15">
      <c r="B636" s="38">
        <v>2496</v>
      </c>
      <c r="C636" s="39">
        <f t="shared" si="18"/>
        <v>1.4356046292664009</v>
      </c>
      <c r="D636" s="39">
        <f t="shared" si="19"/>
        <v>1.1797235023041475</v>
      </c>
    </row>
    <row r="637" spans="2:4" ht="15" x14ac:dyDescent="0.15">
      <c r="B637" s="38">
        <v>2500</v>
      </c>
      <c r="C637" s="39">
        <f t="shared" si="18"/>
        <v>1.4381066859272469</v>
      </c>
      <c r="D637" s="39">
        <f t="shared" si="19"/>
        <v>1.1800633823105733</v>
      </c>
    </row>
    <row r="638" spans="2:4" ht="15" x14ac:dyDescent="0.15">
      <c r="B638" s="38">
        <v>2504</v>
      </c>
      <c r="C638" s="39">
        <f t="shared" si="18"/>
        <v>1.4406094635380129</v>
      </c>
      <c r="D638" s="39">
        <f t="shared" si="19"/>
        <v>1.1804034582132565</v>
      </c>
    </row>
    <row r="639" spans="2:4" ht="15" x14ac:dyDescent="0.15">
      <c r="B639" s="38">
        <v>2508</v>
      </c>
      <c r="C639" s="39">
        <f t="shared" si="18"/>
        <v>1.4431129625142911</v>
      </c>
      <c r="D639" s="39">
        <f t="shared" si="19"/>
        <v>1.1807437301816086</v>
      </c>
    </row>
    <row r="640" spans="2:4" ht="15" x14ac:dyDescent="0.15">
      <c r="B640" s="38">
        <v>2512</v>
      </c>
      <c r="C640" s="39">
        <f t="shared" si="18"/>
        <v>1.4456171832720335</v>
      </c>
      <c r="D640" s="39">
        <f t="shared" si="19"/>
        <v>1.1810841983852365</v>
      </c>
    </row>
    <row r="641" spans="2:4" ht="15" x14ac:dyDescent="0.15">
      <c r="B641" s="38">
        <v>2516</v>
      </c>
      <c r="C641" s="39">
        <f t="shared" si="18"/>
        <v>1.4481221262275523</v>
      </c>
      <c r="D641" s="39">
        <f t="shared" si="19"/>
        <v>1.1814248629939428</v>
      </c>
    </row>
    <row r="642" spans="2:4" ht="15" x14ac:dyDescent="0.15">
      <c r="B642" s="38">
        <v>2520</v>
      </c>
      <c r="C642" s="39">
        <f t="shared" si="18"/>
        <v>1.4506277917975225</v>
      </c>
      <c r="D642" s="39">
        <f t="shared" si="19"/>
        <v>1.1817657241777264</v>
      </c>
    </row>
    <row r="643" spans="2:4" ht="15" x14ac:dyDescent="0.15">
      <c r="B643" s="38">
        <v>2524</v>
      </c>
      <c r="C643" s="39">
        <f t="shared" si="18"/>
        <v>1.4531341803989759</v>
      </c>
      <c r="D643" s="39">
        <f t="shared" si="19"/>
        <v>1.1821067821067821</v>
      </c>
    </row>
    <row r="644" spans="2:4" ht="15" x14ac:dyDescent="0.15">
      <c r="B644" s="38">
        <v>2528</v>
      </c>
      <c r="C644" s="39">
        <f t="shared" si="18"/>
        <v>1.4556412924493061</v>
      </c>
      <c r="D644" s="39">
        <f t="shared" si="19"/>
        <v>1.1824480369515011</v>
      </c>
    </row>
    <row r="645" spans="2:4" ht="15" x14ac:dyDescent="0.15">
      <c r="B645" s="38">
        <v>2532</v>
      </c>
      <c r="C645" s="39">
        <f t="shared" si="18"/>
        <v>1.4581491283662709</v>
      </c>
      <c r="D645" s="39">
        <f t="shared" si="19"/>
        <v>1.1827894888824719</v>
      </c>
    </row>
    <row r="646" spans="2:4" ht="15" x14ac:dyDescent="0.15">
      <c r="B646" s="38">
        <v>2536</v>
      </c>
      <c r="C646" s="39">
        <f t="shared" si="18"/>
        <v>1.4606576885679852</v>
      </c>
      <c r="D646" s="39">
        <f t="shared" si="19"/>
        <v>1.1831311380704794</v>
      </c>
    </row>
    <row r="647" spans="2:4" ht="15" x14ac:dyDescent="0.15">
      <c r="B647" s="38">
        <v>2540</v>
      </c>
      <c r="C647" s="39">
        <f t="shared" si="18"/>
        <v>1.4631669734729333</v>
      </c>
      <c r="D647" s="39">
        <f t="shared" si="19"/>
        <v>1.1834729846865069</v>
      </c>
    </row>
    <row r="648" spans="2:4" ht="15" x14ac:dyDescent="0.15">
      <c r="B648" s="38">
        <v>2544</v>
      </c>
      <c r="C648" s="39">
        <f t="shared" si="18"/>
        <v>1.4656769834999552</v>
      </c>
      <c r="D648" s="39">
        <f t="shared" si="19"/>
        <v>1.1838150289017342</v>
      </c>
    </row>
    <row r="649" spans="2:4" ht="15" x14ac:dyDescent="0.15">
      <c r="B649" s="38">
        <v>2548</v>
      </c>
      <c r="C649" s="39">
        <f t="shared" si="18"/>
        <v>1.4681877190682586</v>
      </c>
      <c r="D649" s="39">
        <f t="shared" si="19"/>
        <v>1.1841572708875399</v>
      </c>
    </row>
    <row r="650" spans="2:4" ht="15" x14ac:dyDescent="0.15">
      <c r="B650" s="38">
        <v>2552</v>
      </c>
      <c r="C650" s="39">
        <f t="shared" si="18"/>
        <v>1.4706991805974112</v>
      </c>
      <c r="D650" s="39">
        <f t="shared" si="19"/>
        <v>1.1844997108155002</v>
      </c>
    </row>
    <row r="651" spans="2:4" ht="15" x14ac:dyDescent="0.15">
      <c r="B651" s="38">
        <v>2556</v>
      </c>
      <c r="C651" s="39">
        <f t="shared" si="18"/>
        <v>1.47321136850735</v>
      </c>
      <c r="D651" s="39">
        <f t="shared" si="19"/>
        <v>1.1848423488573907</v>
      </c>
    </row>
    <row r="652" spans="2:4" ht="15" x14ac:dyDescent="0.15">
      <c r="B652" s="38">
        <v>2560</v>
      </c>
      <c r="C652" s="39">
        <f t="shared" si="18"/>
        <v>1.4757242832183728</v>
      </c>
      <c r="D652" s="39">
        <f t="shared" si="19"/>
        <v>1.1851851851851851</v>
      </c>
    </row>
    <row r="653" spans="2:4" ht="15" x14ac:dyDescent="0.15">
      <c r="B653" s="38">
        <v>2564</v>
      </c>
      <c r="C653" s="39">
        <f t="shared" ref="C653:C716" si="20">20*LOG(D653)</f>
        <v>1.4782379251511424</v>
      </c>
      <c r="D653" s="39">
        <f t="shared" ref="D653:D716" si="21">16384/(16384-B653)</f>
        <v>1.1855282199710564</v>
      </c>
    </row>
    <row r="654" spans="2:4" ht="15" x14ac:dyDescent="0.15">
      <c r="B654" s="38">
        <v>2568</v>
      </c>
      <c r="C654" s="39">
        <f t="shared" si="20"/>
        <v>1.4807522947266869</v>
      </c>
      <c r="D654" s="39">
        <f t="shared" si="21"/>
        <v>1.1858714533873769</v>
      </c>
    </row>
    <row r="655" spans="2:4" ht="15" x14ac:dyDescent="0.15">
      <c r="B655" s="38">
        <v>2572</v>
      </c>
      <c r="C655" s="39">
        <f t="shared" si="20"/>
        <v>1.4832673923664017</v>
      </c>
      <c r="D655" s="39">
        <f t="shared" si="21"/>
        <v>1.1862148856067187</v>
      </c>
    </row>
    <row r="656" spans="2:4" ht="15" x14ac:dyDescent="0.15">
      <c r="B656" s="38">
        <v>2576</v>
      </c>
      <c r="C656" s="39">
        <f t="shared" si="20"/>
        <v>1.485783218492047</v>
      </c>
      <c r="D656" s="39">
        <f t="shared" si="21"/>
        <v>1.186558516801854</v>
      </c>
    </row>
    <row r="657" spans="2:4" ht="15" x14ac:dyDescent="0.15">
      <c r="B657" s="38">
        <v>2580</v>
      </c>
      <c r="C657" s="39">
        <f t="shared" si="20"/>
        <v>1.4882997735257506</v>
      </c>
      <c r="D657" s="39">
        <f t="shared" si="21"/>
        <v>1.1869023471457549</v>
      </c>
    </row>
    <row r="658" spans="2:4" ht="15" x14ac:dyDescent="0.15">
      <c r="B658" s="38">
        <v>2584</v>
      </c>
      <c r="C658" s="39">
        <f t="shared" si="20"/>
        <v>1.4908170578900042</v>
      </c>
      <c r="D658" s="39">
        <f t="shared" si="21"/>
        <v>1.1872463768115942</v>
      </c>
    </row>
    <row r="659" spans="2:4" ht="15" x14ac:dyDescent="0.15">
      <c r="B659" s="38">
        <v>2588</v>
      </c>
      <c r="C659" s="39">
        <f t="shared" si="20"/>
        <v>1.4933350720076721</v>
      </c>
      <c r="D659" s="39">
        <f t="shared" si="21"/>
        <v>1.1875906059727457</v>
      </c>
    </row>
    <row r="660" spans="2:4" ht="15" x14ac:dyDescent="0.15">
      <c r="B660" s="38">
        <v>2592</v>
      </c>
      <c r="C660" s="39">
        <f t="shared" si="20"/>
        <v>1.4958538163019828</v>
      </c>
      <c r="D660" s="39">
        <f t="shared" si="21"/>
        <v>1.1879350348027842</v>
      </c>
    </row>
    <row r="661" spans="2:4" ht="15" x14ac:dyDescent="0.15">
      <c r="B661" s="38">
        <v>2596</v>
      </c>
      <c r="C661" s="39">
        <f t="shared" si="20"/>
        <v>1.4983732911965348</v>
      </c>
      <c r="D661" s="39">
        <f t="shared" si="21"/>
        <v>1.188279663475486</v>
      </c>
    </row>
    <row r="662" spans="2:4" ht="15" x14ac:dyDescent="0.15">
      <c r="B662" s="38">
        <v>2600</v>
      </c>
      <c r="C662" s="39">
        <f t="shared" si="20"/>
        <v>1.5008934971152932</v>
      </c>
      <c r="D662" s="39">
        <f t="shared" si="21"/>
        <v>1.1886244921648288</v>
      </c>
    </row>
    <row r="663" spans="2:4" ht="15" x14ac:dyDescent="0.15">
      <c r="B663" s="38">
        <v>2604</v>
      </c>
      <c r="C663" s="39">
        <f t="shared" si="20"/>
        <v>1.5034144344825937</v>
      </c>
      <c r="D663" s="39">
        <f t="shared" si="21"/>
        <v>1.1889695210449926</v>
      </c>
    </row>
    <row r="664" spans="2:4" ht="15" x14ac:dyDescent="0.15">
      <c r="B664" s="38">
        <v>2608</v>
      </c>
      <c r="C664" s="39">
        <f t="shared" si="20"/>
        <v>1.505936103723144</v>
      </c>
      <c r="D664" s="39">
        <f t="shared" si="21"/>
        <v>1.18931475029036</v>
      </c>
    </row>
    <row r="665" spans="2:4" ht="15" x14ac:dyDescent="0.15">
      <c r="B665" s="38">
        <v>2612</v>
      </c>
      <c r="C665" s="39">
        <f t="shared" si="20"/>
        <v>1.5084585052620163</v>
      </c>
      <c r="D665" s="39">
        <f t="shared" si="21"/>
        <v>1.1896601800755155</v>
      </c>
    </row>
    <row r="666" spans="2:4" ht="15" x14ac:dyDescent="0.15">
      <c r="B666" s="38">
        <v>2616</v>
      </c>
      <c r="C666" s="39">
        <f t="shared" si="20"/>
        <v>1.5109816395246576</v>
      </c>
      <c r="D666" s="39">
        <f t="shared" si="21"/>
        <v>1.1900058105752469</v>
      </c>
    </row>
    <row r="667" spans="2:4" ht="15" x14ac:dyDescent="0.15">
      <c r="B667" s="38">
        <v>2620</v>
      </c>
      <c r="C667" s="39">
        <f t="shared" si="20"/>
        <v>1.513505506936885</v>
      </c>
      <c r="D667" s="39">
        <f t="shared" si="21"/>
        <v>1.1903516419645452</v>
      </c>
    </row>
    <row r="668" spans="2:4" ht="15" x14ac:dyDescent="0.15">
      <c r="B668" s="38">
        <v>2624</v>
      </c>
      <c r="C668" s="39">
        <f t="shared" si="20"/>
        <v>1.5160301079248844</v>
      </c>
      <c r="D668" s="39">
        <f t="shared" si="21"/>
        <v>1.1906976744186046</v>
      </c>
    </row>
    <row r="669" spans="2:4" ht="15" x14ac:dyDescent="0.15">
      <c r="B669" s="38">
        <v>2628</v>
      </c>
      <c r="C669" s="39">
        <f t="shared" si="20"/>
        <v>1.518555442915217</v>
      </c>
      <c r="D669" s="39">
        <f t="shared" si="21"/>
        <v>1.1910439081128235</v>
      </c>
    </row>
    <row r="670" spans="2:4" ht="15" x14ac:dyDescent="0.15">
      <c r="B670" s="38">
        <v>2632</v>
      </c>
      <c r="C670" s="39">
        <f t="shared" si="20"/>
        <v>1.5210815123348143</v>
      </c>
      <c r="D670" s="39">
        <f t="shared" si="21"/>
        <v>1.1913903432228039</v>
      </c>
    </row>
    <row r="671" spans="2:4" ht="15" x14ac:dyDescent="0.15">
      <c r="B671" s="38">
        <v>2636</v>
      </c>
      <c r="C671" s="39">
        <f t="shared" si="20"/>
        <v>1.5236083166109813</v>
      </c>
      <c r="D671" s="39">
        <f t="shared" si="21"/>
        <v>1.1917369799243527</v>
      </c>
    </row>
    <row r="672" spans="2:4" ht="15" x14ac:dyDescent="0.15">
      <c r="B672" s="38">
        <v>2640</v>
      </c>
      <c r="C672" s="39">
        <f t="shared" si="20"/>
        <v>1.5261358561713929</v>
      </c>
      <c r="D672" s="39">
        <f t="shared" si="21"/>
        <v>1.1920838183934808</v>
      </c>
    </row>
    <row r="673" spans="2:4" ht="15" x14ac:dyDescent="0.15">
      <c r="B673" s="38">
        <v>2644</v>
      </c>
      <c r="C673" s="39">
        <f t="shared" si="20"/>
        <v>1.528664131444103</v>
      </c>
      <c r="D673" s="39">
        <f t="shared" si="21"/>
        <v>1.1924308588064048</v>
      </c>
    </row>
    <row r="674" spans="2:4" ht="15" x14ac:dyDescent="0.15">
      <c r="B674" s="38">
        <v>2648</v>
      </c>
      <c r="C674" s="39">
        <f t="shared" si="20"/>
        <v>1.5311931428575332</v>
      </c>
      <c r="D674" s="39">
        <f t="shared" si="21"/>
        <v>1.1927781013395458</v>
      </c>
    </row>
    <row r="675" spans="2:4" ht="15" x14ac:dyDescent="0.15">
      <c r="B675" s="38">
        <v>2652</v>
      </c>
      <c r="C675" s="39">
        <f t="shared" si="20"/>
        <v>1.5337228908404836</v>
      </c>
      <c r="D675" s="39">
        <f t="shared" si="21"/>
        <v>1.1931255461695309</v>
      </c>
    </row>
    <row r="676" spans="2:4" ht="15" x14ac:dyDescent="0.15">
      <c r="B676" s="38">
        <v>2656</v>
      </c>
      <c r="C676" s="39">
        <f t="shared" si="20"/>
        <v>1.5362533758221302</v>
      </c>
      <c r="D676" s="39">
        <f t="shared" si="21"/>
        <v>1.1934731934731935</v>
      </c>
    </row>
    <row r="677" spans="2:4" ht="15" x14ac:dyDescent="0.15">
      <c r="B677" s="38">
        <v>2660</v>
      </c>
      <c r="C677" s="39">
        <f t="shared" si="20"/>
        <v>1.5387845982320203</v>
      </c>
      <c r="D677" s="39">
        <f t="shared" si="21"/>
        <v>1.1938210434275722</v>
      </c>
    </row>
    <row r="678" spans="2:4" ht="15" x14ac:dyDescent="0.15">
      <c r="B678" s="38">
        <v>2664</v>
      </c>
      <c r="C678" s="39">
        <f t="shared" si="20"/>
        <v>1.5413165585000768</v>
      </c>
      <c r="D678" s="39">
        <f t="shared" si="21"/>
        <v>1.1941690962099125</v>
      </c>
    </row>
    <row r="679" spans="2:4" ht="15" x14ac:dyDescent="0.15">
      <c r="B679" s="38">
        <v>2668</v>
      </c>
      <c r="C679" s="39">
        <f t="shared" si="20"/>
        <v>1.543849257056604</v>
      </c>
      <c r="D679" s="39">
        <f t="shared" si="21"/>
        <v>1.1945173519976671</v>
      </c>
    </row>
    <row r="680" spans="2:4" ht="15" x14ac:dyDescent="0.15">
      <c r="B680" s="38">
        <v>2672</v>
      </c>
      <c r="C680" s="39">
        <f t="shared" si="20"/>
        <v>1.5463826943322752</v>
      </c>
      <c r="D680" s="39">
        <f t="shared" si="21"/>
        <v>1.1948658109684946</v>
      </c>
    </row>
    <row r="681" spans="2:4" ht="15" x14ac:dyDescent="0.15">
      <c r="B681" s="38">
        <v>2676</v>
      </c>
      <c r="C681" s="39">
        <f t="shared" si="20"/>
        <v>1.548916870758148</v>
      </c>
      <c r="D681" s="39">
        <f t="shared" si="21"/>
        <v>1.1952144733002625</v>
      </c>
    </row>
    <row r="682" spans="2:4" ht="15" x14ac:dyDescent="0.15">
      <c r="B682" s="38">
        <v>2680</v>
      </c>
      <c r="C682" s="39">
        <f t="shared" si="20"/>
        <v>1.5514517867656532</v>
      </c>
      <c r="D682" s="39">
        <f t="shared" si="21"/>
        <v>1.195563339171045</v>
      </c>
    </row>
    <row r="683" spans="2:4" ht="15" x14ac:dyDescent="0.15">
      <c r="B683" s="38">
        <v>2684</v>
      </c>
      <c r="C683" s="39">
        <f t="shared" si="20"/>
        <v>1.5539874427866001</v>
      </c>
      <c r="D683" s="39">
        <f t="shared" si="21"/>
        <v>1.1959124087591242</v>
      </c>
    </row>
    <row r="684" spans="2:4" ht="15" x14ac:dyDescent="0.15">
      <c r="B684" s="38">
        <v>2688</v>
      </c>
      <c r="C684" s="39">
        <f t="shared" si="20"/>
        <v>1.5565238392531739</v>
      </c>
      <c r="D684" s="39">
        <f t="shared" si="21"/>
        <v>1.1962616822429906</v>
      </c>
    </row>
    <row r="685" spans="2:4" ht="15" x14ac:dyDescent="0.15">
      <c r="B685" s="38">
        <v>2692</v>
      </c>
      <c r="C685" s="39">
        <f t="shared" si="20"/>
        <v>1.5590609765979448</v>
      </c>
      <c r="D685" s="39">
        <f t="shared" si="21"/>
        <v>1.1966111598013438</v>
      </c>
    </row>
    <row r="686" spans="2:4" ht="15" x14ac:dyDescent="0.15">
      <c r="B686" s="38">
        <v>2696</v>
      </c>
      <c r="C686" s="39">
        <f t="shared" si="20"/>
        <v>1.5615988552538567</v>
      </c>
      <c r="D686" s="39">
        <f t="shared" si="21"/>
        <v>1.1969608416130917</v>
      </c>
    </row>
    <row r="687" spans="2:4" ht="15" x14ac:dyDescent="0.15">
      <c r="B687" s="38">
        <v>2700</v>
      </c>
      <c r="C687" s="39">
        <f t="shared" si="20"/>
        <v>1.5641374756542357</v>
      </c>
      <c r="D687" s="39">
        <f t="shared" si="21"/>
        <v>1.1973107278573516</v>
      </c>
    </row>
    <row r="688" spans="2:4" ht="15" x14ac:dyDescent="0.15">
      <c r="B688" s="38">
        <v>2704</v>
      </c>
      <c r="C688" s="39">
        <f t="shared" si="20"/>
        <v>1.5666768382327865</v>
      </c>
      <c r="D688" s="39">
        <f t="shared" si="21"/>
        <v>1.1976608187134503</v>
      </c>
    </row>
    <row r="689" spans="2:4" ht="15" x14ac:dyDescent="0.15">
      <c r="B689" s="38">
        <v>2708</v>
      </c>
      <c r="C689" s="39">
        <f t="shared" si="20"/>
        <v>1.5692169434235939</v>
      </c>
      <c r="D689" s="39">
        <f t="shared" si="21"/>
        <v>1.1980111143609242</v>
      </c>
    </row>
    <row r="690" spans="2:4" ht="15" x14ac:dyDescent="0.15">
      <c r="B690" s="38">
        <v>2712</v>
      </c>
      <c r="C690" s="39">
        <f t="shared" si="20"/>
        <v>1.5717577916611263</v>
      </c>
      <c r="D690" s="39">
        <f t="shared" si="21"/>
        <v>1.1983616149795202</v>
      </c>
    </row>
    <row r="691" spans="2:4" ht="15" x14ac:dyDescent="0.15">
      <c r="B691" s="38">
        <v>2716</v>
      </c>
      <c r="C691" s="39">
        <f t="shared" si="20"/>
        <v>1.574299383380231</v>
      </c>
      <c r="D691" s="39">
        <f t="shared" si="21"/>
        <v>1.1987123207491952</v>
      </c>
    </row>
    <row r="692" spans="2:4" ht="15" x14ac:dyDescent="0.15">
      <c r="B692" s="38">
        <v>2720</v>
      </c>
      <c r="C692" s="39">
        <f t="shared" si="20"/>
        <v>1.5768417190161379</v>
      </c>
      <c r="D692" s="39">
        <f t="shared" si="21"/>
        <v>1.1990632318501171</v>
      </c>
    </row>
    <row r="693" spans="2:4" ht="15" x14ac:dyDescent="0.15">
      <c r="B693" s="38">
        <v>2724</v>
      </c>
      <c r="C693" s="39">
        <f t="shared" si="20"/>
        <v>1.5793847990044594</v>
      </c>
      <c r="D693" s="39">
        <f t="shared" si="21"/>
        <v>1.1994143484626647</v>
      </c>
    </row>
    <row r="694" spans="2:4" ht="15" x14ac:dyDescent="0.15">
      <c r="B694" s="38">
        <v>2728</v>
      </c>
      <c r="C694" s="39">
        <f t="shared" si="20"/>
        <v>1.5819286237811907</v>
      </c>
      <c r="D694" s="39">
        <f t="shared" si="21"/>
        <v>1.1997656707674282</v>
      </c>
    </row>
    <row r="695" spans="2:4" ht="15" x14ac:dyDescent="0.15">
      <c r="B695" s="38">
        <v>2732</v>
      </c>
      <c r="C695" s="39">
        <f t="shared" si="20"/>
        <v>1.5844731937827099</v>
      </c>
      <c r="D695" s="39">
        <f t="shared" si="21"/>
        <v>1.2001171989452095</v>
      </c>
    </row>
    <row r="696" spans="2:4" ht="15" x14ac:dyDescent="0.15">
      <c r="B696" s="38">
        <v>2736</v>
      </c>
      <c r="C696" s="39">
        <f t="shared" si="20"/>
        <v>1.5870185094457778</v>
      </c>
      <c r="D696" s="39">
        <f t="shared" si="21"/>
        <v>1.2004689331770222</v>
      </c>
    </row>
    <row r="697" spans="2:4" ht="15" x14ac:dyDescent="0.15">
      <c r="B697" s="38">
        <v>2740</v>
      </c>
      <c r="C697" s="39">
        <f t="shared" si="20"/>
        <v>1.5895645712075424</v>
      </c>
      <c r="D697" s="39">
        <f t="shared" si="21"/>
        <v>1.2008208736440926</v>
      </c>
    </row>
    <row r="698" spans="2:4" ht="15" x14ac:dyDescent="0.15">
      <c r="B698" s="38">
        <v>2744</v>
      </c>
      <c r="C698" s="39">
        <f t="shared" si="20"/>
        <v>1.5921113795055324</v>
      </c>
      <c r="D698" s="39">
        <f t="shared" si="21"/>
        <v>1.2011730205278592</v>
      </c>
    </row>
    <row r="699" spans="2:4" ht="15" x14ac:dyDescent="0.15">
      <c r="B699" s="38">
        <v>2748</v>
      </c>
      <c r="C699" s="39">
        <f t="shared" si="20"/>
        <v>1.5946589347776639</v>
      </c>
      <c r="D699" s="39">
        <f t="shared" si="21"/>
        <v>1.2015253740099736</v>
      </c>
    </row>
    <row r="700" spans="2:4" ht="15" x14ac:dyDescent="0.15">
      <c r="B700" s="38">
        <v>2752</v>
      </c>
      <c r="C700" s="39">
        <f t="shared" si="20"/>
        <v>1.597207237462237</v>
      </c>
      <c r="D700" s="39">
        <f t="shared" si="21"/>
        <v>1.2018779342723005</v>
      </c>
    </row>
    <row r="701" spans="2:4" ht="15" x14ac:dyDescent="0.15">
      <c r="B701" s="38">
        <v>2756</v>
      </c>
      <c r="C701" s="39">
        <f t="shared" si="20"/>
        <v>1.5997562879979379</v>
      </c>
      <c r="D701" s="39">
        <f t="shared" si="21"/>
        <v>1.202230701496918</v>
      </c>
    </row>
    <row r="702" spans="2:4" ht="15" x14ac:dyDescent="0.15">
      <c r="B702" s="38">
        <v>2760</v>
      </c>
      <c r="C702" s="39">
        <f t="shared" si="20"/>
        <v>1.6023060868238419</v>
      </c>
      <c r="D702" s="39">
        <f t="shared" si="21"/>
        <v>1.2025836758661186</v>
      </c>
    </row>
    <row r="703" spans="2:4" ht="15" x14ac:dyDescent="0.15">
      <c r="B703" s="38">
        <v>2764</v>
      </c>
      <c r="C703" s="39">
        <f t="shared" si="20"/>
        <v>1.6048566343794075</v>
      </c>
      <c r="D703" s="39">
        <f t="shared" si="21"/>
        <v>1.2029368575624082</v>
      </c>
    </row>
    <row r="704" spans="2:4" ht="15" x14ac:dyDescent="0.15">
      <c r="B704" s="38">
        <v>2768</v>
      </c>
      <c r="C704" s="39">
        <f t="shared" si="20"/>
        <v>1.6074079311044811</v>
      </c>
      <c r="D704" s="39">
        <f t="shared" si="21"/>
        <v>1.2032902467685076</v>
      </c>
    </row>
    <row r="705" spans="2:4" ht="15" x14ac:dyDescent="0.15">
      <c r="B705" s="38">
        <v>2772</v>
      </c>
      <c r="C705" s="39">
        <f t="shared" si="20"/>
        <v>1.6099599774392996</v>
      </c>
      <c r="D705" s="39">
        <f t="shared" si="21"/>
        <v>1.2036438436673524</v>
      </c>
    </row>
    <row r="706" spans="2:4" ht="15" x14ac:dyDescent="0.15">
      <c r="B706" s="38">
        <v>2776</v>
      </c>
      <c r="C706" s="39">
        <f t="shared" si="20"/>
        <v>1.6125127738244827</v>
      </c>
      <c r="D706" s="39">
        <f t="shared" si="21"/>
        <v>1.2039976484420929</v>
      </c>
    </row>
    <row r="707" spans="2:4" ht="15" x14ac:dyDescent="0.15">
      <c r="B707" s="38">
        <v>2780</v>
      </c>
      <c r="C707" s="39">
        <f t="shared" si="20"/>
        <v>1.6150663207010436</v>
      </c>
      <c r="D707" s="39">
        <f t="shared" si="21"/>
        <v>1.2043516612760952</v>
      </c>
    </row>
    <row r="708" spans="2:4" ht="15" x14ac:dyDescent="0.15">
      <c r="B708" s="38">
        <v>2784</v>
      </c>
      <c r="C708" s="39">
        <f t="shared" si="20"/>
        <v>1.6176206185103836</v>
      </c>
      <c r="D708" s="39">
        <f t="shared" si="21"/>
        <v>1.2047058823529411</v>
      </c>
    </row>
    <row r="709" spans="2:4" ht="15" x14ac:dyDescent="0.15">
      <c r="B709" s="38">
        <v>2788</v>
      </c>
      <c r="C709" s="39">
        <f t="shared" si="20"/>
        <v>1.6201756676942924</v>
      </c>
      <c r="D709" s="39">
        <f t="shared" si="21"/>
        <v>1.2050603118564283</v>
      </c>
    </row>
    <row r="710" spans="2:4" ht="15" x14ac:dyDescent="0.15">
      <c r="B710" s="38">
        <v>2792</v>
      </c>
      <c r="C710" s="39">
        <f t="shared" si="20"/>
        <v>1.6227314686949503</v>
      </c>
      <c r="D710" s="39">
        <f t="shared" si="21"/>
        <v>1.2054149499705709</v>
      </c>
    </row>
    <row r="711" spans="2:4" ht="15" x14ac:dyDescent="0.15">
      <c r="B711" s="38">
        <v>2796</v>
      </c>
      <c r="C711" s="39">
        <f t="shared" si="20"/>
        <v>1.6252880219549284</v>
      </c>
      <c r="D711" s="39">
        <f t="shared" si="21"/>
        <v>1.2057697968795997</v>
      </c>
    </row>
    <row r="712" spans="2:4" ht="15" x14ac:dyDescent="0.15">
      <c r="B712" s="38">
        <v>2800</v>
      </c>
      <c r="C712" s="39">
        <f t="shared" si="20"/>
        <v>1.6278453279171852</v>
      </c>
      <c r="D712" s="39">
        <f t="shared" si="21"/>
        <v>1.2061248527679622</v>
      </c>
    </row>
    <row r="713" spans="2:4" ht="15" x14ac:dyDescent="0.15">
      <c r="B713" s="38">
        <v>2804</v>
      </c>
      <c r="C713" s="39">
        <f t="shared" si="20"/>
        <v>1.6304033870250767</v>
      </c>
      <c r="D713" s="39">
        <f t="shared" si="21"/>
        <v>1.2064801178203239</v>
      </c>
    </row>
    <row r="714" spans="2:4" ht="15" x14ac:dyDescent="0.15">
      <c r="B714" s="38">
        <v>2808</v>
      </c>
      <c r="C714" s="39">
        <f t="shared" si="20"/>
        <v>1.6329621997223467</v>
      </c>
      <c r="D714" s="39">
        <f t="shared" si="21"/>
        <v>1.2068355922215674</v>
      </c>
    </row>
    <row r="715" spans="2:4" ht="15" x14ac:dyDescent="0.15">
      <c r="B715" s="38">
        <v>2812</v>
      </c>
      <c r="C715" s="39">
        <f t="shared" si="20"/>
        <v>1.6355217664531319</v>
      </c>
      <c r="D715" s="39">
        <f t="shared" si="21"/>
        <v>1.2071912761567933</v>
      </c>
    </row>
    <row r="716" spans="2:4" ht="15" x14ac:dyDescent="0.15">
      <c r="B716" s="38">
        <v>2816</v>
      </c>
      <c r="C716" s="39">
        <f t="shared" si="20"/>
        <v>1.6380820876619624</v>
      </c>
      <c r="D716" s="39">
        <f t="shared" si="21"/>
        <v>1.2075471698113207</v>
      </c>
    </row>
    <row r="717" spans="2:4" ht="15" x14ac:dyDescent="0.15">
      <c r="B717" s="38">
        <v>2820</v>
      </c>
      <c r="C717" s="39">
        <f t="shared" ref="C717:C780" si="22">20*LOG(D717)</f>
        <v>1.6406431637937611</v>
      </c>
      <c r="D717" s="39">
        <f t="shared" ref="D717:D780" si="23">16384/(16384-B717)</f>
        <v>1.2079032733706871</v>
      </c>
    </row>
    <row r="718" spans="2:4" ht="15" x14ac:dyDescent="0.15">
      <c r="B718" s="38">
        <v>2824</v>
      </c>
      <c r="C718" s="39">
        <f t="shared" si="22"/>
        <v>1.6432049952938435</v>
      </c>
      <c r="D718" s="39">
        <f t="shared" si="23"/>
        <v>1.208259587020649</v>
      </c>
    </row>
    <row r="719" spans="2:4" ht="15" x14ac:dyDescent="0.15">
      <c r="B719" s="38">
        <v>2828</v>
      </c>
      <c r="C719" s="39">
        <f t="shared" si="22"/>
        <v>1.6457675826079217</v>
      </c>
      <c r="D719" s="39">
        <f t="shared" si="23"/>
        <v>1.208616110947182</v>
      </c>
    </row>
    <row r="720" spans="2:4" ht="15" x14ac:dyDescent="0.15">
      <c r="B720" s="38">
        <v>2832</v>
      </c>
      <c r="C720" s="39">
        <f t="shared" si="22"/>
        <v>1.6483309261821002</v>
      </c>
      <c r="D720" s="39">
        <f t="shared" si="23"/>
        <v>1.2089728453364816</v>
      </c>
    </row>
    <row r="721" spans="2:4" ht="15" x14ac:dyDescent="0.15">
      <c r="B721" s="38">
        <v>2836</v>
      </c>
      <c r="C721" s="39">
        <f t="shared" si="22"/>
        <v>1.650895026462881</v>
      </c>
      <c r="D721" s="39">
        <f t="shared" si="23"/>
        <v>1.2093297903749631</v>
      </c>
    </row>
    <row r="722" spans="2:4" ht="15" x14ac:dyDescent="0.15">
      <c r="B722" s="38">
        <v>2840</v>
      </c>
      <c r="C722" s="39">
        <f t="shared" si="22"/>
        <v>1.6534598838971579</v>
      </c>
      <c r="D722" s="39">
        <f t="shared" si="23"/>
        <v>1.2096869462492617</v>
      </c>
    </row>
    <row r="723" spans="2:4" ht="15" x14ac:dyDescent="0.15">
      <c r="B723" s="38">
        <v>2844</v>
      </c>
      <c r="C723" s="39">
        <f t="shared" si="22"/>
        <v>1.6560254989322236</v>
      </c>
      <c r="D723" s="39">
        <f t="shared" si="23"/>
        <v>1.2100443131462333</v>
      </c>
    </row>
    <row r="724" spans="2:4" ht="15" x14ac:dyDescent="0.15">
      <c r="B724" s="38">
        <v>2848</v>
      </c>
      <c r="C724" s="39">
        <f t="shared" si="22"/>
        <v>1.658591872015768</v>
      </c>
      <c r="D724" s="39">
        <f t="shared" si="23"/>
        <v>1.2104018912529551</v>
      </c>
    </row>
    <row r="725" spans="2:4" ht="15" x14ac:dyDescent="0.15">
      <c r="B725" s="38">
        <v>2852</v>
      </c>
      <c r="C725" s="39">
        <f t="shared" si="22"/>
        <v>1.6611590035958759</v>
      </c>
      <c r="D725" s="39">
        <f t="shared" si="23"/>
        <v>1.2107596807567249</v>
      </c>
    </row>
    <row r="726" spans="2:4" ht="15" x14ac:dyDescent="0.15">
      <c r="B726" s="38">
        <v>2856</v>
      </c>
      <c r="C726" s="39">
        <f t="shared" si="22"/>
        <v>1.6637268941210288</v>
      </c>
      <c r="D726" s="39">
        <f t="shared" si="23"/>
        <v>1.2111176818450622</v>
      </c>
    </row>
    <row r="727" spans="2:4" ht="15" x14ac:dyDescent="0.15">
      <c r="B727" s="38">
        <v>2860</v>
      </c>
      <c r="C727" s="39">
        <f t="shared" si="22"/>
        <v>1.6662955440401064</v>
      </c>
      <c r="D727" s="39">
        <f t="shared" si="23"/>
        <v>1.2114758947057083</v>
      </c>
    </row>
    <row r="728" spans="2:4" ht="15" x14ac:dyDescent="0.15">
      <c r="B728" s="38">
        <v>2864</v>
      </c>
      <c r="C728" s="39">
        <f t="shared" si="22"/>
        <v>1.6688649538023923</v>
      </c>
      <c r="D728" s="39">
        <f t="shared" si="23"/>
        <v>1.2118343195266272</v>
      </c>
    </row>
    <row r="729" spans="2:4" ht="15" x14ac:dyDescent="0.15">
      <c r="B729" s="38">
        <v>2868</v>
      </c>
      <c r="C729" s="39">
        <f t="shared" si="22"/>
        <v>1.6714351238575609</v>
      </c>
      <c r="D729" s="39">
        <f t="shared" si="23"/>
        <v>1.2121929564960048</v>
      </c>
    </row>
    <row r="730" spans="2:4" ht="15" x14ac:dyDescent="0.15">
      <c r="B730" s="38">
        <v>2872</v>
      </c>
      <c r="C730" s="39">
        <f t="shared" si="22"/>
        <v>1.674006054655689</v>
      </c>
      <c r="D730" s="39">
        <f t="shared" si="23"/>
        <v>1.2125518058022497</v>
      </c>
    </row>
    <row r="731" spans="2:4" ht="15" x14ac:dyDescent="0.15">
      <c r="B731" s="38">
        <v>2876</v>
      </c>
      <c r="C731" s="39">
        <f t="shared" si="22"/>
        <v>1.6765777466472556</v>
      </c>
      <c r="D731" s="39">
        <f t="shared" si="23"/>
        <v>1.2129108676339946</v>
      </c>
    </row>
    <row r="732" spans="2:4" ht="15" x14ac:dyDescent="0.15">
      <c r="B732" s="38">
        <v>2880</v>
      </c>
      <c r="C732" s="39">
        <f t="shared" si="22"/>
        <v>1.6791502002831384</v>
      </c>
      <c r="D732" s="39">
        <f t="shared" si="23"/>
        <v>1.2132701421800949</v>
      </c>
    </row>
    <row r="733" spans="2:4" ht="15" x14ac:dyDescent="0.15">
      <c r="B733" s="38">
        <v>2884</v>
      </c>
      <c r="C733" s="39">
        <f t="shared" si="22"/>
        <v>1.6817234160146122</v>
      </c>
      <c r="D733" s="39">
        <f t="shared" si="23"/>
        <v>1.2136296296296296</v>
      </c>
    </row>
    <row r="734" spans="2:4" ht="15" x14ac:dyDescent="0.15">
      <c r="B734" s="38">
        <v>2888</v>
      </c>
      <c r="C734" s="39">
        <f t="shared" si="22"/>
        <v>1.6842973942933579</v>
      </c>
      <c r="D734" s="39">
        <f t="shared" si="23"/>
        <v>1.2139893301719027</v>
      </c>
    </row>
    <row r="735" spans="2:4" ht="15" x14ac:dyDescent="0.15">
      <c r="B735" s="38">
        <v>2892</v>
      </c>
      <c r="C735" s="39">
        <f t="shared" si="22"/>
        <v>1.6868721355714573</v>
      </c>
      <c r="D735" s="39">
        <f t="shared" si="23"/>
        <v>1.2143492439964423</v>
      </c>
    </row>
    <row r="736" spans="2:4" ht="15" x14ac:dyDescent="0.15">
      <c r="B736" s="38">
        <v>2896</v>
      </c>
      <c r="C736" s="39">
        <f t="shared" si="22"/>
        <v>1.6894476403013932</v>
      </c>
      <c r="D736" s="39">
        <f t="shared" si="23"/>
        <v>1.2147093712930013</v>
      </c>
    </row>
    <row r="737" spans="2:4" ht="15" x14ac:dyDescent="0.15">
      <c r="B737" s="38">
        <v>2900</v>
      </c>
      <c r="C737" s="39">
        <f t="shared" si="22"/>
        <v>1.6920239089360489</v>
      </c>
      <c r="D737" s="39">
        <f t="shared" si="23"/>
        <v>1.2150697122515575</v>
      </c>
    </row>
    <row r="738" spans="2:4" ht="15" x14ac:dyDescent="0.15">
      <c r="B738" s="38">
        <v>2904</v>
      </c>
      <c r="C738" s="39">
        <f t="shared" si="22"/>
        <v>1.694600941928714</v>
      </c>
      <c r="D738" s="39">
        <f t="shared" si="23"/>
        <v>1.2154302670623145</v>
      </c>
    </row>
    <row r="739" spans="2:4" ht="15" x14ac:dyDescent="0.15">
      <c r="B739" s="38">
        <v>2908</v>
      </c>
      <c r="C739" s="39">
        <f t="shared" si="22"/>
        <v>1.6971787397330829</v>
      </c>
      <c r="D739" s="39">
        <f t="shared" si="23"/>
        <v>1.215791035915702</v>
      </c>
    </row>
    <row r="740" spans="2:4" ht="15" x14ac:dyDescent="0.15">
      <c r="B740" s="38">
        <v>2912</v>
      </c>
      <c r="C740" s="39">
        <f t="shared" si="22"/>
        <v>1.6997573028032495</v>
      </c>
      <c r="D740" s="39">
        <f t="shared" si="23"/>
        <v>1.2161520190023754</v>
      </c>
    </row>
    <row r="741" spans="2:4" ht="15" x14ac:dyDescent="0.15">
      <c r="B741" s="38">
        <v>2916</v>
      </c>
      <c r="C741" s="39">
        <f t="shared" si="22"/>
        <v>1.7023366315937145</v>
      </c>
      <c r="D741" s="39">
        <f t="shared" si="23"/>
        <v>1.2165132165132164</v>
      </c>
    </row>
    <row r="742" spans="2:4" ht="15" x14ac:dyDescent="0.15">
      <c r="B742" s="38">
        <v>2920</v>
      </c>
      <c r="C742" s="39">
        <f t="shared" si="22"/>
        <v>1.7049167265593868</v>
      </c>
      <c r="D742" s="39">
        <f t="shared" si="23"/>
        <v>1.2168746286393346</v>
      </c>
    </row>
    <row r="743" spans="2:4" ht="15" x14ac:dyDescent="0.15">
      <c r="B743" s="38">
        <v>2924</v>
      </c>
      <c r="C743" s="39">
        <f t="shared" si="22"/>
        <v>1.7074975881555732</v>
      </c>
      <c r="D743" s="39">
        <f t="shared" si="23"/>
        <v>1.2172362555720653</v>
      </c>
    </row>
    <row r="744" spans="2:4" ht="15" x14ac:dyDescent="0.15">
      <c r="B744" s="38">
        <v>2928</v>
      </c>
      <c r="C744" s="39">
        <f t="shared" si="22"/>
        <v>1.7100792168379946</v>
      </c>
      <c r="D744" s="39">
        <f t="shared" si="23"/>
        <v>1.2175980975029725</v>
      </c>
    </row>
    <row r="745" spans="2:4" ht="15" x14ac:dyDescent="0.15">
      <c r="B745" s="38">
        <v>2932</v>
      </c>
      <c r="C745" s="39">
        <f t="shared" si="22"/>
        <v>1.7126616130627745</v>
      </c>
      <c r="D745" s="39">
        <f t="shared" si="23"/>
        <v>1.2179601546238477</v>
      </c>
    </row>
    <row r="746" spans="2:4" ht="15" x14ac:dyDescent="0.15">
      <c r="B746" s="38">
        <v>2936</v>
      </c>
      <c r="C746" s="39">
        <f t="shared" si="22"/>
        <v>1.7152447772864434</v>
      </c>
      <c r="D746" s="39">
        <f t="shared" si="23"/>
        <v>1.2183224271267104</v>
      </c>
    </row>
    <row r="747" spans="2:4" ht="15" x14ac:dyDescent="0.15">
      <c r="B747" s="38">
        <v>2940</v>
      </c>
      <c r="C747" s="39">
        <f t="shared" si="22"/>
        <v>1.7178287099659382</v>
      </c>
      <c r="D747" s="39">
        <f t="shared" si="23"/>
        <v>1.2186849152038084</v>
      </c>
    </row>
    <row r="748" spans="2:4" ht="15" x14ac:dyDescent="0.15">
      <c r="B748" s="38">
        <v>2944</v>
      </c>
      <c r="C748" s="39">
        <f t="shared" si="22"/>
        <v>1.7204134115586067</v>
      </c>
      <c r="D748" s="39">
        <f t="shared" si="23"/>
        <v>1.2190476190476192</v>
      </c>
    </row>
    <row r="749" spans="2:4" ht="15" x14ac:dyDescent="0.15">
      <c r="B749" s="38">
        <v>2948</v>
      </c>
      <c r="C749" s="39">
        <f t="shared" si="22"/>
        <v>1.7229988825222016</v>
      </c>
      <c r="D749" s="39">
        <f t="shared" si="23"/>
        <v>1.2194105388508485</v>
      </c>
    </row>
    <row r="750" spans="2:4" ht="15" x14ac:dyDescent="0.15">
      <c r="B750" s="38">
        <v>2952</v>
      </c>
      <c r="C750" s="39">
        <f t="shared" si="22"/>
        <v>1.725585123314888</v>
      </c>
      <c r="D750" s="39">
        <f t="shared" si="23"/>
        <v>1.2197736748064325</v>
      </c>
    </row>
    <row r="751" spans="2:4" ht="15" x14ac:dyDescent="0.15">
      <c r="B751" s="38">
        <v>2956</v>
      </c>
      <c r="C751" s="39">
        <f t="shared" si="22"/>
        <v>1.728172134395237</v>
      </c>
      <c r="D751" s="39">
        <f t="shared" si="23"/>
        <v>1.2201370271075365</v>
      </c>
    </row>
    <row r="752" spans="2:4" ht="15" x14ac:dyDescent="0.15">
      <c r="B752" s="38">
        <v>2960</v>
      </c>
      <c r="C752" s="39">
        <f t="shared" si="22"/>
        <v>1.7307599162222331</v>
      </c>
      <c r="D752" s="39">
        <f t="shared" si="23"/>
        <v>1.2205005959475566</v>
      </c>
    </row>
    <row r="753" spans="2:4" ht="15" x14ac:dyDescent="0.15">
      <c r="B753" s="38">
        <v>2964</v>
      </c>
      <c r="C753" s="39">
        <f t="shared" si="22"/>
        <v>1.7333484692552692</v>
      </c>
      <c r="D753" s="39">
        <f t="shared" si="23"/>
        <v>1.2208643815201192</v>
      </c>
    </row>
    <row r="754" spans="2:4" ht="15" x14ac:dyDescent="0.15">
      <c r="B754" s="38">
        <v>2968</v>
      </c>
      <c r="C754" s="39">
        <f t="shared" si="22"/>
        <v>1.7359377939541478</v>
      </c>
      <c r="D754" s="39">
        <f t="shared" si="23"/>
        <v>1.2212283840190816</v>
      </c>
    </row>
    <row r="755" spans="2:4" ht="15" x14ac:dyDescent="0.15">
      <c r="B755" s="38">
        <v>2972</v>
      </c>
      <c r="C755" s="39">
        <f t="shared" si="22"/>
        <v>1.7385278907790864</v>
      </c>
      <c r="D755" s="39">
        <f t="shared" si="23"/>
        <v>1.2215926036385327</v>
      </c>
    </row>
    <row r="756" spans="2:4" ht="15" x14ac:dyDescent="0.15">
      <c r="B756" s="38">
        <v>2976</v>
      </c>
      <c r="C756" s="39">
        <f t="shared" si="22"/>
        <v>1.7411187601907094</v>
      </c>
      <c r="D756" s="39">
        <f t="shared" si="23"/>
        <v>1.2219570405727924</v>
      </c>
    </row>
    <row r="757" spans="2:4" ht="15" x14ac:dyDescent="0.15">
      <c r="B757" s="38">
        <v>2980</v>
      </c>
      <c r="C757" s="39">
        <f t="shared" si="22"/>
        <v>1.7437104026500574</v>
      </c>
      <c r="D757" s="39">
        <f t="shared" si="23"/>
        <v>1.2223216950164131</v>
      </c>
    </row>
    <row r="758" spans="2:4" ht="15" x14ac:dyDescent="0.15">
      <c r="B758" s="38">
        <v>2984</v>
      </c>
      <c r="C758" s="39">
        <f t="shared" si="22"/>
        <v>1.7463028186185823</v>
      </c>
      <c r="D758" s="39">
        <f t="shared" si="23"/>
        <v>1.2226865671641791</v>
      </c>
    </row>
    <row r="759" spans="2:4" ht="15" x14ac:dyDescent="0.15">
      <c r="B759" s="38">
        <v>2988</v>
      </c>
      <c r="C759" s="39">
        <f t="shared" si="22"/>
        <v>1.7488960085581504</v>
      </c>
      <c r="D759" s="39">
        <f t="shared" si="23"/>
        <v>1.2230516572111079</v>
      </c>
    </row>
    <row r="760" spans="2:4" ht="15" x14ac:dyDescent="0.15">
      <c r="B760" s="38">
        <v>2992</v>
      </c>
      <c r="C760" s="39">
        <f t="shared" si="22"/>
        <v>1.7514899729310387</v>
      </c>
      <c r="D760" s="39">
        <f t="shared" si="23"/>
        <v>1.2234169653524491</v>
      </c>
    </row>
    <row r="761" spans="2:4" ht="15" x14ac:dyDescent="0.15">
      <c r="B761" s="38">
        <v>2996</v>
      </c>
      <c r="C761" s="39">
        <f t="shared" si="22"/>
        <v>1.7540847121999437</v>
      </c>
      <c r="D761" s="39">
        <f t="shared" si="23"/>
        <v>1.2237824917836868</v>
      </c>
    </row>
    <row r="762" spans="2:4" ht="15" x14ac:dyDescent="0.15">
      <c r="B762" s="38">
        <v>3000</v>
      </c>
      <c r="C762" s="39">
        <f t="shared" si="22"/>
        <v>1.7566802268279718</v>
      </c>
      <c r="D762" s="39">
        <f t="shared" si="23"/>
        <v>1.2241482367005379</v>
      </c>
    </row>
    <row r="763" spans="2:4" ht="15" x14ac:dyDescent="0.15">
      <c r="B763" s="38">
        <v>3004</v>
      </c>
      <c r="C763" s="39">
        <f t="shared" si="22"/>
        <v>1.7592765172786493</v>
      </c>
      <c r="D763" s="39">
        <f t="shared" si="23"/>
        <v>1.2245142002989537</v>
      </c>
    </row>
    <row r="764" spans="2:4" ht="15" x14ac:dyDescent="0.15">
      <c r="B764" s="38">
        <v>3008</v>
      </c>
      <c r="C764" s="39">
        <f t="shared" si="22"/>
        <v>1.7618735840159108</v>
      </c>
      <c r="D764" s="39">
        <f t="shared" si="23"/>
        <v>1.2248803827751196</v>
      </c>
    </row>
    <row r="765" spans="2:4" ht="15" x14ac:dyDescent="0.15">
      <c r="B765" s="38">
        <v>3012</v>
      </c>
      <c r="C765" s="39">
        <f t="shared" si="22"/>
        <v>1.7644714275041165</v>
      </c>
      <c r="D765" s="39">
        <f t="shared" si="23"/>
        <v>1.2252467843254562</v>
      </c>
    </row>
    <row r="766" spans="2:4" ht="15" x14ac:dyDescent="0.15">
      <c r="B766" s="38">
        <v>3016</v>
      </c>
      <c r="C766" s="39">
        <f t="shared" si="22"/>
        <v>1.7670700482080359</v>
      </c>
      <c r="D766" s="39">
        <f t="shared" si="23"/>
        <v>1.2256134051466188</v>
      </c>
    </row>
    <row r="767" spans="2:4" ht="15" x14ac:dyDescent="0.15">
      <c r="B767" s="38">
        <v>3020</v>
      </c>
      <c r="C767" s="39">
        <f t="shared" si="22"/>
        <v>1.7696694465928613</v>
      </c>
      <c r="D767" s="39">
        <f t="shared" si="23"/>
        <v>1.2259802454354984</v>
      </c>
    </row>
    <row r="768" spans="2:4" ht="15" x14ac:dyDescent="0.15">
      <c r="B768" s="38">
        <v>3024</v>
      </c>
      <c r="C768" s="39">
        <f t="shared" si="22"/>
        <v>1.7722696231241972</v>
      </c>
      <c r="D768" s="39">
        <f t="shared" si="23"/>
        <v>1.2263473053892215</v>
      </c>
    </row>
    <row r="769" spans="2:4" ht="15" x14ac:dyDescent="0.15">
      <c r="B769" s="38">
        <v>3028</v>
      </c>
      <c r="C769" s="39">
        <f t="shared" si="22"/>
        <v>1.7748705782680725</v>
      </c>
      <c r="D769" s="39">
        <f t="shared" si="23"/>
        <v>1.2267145852051513</v>
      </c>
    </row>
    <row r="770" spans="2:4" ht="15" x14ac:dyDescent="0.15">
      <c r="B770" s="38">
        <v>3032</v>
      </c>
      <c r="C770" s="39">
        <f t="shared" si="22"/>
        <v>1.7774723124909289</v>
      </c>
      <c r="D770" s="39">
        <f t="shared" si="23"/>
        <v>1.2270820850808868</v>
      </c>
    </row>
    <row r="771" spans="2:4" ht="15" x14ac:dyDescent="0.15">
      <c r="B771" s="38">
        <v>3036</v>
      </c>
      <c r="C771" s="39">
        <f t="shared" si="22"/>
        <v>1.7800748262596324</v>
      </c>
      <c r="D771" s="39">
        <f t="shared" si="23"/>
        <v>1.2274498052142644</v>
      </c>
    </row>
    <row r="772" spans="2:4" ht="15" x14ac:dyDescent="0.15">
      <c r="B772" s="38">
        <v>3040</v>
      </c>
      <c r="C772" s="39">
        <f t="shared" si="22"/>
        <v>1.7826781200414643</v>
      </c>
      <c r="D772" s="39">
        <f t="shared" si="23"/>
        <v>1.2278177458033572</v>
      </c>
    </row>
    <row r="773" spans="2:4" ht="15" x14ac:dyDescent="0.15">
      <c r="B773" s="38">
        <v>3044</v>
      </c>
      <c r="C773" s="39">
        <f t="shared" si="22"/>
        <v>1.7852821943041308</v>
      </c>
      <c r="D773" s="39">
        <f t="shared" si="23"/>
        <v>1.2281859070464767</v>
      </c>
    </row>
    <row r="774" spans="2:4" ht="15" x14ac:dyDescent="0.15">
      <c r="B774" s="38">
        <v>3048</v>
      </c>
      <c r="C774" s="39">
        <f t="shared" si="22"/>
        <v>1.7878870495157555</v>
      </c>
      <c r="D774" s="39">
        <f t="shared" si="23"/>
        <v>1.2285542891421715</v>
      </c>
    </row>
    <row r="775" spans="2:4" ht="15" x14ac:dyDescent="0.15">
      <c r="B775" s="38">
        <v>3052</v>
      </c>
      <c r="C775" s="39">
        <f t="shared" si="22"/>
        <v>1.7904926861448864</v>
      </c>
      <c r="D775" s="39">
        <f t="shared" si="23"/>
        <v>1.228922892289229</v>
      </c>
    </row>
    <row r="776" spans="2:4" ht="15" x14ac:dyDescent="0.15">
      <c r="B776" s="38">
        <v>3056</v>
      </c>
      <c r="C776" s="39">
        <f t="shared" si="22"/>
        <v>1.7930991046604867</v>
      </c>
      <c r="D776" s="39">
        <f t="shared" si="23"/>
        <v>1.2292917166866746</v>
      </c>
    </row>
    <row r="777" spans="2:4" ht="15" x14ac:dyDescent="0.15">
      <c r="B777" s="38">
        <v>3060</v>
      </c>
      <c r="C777" s="39">
        <f t="shared" si="22"/>
        <v>1.7957063055319509</v>
      </c>
      <c r="D777" s="39">
        <f t="shared" si="23"/>
        <v>1.2296607625337737</v>
      </c>
    </row>
    <row r="778" spans="2:4" ht="15" x14ac:dyDescent="0.15">
      <c r="B778" s="38">
        <v>3064</v>
      </c>
      <c r="C778" s="39">
        <f t="shared" si="22"/>
        <v>1.7983142892290891</v>
      </c>
      <c r="D778" s="39">
        <f t="shared" si="23"/>
        <v>1.23003003003003</v>
      </c>
    </row>
    <row r="779" spans="2:4" ht="15" x14ac:dyDescent="0.15">
      <c r="B779" s="38">
        <v>3068</v>
      </c>
      <c r="C779" s="39">
        <f t="shared" si="22"/>
        <v>1.8009230562221392</v>
      </c>
      <c r="D779" s="39">
        <f t="shared" si="23"/>
        <v>1.2303995193751878</v>
      </c>
    </row>
    <row r="780" spans="2:4" ht="15" x14ac:dyDescent="0.15">
      <c r="B780" s="38">
        <v>3072</v>
      </c>
      <c r="C780" s="39">
        <f t="shared" si="22"/>
        <v>1.8035326069817605</v>
      </c>
      <c r="D780" s="39">
        <f t="shared" si="23"/>
        <v>1.2307692307692308</v>
      </c>
    </row>
    <row r="781" spans="2:4" ht="15" x14ac:dyDescent="0.15">
      <c r="B781" s="38">
        <v>3076</v>
      </c>
      <c r="C781" s="39">
        <f t="shared" ref="C781:C844" si="24">20*LOG(D781)</f>
        <v>1.8061429419790365</v>
      </c>
      <c r="D781" s="39">
        <f t="shared" ref="D781:D844" si="25">16384/(16384-B781)</f>
        <v>1.2311391644123835</v>
      </c>
    </row>
    <row r="782" spans="2:4" ht="15" x14ac:dyDescent="0.15">
      <c r="B782" s="38">
        <v>3080</v>
      </c>
      <c r="C782" s="39">
        <f t="shared" si="24"/>
        <v>1.8087540616854785</v>
      </c>
      <c r="D782" s="39">
        <f t="shared" si="25"/>
        <v>1.2315093205051113</v>
      </c>
    </row>
    <row r="783" spans="2:4" ht="15" x14ac:dyDescent="0.15">
      <c r="B783" s="38">
        <v>3084</v>
      </c>
      <c r="C783" s="39">
        <f t="shared" si="24"/>
        <v>1.8113659665730184</v>
      </c>
      <c r="D783" s="39">
        <f t="shared" si="25"/>
        <v>1.2318796992481202</v>
      </c>
    </row>
    <row r="784" spans="2:4" ht="15" x14ac:dyDescent="0.15">
      <c r="B784" s="38">
        <v>3088</v>
      </c>
      <c r="C784" s="39">
        <f t="shared" si="24"/>
        <v>1.8139786571140195</v>
      </c>
      <c r="D784" s="39">
        <f t="shared" si="25"/>
        <v>1.2322503008423586</v>
      </c>
    </row>
    <row r="785" spans="2:4" ht="15" x14ac:dyDescent="0.15">
      <c r="B785" s="38">
        <v>3092</v>
      </c>
      <c r="C785" s="39">
        <f t="shared" si="24"/>
        <v>1.8165921337812669</v>
      </c>
      <c r="D785" s="39">
        <f t="shared" si="25"/>
        <v>1.232621125489016</v>
      </c>
    </row>
    <row r="786" spans="2:4" ht="15" x14ac:dyDescent="0.15">
      <c r="B786" s="38">
        <v>3096</v>
      </c>
      <c r="C786" s="39">
        <f t="shared" si="24"/>
        <v>1.8192063970479733</v>
      </c>
      <c r="D786" s="39">
        <f t="shared" si="25"/>
        <v>1.2329921733895244</v>
      </c>
    </row>
    <row r="787" spans="2:4" ht="15" x14ac:dyDescent="0.15">
      <c r="B787" s="38">
        <v>3100</v>
      </c>
      <c r="C787" s="39">
        <f t="shared" si="24"/>
        <v>1.8218214473877823</v>
      </c>
      <c r="D787" s="39">
        <f t="shared" si="25"/>
        <v>1.2333634447455586</v>
      </c>
    </row>
    <row r="788" spans="2:4" ht="15" x14ac:dyDescent="0.15">
      <c r="B788" s="38">
        <v>3104</v>
      </c>
      <c r="C788" s="39">
        <f t="shared" si="24"/>
        <v>1.8244372852747617</v>
      </c>
      <c r="D788" s="39">
        <f t="shared" si="25"/>
        <v>1.2337349397590363</v>
      </c>
    </row>
    <row r="789" spans="2:4" ht="15" x14ac:dyDescent="0.15">
      <c r="B789" s="38">
        <v>3108</v>
      </c>
      <c r="C789" s="39">
        <f t="shared" si="24"/>
        <v>1.8270539111834077</v>
      </c>
      <c r="D789" s="39">
        <f t="shared" si="25"/>
        <v>1.2341066586321181</v>
      </c>
    </row>
    <row r="790" spans="2:4" ht="15" x14ac:dyDescent="0.15">
      <c r="B790" s="38">
        <v>3112</v>
      </c>
      <c r="C790" s="39">
        <f t="shared" si="24"/>
        <v>1.8296713255886488</v>
      </c>
      <c r="D790" s="39">
        <f t="shared" si="25"/>
        <v>1.2344786015672091</v>
      </c>
    </row>
    <row r="791" spans="2:4" ht="15" x14ac:dyDescent="0.15">
      <c r="B791" s="38">
        <v>3116</v>
      </c>
      <c r="C791" s="39">
        <f t="shared" si="24"/>
        <v>1.8322895289658405</v>
      </c>
      <c r="D791" s="39">
        <f t="shared" si="25"/>
        <v>1.2348507687669581</v>
      </c>
    </row>
    <row r="792" spans="2:4" ht="15" x14ac:dyDescent="0.15">
      <c r="B792" s="38">
        <v>3120</v>
      </c>
      <c r="C792" s="39">
        <f t="shared" si="24"/>
        <v>1.8349085217907675</v>
      </c>
      <c r="D792" s="39">
        <f t="shared" si="25"/>
        <v>1.2352231604342581</v>
      </c>
    </row>
    <row r="793" spans="2:4" ht="15" x14ac:dyDescent="0.15">
      <c r="B793" s="38">
        <v>3124</v>
      </c>
      <c r="C793" s="39">
        <f t="shared" si="24"/>
        <v>1.8375283045396484</v>
      </c>
      <c r="D793" s="39">
        <f t="shared" si="25"/>
        <v>1.2355957767722474</v>
      </c>
    </row>
    <row r="794" spans="2:4" ht="15" x14ac:dyDescent="0.15">
      <c r="B794" s="38">
        <v>3128</v>
      </c>
      <c r="C794" s="39">
        <f t="shared" si="24"/>
        <v>1.8401488776891284</v>
      </c>
      <c r="D794" s="39">
        <f t="shared" si="25"/>
        <v>1.235968617984309</v>
      </c>
    </row>
    <row r="795" spans="2:4" ht="15" x14ac:dyDescent="0.15">
      <c r="B795" s="38">
        <v>3132</v>
      </c>
      <c r="C795" s="39">
        <f t="shared" si="24"/>
        <v>1.8427702417162868</v>
      </c>
      <c r="D795" s="39">
        <f t="shared" si="25"/>
        <v>1.2363416842740718</v>
      </c>
    </row>
    <row r="796" spans="2:4" ht="15" x14ac:dyDescent="0.15">
      <c r="B796" s="38">
        <v>3136</v>
      </c>
      <c r="C796" s="39">
        <f t="shared" si="24"/>
        <v>1.8453923970986357</v>
      </c>
      <c r="D796" s="39">
        <f t="shared" si="25"/>
        <v>1.2367149758454106</v>
      </c>
    </row>
    <row r="797" spans="2:4" ht="15" x14ac:dyDescent="0.15">
      <c r="B797" s="38">
        <v>3140</v>
      </c>
      <c r="C797" s="39">
        <f t="shared" si="24"/>
        <v>1.8480153443141187</v>
      </c>
      <c r="D797" s="39">
        <f t="shared" si="25"/>
        <v>1.2370884929024464</v>
      </c>
    </row>
    <row r="798" spans="2:4" ht="15" x14ac:dyDescent="0.15">
      <c r="B798" s="38">
        <v>3144</v>
      </c>
      <c r="C798" s="39">
        <f t="shared" si="24"/>
        <v>1.8506390838411122</v>
      </c>
      <c r="D798" s="39">
        <f t="shared" si="25"/>
        <v>1.2374622356495468</v>
      </c>
    </row>
    <row r="799" spans="2:4" ht="15" x14ac:dyDescent="0.15">
      <c r="B799" s="38">
        <v>3148</v>
      </c>
      <c r="C799" s="39">
        <f t="shared" si="24"/>
        <v>1.8532636161584262</v>
      </c>
      <c r="D799" s="39">
        <f t="shared" si="25"/>
        <v>1.2378362042913267</v>
      </c>
    </row>
    <row r="800" spans="2:4" ht="15" x14ac:dyDescent="0.15">
      <c r="B800" s="38">
        <v>3152</v>
      </c>
      <c r="C800" s="39">
        <f t="shared" si="24"/>
        <v>1.8558889417453053</v>
      </c>
      <c r="D800" s="39">
        <f t="shared" si="25"/>
        <v>1.2382103990326481</v>
      </c>
    </row>
    <row r="801" spans="2:4" ht="15" x14ac:dyDescent="0.15">
      <c r="B801" s="38">
        <v>3156</v>
      </c>
      <c r="C801" s="39">
        <f t="shared" si="24"/>
        <v>1.8585150610814298</v>
      </c>
      <c r="D801" s="39">
        <f t="shared" si="25"/>
        <v>1.2385848200786211</v>
      </c>
    </row>
    <row r="802" spans="2:4" ht="15" x14ac:dyDescent="0.15">
      <c r="B802" s="38">
        <v>3160</v>
      </c>
      <c r="C802" s="39">
        <f t="shared" si="24"/>
        <v>1.861141974646914</v>
      </c>
      <c r="D802" s="39">
        <f t="shared" si="25"/>
        <v>1.2389594676346039</v>
      </c>
    </row>
    <row r="803" spans="2:4" ht="15" x14ac:dyDescent="0.15">
      <c r="B803" s="38">
        <v>3164</v>
      </c>
      <c r="C803" s="39">
        <f t="shared" si="24"/>
        <v>1.8637696829223052</v>
      </c>
      <c r="D803" s="39">
        <f t="shared" si="25"/>
        <v>1.2393343419062026</v>
      </c>
    </row>
    <row r="804" spans="2:4" ht="15" x14ac:dyDescent="0.15">
      <c r="B804" s="38">
        <v>3168</v>
      </c>
      <c r="C804" s="39">
        <f t="shared" si="24"/>
        <v>1.866398186388595</v>
      </c>
      <c r="D804" s="39">
        <f t="shared" si="25"/>
        <v>1.2397094430992737</v>
      </c>
    </row>
    <row r="805" spans="2:4" ht="15" x14ac:dyDescent="0.15">
      <c r="B805" s="38">
        <v>3172</v>
      </c>
      <c r="C805" s="39">
        <f t="shared" si="24"/>
        <v>1.8690274855272024</v>
      </c>
      <c r="D805" s="39">
        <f t="shared" si="25"/>
        <v>1.2400847714199212</v>
      </c>
    </row>
    <row r="806" spans="2:4" ht="15" x14ac:dyDescent="0.15">
      <c r="B806" s="38">
        <v>3176</v>
      </c>
      <c r="C806" s="39">
        <f t="shared" si="24"/>
        <v>1.87165758081999</v>
      </c>
      <c r="D806" s="39">
        <f t="shared" si="25"/>
        <v>1.2404603270745003</v>
      </c>
    </row>
    <row r="807" spans="2:4" ht="15" x14ac:dyDescent="0.15">
      <c r="B807" s="38">
        <v>3180</v>
      </c>
      <c r="C807" s="39">
        <f t="shared" si="24"/>
        <v>1.8742884727492561</v>
      </c>
      <c r="D807" s="39">
        <f t="shared" si="25"/>
        <v>1.2408361102696153</v>
      </c>
    </row>
    <row r="808" spans="2:4" ht="15" x14ac:dyDescent="0.15">
      <c r="B808" s="38">
        <v>3184</v>
      </c>
      <c r="C808" s="39">
        <f t="shared" si="24"/>
        <v>1.8769201617977374</v>
      </c>
      <c r="D808" s="39">
        <f t="shared" si="25"/>
        <v>1.2412121212121212</v>
      </c>
    </row>
    <row r="809" spans="2:4" ht="15" x14ac:dyDescent="0.15">
      <c r="B809" s="38">
        <v>3188</v>
      </c>
      <c r="C809" s="39">
        <f t="shared" si="24"/>
        <v>1.8795526484486094</v>
      </c>
      <c r="D809" s="39">
        <f t="shared" si="25"/>
        <v>1.241588360109124</v>
      </c>
    </row>
    <row r="810" spans="2:4" ht="15" x14ac:dyDescent="0.15">
      <c r="B810" s="38">
        <v>3192</v>
      </c>
      <c r="C810" s="39">
        <f t="shared" si="24"/>
        <v>1.8821859331854875</v>
      </c>
      <c r="D810" s="39">
        <f t="shared" si="25"/>
        <v>1.2419648271679806</v>
      </c>
    </row>
    <row r="811" spans="2:4" ht="15" x14ac:dyDescent="0.15">
      <c r="B811" s="38">
        <v>3196</v>
      </c>
      <c r="C811" s="39">
        <f t="shared" si="24"/>
        <v>1.8848200164924269</v>
      </c>
      <c r="D811" s="39">
        <f t="shared" si="25"/>
        <v>1.2423415225962997</v>
      </c>
    </row>
    <row r="812" spans="2:4" ht="15" x14ac:dyDescent="0.15">
      <c r="B812" s="38">
        <v>3200</v>
      </c>
      <c r="C812" s="39">
        <f t="shared" si="24"/>
        <v>1.8874548988539224</v>
      </c>
      <c r="D812" s="39">
        <f t="shared" si="25"/>
        <v>1.2427184466019416</v>
      </c>
    </row>
    <row r="813" spans="2:4" ht="15" x14ac:dyDescent="0.15">
      <c r="B813" s="38">
        <v>3204</v>
      </c>
      <c r="C813" s="39">
        <f t="shared" si="24"/>
        <v>1.8900905807549133</v>
      </c>
      <c r="D813" s="39">
        <f t="shared" si="25"/>
        <v>1.2430955993930197</v>
      </c>
    </row>
    <row r="814" spans="2:4" ht="15" x14ac:dyDescent="0.15">
      <c r="B814" s="38">
        <v>3208</v>
      </c>
      <c r="C814" s="39">
        <f t="shared" si="24"/>
        <v>1.8927270626807766</v>
      </c>
      <c r="D814" s="39">
        <f t="shared" si="25"/>
        <v>1.2434729811778993</v>
      </c>
    </row>
    <row r="815" spans="2:4" ht="15" x14ac:dyDescent="0.15">
      <c r="B815" s="38">
        <v>3212</v>
      </c>
      <c r="C815" s="39">
        <f t="shared" si="24"/>
        <v>1.8953643451173319</v>
      </c>
      <c r="D815" s="39">
        <f t="shared" si="25"/>
        <v>1.243850592165199</v>
      </c>
    </row>
    <row r="816" spans="2:4" ht="15" x14ac:dyDescent="0.15">
      <c r="B816" s="38">
        <v>3216</v>
      </c>
      <c r="C816" s="39">
        <f t="shared" si="24"/>
        <v>1.8980024285508414</v>
      </c>
      <c r="D816" s="39">
        <f t="shared" si="25"/>
        <v>1.2442284325637909</v>
      </c>
    </row>
    <row r="817" spans="2:4" ht="15" x14ac:dyDescent="0.15">
      <c r="B817" s="38">
        <v>3220</v>
      </c>
      <c r="C817" s="39">
        <f t="shared" si="24"/>
        <v>1.9006413134680147</v>
      </c>
      <c r="D817" s="39">
        <f t="shared" si="25"/>
        <v>1.2446065025828015</v>
      </c>
    </row>
    <row r="818" spans="2:4" ht="15" x14ac:dyDescent="0.15">
      <c r="B818" s="38">
        <v>3224</v>
      </c>
      <c r="C818" s="39">
        <f t="shared" si="24"/>
        <v>1.9032810003560017</v>
      </c>
      <c r="D818" s="39">
        <f t="shared" si="25"/>
        <v>1.244984802431611</v>
      </c>
    </row>
    <row r="819" spans="2:4" ht="15" x14ac:dyDescent="0.15">
      <c r="B819" s="38">
        <v>3228</v>
      </c>
      <c r="C819" s="39">
        <f t="shared" si="24"/>
        <v>1.9059214897023933</v>
      </c>
      <c r="D819" s="39">
        <f t="shared" si="25"/>
        <v>1.2453633323198541</v>
      </c>
    </row>
    <row r="820" spans="2:4" ht="15" x14ac:dyDescent="0.15">
      <c r="B820" s="38">
        <v>3232</v>
      </c>
      <c r="C820" s="39">
        <f t="shared" si="24"/>
        <v>1.9085627819952313</v>
      </c>
      <c r="D820" s="39">
        <f t="shared" si="25"/>
        <v>1.245742092457421</v>
      </c>
    </row>
    <row r="821" spans="2:4" ht="15" x14ac:dyDescent="0.15">
      <c r="B821" s="38">
        <v>3236</v>
      </c>
      <c r="C821" s="39">
        <f t="shared" si="24"/>
        <v>1.9112048777229989</v>
      </c>
      <c r="D821" s="39">
        <f t="shared" si="25"/>
        <v>1.2461210830544569</v>
      </c>
    </row>
    <row r="822" spans="2:4" ht="15" x14ac:dyDescent="0.15">
      <c r="B822" s="38">
        <v>3240</v>
      </c>
      <c r="C822" s="39">
        <f t="shared" si="24"/>
        <v>1.9138477773746287</v>
      </c>
      <c r="D822" s="39">
        <f t="shared" si="25"/>
        <v>1.2465003043213634</v>
      </c>
    </row>
    <row r="823" spans="2:4" ht="15" x14ac:dyDescent="0.15">
      <c r="B823" s="38">
        <v>3244</v>
      </c>
      <c r="C823" s="39">
        <f t="shared" si="24"/>
        <v>1.916491481439496</v>
      </c>
      <c r="D823" s="39">
        <f t="shared" si="25"/>
        <v>1.2468797564687977</v>
      </c>
    </row>
    <row r="824" spans="2:4" ht="15" x14ac:dyDescent="0.15">
      <c r="B824" s="38">
        <v>3248</v>
      </c>
      <c r="C824" s="39">
        <f t="shared" si="24"/>
        <v>1.9191359904074232</v>
      </c>
      <c r="D824" s="39">
        <f t="shared" si="25"/>
        <v>1.2472594397076735</v>
      </c>
    </row>
    <row r="825" spans="2:4" ht="15" x14ac:dyDescent="0.15">
      <c r="B825" s="38">
        <v>3252</v>
      </c>
      <c r="C825" s="39">
        <f t="shared" si="24"/>
        <v>1.9217813047686851</v>
      </c>
      <c r="D825" s="39">
        <f t="shared" si="25"/>
        <v>1.2476393542491624</v>
      </c>
    </row>
    <row r="826" spans="2:4" ht="15" x14ac:dyDescent="0.15">
      <c r="B826" s="38">
        <v>3256</v>
      </c>
      <c r="C826" s="39">
        <f t="shared" si="24"/>
        <v>1.9244274250139992</v>
      </c>
      <c r="D826" s="39">
        <f t="shared" si="25"/>
        <v>1.2480195003046923</v>
      </c>
    </row>
    <row r="827" spans="2:4" ht="15" x14ac:dyDescent="0.15">
      <c r="B827" s="38">
        <v>3260</v>
      </c>
      <c r="C827" s="39">
        <f t="shared" si="24"/>
        <v>1.9270743516345326</v>
      </c>
      <c r="D827" s="39">
        <f t="shared" si="25"/>
        <v>1.2483998780859493</v>
      </c>
    </row>
    <row r="828" spans="2:4" ht="15" x14ac:dyDescent="0.15">
      <c r="B828" s="38">
        <v>3264</v>
      </c>
      <c r="C828" s="39">
        <f t="shared" si="24"/>
        <v>1.9297220851219052</v>
      </c>
      <c r="D828" s="39">
        <f t="shared" si="25"/>
        <v>1.248780487804878</v>
      </c>
    </row>
    <row r="829" spans="2:4" ht="15" x14ac:dyDescent="0.15">
      <c r="B829" s="38">
        <v>3268</v>
      </c>
      <c r="C829" s="39">
        <f t="shared" si="24"/>
        <v>1.9323706259681823</v>
      </c>
      <c r="D829" s="39">
        <f t="shared" si="25"/>
        <v>1.249161329673681</v>
      </c>
    </row>
    <row r="830" spans="2:4" ht="15" x14ac:dyDescent="0.15">
      <c r="B830" s="38">
        <v>3272</v>
      </c>
      <c r="C830" s="39">
        <f t="shared" si="24"/>
        <v>1.9350199746658812</v>
      </c>
      <c r="D830" s="39">
        <f t="shared" si="25"/>
        <v>1.24954240390482</v>
      </c>
    </row>
    <row r="831" spans="2:4" ht="15" x14ac:dyDescent="0.15">
      <c r="B831" s="38">
        <v>3276</v>
      </c>
      <c r="C831" s="39">
        <f t="shared" si="24"/>
        <v>1.9376701317079705</v>
      </c>
      <c r="D831" s="39">
        <f t="shared" si="25"/>
        <v>1.2499237107110162</v>
      </c>
    </row>
    <row r="832" spans="2:4" ht="15" x14ac:dyDescent="0.15">
      <c r="B832" s="38">
        <v>3280</v>
      </c>
      <c r="C832" s="39">
        <f t="shared" si="24"/>
        <v>1.9403210975878695</v>
      </c>
      <c r="D832" s="39">
        <f t="shared" si="25"/>
        <v>1.2503052503052503</v>
      </c>
    </row>
    <row r="833" spans="2:4" ht="15" x14ac:dyDescent="0.15">
      <c r="B833" s="38">
        <v>3284</v>
      </c>
      <c r="C833" s="39">
        <f t="shared" si="24"/>
        <v>1.9429728727994497</v>
      </c>
      <c r="D833" s="39">
        <f t="shared" si="25"/>
        <v>1.2506870229007634</v>
      </c>
    </row>
    <row r="834" spans="2:4" ht="15" x14ac:dyDescent="0.15">
      <c r="B834" s="38">
        <v>3288</v>
      </c>
      <c r="C834" s="39">
        <f t="shared" si="24"/>
        <v>1.9456254578370344</v>
      </c>
      <c r="D834" s="39">
        <f t="shared" si="25"/>
        <v>1.2510690287110569</v>
      </c>
    </row>
    <row r="835" spans="2:4" ht="15" x14ac:dyDescent="0.15">
      <c r="B835" s="38">
        <v>3292</v>
      </c>
      <c r="C835" s="39">
        <f t="shared" si="24"/>
        <v>1.9482788531954003</v>
      </c>
      <c r="D835" s="39">
        <f t="shared" si="25"/>
        <v>1.251451267949893</v>
      </c>
    </row>
    <row r="836" spans="2:4" ht="15" x14ac:dyDescent="0.15">
      <c r="B836" s="38">
        <v>3296</v>
      </c>
      <c r="C836" s="39">
        <f t="shared" si="24"/>
        <v>1.9509330593697791</v>
      </c>
      <c r="D836" s="39">
        <f t="shared" si="25"/>
        <v>1.2518337408312958</v>
      </c>
    </row>
    <row r="837" spans="2:4" ht="15" x14ac:dyDescent="0.15">
      <c r="B837" s="38">
        <v>3300</v>
      </c>
      <c r="C837" s="39">
        <f t="shared" si="24"/>
        <v>1.953588076855854</v>
      </c>
      <c r="D837" s="39">
        <f t="shared" si="25"/>
        <v>1.2522164475695505</v>
      </c>
    </row>
    <row r="838" spans="2:4" ht="15" x14ac:dyDescent="0.15">
      <c r="B838" s="38">
        <v>3304</v>
      </c>
      <c r="C838" s="39">
        <f t="shared" si="24"/>
        <v>1.956243906149765</v>
      </c>
      <c r="D838" s="39">
        <f t="shared" si="25"/>
        <v>1.2525993883792048</v>
      </c>
    </row>
    <row r="839" spans="2:4" ht="15" x14ac:dyDescent="0.15">
      <c r="B839" s="38">
        <v>3308</v>
      </c>
      <c r="C839" s="39">
        <f t="shared" si="24"/>
        <v>1.9589005477481072</v>
      </c>
      <c r="D839" s="39">
        <f t="shared" si="25"/>
        <v>1.2529825634750689</v>
      </c>
    </row>
    <row r="840" spans="2:4" ht="15" x14ac:dyDescent="0.15">
      <c r="B840" s="38">
        <v>3312</v>
      </c>
      <c r="C840" s="39">
        <f t="shared" si="24"/>
        <v>1.9615580021479284</v>
      </c>
      <c r="D840" s="39">
        <f t="shared" si="25"/>
        <v>1.2533659730722153</v>
      </c>
    </row>
    <row r="841" spans="2:4" ht="15" x14ac:dyDescent="0.15">
      <c r="B841" s="38">
        <v>3316</v>
      </c>
      <c r="C841" s="39">
        <f t="shared" si="24"/>
        <v>1.9642162698467389</v>
      </c>
      <c r="D841" s="39">
        <f t="shared" si="25"/>
        <v>1.253749617385981</v>
      </c>
    </row>
    <row r="842" spans="2:4" ht="15" x14ac:dyDescent="0.15">
      <c r="B842" s="38">
        <v>3320</v>
      </c>
      <c r="C842" s="39">
        <f t="shared" si="24"/>
        <v>1.9668753513424997</v>
      </c>
      <c r="D842" s="39">
        <f t="shared" si="25"/>
        <v>1.2541334966319657</v>
      </c>
    </row>
    <row r="843" spans="2:4" ht="15" x14ac:dyDescent="0.15">
      <c r="B843" s="38">
        <v>3324</v>
      </c>
      <c r="C843" s="39">
        <f t="shared" si="24"/>
        <v>1.9695352471336318</v>
      </c>
      <c r="D843" s="39">
        <f t="shared" si="25"/>
        <v>1.2545176110260337</v>
      </c>
    </row>
    <row r="844" spans="2:4" ht="15" x14ac:dyDescent="0.15">
      <c r="B844" s="38">
        <v>3328</v>
      </c>
      <c r="C844" s="39">
        <f t="shared" si="24"/>
        <v>1.972195957719016</v>
      </c>
      <c r="D844" s="39">
        <f t="shared" si="25"/>
        <v>1.2549019607843137</v>
      </c>
    </row>
    <row r="845" spans="2:4" ht="15" x14ac:dyDescent="0.15">
      <c r="B845" s="38">
        <v>3332</v>
      </c>
      <c r="C845" s="39">
        <f t="shared" ref="C845:C908" si="26">20*LOG(D845)</f>
        <v>1.9748574835979882</v>
      </c>
      <c r="D845" s="39">
        <f t="shared" ref="D845:D908" si="27">16384/(16384-B845)</f>
        <v>1.2552865461231995</v>
      </c>
    </row>
    <row r="846" spans="2:4" ht="15" x14ac:dyDescent="0.15">
      <c r="B846" s="38">
        <v>3336</v>
      </c>
      <c r="C846" s="39">
        <f t="shared" si="26"/>
        <v>1.9775198252703463</v>
      </c>
      <c r="D846" s="39">
        <f t="shared" si="27"/>
        <v>1.25567136725935</v>
      </c>
    </row>
    <row r="847" spans="2:4" ht="15" x14ac:dyDescent="0.15">
      <c r="B847" s="38">
        <v>3340</v>
      </c>
      <c r="C847" s="39">
        <f t="shared" si="26"/>
        <v>1.9801829832363476</v>
      </c>
      <c r="D847" s="39">
        <f t="shared" si="27"/>
        <v>1.2560564244096903</v>
      </c>
    </row>
    <row r="848" spans="2:4" ht="15" x14ac:dyDescent="0.15">
      <c r="B848" s="38">
        <v>3344</v>
      </c>
      <c r="C848" s="39">
        <f t="shared" si="26"/>
        <v>1.9828469579967072</v>
      </c>
      <c r="D848" s="39">
        <f t="shared" si="27"/>
        <v>1.2564417177914111</v>
      </c>
    </row>
    <row r="849" spans="2:4" ht="15" x14ac:dyDescent="0.15">
      <c r="B849" s="38">
        <v>3348</v>
      </c>
      <c r="C849" s="39">
        <f t="shared" si="26"/>
        <v>1.9855117500526032</v>
      </c>
      <c r="D849" s="39">
        <f t="shared" si="27"/>
        <v>1.25682724762197</v>
      </c>
    </row>
    <row r="850" spans="2:4" ht="15" x14ac:dyDescent="0.15">
      <c r="B850" s="38">
        <v>3352</v>
      </c>
      <c r="C850" s="39">
        <f t="shared" si="26"/>
        <v>1.9881773599056745</v>
      </c>
      <c r="D850" s="39">
        <f t="shared" si="27"/>
        <v>1.2572130141190914</v>
      </c>
    </row>
    <row r="851" spans="2:4" ht="15" x14ac:dyDescent="0.15">
      <c r="B851" s="38">
        <v>3356</v>
      </c>
      <c r="C851" s="39">
        <f t="shared" si="26"/>
        <v>1.990843788058025</v>
      </c>
      <c r="D851" s="39">
        <f t="shared" si="27"/>
        <v>1.2575990175007676</v>
      </c>
    </row>
    <row r="852" spans="2:4" ht="15" x14ac:dyDescent="0.15">
      <c r="B852" s="38">
        <v>3360</v>
      </c>
      <c r="C852" s="39">
        <f t="shared" si="26"/>
        <v>1.9935110350122143</v>
      </c>
      <c r="D852" s="39">
        <f t="shared" si="27"/>
        <v>1.257985257985258</v>
      </c>
    </row>
    <row r="853" spans="2:4" ht="15" x14ac:dyDescent="0.15">
      <c r="B853" s="38">
        <v>3364</v>
      </c>
      <c r="C853" s="39">
        <f t="shared" si="26"/>
        <v>1.9961791012712717</v>
      </c>
      <c r="D853" s="39">
        <f t="shared" si="27"/>
        <v>1.2583717357910906</v>
      </c>
    </row>
    <row r="854" spans="2:4" ht="15" x14ac:dyDescent="0.15">
      <c r="B854" s="38">
        <v>3368</v>
      </c>
      <c r="C854" s="39">
        <f t="shared" si="26"/>
        <v>1.9988479873386864</v>
      </c>
      <c r="D854" s="39">
        <f t="shared" si="27"/>
        <v>1.258758451137062</v>
      </c>
    </row>
    <row r="855" spans="2:4" ht="15" x14ac:dyDescent="0.15">
      <c r="B855" s="38">
        <v>3372</v>
      </c>
      <c r="C855" s="39">
        <f t="shared" si="26"/>
        <v>2.0015176937184149</v>
      </c>
      <c r="D855" s="39">
        <f t="shared" si="27"/>
        <v>1.2591454042422379</v>
      </c>
    </row>
    <row r="856" spans="2:4" ht="15" x14ac:dyDescent="0.15">
      <c r="B856" s="38">
        <v>3376</v>
      </c>
      <c r="C856" s="39">
        <f t="shared" si="26"/>
        <v>2.0041882209148758</v>
      </c>
      <c r="D856" s="39">
        <f t="shared" si="27"/>
        <v>1.2595325953259533</v>
      </c>
    </row>
    <row r="857" spans="2:4" ht="15" x14ac:dyDescent="0.15">
      <c r="B857" s="38">
        <v>3380</v>
      </c>
      <c r="C857" s="39">
        <f t="shared" si="26"/>
        <v>2.0068595694329536</v>
      </c>
      <c r="D857" s="39">
        <f t="shared" si="27"/>
        <v>1.259920024607813</v>
      </c>
    </row>
    <row r="858" spans="2:4" ht="15" x14ac:dyDescent="0.15">
      <c r="B858" s="38">
        <v>3384</v>
      </c>
      <c r="C858" s="39">
        <f t="shared" si="26"/>
        <v>2.0095317397779997</v>
      </c>
      <c r="D858" s="39">
        <f t="shared" si="27"/>
        <v>1.2603076923076924</v>
      </c>
    </row>
    <row r="859" spans="2:4" ht="15" x14ac:dyDescent="0.15">
      <c r="B859" s="38">
        <v>3388</v>
      </c>
      <c r="C859" s="39">
        <f t="shared" si="26"/>
        <v>2.0122047324558308</v>
      </c>
      <c r="D859" s="39">
        <f t="shared" si="27"/>
        <v>1.2606955986457371</v>
      </c>
    </row>
    <row r="860" spans="2:4" ht="15" x14ac:dyDescent="0.15">
      <c r="B860" s="38">
        <v>3392</v>
      </c>
      <c r="C860" s="39">
        <f t="shared" si="26"/>
        <v>2.0148785479727329</v>
      </c>
      <c r="D860" s="39">
        <f t="shared" si="27"/>
        <v>1.2610837438423645</v>
      </c>
    </row>
    <row r="861" spans="2:4" ht="15" x14ac:dyDescent="0.15">
      <c r="B861" s="38">
        <v>3396</v>
      </c>
      <c r="C861" s="39">
        <f t="shared" si="26"/>
        <v>2.0175531868354577</v>
      </c>
      <c r="D861" s="39">
        <f t="shared" si="27"/>
        <v>1.261472128118263</v>
      </c>
    </row>
    <row r="862" spans="2:4" ht="15" x14ac:dyDescent="0.15">
      <c r="B862" s="38">
        <v>3400</v>
      </c>
      <c r="C862" s="39">
        <f t="shared" si="26"/>
        <v>2.0202286495512261</v>
      </c>
      <c r="D862" s="39">
        <f t="shared" si="27"/>
        <v>1.2618607516943932</v>
      </c>
    </row>
    <row r="863" spans="2:4" ht="15" x14ac:dyDescent="0.15">
      <c r="B863" s="38">
        <v>3404</v>
      </c>
      <c r="C863" s="39">
        <f t="shared" si="26"/>
        <v>2.0229049366277261</v>
      </c>
      <c r="D863" s="39">
        <f t="shared" si="27"/>
        <v>1.2622496147919877</v>
      </c>
    </row>
    <row r="864" spans="2:4" ht="15" x14ac:dyDescent="0.15">
      <c r="B864" s="38">
        <v>3408</v>
      </c>
      <c r="C864" s="39">
        <f t="shared" si="26"/>
        <v>2.0255820485731184</v>
      </c>
      <c r="D864" s="39">
        <f t="shared" si="27"/>
        <v>1.2626387176325524</v>
      </c>
    </row>
    <row r="865" spans="2:4" ht="15" x14ac:dyDescent="0.15">
      <c r="B865" s="38">
        <v>3412</v>
      </c>
      <c r="C865" s="39">
        <f t="shared" si="26"/>
        <v>2.0282599858960308</v>
      </c>
      <c r="D865" s="39">
        <f t="shared" si="27"/>
        <v>1.2630280604378661</v>
      </c>
    </row>
    <row r="866" spans="2:4" ht="15" x14ac:dyDescent="0.15">
      <c r="B866" s="38">
        <v>3416</v>
      </c>
      <c r="C866" s="39">
        <f t="shared" si="26"/>
        <v>2.0309387491055646</v>
      </c>
      <c r="D866" s="39">
        <f t="shared" si="27"/>
        <v>1.2634176434299815</v>
      </c>
    </row>
    <row r="867" spans="2:4" ht="15" x14ac:dyDescent="0.15">
      <c r="B867" s="38">
        <v>3420</v>
      </c>
      <c r="C867" s="39">
        <f t="shared" si="26"/>
        <v>2.0336183387112876</v>
      </c>
      <c r="D867" s="39">
        <f t="shared" si="27"/>
        <v>1.2638074668312249</v>
      </c>
    </row>
    <row r="868" spans="2:4" ht="15" x14ac:dyDescent="0.15">
      <c r="B868" s="38">
        <v>3424</v>
      </c>
      <c r="C868" s="39">
        <f t="shared" si="26"/>
        <v>2.0362987552232439</v>
      </c>
      <c r="D868" s="39">
        <f t="shared" si="27"/>
        <v>1.2641975308641975</v>
      </c>
    </row>
    <row r="869" spans="2:4" ht="15" x14ac:dyDescent="0.15">
      <c r="B869" s="38">
        <v>3428</v>
      </c>
      <c r="C869" s="39">
        <f t="shared" si="26"/>
        <v>2.0389799991519482</v>
      </c>
      <c r="D869" s="39">
        <f t="shared" si="27"/>
        <v>1.2645878357517752</v>
      </c>
    </row>
    <row r="870" spans="2:4" ht="15" x14ac:dyDescent="0.15">
      <c r="B870" s="38">
        <v>3432</v>
      </c>
      <c r="C870" s="39">
        <f t="shared" si="26"/>
        <v>2.041662071008389</v>
      </c>
      <c r="D870" s="39">
        <f t="shared" si="27"/>
        <v>1.2649783817171094</v>
      </c>
    </row>
    <row r="871" spans="2:4" ht="15" x14ac:dyDescent="0.15">
      <c r="B871" s="38">
        <v>3436</v>
      </c>
      <c r="C871" s="39">
        <f t="shared" si="26"/>
        <v>2.0443449713040249</v>
      </c>
      <c r="D871" s="39">
        <f t="shared" si="27"/>
        <v>1.2653691689836268</v>
      </c>
    </row>
    <row r="872" spans="2:4" ht="15" x14ac:dyDescent="0.15">
      <c r="B872" s="38">
        <v>3440</v>
      </c>
      <c r="C872" s="39">
        <f t="shared" si="26"/>
        <v>2.0470287005507921</v>
      </c>
      <c r="D872" s="39">
        <f t="shared" si="27"/>
        <v>1.2657601977750308</v>
      </c>
    </row>
    <row r="873" spans="2:4" ht="15" x14ac:dyDescent="0.15">
      <c r="B873" s="38">
        <v>3444</v>
      </c>
      <c r="C873" s="39">
        <f t="shared" si="26"/>
        <v>2.0497132592611034</v>
      </c>
      <c r="D873" s="39">
        <f t="shared" si="27"/>
        <v>1.2661514683153015</v>
      </c>
    </row>
    <row r="874" spans="2:4" ht="15" x14ac:dyDescent="0.15">
      <c r="B874" s="38">
        <v>3448</v>
      </c>
      <c r="C874" s="39">
        <f t="shared" si="26"/>
        <v>2.0523986479478409</v>
      </c>
      <c r="D874" s="39">
        <f t="shared" si="27"/>
        <v>1.2665429808286952</v>
      </c>
    </row>
    <row r="875" spans="2:4" ht="15" x14ac:dyDescent="0.15">
      <c r="B875" s="38">
        <v>3452</v>
      </c>
      <c r="C875" s="39">
        <f t="shared" si="26"/>
        <v>2.0550848671243656</v>
      </c>
      <c r="D875" s="39">
        <f t="shared" si="27"/>
        <v>1.2669347355397464</v>
      </c>
    </row>
    <row r="876" spans="2:4" ht="15" x14ac:dyDescent="0.15">
      <c r="B876" s="38">
        <v>3456</v>
      </c>
      <c r="C876" s="39">
        <f t="shared" si="26"/>
        <v>2.0577719173045157</v>
      </c>
      <c r="D876" s="39">
        <f t="shared" si="27"/>
        <v>1.2673267326732673</v>
      </c>
    </row>
    <row r="877" spans="2:4" ht="15" x14ac:dyDescent="0.15">
      <c r="B877" s="38">
        <v>3460</v>
      </c>
      <c r="C877" s="39">
        <f t="shared" si="26"/>
        <v>2.0604597990026061</v>
      </c>
      <c r="D877" s="39">
        <f t="shared" si="27"/>
        <v>1.2677189724543485</v>
      </c>
    </row>
    <row r="878" spans="2:4" ht="15" x14ac:dyDescent="0.15">
      <c r="B878" s="38">
        <v>3464</v>
      </c>
      <c r="C878" s="39">
        <f t="shared" si="26"/>
        <v>2.0631485127334295</v>
      </c>
      <c r="D878" s="39">
        <f t="shared" si="27"/>
        <v>1.2681114551083592</v>
      </c>
    </row>
    <row r="879" spans="2:4" ht="15" x14ac:dyDescent="0.15">
      <c r="B879" s="38">
        <v>3468</v>
      </c>
      <c r="C879" s="39">
        <f t="shared" si="26"/>
        <v>2.065838059012254</v>
      </c>
      <c r="D879" s="39">
        <f t="shared" si="27"/>
        <v>1.2685041808609476</v>
      </c>
    </row>
    <row r="880" spans="2:4" ht="15" x14ac:dyDescent="0.15">
      <c r="B880" s="38">
        <v>3472</v>
      </c>
      <c r="C880" s="39">
        <f t="shared" si="26"/>
        <v>2.0685284383548308</v>
      </c>
      <c r="D880" s="39">
        <f t="shared" si="27"/>
        <v>1.2688971499380421</v>
      </c>
    </row>
    <row r="881" spans="2:4" ht="15" x14ac:dyDescent="0.15">
      <c r="B881" s="38">
        <v>3476</v>
      </c>
      <c r="C881" s="39">
        <f t="shared" si="26"/>
        <v>2.0712196512773877</v>
      </c>
      <c r="D881" s="39">
        <f t="shared" si="27"/>
        <v>1.2692903625658507</v>
      </c>
    </row>
    <row r="882" spans="2:4" ht="15" x14ac:dyDescent="0.15">
      <c r="B882" s="38">
        <v>3480</v>
      </c>
      <c r="C882" s="39">
        <f t="shared" si="26"/>
        <v>2.0739116982966319</v>
      </c>
      <c r="D882" s="39">
        <f t="shared" si="27"/>
        <v>1.2696838189708617</v>
      </c>
    </row>
    <row r="883" spans="2:4" ht="15" x14ac:dyDescent="0.15">
      <c r="B883" s="38">
        <v>3484</v>
      </c>
      <c r="C883" s="39">
        <f t="shared" si="26"/>
        <v>2.0766045799297559</v>
      </c>
      <c r="D883" s="39">
        <f t="shared" si="27"/>
        <v>1.270077519379845</v>
      </c>
    </row>
    <row r="884" spans="2:4" ht="15" x14ac:dyDescent="0.15">
      <c r="B884" s="38">
        <v>3488</v>
      </c>
      <c r="C884" s="39">
        <f t="shared" si="26"/>
        <v>2.079298296694426</v>
      </c>
      <c r="D884" s="39">
        <f t="shared" si="27"/>
        <v>1.2704714640198511</v>
      </c>
    </row>
    <row r="885" spans="2:4" ht="15" x14ac:dyDescent="0.15">
      <c r="B885" s="38">
        <v>3492</v>
      </c>
      <c r="C885" s="39">
        <f t="shared" si="26"/>
        <v>2.0819928491087962</v>
      </c>
      <c r="D885" s="39">
        <f t="shared" si="27"/>
        <v>1.2708656531182128</v>
      </c>
    </row>
    <row r="886" spans="2:4" ht="15" x14ac:dyDescent="0.15">
      <c r="B886" s="38">
        <v>3496</v>
      </c>
      <c r="C886" s="39">
        <f t="shared" si="26"/>
        <v>2.0846882376915019</v>
      </c>
      <c r="D886" s="39">
        <f t="shared" si="27"/>
        <v>1.271260086902545</v>
      </c>
    </row>
    <row r="887" spans="2:4" ht="15" x14ac:dyDescent="0.15">
      <c r="B887" s="38">
        <v>3500</v>
      </c>
      <c r="C887" s="39">
        <f t="shared" si="26"/>
        <v>2.0873844629616589</v>
      </c>
      <c r="D887" s="39">
        <f t="shared" si="27"/>
        <v>1.2716547656007451</v>
      </c>
    </row>
    <row r="888" spans="2:4" ht="15" x14ac:dyDescent="0.15">
      <c r="B888" s="38">
        <v>3504</v>
      </c>
      <c r="C888" s="39">
        <f t="shared" si="26"/>
        <v>2.0900815254388689</v>
      </c>
      <c r="D888" s="39">
        <f t="shared" si="27"/>
        <v>1.2720496894409938</v>
      </c>
    </row>
    <row r="889" spans="2:4" ht="15" x14ac:dyDescent="0.15">
      <c r="B889" s="38">
        <v>3508</v>
      </c>
      <c r="C889" s="39">
        <f t="shared" si="26"/>
        <v>2.092779425643216</v>
      </c>
      <c r="D889" s="39">
        <f t="shared" si="27"/>
        <v>1.2724448586517552</v>
      </c>
    </row>
    <row r="890" spans="2:4" ht="15" x14ac:dyDescent="0.15">
      <c r="B890" s="38">
        <v>3512</v>
      </c>
      <c r="C890" s="39">
        <f t="shared" si="26"/>
        <v>2.0954781640952715</v>
      </c>
      <c r="D890" s="39">
        <f t="shared" si="27"/>
        <v>1.2728402734617774</v>
      </c>
    </row>
    <row r="891" spans="2:4" ht="15" x14ac:dyDescent="0.15">
      <c r="B891" s="38">
        <v>3516</v>
      </c>
      <c r="C891" s="39">
        <f t="shared" si="26"/>
        <v>2.09817774131609</v>
      </c>
      <c r="D891" s="39">
        <f t="shared" si="27"/>
        <v>1.2732359341000932</v>
      </c>
    </row>
    <row r="892" spans="2:4" ht="15" x14ac:dyDescent="0.15">
      <c r="B892" s="38">
        <v>3520</v>
      </c>
      <c r="C892" s="39">
        <f t="shared" si="26"/>
        <v>2.1008781578272138</v>
      </c>
      <c r="D892" s="39">
        <f t="shared" si="27"/>
        <v>1.2736318407960199</v>
      </c>
    </row>
    <row r="893" spans="2:4" ht="15" x14ac:dyDescent="0.15">
      <c r="B893" s="38">
        <v>3524</v>
      </c>
      <c r="C893" s="39">
        <f t="shared" si="26"/>
        <v>2.1035794141506687</v>
      </c>
      <c r="D893" s="39">
        <f t="shared" si="27"/>
        <v>1.2740279937791601</v>
      </c>
    </row>
    <row r="894" spans="2:4" ht="15" x14ac:dyDescent="0.15">
      <c r="B894" s="38">
        <v>3528</v>
      </c>
      <c r="C894" s="39">
        <f t="shared" si="26"/>
        <v>2.1062815108089721</v>
      </c>
      <c r="D894" s="39">
        <f t="shared" si="27"/>
        <v>1.2744243932794026</v>
      </c>
    </row>
    <row r="895" spans="2:4" ht="15" x14ac:dyDescent="0.15">
      <c r="B895" s="38">
        <v>3532</v>
      </c>
      <c r="C895" s="39">
        <f t="shared" si="26"/>
        <v>2.1089844483251259</v>
      </c>
      <c r="D895" s="39">
        <f t="shared" si="27"/>
        <v>1.2748210395269219</v>
      </c>
    </row>
    <row r="896" spans="2:4" ht="15" x14ac:dyDescent="0.15">
      <c r="B896" s="38">
        <v>3536</v>
      </c>
      <c r="C896" s="39">
        <f t="shared" si="26"/>
        <v>2.1116882272226203</v>
      </c>
      <c r="D896" s="39">
        <f t="shared" si="27"/>
        <v>1.2752179327521793</v>
      </c>
    </row>
    <row r="897" spans="2:4" ht="15" x14ac:dyDescent="0.15">
      <c r="B897" s="38">
        <v>3540</v>
      </c>
      <c r="C897" s="39">
        <f t="shared" si="26"/>
        <v>2.1143928480254375</v>
      </c>
      <c r="D897" s="39">
        <f t="shared" si="27"/>
        <v>1.2756150731859235</v>
      </c>
    </row>
    <row r="898" spans="2:4" ht="15" x14ac:dyDescent="0.15">
      <c r="B898" s="38">
        <v>3544</v>
      </c>
      <c r="C898" s="39">
        <f t="shared" si="26"/>
        <v>2.1170983112580459</v>
      </c>
      <c r="D898" s="39">
        <f t="shared" si="27"/>
        <v>1.2760124610591901</v>
      </c>
    </row>
    <row r="899" spans="2:4" ht="15" x14ac:dyDescent="0.15">
      <c r="B899" s="38">
        <v>3548</v>
      </c>
      <c r="C899" s="39">
        <f t="shared" si="26"/>
        <v>2.1198046174454053</v>
      </c>
      <c r="D899" s="39">
        <f t="shared" si="27"/>
        <v>1.2764100966033032</v>
      </c>
    </row>
    <row r="900" spans="2:4" ht="15" x14ac:dyDescent="0.15">
      <c r="B900" s="38">
        <v>3552</v>
      </c>
      <c r="C900" s="39">
        <f t="shared" si="26"/>
        <v>2.1225117671129685</v>
      </c>
      <c r="D900" s="39">
        <f t="shared" si="27"/>
        <v>1.2768079800498753</v>
      </c>
    </row>
    <row r="901" spans="2:4" ht="15" x14ac:dyDescent="0.15">
      <c r="B901" s="38">
        <v>3556</v>
      </c>
      <c r="C901" s="39">
        <f t="shared" si="26"/>
        <v>2.1252197607866776</v>
      </c>
      <c r="D901" s="39">
        <f t="shared" si="27"/>
        <v>1.2772061116308076</v>
      </c>
    </row>
    <row r="902" spans="2:4" ht="15" x14ac:dyDescent="0.15">
      <c r="B902" s="38">
        <v>3560</v>
      </c>
      <c r="C902" s="39">
        <f t="shared" si="26"/>
        <v>2.1279285989929662</v>
      </c>
      <c r="D902" s="39">
        <f t="shared" si="27"/>
        <v>1.2776044915782907</v>
      </c>
    </row>
    <row r="903" spans="2:4" ht="15" x14ac:dyDescent="0.15">
      <c r="B903" s="38">
        <v>3564</v>
      </c>
      <c r="C903" s="39">
        <f t="shared" si="26"/>
        <v>2.1306382822587624</v>
      </c>
      <c r="D903" s="39">
        <f t="shared" si="27"/>
        <v>1.278003120124805</v>
      </c>
    </row>
    <row r="904" spans="2:4" ht="15" x14ac:dyDescent="0.15">
      <c r="B904" s="38">
        <v>3568</v>
      </c>
      <c r="C904" s="39">
        <f t="shared" si="26"/>
        <v>2.1333488111114858</v>
      </c>
      <c r="D904" s="39">
        <f t="shared" si="27"/>
        <v>1.2784019975031211</v>
      </c>
    </row>
    <row r="905" spans="2:4" ht="15" x14ac:dyDescent="0.15">
      <c r="B905" s="38">
        <v>3572</v>
      </c>
      <c r="C905" s="39">
        <f t="shared" si="26"/>
        <v>2.1360601860790522</v>
      </c>
      <c r="D905" s="39">
        <f t="shared" si="27"/>
        <v>1.2788011239463004</v>
      </c>
    </row>
    <row r="906" spans="2:4" ht="15" x14ac:dyDescent="0.15">
      <c r="B906" s="38">
        <v>3576</v>
      </c>
      <c r="C906" s="39">
        <f t="shared" si="26"/>
        <v>2.138772407689868</v>
      </c>
      <c r="D906" s="39">
        <f t="shared" si="27"/>
        <v>1.2792004996876951</v>
      </c>
    </row>
    <row r="907" spans="2:4" ht="15" x14ac:dyDescent="0.15">
      <c r="B907" s="38">
        <v>3580</v>
      </c>
      <c r="C907" s="39">
        <f t="shared" si="26"/>
        <v>2.1414854764728402</v>
      </c>
      <c r="D907" s="39">
        <f t="shared" si="27"/>
        <v>1.2796001249609497</v>
      </c>
    </row>
    <row r="908" spans="2:4" ht="15" x14ac:dyDescent="0.15">
      <c r="B908" s="38">
        <v>3584</v>
      </c>
      <c r="C908" s="39">
        <f t="shared" si="26"/>
        <v>2.1441993929573675</v>
      </c>
      <c r="D908" s="39">
        <f t="shared" si="27"/>
        <v>1.28</v>
      </c>
    </row>
    <row r="909" spans="2:4" ht="15" x14ac:dyDescent="0.15">
      <c r="B909" s="38">
        <v>3588</v>
      </c>
      <c r="C909" s="39">
        <f t="shared" ref="C909:C972" si="28">20*LOG(D909)</f>
        <v>2.1469141576733453</v>
      </c>
      <c r="D909" s="39">
        <f t="shared" ref="D909:D972" si="29">16384/(16384-B909)</f>
        <v>1.2804001250390746</v>
      </c>
    </row>
    <row r="910" spans="2:4" ht="15" x14ac:dyDescent="0.15">
      <c r="B910" s="38">
        <v>3592</v>
      </c>
      <c r="C910" s="39">
        <f t="shared" si="28"/>
        <v>2.1496297711511687</v>
      </c>
      <c r="D910" s="39">
        <f t="shared" si="29"/>
        <v>1.2808005003126954</v>
      </c>
    </row>
    <row r="911" spans="2:4" ht="15" x14ac:dyDescent="0.15">
      <c r="B911" s="38">
        <v>3596</v>
      </c>
      <c r="C911" s="39">
        <f t="shared" si="28"/>
        <v>2.1523462339217279</v>
      </c>
      <c r="D911" s="39">
        <f t="shared" si="29"/>
        <v>1.2812011260556773</v>
      </c>
    </row>
    <row r="912" spans="2:4" ht="15" x14ac:dyDescent="0.15">
      <c r="B912" s="38">
        <v>3600</v>
      </c>
      <c r="C912" s="39">
        <f t="shared" si="28"/>
        <v>2.1550635465164114</v>
      </c>
      <c r="D912" s="39">
        <f t="shared" si="29"/>
        <v>1.2816020025031289</v>
      </c>
    </row>
    <row r="913" spans="2:4" ht="15" x14ac:dyDescent="0.15">
      <c r="B913" s="38">
        <v>3604</v>
      </c>
      <c r="C913" s="39">
        <f t="shared" si="28"/>
        <v>2.1577817094671068</v>
      </c>
      <c r="D913" s="39">
        <f t="shared" si="29"/>
        <v>1.2820031298904537</v>
      </c>
    </row>
    <row r="914" spans="2:4" ht="15" x14ac:dyDescent="0.15">
      <c r="B914" s="38">
        <v>3608</v>
      </c>
      <c r="C914" s="39">
        <f t="shared" si="28"/>
        <v>2.1605007233062037</v>
      </c>
      <c r="D914" s="39">
        <f t="shared" si="29"/>
        <v>1.28240450845335</v>
      </c>
    </row>
    <row r="915" spans="2:4" ht="15" x14ac:dyDescent="0.15">
      <c r="B915" s="38">
        <v>3612</v>
      </c>
      <c r="C915" s="39">
        <f t="shared" si="28"/>
        <v>2.1632205885665896</v>
      </c>
      <c r="D915" s="39">
        <f t="shared" si="29"/>
        <v>1.2828061384278109</v>
      </c>
    </row>
    <row r="916" spans="2:4" ht="15" x14ac:dyDescent="0.15">
      <c r="B916" s="38">
        <v>3616</v>
      </c>
      <c r="C916" s="39">
        <f t="shared" si="28"/>
        <v>2.1659413057816499</v>
      </c>
      <c r="D916" s="39">
        <f t="shared" si="29"/>
        <v>1.2832080200501252</v>
      </c>
    </row>
    <row r="917" spans="2:4" ht="15" x14ac:dyDescent="0.15">
      <c r="B917" s="38">
        <v>3620</v>
      </c>
      <c r="C917" s="39">
        <f t="shared" si="28"/>
        <v>2.1686628754852779</v>
      </c>
      <c r="D917" s="39">
        <f t="shared" si="29"/>
        <v>1.2836101535568787</v>
      </c>
    </row>
    <row r="918" spans="2:4" ht="15" x14ac:dyDescent="0.15">
      <c r="B918" s="38">
        <v>3624</v>
      </c>
      <c r="C918" s="39">
        <f t="shared" si="28"/>
        <v>2.1713852982118649</v>
      </c>
      <c r="D918" s="39">
        <f t="shared" si="29"/>
        <v>1.2840125391849531</v>
      </c>
    </row>
    <row r="919" spans="2:4" ht="15" x14ac:dyDescent="0.15">
      <c r="B919" s="38">
        <v>3628</v>
      </c>
      <c r="C919" s="39">
        <f t="shared" si="28"/>
        <v>2.1741085744963025</v>
      </c>
      <c r="D919" s="39">
        <f t="shared" si="29"/>
        <v>1.2844151771715271</v>
      </c>
    </row>
    <row r="920" spans="2:4" ht="15" x14ac:dyDescent="0.15">
      <c r="B920" s="38">
        <v>3632</v>
      </c>
      <c r="C920" s="39">
        <f t="shared" si="28"/>
        <v>2.1768327048739913</v>
      </c>
      <c r="D920" s="39">
        <f t="shared" si="29"/>
        <v>1.2848180677540777</v>
      </c>
    </row>
    <row r="921" spans="2:4" ht="15" x14ac:dyDescent="0.15">
      <c r="B921" s="38">
        <v>3636</v>
      </c>
      <c r="C921" s="39">
        <f t="shared" si="28"/>
        <v>2.1795576898808329</v>
      </c>
      <c r="D921" s="39">
        <f t="shared" si="29"/>
        <v>1.2852212111703796</v>
      </c>
    </row>
    <row r="922" spans="2:4" ht="15" x14ac:dyDescent="0.15">
      <c r="B922" s="38">
        <v>3640</v>
      </c>
      <c r="C922" s="39">
        <f t="shared" si="28"/>
        <v>2.1822835300532337</v>
      </c>
      <c r="D922" s="39">
        <f t="shared" si="29"/>
        <v>1.2856246076585061</v>
      </c>
    </row>
    <row r="923" spans="2:4" ht="15" x14ac:dyDescent="0.15">
      <c r="B923" s="38">
        <v>3644</v>
      </c>
      <c r="C923" s="39">
        <f t="shared" si="28"/>
        <v>2.1850102259281021</v>
      </c>
      <c r="D923" s="39">
        <f t="shared" si="29"/>
        <v>1.2860282574568289</v>
      </c>
    </row>
    <row r="924" spans="2:4" ht="15" x14ac:dyDescent="0.15">
      <c r="B924" s="38">
        <v>3648</v>
      </c>
      <c r="C924" s="39">
        <f t="shared" si="28"/>
        <v>2.1877377780428584</v>
      </c>
      <c r="D924" s="39">
        <f t="shared" si="29"/>
        <v>1.2864321608040201</v>
      </c>
    </row>
    <row r="925" spans="2:4" ht="15" x14ac:dyDescent="0.15">
      <c r="B925" s="38">
        <v>3652</v>
      </c>
      <c r="C925" s="39">
        <f t="shared" si="28"/>
        <v>2.1904661869354243</v>
      </c>
      <c r="D925" s="39">
        <f t="shared" si="29"/>
        <v>1.2868363179390512</v>
      </c>
    </row>
    <row r="926" spans="2:4" ht="15" x14ac:dyDescent="0.15">
      <c r="B926" s="38">
        <v>3656</v>
      </c>
      <c r="C926" s="39">
        <f t="shared" si="28"/>
        <v>2.1931954531442326</v>
      </c>
      <c r="D926" s="39">
        <f t="shared" si="29"/>
        <v>1.2872407291011942</v>
      </c>
    </row>
    <row r="927" spans="2:4" ht="15" x14ac:dyDescent="0.15">
      <c r="B927" s="38">
        <v>3660</v>
      </c>
      <c r="C927" s="39">
        <f t="shared" si="28"/>
        <v>2.1959255772082193</v>
      </c>
      <c r="D927" s="39">
        <f t="shared" si="29"/>
        <v>1.2876453945300219</v>
      </c>
    </row>
    <row r="928" spans="2:4" ht="15" x14ac:dyDescent="0.15">
      <c r="B928" s="38">
        <v>3664</v>
      </c>
      <c r="C928" s="39">
        <f t="shared" si="28"/>
        <v>2.1986565596668326</v>
      </c>
      <c r="D928" s="39">
        <f t="shared" si="29"/>
        <v>1.2880503144654087</v>
      </c>
    </row>
    <row r="929" spans="2:4" ht="15" x14ac:dyDescent="0.15">
      <c r="B929" s="38">
        <v>3668</v>
      </c>
      <c r="C929" s="39">
        <f t="shared" si="28"/>
        <v>2.2013884010600284</v>
      </c>
      <c r="D929" s="39">
        <f t="shared" si="29"/>
        <v>1.2884554891475306</v>
      </c>
    </row>
    <row r="930" spans="2:4" ht="15" x14ac:dyDescent="0.15">
      <c r="B930" s="38">
        <v>3672</v>
      </c>
      <c r="C930" s="39">
        <f t="shared" si="28"/>
        <v>2.2041211019282727</v>
      </c>
      <c r="D930" s="39">
        <f t="shared" si="29"/>
        <v>1.288860918816866</v>
      </c>
    </row>
    <row r="931" spans="2:4" ht="15" x14ac:dyDescent="0.15">
      <c r="B931" s="38">
        <v>3676</v>
      </c>
      <c r="C931" s="39">
        <f t="shared" si="28"/>
        <v>2.2068546628125381</v>
      </c>
      <c r="D931" s="39">
        <f t="shared" si="29"/>
        <v>1.2892666037141958</v>
      </c>
    </row>
    <row r="932" spans="2:4" ht="15" x14ac:dyDescent="0.15">
      <c r="B932" s="38">
        <v>3680</v>
      </c>
      <c r="C932" s="39">
        <f t="shared" si="28"/>
        <v>2.2095890842543136</v>
      </c>
      <c r="D932" s="39">
        <f t="shared" si="29"/>
        <v>1.2896725440806045</v>
      </c>
    </row>
    <row r="933" spans="2:4" ht="15" x14ac:dyDescent="0.15">
      <c r="B933" s="38">
        <v>3684</v>
      </c>
      <c r="C933" s="39">
        <f t="shared" si="28"/>
        <v>2.2123243667955967</v>
      </c>
      <c r="D933" s="39">
        <f t="shared" si="29"/>
        <v>1.2900787401574803</v>
      </c>
    </row>
    <row r="934" spans="2:4" ht="15" x14ac:dyDescent="0.15">
      <c r="B934" s="38">
        <v>3688</v>
      </c>
      <c r="C934" s="39">
        <f t="shared" si="28"/>
        <v>2.2150605109788994</v>
      </c>
      <c r="D934" s="39">
        <f t="shared" si="29"/>
        <v>1.2904851921865155</v>
      </c>
    </row>
    <row r="935" spans="2:4" ht="15" x14ac:dyDescent="0.15">
      <c r="B935" s="38">
        <v>3692</v>
      </c>
      <c r="C935" s="39">
        <f t="shared" si="28"/>
        <v>2.2177975173472415</v>
      </c>
      <c r="D935" s="39">
        <f t="shared" si="29"/>
        <v>1.2908919004097068</v>
      </c>
    </row>
    <row r="936" spans="2:4" ht="15" x14ac:dyDescent="0.15">
      <c r="B936" s="38">
        <v>3696</v>
      </c>
      <c r="C936" s="39">
        <f t="shared" si="28"/>
        <v>2.2205353864441628</v>
      </c>
      <c r="D936" s="39">
        <f t="shared" si="29"/>
        <v>1.2912988650693569</v>
      </c>
    </row>
    <row r="937" spans="2:4" ht="15" x14ac:dyDescent="0.15">
      <c r="B937" s="38">
        <v>3700</v>
      </c>
      <c r="C937" s="39">
        <f t="shared" si="28"/>
        <v>2.2232741188137126</v>
      </c>
      <c r="D937" s="39">
        <f t="shared" si="29"/>
        <v>1.2917060864080732</v>
      </c>
    </row>
    <row r="938" spans="2:4" ht="15" x14ac:dyDescent="0.15">
      <c r="B938" s="38">
        <v>3704</v>
      </c>
      <c r="C938" s="39">
        <f t="shared" si="28"/>
        <v>2.2260137150004575</v>
      </c>
      <c r="D938" s="39">
        <f t="shared" si="29"/>
        <v>1.2921135646687698</v>
      </c>
    </row>
    <row r="939" spans="2:4" ht="15" x14ac:dyDescent="0.15">
      <c r="B939" s="38">
        <v>3708</v>
      </c>
      <c r="C939" s="39">
        <f t="shared" si="28"/>
        <v>2.2287541755494771</v>
      </c>
      <c r="D939" s="39">
        <f t="shared" si="29"/>
        <v>1.2925213000946671</v>
      </c>
    </row>
    <row r="940" spans="2:4" ht="15" x14ac:dyDescent="0.15">
      <c r="B940" s="38">
        <v>3712</v>
      </c>
      <c r="C940" s="39">
        <f t="shared" si="28"/>
        <v>2.2314955010063695</v>
      </c>
      <c r="D940" s="39">
        <f t="shared" si="29"/>
        <v>1.292929292929293</v>
      </c>
    </row>
    <row r="941" spans="2:4" ht="15" x14ac:dyDescent="0.15">
      <c r="B941" s="38">
        <v>3716</v>
      </c>
      <c r="C941" s="39">
        <f t="shared" si="28"/>
        <v>2.2342376919172477</v>
      </c>
      <c r="D941" s="39">
        <f t="shared" si="29"/>
        <v>1.2933375434164824</v>
      </c>
    </row>
    <row r="942" spans="2:4" ht="15" x14ac:dyDescent="0.15">
      <c r="B942" s="38">
        <v>3720</v>
      </c>
      <c r="C942" s="39">
        <f t="shared" si="28"/>
        <v>2.2369807488287439</v>
      </c>
      <c r="D942" s="39">
        <f t="shared" si="29"/>
        <v>1.2937460518003789</v>
      </c>
    </row>
    <row r="943" spans="2:4" ht="15" x14ac:dyDescent="0.15">
      <c r="B943" s="38">
        <v>3724</v>
      </c>
      <c r="C943" s="39">
        <f t="shared" si="28"/>
        <v>2.2397246722880078</v>
      </c>
      <c r="D943" s="39">
        <f t="shared" si="29"/>
        <v>1.2941548183254343</v>
      </c>
    </row>
    <row r="944" spans="2:4" ht="15" x14ac:dyDescent="0.15">
      <c r="B944" s="38">
        <v>3728</v>
      </c>
      <c r="C944" s="39">
        <f t="shared" si="28"/>
        <v>2.2424694628427084</v>
      </c>
      <c r="D944" s="39">
        <f t="shared" si="29"/>
        <v>1.2945638432364097</v>
      </c>
    </row>
    <row r="945" spans="2:4" ht="15" x14ac:dyDescent="0.15">
      <c r="B945" s="38">
        <v>3732</v>
      </c>
      <c r="C945" s="39">
        <f t="shared" si="28"/>
        <v>2.2452151210410305</v>
      </c>
      <c r="D945" s="39">
        <f t="shared" si="29"/>
        <v>1.2949731267783751</v>
      </c>
    </row>
    <row r="946" spans="2:4" ht="15" x14ac:dyDescent="0.15">
      <c r="B946" s="38">
        <v>3736</v>
      </c>
      <c r="C946" s="39">
        <f t="shared" si="28"/>
        <v>2.2479616474316821</v>
      </c>
      <c r="D946" s="39">
        <f t="shared" si="29"/>
        <v>1.295382669196711</v>
      </c>
    </row>
    <row r="947" spans="2:4" ht="15" x14ac:dyDescent="0.15">
      <c r="B947" s="38">
        <v>3740</v>
      </c>
      <c r="C947" s="39">
        <f t="shared" si="28"/>
        <v>2.250709042563892</v>
      </c>
      <c r="D947" s="39">
        <f t="shared" si="29"/>
        <v>1.2957924707371085</v>
      </c>
    </row>
    <row r="948" spans="2:4" ht="15" x14ac:dyDescent="0.15">
      <c r="B948" s="38">
        <v>3744</v>
      </c>
      <c r="C948" s="39">
        <f t="shared" si="28"/>
        <v>2.2534573069874106</v>
      </c>
      <c r="D948" s="39">
        <f t="shared" si="29"/>
        <v>1.2962025316455696</v>
      </c>
    </row>
    <row r="949" spans="2:4" ht="15" x14ac:dyDescent="0.15">
      <c r="B949" s="38">
        <v>3748</v>
      </c>
      <c r="C949" s="39">
        <f t="shared" si="28"/>
        <v>2.2562064412525076</v>
      </c>
      <c r="D949" s="39">
        <f t="shared" si="29"/>
        <v>1.2966128521684077</v>
      </c>
    </row>
    <row r="950" spans="2:4" ht="15" x14ac:dyDescent="0.15">
      <c r="B950" s="38">
        <v>3752</v>
      </c>
      <c r="C950" s="39">
        <f t="shared" si="28"/>
        <v>2.2589564459099782</v>
      </c>
      <c r="D950" s="39">
        <f t="shared" si="29"/>
        <v>1.2970234325522483</v>
      </c>
    </row>
    <row r="951" spans="2:4" ht="15" x14ac:dyDescent="0.15">
      <c r="B951" s="38">
        <v>3756</v>
      </c>
      <c r="C951" s="39">
        <f t="shared" si="28"/>
        <v>2.2617073215111394</v>
      </c>
      <c r="D951" s="39">
        <f t="shared" si="29"/>
        <v>1.2974342730440291</v>
      </c>
    </row>
    <row r="952" spans="2:4" ht="15" x14ac:dyDescent="0.15">
      <c r="B952" s="38">
        <v>3760</v>
      </c>
      <c r="C952" s="39">
        <f t="shared" si="28"/>
        <v>2.2644590686078323</v>
      </c>
      <c r="D952" s="39">
        <f t="shared" si="29"/>
        <v>1.2978453738910012</v>
      </c>
    </row>
    <row r="953" spans="2:4" ht="15" x14ac:dyDescent="0.15">
      <c r="B953" s="38">
        <v>3764</v>
      </c>
      <c r="C953" s="39">
        <f t="shared" si="28"/>
        <v>2.2672116877524249</v>
      </c>
      <c r="D953" s="39">
        <f t="shared" si="29"/>
        <v>1.2982567353407291</v>
      </c>
    </row>
    <row r="954" spans="2:4" ht="15" x14ac:dyDescent="0.15">
      <c r="B954" s="38">
        <v>3768</v>
      </c>
      <c r="C954" s="39">
        <f t="shared" si="28"/>
        <v>2.2699651794978055</v>
      </c>
      <c r="D954" s="39">
        <f t="shared" si="29"/>
        <v>1.2986683576410907</v>
      </c>
    </row>
    <row r="955" spans="2:4" ht="15" x14ac:dyDescent="0.15">
      <c r="B955" s="38">
        <v>3772</v>
      </c>
      <c r="C955" s="39">
        <f t="shared" si="28"/>
        <v>2.2727195443973933</v>
      </c>
      <c r="D955" s="39">
        <f t="shared" si="29"/>
        <v>1.2990802410402791</v>
      </c>
    </row>
    <row r="956" spans="2:4" ht="15" x14ac:dyDescent="0.15">
      <c r="B956" s="38">
        <v>3776</v>
      </c>
      <c r="C956" s="39">
        <f t="shared" si="28"/>
        <v>2.2754747830051318</v>
      </c>
      <c r="D956" s="39">
        <f t="shared" si="29"/>
        <v>1.2994923857868019</v>
      </c>
    </row>
    <row r="957" spans="2:4" ht="15" x14ac:dyDescent="0.15">
      <c r="B957" s="38">
        <v>3780</v>
      </c>
      <c r="C957" s="39">
        <f t="shared" si="28"/>
        <v>2.2782308958754935</v>
      </c>
      <c r="D957" s="39">
        <f t="shared" si="29"/>
        <v>1.2999047921294826</v>
      </c>
    </row>
    <row r="958" spans="2:4" ht="15" x14ac:dyDescent="0.15">
      <c r="B958" s="38">
        <v>3784</v>
      </c>
      <c r="C958" s="39">
        <f t="shared" si="28"/>
        <v>2.2809878835634767</v>
      </c>
      <c r="D958" s="39">
        <f t="shared" si="29"/>
        <v>1.3003174603174603</v>
      </c>
    </row>
    <row r="959" spans="2:4" ht="15" x14ac:dyDescent="0.15">
      <c r="B959" s="38">
        <v>3788</v>
      </c>
      <c r="C959" s="39">
        <f t="shared" si="28"/>
        <v>2.2837457466246089</v>
      </c>
      <c r="D959" s="39">
        <f t="shared" si="29"/>
        <v>1.3007303906001906</v>
      </c>
    </row>
    <row r="960" spans="2:4" ht="15" x14ac:dyDescent="0.15">
      <c r="B960" s="38">
        <v>3792</v>
      </c>
      <c r="C960" s="39">
        <f t="shared" si="28"/>
        <v>2.2865044856149481</v>
      </c>
      <c r="D960" s="39">
        <f t="shared" si="29"/>
        <v>1.3011435832274461</v>
      </c>
    </row>
    <row r="961" spans="2:4" ht="15" x14ac:dyDescent="0.15">
      <c r="B961" s="38">
        <v>3796</v>
      </c>
      <c r="C961" s="39">
        <f t="shared" si="28"/>
        <v>2.2892641010910815</v>
      </c>
      <c r="D961" s="39">
        <f t="shared" si="29"/>
        <v>1.3015570384493169</v>
      </c>
    </row>
    <row r="962" spans="2:4" ht="15" x14ac:dyDescent="0.15">
      <c r="B962" s="38">
        <v>3800</v>
      </c>
      <c r="C962" s="39">
        <f t="shared" si="28"/>
        <v>2.292024593610126</v>
      </c>
      <c r="D962" s="39">
        <f t="shared" si="29"/>
        <v>1.3019707565162111</v>
      </c>
    </row>
    <row r="963" spans="2:4" ht="15" x14ac:dyDescent="0.15">
      <c r="B963" s="38">
        <v>3804</v>
      </c>
      <c r="C963" s="39">
        <f t="shared" si="28"/>
        <v>2.2947859637297321</v>
      </c>
      <c r="D963" s="39">
        <f t="shared" si="29"/>
        <v>1.3023847376788553</v>
      </c>
    </row>
    <row r="964" spans="2:4" ht="15" x14ac:dyDescent="0.15">
      <c r="B964" s="38">
        <v>3808</v>
      </c>
      <c r="C964" s="39">
        <f t="shared" si="28"/>
        <v>2.2975482120080817</v>
      </c>
      <c r="D964" s="39">
        <f t="shared" si="29"/>
        <v>1.3027989821882953</v>
      </c>
    </row>
    <row r="965" spans="2:4" ht="15" x14ac:dyDescent="0.15">
      <c r="B965" s="38">
        <v>3812</v>
      </c>
      <c r="C965" s="39">
        <f t="shared" si="28"/>
        <v>2.3003113390038865</v>
      </c>
      <c r="D965" s="39">
        <f t="shared" si="29"/>
        <v>1.3032134902958956</v>
      </c>
    </row>
    <row r="966" spans="2:4" ht="15" x14ac:dyDescent="0.15">
      <c r="B966" s="38">
        <v>3816</v>
      </c>
      <c r="C966" s="39">
        <f t="shared" si="28"/>
        <v>2.3030753452763957</v>
      </c>
      <c r="D966" s="39">
        <f t="shared" si="29"/>
        <v>1.3036282622533417</v>
      </c>
    </row>
    <row r="967" spans="2:4" ht="15" x14ac:dyDescent="0.15">
      <c r="B967" s="38">
        <v>3820</v>
      </c>
      <c r="C967" s="39">
        <f t="shared" si="28"/>
        <v>2.3058402313853916</v>
      </c>
      <c r="D967" s="39">
        <f t="shared" si="29"/>
        <v>1.3040432983126393</v>
      </c>
    </row>
    <row r="968" spans="2:4" ht="15" x14ac:dyDescent="0.15">
      <c r="B968" s="38">
        <v>3824</v>
      </c>
      <c r="C968" s="39">
        <f t="shared" si="28"/>
        <v>2.3086059978911875</v>
      </c>
      <c r="D968" s="39">
        <f t="shared" si="29"/>
        <v>1.3044585987261146</v>
      </c>
    </row>
    <row r="969" spans="2:4" ht="15" x14ac:dyDescent="0.15">
      <c r="B969" s="38">
        <v>3828</v>
      </c>
      <c r="C969" s="39">
        <f t="shared" si="28"/>
        <v>2.3113726453546386</v>
      </c>
      <c r="D969" s="39">
        <f t="shared" si="29"/>
        <v>1.3048741637464161</v>
      </c>
    </row>
    <row r="970" spans="2:4" ht="15" x14ac:dyDescent="0.15">
      <c r="B970" s="38">
        <v>3832</v>
      </c>
      <c r="C970" s="39">
        <f t="shared" si="28"/>
        <v>2.3141401743371288</v>
      </c>
      <c r="D970" s="39">
        <f t="shared" si="29"/>
        <v>1.3052899936265137</v>
      </c>
    </row>
    <row r="971" spans="2:4" ht="15" x14ac:dyDescent="0.15">
      <c r="B971" s="38">
        <v>3836</v>
      </c>
      <c r="C971" s="39">
        <f t="shared" si="28"/>
        <v>2.3169085854005855</v>
      </c>
      <c r="D971" s="39">
        <f t="shared" si="29"/>
        <v>1.3057060886197003</v>
      </c>
    </row>
    <row r="972" spans="2:4" ht="15" x14ac:dyDescent="0.15">
      <c r="B972" s="38">
        <v>3840</v>
      </c>
      <c r="C972" s="39">
        <f t="shared" si="28"/>
        <v>2.3196778791074695</v>
      </c>
      <c r="D972" s="39">
        <f t="shared" si="29"/>
        <v>1.3061224489795917</v>
      </c>
    </row>
    <row r="973" spans="2:4" ht="15" x14ac:dyDescent="0.15">
      <c r="B973" s="38">
        <v>3844</v>
      </c>
      <c r="C973" s="39">
        <f t="shared" ref="C973:C1004" si="30">20*LOG(D973)</f>
        <v>2.3224480560207814</v>
      </c>
      <c r="D973" s="39">
        <f t="shared" ref="D973:D1004" si="31">16384/(16384-B973)</f>
        <v>1.3065390749601276</v>
      </c>
    </row>
    <row r="974" spans="2:4" ht="15" x14ac:dyDescent="0.15">
      <c r="B974" s="38">
        <v>3848</v>
      </c>
      <c r="C974" s="39">
        <f t="shared" si="30"/>
        <v>2.3252191167040608</v>
      </c>
      <c r="D974" s="39">
        <f t="shared" si="31"/>
        <v>1.3069559668155712</v>
      </c>
    </row>
    <row r="975" spans="2:4" ht="15" x14ac:dyDescent="0.15">
      <c r="B975" s="38">
        <v>3852</v>
      </c>
      <c r="C975" s="39">
        <f t="shared" si="30"/>
        <v>2.3279910617213839</v>
      </c>
      <c r="D975" s="39">
        <f t="shared" si="31"/>
        <v>1.3073731248005107</v>
      </c>
    </row>
    <row r="976" spans="2:4" ht="15" x14ac:dyDescent="0.15">
      <c r="B976" s="38">
        <v>3856</v>
      </c>
      <c r="C976" s="39">
        <f t="shared" si="30"/>
        <v>2.3307638916373716</v>
      </c>
      <c r="D976" s="39">
        <f t="shared" si="31"/>
        <v>1.3077905491698596</v>
      </c>
    </row>
    <row r="977" spans="2:4" ht="15" x14ac:dyDescent="0.15">
      <c r="B977" s="38">
        <v>3860</v>
      </c>
      <c r="C977" s="39">
        <f t="shared" si="30"/>
        <v>2.333537607017182</v>
      </c>
      <c r="D977" s="39">
        <f t="shared" si="31"/>
        <v>1.3082082401788566</v>
      </c>
    </row>
    <row r="978" spans="2:4" ht="15" x14ac:dyDescent="0.15">
      <c r="B978" s="38">
        <v>3864</v>
      </c>
      <c r="C978" s="39">
        <f t="shared" si="30"/>
        <v>2.3363122084265173</v>
      </c>
      <c r="D978" s="39">
        <f t="shared" si="31"/>
        <v>1.3086261980830671</v>
      </c>
    </row>
    <row r="979" spans="2:4" ht="15" x14ac:dyDescent="0.15">
      <c r="B979" s="38">
        <v>3868</v>
      </c>
      <c r="C979" s="39">
        <f t="shared" si="30"/>
        <v>2.3390876964316205</v>
      </c>
      <c r="D979" s="39">
        <f t="shared" si="31"/>
        <v>1.3090444231383829</v>
      </c>
    </row>
    <row r="980" spans="2:4" ht="15" x14ac:dyDescent="0.15">
      <c r="B980" s="38">
        <v>3872</v>
      </c>
      <c r="C980" s="39">
        <f t="shared" si="30"/>
        <v>2.3418640715992796</v>
      </c>
      <c r="D980" s="39">
        <f t="shared" si="31"/>
        <v>1.3094629156010231</v>
      </c>
    </row>
    <row r="981" spans="2:4" ht="15" x14ac:dyDescent="0.15">
      <c r="B981" s="38">
        <v>3876</v>
      </c>
      <c r="C981" s="39">
        <f t="shared" si="30"/>
        <v>2.3446413344968224</v>
      </c>
      <c r="D981" s="39">
        <f t="shared" si="31"/>
        <v>1.3098816757275344</v>
      </c>
    </row>
    <row r="982" spans="2:4" ht="15" x14ac:dyDescent="0.15">
      <c r="B982" s="38">
        <v>3880</v>
      </c>
      <c r="C982" s="39">
        <f t="shared" si="30"/>
        <v>2.3474194856921242</v>
      </c>
      <c r="D982" s="39">
        <f t="shared" si="31"/>
        <v>1.310300703774792</v>
      </c>
    </row>
    <row r="983" spans="2:4" ht="15" x14ac:dyDescent="0.15">
      <c r="B983" s="38">
        <v>3884</v>
      </c>
      <c r="C983" s="39">
        <f t="shared" si="30"/>
        <v>2.3501985257536071</v>
      </c>
      <c r="D983" s="39">
        <f t="shared" si="31"/>
        <v>1.3107200000000001</v>
      </c>
    </row>
    <row r="984" spans="2:4" ht="15" x14ac:dyDescent="0.15">
      <c r="B984" s="38">
        <v>3888</v>
      </c>
      <c r="C984" s="39">
        <f t="shared" si="30"/>
        <v>2.3529784552502324</v>
      </c>
      <c r="D984" s="39">
        <f t="shared" si="31"/>
        <v>1.3111395646606914</v>
      </c>
    </row>
    <row r="985" spans="2:4" ht="15" x14ac:dyDescent="0.15">
      <c r="B985" s="38">
        <v>3892</v>
      </c>
      <c r="C985" s="39">
        <f t="shared" si="30"/>
        <v>2.3557592747515144</v>
      </c>
      <c r="D985" s="39">
        <f t="shared" si="31"/>
        <v>1.3115593980147293</v>
      </c>
    </row>
    <row r="986" spans="2:4" ht="15" x14ac:dyDescent="0.15">
      <c r="B986" s="38">
        <v>3896</v>
      </c>
      <c r="C986" s="39">
        <f t="shared" si="30"/>
        <v>2.3585409848275125</v>
      </c>
      <c r="D986" s="39">
        <f t="shared" si="31"/>
        <v>1.3119795003203074</v>
      </c>
    </row>
    <row r="987" spans="2:4" ht="15" x14ac:dyDescent="0.15">
      <c r="B987" s="38">
        <v>3900</v>
      </c>
      <c r="C987" s="39">
        <f t="shared" si="30"/>
        <v>2.3613235860488326</v>
      </c>
      <c r="D987" s="39">
        <f t="shared" si="31"/>
        <v>1.31239987183595</v>
      </c>
    </row>
    <row r="988" spans="2:4" ht="15" x14ac:dyDescent="0.15">
      <c r="B988" s="38">
        <v>3904</v>
      </c>
      <c r="C988" s="39">
        <f t="shared" si="30"/>
        <v>2.3641070789866312</v>
      </c>
      <c r="D988" s="39">
        <f t="shared" si="31"/>
        <v>1.3128205128205128</v>
      </c>
    </row>
    <row r="989" spans="2:4" ht="15" x14ac:dyDescent="0.15">
      <c r="B989" s="38">
        <v>3908</v>
      </c>
      <c r="C989" s="39">
        <f t="shared" si="30"/>
        <v>2.3668914642126118</v>
      </c>
      <c r="D989" s="39">
        <f t="shared" si="31"/>
        <v>1.3132414235331837</v>
      </c>
    </row>
    <row r="990" spans="2:4" ht="15" x14ac:dyDescent="0.15">
      <c r="B990" s="38">
        <v>3912</v>
      </c>
      <c r="C990" s="39">
        <f t="shared" si="30"/>
        <v>2.3696767422990286</v>
      </c>
      <c r="D990" s="39">
        <f t="shared" si="31"/>
        <v>1.3136626042334829</v>
      </c>
    </row>
    <row r="991" spans="2:4" ht="15" x14ac:dyDescent="0.15">
      <c r="B991" s="38">
        <v>3916</v>
      </c>
      <c r="C991" s="39">
        <f t="shared" si="30"/>
        <v>2.3724629138186897</v>
      </c>
      <c r="D991" s="39">
        <f t="shared" si="31"/>
        <v>1.314084055181264</v>
      </c>
    </row>
    <row r="992" spans="2:4" ht="15" x14ac:dyDescent="0.15">
      <c r="B992" s="38">
        <v>3920</v>
      </c>
      <c r="C992" s="39">
        <f t="shared" si="30"/>
        <v>2.3752499793449493</v>
      </c>
      <c r="D992" s="39">
        <f t="shared" si="31"/>
        <v>1.3145057766367136</v>
      </c>
    </row>
    <row r="993" spans="2:4" ht="15" x14ac:dyDescent="0.15">
      <c r="B993" s="38">
        <v>3924</v>
      </c>
      <c r="C993" s="39">
        <f t="shared" si="30"/>
        <v>2.3780379394517186</v>
      </c>
      <c r="D993" s="39">
        <f t="shared" si="31"/>
        <v>1.3149277688603531</v>
      </c>
    </row>
    <row r="994" spans="2:4" ht="15" x14ac:dyDescent="0.15">
      <c r="B994" s="38">
        <v>3928</v>
      </c>
      <c r="C994" s="39">
        <f t="shared" si="30"/>
        <v>2.3808267947134567</v>
      </c>
      <c r="D994" s="39">
        <f t="shared" si="31"/>
        <v>1.3153500321130378</v>
      </c>
    </row>
    <row r="995" spans="2:4" ht="15" x14ac:dyDescent="0.15">
      <c r="B995" s="38">
        <v>3932</v>
      </c>
      <c r="C995" s="39">
        <f t="shared" si="30"/>
        <v>2.3836165457051819</v>
      </c>
      <c r="D995" s="39">
        <f t="shared" si="31"/>
        <v>1.315772566655959</v>
      </c>
    </row>
    <row r="996" spans="2:4" ht="15" x14ac:dyDescent="0.15">
      <c r="B996" s="38">
        <v>3936</v>
      </c>
      <c r="C996" s="39">
        <f t="shared" si="30"/>
        <v>2.3864071930024595</v>
      </c>
      <c r="D996" s="39">
        <f t="shared" si="31"/>
        <v>1.3161953727506426</v>
      </c>
    </row>
    <row r="997" spans="2:4" ht="15" x14ac:dyDescent="0.15">
      <c r="B997" s="38">
        <v>3940</v>
      </c>
      <c r="C997" s="39">
        <f t="shared" si="30"/>
        <v>2.3891987371814185</v>
      </c>
      <c r="D997" s="39">
        <f t="shared" si="31"/>
        <v>1.316618450658952</v>
      </c>
    </row>
    <row r="998" spans="2:4" ht="15" x14ac:dyDescent="0.15">
      <c r="B998" s="38">
        <v>3944</v>
      </c>
      <c r="C998" s="39">
        <f t="shared" si="30"/>
        <v>2.3919911788187371</v>
      </c>
      <c r="D998" s="39">
        <f t="shared" si="31"/>
        <v>1.3170418006430868</v>
      </c>
    </row>
    <row r="999" spans="2:4" ht="15" x14ac:dyDescent="0.15">
      <c r="B999" s="38">
        <v>3948</v>
      </c>
      <c r="C999" s="39">
        <f t="shared" si="30"/>
        <v>2.3947845184916505</v>
      </c>
      <c r="D999" s="39">
        <f t="shared" si="31"/>
        <v>1.3174654229655838</v>
      </c>
    </row>
    <row r="1000" spans="2:4" ht="15" x14ac:dyDescent="0.15">
      <c r="B1000" s="38">
        <v>3952</v>
      </c>
      <c r="C1000" s="39">
        <f t="shared" si="30"/>
        <v>2.3975787567779534</v>
      </c>
      <c r="D1000" s="39">
        <f t="shared" si="31"/>
        <v>1.3178893178893178</v>
      </c>
    </row>
    <row r="1001" spans="2:4" ht="15" x14ac:dyDescent="0.15">
      <c r="B1001" s="38">
        <v>3956</v>
      </c>
      <c r="C1001" s="39">
        <f t="shared" si="30"/>
        <v>2.4003738942559987</v>
      </c>
      <c r="D1001" s="39">
        <f t="shared" si="31"/>
        <v>1.3183134856775025</v>
      </c>
    </row>
    <row r="1002" spans="2:4" ht="15" x14ac:dyDescent="0.15">
      <c r="B1002" s="38">
        <v>3960</v>
      </c>
      <c r="C1002" s="39">
        <f t="shared" si="30"/>
        <v>2.4031699315046922</v>
      </c>
      <c r="D1002" s="39">
        <f t="shared" si="31"/>
        <v>1.3187379265936896</v>
      </c>
    </row>
    <row r="1003" spans="2:4" ht="15" x14ac:dyDescent="0.15">
      <c r="B1003" s="38">
        <v>3964</v>
      </c>
      <c r="C1003" s="39">
        <f t="shared" si="30"/>
        <v>2.4059668691035072</v>
      </c>
      <c r="D1003" s="39">
        <f t="shared" si="31"/>
        <v>1.3191626409017714</v>
      </c>
    </row>
    <row r="1004" spans="2:4" ht="15" x14ac:dyDescent="0.15">
      <c r="B1004" s="38">
        <v>3968</v>
      </c>
      <c r="C1004" s="39">
        <f t="shared" si="30"/>
        <v>2.4087647076324701</v>
      </c>
      <c r="D1004" s="39">
        <f t="shared" si="31"/>
        <v>1.3195876288659794</v>
      </c>
    </row>
    <row r="1005" spans="2:4" ht="15" x14ac:dyDescent="0.15">
      <c r="B1005" s="38">
        <v>3972</v>
      </c>
      <c r="C1005" s="39">
        <f t="shared" ref="C1005:C1014" si="32">20*LOG(D1005)</f>
        <v>2.4115634476721732</v>
      </c>
      <c r="D1005" s="39">
        <f t="shared" ref="D1005:D1014" si="33">16384/(16384-B1005)</f>
        <v>1.3200128907508863</v>
      </c>
    </row>
    <row r="1006" spans="2:4" ht="15" x14ac:dyDescent="0.15">
      <c r="B1006" s="38">
        <v>3976</v>
      </c>
      <c r="C1006" s="39">
        <f t="shared" si="32"/>
        <v>2.4143630898037642</v>
      </c>
      <c r="D1006" s="39">
        <f t="shared" si="33"/>
        <v>1.3204384268214056</v>
      </c>
    </row>
    <row r="1007" spans="2:4" ht="15" x14ac:dyDescent="0.15">
      <c r="B1007" s="38">
        <v>3980</v>
      </c>
      <c r="C1007" s="39">
        <f t="shared" si="32"/>
        <v>2.4171636346089582</v>
      </c>
      <c r="D1007" s="39">
        <f t="shared" si="33"/>
        <v>1.3208642373427926</v>
      </c>
    </row>
    <row r="1008" spans="2:4" ht="15" x14ac:dyDescent="0.15">
      <c r="B1008" s="38">
        <v>3984</v>
      </c>
      <c r="C1008" s="39">
        <f t="shared" si="32"/>
        <v>2.4199650826700334</v>
      </c>
      <c r="D1008" s="39">
        <f t="shared" si="33"/>
        <v>1.3212903225806452</v>
      </c>
    </row>
    <row r="1009" spans="2:4" ht="15" x14ac:dyDescent="0.15">
      <c r="B1009" s="38">
        <v>3988</v>
      </c>
      <c r="C1009" s="39">
        <f t="shared" si="32"/>
        <v>2.4227674345698262</v>
      </c>
      <c r="D1009" s="39">
        <f t="shared" si="33"/>
        <v>1.3217166828009035</v>
      </c>
    </row>
    <row r="1010" spans="2:4" ht="15" x14ac:dyDescent="0.15">
      <c r="B1010" s="38">
        <v>3992</v>
      </c>
      <c r="C1010" s="39">
        <f t="shared" si="32"/>
        <v>2.4255706908917425</v>
      </c>
      <c r="D1010" s="39">
        <f t="shared" si="33"/>
        <v>1.3221433182698514</v>
      </c>
    </row>
    <row r="1011" spans="2:4" ht="15" x14ac:dyDescent="0.15">
      <c r="B1011" s="38">
        <v>3996</v>
      </c>
      <c r="C1011" s="39">
        <f t="shared" si="32"/>
        <v>2.428374852219751</v>
      </c>
      <c r="D1011" s="39">
        <f t="shared" si="33"/>
        <v>1.3225702292541168</v>
      </c>
    </row>
    <row r="1012" spans="2:4" ht="15" x14ac:dyDescent="0.15">
      <c r="B1012" s="38">
        <v>4000</v>
      </c>
      <c r="C1012" s="39">
        <f t="shared" si="32"/>
        <v>2.4311799191383878</v>
      </c>
      <c r="D1012" s="39">
        <f t="shared" si="33"/>
        <v>1.3229974160206719</v>
      </c>
    </row>
    <row r="1013" spans="2:4" ht="15" x14ac:dyDescent="0.15">
      <c r="B1013" s="38">
        <v>4004</v>
      </c>
      <c r="C1013" s="39">
        <f t="shared" si="32"/>
        <v>2.4339858922327515</v>
      </c>
      <c r="D1013" s="39">
        <f t="shared" si="33"/>
        <v>1.3234248788368337</v>
      </c>
    </row>
    <row r="1014" spans="2:4" ht="15" x14ac:dyDescent="0.15">
      <c r="B1014" s="38">
        <v>4008</v>
      </c>
      <c r="C1014" s="39">
        <f t="shared" si="32"/>
        <v>2.4367927720885123</v>
      </c>
      <c r="D1014" s="39">
        <f t="shared" si="33"/>
        <v>1.323852617970265</v>
      </c>
    </row>
    <row r="1015" spans="2:4" ht="15" x14ac:dyDescent="0.15">
      <c r="B1015" s="38">
        <v>4012</v>
      </c>
      <c r="C1015" s="39">
        <f t="shared" ref="C1015:C1078" si="34">20*LOG(D1015)</f>
        <v>2.4396005592919079</v>
      </c>
      <c r="D1015" s="39">
        <f t="shared" ref="D1015:D1078" si="35">16384/(16384-B1015)</f>
        <v>1.3242806336889752</v>
      </c>
    </row>
    <row r="1016" spans="2:4" ht="15" x14ac:dyDescent="0.15">
      <c r="B1016" s="38">
        <v>4016</v>
      </c>
      <c r="C1016" s="39">
        <f t="shared" si="34"/>
        <v>2.4424092544297418</v>
      </c>
      <c r="D1016" s="39">
        <f t="shared" si="35"/>
        <v>1.3247089262613196</v>
      </c>
    </row>
    <row r="1017" spans="2:4" ht="15" x14ac:dyDescent="0.15">
      <c r="B1017" s="38">
        <v>4020</v>
      </c>
      <c r="C1017" s="39">
        <f t="shared" si="34"/>
        <v>2.445218858089389</v>
      </c>
      <c r="D1017" s="39">
        <f t="shared" si="35"/>
        <v>1.3251374959560014</v>
      </c>
    </row>
    <row r="1018" spans="2:4" ht="15" x14ac:dyDescent="0.15">
      <c r="B1018" s="38">
        <v>4024</v>
      </c>
      <c r="C1018" s="39">
        <f t="shared" si="34"/>
        <v>2.4480293708587944</v>
      </c>
      <c r="D1018" s="39">
        <f t="shared" si="35"/>
        <v>1.3255663430420712</v>
      </c>
    </row>
    <row r="1019" spans="2:4" ht="15" x14ac:dyDescent="0.15">
      <c r="B1019" s="38">
        <v>4028</v>
      </c>
      <c r="C1019" s="39">
        <f t="shared" si="34"/>
        <v>2.4508407933264746</v>
      </c>
      <c r="D1019" s="39">
        <f t="shared" si="35"/>
        <v>1.3259954677889285</v>
      </c>
    </row>
    <row r="1020" spans="2:4" ht="15" x14ac:dyDescent="0.15">
      <c r="B1020" s="38">
        <v>4032</v>
      </c>
      <c r="C1020" s="39">
        <f t="shared" si="34"/>
        <v>2.4536531260815164</v>
      </c>
      <c r="D1020" s="39">
        <f t="shared" si="35"/>
        <v>1.3264248704663213</v>
      </c>
    </row>
    <row r="1021" spans="2:4" ht="15" x14ac:dyDescent="0.15">
      <c r="B1021" s="38">
        <v>4036</v>
      </c>
      <c r="C1021" s="39">
        <f t="shared" si="34"/>
        <v>2.4564663697135796</v>
      </c>
      <c r="D1021" s="39">
        <f t="shared" si="35"/>
        <v>1.3268545513443473</v>
      </c>
    </row>
    <row r="1022" spans="2:4" ht="15" x14ac:dyDescent="0.15">
      <c r="B1022" s="38">
        <v>4040</v>
      </c>
      <c r="C1022" s="39">
        <f t="shared" si="34"/>
        <v>2.4592805248128977</v>
      </c>
      <c r="D1022" s="39">
        <f t="shared" si="35"/>
        <v>1.3272845106934543</v>
      </c>
    </row>
    <row r="1023" spans="2:4" ht="15" x14ac:dyDescent="0.15">
      <c r="B1023" s="38">
        <v>4044</v>
      </c>
      <c r="C1023" s="39">
        <f t="shared" si="34"/>
        <v>2.4620955919702765</v>
      </c>
      <c r="D1023" s="39">
        <f t="shared" si="35"/>
        <v>1.3277147487844407</v>
      </c>
    </row>
    <row r="1024" spans="2:4" ht="15" x14ac:dyDescent="0.15">
      <c r="B1024" s="38">
        <v>4048</v>
      </c>
      <c r="C1024" s="39">
        <f t="shared" si="34"/>
        <v>2.4649115717770993</v>
      </c>
      <c r="D1024" s="39">
        <f t="shared" si="35"/>
        <v>1.3281452658884565</v>
      </c>
    </row>
    <row r="1025" spans="2:4" ht="15" x14ac:dyDescent="0.15">
      <c r="B1025" s="38">
        <v>4052</v>
      </c>
      <c r="C1025" s="39">
        <f t="shared" si="34"/>
        <v>2.4677284648253215</v>
      </c>
      <c r="D1025" s="39">
        <f t="shared" si="35"/>
        <v>1.3285760622770029</v>
      </c>
    </row>
    <row r="1026" spans="2:4" ht="15" x14ac:dyDescent="0.15">
      <c r="B1026" s="38">
        <v>4056</v>
      </c>
      <c r="C1026" s="39">
        <f t="shared" si="34"/>
        <v>2.4705462717074762</v>
      </c>
      <c r="D1026" s="39">
        <f t="shared" si="35"/>
        <v>1.3290071382219337</v>
      </c>
    </row>
    <row r="1027" spans="2:4" ht="15" x14ac:dyDescent="0.15">
      <c r="B1027" s="38">
        <v>4060</v>
      </c>
      <c r="C1027" s="39">
        <f t="shared" si="34"/>
        <v>2.4733649930166739</v>
      </c>
      <c r="D1027" s="39">
        <f t="shared" si="35"/>
        <v>1.329438493995456</v>
      </c>
    </row>
    <row r="1028" spans="2:4" ht="15" x14ac:dyDescent="0.15">
      <c r="B1028" s="38">
        <v>4064</v>
      </c>
      <c r="C1028" s="39">
        <f t="shared" si="34"/>
        <v>2.4761846293466014</v>
      </c>
      <c r="D1028" s="39">
        <f t="shared" si="35"/>
        <v>1.3298701298701299</v>
      </c>
    </row>
    <row r="1029" spans="2:4" ht="15" x14ac:dyDescent="0.15">
      <c r="B1029" s="38">
        <v>4068</v>
      </c>
      <c r="C1029" s="39">
        <f t="shared" si="34"/>
        <v>2.4790051812915244</v>
      </c>
      <c r="D1029" s="39">
        <f t="shared" si="35"/>
        <v>1.3303020461188697</v>
      </c>
    </row>
    <row r="1030" spans="2:4" ht="15" x14ac:dyDescent="0.15">
      <c r="B1030" s="38">
        <v>4072</v>
      </c>
      <c r="C1030" s="39">
        <f t="shared" si="34"/>
        <v>2.4818266494462882</v>
      </c>
      <c r="D1030" s="39">
        <f t="shared" si="35"/>
        <v>1.3307342430149447</v>
      </c>
    </row>
    <row r="1031" spans="2:4" ht="15" x14ac:dyDescent="0.15">
      <c r="B1031" s="38">
        <v>4076</v>
      </c>
      <c r="C1031" s="39">
        <f t="shared" si="34"/>
        <v>2.4846490344063183</v>
      </c>
      <c r="D1031" s="39">
        <f t="shared" si="35"/>
        <v>1.3311667208319793</v>
      </c>
    </row>
    <row r="1032" spans="2:4" ht="15" x14ac:dyDescent="0.15">
      <c r="B1032" s="38">
        <v>4080</v>
      </c>
      <c r="C1032" s="39">
        <f t="shared" si="34"/>
        <v>2.4874723367676186</v>
      </c>
      <c r="D1032" s="39">
        <f t="shared" si="35"/>
        <v>1.3315994798439532</v>
      </c>
    </row>
    <row r="1033" spans="2:4" ht="15" x14ac:dyDescent="0.15">
      <c r="B1033" s="38">
        <v>4084</v>
      </c>
      <c r="C1033" s="39">
        <f t="shared" si="34"/>
        <v>2.4902965571267761</v>
      </c>
      <c r="D1033" s="39">
        <f t="shared" si="35"/>
        <v>1.3320325203252033</v>
      </c>
    </row>
    <row r="1034" spans="2:4" ht="15" x14ac:dyDescent="0.15">
      <c r="B1034" s="38">
        <v>4088</v>
      </c>
      <c r="C1034" s="39">
        <f t="shared" si="34"/>
        <v>2.4931216960809612</v>
      </c>
      <c r="D1034" s="39">
        <f t="shared" si="35"/>
        <v>1.332465842550423</v>
      </c>
    </row>
    <row r="1035" spans="2:4" ht="15" x14ac:dyDescent="0.15">
      <c r="B1035" s="38">
        <v>4092</v>
      </c>
      <c r="C1035" s="39">
        <f t="shared" si="34"/>
        <v>2.495947754227922</v>
      </c>
      <c r="D1035" s="39">
        <f t="shared" si="35"/>
        <v>1.3328994467946631</v>
      </c>
    </row>
    <row r="1036" spans="2:4" ht="15" x14ac:dyDescent="0.15">
      <c r="B1036" s="38">
        <v>4096</v>
      </c>
      <c r="C1036" s="39">
        <f t="shared" si="34"/>
        <v>2.4987747321659985</v>
      </c>
      <c r="D1036" s="39">
        <f t="shared" si="35"/>
        <v>1.3333333333333333</v>
      </c>
    </row>
    <row r="1037" spans="2:4" ht="15" x14ac:dyDescent="0.15">
      <c r="B1037" s="38">
        <v>4100</v>
      </c>
      <c r="C1037" s="39">
        <f t="shared" si="34"/>
        <v>2.501602630494109</v>
      </c>
      <c r="D1037" s="39">
        <f t="shared" si="35"/>
        <v>1.3337675024422013</v>
      </c>
    </row>
    <row r="1038" spans="2:4" ht="15" x14ac:dyDescent="0.15">
      <c r="B1038" s="38">
        <v>4104</v>
      </c>
      <c r="C1038" s="39">
        <f t="shared" si="34"/>
        <v>2.5044314498117575</v>
      </c>
      <c r="D1038" s="39">
        <f t="shared" si="35"/>
        <v>1.3342019543973942</v>
      </c>
    </row>
    <row r="1039" spans="2:4" ht="15" x14ac:dyDescent="0.15">
      <c r="B1039" s="38">
        <v>4108</v>
      </c>
      <c r="C1039" s="39">
        <f t="shared" si="34"/>
        <v>2.507261190719035</v>
      </c>
      <c r="D1039" s="39">
        <f t="shared" si="35"/>
        <v>1.3346366894753992</v>
      </c>
    </row>
    <row r="1040" spans="2:4" ht="15" x14ac:dyDescent="0.15">
      <c r="B1040" s="38">
        <v>4112</v>
      </c>
      <c r="C1040" s="39">
        <f t="shared" si="34"/>
        <v>2.5100918538166193</v>
      </c>
      <c r="D1040" s="39">
        <f t="shared" si="35"/>
        <v>1.3350717079530638</v>
      </c>
    </row>
    <row r="1041" spans="2:4" ht="15" x14ac:dyDescent="0.15">
      <c r="B1041" s="38">
        <v>4116</v>
      </c>
      <c r="C1041" s="39">
        <f t="shared" si="34"/>
        <v>2.5129234397057769</v>
      </c>
      <c r="D1041" s="39">
        <f t="shared" si="35"/>
        <v>1.335507010107597</v>
      </c>
    </row>
    <row r="1042" spans="2:4" ht="15" x14ac:dyDescent="0.15">
      <c r="B1042" s="38">
        <v>4120</v>
      </c>
      <c r="C1042" s="39">
        <f t="shared" si="34"/>
        <v>2.515755948988359</v>
      </c>
      <c r="D1042" s="39">
        <f t="shared" si="35"/>
        <v>1.3359425962165687</v>
      </c>
    </row>
    <row r="1043" spans="2:4" ht="15" x14ac:dyDescent="0.15">
      <c r="B1043" s="38">
        <v>4124</v>
      </c>
      <c r="C1043" s="39">
        <f t="shared" si="34"/>
        <v>2.5185893822668097</v>
      </c>
      <c r="D1043" s="39">
        <f t="shared" si="35"/>
        <v>1.3363784665579119</v>
      </c>
    </row>
    <row r="1044" spans="2:4" ht="15" x14ac:dyDescent="0.15">
      <c r="B1044" s="38">
        <v>4128</v>
      </c>
      <c r="C1044" s="39">
        <f t="shared" si="34"/>
        <v>2.5214237401441602</v>
      </c>
      <c r="D1044" s="39">
        <f t="shared" si="35"/>
        <v>1.3368146214099217</v>
      </c>
    </row>
    <row r="1045" spans="2:4" ht="15" x14ac:dyDescent="0.15">
      <c r="B1045" s="38">
        <v>4132</v>
      </c>
      <c r="C1045" s="39">
        <f t="shared" si="34"/>
        <v>2.5242590232240332</v>
      </c>
      <c r="D1045" s="39">
        <f t="shared" si="35"/>
        <v>1.3372510610512569</v>
      </c>
    </row>
    <row r="1046" spans="2:4" ht="15" x14ac:dyDescent="0.15">
      <c r="B1046" s="38">
        <v>4136</v>
      </c>
      <c r="C1046" s="39">
        <f t="shared" si="34"/>
        <v>2.5270952321106428</v>
      </c>
      <c r="D1046" s="39">
        <f t="shared" si="35"/>
        <v>1.3376877857609406</v>
      </c>
    </row>
    <row r="1047" spans="2:4" ht="15" x14ac:dyDescent="0.15">
      <c r="B1047" s="38">
        <v>4140</v>
      </c>
      <c r="C1047" s="39">
        <f t="shared" si="34"/>
        <v>2.5299323674087937</v>
      </c>
      <c r="D1047" s="39">
        <f t="shared" si="35"/>
        <v>1.33812479581836</v>
      </c>
    </row>
    <row r="1048" spans="2:4" ht="15" x14ac:dyDescent="0.15">
      <c r="B1048" s="38">
        <v>4144</v>
      </c>
      <c r="C1048" s="39">
        <f t="shared" si="34"/>
        <v>2.532770429723886</v>
      </c>
      <c r="D1048" s="39">
        <f t="shared" si="35"/>
        <v>1.3385620915032679</v>
      </c>
    </row>
    <row r="1049" spans="2:4" ht="15" x14ac:dyDescent="0.15">
      <c r="B1049" s="38">
        <v>4148</v>
      </c>
      <c r="C1049" s="39">
        <f t="shared" si="34"/>
        <v>2.5356094196619132</v>
      </c>
      <c r="D1049" s="39">
        <f t="shared" si="35"/>
        <v>1.3389996730957829</v>
      </c>
    </row>
    <row r="1050" spans="2:4" ht="15" x14ac:dyDescent="0.15">
      <c r="B1050" s="38">
        <v>4152</v>
      </c>
      <c r="C1050" s="39">
        <f t="shared" si="34"/>
        <v>2.5384493378294608</v>
      </c>
      <c r="D1050" s="39">
        <f t="shared" si="35"/>
        <v>1.3394375408763899</v>
      </c>
    </row>
    <row r="1051" spans="2:4" ht="15" x14ac:dyDescent="0.15">
      <c r="B1051" s="38">
        <v>4156</v>
      </c>
      <c r="C1051" s="39">
        <f t="shared" si="34"/>
        <v>2.5412901848337106</v>
      </c>
      <c r="D1051" s="39">
        <f t="shared" si="35"/>
        <v>1.3398756951259405</v>
      </c>
    </row>
    <row r="1052" spans="2:4" ht="15" x14ac:dyDescent="0.15">
      <c r="B1052" s="38">
        <v>4160</v>
      </c>
      <c r="C1052" s="39">
        <f t="shared" si="34"/>
        <v>2.5441319612824409</v>
      </c>
      <c r="D1052" s="39">
        <f t="shared" si="35"/>
        <v>1.3403141361256545</v>
      </c>
    </row>
    <row r="1053" spans="2:4" ht="15" x14ac:dyDescent="0.15">
      <c r="B1053" s="38">
        <v>4164</v>
      </c>
      <c r="C1053" s="39">
        <f t="shared" si="34"/>
        <v>2.5469746677840268</v>
      </c>
      <c r="D1053" s="39">
        <f t="shared" si="35"/>
        <v>1.3407528641571196</v>
      </c>
    </row>
    <row r="1054" spans="2:4" ht="15" x14ac:dyDescent="0.15">
      <c r="B1054" s="38">
        <v>4168</v>
      </c>
      <c r="C1054" s="39">
        <f t="shared" si="34"/>
        <v>2.5498183049474399</v>
      </c>
      <c r="D1054" s="39">
        <f t="shared" si="35"/>
        <v>1.3411918795022921</v>
      </c>
    </row>
    <row r="1055" spans="2:4" ht="15" x14ac:dyDescent="0.15">
      <c r="B1055" s="38">
        <v>4172</v>
      </c>
      <c r="C1055" s="39">
        <f t="shared" si="34"/>
        <v>2.5526628733822498</v>
      </c>
      <c r="D1055" s="39">
        <f t="shared" si="35"/>
        <v>1.3416311824434981</v>
      </c>
    </row>
    <row r="1056" spans="2:4" ht="15" x14ac:dyDescent="0.15">
      <c r="B1056" s="38">
        <v>4176</v>
      </c>
      <c r="C1056" s="39">
        <f t="shared" si="34"/>
        <v>2.5555083736986299</v>
      </c>
      <c r="D1056" s="39">
        <f t="shared" si="35"/>
        <v>1.3420707732634338</v>
      </c>
    </row>
    <row r="1057" spans="2:4" ht="15" x14ac:dyDescent="0.15">
      <c r="B1057" s="38">
        <v>4180</v>
      </c>
      <c r="C1057" s="39">
        <f t="shared" si="34"/>
        <v>2.5583548065073463</v>
      </c>
      <c r="D1057" s="39">
        <f t="shared" si="35"/>
        <v>1.3425106522451655</v>
      </c>
    </row>
    <row r="1058" spans="2:4" ht="15" x14ac:dyDescent="0.15">
      <c r="B1058" s="38">
        <v>4184</v>
      </c>
      <c r="C1058" s="39">
        <f t="shared" si="34"/>
        <v>2.5612021724197702</v>
      </c>
      <c r="D1058" s="39">
        <f t="shared" si="35"/>
        <v>1.3429508196721311</v>
      </c>
    </row>
    <row r="1059" spans="2:4" ht="15" x14ac:dyDescent="0.15">
      <c r="B1059" s="38">
        <v>4188</v>
      </c>
      <c r="C1059" s="39">
        <f t="shared" si="34"/>
        <v>2.5640504720478727</v>
      </c>
      <c r="D1059" s="39">
        <f t="shared" si="35"/>
        <v>1.3433912758281403</v>
      </c>
    </row>
    <row r="1060" spans="2:4" ht="15" x14ac:dyDescent="0.15">
      <c r="B1060" s="38">
        <v>4192</v>
      </c>
      <c r="C1060" s="39">
        <f t="shared" si="34"/>
        <v>2.5668997060042291</v>
      </c>
      <c r="D1060" s="39">
        <f t="shared" si="35"/>
        <v>1.3438320209973753</v>
      </c>
    </row>
    <row r="1061" spans="2:4" ht="15" x14ac:dyDescent="0.15">
      <c r="B1061" s="38">
        <v>4196</v>
      </c>
      <c r="C1061" s="39">
        <f t="shared" si="34"/>
        <v>2.5697498749020142</v>
      </c>
      <c r="D1061" s="39">
        <f t="shared" si="35"/>
        <v>1.3442730554643911</v>
      </c>
    </row>
    <row r="1062" spans="2:4" ht="15" x14ac:dyDescent="0.15">
      <c r="B1062" s="38">
        <v>4200</v>
      </c>
      <c r="C1062" s="39">
        <f t="shared" si="34"/>
        <v>2.5726009793550109</v>
      </c>
      <c r="D1062" s="39">
        <f t="shared" si="35"/>
        <v>1.3447143795141168</v>
      </c>
    </row>
    <row r="1063" spans="2:4" ht="15" x14ac:dyDescent="0.15">
      <c r="B1063" s="38">
        <v>4204</v>
      </c>
      <c r="C1063" s="39">
        <f t="shared" si="34"/>
        <v>2.575453019977604</v>
      </c>
      <c r="D1063" s="39">
        <f t="shared" si="35"/>
        <v>1.3451559934318555</v>
      </c>
    </row>
    <row r="1064" spans="2:4" ht="15" x14ac:dyDescent="0.15">
      <c r="B1064" s="38">
        <v>4208</v>
      </c>
      <c r="C1064" s="39">
        <f t="shared" si="34"/>
        <v>2.5783059973847826</v>
      </c>
      <c r="D1064" s="39">
        <f t="shared" si="35"/>
        <v>1.3455978975032852</v>
      </c>
    </row>
    <row r="1065" spans="2:4" ht="15" x14ac:dyDescent="0.15">
      <c r="B1065" s="38">
        <v>4212</v>
      </c>
      <c r="C1065" s="39">
        <f t="shared" si="34"/>
        <v>2.5811599121921454</v>
      </c>
      <c r="D1065" s="39">
        <f t="shared" si="35"/>
        <v>1.3460400920144595</v>
      </c>
    </row>
    <row r="1066" spans="2:4" ht="15" x14ac:dyDescent="0.15">
      <c r="B1066" s="38">
        <v>4216</v>
      </c>
      <c r="C1066" s="39">
        <f t="shared" si="34"/>
        <v>2.5840147650158949</v>
      </c>
      <c r="D1066" s="39">
        <f t="shared" si="35"/>
        <v>1.3464825772518081</v>
      </c>
    </row>
    <row r="1067" spans="2:4" ht="15" x14ac:dyDescent="0.15">
      <c r="B1067" s="38">
        <v>4220</v>
      </c>
      <c r="C1067" s="39">
        <f t="shared" si="34"/>
        <v>2.586870556472844</v>
      </c>
      <c r="D1067" s="39">
        <f t="shared" si="35"/>
        <v>1.3469253535021375</v>
      </c>
    </row>
    <row r="1068" spans="2:4" ht="15" x14ac:dyDescent="0.15">
      <c r="B1068" s="38">
        <v>4224</v>
      </c>
      <c r="C1068" s="39">
        <f t="shared" si="34"/>
        <v>2.5897272871804118</v>
      </c>
      <c r="D1068" s="39">
        <f t="shared" si="35"/>
        <v>1.3473684210526315</v>
      </c>
    </row>
    <row r="1069" spans="2:4" ht="15" x14ac:dyDescent="0.15">
      <c r="B1069" s="38">
        <v>4228</v>
      </c>
      <c r="C1069" s="39">
        <f t="shared" si="34"/>
        <v>2.5925849577566296</v>
      </c>
      <c r="D1069" s="39">
        <f t="shared" si="35"/>
        <v>1.3478117801908522</v>
      </c>
    </row>
    <row r="1070" spans="2:4" ht="15" x14ac:dyDescent="0.15">
      <c r="B1070" s="38">
        <v>4232</v>
      </c>
      <c r="C1070" s="39">
        <f t="shared" si="34"/>
        <v>2.5954435688201354</v>
      </c>
      <c r="D1070" s="39">
        <f t="shared" si="35"/>
        <v>1.3482554312047399</v>
      </c>
    </row>
    <row r="1071" spans="2:4" ht="15" x14ac:dyDescent="0.15">
      <c r="B1071" s="38">
        <v>4236</v>
      </c>
      <c r="C1071" s="39">
        <f t="shared" si="34"/>
        <v>2.5983031209901819</v>
      </c>
      <c r="D1071" s="39">
        <f t="shared" si="35"/>
        <v>1.3486993743826143</v>
      </c>
    </row>
    <row r="1072" spans="2:4" ht="15" x14ac:dyDescent="0.15">
      <c r="B1072" s="38">
        <v>4240</v>
      </c>
      <c r="C1072" s="39">
        <f t="shared" si="34"/>
        <v>2.6011636148866324</v>
      </c>
      <c r="D1072" s="39">
        <f t="shared" si="35"/>
        <v>1.3491436100131753</v>
      </c>
    </row>
    <row r="1073" spans="2:4" ht="15" x14ac:dyDescent="0.15">
      <c r="B1073" s="38">
        <v>4244</v>
      </c>
      <c r="C1073" s="39">
        <f t="shared" si="34"/>
        <v>2.6040250511299585</v>
      </c>
      <c r="D1073" s="39">
        <f t="shared" si="35"/>
        <v>1.3495881383855024</v>
      </c>
    </row>
    <row r="1074" spans="2:4" ht="15" x14ac:dyDescent="0.15">
      <c r="B1074" s="38">
        <v>4248</v>
      </c>
      <c r="C1074" s="39">
        <f t="shared" si="34"/>
        <v>2.6068874303412528</v>
      </c>
      <c r="D1074" s="39">
        <f t="shared" si="35"/>
        <v>1.3500329597890572</v>
      </c>
    </row>
    <row r="1075" spans="2:4" ht="15" x14ac:dyDescent="0.15">
      <c r="B1075" s="38">
        <v>4252</v>
      </c>
      <c r="C1075" s="39">
        <f t="shared" si="34"/>
        <v>2.6097507531422171</v>
      </c>
      <c r="D1075" s="39">
        <f t="shared" si="35"/>
        <v>1.3504780745136828</v>
      </c>
    </row>
    <row r="1076" spans="2:4" ht="15" x14ac:dyDescent="0.15">
      <c r="B1076" s="38">
        <v>4256</v>
      </c>
      <c r="C1076" s="39">
        <f t="shared" si="34"/>
        <v>2.6126150201551681</v>
      </c>
      <c r="D1076" s="39">
        <f t="shared" si="35"/>
        <v>1.3509234828496042</v>
      </c>
    </row>
    <row r="1077" spans="2:4" ht="15" x14ac:dyDescent="0.15">
      <c r="B1077" s="38">
        <v>4260</v>
      </c>
      <c r="C1077" s="39">
        <f t="shared" si="34"/>
        <v>2.6154802320030415</v>
      </c>
      <c r="D1077" s="39">
        <f t="shared" si="35"/>
        <v>1.3513691850874299</v>
      </c>
    </row>
    <row r="1078" spans="2:4" ht="15" x14ac:dyDescent="0.15">
      <c r="B1078" s="38">
        <v>4264</v>
      </c>
      <c r="C1078" s="39">
        <f t="shared" si="34"/>
        <v>2.6183463893093868</v>
      </c>
      <c r="D1078" s="39">
        <f t="shared" si="35"/>
        <v>1.3518151815181518</v>
      </c>
    </row>
    <row r="1079" spans="2:4" ht="15" x14ac:dyDescent="0.15">
      <c r="B1079" s="38">
        <v>4268</v>
      </c>
      <c r="C1079" s="39">
        <f t="shared" ref="C1079:C1142" si="36">20*LOG(D1079)</f>
        <v>2.6212134926983728</v>
      </c>
      <c r="D1079" s="39">
        <f t="shared" ref="D1079:D1142" si="37">16384/(16384-B1079)</f>
        <v>1.3522614724331463</v>
      </c>
    </row>
    <row r="1080" spans="2:4" ht="15" x14ac:dyDescent="0.15">
      <c r="B1080" s="38">
        <v>4272</v>
      </c>
      <c r="C1080" s="39">
        <f t="shared" si="36"/>
        <v>2.6240815427947837</v>
      </c>
      <c r="D1080" s="39">
        <f t="shared" si="37"/>
        <v>1.3527080581241744</v>
      </c>
    </row>
    <row r="1081" spans="2:4" ht="15" x14ac:dyDescent="0.15">
      <c r="B1081" s="38">
        <v>4276</v>
      </c>
      <c r="C1081" s="39">
        <f t="shared" si="36"/>
        <v>2.6269505402240267</v>
      </c>
      <c r="D1081" s="39">
        <f t="shared" si="37"/>
        <v>1.3531549388833828</v>
      </c>
    </row>
    <row r="1082" spans="2:4" ht="15" x14ac:dyDescent="0.15">
      <c r="B1082" s="38">
        <v>4280</v>
      </c>
      <c r="C1082" s="39">
        <f t="shared" si="36"/>
        <v>2.6298204856121283</v>
      </c>
      <c r="D1082" s="39">
        <f t="shared" si="37"/>
        <v>1.3536021150033046</v>
      </c>
    </row>
    <row r="1083" spans="2:4" ht="15" x14ac:dyDescent="0.15">
      <c r="B1083" s="38">
        <v>4284</v>
      </c>
      <c r="C1083" s="39">
        <f t="shared" si="36"/>
        <v>2.6326913795857338</v>
      </c>
      <c r="D1083" s="39">
        <f t="shared" si="37"/>
        <v>1.3540495867768596</v>
      </c>
    </row>
    <row r="1084" spans="2:4" ht="15" x14ac:dyDescent="0.15">
      <c r="B1084" s="38">
        <v>4288</v>
      </c>
      <c r="C1084" s="39">
        <f t="shared" si="36"/>
        <v>2.6355632227721077</v>
      </c>
      <c r="D1084" s="39">
        <f t="shared" si="37"/>
        <v>1.3544973544973544</v>
      </c>
    </row>
    <row r="1085" spans="2:4" ht="15" x14ac:dyDescent="0.15">
      <c r="B1085" s="38">
        <v>4292</v>
      </c>
      <c r="C1085" s="39">
        <f t="shared" si="36"/>
        <v>2.6384360157991456</v>
      </c>
      <c r="D1085" s="39">
        <f t="shared" si="37"/>
        <v>1.354945418458485</v>
      </c>
    </row>
    <row r="1086" spans="2:4" ht="15" x14ac:dyDescent="0.15">
      <c r="B1086" s="38">
        <v>4296</v>
      </c>
      <c r="C1086" s="39">
        <f t="shared" si="36"/>
        <v>2.6413097592953556</v>
      </c>
      <c r="D1086" s="39">
        <f t="shared" si="37"/>
        <v>1.3553937789543349</v>
      </c>
    </row>
    <row r="1087" spans="2:4" ht="15" x14ac:dyDescent="0.15">
      <c r="B1087" s="38">
        <v>4300</v>
      </c>
      <c r="C1087" s="39">
        <f t="shared" si="36"/>
        <v>2.6441844538898787</v>
      </c>
      <c r="D1087" s="39">
        <f t="shared" si="37"/>
        <v>1.3558424362793777</v>
      </c>
    </row>
    <row r="1088" spans="2:4" ht="15" x14ac:dyDescent="0.15">
      <c r="B1088" s="38">
        <v>4304</v>
      </c>
      <c r="C1088" s="39">
        <f t="shared" si="36"/>
        <v>2.6470601002124745</v>
      </c>
      <c r="D1088" s="39">
        <f t="shared" si="37"/>
        <v>1.3562913907284768</v>
      </c>
    </row>
    <row r="1089" spans="2:4" ht="15" x14ac:dyDescent="0.15">
      <c r="B1089" s="38">
        <v>4308</v>
      </c>
      <c r="C1089" s="39">
        <f t="shared" si="36"/>
        <v>2.6499366988935327</v>
      </c>
      <c r="D1089" s="39">
        <f t="shared" si="37"/>
        <v>1.3567406425968864</v>
      </c>
    </row>
    <row r="1090" spans="2:4" ht="15" x14ac:dyDescent="0.15">
      <c r="B1090" s="38">
        <v>4312</v>
      </c>
      <c r="C1090" s="39">
        <f t="shared" si="36"/>
        <v>2.6528142505640662</v>
      </c>
      <c r="D1090" s="39">
        <f t="shared" si="37"/>
        <v>1.3571901921802518</v>
      </c>
    </row>
    <row r="1091" spans="2:4" ht="15" x14ac:dyDescent="0.15">
      <c r="B1091" s="38">
        <v>4316</v>
      </c>
      <c r="C1091" s="39">
        <f t="shared" si="36"/>
        <v>2.6556927558557177</v>
      </c>
      <c r="D1091" s="39">
        <f t="shared" si="37"/>
        <v>1.3576400397746105</v>
      </c>
    </row>
    <row r="1092" spans="2:4" ht="15" x14ac:dyDescent="0.15">
      <c r="B1092" s="38">
        <v>4320</v>
      </c>
      <c r="C1092" s="39">
        <f t="shared" si="36"/>
        <v>2.6585722154007572</v>
      </c>
      <c r="D1092" s="39">
        <f t="shared" si="37"/>
        <v>1.3580901856763925</v>
      </c>
    </row>
    <row r="1093" spans="2:4" ht="15" x14ac:dyDescent="0.15">
      <c r="B1093" s="38">
        <v>4324</v>
      </c>
      <c r="C1093" s="39">
        <f t="shared" si="36"/>
        <v>2.6614526298320844</v>
      </c>
      <c r="D1093" s="39">
        <f t="shared" si="37"/>
        <v>1.3585406301824212</v>
      </c>
    </row>
    <row r="1094" spans="2:4" ht="15" x14ac:dyDescent="0.15">
      <c r="B1094" s="38">
        <v>4328</v>
      </c>
      <c r="C1094" s="39">
        <f t="shared" si="36"/>
        <v>2.6643339997832265</v>
      </c>
      <c r="D1094" s="39">
        <f t="shared" si="37"/>
        <v>1.3589913735899137</v>
      </c>
    </row>
    <row r="1095" spans="2:4" ht="15" x14ac:dyDescent="0.15">
      <c r="B1095" s="38">
        <v>4332</v>
      </c>
      <c r="C1095" s="39">
        <f t="shared" si="36"/>
        <v>2.6672163258883446</v>
      </c>
      <c r="D1095" s="39">
        <f t="shared" si="37"/>
        <v>1.359442416196482</v>
      </c>
    </row>
    <row r="1096" spans="2:4" ht="15" x14ac:dyDescent="0.15">
      <c r="B1096" s="38">
        <v>4336</v>
      </c>
      <c r="C1096" s="39">
        <f t="shared" si="36"/>
        <v>2.6700996087822269</v>
      </c>
      <c r="D1096" s="39">
        <f t="shared" si="37"/>
        <v>1.3598937583001327</v>
      </c>
    </row>
    <row r="1097" spans="2:4" ht="15" x14ac:dyDescent="0.15">
      <c r="B1097" s="38">
        <v>4340</v>
      </c>
      <c r="C1097" s="39">
        <f t="shared" si="36"/>
        <v>2.6729838491003011</v>
      </c>
      <c r="D1097" s="39">
        <f t="shared" si="37"/>
        <v>1.3603454001992694</v>
      </c>
    </row>
    <row r="1098" spans="2:4" ht="15" x14ac:dyDescent="0.15">
      <c r="B1098" s="38">
        <v>4344</v>
      </c>
      <c r="C1098" s="39">
        <f t="shared" si="36"/>
        <v>2.6758690474786202</v>
      </c>
      <c r="D1098" s="39">
        <f t="shared" si="37"/>
        <v>1.3607973421926911</v>
      </c>
    </row>
    <row r="1099" spans="2:4" ht="15" x14ac:dyDescent="0.15">
      <c r="B1099" s="38">
        <v>4348</v>
      </c>
      <c r="C1099" s="39">
        <f t="shared" si="36"/>
        <v>2.6787552045538749</v>
      </c>
      <c r="D1099" s="39">
        <f t="shared" si="37"/>
        <v>1.3612495845795944</v>
      </c>
    </row>
    <row r="1100" spans="2:4" ht="15" x14ac:dyDescent="0.15">
      <c r="B1100" s="38">
        <v>4352</v>
      </c>
      <c r="C1100" s="39">
        <f t="shared" si="36"/>
        <v>2.6816423209633937</v>
      </c>
      <c r="D1100" s="39">
        <f t="shared" si="37"/>
        <v>1.3617021276595744</v>
      </c>
    </row>
    <row r="1101" spans="2:4" ht="15" x14ac:dyDescent="0.15">
      <c r="B1101" s="38">
        <v>4356</v>
      </c>
      <c r="C1101" s="39">
        <f t="shared" si="36"/>
        <v>2.6845303973451355</v>
      </c>
      <c r="D1101" s="39">
        <f t="shared" si="37"/>
        <v>1.3621549717326238</v>
      </c>
    </row>
    <row r="1102" spans="2:4" ht="15" x14ac:dyDescent="0.15">
      <c r="B1102" s="38">
        <v>4360</v>
      </c>
      <c r="C1102" s="39">
        <f t="shared" si="36"/>
        <v>2.6874194343377003</v>
      </c>
      <c r="D1102" s="39">
        <f t="shared" si="37"/>
        <v>1.3626081170991351</v>
      </c>
    </row>
    <row r="1103" spans="2:4" ht="15" x14ac:dyDescent="0.15">
      <c r="B1103" s="38">
        <v>4364</v>
      </c>
      <c r="C1103" s="39">
        <f t="shared" si="36"/>
        <v>2.6903094325803205</v>
      </c>
      <c r="D1103" s="39">
        <f t="shared" si="37"/>
        <v>1.3630615640599002</v>
      </c>
    </row>
    <row r="1104" spans="2:4" ht="15" x14ac:dyDescent="0.15">
      <c r="B1104" s="38">
        <v>4368</v>
      </c>
      <c r="C1104" s="39">
        <f t="shared" si="36"/>
        <v>2.6932003927128716</v>
      </c>
      <c r="D1104" s="39">
        <f t="shared" si="37"/>
        <v>1.3635153129161119</v>
      </c>
    </row>
    <row r="1105" spans="2:4" ht="15" x14ac:dyDescent="0.15">
      <c r="B1105" s="38">
        <v>4372</v>
      </c>
      <c r="C1105" s="39">
        <f t="shared" si="36"/>
        <v>2.6960923153758651</v>
      </c>
      <c r="D1105" s="39">
        <f t="shared" si="37"/>
        <v>1.363969363969364</v>
      </c>
    </row>
    <row r="1106" spans="2:4" ht="15" x14ac:dyDescent="0.15">
      <c r="B1106" s="38">
        <v>4376</v>
      </c>
      <c r="C1106" s="39">
        <f t="shared" si="36"/>
        <v>2.6989852012104554</v>
      </c>
      <c r="D1106" s="39">
        <f t="shared" si="37"/>
        <v>1.3644237175216523</v>
      </c>
    </row>
    <row r="1107" spans="2:4" ht="15" x14ac:dyDescent="0.15">
      <c r="B1107" s="38">
        <v>4380</v>
      </c>
      <c r="C1107" s="39">
        <f t="shared" si="36"/>
        <v>2.7018790508584347</v>
      </c>
      <c r="D1107" s="39">
        <f t="shared" si="37"/>
        <v>1.3648783738753749</v>
      </c>
    </row>
    <row r="1108" spans="2:4" ht="15" x14ac:dyDescent="0.15">
      <c r="B1108" s="38">
        <v>4384</v>
      </c>
      <c r="C1108" s="39">
        <f t="shared" si="36"/>
        <v>2.7047738649622377</v>
      </c>
      <c r="D1108" s="39">
        <f t="shared" si="37"/>
        <v>1.3653333333333333</v>
      </c>
    </row>
    <row r="1109" spans="2:4" ht="15" x14ac:dyDescent="0.15">
      <c r="B1109" s="38">
        <v>4388</v>
      </c>
      <c r="C1109" s="39">
        <f t="shared" si="36"/>
        <v>2.7076696441649433</v>
      </c>
      <c r="D1109" s="39">
        <f t="shared" si="37"/>
        <v>1.3657885961987328</v>
      </c>
    </row>
    <row r="1110" spans="2:4" ht="15" x14ac:dyDescent="0.15">
      <c r="B1110" s="38">
        <v>4392</v>
      </c>
      <c r="C1110" s="39">
        <f t="shared" si="36"/>
        <v>2.7105663891102729</v>
      </c>
      <c r="D1110" s="39">
        <f t="shared" si="37"/>
        <v>1.3662441627751833</v>
      </c>
    </row>
    <row r="1111" spans="2:4" ht="15" x14ac:dyDescent="0.15">
      <c r="B1111" s="38">
        <v>4396</v>
      </c>
      <c r="C1111" s="39">
        <f t="shared" si="36"/>
        <v>2.7134641004425926</v>
      </c>
      <c r="D1111" s="39">
        <f t="shared" si="37"/>
        <v>1.3667000333667001</v>
      </c>
    </row>
    <row r="1112" spans="2:4" ht="15" x14ac:dyDescent="0.15">
      <c r="B1112" s="38">
        <v>4400</v>
      </c>
      <c r="C1112" s="39">
        <f t="shared" si="36"/>
        <v>2.7163627788069094</v>
      </c>
      <c r="D1112" s="39">
        <f t="shared" si="37"/>
        <v>1.3671562082777036</v>
      </c>
    </row>
    <row r="1113" spans="2:4" ht="15" x14ac:dyDescent="0.15">
      <c r="B1113" s="38">
        <v>4404</v>
      </c>
      <c r="C1113" s="39">
        <f t="shared" si="36"/>
        <v>2.7192624248488833</v>
      </c>
      <c r="D1113" s="39">
        <f t="shared" si="37"/>
        <v>1.3676126878130217</v>
      </c>
    </row>
    <row r="1114" spans="2:4" ht="15" x14ac:dyDescent="0.15">
      <c r="B1114" s="38">
        <v>4408</v>
      </c>
      <c r="C1114" s="39">
        <f t="shared" si="36"/>
        <v>2.7221630392148164</v>
      </c>
      <c r="D1114" s="39">
        <f t="shared" si="37"/>
        <v>1.3680694722778892</v>
      </c>
    </row>
    <row r="1115" spans="2:4" ht="15" x14ac:dyDescent="0.15">
      <c r="B1115" s="38">
        <v>4412</v>
      </c>
      <c r="C1115" s="39">
        <f t="shared" si="36"/>
        <v>2.7250646225516588</v>
      </c>
      <c r="D1115" s="39">
        <f t="shared" si="37"/>
        <v>1.3685265619779485</v>
      </c>
    </row>
    <row r="1116" spans="2:4" ht="15" x14ac:dyDescent="0.15">
      <c r="B1116" s="38">
        <v>4416</v>
      </c>
      <c r="C1116" s="39">
        <f t="shared" si="36"/>
        <v>2.7279671755070112</v>
      </c>
      <c r="D1116" s="39">
        <f t="shared" si="37"/>
        <v>1.3689839572192513</v>
      </c>
    </row>
    <row r="1117" spans="2:4" ht="15" x14ac:dyDescent="0.15">
      <c r="B1117" s="38">
        <v>4420</v>
      </c>
      <c r="C1117" s="39">
        <f t="shared" si="36"/>
        <v>2.7308706987291229</v>
      </c>
      <c r="D1117" s="39">
        <f t="shared" si="37"/>
        <v>1.369441658308258</v>
      </c>
    </row>
    <row r="1118" spans="2:4" ht="15" x14ac:dyDescent="0.15">
      <c r="B1118" s="38">
        <v>4424</v>
      </c>
      <c r="C1118" s="39">
        <f t="shared" si="36"/>
        <v>2.7337751928668936</v>
      </c>
      <c r="D1118" s="39">
        <f t="shared" si="37"/>
        <v>1.3698996655518394</v>
      </c>
    </row>
    <row r="1119" spans="2:4" ht="15" x14ac:dyDescent="0.15">
      <c r="B1119" s="38">
        <v>4428</v>
      </c>
      <c r="C1119" s="39">
        <f t="shared" si="36"/>
        <v>2.7366806585698726</v>
      </c>
      <c r="D1119" s="39">
        <f t="shared" si="37"/>
        <v>1.3703579792572766</v>
      </c>
    </row>
    <row r="1120" spans="2:4" ht="15" x14ac:dyDescent="0.15">
      <c r="B1120" s="38">
        <v>4432</v>
      </c>
      <c r="C1120" s="39">
        <f t="shared" si="36"/>
        <v>2.7395870964882629</v>
      </c>
      <c r="D1120" s="39">
        <f t="shared" si="37"/>
        <v>1.3708165997322623</v>
      </c>
    </row>
    <row r="1121" spans="2:4" ht="15" x14ac:dyDescent="0.15">
      <c r="B1121" s="38">
        <v>4436</v>
      </c>
      <c r="C1121" s="39">
        <f t="shared" si="36"/>
        <v>2.7424945072729217</v>
      </c>
      <c r="D1121" s="39">
        <f t="shared" si="37"/>
        <v>1.3712755272849013</v>
      </c>
    </row>
    <row r="1122" spans="2:4" ht="15" x14ac:dyDescent="0.15">
      <c r="B1122" s="38">
        <v>4440</v>
      </c>
      <c r="C1122" s="39">
        <f t="shared" si="36"/>
        <v>2.7454028915753548</v>
      </c>
      <c r="D1122" s="39">
        <f t="shared" si="37"/>
        <v>1.3717347622237106</v>
      </c>
    </row>
    <row r="1123" spans="2:4" ht="15" x14ac:dyDescent="0.15">
      <c r="B1123" s="38">
        <v>4444</v>
      </c>
      <c r="C1123" s="39">
        <f t="shared" si="36"/>
        <v>2.7483122500477291</v>
      </c>
      <c r="D1123" s="39">
        <f t="shared" si="37"/>
        <v>1.3721943048576215</v>
      </c>
    </row>
    <row r="1124" spans="2:4" ht="15" x14ac:dyDescent="0.15">
      <c r="B1124" s="38">
        <v>4448</v>
      </c>
      <c r="C1124" s="39">
        <f t="shared" si="36"/>
        <v>2.7512225833428632</v>
      </c>
      <c r="D1124" s="39">
        <f t="shared" si="37"/>
        <v>1.3726541554959786</v>
      </c>
    </row>
    <row r="1125" spans="2:4" ht="15" x14ac:dyDescent="0.15">
      <c r="B1125" s="38">
        <v>4452</v>
      </c>
      <c r="C1125" s="39">
        <f t="shared" si="36"/>
        <v>2.7541338921142335</v>
      </c>
      <c r="D1125" s="39">
        <f t="shared" si="37"/>
        <v>1.3731143144485418</v>
      </c>
    </row>
    <row r="1126" spans="2:4" ht="15" x14ac:dyDescent="0.15">
      <c r="B1126" s="38">
        <v>4456</v>
      </c>
      <c r="C1126" s="39">
        <f t="shared" si="36"/>
        <v>2.7570461770159715</v>
      </c>
      <c r="D1126" s="39">
        <f t="shared" si="37"/>
        <v>1.3735747820254862</v>
      </c>
    </row>
    <row r="1127" spans="2:4" ht="15" x14ac:dyDescent="0.15">
      <c r="B1127" s="38">
        <v>4460</v>
      </c>
      <c r="C1127" s="39">
        <f t="shared" si="36"/>
        <v>2.7599594387028716</v>
      </c>
      <c r="D1127" s="39">
        <f t="shared" si="37"/>
        <v>1.3740355585374036</v>
      </c>
    </row>
    <row r="1128" spans="2:4" ht="15" x14ac:dyDescent="0.15">
      <c r="B1128" s="38">
        <v>4464</v>
      </c>
      <c r="C1128" s="39">
        <f t="shared" si="36"/>
        <v>2.762873677830382</v>
      </c>
      <c r="D1128" s="39">
        <f t="shared" si="37"/>
        <v>1.3744966442953019</v>
      </c>
    </row>
    <row r="1129" spans="2:4" ht="15" x14ac:dyDescent="0.15">
      <c r="B1129" s="38">
        <v>4468</v>
      </c>
      <c r="C1129" s="39">
        <f t="shared" si="36"/>
        <v>2.7657888950546146</v>
      </c>
      <c r="D1129" s="39">
        <f t="shared" si="37"/>
        <v>1.3749580396106076</v>
      </c>
    </row>
    <row r="1130" spans="2:4" ht="15" x14ac:dyDescent="0.15">
      <c r="B1130" s="38">
        <v>4472</v>
      </c>
      <c r="C1130" s="39">
        <f t="shared" si="36"/>
        <v>2.7687050910323401</v>
      </c>
      <c r="D1130" s="39">
        <f t="shared" si="37"/>
        <v>1.3754197447951646</v>
      </c>
    </row>
    <row r="1131" spans="2:4" ht="15" x14ac:dyDescent="0.15">
      <c r="B1131" s="38">
        <v>4476</v>
      </c>
      <c r="C1131" s="39">
        <f t="shared" si="36"/>
        <v>2.7716222664209909</v>
      </c>
      <c r="D1131" s="39">
        <f t="shared" si="37"/>
        <v>1.3758817601612361</v>
      </c>
    </row>
    <row r="1132" spans="2:4" ht="15" x14ac:dyDescent="0.15">
      <c r="B1132" s="38">
        <v>4480</v>
      </c>
      <c r="C1132" s="39">
        <f t="shared" si="36"/>
        <v>2.7745404218786658</v>
      </c>
      <c r="D1132" s="39">
        <f t="shared" si="37"/>
        <v>1.3763440860215055</v>
      </c>
    </row>
    <row r="1133" spans="2:4" ht="15" x14ac:dyDescent="0.15">
      <c r="B1133" s="38">
        <v>4484</v>
      </c>
      <c r="C1133" s="39">
        <f t="shared" si="36"/>
        <v>2.7774595580641197</v>
      </c>
      <c r="D1133" s="39">
        <f t="shared" si="37"/>
        <v>1.3768067226890757</v>
      </c>
    </row>
    <row r="1134" spans="2:4" ht="15" x14ac:dyDescent="0.15">
      <c r="B1134" s="38">
        <v>4488</v>
      </c>
      <c r="C1134" s="39">
        <f t="shared" si="36"/>
        <v>2.7803796756367789</v>
      </c>
      <c r="D1134" s="39">
        <f t="shared" si="37"/>
        <v>1.3772696704774714</v>
      </c>
    </row>
    <row r="1135" spans="2:4" ht="15" x14ac:dyDescent="0.15">
      <c r="B1135" s="38">
        <v>4492</v>
      </c>
      <c r="C1135" s="39">
        <f t="shared" si="36"/>
        <v>2.7833007752567318</v>
      </c>
      <c r="D1135" s="39">
        <f t="shared" si="37"/>
        <v>1.3777329297006391</v>
      </c>
    </row>
    <row r="1136" spans="2:4" ht="15" x14ac:dyDescent="0.15">
      <c r="B1136" s="38">
        <v>4496</v>
      </c>
      <c r="C1136" s="39">
        <f t="shared" si="36"/>
        <v>2.786222857584733</v>
      </c>
      <c r="D1136" s="39">
        <f t="shared" si="37"/>
        <v>1.3781965006729475</v>
      </c>
    </row>
    <row r="1137" spans="2:4" ht="15" x14ac:dyDescent="0.15">
      <c r="B1137" s="38">
        <v>4500</v>
      </c>
      <c r="C1137" s="39">
        <f t="shared" si="36"/>
        <v>2.7891459232822062</v>
      </c>
      <c r="D1137" s="39">
        <f t="shared" si="37"/>
        <v>1.3786603837091889</v>
      </c>
    </row>
    <row r="1138" spans="2:4" ht="15" x14ac:dyDescent="0.15">
      <c r="B1138" s="38">
        <v>4504</v>
      </c>
      <c r="C1138" s="39">
        <f t="shared" si="36"/>
        <v>2.7920699730112402</v>
      </c>
      <c r="D1138" s="39">
        <f t="shared" si="37"/>
        <v>1.3791245791245792</v>
      </c>
    </row>
    <row r="1139" spans="2:4" ht="15" x14ac:dyDescent="0.15">
      <c r="B1139" s="38">
        <v>4508</v>
      </c>
      <c r="C1139" s="39">
        <f t="shared" si="36"/>
        <v>2.7949950074345935</v>
      </c>
      <c r="D1139" s="39">
        <f t="shared" si="37"/>
        <v>1.3795890872347591</v>
      </c>
    </row>
    <row r="1140" spans="2:4" ht="15" x14ac:dyDescent="0.15">
      <c r="B1140" s="38">
        <v>4512</v>
      </c>
      <c r="C1140" s="39">
        <f t="shared" si="36"/>
        <v>2.7979210272156978</v>
      </c>
      <c r="D1140" s="39">
        <f t="shared" si="37"/>
        <v>1.3800539083557952</v>
      </c>
    </row>
    <row r="1141" spans="2:4" ht="15" x14ac:dyDescent="0.15">
      <c r="B1141" s="38">
        <v>4516</v>
      </c>
      <c r="C1141" s="39">
        <f t="shared" si="36"/>
        <v>2.8008480330186503</v>
      </c>
      <c r="D1141" s="39">
        <f t="shared" si="37"/>
        <v>1.3805190428041794</v>
      </c>
    </row>
    <row r="1142" spans="2:4" ht="15" x14ac:dyDescent="0.15">
      <c r="B1142" s="38">
        <v>4520</v>
      </c>
      <c r="C1142" s="39">
        <f t="shared" si="36"/>
        <v>2.8037760255082222</v>
      </c>
      <c r="D1142" s="39">
        <f t="shared" si="37"/>
        <v>1.3809844908968307</v>
      </c>
    </row>
    <row r="1143" spans="2:4" ht="15" x14ac:dyDescent="0.15">
      <c r="B1143" s="38">
        <v>4524</v>
      </c>
      <c r="C1143" s="39">
        <f t="shared" ref="C1143:C1206" si="38">20*LOG(D1143)</f>
        <v>2.8067050053498588</v>
      </c>
      <c r="D1143" s="39">
        <f t="shared" ref="D1143:D1206" si="39">16384/(16384-B1143)</f>
        <v>1.3814502529510961</v>
      </c>
    </row>
    <row r="1144" spans="2:4" ht="15" x14ac:dyDescent="0.15">
      <c r="B1144" s="38">
        <v>4528</v>
      </c>
      <c r="C1144" s="39">
        <f t="shared" si="38"/>
        <v>2.8096349732096755</v>
      </c>
      <c r="D1144" s="39">
        <f t="shared" si="39"/>
        <v>1.3819163292847503</v>
      </c>
    </row>
    <row r="1145" spans="2:4" ht="15" x14ac:dyDescent="0.15">
      <c r="B1145" s="38">
        <v>4532</v>
      </c>
      <c r="C1145" s="39">
        <f t="shared" si="38"/>
        <v>2.8125659297544647</v>
      </c>
      <c r="D1145" s="39">
        <f t="shared" si="39"/>
        <v>1.3823827202159973</v>
      </c>
    </row>
    <row r="1146" spans="2:4" ht="15" x14ac:dyDescent="0.15">
      <c r="B1146" s="38">
        <v>4536</v>
      </c>
      <c r="C1146" s="39">
        <f t="shared" si="38"/>
        <v>2.815497875651694</v>
      </c>
      <c r="D1146" s="39">
        <f t="shared" si="39"/>
        <v>1.3828494260634707</v>
      </c>
    </row>
    <row r="1147" spans="2:4" ht="15" x14ac:dyDescent="0.15">
      <c r="B1147" s="38">
        <v>4540</v>
      </c>
      <c r="C1147" s="39">
        <f t="shared" si="38"/>
        <v>2.8184308115695038</v>
      </c>
      <c r="D1147" s="39">
        <f t="shared" si="39"/>
        <v>1.3833164471462345</v>
      </c>
    </row>
    <row r="1148" spans="2:4" ht="15" x14ac:dyDescent="0.15">
      <c r="B1148" s="38">
        <v>4544</v>
      </c>
      <c r="C1148" s="39">
        <f t="shared" si="38"/>
        <v>2.8213647381767162</v>
      </c>
      <c r="D1148" s="39">
        <f t="shared" si="39"/>
        <v>1.3837837837837839</v>
      </c>
    </row>
    <row r="1149" spans="2:4" ht="15" x14ac:dyDescent="0.15">
      <c r="B1149" s="38">
        <v>4548</v>
      </c>
      <c r="C1149" s="39">
        <f t="shared" si="38"/>
        <v>2.8242996561428257</v>
      </c>
      <c r="D1149" s="39">
        <f t="shared" si="39"/>
        <v>1.3842514362960459</v>
      </c>
    </row>
    <row r="1150" spans="2:4" ht="15" x14ac:dyDescent="0.15">
      <c r="B1150" s="38">
        <v>4552</v>
      </c>
      <c r="C1150" s="39">
        <f t="shared" si="38"/>
        <v>2.8272355661380137</v>
      </c>
      <c r="D1150" s="39">
        <f t="shared" si="39"/>
        <v>1.3847194050033806</v>
      </c>
    </row>
    <row r="1151" spans="2:4" ht="15" x14ac:dyDescent="0.15">
      <c r="B1151" s="38">
        <v>4556</v>
      </c>
      <c r="C1151" s="39">
        <f t="shared" si="38"/>
        <v>2.8301724688331338</v>
      </c>
      <c r="D1151" s="39">
        <f t="shared" si="39"/>
        <v>1.3851876902265809</v>
      </c>
    </row>
    <row r="1152" spans="2:4" ht="15" x14ac:dyDescent="0.15">
      <c r="B1152" s="38">
        <v>4560</v>
      </c>
      <c r="C1152" s="39">
        <f t="shared" si="38"/>
        <v>2.8331103648997251</v>
      </c>
      <c r="D1152" s="39">
        <f t="shared" si="39"/>
        <v>1.3856562922868743</v>
      </c>
    </row>
    <row r="1153" spans="2:4" ht="15" x14ac:dyDescent="0.15">
      <c r="B1153" s="38">
        <v>4564</v>
      </c>
      <c r="C1153" s="39">
        <f t="shared" si="38"/>
        <v>2.8360492550100034</v>
      </c>
      <c r="D1153" s="39">
        <f t="shared" si="39"/>
        <v>1.3861252115059222</v>
      </c>
    </row>
    <row r="1154" spans="2:4" ht="15" x14ac:dyDescent="0.15">
      <c r="B1154" s="38">
        <v>4568</v>
      </c>
      <c r="C1154" s="39">
        <f t="shared" si="38"/>
        <v>2.8389891398368725</v>
      </c>
      <c r="D1154" s="39">
        <f t="shared" si="39"/>
        <v>1.3865944482058226</v>
      </c>
    </row>
    <row r="1155" spans="2:4" ht="15" x14ac:dyDescent="0.15">
      <c r="B1155" s="38">
        <v>4572</v>
      </c>
      <c r="C1155" s="39">
        <f t="shared" si="38"/>
        <v>2.8419300200539181</v>
      </c>
      <c r="D1155" s="39">
        <f t="shared" si="39"/>
        <v>1.3870640027091095</v>
      </c>
    </row>
    <row r="1156" spans="2:4" ht="15" x14ac:dyDescent="0.15">
      <c r="B1156" s="38">
        <v>4576</v>
      </c>
      <c r="C1156" s="39">
        <f t="shared" si="38"/>
        <v>2.8448718963354076</v>
      </c>
      <c r="D1156" s="39">
        <f t="shared" si="39"/>
        <v>1.3875338753387534</v>
      </c>
    </row>
    <row r="1157" spans="2:4" ht="15" x14ac:dyDescent="0.15">
      <c r="B1157" s="38">
        <v>4580</v>
      </c>
      <c r="C1157" s="39">
        <f t="shared" si="38"/>
        <v>2.8478147693562978</v>
      </c>
      <c r="D1157" s="39">
        <f t="shared" si="39"/>
        <v>1.3880040664181634</v>
      </c>
    </row>
    <row r="1158" spans="2:4" ht="15" x14ac:dyDescent="0.15">
      <c r="B1158" s="38">
        <v>4584</v>
      </c>
      <c r="C1158" s="39">
        <f t="shared" si="38"/>
        <v>2.8507586397922275</v>
      </c>
      <c r="D1158" s="39">
        <f t="shared" si="39"/>
        <v>1.3884745762711865</v>
      </c>
    </row>
    <row r="1159" spans="2:4" ht="15" x14ac:dyDescent="0.15">
      <c r="B1159" s="38">
        <v>4588</v>
      </c>
      <c r="C1159" s="39">
        <f t="shared" si="38"/>
        <v>2.8537035083195263</v>
      </c>
      <c r="D1159" s="39">
        <f t="shared" si="39"/>
        <v>1.3889454052221093</v>
      </c>
    </row>
    <row r="1160" spans="2:4" ht="15" x14ac:dyDescent="0.15">
      <c r="B1160" s="38">
        <v>4592</v>
      </c>
      <c r="C1160" s="39">
        <f t="shared" si="38"/>
        <v>2.8566493756152092</v>
      </c>
      <c r="D1160" s="39">
        <f t="shared" si="39"/>
        <v>1.389416553595658</v>
      </c>
    </row>
    <row r="1161" spans="2:4" ht="15" x14ac:dyDescent="0.15">
      <c r="B1161" s="38">
        <v>4596</v>
      </c>
      <c r="C1161" s="39">
        <f t="shared" si="38"/>
        <v>2.859596242356985</v>
      </c>
      <c r="D1161" s="39">
        <f t="shared" si="39"/>
        <v>1.3898880217170004</v>
      </c>
    </row>
    <row r="1162" spans="2:4" ht="15" x14ac:dyDescent="0.15">
      <c r="B1162" s="38">
        <v>4600</v>
      </c>
      <c r="C1162" s="39">
        <f t="shared" si="38"/>
        <v>2.8625441092232444</v>
      </c>
      <c r="D1162" s="39">
        <f t="shared" si="39"/>
        <v>1.3903598099117447</v>
      </c>
    </row>
    <row r="1163" spans="2:4" ht="15" x14ac:dyDescent="0.15">
      <c r="B1163" s="38">
        <v>4604</v>
      </c>
      <c r="C1163" s="39">
        <f t="shared" si="38"/>
        <v>2.8654929768930781</v>
      </c>
      <c r="D1163" s="39">
        <f t="shared" si="39"/>
        <v>1.3908319185059423</v>
      </c>
    </row>
    <row r="1164" spans="2:4" ht="15" x14ac:dyDescent="0.15">
      <c r="B1164" s="38">
        <v>4608</v>
      </c>
      <c r="C1164" s="39">
        <f t="shared" si="38"/>
        <v>2.8684428460462619</v>
      </c>
      <c r="D1164" s="39">
        <f t="shared" si="39"/>
        <v>1.3913043478260869</v>
      </c>
    </row>
    <row r="1165" spans="2:4" ht="15" x14ac:dyDescent="0.15">
      <c r="B1165" s="38">
        <v>4612</v>
      </c>
      <c r="C1165" s="39">
        <f t="shared" si="38"/>
        <v>2.8713937173632686</v>
      </c>
      <c r="D1165" s="39">
        <f t="shared" si="39"/>
        <v>1.3917770981991167</v>
      </c>
    </row>
    <row r="1166" spans="2:4" ht="15" x14ac:dyDescent="0.15">
      <c r="B1166" s="38">
        <v>4616</v>
      </c>
      <c r="C1166" s="39">
        <f t="shared" si="38"/>
        <v>2.8743455915252603</v>
      </c>
      <c r="D1166" s="39">
        <f t="shared" si="39"/>
        <v>1.3922501699524132</v>
      </c>
    </row>
    <row r="1167" spans="2:4" ht="15" x14ac:dyDescent="0.15">
      <c r="B1167" s="38">
        <v>4620</v>
      </c>
      <c r="C1167" s="39">
        <f t="shared" si="38"/>
        <v>2.8772984692141002</v>
      </c>
      <c r="D1167" s="39">
        <f t="shared" si="39"/>
        <v>1.3927235634138049</v>
      </c>
    </row>
    <row r="1168" spans="2:4" ht="15" x14ac:dyDescent="0.15">
      <c r="B1168" s="38">
        <v>4624</v>
      </c>
      <c r="C1168" s="39">
        <f t="shared" si="38"/>
        <v>2.8802523511123401</v>
      </c>
      <c r="D1168" s="39">
        <f t="shared" si="39"/>
        <v>1.3931972789115645</v>
      </c>
    </row>
    <row r="1169" spans="2:4" ht="15" x14ac:dyDescent="0.15">
      <c r="B1169" s="38">
        <v>4628</v>
      </c>
      <c r="C1169" s="39">
        <f t="shared" si="38"/>
        <v>2.8832072379032354</v>
      </c>
      <c r="D1169" s="39">
        <f t="shared" si="39"/>
        <v>1.393671316774413</v>
      </c>
    </row>
    <row r="1170" spans="2:4" ht="15" x14ac:dyDescent="0.15">
      <c r="B1170" s="38">
        <v>4632</v>
      </c>
      <c r="C1170" s="39">
        <f t="shared" si="38"/>
        <v>2.8861631302707327</v>
      </c>
      <c r="D1170" s="39">
        <f t="shared" si="39"/>
        <v>1.394145677331518</v>
      </c>
    </row>
    <row r="1171" spans="2:4" ht="15" x14ac:dyDescent="0.15">
      <c r="B1171" s="38">
        <v>4636</v>
      </c>
      <c r="C1171" s="39">
        <f t="shared" si="38"/>
        <v>2.8891200288994812</v>
      </c>
      <c r="D1171" s="39">
        <f t="shared" si="39"/>
        <v>1.3946203609124956</v>
      </c>
    </row>
    <row r="1172" spans="2:4" ht="15" x14ac:dyDescent="0.15">
      <c r="B1172" s="38">
        <v>4640</v>
      </c>
      <c r="C1172" s="39">
        <f t="shared" si="38"/>
        <v>2.8920779344748282</v>
      </c>
      <c r="D1172" s="39">
        <f t="shared" si="39"/>
        <v>1.3950953678474114</v>
      </c>
    </row>
    <row r="1173" spans="2:4" ht="15" x14ac:dyDescent="0.15">
      <c r="B1173" s="38">
        <v>4644</v>
      </c>
      <c r="C1173" s="39">
        <f t="shared" si="38"/>
        <v>2.895036847682821</v>
      </c>
      <c r="D1173" s="39">
        <f t="shared" si="39"/>
        <v>1.3955706984667802</v>
      </c>
    </row>
    <row r="1174" spans="2:4" ht="15" x14ac:dyDescent="0.15">
      <c r="B1174" s="38">
        <v>4648</v>
      </c>
      <c r="C1174" s="39">
        <f t="shared" si="38"/>
        <v>2.8979967692102098</v>
      </c>
      <c r="D1174" s="39">
        <f t="shared" si="39"/>
        <v>1.3960463531015679</v>
      </c>
    </row>
    <row r="1175" spans="2:4" ht="15" x14ac:dyDescent="0.15">
      <c r="B1175" s="38">
        <v>4652</v>
      </c>
      <c r="C1175" s="39">
        <f t="shared" si="38"/>
        <v>2.9009576997444437</v>
      </c>
      <c r="D1175" s="39">
        <f t="shared" si="39"/>
        <v>1.3965223320831912</v>
      </c>
    </row>
    <row r="1176" spans="2:4" ht="15" x14ac:dyDescent="0.15">
      <c r="B1176" s="38">
        <v>4656</v>
      </c>
      <c r="C1176" s="39">
        <f t="shared" si="38"/>
        <v>2.90391963997368</v>
      </c>
      <c r="D1176" s="39">
        <f t="shared" si="39"/>
        <v>1.3969986357435198</v>
      </c>
    </row>
    <row r="1177" spans="2:4" ht="15" x14ac:dyDescent="0.15">
      <c r="B1177" s="38">
        <v>4660</v>
      </c>
      <c r="C1177" s="39">
        <f t="shared" si="38"/>
        <v>2.9068825905867772</v>
      </c>
      <c r="D1177" s="39">
        <f t="shared" si="39"/>
        <v>1.3974752644148756</v>
      </c>
    </row>
    <row r="1178" spans="2:4" ht="15" x14ac:dyDescent="0.15">
      <c r="B1178" s="38">
        <v>4664</v>
      </c>
      <c r="C1178" s="39">
        <f t="shared" si="38"/>
        <v>2.9098465522732981</v>
      </c>
      <c r="D1178" s="39">
        <f t="shared" si="39"/>
        <v>1.3979522184300341</v>
      </c>
    </row>
    <row r="1179" spans="2:4" ht="15" x14ac:dyDescent="0.15">
      <c r="B1179" s="38">
        <v>4668</v>
      </c>
      <c r="C1179" s="39">
        <f t="shared" si="38"/>
        <v>2.9128115257235137</v>
      </c>
      <c r="D1179" s="39">
        <f t="shared" si="39"/>
        <v>1.3984294981222261</v>
      </c>
    </row>
    <row r="1180" spans="2:4" ht="15" x14ac:dyDescent="0.15">
      <c r="B1180" s="38">
        <v>4672</v>
      </c>
      <c r="C1180" s="39">
        <f t="shared" si="38"/>
        <v>2.9157775116284017</v>
      </c>
      <c r="D1180" s="39">
        <f t="shared" si="39"/>
        <v>1.3989071038251366</v>
      </c>
    </row>
    <row r="1181" spans="2:4" ht="15" x14ac:dyDescent="0.15">
      <c r="B1181" s="38">
        <v>4676</v>
      </c>
      <c r="C1181" s="39">
        <f t="shared" si="38"/>
        <v>2.9187445106796477</v>
      </c>
      <c r="D1181" s="39">
        <f t="shared" si="39"/>
        <v>1.3993850358729074</v>
      </c>
    </row>
    <row r="1182" spans="2:4" ht="15" x14ac:dyDescent="0.15">
      <c r="B1182" s="38">
        <v>4680</v>
      </c>
      <c r="C1182" s="39">
        <f t="shared" si="38"/>
        <v>2.9217125235696466</v>
      </c>
      <c r="D1182" s="39">
        <f t="shared" si="39"/>
        <v>1.3998632946001368</v>
      </c>
    </row>
    <row r="1183" spans="2:4" ht="15" x14ac:dyDescent="0.15">
      <c r="B1183" s="38">
        <v>4684</v>
      </c>
      <c r="C1183" s="39">
        <f t="shared" si="38"/>
        <v>2.9246815509915018</v>
      </c>
      <c r="D1183" s="39">
        <f t="shared" si="39"/>
        <v>1.4003418803418803</v>
      </c>
    </row>
    <row r="1184" spans="2:4" ht="15" x14ac:dyDescent="0.15">
      <c r="B1184" s="38">
        <v>4688</v>
      </c>
      <c r="C1184" s="39">
        <f t="shared" si="38"/>
        <v>2.9276515936390295</v>
      </c>
      <c r="D1184" s="39">
        <f t="shared" si="39"/>
        <v>1.4008207934336525</v>
      </c>
    </row>
    <row r="1185" spans="2:4" ht="15" x14ac:dyDescent="0.15">
      <c r="B1185" s="38">
        <v>4692</v>
      </c>
      <c r="C1185" s="39">
        <f t="shared" si="38"/>
        <v>2.930622652206758</v>
      </c>
      <c r="D1185" s="39">
        <f t="shared" si="39"/>
        <v>1.4013000342114266</v>
      </c>
    </row>
    <row r="1186" spans="2:4" ht="15" x14ac:dyDescent="0.15">
      <c r="B1186" s="38">
        <v>4696</v>
      </c>
      <c r="C1186" s="39">
        <f t="shared" si="38"/>
        <v>2.9335947273899277</v>
      </c>
      <c r="D1186" s="39">
        <f t="shared" si="39"/>
        <v>1.4017796030116358</v>
      </c>
    </row>
    <row r="1187" spans="2:4" ht="15" x14ac:dyDescent="0.15">
      <c r="B1187" s="38">
        <v>4700</v>
      </c>
      <c r="C1187" s="39">
        <f t="shared" si="38"/>
        <v>2.9365678198844911</v>
      </c>
      <c r="D1187" s="39">
        <f t="shared" si="39"/>
        <v>1.4022595001711742</v>
      </c>
    </row>
    <row r="1188" spans="2:4" ht="15" x14ac:dyDescent="0.15">
      <c r="B1188" s="38">
        <v>4704</v>
      </c>
      <c r="C1188" s="39">
        <f t="shared" si="38"/>
        <v>2.9395419303871213</v>
      </c>
      <c r="D1188" s="39">
        <f t="shared" si="39"/>
        <v>1.4027397260273973</v>
      </c>
    </row>
    <row r="1189" spans="2:4" ht="15" x14ac:dyDescent="0.15">
      <c r="B1189" s="38">
        <v>4708</v>
      </c>
      <c r="C1189" s="39">
        <f t="shared" si="38"/>
        <v>2.9425170595951999</v>
      </c>
      <c r="D1189" s="39">
        <f t="shared" si="39"/>
        <v>1.4032202809181227</v>
      </c>
    </row>
    <row r="1190" spans="2:4" ht="15" x14ac:dyDescent="0.15">
      <c r="B1190" s="38">
        <v>4712</v>
      </c>
      <c r="C1190" s="39">
        <f t="shared" si="38"/>
        <v>2.9454932082068312</v>
      </c>
      <c r="D1190" s="39">
        <f t="shared" si="39"/>
        <v>1.4037011651816313</v>
      </c>
    </row>
    <row r="1191" spans="2:4" ht="15" x14ac:dyDescent="0.15">
      <c r="B1191" s="38">
        <v>4716</v>
      </c>
      <c r="C1191" s="39">
        <f t="shared" si="38"/>
        <v>2.9484703769208336</v>
      </c>
      <c r="D1191" s="39">
        <f t="shared" si="39"/>
        <v>1.4041823791566679</v>
      </c>
    </row>
    <row r="1192" spans="2:4" ht="15" x14ac:dyDescent="0.15">
      <c r="B1192" s="38">
        <v>4720</v>
      </c>
      <c r="C1192" s="39">
        <f t="shared" si="38"/>
        <v>2.9514485664367456</v>
      </c>
      <c r="D1192" s="39">
        <f t="shared" si="39"/>
        <v>1.4046639231824416</v>
      </c>
    </row>
    <row r="1193" spans="2:4" ht="15" x14ac:dyDescent="0.15">
      <c r="B1193" s="38">
        <v>4724</v>
      </c>
      <c r="C1193" s="39">
        <f t="shared" si="38"/>
        <v>2.9544277774548284</v>
      </c>
      <c r="D1193" s="39">
        <f t="shared" si="39"/>
        <v>1.4051457975986277</v>
      </c>
    </row>
    <row r="1194" spans="2:4" ht="15" x14ac:dyDescent="0.15">
      <c r="B1194" s="38">
        <v>4728</v>
      </c>
      <c r="C1194" s="39">
        <f t="shared" si="38"/>
        <v>2.9574080106760596</v>
      </c>
      <c r="D1194" s="39">
        <f t="shared" si="39"/>
        <v>1.4056280027453671</v>
      </c>
    </row>
    <row r="1195" spans="2:4" ht="15" x14ac:dyDescent="0.15">
      <c r="B1195" s="38">
        <v>4732</v>
      </c>
      <c r="C1195" s="39">
        <f t="shared" si="38"/>
        <v>2.9603892668021414</v>
      </c>
      <c r="D1195" s="39">
        <f t="shared" si="39"/>
        <v>1.4061105389632682</v>
      </c>
    </row>
    <row r="1196" spans="2:4" ht="15" x14ac:dyDescent="0.15">
      <c r="B1196" s="38">
        <v>4736</v>
      </c>
      <c r="C1196" s="39">
        <f t="shared" si="38"/>
        <v>2.9633715465354959</v>
      </c>
      <c r="D1196" s="39">
        <f t="shared" si="39"/>
        <v>1.4065934065934067</v>
      </c>
    </row>
    <row r="1197" spans="2:4" ht="15" x14ac:dyDescent="0.15">
      <c r="B1197" s="38">
        <v>4740</v>
      </c>
      <c r="C1197" s="39">
        <f t="shared" si="38"/>
        <v>2.9663548505792714</v>
      </c>
      <c r="D1197" s="39">
        <f t="shared" si="39"/>
        <v>1.4070766059773274</v>
      </c>
    </row>
    <row r="1198" spans="2:4" ht="15" x14ac:dyDescent="0.15">
      <c r="B1198" s="38">
        <v>4744</v>
      </c>
      <c r="C1198" s="39">
        <f t="shared" si="38"/>
        <v>2.9693391796373421</v>
      </c>
      <c r="D1198" s="39">
        <f t="shared" si="39"/>
        <v>1.4075601374570448</v>
      </c>
    </row>
    <row r="1199" spans="2:4" ht="15" x14ac:dyDescent="0.15">
      <c r="B1199" s="38">
        <v>4748</v>
      </c>
      <c r="C1199" s="39">
        <f t="shared" si="38"/>
        <v>2.9723245344143034</v>
      </c>
      <c r="D1199" s="39">
        <f t="shared" si="39"/>
        <v>1.408044001375043</v>
      </c>
    </row>
    <row r="1200" spans="2:4" ht="15" x14ac:dyDescent="0.15">
      <c r="B1200" s="38">
        <v>4752</v>
      </c>
      <c r="C1200" s="39">
        <f t="shared" si="38"/>
        <v>2.9753109156154824</v>
      </c>
      <c r="D1200" s="39">
        <f t="shared" si="39"/>
        <v>1.4085281980742779</v>
      </c>
    </row>
    <row r="1201" spans="2:4" ht="15" x14ac:dyDescent="0.15">
      <c r="B1201" s="38">
        <v>4756</v>
      </c>
      <c r="C1201" s="39">
        <f t="shared" si="38"/>
        <v>2.9782983239469312</v>
      </c>
      <c r="D1201" s="39">
        <f t="shared" si="39"/>
        <v>1.4090127278981768</v>
      </c>
    </row>
    <row r="1202" spans="2:4" ht="15" x14ac:dyDescent="0.15">
      <c r="B1202" s="38">
        <v>4760</v>
      </c>
      <c r="C1202" s="39">
        <f t="shared" si="38"/>
        <v>2.9812867601154318</v>
      </c>
      <c r="D1202" s="39">
        <f t="shared" si="39"/>
        <v>1.40949759119064</v>
      </c>
    </row>
    <row r="1203" spans="2:4" ht="15" x14ac:dyDescent="0.15">
      <c r="B1203" s="38">
        <v>4764</v>
      </c>
      <c r="C1203" s="39">
        <f t="shared" si="38"/>
        <v>2.9842762248284966</v>
      </c>
      <c r="D1203" s="39">
        <f t="shared" si="39"/>
        <v>1.4099827882960414</v>
      </c>
    </row>
    <row r="1204" spans="2:4" ht="15" x14ac:dyDescent="0.15">
      <c r="B1204" s="38">
        <v>4768</v>
      </c>
      <c r="C1204" s="39">
        <f t="shared" si="38"/>
        <v>2.9872667187943653</v>
      </c>
      <c r="D1204" s="39">
        <f t="shared" si="39"/>
        <v>1.4104683195592287</v>
      </c>
    </row>
    <row r="1205" spans="2:4" ht="15" x14ac:dyDescent="0.15">
      <c r="B1205" s="38">
        <v>4772</v>
      </c>
      <c r="C1205" s="39">
        <f t="shared" si="38"/>
        <v>2.990258242722013</v>
      </c>
      <c r="D1205" s="39">
        <f t="shared" si="39"/>
        <v>1.4109541853255254</v>
      </c>
    </row>
    <row r="1206" spans="2:4" ht="15" x14ac:dyDescent="0.15">
      <c r="B1206" s="38">
        <v>4776</v>
      </c>
      <c r="C1206" s="39">
        <f t="shared" si="38"/>
        <v>2.9932507973211453</v>
      </c>
      <c r="D1206" s="39">
        <f t="shared" si="39"/>
        <v>1.4114403859407305</v>
      </c>
    </row>
    <row r="1207" spans="2:4" ht="15" x14ac:dyDescent="0.15">
      <c r="B1207" s="38">
        <v>4780</v>
      </c>
      <c r="C1207" s="39">
        <f t="shared" ref="C1207:C1228" si="40">20*LOG(D1207)</f>
        <v>2.9962443833022046</v>
      </c>
      <c r="D1207" s="39">
        <f t="shared" ref="D1207:D1228" si="41">16384/(16384-B1207)</f>
        <v>1.4119269217511203</v>
      </c>
    </row>
    <row r="1208" spans="2:4" ht="15" x14ac:dyDescent="0.15">
      <c r="B1208" s="38">
        <v>4784</v>
      </c>
      <c r="C1208" s="39">
        <f t="shared" si="40"/>
        <v>2.9992390013763641</v>
      </c>
      <c r="D1208" s="39">
        <f t="shared" si="41"/>
        <v>1.4124137931034482</v>
      </c>
    </row>
    <row r="1209" spans="2:4" ht="15" x14ac:dyDescent="0.15">
      <c r="B1209" s="38">
        <v>4788</v>
      </c>
      <c r="C1209" s="39">
        <f t="shared" si="40"/>
        <v>3.0022346522555377</v>
      </c>
      <c r="D1209" s="39">
        <f t="shared" si="41"/>
        <v>1.4129010003449465</v>
      </c>
    </row>
    <row r="1210" spans="2:4" ht="15" x14ac:dyDescent="0.15">
      <c r="B1210" s="38">
        <v>4792</v>
      </c>
      <c r="C1210" s="39">
        <f t="shared" si="40"/>
        <v>3.0052313366523715</v>
      </c>
      <c r="D1210" s="39">
        <f t="shared" si="41"/>
        <v>1.4133885438233265</v>
      </c>
    </row>
    <row r="1211" spans="2:4" ht="15" x14ac:dyDescent="0.15">
      <c r="B1211" s="38">
        <v>4796</v>
      </c>
      <c r="C1211" s="39">
        <f t="shared" si="40"/>
        <v>3.0082290552802506</v>
      </c>
      <c r="D1211" s="39">
        <f t="shared" si="41"/>
        <v>1.4138764238867794</v>
      </c>
    </row>
    <row r="1212" spans="2:4" ht="15" x14ac:dyDescent="0.15">
      <c r="B1212" s="38">
        <v>4800</v>
      </c>
      <c r="C1212" s="39">
        <f t="shared" si="40"/>
        <v>3.0112278088533007</v>
      </c>
      <c r="D1212" s="39">
        <f t="shared" si="41"/>
        <v>1.4143646408839778</v>
      </c>
    </row>
    <row r="1213" spans="2:4" ht="15" x14ac:dyDescent="0.15">
      <c r="B1213" s="38">
        <v>4804</v>
      </c>
      <c r="C1213" s="39">
        <f t="shared" si="40"/>
        <v>3.0142275980863866</v>
      </c>
      <c r="D1213" s="39">
        <f t="shared" si="41"/>
        <v>1.4148531951640759</v>
      </c>
    </row>
    <row r="1214" spans="2:4" ht="15" x14ac:dyDescent="0.15">
      <c r="B1214" s="38">
        <v>4808</v>
      </c>
      <c r="C1214" s="39">
        <f t="shared" si="40"/>
        <v>3.017228423695113</v>
      </c>
      <c r="D1214" s="39">
        <f t="shared" si="41"/>
        <v>1.4153420870767104</v>
      </c>
    </row>
    <row r="1215" spans="2:4" ht="15" x14ac:dyDescent="0.15">
      <c r="B1215" s="38">
        <v>4812</v>
      </c>
      <c r="C1215" s="39">
        <f t="shared" si="40"/>
        <v>3.0202302863958286</v>
      </c>
      <c r="D1215" s="39">
        <f t="shared" si="41"/>
        <v>1.4158313169720014</v>
      </c>
    </row>
    <row r="1216" spans="2:4" ht="15" x14ac:dyDescent="0.15">
      <c r="B1216" s="38">
        <v>4816</v>
      </c>
      <c r="C1216" s="39">
        <f t="shared" si="40"/>
        <v>3.0232331869056228</v>
      </c>
      <c r="D1216" s="39">
        <f t="shared" si="41"/>
        <v>1.4163208852005533</v>
      </c>
    </row>
    <row r="1217" spans="2:4" ht="15" x14ac:dyDescent="0.15">
      <c r="B1217" s="38">
        <v>4820</v>
      </c>
      <c r="C1217" s="39">
        <f t="shared" si="40"/>
        <v>3.0262371259423304</v>
      </c>
      <c r="D1217" s="39">
        <f t="shared" si="41"/>
        <v>1.4168107921134556</v>
      </c>
    </row>
    <row r="1218" spans="2:4" ht="15" x14ac:dyDescent="0.15">
      <c r="B1218" s="38">
        <v>4824</v>
      </c>
      <c r="C1218" s="39">
        <f t="shared" si="40"/>
        <v>3.0292421042245294</v>
      </c>
      <c r="D1218" s="39">
        <f t="shared" si="41"/>
        <v>1.4173010380622837</v>
      </c>
    </row>
    <row r="1219" spans="2:4" ht="15" x14ac:dyDescent="0.15">
      <c r="B1219" s="38">
        <v>4828</v>
      </c>
      <c r="C1219" s="39">
        <f t="shared" si="40"/>
        <v>3.0322481224715485</v>
      </c>
      <c r="D1219" s="39">
        <f t="shared" si="41"/>
        <v>1.4177916233991001</v>
      </c>
    </row>
    <row r="1220" spans="2:4" ht="15" x14ac:dyDescent="0.15">
      <c r="B1220" s="38">
        <v>4832</v>
      </c>
      <c r="C1220" s="39">
        <f t="shared" si="40"/>
        <v>3.035255181403457</v>
      </c>
      <c r="D1220" s="39">
        <f t="shared" si="41"/>
        <v>1.4182825484764543</v>
      </c>
    </row>
    <row r="1221" spans="2:4" ht="15" x14ac:dyDescent="0.15">
      <c r="B1221" s="38">
        <v>4836</v>
      </c>
      <c r="C1221" s="39">
        <f t="shared" si="40"/>
        <v>3.0382632817410773</v>
      </c>
      <c r="D1221" s="39">
        <f t="shared" si="41"/>
        <v>1.4187738136473849</v>
      </c>
    </row>
    <row r="1222" spans="2:4" ht="15" x14ac:dyDescent="0.15">
      <c r="B1222" s="38">
        <v>4840</v>
      </c>
      <c r="C1222" s="39">
        <f t="shared" si="40"/>
        <v>3.041272424205979</v>
      </c>
      <c r="D1222" s="39">
        <f t="shared" si="41"/>
        <v>1.4192654192654193</v>
      </c>
    </row>
    <row r="1223" spans="2:4" ht="15" x14ac:dyDescent="0.15">
      <c r="B1223" s="38">
        <v>4844</v>
      </c>
      <c r="C1223" s="39">
        <f t="shared" si="40"/>
        <v>3.0442826095204829</v>
      </c>
      <c r="D1223" s="39">
        <f t="shared" si="41"/>
        <v>1.4197573656845754</v>
      </c>
    </row>
    <row r="1224" spans="2:4" ht="15" x14ac:dyDescent="0.15">
      <c r="B1224" s="38">
        <v>4848</v>
      </c>
      <c r="C1224" s="39">
        <f t="shared" si="40"/>
        <v>3.0472938384076587</v>
      </c>
      <c r="D1224" s="39">
        <f t="shared" si="41"/>
        <v>1.420249653259362</v>
      </c>
    </row>
    <row r="1225" spans="2:4" ht="15" x14ac:dyDescent="0.15">
      <c r="B1225" s="38">
        <v>4852</v>
      </c>
      <c r="C1225" s="39">
        <f t="shared" si="40"/>
        <v>3.0503061115913308</v>
      </c>
      <c r="D1225" s="39">
        <f t="shared" si="41"/>
        <v>1.4207422823447797</v>
      </c>
    </row>
    <row r="1226" spans="2:4" ht="15" x14ac:dyDescent="0.15">
      <c r="B1226" s="38">
        <v>4856</v>
      </c>
      <c r="C1226" s="39">
        <f t="shared" si="40"/>
        <v>3.0533194297960762</v>
      </c>
      <c r="D1226" s="39">
        <f t="shared" si="41"/>
        <v>1.4212352532963219</v>
      </c>
    </row>
    <row r="1227" spans="2:4" ht="15" x14ac:dyDescent="0.15">
      <c r="B1227" s="38">
        <v>4860</v>
      </c>
      <c r="C1227" s="39">
        <f t="shared" si="40"/>
        <v>3.0563337937472275</v>
      </c>
      <c r="D1227" s="39">
        <f t="shared" si="41"/>
        <v>1.4217285664699757</v>
      </c>
    </row>
    <row r="1228" spans="2:4" ht="15" x14ac:dyDescent="0.15">
      <c r="B1228" s="38">
        <v>4864</v>
      </c>
      <c r="C1228" s="39">
        <f t="shared" si="40"/>
        <v>3.0593492041708705</v>
      </c>
      <c r="D1228" s="39">
        <f t="shared" si="41"/>
        <v>1.4222222222222223</v>
      </c>
    </row>
    <row r="1229" spans="2:4" ht="15" x14ac:dyDescent="0.15">
      <c r="B1229" s="38">
        <v>4868</v>
      </c>
      <c r="C1229" s="39">
        <f t="shared" ref="C1229:C1292" si="42">20*LOG(D1229)</f>
        <v>3.0623656617938462</v>
      </c>
      <c r="D1229" s="39">
        <f t="shared" ref="D1229:D1292" si="43">16384/(16384-B1229)</f>
        <v>1.4227162209100381</v>
      </c>
    </row>
    <row r="1230" spans="2:4" ht="15" x14ac:dyDescent="0.15">
      <c r="B1230" s="38">
        <v>4872</v>
      </c>
      <c r="C1230" s="39">
        <f t="shared" si="42"/>
        <v>3.0653831673437586</v>
      </c>
      <c r="D1230" s="39">
        <f t="shared" si="43"/>
        <v>1.4232105628908964</v>
      </c>
    </row>
    <row r="1231" spans="2:4" ht="15" x14ac:dyDescent="0.15">
      <c r="B1231" s="38">
        <v>4876</v>
      </c>
      <c r="C1231" s="39">
        <f t="shared" si="42"/>
        <v>3.0684017215489661</v>
      </c>
      <c r="D1231" s="39">
        <f t="shared" si="43"/>
        <v>1.4237052485227668</v>
      </c>
    </row>
    <row r="1232" spans="2:4" ht="15" x14ac:dyDescent="0.15">
      <c r="B1232" s="38">
        <v>4880</v>
      </c>
      <c r="C1232" s="39">
        <f t="shared" si="42"/>
        <v>3.0714213251385862</v>
      </c>
      <c r="D1232" s="39">
        <f t="shared" si="43"/>
        <v>1.4242002781641168</v>
      </c>
    </row>
    <row r="1233" spans="2:4" ht="15" x14ac:dyDescent="0.15">
      <c r="B1233" s="38">
        <v>4884</v>
      </c>
      <c r="C1233" s="39">
        <f t="shared" si="42"/>
        <v>3.0744419788425015</v>
      </c>
      <c r="D1233" s="39">
        <f t="shared" si="43"/>
        <v>1.4246956521739131</v>
      </c>
    </row>
    <row r="1234" spans="2:4" ht="15" x14ac:dyDescent="0.15">
      <c r="B1234" s="38">
        <v>4888</v>
      </c>
      <c r="C1234" s="39">
        <f t="shared" si="42"/>
        <v>3.0774636833913505</v>
      </c>
      <c r="D1234" s="39">
        <f t="shared" si="43"/>
        <v>1.4251913709116215</v>
      </c>
    </row>
    <row r="1235" spans="2:4" ht="15" x14ac:dyDescent="0.15">
      <c r="B1235" s="38">
        <v>4892</v>
      </c>
      <c r="C1235" s="39">
        <f t="shared" si="42"/>
        <v>3.0804864395165383</v>
      </c>
      <c r="D1235" s="39">
        <f t="shared" si="43"/>
        <v>1.4256874347372086</v>
      </c>
    </row>
    <row r="1236" spans="2:4" ht="15" x14ac:dyDescent="0.15">
      <c r="B1236" s="38">
        <v>4896</v>
      </c>
      <c r="C1236" s="39">
        <f t="shared" si="42"/>
        <v>3.0835102479502323</v>
      </c>
      <c r="D1236" s="39">
        <f t="shared" si="43"/>
        <v>1.4261838440111421</v>
      </c>
    </row>
    <row r="1237" spans="2:4" ht="15" x14ac:dyDescent="0.15">
      <c r="B1237" s="38">
        <v>4900</v>
      </c>
      <c r="C1237" s="39">
        <f t="shared" si="42"/>
        <v>3.0865351094253675</v>
      </c>
      <c r="D1237" s="39">
        <f t="shared" si="43"/>
        <v>1.4266805990943923</v>
      </c>
    </row>
    <row r="1238" spans="2:4" ht="15" x14ac:dyDescent="0.15">
      <c r="B1238" s="38">
        <v>4904</v>
      </c>
      <c r="C1238" s="39">
        <f t="shared" si="42"/>
        <v>3.0895610246756404</v>
      </c>
      <c r="D1238" s="39">
        <f t="shared" si="43"/>
        <v>1.4271777003484321</v>
      </c>
    </row>
    <row r="1239" spans="2:4" ht="15" x14ac:dyDescent="0.15">
      <c r="B1239" s="38">
        <v>4908</v>
      </c>
      <c r="C1239" s="39">
        <f t="shared" si="42"/>
        <v>3.0925879944355188</v>
      </c>
      <c r="D1239" s="39">
        <f t="shared" si="43"/>
        <v>1.4276751481352388</v>
      </c>
    </row>
    <row r="1240" spans="2:4" ht="15" x14ac:dyDescent="0.15">
      <c r="B1240" s="38">
        <v>4912</v>
      </c>
      <c r="C1240" s="39">
        <f t="shared" si="42"/>
        <v>3.0956160194402367</v>
      </c>
      <c r="D1240" s="39">
        <f t="shared" si="43"/>
        <v>1.4281729428172942</v>
      </c>
    </row>
    <row r="1241" spans="2:4" ht="15" x14ac:dyDescent="0.15">
      <c r="B1241" s="38">
        <v>4916</v>
      </c>
      <c r="C1241" s="39">
        <f t="shared" si="42"/>
        <v>3.0986451004257969</v>
      </c>
      <c r="D1241" s="39">
        <f t="shared" si="43"/>
        <v>1.4286710847575863</v>
      </c>
    </row>
    <row r="1242" spans="2:4" ht="15" x14ac:dyDescent="0.15">
      <c r="B1242" s="38">
        <v>4920</v>
      </c>
      <c r="C1242" s="39">
        <f t="shared" si="42"/>
        <v>3.1016752381289732</v>
      </c>
      <c r="D1242" s="39">
        <f t="shared" si="43"/>
        <v>1.4291695743196091</v>
      </c>
    </row>
    <row r="1243" spans="2:4" ht="15" x14ac:dyDescent="0.15">
      <c r="B1243" s="38">
        <v>4924</v>
      </c>
      <c r="C1243" s="39">
        <f t="shared" si="42"/>
        <v>3.1047064332873116</v>
      </c>
      <c r="D1243" s="39">
        <f t="shared" si="43"/>
        <v>1.4296684118673648</v>
      </c>
    </row>
    <row r="1244" spans="2:4" ht="15" x14ac:dyDescent="0.15">
      <c r="B1244" s="38">
        <v>4928</v>
      </c>
      <c r="C1244" s="39">
        <f t="shared" si="42"/>
        <v>3.1077386866391281</v>
      </c>
      <c r="D1244" s="39">
        <f t="shared" si="43"/>
        <v>1.4301675977653632</v>
      </c>
    </row>
    <row r="1245" spans="2:4" ht="15" x14ac:dyDescent="0.15">
      <c r="B1245" s="38">
        <v>4932</v>
      </c>
      <c r="C1245" s="39">
        <f t="shared" si="42"/>
        <v>3.1107719989235139</v>
      </c>
      <c r="D1245" s="39">
        <f t="shared" si="43"/>
        <v>1.4306671323786238</v>
      </c>
    </row>
    <row r="1246" spans="2:4" ht="15" x14ac:dyDescent="0.15">
      <c r="B1246" s="38">
        <v>4936</v>
      </c>
      <c r="C1246" s="39">
        <f t="shared" si="42"/>
        <v>3.1138063708803356</v>
      </c>
      <c r="D1246" s="39">
        <f t="shared" si="43"/>
        <v>1.4311670160726764</v>
      </c>
    </row>
    <row r="1247" spans="2:4" ht="15" x14ac:dyDescent="0.15">
      <c r="B1247" s="38">
        <v>4940</v>
      </c>
      <c r="C1247" s="39">
        <f t="shared" si="42"/>
        <v>3.1168418032502334</v>
      </c>
      <c r="D1247" s="39">
        <f t="shared" si="43"/>
        <v>1.4316672492135616</v>
      </c>
    </row>
    <row r="1248" spans="2:4" ht="15" x14ac:dyDescent="0.15">
      <c r="B1248" s="38">
        <v>4944</v>
      </c>
      <c r="C1248" s="39">
        <f t="shared" si="42"/>
        <v>3.119878296774627</v>
      </c>
      <c r="D1248" s="39">
        <f t="shared" si="43"/>
        <v>1.4321678321678322</v>
      </c>
    </row>
    <row r="1249" spans="2:4" ht="15" x14ac:dyDescent="0.15">
      <c r="B1249" s="38">
        <v>4948</v>
      </c>
      <c r="C1249" s="39">
        <f t="shared" si="42"/>
        <v>3.1229158521957103</v>
      </c>
      <c r="D1249" s="39">
        <f t="shared" si="43"/>
        <v>1.4326687653025534</v>
      </c>
    </row>
    <row r="1250" spans="2:4" ht="15" x14ac:dyDescent="0.15">
      <c r="B1250" s="38">
        <v>4952</v>
      </c>
      <c r="C1250" s="39">
        <f t="shared" si="42"/>
        <v>3.1259544702564579</v>
      </c>
      <c r="D1250" s="39">
        <f t="shared" si="43"/>
        <v>1.4331700489853043</v>
      </c>
    </row>
    <row r="1251" spans="2:4" ht="15" x14ac:dyDescent="0.15">
      <c r="B1251" s="38">
        <v>4956</v>
      </c>
      <c r="C1251" s="39">
        <f t="shared" si="42"/>
        <v>3.1289941517006263</v>
      </c>
      <c r="D1251" s="39">
        <f t="shared" si="43"/>
        <v>1.4336716835841792</v>
      </c>
    </row>
    <row r="1252" spans="2:4" ht="15" x14ac:dyDescent="0.15">
      <c r="B1252" s="38">
        <v>4960</v>
      </c>
      <c r="C1252" s="39">
        <f t="shared" si="42"/>
        <v>3.1320348972727512</v>
      </c>
      <c r="D1252" s="39">
        <f t="shared" si="43"/>
        <v>1.4341736694677871</v>
      </c>
    </row>
    <row r="1253" spans="2:4" ht="15" x14ac:dyDescent="0.15">
      <c r="B1253" s="38">
        <v>4964</v>
      </c>
      <c r="C1253" s="39">
        <f t="shared" si="42"/>
        <v>3.1350767077181501</v>
      </c>
      <c r="D1253" s="39">
        <f t="shared" si="43"/>
        <v>1.434676007005254</v>
      </c>
    </row>
    <row r="1254" spans="2:4" ht="15" x14ac:dyDescent="0.15">
      <c r="B1254" s="38">
        <v>4968</v>
      </c>
      <c r="C1254" s="39">
        <f t="shared" si="42"/>
        <v>3.1381195837829234</v>
      </c>
      <c r="D1254" s="39">
        <f t="shared" si="43"/>
        <v>1.4351786965662228</v>
      </c>
    </row>
    <row r="1255" spans="2:4" ht="15" x14ac:dyDescent="0.15">
      <c r="B1255" s="38">
        <v>4972</v>
      </c>
      <c r="C1255" s="39">
        <f t="shared" si="42"/>
        <v>3.1411635262139601</v>
      </c>
      <c r="D1255" s="39">
        <f t="shared" si="43"/>
        <v>1.4356817385208553</v>
      </c>
    </row>
    <row r="1256" spans="2:4" ht="15" x14ac:dyDescent="0.15">
      <c r="B1256" s="38">
        <v>4976</v>
      </c>
      <c r="C1256" s="39">
        <f t="shared" si="42"/>
        <v>3.1442085357589278</v>
      </c>
      <c r="D1256" s="39">
        <f t="shared" si="43"/>
        <v>1.4361851332398317</v>
      </c>
    </row>
    <row r="1257" spans="2:4" ht="15" x14ac:dyDescent="0.15">
      <c r="B1257" s="38">
        <v>4980</v>
      </c>
      <c r="C1257" s="39">
        <f t="shared" si="42"/>
        <v>3.1472546131662864</v>
      </c>
      <c r="D1257" s="39">
        <f t="shared" si="43"/>
        <v>1.4366888810943528</v>
      </c>
    </row>
    <row r="1258" spans="2:4" ht="15" x14ac:dyDescent="0.15">
      <c r="B1258" s="38">
        <v>4984</v>
      </c>
      <c r="C1258" s="39">
        <f t="shared" si="42"/>
        <v>3.1503017591852824</v>
      </c>
      <c r="D1258" s="39">
        <f t="shared" si="43"/>
        <v>1.4371929824561402</v>
      </c>
    </row>
    <row r="1259" spans="2:4" ht="15" x14ac:dyDescent="0.15">
      <c r="B1259" s="38">
        <v>4988</v>
      </c>
      <c r="C1259" s="39">
        <f t="shared" si="42"/>
        <v>3.1533499745659492</v>
      </c>
      <c r="D1259" s="39">
        <f t="shared" si="43"/>
        <v>1.4376974376974376</v>
      </c>
    </row>
    <row r="1260" spans="2:4" ht="15" x14ac:dyDescent="0.15">
      <c r="B1260" s="38">
        <v>4992</v>
      </c>
      <c r="C1260" s="39">
        <f t="shared" si="42"/>
        <v>3.1563992600591111</v>
      </c>
      <c r="D1260" s="39">
        <f t="shared" si="43"/>
        <v>1.4382022471910112</v>
      </c>
    </row>
    <row r="1261" spans="2:4" ht="15" x14ac:dyDescent="0.15">
      <c r="B1261" s="38">
        <v>4996</v>
      </c>
      <c r="C1261" s="39">
        <f t="shared" si="42"/>
        <v>3.1594496164163841</v>
      </c>
      <c r="D1261" s="39">
        <f t="shared" si="43"/>
        <v>1.438707411310151</v>
      </c>
    </row>
    <row r="1262" spans="2:4" ht="15" x14ac:dyDescent="0.15">
      <c r="B1262" s="38">
        <v>5000</v>
      </c>
      <c r="C1262" s="39">
        <f t="shared" si="42"/>
        <v>3.1625010443901762</v>
      </c>
      <c r="D1262" s="39">
        <f t="shared" si="43"/>
        <v>1.4392129304286718</v>
      </c>
    </row>
    <row r="1263" spans="2:4" ht="15" x14ac:dyDescent="0.15">
      <c r="B1263" s="38">
        <v>5004</v>
      </c>
      <c r="C1263" s="39">
        <f t="shared" si="42"/>
        <v>3.165553544733688</v>
      </c>
      <c r="D1263" s="39">
        <f t="shared" si="43"/>
        <v>1.439718804920914</v>
      </c>
    </row>
    <row r="1264" spans="2:4" ht="15" x14ac:dyDescent="0.15">
      <c r="B1264" s="38">
        <v>5008</v>
      </c>
      <c r="C1264" s="39">
        <f t="shared" si="42"/>
        <v>3.1686071182009128</v>
      </c>
      <c r="D1264" s="39">
        <f t="shared" si="43"/>
        <v>1.440225035161744</v>
      </c>
    </row>
    <row r="1265" spans="2:4" ht="15" x14ac:dyDescent="0.15">
      <c r="B1265" s="38">
        <v>5012</v>
      </c>
      <c r="C1265" s="39">
        <f t="shared" si="42"/>
        <v>3.1716617655466441</v>
      </c>
      <c r="D1265" s="39">
        <f t="shared" si="43"/>
        <v>1.4407316215265564</v>
      </c>
    </row>
    <row r="1266" spans="2:4" ht="15" x14ac:dyDescent="0.15">
      <c r="B1266" s="38">
        <v>5016</v>
      </c>
      <c r="C1266" s="39">
        <f t="shared" si="42"/>
        <v>3.1747174875264679</v>
      </c>
      <c r="D1266" s="39">
        <f t="shared" si="43"/>
        <v>1.4412385643912737</v>
      </c>
    </row>
    <row r="1267" spans="2:4" ht="15" x14ac:dyDescent="0.15">
      <c r="B1267" s="38">
        <v>5020</v>
      </c>
      <c r="C1267" s="39">
        <f t="shared" si="42"/>
        <v>3.1777742848967696</v>
      </c>
      <c r="D1267" s="39">
        <f t="shared" si="43"/>
        <v>1.4417458641323477</v>
      </c>
    </row>
    <row r="1268" spans="2:4" ht="15" x14ac:dyDescent="0.15">
      <c r="B1268" s="38">
        <v>5024</v>
      </c>
      <c r="C1268" s="39">
        <f t="shared" si="42"/>
        <v>3.1808321584147334</v>
      </c>
      <c r="D1268" s="39">
        <f t="shared" si="43"/>
        <v>1.4422535211267606</v>
      </c>
    </row>
    <row r="1269" spans="2:4" ht="15" x14ac:dyDescent="0.15">
      <c r="B1269" s="38">
        <v>5028</v>
      </c>
      <c r="C1269" s="39">
        <f t="shared" si="42"/>
        <v>3.1838911088383428</v>
      </c>
      <c r="D1269" s="39">
        <f t="shared" si="43"/>
        <v>1.4427615357520254</v>
      </c>
    </row>
    <row r="1270" spans="2:4" ht="15" x14ac:dyDescent="0.15">
      <c r="B1270" s="38">
        <v>5032</v>
      </c>
      <c r="C1270" s="39">
        <f t="shared" si="42"/>
        <v>3.1869511369263832</v>
      </c>
      <c r="D1270" s="39">
        <f t="shared" si="43"/>
        <v>1.4432699083861875</v>
      </c>
    </row>
    <row r="1271" spans="2:4" ht="15" x14ac:dyDescent="0.15">
      <c r="B1271" s="38">
        <v>5036</v>
      </c>
      <c r="C1271" s="39">
        <f t="shared" si="42"/>
        <v>3.1900122434384408</v>
      </c>
      <c r="D1271" s="39">
        <f t="shared" si="43"/>
        <v>1.4437786394078251</v>
      </c>
    </row>
    <row r="1272" spans="2:4" ht="15" x14ac:dyDescent="0.15">
      <c r="B1272" s="38">
        <v>5040</v>
      </c>
      <c r="C1272" s="39">
        <f t="shared" si="42"/>
        <v>3.1930744291349078</v>
      </c>
      <c r="D1272" s="39">
        <f t="shared" si="43"/>
        <v>1.4442877291960508</v>
      </c>
    </row>
    <row r="1273" spans="2:4" ht="15" x14ac:dyDescent="0.15">
      <c r="B1273" s="38">
        <v>5044</v>
      </c>
      <c r="C1273" s="39">
        <f t="shared" si="42"/>
        <v>3.1961376947769797</v>
      </c>
      <c r="D1273" s="39">
        <f t="shared" si="43"/>
        <v>1.4447971781305116</v>
      </c>
    </row>
    <row r="1274" spans="2:4" ht="15" x14ac:dyDescent="0.15">
      <c r="B1274" s="38">
        <v>5048</v>
      </c>
      <c r="C1274" s="39">
        <f t="shared" si="42"/>
        <v>3.1992020411266555</v>
      </c>
      <c r="D1274" s="39">
        <f t="shared" si="43"/>
        <v>1.4453069865913903</v>
      </c>
    </row>
    <row r="1275" spans="2:4" ht="15" x14ac:dyDescent="0.15">
      <c r="B1275" s="38">
        <v>5052</v>
      </c>
      <c r="C1275" s="39">
        <f t="shared" si="42"/>
        <v>3.2022674689467427</v>
      </c>
      <c r="D1275" s="39">
        <f t="shared" si="43"/>
        <v>1.445817154959407</v>
      </c>
    </row>
    <row r="1276" spans="2:4" ht="15" x14ac:dyDescent="0.15">
      <c r="B1276" s="38">
        <v>5056</v>
      </c>
      <c r="C1276" s="39">
        <f t="shared" si="42"/>
        <v>3.205333979000859</v>
      </c>
      <c r="D1276" s="39">
        <f t="shared" si="43"/>
        <v>1.4463276836158192</v>
      </c>
    </row>
    <row r="1277" spans="2:4" ht="15" x14ac:dyDescent="0.15">
      <c r="B1277" s="38">
        <v>5060</v>
      </c>
      <c r="C1277" s="39">
        <f t="shared" si="42"/>
        <v>3.2084015720534262</v>
      </c>
      <c r="D1277" s="39">
        <f t="shared" si="43"/>
        <v>1.4468385729424231</v>
      </c>
    </row>
    <row r="1278" spans="2:4" ht="15" x14ac:dyDescent="0.15">
      <c r="B1278" s="38">
        <v>5064</v>
      </c>
      <c r="C1278" s="39">
        <f t="shared" si="42"/>
        <v>3.2114702488696816</v>
      </c>
      <c r="D1278" s="39">
        <f t="shared" si="43"/>
        <v>1.4473498233215547</v>
      </c>
    </row>
    <row r="1279" spans="2:4" ht="15" x14ac:dyDescent="0.15">
      <c r="B1279" s="38">
        <v>5068</v>
      </c>
      <c r="C1279" s="39">
        <f t="shared" si="42"/>
        <v>3.2145400102156714</v>
      </c>
      <c r="D1279" s="39">
        <f t="shared" si="43"/>
        <v>1.4478614351360906</v>
      </c>
    </row>
    <row r="1280" spans="2:4" ht="15" x14ac:dyDescent="0.15">
      <c r="B1280" s="38">
        <v>5072</v>
      </c>
      <c r="C1280" s="39">
        <f t="shared" si="42"/>
        <v>3.2176108568582511</v>
      </c>
      <c r="D1280" s="39">
        <f t="shared" si="43"/>
        <v>1.4483734087694484</v>
      </c>
    </row>
    <row r="1281" spans="2:4" ht="15" x14ac:dyDescent="0.15">
      <c r="B1281" s="38">
        <v>5076</v>
      </c>
      <c r="C1281" s="39">
        <f t="shared" si="42"/>
        <v>3.2206827895650951</v>
      </c>
      <c r="D1281" s="39">
        <f t="shared" si="43"/>
        <v>1.4488857446055889</v>
      </c>
    </row>
    <row r="1282" spans="2:4" ht="15" x14ac:dyDescent="0.15">
      <c r="B1282" s="38">
        <v>5080</v>
      </c>
      <c r="C1282" s="39">
        <f t="shared" si="42"/>
        <v>3.223755809104691</v>
      </c>
      <c r="D1282" s="39">
        <f t="shared" si="43"/>
        <v>1.4493984430290163</v>
      </c>
    </row>
    <row r="1283" spans="2:4" ht="15" x14ac:dyDescent="0.15">
      <c r="B1283" s="38">
        <v>5084</v>
      </c>
      <c r="C1283" s="39">
        <f t="shared" si="42"/>
        <v>3.2268299162463405</v>
      </c>
      <c r="D1283" s="39">
        <f t="shared" si="43"/>
        <v>1.4499115044247788</v>
      </c>
    </row>
    <row r="1284" spans="2:4" ht="15" x14ac:dyDescent="0.15">
      <c r="B1284" s="38">
        <v>5088</v>
      </c>
      <c r="C1284" s="39">
        <f t="shared" si="42"/>
        <v>3.2299051117601643</v>
      </c>
      <c r="D1284" s="39">
        <f t="shared" si="43"/>
        <v>1.4504249291784703</v>
      </c>
    </row>
    <row r="1285" spans="2:4" ht="15" x14ac:dyDescent="0.15">
      <c r="B1285" s="38">
        <v>5092</v>
      </c>
      <c r="C1285" s="39">
        <f t="shared" si="42"/>
        <v>3.2329813964171001</v>
      </c>
      <c r="D1285" s="39">
        <f t="shared" si="43"/>
        <v>1.4509387176762309</v>
      </c>
    </row>
    <row r="1286" spans="2:4" ht="15" x14ac:dyDescent="0.15">
      <c r="B1286" s="38">
        <v>5096</v>
      </c>
      <c r="C1286" s="39">
        <f t="shared" si="42"/>
        <v>3.2360587709889064</v>
      </c>
      <c r="D1286" s="39">
        <f t="shared" si="43"/>
        <v>1.4514528703047485</v>
      </c>
    </row>
    <row r="1287" spans="2:4" ht="15" x14ac:dyDescent="0.15">
      <c r="B1287" s="38">
        <v>5100</v>
      </c>
      <c r="C1287" s="39">
        <f t="shared" si="42"/>
        <v>3.2391372362481614</v>
      </c>
      <c r="D1287" s="39">
        <f t="shared" si="43"/>
        <v>1.4519673874512584</v>
      </c>
    </row>
    <row r="1288" spans="2:4" ht="15" x14ac:dyDescent="0.15">
      <c r="B1288" s="38">
        <v>5104</v>
      </c>
      <c r="C1288" s="39">
        <f t="shared" si="42"/>
        <v>3.2422167929682653</v>
      </c>
      <c r="D1288" s="39">
        <f t="shared" si="43"/>
        <v>1.4524822695035462</v>
      </c>
    </row>
    <row r="1289" spans="2:4" ht="15" x14ac:dyDescent="0.15">
      <c r="B1289" s="38">
        <v>5108</v>
      </c>
      <c r="C1289" s="39">
        <f t="shared" si="42"/>
        <v>3.2452974419234399</v>
      </c>
      <c r="D1289" s="39">
        <f t="shared" si="43"/>
        <v>1.4529975168499467</v>
      </c>
    </row>
    <row r="1290" spans="2:4" ht="15" x14ac:dyDescent="0.15">
      <c r="B1290" s="38">
        <v>5112</v>
      </c>
      <c r="C1290" s="39">
        <f t="shared" si="42"/>
        <v>3.2483791838887348</v>
      </c>
      <c r="D1290" s="39">
        <f t="shared" si="43"/>
        <v>1.4535131298793471</v>
      </c>
    </row>
    <row r="1291" spans="2:4" ht="15" x14ac:dyDescent="0.15">
      <c r="B1291" s="38">
        <v>5116</v>
      </c>
      <c r="C1291" s="39">
        <f t="shared" si="42"/>
        <v>3.2514620196400195</v>
      </c>
      <c r="D1291" s="39">
        <f t="shared" si="43"/>
        <v>1.4540291089811856</v>
      </c>
    </row>
    <row r="1292" spans="2:4" ht="15" x14ac:dyDescent="0.15">
      <c r="B1292" s="38">
        <v>5120</v>
      </c>
      <c r="C1292" s="39">
        <f t="shared" si="42"/>
        <v>3.2545459499539953</v>
      </c>
      <c r="D1292" s="39">
        <f t="shared" si="43"/>
        <v>1.4545454545454546</v>
      </c>
    </row>
    <row r="1293" spans="2:4" ht="15" x14ac:dyDescent="0.15">
      <c r="B1293" s="38">
        <v>5124</v>
      </c>
      <c r="C1293" s="39">
        <f t="shared" ref="C1293:C1356" si="44">20*LOG(D1293)</f>
        <v>3.2576309756081856</v>
      </c>
      <c r="D1293" s="39">
        <f t="shared" ref="D1293:D1356" si="45">16384/(16384-B1293)</f>
        <v>1.4550621669626997</v>
      </c>
    </row>
    <row r="1294" spans="2:4" ht="15" x14ac:dyDescent="0.15">
      <c r="B1294" s="38">
        <v>5128</v>
      </c>
      <c r="C1294" s="39">
        <f t="shared" si="44"/>
        <v>3.2607170973809483</v>
      </c>
      <c r="D1294" s="39">
        <f t="shared" si="45"/>
        <v>1.4555792466240227</v>
      </c>
    </row>
    <row r="1295" spans="2:4" ht="15" x14ac:dyDescent="0.15">
      <c r="B1295" s="38">
        <v>5132</v>
      </c>
      <c r="C1295" s="39">
        <f t="shared" si="44"/>
        <v>3.263804316051468</v>
      </c>
      <c r="D1295" s="39">
        <f t="shared" si="45"/>
        <v>1.4560966939210807</v>
      </c>
    </row>
    <row r="1296" spans="2:4" ht="15" x14ac:dyDescent="0.15">
      <c r="B1296" s="38">
        <v>5136</v>
      </c>
      <c r="C1296" s="39">
        <f t="shared" si="44"/>
        <v>3.2668926323997605</v>
      </c>
      <c r="D1296" s="39">
        <f t="shared" si="45"/>
        <v>1.4566145092460883</v>
      </c>
    </row>
    <row r="1297" spans="2:4" ht="15" x14ac:dyDescent="0.15">
      <c r="B1297" s="38">
        <v>5140</v>
      </c>
      <c r="C1297" s="39">
        <f t="shared" si="44"/>
        <v>3.2699820472066725</v>
      </c>
      <c r="D1297" s="39">
        <f t="shared" si="45"/>
        <v>1.4571326929918178</v>
      </c>
    </row>
    <row r="1298" spans="2:4" ht="15" x14ac:dyDescent="0.15">
      <c r="B1298" s="38">
        <v>5144</v>
      </c>
      <c r="C1298" s="39">
        <f t="shared" si="44"/>
        <v>3.2730725612538896</v>
      </c>
      <c r="D1298" s="39">
        <f t="shared" si="45"/>
        <v>1.4576512455516015</v>
      </c>
    </row>
    <row r="1299" spans="2:4" ht="15" x14ac:dyDescent="0.15">
      <c r="B1299" s="38">
        <v>5148</v>
      </c>
      <c r="C1299" s="39">
        <f t="shared" si="44"/>
        <v>3.2761641753239257</v>
      </c>
      <c r="D1299" s="39">
        <f t="shared" si="45"/>
        <v>1.4581701673193308</v>
      </c>
    </row>
    <row r="1300" spans="2:4" ht="15" x14ac:dyDescent="0.15">
      <c r="B1300" s="38">
        <v>5152</v>
      </c>
      <c r="C1300" s="39">
        <f t="shared" si="44"/>
        <v>3.2792568902001342</v>
      </c>
      <c r="D1300" s="39">
        <f t="shared" si="45"/>
        <v>1.4586894586894588</v>
      </c>
    </row>
    <row r="1301" spans="2:4" ht="15" x14ac:dyDescent="0.15">
      <c r="B1301" s="38">
        <v>5156</v>
      </c>
      <c r="C1301" s="39">
        <f t="shared" si="44"/>
        <v>3.2823507066667039</v>
      </c>
      <c r="D1301" s="39">
        <f t="shared" si="45"/>
        <v>1.4592091200570003</v>
      </c>
    </row>
    <row r="1302" spans="2:4" ht="15" x14ac:dyDescent="0.15">
      <c r="B1302" s="38">
        <v>5160</v>
      </c>
      <c r="C1302" s="39">
        <f t="shared" si="44"/>
        <v>3.285445625508665</v>
      </c>
      <c r="D1302" s="39">
        <f t="shared" si="45"/>
        <v>1.4597291518175339</v>
      </c>
    </row>
    <row r="1303" spans="2:4" ht="15" x14ac:dyDescent="0.15">
      <c r="B1303" s="38">
        <v>5164</v>
      </c>
      <c r="C1303" s="39">
        <f t="shared" si="44"/>
        <v>3.2885416475118823</v>
      </c>
      <c r="D1303" s="39">
        <f t="shared" si="45"/>
        <v>1.4602495543672014</v>
      </c>
    </row>
    <row r="1304" spans="2:4" ht="15" x14ac:dyDescent="0.15">
      <c r="B1304" s="38">
        <v>5168</v>
      </c>
      <c r="C1304" s="39">
        <f t="shared" si="44"/>
        <v>3.2916387734630663</v>
      </c>
      <c r="D1304" s="39">
        <f t="shared" si="45"/>
        <v>1.4607703281027105</v>
      </c>
    </row>
    <row r="1305" spans="2:4" ht="15" x14ac:dyDescent="0.15">
      <c r="B1305" s="38">
        <v>5172</v>
      </c>
      <c r="C1305" s="39">
        <f t="shared" si="44"/>
        <v>3.2947370041497641</v>
      </c>
      <c r="D1305" s="39">
        <f t="shared" si="45"/>
        <v>1.4612914734213343</v>
      </c>
    </row>
    <row r="1306" spans="2:4" ht="15" x14ac:dyDescent="0.15">
      <c r="B1306" s="38">
        <v>5176</v>
      </c>
      <c r="C1306" s="39">
        <f t="shared" si="44"/>
        <v>3.2978363403603712</v>
      </c>
      <c r="D1306" s="39">
        <f t="shared" si="45"/>
        <v>1.4618129907209136</v>
      </c>
    </row>
    <row r="1307" spans="2:4" ht="15" x14ac:dyDescent="0.15">
      <c r="B1307" s="38">
        <v>5180</v>
      </c>
      <c r="C1307" s="39">
        <f t="shared" si="44"/>
        <v>3.300936782884123</v>
      </c>
      <c r="D1307" s="39">
        <f t="shared" si="45"/>
        <v>1.4623348803998573</v>
      </c>
    </row>
    <row r="1308" spans="2:4" ht="15" x14ac:dyDescent="0.15">
      <c r="B1308" s="38">
        <v>5184</v>
      </c>
      <c r="C1308" s="39">
        <f t="shared" si="44"/>
        <v>3.3040383325111025</v>
      </c>
      <c r="D1308" s="39">
        <f t="shared" si="45"/>
        <v>1.4628571428571429</v>
      </c>
    </row>
    <row r="1309" spans="2:4" ht="15" x14ac:dyDescent="0.15">
      <c r="B1309" s="38">
        <v>5188</v>
      </c>
      <c r="C1309" s="39">
        <f t="shared" si="44"/>
        <v>3.3071409900322384</v>
      </c>
      <c r="D1309" s="39">
        <f t="shared" si="45"/>
        <v>1.4633797784923186</v>
      </c>
    </row>
    <row r="1310" spans="2:4" ht="15" x14ac:dyDescent="0.15">
      <c r="B1310" s="38">
        <v>5192</v>
      </c>
      <c r="C1310" s="39">
        <f t="shared" si="44"/>
        <v>3.3102447562393107</v>
      </c>
      <c r="D1310" s="39">
        <f t="shared" si="45"/>
        <v>1.463902787705504</v>
      </c>
    </row>
    <row r="1311" spans="2:4" ht="15" x14ac:dyDescent="0.15">
      <c r="B1311" s="38">
        <v>5196</v>
      </c>
      <c r="C1311" s="39">
        <f t="shared" si="44"/>
        <v>3.3133496319249418</v>
      </c>
      <c r="D1311" s="39">
        <f t="shared" si="45"/>
        <v>1.46442617089739</v>
      </c>
    </row>
    <row r="1312" spans="2:4" ht="15" x14ac:dyDescent="0.15">
      <c r="B1312" s="38">
        <v>5200</v>
      </c>
      <c r="C1312" s="39">
        <f t="shared" si="44"/>
        <v>3.3164556178826112</v>
      </c>
      <c r="D1312" s="39">
        <f t="shared" si="45"/>
        <v>1.4649499284692418</v>
      </c>
    </row>
    <row r="1313" spans="2:4" ht="15" x14ac:dyDescent="0.15">
      <c r="B1313" s="38">
        <v>5204</v>
      </c>
      <c r="C1313" s="39">
        <f t="shared" si="44"/>
        <v>3.3195627149066449</v>
      </c>
      <c r="D1313" s="39">
        <f t="shared" si="45"/>
        <v>1.465474060822898</v>
      </c>
    </row>
    <row r="1314" spans="2:4" ht="15" x14ac:dyDescent="0.15">
      <c r="B1314" s="38">
        <v>5208</v>
      </c>
      <c r="C1314" s="39">
        <f t="shared" si="44"/>
        <v>3.3226709237922245</v>
      </c>
      <c r="D1314" s="39">
        <f t="shared" si="45"/>
        <v>1.465998568360773</v>
      </c>
    </row>
    <row r="1315" spans="2:4" ht="15" x14ac:dyDescent="0.15">
      <c r="B1315" s="38">
        <v>5212</v>
      </c>
      <c r="C1315" s="39">
        <f t="shared" si="44"/>
        <v>3.3257802453353862</v>
      </c>
      <c r="D1315" s="39">
        <f t="shared" si="45"/>
        <v>1.4665234514858576</v>
      </c>
    </row>
    <row r="1316" spans="2:4" ht="15" x14ac:dyDescent="0.15">
      <c r="B1316" s="38">
        <v>5216</v>
      </c>
      <c r="C1316" s="39">
        <f t="shared" si="44"/>
        <v>3.3288906803330169</v>
      </c>
      <c r="D1316" s="39">
        <f t="shared" si="45"/>
        <v>1.4670487106017192</v>
      </c>
    </row>
    <row r="1317" spans="2:4" ht="15" x14ac:dyDescent="0.15">
      <c r="B1317" s="38">
        <v>5220</v>
      </c>
      <c r="C1317" s="39">
        <f t="shared" si="44"/>
        <v>3.3320022295828657</v>
      </c>
      <c r="D1317" s="39">
        <f t="shared" si="45"/>
        <v>1.4675743461125044</v>
      </c>
    </row>
    <row r="1318" spans="2:4" ht="15" x14ac:dyDescent="0.15">
      <c r="B1318" s="38">
        <v>5224</v>
      </c>
      <c r="C1318" s="39">
        <f t="shared" si="44"/>
        <v>3.3351148938835355</v>
      </c>
      <c r="D1318" s="39">
        <f t="shared" si="45"/>
        <v>1.4681003584229391</v>
      </c>
    </row>
    <row r="1319" spans="2:4" ht="15" x14ac:dyDescent="0.15">
      <c r="B1319" s="38">
        <v>5228</v>
      </c>
      <c r="C1319" s="39">
        <f t="shared" si="44"/>
        <v>3.3382286740344904</v>
      </c>
      <c r="D1319" s="39">
        <f t="shared" si="45"/>
        <v>1.4686267479383293</v>
      </c>
    </row>
    <row r="1320" spans="2:4" ht="15" x14ac:dyDescent="0.15">
      <c r="B1320" s="38">
        <v>5232</v>
      </c>
      <c r="C1320" s="39">
        <f t="shared" si="44"/>
        <v>3.341343570836051</v>
      </c>
      <c r="D1320" s="39">
        <f t="shared" si="45"/>
        <v>1.4691535150645625</v>
      </c>
    </row>
    <row r="1321" spans="2:4" ht="15" x14ac:dyDescent="0.15">
      <c r="B1321" s="38">
        <v>5236</v>
      </c>
      <c r="C1321" s="39">
        <f t="shared" si="44"/>
        <v>3.3444595850894032</v>
      </c>
      <c r="D1321" s="39">
        <f t="shared" si="45"/>
        <v>1.4696806602081092</v>
      </c>
    </row>
    <row r="1322" spans="2:4" ht="15" x14ac:dyDescent="0.15">
      <c r="B1322" s="38">
        <v>5240</v>
      </c>
      <c r="C1322" s="39">
        <f t="shared" si="44"/>
        <v>3.3475767175965938</v>
      </c>
      <c r="D1322" s="39">
        <f t="shared" si="45"/>
        <v>1.470208183776023</v>
      </c>
    </row>
    <row r="1323" spans="2:4" ht="15" x14ac:dyDescent="0.15">
      <c r="B1323" s="38">
        <v>5244</v>
      </c>
      <c r="C1323" s="39">
        <f t="shared" si="44"/>
        <v>3.350694969160533</v>
      </c>
      <c r="D1323" s="39">
        <f t="shared" si="45"/>
        <v>1.4707360861759426</v>
      </c>
    </row>
    <row r="1324" spans="2:4" ht="15" x14ac:dyDescent="0.15">
      <c r="B1324" s="38">
        <v>5248</v>
      </c>
      <c r="C1324" s="39">
        <f t="shared" si="44"/>
        <v>3.3538143405849969</v>
      </c>
      <c r="D1324" s="39">
        <f t="shared" si="45"/>
        <v>1.4712643678160919</v>
      </c>
    </row>
    <row r="1325" spans="2:4" ht="15" x14ac:dyDescent="0.15">
      <c r="B1325" s="38">
        <v>5252</v>
      </c>
      <c r="C1325" s="39">
        <f t="shared" si="44"/>
        <v>3.3569348326746278</v>
      </c>
      <c r="D1325" s="39">
        <f t="shared" si="45"/>
        <v>1.4717930291052821</v>
      </c>
    </row>
    <row r="1326" spans="2:4" ht="15" x14ac:dyDescent="0.15">
      <c r="B1326" s="38">
        <v>5256</v>
      </c>
      <c r="C1326" s="39">
        <f t="shared" si="44"/>
        <v>3.3600564462349354</v>
      </c>
      <c r="D1326" s="39">
        <f t="shared" si="45"/>
        <v>1.4723220704529116</v>
      </c>
    </row>
    <row r="1327" spans="2:4" ht="15" x14ac:dyDescent="0.15">
      <c r="B1327" s="38">
        <v>5260</v>
      </c>
      <c r="C1327" s="39">
        <f t="shared" si="44"/>
        <v>3.363179182072296</v>
      </c>
      <c r="D1327" s="39">
        <f t="shared" si="45"/>
        <v>1.4728514922689679</v>
      </c>
    </row>
    <row r="1328" spans="2:4" ht="15" x14ac:dyDescent="0.15">
      <c r="B1328" s="38">
        <v>5264</v>
      </c>
      <c r="C1328" s="39">
        <f t="shared" si="44"/>
        <v>3.3663030409939614</v>
      </c>
      <c r="D1328" s="39">
        <f t="shared" si="45"/>
        <v>1.4733812949640288</v>
      </c>
    </row>
    <row r="1329" spans="2:4" ht="15" x14ac:dyDescent="0.15">
      <c r="B1329" s="38">
        <v>5268</v>
      </c>
      <c r="C1329" s="39">
        <f t="shared" si="44"/>
        <v>3.3694280238080481</v>
      </c>
      <c r="D1329" s="39">
        <f t="shared" si="45"/>
        <v>1.4739114789492622</v>
      </c>
    </row>
    <row r="1330" spans="2:4" ht="15" x14ac:dyDescent="0.15">
      <c r="B1330" s="38">
        <v>5272</v>
      </c>
      <c r="C1330" s="39">
        <f t="shared" si="44"/>
        <v>3.3725541313235512</v>
      </c>
      <c r="D1330" s="39">
        <f t="shared" si="45"/>
        <v>1.474442044636429</v>
      </c>
    </row>
    <row r="1331" spans="2:4" ht="15" x14ac:dyDescent="0.15">
      <c r="B1331" s="38">
        <v>5276</v>
      </c>
      <c r="C1331" s="39">
        <f t="shared" si="44"/>
        <v>3.3756813643503358</v>
      </c>
      <c r="D1331" s="39">
        <f t="shared" si="45"/>
        <v>1.4749729924378827</v>
      </c>
    </row>
    <row r="1332" spans="2:4" ht="15" x14ac:dyDescent="0.15">
      <c r="B1332" s="38">
        <v>5280</v>
      </c>
      <c r="C1332" s="39">
        <f t="shared" si="44"/>
        <v>3.3788097236991406</v>
      </c>
      <c r="D1332" s="39">
        <f t="shared" si="45"/>
        <v>1.4755043227665705</v>
      </c>
    </row>
    <row r="1333" spans="2:4" ht="15" x14ac:dyDescent="0.15">
      <c r="B1333" s="38">
        <v>5284</v>
      </c>
      <c r="C1333" s="39">
        <f t="shared" si="44"/>
        <v>3.3819392101815859</v>
      </c>
      <c r="D1333" s="39">
        <f t="shared" si="45"/>
        <v>1.4760360360360361</v>
      </c>
    </row>
    <row r="1334" spans="2:4" ht="15" x14ac:dyDescent="0.15">
      <c r="B1334" s="38">
        <v>5288</v>
      </c>
      <c r="C1334" s="39">
        <f t="shared" si="44"/>
        <v>3.3850698246101651</v>
      </c>
      <c r="D1334" s="39">
        <f t="shared" si="45"/>
        <v>1.4765681326604181</v>
      </c>
    </row>
    <row r="1335" spans="2:4" ht="15" x14ac:dyDescent="0.15">
      <c r="B1335" s="38">
        <v>5292</v>
      </c>
      <c r="C1335" s="39">
        <f t="shared" si="44"/>
        <v>3.3882015677982542</v>
      </c>
      <c r="D1335" s="39">
        <f t="shared" si="45"/>
        <v>1.4771006130544537</v>
      </c>
    </row>
    <row r="1336" spans="2:4" ht="15" x14ac:dyDescent="0.15">
      <c r="B1336" s="38">
        <v>5296</v>
      </c>
      <c r="C1336" s="39">
        <f t="shared" si="44"/>
        <v>3.3913344405601045</v>
      </c>
      <c r="D1336" s="39">
        <f t="shared" si="45"/>
        <v>1.4776334776334776</v>
      </c>
    </row>
    <row r="1337" spans="2:4" ht="15" x14ac:dyDescent="0.15">
      <c r="B1337" s="38">
        <v>5300</v>
      </c>
      <c r="C1337" s="39">
        <f t="shared" si="44"/>
        <v>3.3944684437108514</v>
      </c>
      <c r="D1337" s="39">
        <f t="shared" si="45"/>
        <v>1.4781667268134246</v>
      </c>
    </row>
    <row r="1338" spans="2:4" ht="15" x14ac:dyDescent="0.15">
      <c r="B1338" s="38">
        <v>5304</v>
      </c>
      <c r="C1338" s="39">
        <f t="shared" si="44"/>
        <v>3.3976035780665153</v>
      </c>
      <c r="D1338" s="39">
        <f t="shared" si="45"/>
        <v>1.4787003610108302</v>
      </c>
    </row>
    <row r="1339" spans="2:4" ht="15" x14ac:dyDescent="0.15">
      <c r="B1339" s="38">
        <v>5308</v>
      </c>
      <c r="C1339" s="39">
        <f t="shared" si="44"/>
        <v>3.4007398444439971</v>
      </c>
      <c r="D1339" s="39">
        <f t="shared" si="45"/>
        <v>1.4792343806428314</v>
      </c>
    </row>
    <row r="1340" spans="2:4" ht="15" x14ac:dyDescent="0.15">
      <c r="B1340" s="38">
        <v>5312</v>
      </c>
      <c r="C1340" s="39">
        <f t="shared" si="44"/>
        <v>3.4038772436610825</v>
      </c>
      <c r="D1340" s="39">
        <f t="shared" si="45"/>
        <v>1.4797687861271676</v>
      </c>
    </row>
    <row r="1341" spans="2:4" ht="15" x14ac:dyDescent="0.15">
      <c r="B1341" s="38">
        <v>5316</v>
      </c>
      <c r="C1341" s="39">
        <f t="shared" si="44"/>
        <v>3.407015776536447</v>
      </c>
      <c r="D1341" s="39">
        <f t="shared" si="45"/>
        <v>1.4803035778821829</v>
      </c>
    </row>
    <row r="1342" spans="2:4" ht="15" x14ac:dyDescent="0.15">
      <c r="B1342" s="38">
        <v>5320</v>
      </c>
      <c r="C1342" s="39">
        <f t="shared" si="44"/>
        <v>3.4101554438896509</v>
      </c>
      <c r="D1342" s="39">
        <f t="shared" si="45"/>
        <v>1.4808387563268257</v>
      </c>
    </row>
    <row r="1343" spans="2:4" ht="15" x14ac:dyDescent="0.15">
      <c r="B1343" s="38">
        <v>5324</v>
      </c>
      <c r="C1343" s="39">
        <f t="shared" si="44"/>
        <v>3.4132962465411456</v>
      </c>
      <c r="D1343" s="39">
        <f t="shared" si="45"/>
        <v>1.481374321880651</v>
      </c>
    </row>
    <row r="1344" spans="2:4" ht="15" x14ac:dyDescent="0.15">
      <c r="B1344" s="38">
        <v>5328</v>
      </c>
      <c r="C1344" s="39">
        <f t="shared" si="44"/>
        <v>3.4164381853122707</v>
      </c>
      <c r="D1344" s="39">
        <f t="shared" si="45"/>
        <v>1.4819102749638204</v>
      </c>
    </row>
    <row r="1345" spans="2:4" ht="15" x14ac:dyDescent="0.15">
      <c r="B1345" s="38">
        <v>5332</v>
      </c>
      <c r="C1345" s="39">
        <f t="shared" si="44"/>
        <v>3.4195812610252596</v>
      </c>
      <c r="D1345" s="39">
        <f t="shared" si="45"/>
        <v>1.4824466159971046</v>
      </c>
    </row>
    <row r="1346" spans="2:4" ht="15" x14ac:dyDescent="0.15">
      <c r="B1346" s="38">
        <v>5336</v>
      </c>
      <c r="C1346" s="39">
        <f t="shared" si="44"/>
        <v>3.4227254745032365</v>
      </c>
      <c r="D1346" s="39">
        <f t="shared" si="45"/>
        <v>1.4829833454018826</v>
      </c>
    </row>
    <row r="1347" spans="2:4" ht="15" x14ac:dyDescent="0.15">
      <c r="B1347" s="38">
        <v>5340</v>
      </c>
      <c r="C1347" s="39">
        <f t="shared" si="44"/>
        <v>3.4258708265702231</v>
      </c>
      <c r="D1347" s="39">
        <f t="shared" si="45"/>
        <v>1.4835204636001449</v>
      </c>
    </row>
    <row r="1348" spans="2:4" ht="15" x14ac:dyDescent="0.15">
      <c r="B1348" s="38">
        <v>5344</v>
      </c>
      <c r="C1348" s="39">
        <f t="shared" si="44"/>
        <v>3.429017318051133</v>
      </c>
      <c r="D1348" s="39">
        <f t="shared" si="45"/>
        <v>1.4840579710144928</v>
      </c>
    </row>
    <row r="1349" spans="2:4" ht="15" x14ac:dyDescent="0.15">
      <c r="B1349" s="38">
        <v>5348</v>
      </c>
      <c r="C1349" s="39">
        <f t="shared" si="44"/>
        <v>3.432164949771777</v>
      </c>
      <c r="D1349" s="39">
        <f t="shared" si="45"/>
        <v>1.4845958680681406</v>
      </c>
    </row>
    <row r="1350" spans="2:4" ht="15" x14ac:dyDescent="0.15">
      <c r="B1350" s="38">
        <v>5352</v>
      </c>
      <c r="C1350" s="39">
        <f t="shared" si="44"/>
        <v>3.4353137225588681</v>
      </c>
      <c r="D1350" s="39">
        <f t="shared" si="45"/>
        <v>1.4851341551849166</v>
      </c>
    </row>
    <row r="1351" spans="2:4" ht="15" x14ac:dyDescent="0.15">
      <c r="B1351" s="38">
        <v>5356</v>
      </c>
      <c r="C1351" s="39">
        <f t="shared" si="44"/>
        <v>3.4384636372400124</v>
      </c>
      <c r="D1351" s="39">
        <f t="shared" si="45"/>
        <v>1.4856728327892637</v>
      </c>
    </row>
    <row r="1352" spans="2:4" ht="15" x14ac:dyDescent="0.15">
      <c r="B1352" s="38">
        <v>5360</v>
      </c>
      <c r="C1352" s="39">
        <f t="shared" si="44"/>
        <v>3.4416146946437225</v>
      </c>
      <c r="D1352" s="39">
        <f t="shared" si="45"/>
        <v>1.4862119013062409</v>
      </c>
    </row>
    <row r="1353" spans="2:4" ht="15" x14ac:dyDescent="0.15">
      <c r="B1353" s="38">
        <v>5364</v>
      </c>
      <c r="C1353" s="39">
        <f t="shared" si="44"/>
        <v>3.4447668955994093</v>
      </c>
      <c r="D1353" s="39">
        <f t="shared" si="45"/>
        <v>1.4867513611615244</v>
      </c>
    </row>
    <row r="1354" spans="2:4" ht="15" x14ac:dyDescent="0.15">
      <c r="B1354" s="38">
        <v>5368</v>
      </c>
      <c r="C1354" s="39">
        <f t="shared" si="44"/>
        <v>3.4479202409373895</v>
      </c>
      <c r="D1354" s="39">
        <f t="shared" si="45"/>
        <v>1.4872912127814089</v>
      </c>
    </row>
    <row r="1355" spans="2:4" ht="15" x14ac:dyDescent="0.15">
      <c r="B1355" s="38">
        <v>5372</v>
      </c>
      <c r="C1355" s="39">
        <f t="shared" si="44"/>
        <v>3.4510747314888821</v>
      </c>
      <c r="D1355" s="39">
        <f t="shared" si="45"/>
        <v>1.4878314565928079</v>
      </c>
    </row>
    <row r="1356" spans="2:4" ht="15" x14ac:dyDescent="0.15">
      <c r="B1356" s="38">
        <v>5376</v>
      </c>
      <c r="C1356" s="39">
        <f t="shared" si="44"/>
        <v>3.4542303680860127</v>
      </c>
      <c r="D1356" s="39">
        <f t="shared" si="45"/>
        <v>1.4883720930232558</v>
      </c>
    </row>
    <row r="1357" spans="2:4" ht="15" x14ac:dyDescent="0.15">
      <c r="B1357" s="38">
        <v>5380</v>
      </c>
      <c r="C1357" s="39">
        <f t="shared" ref="C1357:C1420" si="46">20*LOG(D1357)</f>
        <v>3.4573871515618162</v>
      </c>
      <c r="D1357" s="39">
        <f t="shared" ref="D1357:D1420" si="47">16384/(16384-B1357)</f>
        <v>1.4889131225009087</v>
      </c>
    </row>
    <row r="1358" spans="2:4" ht="15" x14ac:dyDescent="0.15">
      <c r="B1358" s="38">
        <v>5384</v>
      </c>
      <c r="C1358" s="39">
        <f t="shared" si="46"/>
        <v>3.4605450827502331</v>
      </c>
      <c r="D1358" s="39">
        <f t="shared" si="47"/>
        <v>1.4894545454545454</v>
      </c>
    </row>
    <row r="1359" spans="2:4" ht="15" x14ac:dyDescent="0.15">
      <c r="B1359" s="38">
        <v>5388</v>
      </c>
      <c r="C1359" s="39">
        <f t="shared" si="46"/>
        <v>3.4637041624861178</v>
      </c>
      <c r="D1359" s="39">
        <f t="shared" si="47"/>
        <v>1.4899963623135686</v>
      </c>
    </row>
    <row r="1360" spans="2:4" ht="15" x14ac:dyDescent="0.15">
      <c r="B1360" s="38">
        <v>5392</v>
      </c>
      <c r="C1360" s="39">
        <f t="shared" si="46"/>
        <v>3.4668643916052311</v>
      </c>
      <c r="D1360" s="39">
        <f t="shared" si="47"/>
        <v>1.4905385735080059</v>
      </c>
    </row>
    <row r="1361" spans="2:4" ht="15" x14ac:dyDescent="0.15">
      <c r="B1361" s="38">
        <v>5396</v>
      </c>
      <c r="C1361" s="39">
        <f t="shared" si="46"/>
        <v>3.4700257709442477</v>
      </c>
      <c r="D1361" s="39">
        <f t="shared" si="47"/>
        <v>1.491081179468511</v>
      </c>
    </row>
    <row r="1362" spans="2:4" ht="15" x14ac:dyDescent="0.15">
      <c r="B1362" s="38">
        <v>5400</v>
      </c>
      <c r="C1362" s="39">
        <f t="shared" si="46"/>
        <v>3.4731883013407612</v>
      </c>
      <c r="D1362" s="39">
        <f t="shared" si="47"/>
        <v>1.4916241806263657</v>
      </c>
    </row>
    <row r="1363" spans="2:4" ht="15" x14ac:dyDescent="0.15">
      <c r="B1363" s="38">
        <v>5404</v>
      </c>
      <c r="C1363" s="39">
        <f t="shared" si="46"/>
        <v>3.4763519836332724</v>
      </c>
      <c r="D1363" s="39">
        <f t="shared" si="47"/>
        <v>1.4921675774134791</v>
      </c>
    </row>
    <row r="1364" spans="2:4" ht="15" x14ac:dyDescent="0.15">
      <c r="B1364" s="38">
        <v>5408</v>
      </c>
      <c r="C1364" s="39">
        <f t="shared" si="46"/>
        <v>3.4795168186612053</v>
      </c>
      <c r="D1364" s="39">
        <f t="shared" si="47"/>
        <v>1.4927113702623906</v>
      </c>
    </row>
    <row r="1365" spans="2:4" ht="15" x14ac:dyDescent="0.15">
      <c r="B1365" s="38">
        <v>5412</v>
      </c>
      <c r="C1365" s="39">
        <f t="shared" si="46"/>
        <v>3.4826828072648981</v>
      </c>
      <c r="D1365" s="39">
        <f t="shared" si="47"/>
        <v>1.4932555596062704</v>
      </c>
    </row>
    <row r="1366" spans="2:4" ht="15" x14ac:dyDescent="0.15">
      <c r="B1366" s="38">
        <v>5416</v>
      </c>
      <c r="C1366" s="39">
        <f t="shared" si="46"/>
        <v>3.4858499502856102</v>
      </c>
      <c r="D1366" s="39">
        <f t="shared" si="47"/>
        <v>1.4938001458789205</v>
      </c>
    </row>
    <row r="1367" spans="2:4" ht="15" x14ac:dyDescent="0.15">
      <c r="B1367" s="38">
        <v>5420</v>
      </c>
      <c r="C1367" s="39">
        <f t="shared" si="46"/>
        <v>3.489018248565519</v>
      </c>
      <c r="D1367" s="39">
        <f t="shared" si="47"/>
        <v>1.4943451295147756</v>
      </c>
    </row>
    <row r="1368" spans="2:4" ht="15" x14ac:dyDescent="0.15">
      <c r="B1368" s="38">
        <v>5424</v>
      </c>
      <c r="C1368" s="39">
        <f t="shared" si="46"/>
        <v>3.4921877029477271</v>
      </c>
      <c r="D1368" s="39">
        <f t="shared" si="47"/>
        <v>1.494890510948905</v>
      </c>
    </row>
    <row r="1369" spans="2:4" ht="15" x14ac:dyDescent="0.15">
      <c r="B1369" s="38">
        <v>5428</v>
      </c>
      <c r="C1369" s="39">
        <f t="shared" si="46"/>
        <v>3.4953583142762596</v>
      </c>
      <c r="D1369" s="39">
        <f t="shared" si="47"/>
        <v>1.4954362906170136</v>
      </c>
    </row>
    <row r="1370" spans="2:4" ht="15" x14ac:dyDescent="0.15">
      <c r="B1370" s="38">
        <v>5432</v>
      </c>
      <c r="C1370" s="39">
        <f t="shared" si="46"/>
        <v>3.4985300833960631</v>
      </c>
      <c r="D1370" s="39">
        <f t="shared" si="47"/>
        <v>1.495982468955442</v>
      </c>
    </row>
    <row r="1371" spans="2:4" ht="15" x14ac:dyDescent="0.15">
      <c r="B1371" s="38">
        <v>5436</v>
      </c>
      <c r="C1371" s="39">
        <f t="shared" si="46"/>
        <v>3.5017030111530141</v>
      </c>
      <c r="D1371" s="39">
        <f t="shared" si="47"/>
        <v>1.4965290464011691</v>
      </c>
    </row>
    <row r="1372" spans="2:4" ht="15" x14ac:dyDescent="0.15">
      <c r="B1372" s="38">
        <v>5440</v>
      </c>
      <c r="C1372" s="39">
        <f t="shared" si="46"/>
        <v>3.5048770983939144</v>
      </c>
      <c r="D1372" s="39">
        <f t="shared" si="47"/>
        <v>1.4970760233918128</v>
      </c>
    </row>
    <row r="1373" spans="2:4" ht="15" x14ac:dyDescent="0.15">
      <c r="B1373" s="38">
        <v>5444</v>
      </c>
      <c r="C1373" s="39">
        <f t="shared" si="46"/>
        <v>3.5080523459664956</v>
      </c>
      <c r="D1373" s="39">
        <f t="shared" si="47"/>
        <v>1.4976234003656308</v>
      </c>
    </row>
    <row r="1374" spans="2:4" ht="15" x14ac:dyDescent="0.15">
      <c r="B1374" s="38">
        <v>5448</v>
      </c>
      <c r="C1374" s="39">
        <f t="shared" si="46"/>
        <v>3.5112287547194176</v>
      </c>
      <c r="D1374" s="39">
        <f t="shared" si="47"/>
        <v>1.4981711777615216</v>
      </c>
    </row>
    <row r="1375" spans="2:4" ht="15" x14ac:dyDescent="0.15">
      <c r="B1375" s="38">
        <v>5452</v>
      </c>
      <c r="C1375" s="39">
        <f t="shared" si="46"/>
        <v>3.5144063255022728</v>
      </c>
      <c r="D1375" s="39">
        <f t="shared" si="47"/>
        <v>1.4987193560190266</v>
      </c>
    </row>
    <row r="1376" spans="2:4" ht="15" x14ac:dyDescent="0.15">
      <c r="B1376" s="38">
        <v>5456</v>
      </c>
      <c r="C1376" s="39">
        <f t="shared" si="46"/>
        <v>3.5175850591655884</v>
      </c>
      <c r="D1376" s="39">
        <f t="shared" si="47"/>
        <v>1.4992679355783309</v>
      </c>
    </row>
    <row r="1377" spans="2:4" ht="15" x14ac:dyDescent="0.15">
      <c r="B1377" s="38">
        <v>5460</v>
      </c>
      <c r="C1377" s="39">
        <f t="shared" si="46"/>
        <v>3.5207649565608201</v>
      </c>
      <c r="D1377" s="39">
        <f t="shared" si="47"/>
        <v>1.4998169168802635</v>
      </c>
    </row>
    <row r="1378" spans="2:4" ht="15" x14ac:dyDescent="0.15">
      <c r="B1378" s="38">
        <v>5464</v>
      </c>
      <c r="C1378" s="39">
        <f t="shared" si="46"/>
        <v>3.5239460185403662</v>
      </c>
      <c r="D1378" s="39">
        <f t="shared" si="47"/>
        <v>1.5003663003663004</v>
      </c>
    </row>
    <row r="1379" spans="2:4" ht="15" x14ac:dyDescent="0.15">
      <c r="B1379" s="38">
        <v>5468</v>
      </c>
      <c r="C1379" s="39">
        <f t="shared" si="46"/>
        <v>3.5271282459575559</v>
      </c>
      <c r="D1379" s="39">
        <f t="shared" si="47"/>
        <v>1.5009160864785636</v>
      </c>
    </row>
    <row r="1380" spans="2:4" ht="15" x14ac:dyDescent="0.15">
      <c r="B1380" s="38">
        <v>5472</v>
      </c>
      <c r="C1380" s="39">
        <f t="shared" si="46"/>
        <v>3.5303116396666607</v>
      </c>
      <c r="D1380" s="39">
        <f t="shared" si="47"/>
        <v>1.501466275659824</v>
      </c>
    </row>
    <row r="1381" spans="2:4" ht="15" x14ac:dyDescent="0.15">
      <c r="B1381" s="38">
        <v>5476</v>
      </c>
      <c r="C1381" s="39">
        <f t="shared" si="46"/>
        <v>3.5334962005228894</v>
      </c>
      <c r="D1381" s="39">
        <f t="shared" si="47"/>
        <v>1.502016868353502</v>
      </c>
    </row>
    <row r="1382" spans="2:4" ht="15" x14ac:dyDescent="0.15">
      <c r="B1382" s="38">
        <v>5480</v>
      </c>
      <c r="C1382" s="39">
        <f t="shared" si="46"/>
        <v>3.5366819293823926</v>
      </c>
      <c r="D1382" s="39">
        <f t="shared" si="47"/>
        <v>1.5025678650036685</v>
      </c>
    </row>
    <row r="1383" spans="2:4" ht="15" x14ac:dyDescent="0.15">
      <c r="B1383" s="38">
        <v>5484</v>
      </c>
      <c r="C1383" s="39">
        <f t="shared" si="46"/>
        <v>3.539868827102262</v>
      </c>
      <c r="D1383" s="39">
        <f t="shared" si="47"/>
        <v>1.5031192660550459</v>
      </c>
    </row>
    <row r="1384" spans="2:4" ht="15" x14ac:dyDescent="0.15">
      <c r="B1384" s="38">
        <v>5488</v>
      </c>
      <c r="C1384" s="39">
        <f t="shared" si="46"/>
        <v>3.5430568945405354</v>
      </c>
      <c r="D1384" s="39">
        <f t="shared" si="47"/>
        <v>1.5036710719530102</v>
      </c>
    </row>
    <row r="1385" spans="2:4" ht="15" x14ac:dyDescent="0.15">
      <c r="B1385" s="38">
        <v>5492</v>
      </c>
      <c r="C1385" s="39">
        <f t="shared" si="46"/>
        <v>3.5462461325561949</v>
      </c>
      <c r="D1385" s="39">
        <f t="shared" si="47"/>
        <v>1.5042232831435915</v>
      </c>
    </row>
    <row r="1386" spans="2:4" ht="15" x14ac:dyDescent="0.15">
      <c r="B1386" s="38">
        <v>5496</v>
      </c>
      <c r="C1386" s="39">
        <f t="shared" si="46"/>
        <v>3.5494365420091682</v>
      </c>
      <c r="D1386" s="39">
        <f t="shared" si="47"/>
        <v>1.5047759000734753</v>
      </c>
    </row>
    <row r="1387" spans="2:4" ht="15" x14ac:dyDescent="0.15">
      <c r="B1387" s="38">
        <v>5500</v>
      </c>
      <c r="C1387" s="39">
        <f t="shared" si="46"/>
        <v>3.5526281237603334</v>
      </c>
      <c r="D1387" s="39">
        <f t="shared" si="47"/>
        <v>1.5053289231900038</v>
      </c>
    </row>
    <row r="1388" spans="2:4" ht="15" x14ac:dyDescent="0.15">
      <c r="B1388" s="38">
        <v>5504</v>
      </c>
      <c r="C1388" s="39">
        <f t="shared" si="46"/>
        <v>3.5558208786715122</v>
      </c>
      <c r="D1388" s="39">
        <f t="shared" si="47"/>
        <v>1.5058823529411764</v>
      </c>
    </row>
    <row r="1389" spans="2:4" ht="15" x14ac:dyDescent="0.15">
      <c r="B1389" s="38">
        <v>5508</v>
      </c>
      <c r="C1389" s="39">
        <f t="shared" si="46"/>
        <v>3.5590148076054846</v>
      </c>
      <c r="D1389" s="39">
        <f t="shared" si="47"/>
        <v>1.5064361897756529</v>
      </c>
    </row>
    <row r="1390" spans="2:4" ht="15" x14ac:dyDescent="0.15">
      <c r="B1390" s="38">
        <v>5512</v>
      </c>
      <c r="C1390" s="39">
        <f t="shared" si="46"/>
        <v>3.5622099114259771</v>
      </c>
      <c r="D1390" s="39">
        <f t="shared" si="47"/>
        <v>1.506990434142752</v>
      </c>
    </row>
    <row r="1391" spans="2:4" ht="15" x14ac:dyDescent="0.15">
      <c r="B1391" s="38">
        <v>5516</v>
      </c>
      <c r="C1391" s="39">
        <f t="shared" si="46"/>
        <v>3.5654061909976713</v>
      </c>
      <c r="D1391" s="39">
        <f t="shared" si="47"/>
        <v>1.5075450864924549</v>
      </c>
    </row>
    <row r="1392" spans="2:4" ht="15" x14ac:dyDescent="0.15">
      <c r="B1392" s="38">
        <v>5520</v>
      </c>
      <c r="C1392" s="39">
        <f t="shared" si="46"/>
        <v>3.5686036471862055</v>
      </c>
      <c r="D1392" s="39">
        <f t="shared" si="47"/>
        <v>1.508100147275405</v>
      </c>
    </row>
    <row r="1393" spans="2:4" ht="15" x14ac:dyDescent="0.15">
      <c r="B1393" s="38">
        <v>5524</v>
      </c>
      <c r="C1393" s="39">
        <f t="shared" si="46"/>
        <v>3.5718022808581718</v>
      </c>
      <c r="D1393" s="39">
        <f t="shared" si="47"/>
        <v>1.5086556169429097</v>
      </c>
    </row>
    <row r="1394" spans="2:4" ht="15" x14ac:dyDescent="0.15">
      <c r="B1394" s="38">
        <v>5528</v>
      </c>
      <c r="C1394" s="39">
        <f t="shared" si="46"/>
        <v>3.5750020928811215</v>
      </c>
      <c r="D1394" s="39">
        <f t="shared" si="47"/>
        <v>1.5092114959469418</v>
      </c>
    </row>
    <row r="1395" spans="2:4" ht="15" x14ac:dyDescent="0.15">
      <c r="B1395" s="38">
        <v>5532</v>
      </c>
      <c r="C1395" s="39">
        <f t="shared" si="46"/>
        <v>3.5782030841235644</v>
      </c>
      <c r="D1395" s="39">
        <f t="shared" si="47"/>
        <v>1.5097677847401401</v>
      </c>
    </row>
    <row r="1396" spans="2:4" ht="15" x14ac:dyDescent="0.15">
      <c r="B1396" s="38">
        <v>5536</v>
      </c>
      <c r="C1396" s="39">
        <f t="shared" si="46"/>
        <v>3.581405255454972</v>
      </c>
      <c r="D1396" s="39">
        <f t="shared" si="47"/>
        <v>1.5103244837758112</v>
      </c>
    </row>
    <row r="1397" spans="2:4" ht="15" x14ac:dyDescent="0.15">
      <c r="B1397" s="38">
        <v>5540</v>
      </c>
      <c r="C1397" s="39">
        <f t="shared" si="46"/>
        <v>3.5846086077457762</v>
      </c>
      <c r="D1397" s="39">
        <f t="shared" si="47"/>
        <v>1.5108815935079307</v>
      </c>
    </row>
    <row r="1398" spans="2:4" ht="15" x14ac:dyDescent="0.15">
      <c r="B1398" s="38">
        <v>5544</v>
      </c>
      <c r="C1398" s="39">
        <f t="shared" si="46"/>
        <v>3.5878131418673718</v>
      </c>
      <c r="D1398" s="39">
        <f t="shared" si="47"/>
        <v>1.5114391143911439</v>
      </c>
    </row>
    <row r="1399" spans="2:4" ht="15" x14ac:dyDescent="0.15">
      <c r="B1399" s="38">
        <v>5548</v>
      </c>
      <c r="C1399" s="39">
        <f t="shared" si="46"/>
        <v>3.5910188586921219</v>
      </c>
      <c r="D1399" s="39">
        <f t="shared" si="47"/>
        <v>1.5119970468807677</v>
      </c>
    </row>
    <row r="1400" spans="2:4" ht="15" x14ac:dyDescent="0.15">
      <c r="B1400" s="38">
        <v>5552</v>
      </c>
      <c r="C1400" s="39">
        <f t="shared" si="46"/>
        <v>3.5942257590933533</v>
      </c>
      <c r="D1400" s="39">
        <f t="shared" si="47"/>
        <v>1.5125553914327918</v>
      </c>
    </row>
    <row r="1401" spans="2:4" ht="15" x14ac:dyDescent="0.15">
      <c r="B1401" s="38">
        <v>5556</v>
      </c>
      <c r="C1401" s="39">
        <f t="shared" si="46"/>
        <v>3.5974338439453586</v>
      </c>
      <c r="D1401" s="39">
        <f t="shared" si="47"/>
        <v>1.5131141485038788</v>
      </c>
    </row>
    <row r="1402" spans="2:4" ht="15" x14ac:dyDescent="0.15">
      <c r="B1402" s="38">
        <v>5560</v>
      </c>
      <c r="C1402" s="39">
        <f t="shared" si="46"/>
        <v>3.6006431141234034</v>
      </c>
      <c r="D1402" s="39">
        <f t="shared" si="47"/>
        <v>1.5136733185513673</v>
      </c>
    </row>
    <row r="1403" spans="2:4" ht="15" x14ac:dyDescent="0.15">
      <c r="B1403" s="38">
        <v>5564</v>
      </c>
      <c r="C1403" s="39">
        <f t="shared" si="46"/>
        <v>3.6038535705037216</v>
      </c>
      <c r="D1403" s="39">
        <f t="shared" si="47"/>
        <v>1.5142329020332717</v>
      </c>
    </row>
    <row r="1404" spans="2:4" ht="15" x14ac:dyDescent="0.15">
      <c r="B1404" s="38">
        <v>5568</v>
      </c>
      <c r="C1404" s="39">
        <f t="shared" si="46"/>
        <v>3.6070652139635202</v>
      </c>
      <c r="D1404" s="39">
        <f t="shared" si="47"/>
        <v>1.514792899408284</v>
      </c>
    </row>
    <row r="1405" spans="2:4" ht="15" x14ac:dyDescent="0.15">
      <c r="B1405" s="38">
        <v>5572</v>
      </c>
      <c r="C1405" s="39">
        <f t="shared" si="46"/>
        <v>3.6102780453809786</v>
      </c>
      <c r="D1405" s="39">
        <f t="shared" si="47"/>
        <v>1.5153533111357751</v>
      </c>
    </row>
    <row r="1406" spans="2:4" ht="15" x14ac:dyDescent="0.15">
      <c r="B1406" s="38">
        <v>5576</v>
      </c>
      <c r="C1406" s="39">
        <f t="shared" si="46"/>
        <v>3.6134920656352509</v>
      </c>
      <c r="D1406" s="39">
        <f t="shared" si="47"/>
        <v>1.5159141376757956</v>
      </c>
    </row>
    <row r="1407" spans="2:4" ht="15" x14ac:dyDescent="0.15">
      <c r="B1407" s="38">
        <v>5580</v>
      </c>
      <c r="C1407" s="39">
        <f t="shared" si="46"/>
        <v>3.6167072756064695</v>
      </c>
      <c r="D1407" s="39">
        <f t="shared" si="47"/>
        <v>1.5164753794890782</v>
      </c>
    </row>
    <row r="1408" spans="2:4" ht="15" x14ac:dyDescent="0.15">
      <c r="B1408" s="38">
        <v>5584</v>
      </c>
      <c r="C1408" s="39">
        <f t="shared" si="46"/>
        <v>3.6199236761757403</v>
      </c>
      <c r="D1408" s="39">
        <f t="shared" si="47"/>
        <v>1.517037037037037</v>
      </c>
    </row>
    <row r="1409" spans="2:4" ht="15" x14ac:dyDescent="0.15">
      <c r="B1409" s="38">
        <v>5588</v>
      </c>
      <c r="C1409" s="39">
        <f t="shared" si="46"/>
        <v>3.623141268225154</v>
      </c>
      <c r="D1409" s="39">
        <f t="shared" si="47"/>
        <v>1.517599110781771</v>
      </c>
    </row>
    <row r="1410" spans="2:4" ht="15" x14ac:dyDescent="0.15">
      <c r="B1410" s="38">
        <v>5592</v>
      </c>
      <c r="C1410" s="39">
        <f t="shared" si="46"/>
        <v>3.6263600526377777</v>
      </c>
      <c r="D1410" s="39">
        <f t="shared" si="47"/>
        <v>1.5181616011860637</v>
      </c>
    </row>
    <row r="1411" spans="2:4" ht="15" x14ac:dyDescent="0.15">
      <c r="B1411" s="38">
        <v>5596</v>
      </c>
      <c r="C1411" s="39">
        <f t="shared" si="46"/>
        <v>3.629580030297662</v>
      </c>
      <c r="D1411" s="39">
        <f t="shared" si="47"/>
        <v>1.5187245087133852</v>
      </c>
    </row>
    <row r="1412" spans="2:4" ht="15" x14ac:dyDescent="0.15">
      <c r="B1412" s="38">
        <v>5600</v>
      </c>
      <c r="C1412" s="39">
        <f t="shared" si="46"/>
        <v>3.6328012020898433</v>
      </c>
      <c r="D1412" s="39">
        <f t="shared" si="47"/>
        <v>1.5192878338278932</v>
      </c>
    </row>
    <row r="1413" spans="2:4" ht="15" x14ac:dyDescent="0.15">
      <c r="B1413" s="38">
        <v>5604</v>
      </c>
      <c r="C1413" s="39">
        <f t="shared" si="46"/>
        <v>3.6360235689003364</v>
      </c>
      <c r="D1413" s="39">
        <f t="shared" si="47"/>
        <v>1.5198515769944341</v>
      </c>
    </row>
    <row r="1414" spans="2:4" ht="15" x14ac:dyDescent="0.15">
      <c r="B1414" s="38">
        <v>5608</v>
      </c>
      <c r="C1414" s="39">
        <f t="shared" si="46"/>
        <v>3.6392471316161501</v>
      </c>
      <c r="D1414" s="39">
        <f t="shared" si="47"/>
        <v>1.5204157386785448</v>
      </c>
    </row>
    <row r="1415" spans="2:4" ht="15" x14ac:dyDescent="0.15">
      <c r="B1415" s="38">
        <v>5612</v>
      </c>
      <c r="C1415" s="39">
        <f t="shared" si="46"/>
        <v>3.642471891125278</v>
      </c>
      <c r="D1415" s="39">
        <f t="shared" si="47"/>
        <v>1.5209803193464537</v>
      </c>
    </row>
    <row r="1416" spans="2:4" ht="15" x14ac:dyDescent="0.15">
      <c r="B1416" s="38">
        <v>5616</v>
      </c>
      <c r="C1416" s="39">
        <f t="shared" si="46"/>
        <v>3.645697848316702</v>
      </c>
      <c r="D1416" s="39">
        <f t="shared" si="47"/>
        <v>1.5215453194650816</v>
      </c>
    </row>
    <row r="1417" spans="2:4" ht="15" x14ac:dyDescent="0.15">
      <c r="B1417" s="38">
        <v>5620</v>
      </c>
      <c r="C1417" s="39">
        <f t="shared" si="46"/>
        <v>3.6489250040803967</v>
      </c>
      <c r="D1417" s="39">
        <f t="shared" si="47"/>
        <v>1.5221107395020439</v>
      </c>
    </row>
    <row r="1418" spans="2:4" ht="15" x14ac:dyDescent="0.15">
      <c r="B1418" s="38">
        <v>5624</v>
      </c>
      <c r="C1418" s="39">
        <f t="shared" si="46"/>
        <v>3.6521533593073268</v>
      </c>
      <c r="D1418" s="39">
        <f t="shared" si="47"/>
        <v>1.5226765799256505</v>
      </c>
    </row>
    <row r="1419" spans="2:4" ht="15" x14ac:dyDescent="0.15">
      <c r="B1419" s="38">
        <v>5628</v>
      </c>
      <c r="C1419" s="39">
        <f t="shared" si="46"/>
        <v>3.6553829148894543</v>
      </c>
      <c r="D1419" s="39">
        <f t="shared" si="47"/>
        <v>1.5232428412049088</v>
      </c>
    </row>
    <row r="1420" spans="2:4" ht="15" x14ac:dyDescent="0.15">
      <c r="B1420" s="38">
        <v>5632</v>
      </c>
      <c r="C1420" s="39">
        <f t="shared" si="46"/>
        <v>3.658613671719734</v>
      </c>
      <c r="D1420" s="39">
        <f t="shared" si="47"/>
        <v>1.5238095238095237</v>
      </c>
    </row>
    <row r="1421" spans="2:4" ht="15" x14ac:dyDescent="0.15">
      <c r="B1421" s="38">
        <v>5636</v>
      </c>
      <c r="C1421" s="39">
        <f t="shared" ref="C1421:C1484" si="48">20*LOG(D1421)</f>
        <v>3.6618456306921181</v>
      </c>
      <c r="D1421" s="39">
        <f t="shared" ref="D1421:D1484" si="49">16384/(16384-B1421)</f>
        <v>1.5243766282098996</v>
      </c>
    </row>
    <row r="1422" spans="2:4" ht="15" x14ac:dyDescent="0.15">
      <c r="B1422" s="38">
        <v>5640</v>
      </c>
      <c r="C1422" s="39">
        <f t="shared" si="48"/>
        <v>3.6650787927015562</v>
      </c>
      <c r="D1422" s="39">
        <f t="shared" si="49"/>
        <v>1.5249441548771407</v>
      </c>
    </row>
    <row r="1423" spans="2:4" ht="15" x14ac:dyDescent="0.15">
      <c r="B1423" s="38">
        <v>5644</v>
      </c>
      <c r="C1423" s="39">
        <f t="shared" si="48"/>
        <v>3.6683131586439983</v>
      </c>
      <c r="D1423" s="39">
        <f t="shared" si="49"/>
        <v>1.5255121042830539</v>
      </c>
    </row>
    <row r="1424" spans="2:4" ht="15" x14ac:dyDescent="0.15">
      <c r="B1424" s="38">
        <v>5648</v>
      </c>
      <c r="C1424" s="39">
        <f t="shared" si="48"/>
        <v>3.6715487294163971</v>
      </c>
      <c r="D1424" s="39">
        <f t="shared" si="49"/>
        <v>1.526080476900149</v>
      </c>
    </row>
    <row r="1425" spans="2:4" ht="15" x14ac:dyDescent="0.15">
      <c r="B1425" s="38">
        <v>5652</v>
      </c>
      <c r="C1425" s="39">
        <f t="shared" si="48"/>
        <v>3.6747855059167067</v>
      </c>
      <c r="D1425" s="39">
        <f t="shared" si="49"/>
        <v>1.5266492732016399</v>
      </c>
    </row>
    <row r="1426" spans="2:4" ht="15" x14ac:dyDescent="0.15">
      <c r="B1426" s="38">
        <v>5656</v>
      </c>
      <c r="C1426" s="39">
        <f t="shared" si="48"/>
        <v>3.6780234890438841</v>
      </c>
      <c r="D1426" s="39">
        <f t="shared" si="49"/>
        <v>1.5272184936614466</v>
      </c>
    </row>
    <row r="1427" spans="2:4" ht="15" x14ac:dyDescent="0.15">
      <c r="B1427" s="38">
        <v>5660</v>
      </c>
      <c r="C1427" s="39">
        <f t="shared" si="48"/>
        <v>3.681262679697896</v>
      </c>
      <c r="D1427" s="39">
        <f t="shared" si="49"/>
        <v>1.5277881387541963</v>
      </c>
    </row>
    <row r="1428" spans="2:4" ht="15" x14ac:dyDescent="0.15">
      <c r="B1428" s="38">
        <v>5664</v>
      </c>
      <c r="C1428" s="39">
        <f t="shared" si="48"/>
        <v>3.6845030787797106</v>
      </c>
      <c r="D1428" s="39">
        <f t="shared" si="49"/>
        <v>1.5283582089552239</v>
      </c>
    </row>
    <row r="1429" spans="2:4" ht="15" x14ac:dyDescent="0.15">
      <c r="B1429" s="38">
        <v>5668</v>
      </c>
      <c r="C1429" s="39">
        <f t="shared" si="48"/>
        <v>3.6877446871913095</v>
      </c>
      <c r="D1429" s="39">
        <f t="shared" si="49"/>
        <v>1.5289287047405749</v>
      </c>
    </row>
    <row r="1430" spans="2:4" ht="15" x14ac:dyDescent="0.15">
      <c r="B1430" s="38">
        <v>5672</v>
      </c>
      <c r="C1430" s="39">
        <f t="shared" si="48"/>
        <v>3.6909875058356838</v>
      </c>
      <c r="D1430" s="39">
        <f t="shared" si="49"/>
        <v>1.5294996265870053</v>
      </c>
    </row>
    <row r="1431" spans="2:4" ht="15" x14ac:dyDescent="0.15">
      <c r="B1431" s="38">
        <v>5676</v>
      </c>
      <c r="C1431" s="39">
        <f t="shared" si="48"/>
        <v>3.6942315356168343</v>
      </c>
      <c r="D1431" s="39">
        <f t="shared" si="49"/>
        <v>1.5300709749719836</v>
      </c>
    </row>
    <row r="1432" spans="2:4" ht="15" x14ac:dyDescent="0.15">
      <c r="B1432" s="38">
        <v>5680</v>
      </c>
      <c r="C1432" s="39">
        <f t="shared" si="48"/>
        <v>3.697476777439777</v>
      </c>
      <c r="D1432" s="39">
        <f t="shared" si="49"/>
        <v>1.5306427503736921</v>
      </c>
    </row>
    <row r="1433" spans="2:4" ht="15" x14ac:dyDescent="0.15">
      <c r="B1433" s="38">
        <v>5684</v>
      </c>
      <c r="C1433" s="39">
        <f t="shared" si="48"/>
        <v>3.7007232322105414</v>
      </c>
      <c r="D1433" s="39">
        <f t="shared" si="49"/>
        <v>1.531214953271028</v>
      </c>
    </row>
    <row r="1434" spans="2:4" ht="15" x14ac:dyDescent="0.15">
      <c r="B1434" s="38">
        <v>5688</v>
      </c>
      <c r="C1434" s="39">
        <f t="shared" si="48"/>
        <v>3.7039709008361754</v>
      </c>
      <c r="D1434" s="39">
        <f t="shared" si="49"/>
        <v>1.5317875841436051</v>
      </c>
    </row>
    <row r="1435" spans="2:4" ht="15" x14ac:dyDescent="0.15">
      <c r="B1435" s="38">
        <v>5692</v>
      </c>
      <c r="C1435" s="39">
        <f t="shared" si="48"/>
        <v>3.7072197842247419</v>
      </c>
      <c r="D1435" s="39">
        <f t="shared" si="49"/>
        <v>1.5323606434717545</v>
      </c>
    </row>
    <row r="1436" spans="2:4" ht="15" x14ac:dyDescent="0.15">
      <c r="B1436" s="38">
        <v>5696</v>
      </c>
      <c r="C1436" s="39">
        <f t="shared" si="48"/>
        <v>3.710469883285326</v>
      </c>
      <c r="D1436" s="39">
        <f t="shared" si="49"/>
        <v>1.532934131736527</v>
      </c>
    </row>
    <row r="1437" spans="2:4" ht="15" x14ac:dyDescent="0.15">
      <c r="B1437" s="38">
        <v>5700</v>
      </c>
      <c r="C1437" s="39">
        <f t="shared" si="48"/>
        <v>3.7137211989280305</v>
      </c>
      <c r="D1437" s="39">
        <f t="shared" si="49"/>
        <v>1.5335080494196931</v>
      </c>
    </row>
    <row r="1438" spans="2:4" ht="15" x14ac:dyDescent="0.15">
      <c r="B1438" s="38">
        <v>5704</v>
      </c>
      <c r="C1438" s="39">
        <f t="shared" si="48"/>
        <v>3.7169737320639831</v>
      </c>
      <c r="D1438" s="39">
        <f t="shared" si="49"/>
        <v>1.5340823970037454</v>
      </c>
    </row>
    <row r="1439" spans="2:4" ht="15" x14ac:dyDescent="0.15">
      <c r="B1439" s="38">
        <v>5708</v>
      </c>
      <c r="C1439" s="39">
        <f t="shared" si="48"/>
        <v>3.7202274836053335</v>
      </c>
      <c r="D1439" s="39">
        <f t="shared" si="49"/>
        <v>1.5346571749718996</v>
      </c>
    </row>
    <row r="1440" spans="2:4" ht="15" x14ac:dyDescent="0.15">
      <c r="B1440" s="38">
        <v>5712</v>
      </c>
      <c r="C1440" s="39">
        <f t="shared" si="48"/>
        <v>3.7234824544652594</v>
      </c>
      <c r="D1440" s="39">
        <f t="shared" si="49"/>
        <v>1.5352323838080959</v>
      </c>
    </row>
    <row r="1441" spans="2:4" ht="15" x14ac:dyDescent="0.15">
      <c r="B1441" s="38">
        <v>5716</v>
      </c>
      <c r="C1441" s="39">
        <f t="shared" si="48"/>
        <v>3.726738645557965</v>
      </c>
      <c r="D1441" s="39">
        <f t="shared" si="49"/>
        <v>1.5358080239970004</v>
      </c>
    </row>
    <row r="1442" spans="2:4" ht="15" x14ac:dyDescent="0.15">
      <c r="B1442" s="38">
        <v>5720</v>
      </c>
      <c r="C1442" s="39">
        <f t="shared" si="48"/>
        <v>3.729996057798679</v>
      </c>
      <c r="D1442" s="39">
        <f t="shared" si="49"/>
        <v>1.5363840960240061</v>
      </c>
    </row>
    <row r="1443" spans="2:4" ht="15" x14ac:dyDescent="0.15">
      <c r="B1443" s="38">
        <v>5724</v>
      </c>
      <c r="C1443" s="39">
        <f t="shared" si="48"/>
        <v>3.7332546921036651</v>
      </c>
      <c r="D1443" s="39">
        <f t="shared" si="49"/>
        <v>1.5369606003752345</v>
      </c>
    </row>
    <row r="1444" spans="2:4" ht="15" x14ac:dyDescent="0.15">
      <c r="B1444" s="38">
        <v>5728</v>
      </c>
      <c r="C1444" s="39">
        <f t="shared" si="48"/>
        <v>3.7365145493902174</v>
      </c>
      <c r="D1444" s="39">
        <f t="shared" si="49"/>
        <v>1.5375375375375375</v>
      </c>
    </row>
    <row r="1445" spans="2:4" ht="15" x14ac:dyDescent="0.15">
      <c r="B1445" s="38">
        <v>5732</v>
      </c>
      <c r="C1445" s="39">
        <f t="shared" si="48"/>
        <v>3.7397756305766623</v>
      </c>
      <c r="D1445" s="39">
        <f t="shared" si="49"/>
        <v>1.5381149079984979</v>
      </c>
    </row>
    <row r="1446" spans="2:4" ht="15" x14ac:dyDescent="0.15">
      <c r="B1446" s="38">
        <v>5736</v>
      </c>
      <c r="C1446" s="39">
        <f t="shared" si="48"/>
        <v>3.7430379365823607</v>
      </c>
      <c r="D1446" s="39">
        <f t="shared" si="49"/>
        <v>1.5386927122464313</v>
      </c>
    </row>
    <row r="1447" spans="2:4" ht="15" x14ac:dyDescent="0.15">
      <c r="B1447" s="38">
        <v>5740</v>
      </c>
      <c r="C1447" s="39">
        <f t="shared" si="48"/>
        <v>3.7463014683277098</v>
      </c>
      <c r="D1447" s="39">
        <f t="shared" si="49"/>
        <v>1.539270950770387</v>
      </c>
    </row>
    <row r="1448" spans="2:4" ht="15" x14ac:dyDescent="0.15">
      <c r="B1448" s="38">
        <v>5744</v>
      </c>
      <c r="C1448" s="39">
        <f t="shared" si="48"/>
        <v>3.7495662267341476</v>
      </c>
      <c r="D1448" s="39">
        <f t="shared" si="49"/>
        <v>1.5398496240601505</v>
      </c>
    </row>
    <row r="1449" spans="2:4" ht="15" x14ac:dyDescent="0.15">
      <c r="B1449" s="38">
        <v>5748</v>
      </c>
      <c r="C1449" s="39">
        <f t="shared" si="48"/>
        <v>3.752832212724146</v>
      </c>
      <c r="D1449" s="39">
        <f t="shared" si="49"/>
        <v>1.5404287326062429</v>
      </c>
    </row>
    <row r="1450" spans="2:4" ht="15" x14ac:dyDescent="0.15">
      <c r="B1450" s="38">
        <v>5752</v>
      </c>
      <c r="C1450" s="39">
        <f t="shared" si="48"/>
        <v>3.7560994272212227</v>
      </c>
      <c r="D1450" s="39">
        <f t="shared" si="49"/>
        <v>1.5410082768999247</v>
      </c>
    </row>
    <row r="1451" spans="2:4" ht="15" x14ac:dyDescent="0.15">
      <c r="B1451" s="38">
        <v>5756</v>
      </c>
      <c r="C1451" s="39">
        <f t="shared" si="48"/>
        <v>3.7593678711499368</v>
      </c>
      <c r="D1451" s="39">
        <f t="shared" si="49"/>
        <v>1.5415882574331954</v>
      </c>
    </row>
    <row r="1452" spans="2:4" ht="15" x14ac:dyDescent="0.15">
      <c r="B1452" s="38">
        <v>5760</v>
      </c>
      <c r="C1452" s="39">
        <f t="shared" si="48"/>
        <v>3.7626375454358896</v>
      </c>
      <c r="D1452" s="39">
        <f t="shared" si="49"/>
        <v>1.5421686746987953</v>
      </c>
    </row>
    <row r="1453" spans="2:4" ht="15" x14ac:dyDescent="0.15">
      <c r="B1453" s="38">
        <v>5764</v>
      </c>
      <c r="C1453" s="39">
        <f t="shared" si="48"/>
        <v>3.7659084510057292</v>
      </c>
      <c r="D1453" s="39">
        <f t="shared" si="49"/>
        <v>1.5427495291902071</v>
      </c>
    </row>
    <row r="1454" spans="2:4" ht="15" x14ac:dyDescent="0.15">
      <c r="B1454" s="38">
        <v>5768</v>
      </c>
      <c r="C1454" s="39">
        <f t="shared" si="48"/>
        <v>3.7691805887871528</v>
      </c>
      <c r="D1454" s="39">
        <f t="shared" si="49"/>
        <v>1.5433308214016579</v>
      </c>
    </row>
    <row r="1455" spans="2:4" ht="15" x14ac:dyDescent="0.15">
      <c r="B1455" s="38">
        <v>5772</v>
      </c>
      <c r="C1455" s="39">
        <f t="shared" si="48"/>
        <v>3.7724539597089035</v>
      </c>
      <c r="D1455" s="39">
        <f t="shared" si="49"/>
        <v>1.5439125518281192</v>
      </c>
    </row>
    <row r="1456" spans="2:4" ht="15" x14ac:dyDescent="0.15">
      <c r="B1456" s="38">
        <v>5776</v>
      </c>
      <c r="C1456" s="39">
        <f t="shared" si="48"/>
        <v>3.7757285647007768</v>
      </c>
      <c r="D1456" s="39">
        <f t="shared" si="49"/>
        <v>1.5444947209653093</v>
      </c>
    </row>
    <row r="1457" spans="2:4" ht="15" x14ac:dyDescent="0.15">
      <c r="B1457" s="38">
        <v>5780</v>
      </c>
      <c r="C1457" s="39">
        <f t="shared" si="48"/>
        <v>3.7790044046936182</v>
      </c>
      <c r="D1457" s="39">
        <f t="shared" si="49"/>
        <v>1.5450773293096944</v>
      </c>
    </row>
    <row r="1458" spans="2:4" ht="15" x14ac:dyDescent="0.15">
      <c r="B1458" s="38">
        <v>5784</v>
      </c>
      <c r="C1458" s="39">
        <f t="shared" si="48"/>
        <v>3.7822814806193295</v>
      </c>
      <c r="D1458" s="39">
        <f t="shared" si="49"/>
        <v>1.5456603773584905</v>
      </c>
    </row>
    <row r="1459" spans="2:4" ht="15" x14ac:dyDescent="0.15">
      <c r="B1459" s="38">
        <v>5788</v>
      </c>
      <c r="C1459" s="39">
        <f t="shared" si="48"/>
        <v>3.785559793410866</v>
      </c>
      <c r="D1459" s="39">
        <f t="shared" si="49"/>
        <v>1.546243865609664</v>
      </c>
    </row>
    <row r="1460" spans="2:4" ht="15" x14ac:dyDescent="0.15">
      <c r="B1460" s="38">
        <v>5792</v>
      </c>
      <c r="C1460" s="39">
        <f t="shared" si="48"/>
        <v>3.7888393440022403</v>
      </c>
      <c r="D1460" s="39">
        <f t="shared" si="49"/>
        <v>1.5468277945619335</v>
      </c>
    </row>
    <row r="1461" spans="2:4" ht="15" x14ac:dyDescent="0.15">
      <c r="B1461" s="38">
        <v>5796</v>
      </c>
      <c r="C1461" s="39">
        <f t="shared" si="48"/>
        <v>3.7921201333285222</v>
      </c>
      <c r="D1461" s="39">
        <f t="shared" si="49"/>
        <v>1.5474121647147714</v>
      </c>
    </row>
    <row r="1462" spans="2:4" ht="15" x14ac:dyDescent="0.15">
      <c r="B1462" s="38">
        <v>5800</v>
      </c>
      <c r="C1462" s="39">
        <f t="shared" si="48"/>
        <v>3.7954021623258436</v>
      </c>
      <c r="D1462" s="39">
        <f t="shared" si="49"/>
        <v>1.5479969765684052</v>
      </c>
    </row>
    <row r="1463" spans="2:4" ht="15" x14ac:dyDescent="0.15">
      <c r="B1463" s="38">
        <v>5804</v>
      </c>
      <c r="C1463" s="39">
        <f t="shared" si="48"/>
        <v>3.7986854319313963</v>
      </c>
      <c r="D1463" s="39">
        <f t="shared" si="49"/>
        <v>1.5485822306238186</v>
      </c>
    </row>
    <row r="1464" spans="2:4" ht="15" x14ac:dyDescent="0.15">
      <c r="B1464" s="38">
        <v>5808</v>
      </c>
      <c r="C1464" s="39">
        <f t="shared" si="48"/>
        <v>3.8019699430834346</v>
      </c>
      <c r="D1464" s="39">
        <f t="shared" si="49"/>
        <v>1.5491679273827534</v>
      </c>
    </row>
    <row r="1465" spans="2:4" ht="15" x14ac:dyDescent="0.15">
      <c r="B1465" s="38">
        <v>5812</v>
      </c>
      <c r="C1465" s="39">
        <f t="shared" si="48"/>
        <v>3.8052556967212805</v>
      </c>
      <c r="D1465" s="39">
        <f t="shared" si="49"/>
        <v>1.549754067347711</v>
      </c>
    </row>
    <row r="1466" spans="2:4" ht="15" x14ac:dyDescent="0.15">
      <c r="B1466" s="38">
        <v>5816</v>
      </c>
      <c r="C1466" s="39">
        <f t="shared" si="48"/>
        <v>3.8085426937853191</v>
      </c>
      <c r="D1466" s="39">
        <f t="shared" si="49"/>
        <v>1.5503406510219531</v>
      </c>
    </row>
    <row r="1467" spans="2:4" ht="15" x14ac:dyDescent="0.15">
      <c r="B1467" s="38">
        <v>5820</v>
      </c>
      <c r="C1467" s="39">
        <f t="shared" si="48"/>
        <v>3.8118309352170057</v>
      </c>
      <c r="D1467" s="39">
        <f t="shared" si="49"/>
        <v>1.5509276789095039</v>
      </c>
    </row>
    <row r="1468" spans="2:4" ht="15" x14ac:dyDescent="0.15">
      <c r="B1468" s="38">
        <v>5824</v>
      </c>
      <c r="C1468" s="39">
        <f t="shared" si="48"/>
        <v>3.8151204219588659</v>
      </c>
      <c r="D1468" s="39">
        <f t="shared" si="49"/>
        <v>1.5515151515151515</v>
      </c>
    </row>
    <row r="1469" spans="2:4" ht="15" x14ac:dyDescent="0.15">
      <c r="B1469" s="38">
        <v>5828</v>
      </c>
      <c r="C1469" s="39">
        <f t="shared" si="48"/>
        <v>3.818411154954493</v>
      </c>
      <c r="D1469" s="39">
        <f t="shared" si="49"/>
        <v>1.5521030693444486</v>
      </c>
    </row>
    <row r="1470" spans="2:4" ht="15" x14ac:dyDescent="0.15">
      <c r="B1470" s="38">
        <v>5832</v>
      </c>
      <c r="C1470" s="39">
        <f t="shared" si="48"/>
        <v>3.8217031351485571</v>
      </c>
      <c r="D1470" s="39">
        <f t="shared" si="49"/>
        <v>1.5526914329037149</v>
      </c>
    </row>
    <row r="1471" spans="2:4" ht="15" x14ac:dyDescent="0.15">
      <c r="B1471" s="38">
        <v>5836</v>
      </c>
      <c r="C1471" s="39">
        <f t="shared" si="48"/>
        <v>3.8249963634867994</v>
      </c>
      <c r="D1471" s="39">
        <f t="shared" si="49"/>
        <v>1.5532802427000378</v>
      </c>
    </row>
    <row r="1472" spans="2:4" ht="15" x14ac:dyDescent="0.15">
      <c r="B1472" s="38">
        <v>5840</v>
      </c>
      <c r="C1472" s="39">
        <f t="shared" si="48"/>
        <v>3.8282908409160421</v>
      </c>
      <c r="D1472" s="39">
        <f t="shared" si="49"/>
        <v>1.5538694992412747</v>
      </c>
    </row>
    <row r="1473" spans="2:4" ht="15" x14ac:dyDescent="0.15">
      <c r="B1473" s="38">
        <v>5844</v>
      </c>
      <c r="C1473" s="39">
        <f t="shared" si="48"/>
        <v>3.8315865683841785</v>
      </c>
      <c r="D1473" s="39">
        <f t="shared" si="49"/>
        <v>1.5544592030360531</v>
      </c>
    </row>
    <row r="1474" spans="2:4" ht="15" x14ac:dyDescent="0.15">
      <c r="B1474" s="38">
        <v>5848</v>
      </c>
      <c r="C1474" s="39">
        <f t="shared" si="48"/>
        <v>3.834883546840187</v>
      </c>
      <c r="D1474" s="39">
        <f t="shared" si="49"/>
        <v>1.5550493545937738</v>
      </c>
    </row>
    <row r="1475" spans="2:4" ht="15" x14ac:dyDescent="0.15">
      <c r="B1475" s="38">
        <v>5852</v>
      </c>
      <c r="C1475" s="39">
        <f t="shared" si="48"/>
        <v>3.8381817772341238</v>
      </c>
      <c r="D1475" s="39">
        <f t="shared" si="49"/>
        <v>1.5556399544246107</v>
      </c>
    </row>
    <row r="1476" spans="2:4" ht="15" x14ac:dyDescent="0.15">
      <c r="B1476" s="38">
        <v>5856</v>
      </c>
      <c r="C1476" s="39">
        <f t="shared" si="48"/>
        <v>3.8414812605171296</v>
      </c>
      <c r="D1476" s="39">
        <f t="shared" si="49"/>
        <v>1.5562310030395137</v>
      </c>
    </row>
    <row r="1477" spans="2:4" ht="15" x14ac:dyDescent="0.15">
      <c r="B1477" s="38">
        <v>5860</v>
      </c>
      <c r="C1477" s="39">
        <f t="shared" si="48"/>
        <v>3.8447819976414275</v>
      </c>
      <c r="D1477" s="39">
        <f t="shared" si="49"/>
        <v>1.556822500950209</v>
      </c>
    </row>
    <row r="1478" spans="2:4" ht="15" x14ac:dyDescent="0.15">
      <c r="B1478" s="38">
        <v>5864</v>
      </c>
      <c r="C1478" s="39">
        <f t="shared" si="48"/>
        <v>3.8480839895603292</v>
      </c>
      <c r="D1478" s="39">
        <f t="shared" si="49"/>
        <v>1.5574144486692014</v>
      </c>
    </row>
    <row r="1479" spans="2:4" ht="15" x14ac:dyDescent="0.15">
      <c r="B1479" s="38">
        <v>5868</v>
      </c>
      <c r="C1479" s="39">
        <f t="shared" si="48"/>
        <v>3.8513872372282325</v>
      </c>
      <c r="D1479" s="39">
        <f t="shared" si="49"/>
        <v>1.5580068467097756</v>
      </c>
    </row>
    <row r="1480" spans="2:4" ht="15" x14ac:dyDescent="0.15">
      <c r="B1480" s="38">
        <v>5872</v>
      </c>
      <c r="C1480" s="39">
        <f t="shared" si="48"/>
        <v>3.8546917416006234</v>
      </c>
      <c r="D1480" s="39">
        <f t="shared" si="49"/>
        <v>1.5585996955859969</v>
      </c>
    </row>
    <row r="1481" spans="2:4" ht="15" x14ac:dyDescent="0.15">
      <c r="B1481" s="38">
        <v>5876</v>
      </c>
      <c r="C1481" s="39">
        <f t="shared" si="48"/>
        <v>3.8579975036340821</v>
      </c>
      <c r="D1481" s="39">
        <f t="shared" si="49"/>
        <v>1.5591929958127142</v>
      </c>
    </row>
    <row r="1482" spans="2:4" ht="15" x14ac:dyDescent="0.15">
      <c r="B1482" s="38">
        <v>5880</v>
      </c>
      <c r="C1482" s="39">
        <f t="shared" si="48"/>
        <v>3.8613045242862762</v>
      </c>
      <c r="D1482" s="39">
        <f t="shared" si="49"/>
        <v>1.5597867479055598</v>
      </c>
    </row>
    <row r="1483" spans="2:4" ht="15" x14ac:dyDescent="0.15">
      <c r="B1483" s="38">
        <v>5884</v>
      </c>
      <c r="C1483" s="39">
        <f t="shared" si="48"/>
        <v>3.8646128045159731</v>
      </c>
      <c r="D1483" s="39">
        <f t="shared" si="49"/>
        <v>1.5603809523809524</v>
      </c>
    </row>
    <row r="1484" spans="2:4" ht="15" x14ac:dyDescent="0.15">
      <c r="B1484" s="38">
        <v>5888</v>
      </c>
      <c r="C1484" s="39">
        <f t="shared" si="48"/>
        <v>3.8679223452830334</v>
      </c>
      <c r="D1484" s="39">
        <f t="shared" si="49"/>
        <v>1.5609756097560976</v>
      </c>
    </row>
    <row r="1485" spans="2:4" ht="15" x14ac:dyDescent="0.15">
      <c r="B1485" s="38">
        <v>5892</v>
      </c>
      <c r="C1485" s="39">
        <f t="shared" ref="C1485:C1548" si="50">20*LOG(D1485)</f>
        <v>3.8712331475484159</v>
      </c>
      <c r="D1485" s="39">
        <f t="shared" ref="D1485:D1548" si="51">16384/(16384-B1485)</f>
        <v>1.5615707205489897</v>
      </c>
    </row>
    <row r="1486" spans="2:4" ht="15" x14ac:dyDescent="0.15">
      <c r="B1486" s="38">
        <v>5896</v>
      </c>
      <c r="C1486" s="39">
        <f t="shared" si="50"/>
        <v>3.8745452122741781</v>
      </c>
      <c r="D1486" s="39">
        <f t="shared" si="51"/>
        <v>1.5621662852784135</v>
      </c>
    </row>
    <row r="1487" spans="2:4" ht="15" x14ac:dyDescent="0.15">
      <c r="B1487" s="38">
        <v>5900</v>
      </c>
      <c r="C1487" s="39">
        <f t="shared" si="50"/>
        <v>3.8778585404234782</v>
      </c>
      <c r="D1487" s="39">
        <f t="shared" si="51"/>
        <v>1.5627623044639452</v>
      </c>
    </row>
    <row r="1488" spans="2:4" ht="15" x14ac:dyDescent="0.15">
      <c r="B1488" s="38">
        <v>5904</v>
      </c>
      <c r="C1488" s="39">
        <f t="shared" si="50"/>
        <v>3.8811731329605776</v>
      </c>
      <c r="D1488" s="39">
        <f t="shared" si="51"/>
        <v>1.5633587786259542</v>
      </c>
    </row>
    <row r="1489" spans="2:4" ht="15" x14ac:dyDescent="0.15">
      <c r="B1489" s="38">
        <v>5908</v>
      </c>
      <c r="C1489" s="39">
        <f t="shared" si="50"/>
        <v>3.8844889908508442</v>
      </c>
      <c r="D1489" s="39">
        <f t="shared" si="51"/>
        <v>1.5639557082856053</v>
      </c>
    </row>
    <row r="1490" spans="2:4" ht="15" x14ac:dyDescent="0.15">
      <c r="B1490" s="38">
        <v>5912</v>
      </c>
      <c r="C1490" s="39">
        <f t="shared" si="50"/>
        <v>3.887806115060747</v>
      </c>
      <c r="D1490" s="39">
        <f t="shared" si="51"/>
        <v>1.5645530939648586</v>
      </c>
    </row>
    <row r="1491" spans="2:4" ht="15" x14ac:dyDescent="0.15">
      <c r="B1491" s="38">
        <v>5916</v>
      </c>
      <c r="C1491" s="39">
        <f t="shared" si="50"/>
        <v>3.8911245065578677</v>
      </c>
      <c r="D1491" s="39">
        <f t="shared" si="51"/>
        <v>1.5651509361864731</v>
      </c>
    </row>
    <row r="1492" spans="2:4" ht="15" x14ac:dyDescent="0.15">
      <c r="B1492" s="38">
        <v>5920</v>
      </c>
      <c r="C1492" s="39">
        <f t="shared" si="50"/>
        <v>3.8944441663108935</v>
      </c>
      <c r="D1492" s="39">
        <f t="shared" si="51"/>
        <v>1.5657492354740061</v>
      </c>
    </row>
    <row r="1493" spans="2:4" ht="15" x14ac:dyDescent="0.15">
      <c r="B1493" s="38">
        <v>5924</v>
      </c>
      <c r="C1493" s="39">
        <f t="shared" si="50"/>
        <v>3.8977650952896257</v>
      </c>
      <c r="D1493" s="39">
        <f t="shared" si="51"/>
        <v>1.5663479923518164</v>
      </c>
    </row>
    <row r="1494" spans="2:4" ht="15" x14ac:dyDescent="0.15">
      <c r="B1494" s="38">
        <v>5928</v>
      </c>
      <c r="C1494" s="39">
        <f t="shared" si="50"/>
        <v>3.9010872944649764</v>
      </c>
      <c r="D1494" s="39">
        <f t="shared" si="51"/>
        <v>1.566947207345065</v>
      </c>
    </row>
    <row r="1495" spans="2:4" ht="15" x14ac:dyDescent="0.15">
      <c r="B1495" s="38">
        <v>5932</v>
      </c>
      <c r="C1495" s="39">
        <f t="shared" si="50"/>
        <v>3.9044107648089743</v>
      </c>
      <c r="D1495" s="39">
        <f t="shared" si="51"/>
        <v>1.5675468809797168</v>
      </c>
    </row>
    <row r="1496" spans="2:4" ht="15" x14ac:dyDescent="0.15">
      <c r="B1496" s="38">
        <v>5936</v>
      </c>
      <c r="C1496" s="39">
        <f t="shared" si="50"/>
        <v>3.907735507294761</v>
      </c>
      <c r="D1496" s="39">
        <f t="shared" si="51"/>
        <v>1.5681470137825422</v>
      </c>
    </row>
    <row r="1497" spans="2:4" ht="15" x14ac:dyDescent="0.15">
      <c r="B1497" s="38">
        <v>5940</v>
      </c>
      <c r="C1497" s="39">
        <f t="shared" si="50"/>
        <v>3.9110615228965977</v>
      </c>
      <c r="D1497" s="39">
        <f t="shared" si="51"/>
        <v>1.5687476062811183</v>
      </c>
    </row>
    <row r="1498" spans="2:4" ht="15" x14ac:dyDescent="0.15">
      <c r="B1498" s="38">
        <v>5944</v>
      </c>
      <c r="C1498" s="39">
        <f t="shared" si="50"/>
        <v>3.914388812589868</v>
      </c>
      <c r="D1498" s="39">
        <f t="shared" si="51"/>
        <v>1.5693486590038315</v>
      </c>
    </row>
    <row r="1499" spans="2:4" ht="15" x14ac:dyDescent="0.15">
      <c r="B1499" s="38">
        <v>5948</v>
      </c>
      <c r="C1499" s="39">
        <f t="shared" si="50"/>
        <v>3.9177173773510718</v>
      </c>
      <c r="D1499" s="39">
        <f t="shared" si="51"/>
        <v>1.5699501724798774</v>
      </c>
    </row>
    <row r="1500" spans="2:4" ht="15" x14ac:dyDescent="0.15">
      <c r="B1500" s="38">
        <v>5952</v>
      </c>
      <c r="C1500" s="39">
        <f t="shared" si="50"/>
        <v>3.9210472181578355</v>
      </c>
      <c r="D1500" s="39">
        <f t="shared" si="51"/>
        <v>1.5705521472392638</v>
      </c>
    </row>
    <row r="1501" spans="2:4" ht="15" x14ac:dyDescent="0.15">
      <c r="B1501" s="38">
        <v>5956</v>
      </c>
      <c r="C1501" s="39">
        <f t="shared" si="50"/>
        <v>3.9243783359889086</v>
      </c>
      <c r="D1501" s="39">
        <f t="shared" si="51"/>
        <v>1.5711545838128116</v>
      </c>
    </row>
    <row r="1502" spans="2:4" ht="15" x14ac:dyDescent="0.15">
      <c r="B1502" s="38">
        <v>5960</v>
      </c>
      <c r="C1502" s="39">
        <f t="shared" si="50"/>
        <v>3.9277107318241686</v>
      </c>
      <c r="D1502" s="39">
        <f t="shared" si="51"/>
        <v>1.5717574827321565</v>
      </c>
    </row>
    <row r="1503" spans="2:4" ht="15" x14ac:dyDescent="0.15">
      <c r="B1503" s="38">
        <v>5964</v>
      </c>
      <c r="C1503" s="39">
        <f t="shared" si="50"/>
        <v>3.9310444066446215</v>
      </c>
      <c r="D1503" s="39">
        <f t="shared" si="51"/>
        <v>1.5723608445297506</v>
      </c>
    </row>
    <row r="1504" spans="2:4" ht="15" x14ac:dyDescent="0.15">
      <c r="B1504" s="38">
        <v>5968</v>
      </c>
      <c r="C1504" s="39">
        <f t="shared" si="50"/>
        <v>3.9343793614324003</v>
      </c>
      <c r="D1504" s="39">
        <f t="shared" si="51"/>
        <v>1.5729646697388633</v>
      </c>
    </row>
    <row r="1505" spans="2:4" ht="15" x14ac:dyDescent="0.15">
      <c r="B1505" s="38">
        <v>5972</v>
      </c>
      <c r="C1505" s="39">
        <f t="shared" si="50"/>
        <v>3.9377155971707727</v>
      </c>
      <c r="D1505" s="39">
        <f t="shared" si="51"/>
        <v>1.5735689588935844</v>
      </c>
    </row>
    <row r="1506" spans="2:4" ht="15" x14ac:dyDescent="0.15">
      <c r="B1506" s="38">
        <v>5976</v>
      </c>
      <c r="C1506" s="39">
        <f t="shared" si="50"/>
        <v>3.9410531148441379</v>
      </c>
      <c r="D1506" s="39">
        <f t="shared" si="51"/>
        <v>1.574173712528824</v>
      </c>
    </row>
    <row r="1507" spans="2:4" ht="15" x14ac:dyDescent="0.15">
      <c r="B1507" s="38">
        <v>5980</v>
      </c>
      <c r="C1507" s="39">
        <f t="shared" si="50"/>
        <v>3.9443919154380325</v>
      </c>
      <c r="D1507" s="39">
        <f t="shared" si="51"/>
        <v>1.5747789311803153</v>
      </c>
    </row>
    <row r="1508" spans="2:4" ht="15" x14ac:dyDescent="0.15">
      <c r="B1508" s="38">
        <v>5984</v>
      </c>
      <c r="C1508" s="39">
        <f t="shared" si="50"/>
        <v>3.9477319999391276</v>
      </c>
      <c r="D1508" s="39">
        <f t="shared" si="51"/>
        <v>1.5753846153846154</v>
      </c>
    </row>
    <row r="1509" spans="2:4" ht="15" x14ac:dyDescent="0.15">
      <c r="B1509" s="38">
        <v>5988</v>
      </c>
      <c r="C1509" s="39">
        <f t="shared" si="50"/>
        <v>3.9510733693352353</v>
      </c>
      <c r="D1509" s="39">
        <f t="shared" si="51"/>
        <v>1.5759907656791075</v>
      </c>
    </row>
    <row r="1510" spans="2:4" ht="15" x14ac:dyDescent="0.15">
      <c r="B1510" s="38">
        <v>5992</v>
      </c>
      <c r="C1510" s="39">
        <f t="shared" si="50"/>
        <v>3.9544160246153046</v>
      </c>
      <c r="D1510" s="39">
        <f t="shared" si="51"/>
        <v>1.5765973826020014</v>
      </c>
    </row>
    <row r="1511" spans="2:4" ht="15" x14ac:dyDescent="0.15">
      <c r="B1511" s="38">
        <v>5996</v>
      </c>
      <c r="C1511" s="39">
        <f t="shared" si="50"/>
        <v>3.9577599667694323</v>
      </c>
      <c r="D1511" s="39">
        <f t="shared" si="51"/>
        <v>1.5772044666923373</v>
      </c>
    </row>
    <row r="1512" spans="2:4" ht="15" x14ac:dyDescent="0.15">
      <c r="B1512" s="38">
        <v>6000</v>
      </c>
      <c r="C1512" s="39">
        <f t="shared" si="50"/>
        <v>3.9611051967888549</v>
      </c>
      <c r="D1512" s="39">
        <f t="shared" si="51"/>
        <v>1.5778120184899846</v>
      </c>
    </row>
    <row r="1513" spans="2:4" ht="15" x14ac:dyDescent="0.15">
      <c r="B1513" s="38">
        <v>6004</v>
      </c>
      <c r="C1513" s="39">
        <f t="shared" si="50"/>
        <v>3.9644517156659536</v>
      </c>
      <c r="D1513" s="39">
        <f t="shared" si="51"/>
        <v>1.5784200385356455</v>
      </c>
    </row>
    <row r="1514" spans="2:4" ht="15" x14ac:dyDescent="0.15">
      <c r="B1514" s="38">
        <v>6008</v>
      </c>
      <c r="C1514" s="39">
        <f t="shared" si="50"/>
        <v>3.9677995243942608</v>
      </c>
      <c r="D1514" s="39">
        <f t="shared" si="51"/>
        <v>1.5790285273708558</v>
      </c>
    </row>
    <row r="1515" spans="2:4" ht="15" x14ac:dyDescent="0.15">
      <c r="B1515" s="38">
        <v>6012</v>
      </c>
      <c r="C1515" s="39">
        <f t="shared" si="50"/>
        <v>3.9711486239684572</v>
      </c>
      <c r="D1515" s="39">
        <f t="shared" si="51"/>
        <v>1.5796374855379869</v>
      </c>
    </row>
    <row r="1516" spans="2:4" ht="15" x14ac:dyDescent="0.15">
      <c r="B1516" s="38">
        <v>6016</v>
      </c>
      <c r="C1516" s="39">
        <f t="shared" si="50"/>
        <v>3.9744990153843718</v>
      </c>
      <c r="D1516" s="39">
        <f t="shared" si="51"/>
        <v>1.5802469135802468</v>
      </c>
    </row>
    <row r="1517" spans="2:4" ht="15" x14ac:dyDescent="0.15">
      <c r="B1517" s="38">
        <v>6020</v>
      </c>
      <c r="C1517" s="39">
        <f t="shared" si="50"/>
        <v>3.9778506996389913</v>
      </c>
      <c r="D1517" s="39">
        <f t="shared" si="51"/>
        <v>1.5808568120416828</v>
      </c>
    </row>
    <row r="1518" spans="2:4" ht="15" x14ac:dyDescent="0.15">
      <c r="B1518" s="38">
        <v>6024</v>
      </c>
      <c r="C1518" s="39">
        <f t="shared" si="50"/>
        <v>3.9812036777304503</v>
      </c>
      <c r="D1518" s="39">
        <f t="shared" si="51"/>
        <v>1.5814671814671815</v>
      </c>
    </row>
    <row r="1519" spans="2:4" ht="15" x14ac:dyDescent="0.15">
      <c r="B1519" s="38">
        <v>6028</v>
      </c>
      <c r="C1519" s="39">
        <f t="shared" si="50"/>
        <v>3.9845579506580457</v>
      </c>
      <c r="D1519" s="39">
        <f t="shared" si="51"/>
        <v>1.582078022402472</v>
      </c>
    </row>
    <row r="1520" spans="2:4" ht="15" x14ac:dyDescent="0.15">
      <c r="B1520" s="38">
        <v>6032</v>
      </c>
      <c r="C1520" s="39">
        <f t="shared" si="50"/>
        <v>3.9879135194222308</v>
      </c>
      <c r="D1520" s="39">
        <f t="shared" si="51"/>
        <v>1.5826893353941267</v>
      </c>
    </row>
    <row r="1521" spans="2:4" ht="15" x14ac:dyDescent="0.15">
      <c r="B1521" s="38">
        <v>6036</v>
      </c>
      <c r="C1521" s="39">
        <f t="shared" si="50"/>
        <v>3.9912703850246176</v>
      </c>
      <c r="D1521" s="39">
        <f t="shared" si="51"/>
        <v>1.5833011209895631</v>
      </c>
    </row>
    <row r="1522" spans="2:4" ht="15" x14ac:dyDescent="0.15">
      <c r="B1522" s="38">
        <v>6040</v>
      </c>
      <c r="C1522" s="39">
        <f t="shared" si="50"/>
        <v>3.9946285484679827</v>
      </c>
      <c r="D1522" s="39">
        <f t="shared" si="51"/>
        <v>1.5839133797370457</v>
      </c>
    </row>
    <row r="1523" spans="2:4" ht="15" x14ac:dyDescent="0.15">
      <c r="B1523" s="38">
        <v>6044</v>
      </c>
      <c r="C1523" s="39">
        <f t="shared" si="50"/>
        <v>3.9979880107562602</v>
      </c>
      <c r="D1523" s="39">
        <f t="shared" si="51"/>
        <v>1.5845261121856866</v>
      </c>
    </row>
    <row r="1524" spans="2:4" ht="15" x14ac:dyDescent="0.15">
      <c r="B1524" s="38">
        <v>6048</v>
      </c>
      <c r="C1524" s="39">
        <f t="shared" si="50"/>
        <v>4.0013487728945583</v>
      </c>
      <c r="D1524" s="39">
        <f t="shared" si="51"/>
        <v>1.585139318885449</v>
      </c>
    </row>
    <row r="1525" spans="2:4" ht="15" x14ac:dyDescent="0.15">
      <c r="B1525" s="38">
        <v>6052</v>
      </c>
      <c r="C1525" s="39">
        <f t="shared" si="50"/>
        <v>4.004710835889143</v>
      </c>
      <c r="D1525" s="39">
        <f t="shared" si="51"/>
        <v>1.5857530003871467</v>
      </c>
    </row>
    <row r="1526" spans="2:4" ht="15" x14ac:dyDescent="0.15">
      <c r="B1526" s="38">
        <v>6056</v>
      </c>
      <c r="C1526" s="39">
        <f t="shared" si="50"/>
        <v>4.0080742007474575</v>
      </c>
      <c r="D1526" s="39">
        <f t="shared" si="51"/>
        <v>1.5863671572424478</v>
      </c>
    </row>
    <row r="1527" spans="2:4" ht="15" x14ac:dyDescent="0.15">
      <c r="B1527" s="38">
        <v>6060</v>
      </c>
      <c r="C1527" s="39">
        <f t="shared" si="50"/>
        <v>4.0114388684781099</v>
      </c>
      <c r="D1527" s="39">
        <f t="shared" si="51"/>
        <v>1.5869817900038745</v>
      </c>
    </row>
    <row r="1528" spans="2:4" ht="15" x14ac:dyDescent="0.15">
      <c r="B1528" s="38">
        <v>6064</v>
      </c>
      <c r="C1528" s="39">
        <f t="shared" si="50"/>
        <v>4.0148048400908838</v>
      </c>
      <c r="D1528" s="39">
        <f t="shared" si="51"/>
        <v>1.5875968992248062</v>
      </c>
    </row>
    <row r="1529" spans="2:4" ht="15" x14ac:dyDescent="0.15">
      <c r="B1529" s="38">
        <v>6068</v>
      </c>
      <c r="C1529" s="39">
        <f t="shared" si="50"/>
        <v>4.0181721165967366</v>
      </c>
      <c r="D1529" s="39">
        <f t="shared" si="51"/>
        <v>1.5882124854594803</v>
      </c>
    </row>
    <row r="1530" spans="2:4" ht="15" x14ac:dyDescent="0.15">
      <c r="B1530" s="38">
        <v>6072</v>
      </c>
      <c r="C1530" s="39">
        <f t="shared" si="50"/>
        <v>4.0215406990078026</v>
      </c>
      <c r="D1530" s="39">
        <f t="shared" si="51"/>
        <v>1.5888285492629945</v>
      </c>
    </row>
    <row r="1531" spans="2:4" ht="15" x14ac:dyDescent="0.15">
      <c r="B1531" s="38">
        <v>6076</v>
      </c>
      <c r="C1531" s="39">
        <f t="shared" si="50"/>
        <v>4.0249105883373915</v>
      </c>
      <c r="D1531" s="39">
        <f t="shared" si="51"/>
        <v>1.5894450911913076</v>
      </c>
    </row>
    <row r="1532" spans="2:4" ht="15" x14ac:dyDescent="0.15">
      <c r="B1532" s="38">
        <v>6080</v>
      </c>
      <c r="C1532" s="39">
        <f t="shared" si="50"/>
        <v>4.0282817855999964</v>
      </c>
      <c r="D1532" s="39">
        <f t="shared" si="51"/>
        <v>1.5900621118012421</v>
      </c>
    </row>
    <row r="1533" spans="2:4" ht="15" x14ac:dyDescent="0.15">
      <c r="B1533" s="38">
        <v>6084</v>
      </c>
      <c r="C1533" s="39">
        <f t="shared" si="50"/>
        <v>4.0316542918112912</v>
      </c>
      <c r="D1533" s="39">
        <f t="shared" si="51"/>
        <v>1.5906796116504855</v>
      </c>
    </row>
    <row r="1534" spans="2:4" ht="15" x14ac:dyDescent="0.15">
      <c r="B1534" s="38">
        <v>6088</v>
      </c>
      <c r="C1534" s="39">
        <f t="shared" si="50"/>
        <v>4.0350281079881292</v>
      </c>
      <c r="D1534" s="39">
        <f t="shared" si="51"/>
        <v>1.5912975912975913</v>
      </c>
    </row>
    <row r="1535" spans="2:4" ht="15" x14ac:dyDescent="0.15">
      <c r="B1535" s="38">
        <v>6092</v>
      </c>
      <c r="C1535" s="39">
        <f t="shared" si="50"/>
        <v>4.0384032351485546</v>
      </c>
      <c r="D1535" s="39">
        <f t="shared" si="51"/>
        <v>1.5919160513019821</v>
      </c>
    </row>
    <row r="1536" spans="2:4" ht="15" x14ac:dyDescent="0.15">
      <c r="B1536" s="38">
        <v>6096</v>
      </c>
      <c r="C1536" s="39">
        <f t="shared" si="50"/>
        <v>4.0417796743117975</v>
      </c>
      <c r="D1536" s="39">
        <f t="shared" si="51"/>
        <v>1.5925349922239502</v>
      </c>
    </row>
    <row r="1537" spans="2:4" ht="15" x14ac:dyDescent="0.15">
      <c r="B1537" s="38">
        <v>6100</v>
      </c>
      <c r="C1537" s="39">
        <f t="shared" si="50"/>
        <v>4.0451574264982746</v>
      </c>
      <c r="D1537" s="39">
        <f t="shared" si="51"/>
        <v>1.5931544146246597</v>
      </c>
    </row>
    <row r="1538" spans="2:4" ht="15" x14ac:dyDescent="0.15">
      <c r="B1538" s="38">
        <v>6104</v>
      </c>
      <c r="C1538" s="39">
        <f t="shared" si="50"/>
        <v>4.048536492729597</v>
      </c>
      <c r="D1538" s="39">
        <f t="shared" si="51"/>
        <v>1.593774319066148</v>
      </c>
    </row>
    <row r="1539" spans="2:4" ht="15" x14ac:dyDescent="0.15">
      <c r="B1539" s="38">
        <v>6108</v>
      </c>
      <c r="C1539" s="39">
        <f t="shared" si="50"/>
        <v>4.0519168740285636</v>
      </c>
      <c r="D1539" s="39">
        <f t="shared" si="51"/>
        <v>1.5943947061113273</v>
      </c>
    </row>
    <row r="1540" spans="2:4" ht="15" x14ac:dyDescent="0.15">
      <c r="B1540" s="38">
        <v>6112</v>
      </c>
      <c r="C1540" s="39">
        <f t="shared" si="50"/>
        <v>4.0552985714191738</v>
      </c>
      <c r="D1540" s="39">
        <f t="shared" si="51"/>
        <v>1.5950155763239875</v>
      </c>
    </row>
    <row r="1541" spans="2:4" ht="15" x14ac:dyDescent="0.15">
      <c r="B1541" s="38">
        <v>6116</v>
      </c>
      <c r="C1541" s="39">
        <f t="shared" si="50"/>
        <v>4.0586815859266192</v>
      </c>
      <c r="D1541" s="39">
        <f t="shared" si="51"/>
        <v>1.5956369302687963</v>
      </c>
    </row>
    <row r="1542" spans="2:4" ht="15" x14ac:dyDescent="0.15">
      <c r="B1542" s="38">
        <v>6120</v>
      </c>
      <c r="C1542" s="39">
        <f t="shared" si="50"/>
        <v>4.0620659185772929</v>
      </c>
      <c r="D1542" s="39">
        <f t="shared" si="51"/>
        <v>1.5962587685113017</v>
      </c>
    </row>
    <row r="1543" spans="2:4" ht="15" x14ac:dyDescent="0.15">
      <c r="B1543" s="38">
        <v>6124</v>
      </c>
      <c r="C1543" s="39">
        <f t="shared" si="50"/>
        <v>4.0654515703987846</v>
      </c>
      <c r="D1543" s="39">
        <f t="shared" si="51"/>
        <v>1.5968810916179337</v>
      </c>
    </row>
    <row r="1544" spans="2:4" ht="15" x14ac:dyDescent="0.15">
      <c r="B1544" s="38">
        <v>6128</v>
      </c>
      <c r="C1544" s="39">
        <f t="shared" si="50"/>
        <v>4.0688385424198907</v>
      </c>
      <c r="D1544" s="39">
        <f t="shared" si="51"/>
        <v>1.5975039001560063</v>
      </c>
    </row>
    <row r="1545" spans="2:4" ht="15" x14ac:dyDescent="0.15">
      <c r="B1545" s="38">
        <v>6132</v>
      </c>
      <c r="C1545" s="39">
        <f t="shared" si="50"/>
        <v>4.0722268356706071</v>
      </c>
      <c r="D1545" s="39">
        <f t="shared" si="51"/>
        <v>1.5981271946937183</v>
      </c>
    </row>
    <row r="1546" spans="2:4" ht="15" x14ac:dyDescent="0.15">
      <c r="B1546" s="38">
        <v>6136</v>
      </c>
      <c r="C1546" s="39">
        <f t="shared" si="50"/>
        <v>4.0756164511821371</v>
      </c>
      <c r="D1546" s="39">
        <f t="shared" si="51"/>
        <v>1.5987509758001561</v>
      </c>
    </row>
    <row r="1547" spans="2:4" ht="15" x14ac:dyDescent="0.15">
      <c r="B1547" s="38">
        <v>6140</v>
      </c>
      <c r="C1547" s="39">
        <f t="shared" si="50"/>
        <v>4.0790073899868933</v>
      </c>
      <c r="D1547" s="39">
        <f t="shared" si="51"/>
        <v>1.5993752440452949</v>
      </c>
    </row>
    <row r="1548" spans="2:4" ht="15" x14ac:dyDescent="0.15">
      <c r="B1548" s="38">
        <v>6144</v>
      </c>
      <c r="C1548" s="39">
        <f t="shared" si="50"/>
        <v>4.0823996531184958</v>
      </c>
      <c r="D1548" s="39">
        <f t="shared" si="51"/>
        <v>1.6</v>
      </c>
    </row>
    <row r="1549" spans="2:4" ht="15" x14ac:dyDescent="0.15">
      <c r="B1549" s="38">
        <v>6148</v>
      </c>
      <c r="C1549" s="39">
        <f t="shared" ref="C1549:C1612" si="52">20*LOG(D1549)</f>
        <v>4.0857932416117784</v>
      </c>
      <c r="D1549" s="39">
        <f t="shared" ref="D1549:D1612" si="53">16384/(16384-B1549)</f>
        <v>1.6006252442360298</v>
      </c>
    </row>
    <row r="1550" spans="2:4" ht="15" x14ac:dyDescent="0.15">
      <c r="B1550" s="38">
        <v>6152</v>
      </c>
      <c r="C1550" s="39">
        <f t="shared" si="52"/>
        <v>4.0891881565027841</v>
      </c>
      <c r="D1550" s="39">
        <f t="shared" si="53"/>
        <v>1.6012509773260359</v>
      </c>
    </row>
    <row r="1551" spans="2:4" ht="15" x14ac:dyDescent="0.15">
      <c r="B1551" s="38">
        <v>6156</v>
      </c>
      <c r="C1551" s="39">
        <f t="shared" si="52"/>
        <v>4.0925843988287776</v>
      </c>
      <c r="D1551" s="39">
        <f t="shared" si="53"/>
        <v>1.6018771998435666</v>
      </c>
    </row>
    <row r="1552" spans="2:4" ht="15" x14ac:dyDescent="0.15">
      <c r="B1552" s="38">
        <v>6160</v>
      </c>
      <c r="C1552" s="39">
        <f t="shared" si="52"/>
        <v>4.0959819696282365</v>
      </c>
      <c r="D1552" s="39">
        <f t="shared" si="53"/>
        <v>1.6025039123630673</v>
      </c>
    </row>
    <row r="1553" spans="2:4" ht="15" x14ac:dyDescent="0.15">
      <c r="B1553" s="38">
        <v>6164</v>
      </c>
      <c r="C1553" s="39">
        <f t="shared" si="52"/>
        <v>4.0993808699408563</v>
      </c>
      <c r="D1553" s="39">
        <f t="shared" si="53"/>
        <v>1.6031311154598826</v>
      </c>
    </row>
    <row r="1554" spans="2:4" ht="15" x14ac:dyDescent="0.15">
      <c r="B1554" s="38">
        <v>6168</v>
      </c>
      <c r="C1554" s="39">
        <f t="shared" si="52"/>
        <v>4.1027811008075572</v>
      </c>
      <c r="D1554" s="39">
        <f t="shared" si="53"/>
        <v>1.6037588097102584</v>
      </c>
    </row>
    <row r="1555" spans="2:4" ht="15" x14ac:dyDescent="0.15">
      <c r="B1555" s="38">
        <v>6172</v>
      </c>
      <c r="C1555" s="39">
        <f t="shared" si="52"/>
        <v>4.1061826632704799</v>
      </c>
      <c r="D1555" s="39">
        <f t="shared" si="53"/>
        <v>1.6043869956913435</v>
      </c>
    </row>
    <row r="1556" spans="2:4" ht="15" x14ac:dyDescent="0.15">
      <c r="B1556" s="38">
        <v>6176</v>
      </c>
      <c r="C1556" s="39">
        <f t="shared" si="52"/>
        <v>4.1095855583729923</v>
      </c>
      <c r="D1556" s="39">
        <f t="shared" si="53"/>
        <v>1.6050156739811912</v>
      </c>
    </row>
    <row r="1557" spans="2:4" ht="15" x14ac:dyDescent="0.15">
      <c r="B1557" s="38">
        <v>6180</v>
      </c>
      <c r="C1557" s="39">
        <f t="shared" si="52"/>
        <v>4.1129897871596857</v>
      </c>
      <c r="D1557" s="39">
        <f t="shared" si="53"/>
        <v>1.6056448451587613</v>
      </c>
    </row>
    <row r="1558" spans="2:4" ht="15" x14ac:dyDescent="0.15">
      <c r="B1558" s="38">
        <v>6184</v>
      </c>
      <c r="C1558" s="39">
        <f t="shared" si="52"/>
        <v>4.1163953506763828</v>
      </c>
      <c r="D1558" s="39">
        <f t="shared" si="53"/>
        <v>1.6062745098039215</v>
      </c>
    </row>
    <row r="1559" spans="2:4" ht="15" x14ac:dyDescent="0.15">
      <c r="B1559" s="38">
        <v>6188</v>
      </c>
      <c r="C1559" s="39">
        <f t="shared" si="52"/>
        <v>4.1198022499701361</v>
      </c>
      <c r="D1559" s="39">
        <f t="shared" si="53"/>
        <v>1.60690466849745</v>
      </c>
    </row>
    <row r="1560" spans="2:4" ht="15" x14ac:dyDescent="0.15">
      <c r="B1560" s="38">
        <v>6192</v>
      </c>
      <c r="C1560" s="39">
        <f t="shared" si="52"/>
        <v>4.1232104860892314</v>
      </c>
      <c r="D1560" s="39">
        <f t="shared" si="53"/>
        <v>1.6075353218210362</v>
      </c>
    </row>
    <row r="1561" spans="2:4" ht="15" x14ac:dyDescent="0.15">
      <c r="B1561" s="38">
        <v>6196</v>
      </c>
      <c r="C1561" s="39">
        <f t="shared" si="52"/>
        <v>4.1266200600831846</v>
      </c>
      <c r="D1561" s="39">
        <f t="shared" si="53"/>
        <v>1.6081664703572831</v>
      </c>
    </row>
    <row r="1562" spans="2:4" ht="15" x14ac:dyDescent="0.15">
      <c r="B1562" s="38">
        <v>6200</v>
      </c>
      <c r="C1562" s="39">
        <f t="shared" si="52"/>
        <v>4.1300309730027553</v>
      </c>
      <c r="D1562" s="39">
        <f t="shared" si="53"/>
        <v>1.6087981146897095</v>
      </c>
    </row>
    <row r="1563" spans="2:4" ht="15" x14ac:dyDescent="0.15">
      <c r="B1563" s="38">
        <v>6204</v>
      </c>
      <c r="C1563" s="39">
        <f t="shared" si="52"/>
        <v>4.133443225899935</v>
      </c>
      <c r="D1563" s="39">
        <f t="shared" si="53"/>
        <v>1.6094302554027504</v>
      </c>
    </row>
    <row r="1564" spans="2:4" ht="15" x14ac:dyDescent="0.15">
      <c r="B1564" s="38">
        <v>6208</v>
      </c>
      <c r="C1564" s="39">
        <f t="shared" si="52"/>
        <v>4.1368568198279618</v>
      </c>
      <c r="D1564" s="39">
        <f t="shared" si="53"/>
        <v>1.6100628930817611</v>
      </c>
    </row>
    <row r="1565" spans="2:4" ht="15" x14ac:dyDescent="0.15">
      <c r="B1565" s="38">
        <v>6212</v>
      </c>
      <c r="C1565" s="39">
        <f t="shared" si="52"/>
        <v>4.1402717558413089</v>
      </c>
      <c r="D1565" s="39">
        <f t="shared" si="53"/>
        <v>1.6106960283130161</v>
      </c>
    </row>
    <row r="1566" spans="2:4" ht="15" x14ac:dyDescent="0.15">
      <c r="B1566" s="38">
        <v>6216</v>
      </c>
      <c r="C1566" s="39">
        <f t="shared" si="52"/>
        <v>4.1436880349956997</v>
      </c>
      <c r="D1566" s="39">
        <f t="shared" si="53"/>
        <v>1.6113296616837136</v>
      </c>
    </row>
    <row r="1567" spans="2:4" ht="15" x14ac:dyDescent="0.15">
      <c r="B1567" s="38">
        <v>6220</v>
      </c>
      <c r="C1567" s="39">
        <f t="shared" si="52"/>
        <v>4.1471056583480994</v>
      </c>
      <c r="D1567" s="39">
        <f t="shared" si="53"/>
        <v>1.6119637937819755</v>
      </c>
    </row>
    <row r="1568" spans="2:4" ht="15" x14ac:dyDescent="0.15">
      <c r="B1568" s="38">
        <v>6224</v>
      </c>
      <c r="C1568" s="39">
        <f t="shared" si="52"/>
        <v>4.1505246269567255</v>
      </c>
      <c r="D1568" s="39">
        <f t="shared" si="53"/>
        <v>1.6125984251968504</v>
      </c>
    </row>
    <row r="1569" spans="2:4" ht="15" x14ac:dyDescent="0.15">
      <c r="B1569" s="38">
        <v>6228</v>
      </c>
      <c r="C1569" s="39">
        <f t="shared" si="52"/>
        <v>4.1539449418810417</v>
      </c>
      <c r="D1569" s="39">
        <f t="shared" si="53"/>
        <v>1.6132335565183142</v>
      </c>
    </row>
    <row r="1570" spans="2:4" ht="15" x14ac:dyDescent="0.15">
      <c r="B1570" s="38">
        <v>6232</v>
      </c>
      <c r="C1570" s="39">
        <f t="shared" si="52"/>
        <v>4.1573666041817683</v>
      </c>
      <c r="D1570" s="39">
        <f t="shared" si="53"/>
        <v>1.6138691883372736</v>
      </c>
    </row>
    <row r="1571" spans="2:4" ht="15" x14ac:dyDescent="0.15">
      <c r="B1571" s="38">
        <v>6236</v>
      </c>
      <c r="C1571" s="39">
        <f t="shared" si="52"/>
        <v>4.1607896149208727</v>
      </c>
      <c r="D1571" s="39">
        <f t="shared" si="53"/>
        <v>1.6145053212455656</v>
      </c>
    </row>
    <row r="1572" spans="2:4" ht="15" x14ac:dyDescent="0.15">
      <c r="B1572" s="38">
        <v>6240</v>
      </c>
      <c r="C1572" s="39">
        <f t="shared" si="52"/>
        <v>4.1642139751615845</v>
      </c>
      <c r="D1572" s="39">
        <f t="shared" si="53"/>
        <v>1.6151419558359621</v>
      </c>
    </row>
    <row r="1573" spans="2:4" ht="15" x14ac:dyDescent="0.15">
      <c r="B1573" s="38">
        <v>6244</v>
      </c>
      <c r="C1573" s="39">
        <f t="shared" si="52"/>
        <v>4.1676396859683909</v>
      </c>
      <c r="D1573" s="39">
        <f t="shared" si="53"/>
        <v>1.6157790927021696</v>
      </c>
    </row>
    <row r="1574" spans="2:4" ht="15" x14ac:dyDescent="0.15">
      <c r="B1574" s="38">
        <v>6248</v>
      </c>
      <c r="C1574" s="39">
        <f t="shared" si="52"/>
        <v>4.1710667484070365</v>
      </c>
      <c r="D1574" s="39">
        <f t="shared" si="53"/>
        <v>1.6164167324388319</v>
      </c>
    </row>
    <row r="1575" spans="2:4" ht="15" x14ac:dyDescent="0.15">
      <c r="B1575" s="38">
        <v>6252</v>
      </c>
      <c r="C1575" s="39">
        <f t="shared" si="52"/>
        <v>4.1744951635445275</v>
      </c>
      <c r="D1575" s="39">
        <f t="shared" si="53"/>
        <v>1.6170548756415317</v>
      </c>
    </row>
    <row r="1576" spans="2:4" ht="15" x14ac:dyDescent="0.15">
      <c r="B1576" s="38">
        <v>6256</v>
      </c>
      <c r="C1576" s="39">
        <f t="shared" si="52"/>
        <v>4.1779249324491365</v>
      </c>
      <c r="D1576" s="39">
        <f t="shared" si="53"/>
        <v>1.617693522906793</v>
      </c>
    </row>
    <row r="1577" spans="2:4" ht="15" x14ac:dyDescent="0.15">
      <c r="B1577" s="38">
        <v>6260</v>
      </c>
      <c r="C1577" s="39">
        <f t="shared" si="52"/>
        <v>4.1813560561904017</v>
      </c>
      <c r="D1577" s="39">
        <f t="shared" si="53"/>
        <v>1.6183326748320821</v>
      </c>
    </row>
    <row r="1578" spans="2:4" ht="15" x14ac:dyDescent="0.15">
      <c r="B1578" s="38">
        <v>6264</v>
      </c>
      <c r="C1578" s="39">
        <f t="shared" si="52"/>
        <v>4.1847885358391288</v>
      </c>
      <c r="D1578" s="39">
        <f t="shared" si="53"/>
        <v>1.6189723320158103</v>
      </c>
    </row>
    <row r="1579" spans="2:4" ht="15" x14ac:dyDescent="0.15">
      <c r="B1579" s="38">
        <v>6268</v>
      </c>
      <c r="C1579" s="39">
        <f t="shared" si="52"/>
        <v>4.1882223724673917</v>
      </c>
      <c r="D1579" s="39">
        <f t="shared" si="53"/>
        <v>1.619612495057335</v>
      </c>
    </row>
    <row r="1580" spans="2:4" ht="15" x14ac:dyDescent="0.15">
      <c r="B1580" s="38">
        <v>6272</v>
      </c>
      <c r="C1580" s="39">
        <f t="shared" si="52"/>
        <v>4.1916575671485381</v>
      </c>
      <c r="D1580" s="39">
        <f t="shared" si="53"/>
        <v>1.620253164556962</v>
      </c>
    </row>
    <row r="1581" spans="2:4" ht="15" x14ac:dyDescent="0.15">
      <c r="B1581" s="38">
        <v>6276</v>
      </c>
      <c r="C1581" s="39">
        <f t="shared" si="52"/>
        <v>4.1950941209571919</v>
      </c>
      <c r="D1581" s="39">
        <f t="shared" si="53"/>
        <v>1.6208943411159478</v>
      </c>
    </row>
    <row r="1582" spans="2:4" ht="15" x14ac:dyDescent="0.15">
      <c r="B1582" s="38">
        <v>6280</v>
      </c>
      <c r="C1582" s="39">
        <f t="shared" si="52"/>
        <v>4.1985320349692481</v>
      </c>
      <c r="D1582" s="39">
        <f t="shared" si="53"/>
        <v>1.6215360253365003</v>
      </c>
    </row>
    <row r="1583" spans="2:4" ht="15" x14ac:dyDescent="0.15">
      <c r="B1583" s="38">
        <v>6284</v>
      </c>
      <c r="C1583" s="39">
        <f t="shared" si="52"/>
        <v>4.2019713102618841</v>
      </c>
      <c r="D1583" s="39">
        <f t="shared" si="53"/>
        <v>1.6221782178217823</v>
      </c>
    </row>
    <row r="1584" spans="2:4" ht="15" x14ac:dyDescent="0.15">
      <c r="B1584" s="38">
        <v>6288</v>
      </c>
      <c r="C1584" s="39">
        <f t="shared" si="52"/>
        <v>4.2054119479135537</v>
      </c>
      <c r="D1584" s="39">
        <f t="shared" si="53"/>
        <v>1.6228209191759113</v>
      </c>
    </row>
    <row r="1585" spans="2:4" ht="15" x14ac:dyDescent="0.15">
      <c r="B1585" s="38">
        <v>6292</v>
      </c>
      <c r="C1585" s="39">
        <f t="shared" si="52"/>
        <v>4.2088539490039949</v>
      </c>
      <c r="D1585" s="39">
        <f t="shared" si="53"/>
        <v>1.6234641300039636</v>
      </c>
    </row>
    <row r="1586" spans="2:4" ht="15" x14ac:dyDescent="0.15">
      <c r="B1586" s="38">
        <v>6296</v>
      </c>
      <c r="C1586" s="39">
        <f t="shared" si="52"/>
        <v>4.2122973146142311</v>
      </c>
      <c r="D1586" s="39">
        <f t="shared" si="53"/>
        <v>1.6241078509119746</v>
      </c>
    </row>
    <row r="1587" spans="2:4" ht="15" x14ac:dyDescent="0.15">
      <c r="B1587" s="38">
        <v>6300</v>
      </c>
      <c r="C1587" s="39">
        <f t="shared" si="52"/>
        <v>4.2157420458265689</v>
      </c>
      <c r="D1587" s="39">
        <f t="shared" si="53"/>
        <v>1.6247520825069417</v>
      </c>
    </row>
    <row r="1588" spans="2:4" ht="15" x14ac:dyDescent="0.15">
      <c r="B1588" s="38">
        <v>6304</v>
      </c>
      <c r="C1588" s="39">
        <f t="shared" si="52"/>
        <v>4.2191881437246046</v>
      </c>
      <c r="D1588" s="39">
        <f t="shared" si="53"/>
        <v>1.6253968253968254</v>
      </c>
    </row>
    <row r="1589" spans="2:4" ht="15" x14ac:dyDescent="0.15">
      <c r="B1589" s="38">
        <v>6308</v>
      </c>
      <c r="C1589" s="39">
        <f t="shared" si="52"/>
        <v>4.222635609393226</v>
      </c>
      <c r="D1589" s="39">
        <f t="shared" si="53"/>
        <v>1.6260420801905517</v>
      </c>
    </row>
    <row r="1590" spans="2:4" ht="15" x14ac:dyDescent="0.15">
      <c r="B1590" s="38">
        <v>6312</v>
      </c>
      <c r="C1590" s="39">
        <f t="shared" si="52"/>
        <v>4.2260844439186105</v>
      </c>
      <c r="D1590" s="39">
        <f t="shared" si="53"/>
        <v>1.6266878474980142</v>
      </c>
    </row>
    <row r="1591" spans="2:4" ht="15" x14ac:dyDescent="0.15">
      <c r="B1591" s="38">
        <v>6316</v>
      </c>
      <c r="C1591" s="39">
        <f t="shared" si="52"/>
        <v>4.2295346483882321</v>
      </c>
      <c r="D1591" s="39">
        <f t="shared" si="53"/>
        <v>1.6273341279300755</v>
      </c>
    </row>
    <row r="1592" spans="2:4" ht="15" x14ac:dyDescent="0.15">
      <c r="B1592" s="38">
        <v>6320</v>
      </c>
      <c r="C1592" s="39">
        <f t="shared" si="52"/>
        <v>4.2329862238908609</v>
      </c>
      <c r="D1592" s="39">
        <f t="shared" si="53"/>
        <v>1.6279809220985693</v>
      </c>
    </row>
    <row r="1593" spans="2:4" ht="15" x14ac:dyDescent="0.15">
      <c r="B1593" s="38">
        <v>6324</v>
      </c>
      <c r="C1593" s="39">
        <f t="shared" si="52"/>
        <v>4.2364391715165635</v>
      </c>
      <c r="D1593" s="39">
        <f t="shared" si="53"/>
        <v>1.6286282306163022</v>
      </c>
    </row>
    <row r="1594" spans="2:4" ht="15" x14ac:dyDescent="0.15">
      <c r="B1594" s="38">
        <v>6328</v>
      </c>
      <c r="C1594" s="39">
        <f t="shared" si="52"/>
        <v>4.2398934923567086</v>
      </c>
      <c r="D1594" s="39">
        <f t="shared" si="53"/>
        <v>1.6292760540970566</v>
      </c>
    </row>
    <row r="1595" spans="2:4" ht="15" x14ac:dyDescent="0.15">
      <c r="B1595" s="38">
        <v>6332</v>
      </c>
      <c r="C1595" s="39">
        <f t="shared" si="52"/>
        <v>4.2433491875039673</v>
      </c>
      <c r="D1595" s="39">
        <f t="shared" si="53"/>
        <v>1.6299243931555909</v>
      </c>
    </row>
    <row r="1596" spans="2:4" ht="15" x14ac:dyDescent="0.15">
      <c r="B1596" s="38">
        <v>6336</v>
      </c>
      <c r="C1596" s="39">
        <f t="shared" si="52"/>
        <v>4.2468062580523167</v>
      </c>
      <c r="D1596" s="39">
        <f t="shared" si="53"/>
        <v>1.6305732484076434</v>
      </c>
    </row>
    <row r="1597" spans="2:4" ht="15" x14ac:dyDescent="0.15">
      <c r="B1597" s="38">
        <v>6340</v>
      </c>
      <c r="C1597" s="39">
        <f t="shared" si="52"/>
        <v>4.2502647050970381</v>
      </c>
      <c r="D1597" s="39">
        <f t="shared" si="53"/>
        <v>1.6312226204699323</v>
      </c>
    </row>
    <row r="1598" spans="2:4" ht="15" x14ac:dyDescent="0.15">
      <c r="B1598" s="38">
        <v>6344</v>
      </c>
      <c r="C1598" s="39">
        <f t="shared" si="52"/>
        <v>4.2537245297347246</v>
      </c>
      <c r="D1598" s="39">
        <f t="shared" si="53"/>
        <v>1.6318725099601594</v>
      </c>
    </row>
    <row r="1599" spans="2:4" ht="15" x14ac:dyDescent="0.15">
      <c r="B1599" s="38">
        <v>6348</v>
      </c>
      <c r="C1599" s="39">
        <f t="shared" si="52"/>
        <v>4.2571857330632765</v>
      </c>
      <c r="D1599" s="39">
        <f t="shared" si="53"/>
        <v>1.6325229174970108</v>
      </c>
    </row>
    <row r="1600" spans="2:4" ht="15" x14ac:dyDescent="0.15">
      <c r="B1600" s="38">
        <v>6352</v>
      </c>
      <c r="C1600" s="39">
        <f t="shared" si="52"/>
        <v>4.2606483161819106</v>
      </c>
      <c r="D1600" s="39">
        <f t="shared" si="53"/>
        <v>1.6331738437001595</v>
      </c>
    </row>
    <row r="1601" spans="2:4" ht="15" x14ac:dyDescent="0.15">
      <c r="B1601" s="38">
        <v>6356</v>
      </c>
      <c r="C1601" s="39">
        <f t="shared" si="52"/>
        <v>4.2641122801911564</v>
      </c>
      <c r="D1601" s="39">
        <f t="shared" si="53"/>
        <v>1.6338252891902671</v>
      </c>
    </row>
    <row r="1602" spans="2:4" ht="15" x14ac:dyDescent="0.15">
      <c r="B1602" s="38">
        <v>6360</v>
      </c>
      <c r="C1602" s="39">
        <f t="shared" si="52"/>
        <v>4.2675776261928631</v>
      </c>
      <c r="D1602" s="39">
        <f t="shared" si="53"/>
        <v>1.6344772545889865</v>
      </c>
    </row>
    <row r="1603" spans="2:4" ht="15" x14ac:dyDescent="0.15">
      <c r="B1603" s="38">
        <v>6364</v>
      </c>
      <c r="C1603" s="39">
        <f t="shared" si="52"/>
        <v>4.2710443552901962</v>
      </c>
      <c r="D1603" s="39">
        <f t="shared" si="53"/>
        <v>1.635129740518962</v>
      </c>
    </row>
    <row r="1604" spans="2:4" ht="15" x14ac:dyDescent="0.15">
      <c r="B1604" s="38">
        <v>6368</v>
      </c>
      <c r="C1604" s="39">
        <f t="shared" si="52"/>
        <v>4.2745124685876448</v>
      </c>
      <c r="D1604" s="39">
        <f t="shared" si="53"/>
        <v>1.6357827476038338</v>
      </c>
    </row>
    <row r="1605" spans="2:4" ht="15" x14ac:dyDescent="0.15">
      <c r="B1605" s="38">
        <v>6372</v>
      </c>
      <c r="C1605" s="39">
        <f t="shared" si="52"/>
        <v>4.277981967191022</v>
      </c>
      <c r="D1605" s="39">
        <f t="shared" si="53"/>
        <v>1.6364362764682381</v>
      </c>
    </row>
    <row r="1606" spans="2:4" ht="15" x14ac:dyDescent="0.15">
      <c r="B1606" s="38">
        <v>6376</v>
      </c>
      <c r="C1606" s="39">
        <f t="shared" si="52"/>
        <v>4.2814528522074635</v>
      </c>
      <c r="D1606" s="39">
        <f t="shared" si="53"/>
        <v>1.6370903277378097</v>
      </c>
    </row>
    <row r="1607" spans="2:4" ht="15" x14ac:dyDescent="0.15">
      <c r="B1607" s="38">
        <v>6380</v>
      </c>
      <c r="C1607" s="39">
        <f t="shared" si="52"/>
        <v>4.2849251247454365</v>
      </c>
      <c r="D1607" s="39">
        <f t="shared" si="53"/>
        <v>1.6377449020391843</v>
      </c>
    </row>
    <row r="1608" spans="2:4" ht="15" x14ac:dyDescent="0.15">
      <c r="B1608" s="38">
        <v>6384</v>
      </c>
      <c r="C1608" s="39">
        <f t="shared" si="52"/>
        <v>4.288398785914735</v>
      </c>
      <c r="D1608" s="39">
        <f t="shared" si="53"/>
        <v>1.6384000000000001</v>
      </c>
    </row>
    <row r="1609" spans="2:4" ht="15" x14ac:dyDescent="0.15">
      <c r="B1609" s="38">
        <v>6388</v>
      </c>
      <c r="C1609" s="39">
        <f t="shared" si="52"/>
        <v>4.291873836826487</v>
      </c>
      <c r="D1609" s="39">
        <f t="shared" si="53"/>
        <v>1.6390556222488997</v>
      </c>
    </row>
    <row r="1610" spans="2:4" ht="15" x14ac:dyDescent="0.15">
      <c r="B1610" s="38">
        <v>6392</v>
      </c>
      <c r="C1610" s="39">
        <f t="shared" si="52"/>
        <v>4.2953502785931521</v>
      </c>
      <c r="D1610" s="39">
        <f t="shared" si="53"/>
        <v>1.6397117694155323</v>
      </c>
    </row>
    <row r="1611" spans="2:4" ht="15" x14ac:dyDescent="0.15">
      <c r="B1611" s="38">
        <v>6396</v>
      </c>
      <c r="C1611" s="39">
        <f t="shared" si="52"/>
        <v>4.2988281123285317</v>
      </c>
      <c r="D1611" s="39">
        <f t="shared" si="53"/>
        <v>1.6403684421305567</v>
      </c>
    </row>
    <row r="1612" spans="2:4" ht="15" x14ac:dyDescent="0.15">
      <c r="B1612" s="38">
        <v>6400</v>
      </c>
      <c r="C1612" s="39">
        <f t="shared" si="52"/>
        <v>4.3023073391477586</v>
      </c>
      <c r="D1612" s="39">
        <f t="shared" si="53"/>
        <v>1.641025641025641</v>
      </c>
    </row>
    <row r="1613" spans="2:4" ht="15" x14ac:dyDescent="0.15">
      <c r="B1613" s="38">
        <v>6404</v>
      </c>
      <c r="C1613" s="39">
        <f t="shared" ref="C1613:C1676" si="54">20*LOG(D1613)</f>
        <v>4.3057879601673124</v>
      </c>
      <c r="D1613" s="39">
        <f t="shared" ref="D1613:D1676" si="55">16384/(16384-B1613)</f>
        <v>1.6416833667334669</v>
      </c>
    </row>
    <row r="1614" spans="2:4" ht="15" x14ac:dyDescent="0.15">
      <c r="B1614" s="38">
        <v>6408</v>
      </c>
      <c r="C1614" s="39">
        <f t="shared" si="54"/>
        <v>4.3092699765050106</v>
      </c>
      <c r="D1614" s="39">
        <f t="shared" si="55"/>
        <v>1.6423416198877305</v>
      </c>
    </row>
    <row r="1615" spans="2:4" ht="15" x14ac:dyDescent="0.15">
      <c r="B1615" s="38">
        <v>6412</v>
      </c>
      <c r="C1615" s="39">
        <f t="shared" si="54"/>
        <v>4.3127533892800178</v>
      </c>
      <c r="D1615" s="39">
        <f t="shared" si="55"/>
        <v>1.6430004011231447</v>
      </c>
    </row>
    <row r="1616" spans="2:4" ht="15" x14ac:dyDescent="0.15">
      <c r="B1616" s="38">
        <v>6416</v>
      </c>
      <c r="C1616" s="39">
        <f t="shared" si="54"/>
        <v>4.3162381996128465</v>
      </c>
      <c r="D1616" s="39">
        <f t="shared" si="55"/>
        <v>1.6436597110754414</v>
      </c>
    </row>
    <row r="1617" spans="2:4" ht="15" x14ac:dyDescent="0.15">
      <c r="B1617" s="38">
        <v>6420</v>
      </c>
      <c r="C1617" s="39">
        <f t="shared" si="54"/>
        <v>4.3197244086253574</v>
      </c>
      <c r="D1617" s="39">
        <f t="shared" si="55"/>
        <v>1.644319550381373</v>
      </c>
    </row>
    <row r="1618" spans="2:4" ht="15" x14ac:dyDescent="0.15">
      <c r="B1618" s="38">
        <v>6424</v>
      </c>
      <c r="C1618" s="39">
        <f t="shared" si="54"/>
        <v>4.3232120174407607</v>
      </c>
      <c r="D1618" s="39">
        <f t="shared" si="55"/>
        <v>1.6449799196787149</v>
      </c>
    </row>
    <row r="1619" spans="2:4" ht="15" x14ac:dyDescent="0.15">
      <c r="B1619" s="38">
        <v>6428</v>
      </c>
      <c r="C1619" s="39">
        <f t="shared" si="54"/>
        <v>4.3267010271836224</v>
      </c>
      <c r="D1619" s="39">
        <f t="shared" si="55"/>
        <v>1.6456408196062675</v>
      </c>
    </row>
    <row r="1620" spans="2:4" ht="15" x14ac:dyDescent="0.15">
      <c r="B1620" s="38">
        <v>6432</v>
      </c>
      <c r="C1620" s="39">
        <f t="shared" si="54"/>
        <v>4.330191438979865</v>
      </c>
      <c r="D1620" s="39">
        <f t="shared" si="55"/>
        <v>1.6463022508038585</v>
      </c>
    </row>
    <row r="1621" spans="2:4" ht="15" x14ac:dyDescent="0.15">
      <c r="B1621" s="38">
        <v>6436</v>
      </c>
      <c r="C1621" s="39">
        <f t="shared" si="54"/>
        <v>4.3336832539567673</v>
      </c>
      <c r="D1621" s="39">
        <f t="shared" si="55"/>
        <v>1.6469642139123442</v>
      </c>
    </row>
    <row r="1622" spans="2:4" ht="15" x14ac:dyDescent="0.15">
      <c r="B1622" s="38">
        <v>6440</v>
      </c>
      <c r="C1622" s="39">
        <f t="shared" si="54"/>
        <v>4.3371764732429678</v>
      </c>
      <c r="D1622" s="39">
        <f t="shared" si="55"/>
        <v>1.6476267095736121</v>
      </c>
    </row>
    <row r="1623" spans="2:4" ht="15" x14ac:dyDescent="0.15">
      <c r="B1623" s="38">
        <v>6444</v>
      </c>
      <c r="C1623" s="39">
        <f t="shared" si="54"/>
        <v>4.3406710979684684</v>
      </c>
      <c r="D1623" s="39">
        <f t="shared" si="55"/>
        <v>1.6482897384305835</v>
      </c>
    </row>
    <row r="1624" spans="2:4" ht="15" x14ac:dyDescent="0.15">
      <c r="B1624" s="38">
        <v>6448</v>
      </c>
      <c r="C1624" s="39">
        <f t="shared" si="54"/>
        <v>4.3441671292646351</v>
      </c>
      <c r="D1624" s="39">
        <f t="shared" si="55"/>
        <v>1.6489533011272142</v>
      </c>
    </row>
    <row r="1625" spans="2:4" ht="15" x14ac:dyDescent="0.15">
      <c r="B1625" s="38">
        <v>6452</v>
      </c>
      <c r="C1625" s="39">
        <f t="shared" si="54"/>
        <v>4.347664568264201</v>
      </c>
      <c r="D1625" s="39">
        <f t="shared" si="55"/>
        <v>1.6496173983084979</v>
      </c>
    </row>
    <row r="1626" spans="2:4" ht="15" x14ac:dyDescent="0.15">
      <c r="B1626" s="38">
        <v>6456</v>
      </c>
      <c r="C1626" s="39">
        <f t="shared" si="54"/>
        <v>4.351163416101266</v>
      </c>
      <c r="D1626" s="39">
        <f t="shared" si="55"/>
        <v>1.6502820306204673</v>
      </c>
    </row>
    <row r="1627" spans="2:4" ht="15" x14ac:dyDescent="0.15">
      <c r="B1627" s="38">
        <v>6460</v>
      </c>
      <c r="C1627" s="39">
        <f t="shared" si="54"/>
        <v>4.3546636739113049</v>
      </c>
      <c r="D1627" s="39">
        <f t="shared" si="55"/>
        <v>1.6509471987101976</v>
      </c>
    </row>
    <row r="1628" spans="2:4" ht="15" x14ac:dyDescent="0.15">
      <c r="B1628" s="38">
        <v>6464</v>
      </c>
      <c r="C1628" s="39">
        <f t="shared" si="54"/>
        <v>4.3581653428311622</v>
      </c>
      <c r="D1628" s="39">
        <f t="shared" si="55"/>
        <v>1.6516129032258065</v>
      </c>
    </row>
    <row r="1629" spans="2:4" ht="15" x14ac:dyDescent="0.15">
      <c r="B1629" s="38">
        <v>6468</v>
      </c>
      <c r="C1629" s="39">
        <f t="shared" si="54"/>
        <v>4.361668423999058</v>
      </c>
      <c r="D1629" s="39">
        <f t="shared" si="55"/>
        <v>1.6522791448164582</v>
      </c>
    </row>
    <row r="1630" spans="2:4" ht="15" x14ac:dyDescent="0.15">
      <c r="B1630" s="38">
        <v>6472</v>
      </c>
      <c r="C1630" s="39">
        <f t="shared" si="54"/>
        <v>4.3651729185545936</v>
      </c>
      <c r="D1630" s="39">
        <f t="shared" si="55"/>
        <v>1.6529459241323647</v>
      </c>
    </row>
    <row r="1631" spans="2:4" ht="15" x14ac:dyDescent="0.15">
      <c r="B1631" s="38">
        <v>6476</v>
      </c>
      <c r="C1631" s="39">
        <f t="shared" si="54"/>
        <v>4.3686788276387469</v>
      </c>
      <c r="D1631" s="39">
        <f t="shared" si="55"/>
        <v>1.653613241824788</v>
      </c>
    </row>
    <row r="1632" spans="2:4" ht="15" x14ac:dyDescent="0.15">
      <c r="B1632" s="38">
        <v>6480</v>
      </c>
      <c r="C1632" s="39">
        <f t="shared" si="54"/>
        <v>4.3721861523938799</v>
      </c>
      <c r="D1632" s="39">
        <f t="shared" si="55"/>
        <v>1.6542810985460421</v>
      </c>
    </row>
    <row r="1633" spans="2:4" ht="15" x14ac:dyDescent="0.15">
      <c r="B1633" s="38">
        <v>6484</v>
      </c>
      <c r="C1633" s="39">
        <f t="shared" si="54"/>
        <v>4.3756948939637361</v>
      </c>
      <c r="D1633" s="39">
        <f t="shared" si="55"/>
        <v>1.6549494949494949</v>
      </c>
    </row>
    <row r="1634" spans="2:4" ht="15" x14ac:dyDescent="0.15">
      <c r="B1634" s="38">
        <v>6488</v>
      </c>
      <c r="C1634" s="39">
        <f t="shared" si="54"/>
        <v>4.3792050534934495</v>
      </c>
      <c r="D1634" s="39">
        <f t="shared" si="55"/>
        <v>1.6556184316895715</v>
      </c>
    </row>
    <row r="1635" spans="2:4" ht="15" x14ac:dyDescent="0.15">
      <c r="B1635" s="38">
        <v>6492</v>
      </c>
      <c r="C1635" s="39">
        <f t="shared" si="54"/>
        <v>4.382716632129541</v>
      </c>
      <c r="D1635" s="39">
        <f t="shared" si="55"/>
        <v>1.6562879094217549</v>
      </c>
    </row>
    <row r="1636" spans="2:4" ht="15" x14ac:dyDescent="0.15">
      <c r="B1636" s="38">
        <v>6496</v>
      </c>
      <c r="C1636" s="39">
        <f t="shared" si="54"/>
        <v>4.3862296310199227</v>
      </c>
      <c r="D1636" s="39">
        <f t="shared" si="55"/>
        <v>1.6569579288025891</v>
      </c>
    </row>
    <row r="1637" spans="2:4" ht="15" x14ac:dyDescent="0.15">
      <c r="B1637" s="38">
        <v>6500</v>
      </c>
      <c r="C1637" s="39">
        <f t="shared" si="54"/>
        <v>4.3897440513138992</v>
      </c>
      <c r="D1637" s="39">
        <f t="shared" si="55"/>
        <v>1.6576284904896803</v>
      </c>
    </row>
    <row r="1638" spans="2:4" ht="15" x14ac:dyDescent="0.15">
      <c r="B1638" s="38">
        <v>6504</v>
      </c>
      <c r="C1638" s="39">
        <f t="shared" si="54"/>
        <v>4.3932598941621723</v>
      </c>
      <c r="D1638" s="39">
        <f t="shared" si="55"/>
        <v>1.6582995951417003</v>
      </c>
    </row>
    <row r="1639" spans="2:4" ht="15" x14ac:dyDescent="0.15">
      <c r="B1639" s="38">
        <v>6508</v>
      </c>
      <c r="C1639" s="39">
        <f t="shared" si="54"/>
        <v>4.3967771607168418</v>
      </c>
      <c r="D1639" s="39">
        <f t="shared" si="55"/>
        <v>1.6589712434183881</v>
      </c>
    </row>
    <row r="1640" spans="2:4" ht="15" x14ac:dyDescent="0.15">
      <c r="B1640" s="38">
        <v>6512</v>
      </c>
      <c r="C1640" s="39">
        <f t="shared" si="54"/>
        <v>4.4002958521314053</v>
      </c>
      <c r="D1640" s="39">
        <f t="shared" si="55"/>
        <v>1.659643435980551</v>
      </c>
    </row>
    <row r="1641" spans="2:4" ht="15" x14ac:dyDescent="0.15">
      <c r="B1641" s="38">
        <v>6516</v>
      </c>
      <c r="C1641" s="39">
        <f t="shared" si="54"/>
        <v>4.4038159695607657</v>
      </c>
      <c r="D1641" s="39">
        <f t="shared" si="55"/>
        <v>1.6603161734900689</v>
      </c>
    </row>
    <row r="1642" spans="2:4" ht="15" x14ac:dyDescent="0.15">
      <c r="B1642" s="38">
        <v>6520</v>
      </c>
      <c r="C1642" s="39">
        <f t="shared" si="54"/>
        <v>4.4073375141612301</v>
      </c>
      <c r="D1642" s="39">
        <f t="shared" si="55"/>
        <v>1.6609894566098946</v>
      </c>
    </row>
    <row r="1643" spans="2:4" ht="15" x14ac:dyDescent="0.15">
      <c r="B1643" s="38">
        <v>6524</v>
      </c>
      <c r="C1643" s="39">
        <f t="shared" si="54"/>
        <v>4.4108604870905106</v>
      </c>
      <c r="D1643" s="39">
        <f t="shared" si="55"/>
        <v>1.6616632860040568</v>
      </c>
    </row>
    <row r="1644" spans="2:4" ht="15" x14ac:dyDescent="0.15">
      <c r="B1644" s="38">
        <v>6528</v>
      </c>
      <c r="C1644" s="39">
        <f t="shared" si="54"/>
        <v>4.4143848895077307</v>
      </c>
      <c r="D1644" s="39">
        <f t="shared" si="55"/>
        <v>1.6623376623376624</v>
      </c>
    </row>
    <row r="1645" spans="2:4" ht="15" x14ac:dyDescent="0.15">
      <c r="B1645" s="38">
        <v>6532</v>
      </c>
      <c r="C1645" s="39">
        <f t="shared" si="54"/>
        <v>4.4179107225734224</v>
      </c>
      <c r="D1645" s="39">
        <f t="shared" si="55"/>
        <v>1.6630125862768981</v>
      </c>
    </row>
    <row r="1646" spans="2:4" ht="15" x14ac:dyDescent="0.15">
      <c r="B1646" s="38">
        <v>6536</v>
      </c>
      <c r="C1646" s="39">
        <f t="shared" si="54"/>
        <v>4.4214379874495364</v>
      </c>
      <c r="D1646" s="39">
        <f t="shared" si="55"/>
        <v>1.6636880584890332</v>
      </c>
    </row>
    <row r="1647" spans="2:4" ht="15" x14ac:dyDescent="0.15">
      <c r="B1647" s="38">
        <v>6540</v>
      </c>
      <c r="C1647" s="39">
        <f t="shared" si="54"/>
        <v>4.4249666852994363</v>
      </c>
      <c r="D1647" s="39">
        <f t="shared" si="55"/>
        <v>1.6643640796424217</v>
      </c>
    </row>
    <row r="1648" spans="2:4" ht="15" x14ac:dyDescent="0.15">
      <c r="B1648" s="38">
        <v>6544</v>
      </c>
      <c r="C1648" s="39">
        <f t="shared" si="54"/>
        <v>4.428496817287904</v>
      </c>
      <c r="D1648" s="39">
        <f t="shared" si="55"/>
        <v>1.6650406504065041</v>
      </c>
    </row>
    <row r="1649" spans="2:4" ht="15" x14ac:dyDescent="0.15">
      <c r="B1649" s="38">
        <v>6548</v>
      </c>
      <c r="C1649" s="39">
        <f t="shared" si="54"/>
        <v>4.4320283845811437</v>
      </c>
      <c r="D1649" s="39">
        <f t="shared" si="55"/>
        <v>1.6657177714518097</v>
      </c>
    </row>
    <row r="1650" spans="2:4" ht="15" x14ac:dyDescent="0.15">
      <c r="B1650" s="38">
        <v>6552</v>
      </c>
      <c r="C1650" s="39">
        <f t="shared" si="54"/>
        <v>4.4355613883467813</v>
      </c>
      <c r="D1650" s="39">
        <f t="shared" si="55"/>
        <v>1.6663954434499593</v>
      </c>
    </row>
    <row r="1651" spans="2:4" ht="15" x14ac:dyDescent="0.15">
      <c r="B1651" s="38">
        <v>6556</v>
      </c>
      <c r="C1651" s="39">
        <f t="shared" si="54"/>
        <v>4.4390958297538683</v>
      </c>
      <c r="D1651" s="39">
        <f t="shared" si="55"/>
        <v>1.667073667073667</v>
      </c>
    </row>
    <row r="1652" spans="2:4" ht="15" x14ac:dyDescent="0.15">
      <c r="B1652" s="38">
        <v>6560</v>
      </c>
      <c r="C1652" s="39">
        <f t="shared" si="54"/>
        <v>4.4426317099728854</v>
      </c>
      <c r="D1652" s="39">
        <f t="shared" si="55"/>
        <v>1.6677524429967427</v>
      </c>
    </row>
    <row r="1653" spans="2:4" ht="15" x14ac:dyDescent="0.15">
      <c r="B1653" s="38">
        <v>6564</v>
      </c>
      <c r="C1653" s="39">
        <f t="shared" si="54"/>
        <v>4.4461690301757422</v>
      </c>
      <c r="D1653" s="39">
        <f t="shared" si="55"/>
        <v>1.6684317718940938</v>
      </c>
    </row>
    <row r="1654" spans="2:4" ht="15" x14ac:dyDescent="0.15">
      <c r="B1654" s="38">
        <v>6568</v>
      </c>
      <c r="C1654" s="39">
        <f t="shared" si="54"/>
        <v>4.4497077915357774</v>
      </c>
      <c r="D1654" s="39">
        <f t="shared" si="55"/>
        <v>1.6691116544417277</v>
      </c>
    </row>
    <row r="1655" spans="2:4" ht="15" x14ac:dyDescent="0.15">
      <c r="B1655" s="38">
        <v>6572</v>
      </c>
      <c r="C1655" s="39">
        <f t="shared" si="54"/>
        <v>4.4532479952277724</v>
      </c>
      <c r="D1655" s="39">
        <f t="shared" si="55"/>
        <v>1.669792091316755</v>
      </c>
    </row>
    <row r="1656" spans="2:4" ht="15" x14ac:dyDescent="0.15">
      <c r="B1656" s="38">
        <v>6576</v>
      </c>
      <c r="C1656" s="39">
        <f t="shared" si="54"/>
        <v>4.456789642427939</v>
      </c>
      <c r="D1656" s="39">
        <f t="shared" si="55"/>
        <v>1.67047308319739</v>
      </c>
    </row>
    <row r="1657" spans="2:4" ht="15" x14ac:dyDescent="0.15">
      <c r="B1657" s="38">
        <v>6580</v>
      </c>
      <c r="C1657" s="39">
        <f t="shared" si="54"/>
        <v>4.4603327343139281</v>
      </c>
      <c r="D1657" s="39">
        <f t="shared" si="55"/>
        <v>1.6711546307629539</v>
      </c>
    </row>
    <row r="1658" spans="2:4" ht="15" x14ac:dyDescent="0.15">
      <c r="B1658" s="38">
        <v>6584</v>
      </c>
      <c r="C1658" s="39">
        <f t="shared" si="54"/>
        <v>4.4638772720648383</v>
      </c>
      <c r="D1658" s="39">
        <f t="shared" si="55"/>
        <v>1.6718367346938776</v>
      </c>
    </row>
    <row r="1659" spans="2:4" ht="15" x14ac:dyDescent="0.15">
      <c r="B1659" s="38">
        <v>6588</v>
      </c>
      <c r="C1659" s="39">
        <f t="shared" si="54"/>
        <v>4.4674232568612045</v>
      </c>
      <c r="D1659" s="39">
        <f t="shared" si="55"/>
        <v>1.6725193956717028</v>
      </c>
    </row>
    <row r="1660" spans="2:4" ht="15" x14ac:dyDescent="0.15">
      <c r="B1660" s="38">
        <v>6592</v>
      </c>
      <c r="C1660" s="39">
        <f t="shared" si="54"/>
        <v>4.4709706898850152</v>
      </c>
      <c r="D1660" s="39">
        <f t="shared" si="55"/>
        <v>1.673202614379085</v>
      </c>
    </row>
    <row r="1661" spans="2:4" ht="15" x14ac:dyDescent="0.15">
      <c r="B1661" s="38">
        <v>6596</v>
      </c>
      <c r="C1661" s="39">
        <f t="shared" si="54"/>
        <v>4.4745195723197027</v>
      </c>
      <c r="D1661" s="39">
        <f t="shared" si="55"/>
        <v>1.6738863914997957</v>
      </c>
    </row>
    <row r="1662" spans="2:4" ht="15" x14ac:dyDescent="0.15">
      <c r="B1662" s="38">
        <v>6600</v>
      </c>
      <c r="C1662" s="39">
        <f t="shared" si="54"/>
        <v>4.4780699053501536</v>
      </c>
      <c r="D1662" s="39">
        <f t="shared" si="55"/>
        <v>1.6745707277187245</v>
      </c>
    </row>
    <row r="1663" spans="2:4" ht="15" x14ac:dyDescent="0.15">
      <c r="B1663" s="38">
        <v>6604</v>
      </c>
      <c r="C1663" s="39">
        <f t="shared" si="54"/>
        <v>4.4816216901627062</v>
      </c>
      <c r="D1663" s="39">
        <f t="shared" si="55"/>
        <v>1.6752556237218814</v>
      </c>
    </row>
    <row r="1664" spans="2:4" ht="15" x14ac:dyDescent="0.15">
      <c r="B1664" s="38">
        <v>6608</v>
      </c>
      <c r="C1664" s="39">
        <f t="shared" si="54"/>
        <v>4.4851749279451543</v>
      </c>
      <c r="D1664" s="39">
        <f t="shared" si="55"/>
        <v>1.6759410801963994</v>
      </c>
    </row>
    <row r="1665" spans="2:4" ht="15" x14ac:dyDescent="0.15">
      <c r="B1665" s="38">
        <v>6612</v>
      </c>
      <c r="C1665" s="39">
        <f t="shared" si="54"/>
        <v>4.4887296198867519</v>
      </c>
      <c r="D1665" s="39">
        <f t="shared" si="55"/>
        <v>1.6766270978305362</v>
      </c>
    </row>
    <row r="1666" spans="2:4" ht="15" x14ac:dyDescent="0.15">
      <c r="B1666" s="38">
        <v>6616</v>
      </c>
      <c r="C1666" s="39">
        <f t="shared" si="54"/>
        <v>4.4922857671782142</v>
      </c>
      <c r="D1666" s="39">
        <f t="shared" si="55"/>
        <v>1.6773136773136774</v>
      </c>
    </row>
    <row r="1667" spans="2:4" ht="15" x14ac:dyDescent="0.15">
      <c r="B1667" s="38">
        <v>6620</v>
      </c>
      <c r="C1667" s="39">
        <f t="shared" si="54"/>
        <v>4.4958433710117145</v>
      </c>
      <c r="D1667" s="39">
        <f t="shared" si="55"/>
        <v>1.6780008193363376</v>
      </c>
    </row>
    <row r="1668" spans="2:4" ht="15" x14ac:dyDescent="0.15">
      <c r="B1668" s="38">
        <v>6624</v>
      </c>
      <c r="C1668" s="39">
        <f t="shared" si="54"/>
        <v>4.4994024325808981</v>
      </c>
      <c r="D1668" s="39">
        <f t="shared" si="55"/>
        <v>1.6786885245901639</v>
      </c>
    </row>
    <row r="1669" spans="2:4" ht="15" x14ac:dyDescent="0.15">
      <c r="B1669" s="38">
        <v>6628</v>
      </c>
      <c r="C1669" s="39">
        <f t="shared" si="54"/>
        <v>4.5029629530808739</v>
      </c>
      <c r="D1669" s="39">
        <f t="shared" si="55"/>
        <v>1.6793767937679376</v>
      </c>
    </row>
    <row r="1670" spans="2:4" ht="15" x14ac:dyDescent="0.15">
      <c r="B1670" s="38">
        <v>6632</v>
      </c>
      <c r="C1670" s="39">
        <f t="shared" si="54"/>
        <v>4.5065249337082243</v>
      </c>
      <c r="D1670" s="39">
        <f t="shared" si="55"/>
        <v>1.6800656275635768</v>
      </c>
    </row>
    <row r="1671" spans="2:4" ht="15" x14ac:dyDescent="0.15">
      <c r="B1671" s="38">
        <v>6636</v>
      </c>
      <c r="C1671" s="39">
        <f t="shared" si="54"/>
        <v>4.5100883756610006</v>
      </c>
      <c r="D1671" s="39">
        <f t="shared" si="55"/>
        <v>1.6807550266721378</v>
      </c>
    </row>
    <row r="1672" spans="2:4" ht="15" x14ac:dyDescent="0.15">
      <c r="B1672" s="38">
        <v>6640</v>
      </c>
      <c r="C1672" s="39">
        <f t="shared" si="54"/>
        <v>4.5136532801387315</v>
      </c>
      <c r="D1672" s="39">
        <f t="shared" si="55"/>
        <v>1.6814449917898193</v>
      </c>
    </row>
    <row r="1673" spans="2:4" ht="15" x14ac:dyDescent="0.15">
      <c r="B1673" s="38">
        <v>6644</v>
      </c>
      <c r="C1673" s="39">
        <f t="shared" si="54"/>
        <v>4.5172196483424241</v>
      </c>
      <c r="D1673" s="39">
        <f t="shared" si="55"/>
        <v>1.682135523613963</v>
      </c>
    </row>
    <row r="1674" spans="2:4" ht="15" x14ac:dyDescent="0.15">
      <c r="B1674" s="38">
        <v>6648</v>
      </c>
      <c r="C1674" s="39">
        <f t="shared" si="54"/>
        <v>4.5207874814745628</v>
      </c>
      <c r="D1674" s="39">
        <f t="shared" si="55"/>
        <v>1.6828266228430566</v>
      </c>
    </row>
    <row r="1675" spans="2:4" ht="15" x14ac:dyDescent="0.15">
      <c r="B1675" s="38">
        <v>6652</v>
      </c>
      <c r="C1675" s="39">
        <f t="shared" si="54"/>
        <v>4.524356780739117</v>
      </c>
      <c r="D1675" s="39">
        <f t="shared" si="55"/>
        <v>1.6835182901767365</v>
      </c>
    </row>
    <row r="1676" spans="2:4" ht="15" x14ac:dyDescent="0.15">
      <c r="B1676" s="38">
        <v>6656</v>
      </c>
      <c r="C1676" s="39">
        <f t="shared" si="54"/>
        <v>4.5279275473415401</v>
      </c>
      <c r="D1676" s="39">
        <f t="shared" si="55"/>
        <v>1.6842105263157894</v>
      </c>
    </row>
    <row r="1677" spans="2:4" ht="15" x14ac:dyDescent="0.15">
      <c r="B1677" s="38">
        <v>6660</v>
      </c>
      <c r="C1677" s="39">
        <f t="shared" ref="C1677:C1740" si="56">20*LOG(D1677)</f>
        <v>4.5314997824887726</v>
      </c>
      <c r="D1677" s="39">
        <f t="shared" ref="D1677:D1740" si="57">16384/(16384-B1677)</f>
        <v>1.6849033319621556</v>
      </c>
    </row>
    <row r="1678" spans="2:4" ht="15" x14ac:dyDescent="0.15">
      <c r="B1678" s="38">
        <v>6664</v>
      </c>
      <c r="C1678" s="39">
        <f t="shared" si="56"/>
        <v>4.5350734873892424</v>
      </c>
      <c r="D1678" s="39">
        <f t="shared" si="57"/>
        <v>1.68559670781893</v>
      </c>
    </row>
    <row r="1679" spans="2:4" ht="15" x14ac:dyDescent="0.15">
      <c r="B1679" s="38">
        <v>6668</v>
      </c>
      <c r="C1679" s="39">
        <f t="shared" si="56"/>
        <v>4.538648663252876</v>
      </c>
      <c r="D1679" s="39">
        <f t="shared" si="57"/>
        <v>1.6862906545903664</v>
      </c>
    </row>
    <row r="1680" spans="2:4" ht="15" x14ac:dyDescent="0.15">
      <c r="B1680" s="38">
        <v>6672</v>
      </c>
      <c r="C1680" s="39">
        <f t="shared" si="56"/>
        <v>4.5422253112910873</v>
      </c>
      <c r="D1680" s="39">
        <f t="shared" si="57"/>
        <v>1.6869851729818781</v>
      </c>
    </row>
    <row r="1681" spans="2:4" ht="15" x14ac:dyDescent="0.15">
      <c r="B1681" s="38">
        <v>6676</v>
      </c>
      <c r="C1681" s="39">
        <f t="shared" si="56"/>
        <v>4.5458034327167915</v>
      </c>
      <c r="D1681" s="39">
        <f t="shared" si="57"/>
        <v>1.6876802637000412</v>
      </c>
    </row>
    <row r="1682" spans="2:4" ht="15" x14ac:dyDescent="0.15">
      <c r="B1682" s="38">
        <v>6680</v>
      </c>
      <c r="C1682" s="39">
        <f t="shared" si="56"/>
        <v>4.5493830287444039</v>
      </c>
      <c r="D1682" s="39">
        <f t="shared" si="57"/>
        <v>1.6883759274525969</v>
      </c>
    </row>
    <row r="1683" spans="2:4" ht="15" x14ac:dyDescent="0.15">
      <c r="B1683" s="38">
        <v>6684</v>
      </c>
      <c r="C1683" s="39">
        <f t="shared" si="56"/>
        <v>4.552964100589838</v>
      </c>
      <c r="D1683" s="39">
        <f t="shared" si="57"/>
        <v>1.6890721649484537</v>
      </c>
    </row>
    <row r="1684" spans="2:4" ht="15" x14ac:dyDescent="0.15">
      <c r="B1684" s="38">
        <v>6688</v>
      </c>
      <c r="C1684" s="39">
        <f t="shared" si="56"/>
        <v>4.5565466494705147</v>
      </c>
      <c r="D1684" s="39">
        <f t="shared" si="57"/>
        <v>1.6897689768976898</v>
      </c>
    </row>
    <row r="1685" spans="2:4" ht="15" x14ac:dyDescent="0.15">
      <c r="B1685" s="38">
        <v>6692</v>
      </c>
      <c r="C1685" s="39">
        <f t="shared" si="56"/>
        <v>4.5601306766053638</v>
      </c>
      <c r="D1685" s="39">
        <f t="shared" si="57"/>
        <v>1.690466364011556</v>
      </c>
    </row>
    <row r="1686" spans="2:4" ht="15" x14ac:dyDescent="0.15">
      <c r="B1686" s="38">
        <v>6696</v>
      </c>
      <c r="C1686" s="39">
        <f t="shared" si="56"/>
        <v>4.5637161832148179</v>
      </c>
      <c r="D1686" s="39">
        <f t="shared" si="57"/>
        <v>1.6911643270024772</v>
      </c>
    </row>
    <row r="1687" spans="2:4" ht="15" x14ac:dyDescent="0.15">
      <c r="B1687" s="38">
        <v>6700</v>
      </c>
      <c r="C1687" s="39">
        <f t="shared" si="56"/>
        <v>4.5673031705208302</v>
      </c>
      <c r="D1687" s="39">
        <f t="shared" si="57"/>
        <v>1.6918628665840563</v>
      </c>
    </row>
    <row r="1688" spans="2:4" ht="15" x14ac:dyDescent="0.15">
      <c r="B1688" s="38">
        <v>6704</v>
      </c>
      <c r="C1688" s="39">
        <f t="shared" si="56"/>
        <v>4.5708916397468613</v>
      </c>
      <c r="D1688" s="39">
        <f t="shared" si="57"/>
        <v>1.6925619834710743</v>
      </c>
    </row>
    <row r="1689" spans="2:4" ht="15" x14ac:dyDescent="0.15">
      <c r="B1689" s="38">
        <v>6708</v>
      </c>
      <c r="C1689" s="39">
        <f t="shared" si="56"/>
        <v>4.574481592117893</v>
      </c>
      <c r="D1689" s="39">
        <f t="shared" si="57"/>
        <v>1.6932616783794956</v>
      </c>
    </row>
    <row r="1690" spans="2:4" ht="15" x14ac:dyDescent="0.15">
      <c r="B1690" s="38">
        <v>6712</v>
      </c>
      <c r="C1690" s="39">
        <f t="shared" si="56"/>
        <v>4.578073028860425</v>
      </c>
      <c r="D1690" s="39">
        <f t="shared" si="57"/>
        <v>1.6939619520264682</v>
      </c>
    </row>
    <row r="1691" spans="2:4" ht="15" x14ac:dyDescent="0.15">
      <c r="B1691" s="38">
        <v>6716</v>
      </c>
      <c r="C1691" s="39">
        <f t="shared" si="56"/>
        <v>4.5816659512024787</v>
      </c>
      <c r="D1691" s="39">
        <f t="shared" si="57"/>
        <v>1.6946628051303267</v>
      </c>
    </row>
    <row r="1692" spans="2:4" ht="15" x14ac:dyDescent="0.15">
      <c r="B1692" s="38">
        <v>6720</v>
      </c>
      <c r="C1692" s="39">
        <f t="shared" si="56"/>
        <v>4.5852603603736029</v>
      </c>
      <c r="D1692" s="39">
        <f t="shared" si="57"/>
        <v>1.695364238410596</v>
      </c>
    </row>
    <row r="1693" spans="2:4" ht="15" x14ac:dyDescent="0.15">
      <c r="B1693" s="38">
        <v>6724</v>
      </c>
      <c r="C1693" s="39">
        <f t="shared" si="56"/>
        <v>4.5888562576048679</v>
      </c>
      <c r="D1693" s="39">
        <f t="shared" si="57"/>
        <v>1.6960662525879917</v>
      </c>
    </row>
    <row r="1694" spans="2:4" ht="15" x14ac:dyDescent="0.15">
      <c r="B1694" s="38">
        <v>6728</v>
      </c>
      <c r="C1694" s="39">
        <f t="shared" si="56"/>
        <v>4.5924536441288781</v>
      </c>
      <c r="D1694" s="39">
        <f t="shared" si="57"/>
        <v>1.6967688483844241</v>
      </c>
    </row>
    <row r="1695" spans="2:4" ht="15" x14ac:dyDescent="0.15">
      <c r="B1695" s="38">
        <v>6732</v>
      </c>
      <c r="C1695" s="39">
        <f t="shared" si="56"/>
        <v>4.5960525211797698</v>
      </c>
      <c r="D1695" s="39">
        <f t="shared" si="57"/>
        <v>1.6974720265230003</v>
      </c>
    </row>
    <row r="1696" spans="2:4" ht="15" x14ac:dyDescent="0.15">
      <c r="B1696" s="38">
        <v>6736</v>
      </c>
      <c r="C1696" s="39">
        <f t="shared" si="56"/>
        <v>4.5996528899932132</v>
      </c>
      <c r="D1696" s="39">
        <f t="shared" si="57"/>
        <v>1.6981757877280266</v>
      </c>
    </row>
    <row r="1697" spans="2:4" ht="15" x14ac:dyDescent="0.15">
      <c r="B1697" s="38">
        <v>6740</v>
      </c>
      <c r="C1697" s="39">
        <f t="shared" si="56"/>
        <v>4.6032547518064133</v>
      </c>
      <c r="D1697" s="39">
        <f t="shared" si="57"/>
        <v>1.6988801327250103</v>
      </c>
    </row>
    <row r="1698" spans="2:4" ht="15" x14ac:dyDescent="0.15">
      <c r="B1698" s="38">
        <v>6744</v>
      </c>
      <c r="C1698" s="39">
        <f t="shared" si="56"/>
        <v>4.6068581078581188</v>
      </c>
      <c r="D1698" s="39">
        <f t="shared" si="57"/>
        <v>1.6995850622406639</v>
      </c>
    </row>
    <row r="1699" spans="2:4" ht="15" x14ac:dyDescent="0.15">
      <c r="B1699" s="38">
        <v>6748</v>
      </c>
      <c r="C1699" s="39">
        <f t="shared" si="56"/>
        <v>4.6104629593886193</v>
      </c>
      <c r="D1699" s="39">
        <f t="shared" si="57"/>
        <v>1.7002905770029058</v>
      </c>
    </row>
    <row r="1700" spans="2:4" ht="15" x14ac:dyDescent="0.15">
      <c r="B1700" s="38">
        <v>6752</v>
      </c>
      <c r="C1700" s="39">
        <f t="shared" si="56"/>
        <v>4.6140693076397481</v>
      </c>
      <c r="D1700" s="39">
        <f t="shared" si="57"/>
        <v>1.7009966777408638</v>
      </c>
    </row>
    <row r="1701" spans="2:4" ht="15" x14ac:dyDescent="0.15">
      <c r="B1701" s="38">
        <v>6756</v>
      </c>
      <c r="C1701" s="39">
        <f t="shared" si="56"/>
        <v>4.6176771538548866</v>
      </c>
      <c r="D1701" s="39">
        <f t="shared" si="57"/>
        <v>1.7017033651848774</v>
      </c>
    </row>
    <row r="1702" spans="2:4" ht="15" x14ac:dyDescent="0.15">
      <c r="B1702" s="38">
        <v>6760</v>
      </c>
      <c r="C1702" s="39">
        <f t="shared" si="56"/>
        <v>4.621286499278968</v>
      </c>
      <c r="D1702" s="39">
        <f t="shared" si="57"/>
        <v>1.7024106400665004</v>
      </c>
    </row>
    <row r="1703" spans="2:4" ht="15" x14ac:dyDescent="0.15">
      <c r="B1703" s="38">
        <v>6764</v>
      </c>
      <c r="C1703" s="39">
        <f t="shared" si="56"/>
        <v>4.6248973451584758</v>
      </c>
      <c r="D1703" s="39">
        <f t="shared" si="57"/>
        <v>1.7031185031185032</v>
      </c>
    </row>
    <row r="1704" spans="2:4" ht="15" x14ac:dyDescent="0.15">
      <c r="B1704" s="38">
        <v>6768</v>
      </c>
      <c r="C1704" s="39">
        <f t="shared" si="56"/>
        <v>4.6285096927414484</v>
      </c>
      <c r="D1704" s="39">
        <f t="shared" si="57"/>
        <v>1.7038269550748752</v>
      </c>
    </row>
    <row r="1705" spans="2:4" ht="15" x14ac:dyDescent="0.15">
      <c r="B1705" s="38">
        <v>6772</v>
      </c>
      <c r="C1705" s="39">
        <f t="shared" si="56"/>
        <v>4.6321235432774852</v>
      </c>
      <c r="D1705" s="39">
        <f t="shared" si="57"/>
        <v>1.7045359966708282</v>
      </c>
    </row>
    <row r="1706" spans="2:4" ht="15" x14ac:dyDescent="0.15">
      <c r="B1706" s="38">
        <v>6776</v>
      </c>
      <c r="C1706" s="39">
        <f t="shared" si="56"/>
        <v>4.6357388980177419</v>
      </c>
      <c r="D1706" s="39">
        <f t="shared" si="57"/>
        <v>1.7052456286427977</v>
      </c>
    </row>
    <row r="1707" spans="2:4" ht="15" x14ac:dyDescent="0.15">
      <c r="B1707" s="38">
        <v>6780</v>
      </c>
      <c r="C1707" s="39">
        <f t="shared" si="56"/>
        <v>4.6393557582149407</v>
      </c>
      <c r="D1707" s="39">
        <f t="shared" si="57"/>
        <v>1.7059558517284465</v>
      </c>
    </row>
    <row r="1708" spans="2:4" ht="15" x14ac:dyDescent="0.15">
      <c r="B1708" s="38">
        <v>6784</v>
      </c>
      <c r="C1708" s="39">
        <f t="shared" si="56"/>
        <v>4.6429741251233665</v>
      </c>
      <c r="D1708" s="39">
        <f t="shared" si="57"/>
        <v>1.7066666666666668</v>
      </c>
    </row>
    <row r="1709" spans="2:4" ht="15" x14ac:dyDescent="0.15">
      <c r="B1709" s="38">
        <v>6788</v>
      </c>
      <c r="C1709" s="39">
        <f t="shared" si="56"/>
        <v>4.646593999998875</v>
      </c>
      <c r="D1709" s="39">
        <f t="shared" si="57"/>
        <v>1.7073780741975824</v>
      </c>
    </row>
    <row r="1710" spans="2:4" ht="15" x14ac:dyDescent="0.15">
      <c r="B1710" s="38">
        <v>6792</v>
      </c>
      <c r="C1710" s="39">
        <f t="shared" si="56"/>
        <v>4.6502153840988889</v>
      </c>
      <c r="D1710" s="39">
        <f t="shared" si="57"/>
        <v>1.7080900750625521</v>
      </c>
    </row>
    <row r="1711" spans="2:4" ht="15" x14ac:dyDescent="0.15">
      <c r="B1711" s="38">
        <v>6796</v>
      </c>
      <c r="C1711" s="39">
        <f t="shared" si="56"/>
        <v>4.65383827868241</v>
      </c>
      <c r="D1711" s="39">
        <f t="shared" si="57"/>
        <v>1.7088026700041719</v>
      </c>
    </row>
    <row r="1712" spans="2:4" ht="15" x14ac:dyDescent="0.15">
      <c r="B1712" s="38">
        <v>6800</v>
      </c>
      <c r="C1712" s="39">
        <f t="shared" si="56"/>
        <v>4.6574626850100111</v>
      </c>
      <c r="D1712" s="39">
        <f t="shared" si="57"/>
        <v>1.7095158597662772</v>
      </c>
    </row>
    <row r="1713" spans="2:4" ht="15" x14ac:dyDescent="0.15">
      <c r="B1713" s="38">
        <v>6804</v>
      </c>
      <c r="C1713" s="39">
        <f t="shared" si="56"/>
        <v>4.6610886043438473</v>
      </c>
      <c r="D1713" s="39">
        <f t="shared" si="57"/>
        <v>1.7102296450939458</v>
      </c>
    </row>
    <row r="1714" spans="2:4" ht="15" x14ac:dyDescent="0.15">
      <c r="B1714" s="38">
        <v>6808</v>
      </c>
      <c r="C1714" s="39">
        <f t="shared" si="56"/>
        <v>4.6647160379476489</v>
      </c>
      <c r="D1714" s="39">
        <f t="shared" si="57"/>
        <v>1.7109440267335003</v>
      </c>
    </row>
    <row r="1715" spans="2:4" ht="15" x14ac:dyDescent="0.15">
      <c r="B1715" s="38">
        <v>6812</v>
      </c>
      <c r="C1715" s="39">
        <f t="shared" si="56"/>
        <v>4.6683449870867406</v>
      </c>
      <c r="D1715" s="39">
        <f t="shared" si="57"/>
        <v>1.7116590054325116</v>
      </c>
    </row>
    <row r="1716" spans="2:4" ht="15" x14ac:dyDescent="0.15">
      <c r="B1716" s="38">
        <v>6816</v>
      </c>
      <c r="C1716" s="39">
        <f t="shared" si="56"/>
        <v>4.671975453028022</v>
      </c>
      <c r="D1716" s="39">
        <f t="shared" si="57"/>
        <v>1.7123745819397993</v>
      </c>
    </row>
    <row r="1717" spans="2:4" ht="15" x14ac:dyDescent="0.15">
      <c r="B1717" s="38">
        <v>6820</v>
      </c>
      <c r="C1717" s="39">
        <f t="shared" si="56"/>
        <v>4.6756074370399912</v>
      </c>
      <c r="D1717" s="39">
        <f t="shared" si="57"/>
        <v>1.713090757005437</v>
      </c>
    </row>
    <row r="1718" spans="2:4" ht="15" x14ac:dyDescent="0.15">
      <c r="B1718" s="38">
        <v>6824</v>
      </c>
      <c r="C1718" s="39">
        <f t="shared" si="56"/>
        <v>4.6792409403927326</v>
      </c>
      <c r="D1718" s="39">
        <f t="shared" si="57"/>
        <v>1.713807531380753</v>
      </c>
    </row>
    <row r="1719" spans="2:4" ht="15" x14ac:dyDescent="0.15">
      <c r="B1719" s="38">
        <v>6828</v>
      </c>
      <c r="C1719" s="39">
        <f t="shared" si="56"/>
        <v>4.6828759643579296</v>
      </c>
      <c r="D1719" s="39">
        <f t="shared" si="57"/>
        <v>1.7145249058183341</v>
      </c>
    </row>
    <row r="1720" spans="2:4" ht="15" x14ac:dyDescent="0.15">
      <c r="B1720" s="38">
        <v>6832</v>
      </c>
      <c r="C1720" s="39">
        <f t="shared" si="56"/>
        <v>4.686512510208857</v>
      </c>
      <c r="D1720" s="39">
        <f t="shared" si="57"/>
        <v>1.7152428810720268</v>
      </c>
    </row>
    <row r="1721" spans="2:4" ht="15" x14ac:dyDescent="0.15">
      <c r="B1721" s="38">
        <v>6836</v>
      </c>
      <c r="C1721" s="39">
        <f t="shared" si="56"/>
        <v>4.6901505792203952</v>
      </c>
      <c r="D1721" s="39">
        <f t="shared" si="57"/>
        <v>1.7159614578969418</v>
      </c>
    </row>
    <row r="1722" spans="2:4" ht="15" x14ac:dyDescent="0.15">
      <c r="B1722" s="38">
        <v>6840</v>
      </c>
      <c r="C1722" s="39">
        <f t="shared" si="56"/>
        <v>4.6937901726690257</v>
      </c>
      <c r="D1722" s="39">
        <f t="shared" si="57"/>
        <v>1.7166806370494552</v>
      </c>
    </row>
    <row r="1723" spans="2:4" ht="15" x14ac:dyDescent="0.15">
      <c r="B1723" s="38">
        <v>6844</v>
      </c>
      <c r="C1723" s="39">
        <f t="shared" si="56"/>
        <v>4.6974312918328316</v>
      </c>
      <c r="D1723" s="39">
        <f t="shared" si="57"/>
        <v>1.7174004192872117</v>
      </c>
    </row>
    <row r="1724" spans="2:4" ht="15" x14ac:dyDescent="0.15">
      <c r="B1724" s="38">
        <v>6848</v>
      </c>
      <c r="C1724" s="39">
        <f t="shared" si="56"/>
        <v>4.7010739379915103</v>
      </c>
      <c r="D1724" s="39">
        <f t="shared" si="57"/>
        <v>1.7181208053691275</v>
      </c>
    </row>
    <row r="1725" spans="2:4" ht="15" x14ac:dyDescent="0.15">
      <c r="B1725" s="38">
        <v>6852</v>
      </c>
      <c r="C1725" s="39">
        <f t="shared" si="56"/>
        <v>4.704718112426364</v>
      </c>
      <c r="D1725" s="39">
        <f t="shared" si="57"/>
        <v>1.7188417960553923</v>
      </c>
    </row>
    <row r="1726" spans="2:4" ht="15" x14ac:dyDescent="0.15">
      <c r="B1726" s="38">
        <v>6856</v>
      </c>
      <c r="C1726" s="39">
        <f t="shared" si="56"/>
        <v>4.708363816420313</v>
      </c>
      <c r="D1726" s="39">
        <f t="shared" si="57"/>
        <v>1.7195633921074727</v>
      </c>
    </row>
    <row r="1727" spans="2:4" ht="15" x14ac:dyDescent="0.15">
      <c r="B1727" s="38">
        <v>6860</v>
      </c>
      <c r="C1727" s="39">
        <f t="shared" si="56"/>
        <v>4.7120110512578899</v>
      </c>
      <c r="D1727" s="39">
        <f t="shared" si="57"/>
        <v>1.7202855942881143</v>
      </c>
    </row>
    <row r="1728" spans="2:4" ht="15" x14ac:dyDescent="0.15">
      <c r="B1728" s="38">
        <v>6864</v>
      </c>
      <c r="C1728" s="39">
        <f t="shared" si="56"/>
        <v>4.715659818225248</v>
      </c>
      <c r="D1728" s="39">
        <f t="shared" si="57"/>
        <v>1.7210084033613446</v>
      </c>
    </row>
    <row r="1729" spans="2:4" ht="15" x14ac:dyDescent="0.15">
      <c r="B1729" s="38">
        <v>6868</v>
      </c>
      <c r="C1729" s="39">
        <f t="shared" si="56"/>
        <v>4.7193101186101618</v>
      </c>
      <c r="D1729" s="39">
        <f t="shared" si="57"/>
        <v>1.7217318200924758</v>
      </c>
    </row>
    <row r="1730" spans="2:4" ht="15" x14ac:dyDescent="0.15">
      <c r="B1730" s="38">
        <v>6872</v>
      </c>
      <c r="C1730" s="39">
        <f t="shared" si="56"/>
        <v>4.7229619537020309</v>
      </c>
      <c r="D1730" s="39">
        <f t="shared" si="57"/>
        <v>1.7224558452481076</v>
      </c>
    </row>
    <row r="1731" spans="2:4" ht="15" x14ac:dyDescent="0.15">
      <c r="B1731" s="38">
        <v>6876</v>
      </c>
      <c r="C1731" s="39">
        <f t="shared" si="56"/>
        <v>4.7266153247918821</v>
      </c>
      <c r="D1731" s="39">
        <f t="shared" si="57"/>
        <v>1.7231804795961296</v>
      </c>
    </row>
    <row r="1732" spans="2:4" ht="15" x14ac:dyDescent="0.15">
      <c r="B1732" s="38">
        <v>6880</v>
      </c>
      <c r="C1732" s="39">
        <f t="shared" si="56"/>
        <v>4.7302702331723676</v>
      </c>
      <c r="D1732" s="39">
        <f t="shared" si="57"/>
        <v>1.7239057239057238</v>
      </c>
    </row>
    <row r="1733" spans="2:4" ht="15" x14ac:dyDescent="0.15">
      <c r="B1733" s="38">
        <v>6884</v>
      </c>
      <c r="C1733" s="39">
        <f t="shared" si="56"/>
        <v>4.7339266801377802</v>
      </c>
      <c r="D1733" s="39">
        <f t="shared" si="57"/>
        <v>1.7246315789473685</v>
      </c>
    </row>
    <row r="1734" spans="2:4" ht="15" x14ac:dyDescent="0.15">
      <c r="B1734" s="38">
        <v>6888</v>
      </c>
      <c r="C1734" s="39">
        <f t="shared" si="56"/>
        <v>4.7375846669840378</v>
      </c>
      <c r="D1734" s="39">
        <f t="shared" si="57"/>
        <v>1.725358045492839</v>
      </c>
    </row>
    <row r="1735" spans="2:4" ht="15" x14ac:dyDescent="0.15">
      <c r="B1735" s="38">
        <v>6892</v>
      </c>
      <c r="C1735" s="39">
        <f t="shared" si="56"/>
        <v>4.7412441950087079</v>
      </c>
      <c r="D1735" s="39">
        <f t="shared" si="57"/>
        <v>1.7260851243152129</v>
      </c>
    </row>
    <row r="1736" spans="2:4" ht="15" x14ac:dyDescent="0.15">
      <c r="B1736" s="38">
        <v>6896</v>
      </c>
      <c r="C1736" s="39">
        <f t="shared" si="56"/>
        <v>4.7449052655109867</v>
      </c>
      <c r="D1736" s="39">
        <f t="shared" si="57"/>
        <v>1.7268128161888701</v>
      </c>
    </row>
    <row r="1737" spans="2:4" ht="15" x14ac:dyDescent="0.15">
      <c r="B1737" s="38">
        <v>6900</v>
      </c>
      <c r="C1737" s="39">
        <f t="shared" si="56"/>
        <v>4.7485678797917235</v>
      </c>
      <c r="D1737" s="39">
        <f t="shared" si="57"/>
        <v>1.727541121889498</v>
      </c>
    </row>
    <row r="1738" spans="2:4" ht="15" x14ac:dyDescent="0.15">
      <c r="B1738" s="38">
        <v>6904</v>
      </c>
      <c r="C1738" s="39">
        <f t="shared" si="56"/>
        <v>4.7522320391534096</v>
      </c>
      <c r="D1738" s="39">
        <f t="shared" si="57"/>
        <v>1.7282700421940929</v>
      </c>
    </row>
    <row r="1739" spans="2:4" ht="15" x14ac:dyDescent="0.15">
      <c r="B1739" s="38">
        <v>6908</v>
      </c>
      <c r="C1739" s="39">
        <f t="shared" si="56"/>
        <v>4.7558977449001851</v>
      </c>
      <c r="D1739" s="39">
        <f t="shared" si="57"/>
        <v>1.7289995778809624</v>
      </c>
    </row>
    <row r="1740" spans="2:4" ht="15" x14ac:dyDescent="0.15">
      <c r="B1740" s="38">
        <v>6912</v>
      </c>
      <c r="C1740" s="39">
        <f t="shared" si="56"/>
        <v>4.7595649983378436</v>
      </c>
      <c r="D1740" s="39">
        <f t="shared" si="57"/>
        <v>1.7297297297297298</v>
      </c>
    </row>
    <row r="1741" spans="2:4" ht="15" x14ac:dyDescent="0.15">
      <c r="B1741" s="38">
        <v>6916</v>
      </c>
      <c r="C1741" s="39">
        <f t="shared" ref="C1741:C1804" si="58">20*LOG(D1741)</f>
        <v>4.7632338007738317</v>
      </c>
      <c r="D1741" s="39">
        <f t="shared" ref="D1741:D1804" si="59">16384/(16384-B1741)</f>
        <v>1.730460498521335</v>
      </c>
    </row>
    <row r="1742" spans="2:4" ht="15" x14ac:dyDescent="0.15">
      <c r="B1742" s="38">
        <v>6920</v>
      </c>
      <c r="C1742" s="39">
        <f t="shared" si="58"/>
        <v>4.7669041535172552</v>
      </c>
      <c r="D1742" s="39">
        <f t="shared" si="59"/>
        <v>1.7311918850380388</v>
      </c>
    </row>
    <row r="1743" spans="2:4" ht="15" x14ac:dyDescent="0.15">
      <c r="B1743" s="38">
        <v>6924</v>
      </c>
      <c r="C1743" s="39">
        <f t="shared" si="58"/>
        <v>4.7705760578788787</v>
      </c>
      <c r="D1743" s="39">
        <f t="shared" si="59"/>
        <v>1.7319238900634248</v>
      </c>
    </row>
    <row r="1744" spans="2:4" ht="15" x14ac:dyDescent="0.15">
      <c r="B1744" s="38">
        <v>6928</v>
      </c>
      <c r="C1744" s="39">
        <f t="shared" si="58"/>
        <v>4.7742495151711317</v>
      </c>
      <c r="D1744" s="39">
        <f t="shared" si="59"/>
        <v>1.7326565143824026</v>
      </c>
    </row>
    <row r="1745" spans="2:4" ht="15" x14ac:dyDescent="0.15">
      <c r="B1745" s="38">
        <v>6932</v>
      </c>
      <c r="C1745" s="39">
        <f t="shared" si="58"/>
        <v>4.777924526708107</v>
      </c>
      <c r="D1745" s="39">
        <f t="shared" si="59"/>
        <v>1.7333897587812104</v>
      </c>
    </row>
    <row r="1746" spans="2:4" ht="15" x14ac:dyDescent="0.15">
      <c r="B1746" s="38">
        <v>6936</v>
      </c>
      <c r="C1746" s="39">
        <f t="shared" si="58"/>
        <v>4.7816010938055662</v>
      </c>
      <c r="D1746" s="39">
        <f t="shared" si="59"/>
        <v>1.7341236240474174</v>
      </c>
    </row>
    <row r="1747" spans="2:4" ht="15" x14ac:dyDescent="0.15">
      <c r="B1747" s="38">
        <v>6940</v>
      </c>
      <c r="C1747" s="39">
        <f t="shared" si="58"/>
        <v>4.7852792177809462</v>
      </c>
      <c r="D1747" s="39">
        <f t="shared" si="59"/>
        <v>1.7348581109699279</v>
      </c>
    </row>
    <row r="1748" spans="2:4" ht="15" x14ac:dyDescent="0.15">
      <c r="B1748" s="38">
        <v>6944</v>
      </c>
      <c r="C1748" s="39">
        <f t="shared" si="58"/>
        <v>4.7889588999533554</v>
      </c>
      <c r="D1748" s="39">
        <f t="shared" si="59"/>
        <v>1.735593220338983</v>
      </c>
    </row>
    <row r="1749" spans="2:4" ht="15" x14ac:dyDescent="0.15">
      <c r="B1749" s="38">
        <v>6948</v>
      </c>
      <c r="C1749" s="39">
        <f t="shared" si="58"/>
        <v>4.7926401416435773</v>
      </c>
      <c r="D1749" s="39">
        <f t="shared" si="59"/>
        <v>1.7363289529461636</v>
      </c>
    </row>
    <row r="1750" spans="2:4" ht="15" x14ac:dyDescent="0.15">
      <c r="B1750" s="38">
        <v>6952</v>
      </c>
      <c r="C1750" s="39">
        <f t="shared" si="58"/>
        <v>4.7963229441740802</v>
      </c>
      <c r="D1750" s="39">
        <f t="shared" si="59"/>
        <v>1.7370653095843935</v>
      </c>
    </row>
    <row r="1751" spans="2:4" ht="15" x14ac:dyDescent="0.15">
      <c r="B1751" s="38">
        <v>6956</v>
      </c>
      <c r="C1751" s="39">
        <f t="shared" si="58"/>
        <v>4.8000073088690112</v>
      </c>
      <c r="D1751" s="39">
        <f t="shared" si="59"/>
        <v>1.7378022910479423</v>
      </c>
    </row>
    <row r="1752" spans="2:4" ht="15" x14ac:dyDescent="0.15">
      <c r="B1752" s="38">
        <v>6960</v>
      </c>
      <c r="C1752" s="39">
        <f t="shared" si="58"/>
        <v>4.8036932370542065</v>
      </c>
      <c r="D1752" s="39">
        <f t="shared" si="59"/>
        <v>1.7385398981324278</v>
      </c>
    </row>
    <row r="1753" spans="2:4" ht="15" x14ac:dyDescent="0.15">
      <c r="B1753" s="38">
        <v>6964</v>
      </c>
      <c r="C1753" s="39">
        <f t="shared" si="58"/>
        <v>4.8073807300571874</v>
      </c>
      <c r="D1753" s="39">
        <f t="shared" si="59"/>
        <v>1.7392781316348196</v>
      </c>
    </row>
    <row r="1754" spans="2:4" ht="15" x14ac:dyDescent="0.15">
      <c r="B1754" s="38">
        <v>6968</v>
      </c>
      <c r="C1754" s="39">
        <f t="shared" si="58"/>
        <v>4.8110697892071697</v>
      </c>
      <c r="D1754" s="39">
        <f t="shared" si="59"/>
        <v>1.740016992353441</v>
      </c>
    </row>
    <row r="1755" spans="2:4" ht="15" x14ac:dyDescent="0.15">
      <c r="B1755" s="38">
        <v>6972</v>
      </c>
      <c r="C1755" s="39">
        <f t="shared" si="58"/>
        <v>4.8147604158350612</v>
      </c>
      <c r="D1755" s="39">
        <f t="shared" si="59"/>
        <v>1.7407564810879728</v>
      </c>
    </row>
    <row r="1756" spans="2:4" ht="15" x14ac:dyDescent="0.15">
      <c r="B1756" s="38">
        <v>6976</v>
      </c>
      <c r="C1756" s="39">
        <f t="shared" si="58"/>
        <v>4.8184526112734689</v>
      </c>
      <c r="D1756" s="39">
        <f t="shared" si="59"/>
        <v>1.7414965986394557</v>
      </c>
    </row>
    <row r="1757" spans="2:4" ht="15" x14ac:dyDescent="0.15">
      <c r="B1757" s="38">
        <v>6980</v>
      </c>
      <c r="C1757" s="39">
        <f t="shared" si="58"/>
        <v>4.8221463768566997</v>
      </c>
      <c r="D1757" s="39">
        <f t="shared" si="59"/>
        <v>1.7422373458102935</v>
      </c>
    </row>
    <row r="1758" spans="2:4" ht="15" x14ac:dyDescent="0.15">
      <c r="B1758" s="38">
        <v>6984</v>
      </c>
      <c r="C1758" s="39">
        <f t="shared" si="58"/>
        <v>4.8258417139207612</v>
      </c>
      <c r="D1758" s="39">
        <f t="shared" si="59"/>
        <v>1.7429787234042553</v>
      </c>
    </row>
    <row r="1759" spans="2:4" ht="15" x14ac:dyDescent="0.15">
      <c r="B1759" s="38">
        <v>6988</v>
      </c>
      <c r="C1759" s="39">
        <f t="shared" si="58"/>
        <v>4.8295386238033702</v>
      </c>
      <c r="D1759" s="39">
        <f t="shared" si="59"/>
        <v>1.7437207322264794</v>
      </c>
    </row>
    <row r="1760" spans="2:4" ht="15" x14ac:dyDescent="0.15">
      <c r="B1760" s="38">
        <v>6992</v>
      </c>
      <c r="C1760" s="39">
        <f t="shared" si="58"/>
        <v>4.8332371078439493</v>
      </c>
      <c r="D1760" s="39">
        <f t="shared" si="59"/>
        <v>1.7444633730834753</v>
      </c>
    </row>
    <row r="1761" spans="2:4" ht="15" x14ac:dyDescent="0.15">
      <c r="B1761" s="38">
        <v>6996</v>
      </c>
      <c r="C1761" s="39">
        <f t="shared" si="58"/>
        <v>4.8369371673836348</v>
      </c>
      <c r="D1761" s="39">
        <f t="shared" si="59"/>
        <v>1.7452066467831273</v>
      </c>
    </row>
    <row r="1762" spans="2:4" ht="15" x14ac:dyDescent="0.15">
      <c r="B1762" s="38">
        <v>7000</v>
      </c>
      <c r="C1762" s="39">
        <f t="shared" si="58"/>
        <v>4.8406388037652786</v>
      </c>
      <c r="D1762" s="39">
        <f t="shared" si="59"/>
        <v>1.7459505541346974</v>
      </c>
    </row>
    <row r="1763" spans="2:4" ht="15" x14ac:dyDescent="0.15">
      <c r="B1763" s="38">
        <v>7004</v>
      </c>
      <c r="C1763" s="39">
        <f t="shared" si="58"/>
        <v>4.8443420183334451</v>
      </c>
      <c r="D1763" s="39">
        <f t="shared" si="59"/>
        <v>1.7466950959488272</v>
      </c>
    </row>
    <row r="1764" spans="2:4" ht="15" x14ac:dyDescent="0.15">
      <c r="B1764" s="38">
        <v>7008</v>
      </c>
      <c r="C1764" s="39">
        <f t="shared" si="58"/>
        <v>4.8480468124344265</v>
      </c>
      <c r="D1764" s="39">
        <f t="shared" si="59"/>
        <v>1.7474402730375427</v>
      </c>
    </row>
    <row r="1765" spans="2:4" ht="15" x14ac:dyDescent="0.15">
      <c r="B1765" s="38">
        <v>7012</v>
      </c>
      <c r="C1765" s="39">
        <f t="shared" si="58"/>
        <v>4.8517531874162314</v>
      </c>
      <c r="D1765" s="39">
        <f t="shared" si="59"/>
        <v>1.7481860862142553</v>
      </c>
    </row>
    <row r="1766" spans="2:4" ht="15" x14ac:dyDescent="0.15">
      <c r="B1766" s="38">
        <v>7016</v>
      </c>
      <c r="C1766" s="39">
        <f t="shared" si="58"/>
        <v>4.8554611446285998</v>
      </c>
      <c r="D1766" s="39">
        <f t="shared" si="59"/>
        <v>1.748932536293766</v>
      </c>
    </row>
    <row r="1767" spans="2:4" ht="15" x14ac:dyDescent="0.15">
      <c r="B1767" s="38">
        <v>7020</v>
      </c>
      <c r="C1767" s="39">
        <f t="shared" si="58"/>
        <v>4.8591706854229999</v>
      </c>
      <c r="D1767" s="39">
        <f t="shared" si="59"/>
        <v>1.7496796240922683</v>
      </c>
    </row>
    <row r="1768" spans="2:4" ht="15" x14ac:dyDescent="0.15">
      <c r="B1768" s="38">
        <v>7024</v>
      </c>
      <c r="C1768" s="39">
        <f t="shared" si="58"/>
        <v>4.8628818111526302</v>
      </c>
      <c r="D1768" s="39">
        <f t="shared" si="59"/>
        <v>1.7504273504273504</v>
      </c>
    </row>
    <row r="1769" spans="2:4" ht="15" x14ac:dyDescent="0.15">
      <c r="B1769" s="38">
        <v>7028</v>
      </c>
      <c r="C1769" s="39">
        <f t="shared" si="58"/>
        <v>4.8665945231724255</v>
      </c>
      <c r="D1769" s="39">
        <f t="shared" si="59"/>
        <v>1.751175716117999</v>
      </c>
    </row>
    <row r="1770" spans="2:4" ht="15" x14ac:dyDescent="0.15">
      <c r="B1770" s="38">
        <v>7032</v>
      </c>
      <c r="C1770" s="39">
        <f t="shared" si="58"/>
        <v>4.8703088228390605</v>
      </c>
      <c r="D1770" s="39">
        <f t="shared" si="59"/>
        <v>1.7519247219846021</v>
      </c>
    </row>
    <row r="1771" spans="2:4" ht="15" x14ac:dyDescent="0.15">
      <c r="B1771" s="38">
        <v>7036</v>
      </c>
      <c r="C1771" s="39">
        <f t="shared" si="58"/>
        <v>4.8740247115109492</v>
      </c>
      <c r="D1771" s="39">
        <f t="shared" si="59"/>
        <v>1.7526743688489517</v>
      </c>
    </row>
    <row r="1772" spans="2:4" ht="15" x14ac:dyDescent="0.15">
      <c r="B1772" s="38">
        <v>7040</v>
      </c>
      <c r="C1772" s="39">
        <f t="shared" si="58"/>
        <v>4.8777421905482488</v>
      </c>
      <c r="D1772" s="39">
        <f t="shared" si="59"/>
        <v>1.7534246575342465</v>
      </c>
    </row>
    <row r="1773" spans="2:4" ht="15" x14ac:dyDescent="0.15">
      <c r="B1773" s="38">
        <v>7044</v>
      </c>
      <c r="C1773" s="39">
        <f t="shared" si="58"/>
        <v>4.8814612613128672</v>
      </c>
      <c r="D1773" s="39">
        <f t="shared" si="59"/>
        <v>1.7541755888650963</v>
      </c>
    </row>
    <row r="1774" spans="2:4" ht="15" x14ac:dyDescent="0.15">
      <c r="B1774" s="38">
        <v>7048</v>
      </c>
      <c r="C1774" s="39">
        <f t="shared" si="58"/>
        <v>4.8851819251684594</v>
      </c>
      <c r="D1774" s="39">
        <f t="shared" si="59"/>
        <v>1.7549271636675237</v>
      </c>
    </row>
    <row r="1775" spans="2:4" ht="15" x14ac:dyDescent="0.15">
      <c r="B1775" s="38">
        <v>7052</v>
      </c>
      <c r="C1775" s="39">
        <f t="shared" si="58"/>
        <v>4.8889041834804345</v>
      </c>
      <c r="D1775" s="39">
        <f t="shared" si="59"/>
        <v>1.755679382768967</v>
      </c>
    </row>
    <row r="1776" spans="2:4" ht="15" x14ac:dyDescent="0.15">
      <c r="B1776" s="38">
        <v>7056</v>
      </c>
      <c r="C1776" s="39">
        <f t="shared" si="58"/>
        <v>4.8926280376159568</v>
      </c>
      <c r="D1776" s="39">
        <f t="shared" si="59"/>
        <v>1.7564322469982847</v>
      </c>
    </row>
    <row r="1777" spans="2:4" ht="15" x14ac:dyDescent="0.15">
      <c r="B1777" s="38">
        <v>7060</v>
      </c>
      <c r="C1777" s="39">
        <f t="shared" si="58"/>
        <v>4.8963534889439533</v>
      </c>
      <c r="D1777" s="39">
        <f t="shared" si="59"/>
        <v>1.7571857571857572</v>
      </c>
    </row>
    <row r="1778" spans="2:4" ht="15" x14ac:dyDescent="0.15">
      <c r="B1778" s="38">
        <v>7064</v>
      </c>
      <c r="C1778" s="39">
        <f t="shared" si="58"/>
        <v>4.9000805388351072</v>
      </c>
      <c r="D1778" s="39">
        <f t="shared" si="59"/>
        <v>1.75793991416309</v>
      </c>
    </row>
    <row r="1779" spans="2:4" ht="15" x14ac:dyDescent="0.15">
      <c r="B1779" s="38">
        <v>7068</v>
      </c>
      <c r="C1779" s="39">
        <f t="shared" si="58"/>
        <v>4.9038091886618735</v>
      </c>
      <c r="D1779" s="39">
        <f t="shared" si="59"/>
        <v>1.7586947187634179</v>
      </c>
    </row>
    <row r="1780" spans="2:4" ht="15" x14ac:dyDescent="0.15">
      <c r="B1780" s="38">
        <v>7072</v>
      </c>
      <c r="C1780" s="39">
        <f t="shared" si="58"/>
        <v>4.9075394397984686</v>
      </c>
      <c r="D1780" s="39">
        <f t="shared" si="59"/>
        <v>1.7594501718213058</v>
      </c>
    </row>
    <row r="1781" spans="2:4" ht="15" x14ac:dyDescent="0.15">
      <c r="B1781" s="38">
        <v>7076</v>
      </c>
      <c r="C1781" s="39">
        <f t="shared" si="58"/>
        <v>4.9112712936208887</v>
      </c>
      <c r="D1781" s="39">
        <f t="shared" si="59"/>
        <v>1.7602062741727547</v>
      </c>
    </row>
    <row r="1782" spans="2:4" ht="15" x14ac:dyDescent="0.15">
      <c r="B1782" s="38">
        <v>7080</v>
      </c>
      <c r="C1782" s="39">
        <f t="shared" si="58"/>
        <v>4.9150047515068955</v>
      </c>
      <c r="D1782" s="39">
        <f t="shared" si="59"/>
        <v>1.7609630266552021</v>
      </c>
    </row>
    <row r="1783" spans="2:4" ht="15" x14ac:dyDescent="0.15">
      <c r="B1783" s="38">
        <v>7084</v>
      </c>
      <c r="C1783" s="39">
        <f t="shared" si="58"/>
        <v>4.918739814836032</v>
      </c>
      <c r="D1783" s="39">
        <f t="shared" si="59"/>
        <v>1.7617204301075269</v>
      </c>
    </row>
    <row r="1784" spans="2:4" ht="15" x14ac:dyDescent="0.15">
      <c r="B1784" s="38">
        <v>7088</v>
      </c>
      <c r="C1784" s="39">
        <f t="shared" si="58"/>
        <v>4.922476484989625</v>
      </c>
      <c r="D1784" s="39">
        <f t="shared" si="59"/>
        <v>1.7624784853700517</v>
      </c>
    </row>
    <row r="1785" spans="2:4" ht="15" x14ac:dyDescent="0.15">
      <c r="B1785" s="38">
        <v>7092</v>
      </c>
      <c r="C1785" s="39">
        <f t="shared" si="58"/>
        <v>4.926214763350778</v>
      </c>
      <c r="D1785" s="39">
        <f t="shared" si="59"/>
        <v>1.7632371932845459</v>
      </c>
    </row>
    <row r="1786" spans="2:4" ht="15" x14ac:dyDescent="0.15">
      <c r="B1786" s="38">
        <v>7096</v>
      </c>
      <c r="C1786" s="39">
        <f t="shared" si="58"/>
        <v>4.9299546513043859</v>
      </c>
      <c r="D1786" s="39">
        <f t="shared" si="59"/>
        <v>1.7639965546942291</v>
      </c>
    </row>
    <row r="1787" spans="2:4" ht="15" x14ac:dyDescent="0.15">
      <c r="B1787" s="38">
        <v>7100</v>
      </c>
      <c r="C1787" s="39">
        <f t="shared" si="58"/>
        <v>4.9336961502371324</v>
      </c>
      <c r="D1787" s="39">
        <f t="shared" si="59"/>
        <v>1.7647565704437742</v>
      </c>
    </row>
    <row r="1788" spans="2:4" ht="15" x14ac:dyDescent="0.15">
      <c r="B1788" s="38">
        <v>7104</v>
      </c>
      <c r="C1788" s="39">
        <f t="shared" si="58"/>
        <v>4.9374392615374934</v>
      </c>
      <c r="D1788" s="39">
        <f t="shared" si="59"/>
        <v>1.7655172413793103</v>
      </c>
    </row>
    <row r="1789" spans="2:4" ht="15" x14ac:dyDescent="0.15">
      <c r="B1789" s="38">
        <v>7108</v>
      </c>
      <c r="C1789" s="39">
        <f t="shared" si="58"/>
        <v>4.9411839865957399</v>
      </c>
      <c r="D1789" s="39">
        <f t="shared" si="59"/>
        <v>1.7662785683484261</v>
      </c>
    </row>
    <row r="1790" spans="2:4" ht="15" x14ac:dyDescent="0.15">
      <c r="B1790" s="38">
        <v>7112</v>
      </c>
      <c r="C1790" s="39">
        <f t="shared" si="58"/>
        <v>4.9449303268039433</v>
      </c>
      <c r="D1790" s="39">
        <f t="shared" si="59"/>
        <v>1.7670405522001726</v>
      </c>
    </row>
    <row r="1791" spans="2:4" ht="15" x14ac:dyDescent="0.15">
      <c r="B1791" s="38">
        <v>7116</v>
      </c>
      <c r="C1791" s="39">
        <f t="shared" si="58"/>
        <v>4.9486782835559753</v>
      </c>
      <c r="D1791" s="39">
        <f t="shared" si="59"/>
        <v>1.7678031937850669</v>
      </c>
    </row>
    <row r="1792" spans="2:4" ht="15" x14ac:dyDescent="0.15">
      <c r="B1792" s="38">
        <v>7120</v>
      </c>
      <c r="C1792" s="39">
        <f t="shared" si="58"/>
        <v>4.9524278582475141</v>
      </c>
      <c r="D1792" s="39">
        <f t="shared" si="59"/>
        <v>1.7685664939550949</v>
      </c>
    </row>
    <row r="1793" spans="2:4" ht="15" x14ac:dyDescent="0.15">
      <c r="B1793" s="38">
        <v>7124</v>
      </c>
      <c r="C1793" s="39">
        <f t="shared" si="58"/>
        <v>4.956179052276048</v>
      </c>
      <c r="D1793" s="39">
        <f t="shared" si="59"/>
        <v>1.7693304535637149</v>
      </c>
    </row>
    <row r="1794" spans="2:4" ht="15" x14ac:dyDescent="0.15">
      <c r="B1794" s="38">
        <v>7128</v>
      </c>
      <c r="C1794" s="39">
        <f t="shared" si="58"/>
        <v>4.9599318670408721</v>
      </c>
      <c r="D1794" s="39">
        <f t="shared" si="59"/>
        <v>1.77009507346586</v>
      </c>
    </row>
    <row r="1795" spans="2:4" ht="15" x14ac:dyDescent="0.15">
      <c r="B1795" s="38">
        <v>7132</v>
      </c>
      <c r="C1795" s="39">
        <f t="shared" si="58"/>
        <v>4.9636863039430983</v>
      </c>
      <c r="D1795" s="39">
        <f t="shared" si="59"/>
        <v>1.770860354517942</v>
      </c>
    </row>
    <row r="1796" spans="2:4" ht="15" x14ac:dyDescent="0.15">
      <c r="B1796" s="38">
        <v>7136</v>
      </c>
      <c r="C1796" s="39">
        <f t="shared" si="58"/>
        <v>4.9674423643856578</v>
      </c>
      <c r="D1796" s="39">
        <f t="shared" si="59"/>
        <v>1.7716262975778547</v>
      </c>
    </row>
    <row r="1797" spans="2:4" ht="15" x14ac:dyDescent="0.15">
      <c r="B1797" s="38">
        <v>7140</v>
      </c>
      <c r="C1797" s="39">
        <f t="shared" si="58"/>
        <v>4.9712000497732998</v>
      </c>
      <c r="D1797" s="39">
        <f t="shared" si="59"/>
        <v>1.7723929035049761</v>
      </c>
    </row>
    <row r="1798" spans="2:4" ht="15" x14ac:dyDescent="0.15">
      <c r="B1798" s="38">
        <v>7144</v>
      </c>
      <c r="C1798" s="39">
        <f t="shared" si="58"/>
        <v>4.9749593615126013</v>
      </c>
      <c r="D1798" s="39">
        <f t="shared" si="59"/>
        <v>1.7731601731601732</v>
      </c>
    </row>
    <row r="1799" spans="2:4" ht="15" x14ac:dyDescent="0.15">
      <c r="B1799" s="38">
        <v>7148</v>
      </c>
      <c r="C1799" s="39">
        <f t="shared" si="58"/>
        <v>4.9787203010119594</v>
      </c>
      <c r="D1799" s="39">
        <f t="shared" si="59"/>
        <v>1.7739281074058033</v>
      </c>
    </row>
    <row r="1800" spans="2:4" ht="15" x14ac:dyDescent="0.15">
      <c r="B1800" s="38">
        <v>7152</v>
      </c>
      <c r="C1800" s="39">
        <f t="shared" si="58"/>
        <v>4.9824828696816095</v>
      </c>
      <c r="D1800" s="39">
        <f t="shared" si="59"/>
        <v>1.7746967071057191</v>
      </c>
    </row>
    <row r="1801" spans="2:4" ht="15" x14ac:dyDescent="0.15">
      <c r="B1801" s="38">
        <v>7156</v>
      </c>
      <c r="C1801" s="39">
        <f t="shared" si="58"/>
        <v>4.9862470689336167</v>
      </c>
      <c r="D1801" s="39">
        <f t="shared" si="59"/>
        <v>1.7754659731252709</v>
      </c>
    </row>
    <row r="1802" spans="2:4" ht="15" x14ac:dyDescent="0.15">
      <c r="B1802" s="38">
        <v>7160</v>
      </c>
      <c r="C1802" s="39">
        <f t="shared" si="58"/>
        <v>4.990012900181882</v>
      </c>
      <c r="D1802" s="39">
        <f t="shared" si="59"/>
        <v>1.7762359063313096</v>
      </c>
    </row>
    <row r="1803" spans="2:4" ht="15" x14ac:dyDescent="0.15">
      <c r="B1803" s="38">
        <v>7164</v>
      </c>
      <c r="C1803" s="39">
        <f t="shared" si="58"/>
        <v>4.9937803648421477</v>
      </c>
      <c r="D1803" s="39">
        <f t="shared" si="59"/>
        <v>1.7770065075921908</v>
      </c>
    </row>
    <row r="1804" spans="2:4" ht="15" x14ac:dyDescent="0.15">
      <c r="B1804" s="38">
        <v>7168</v>
      </c>
      <c r="C1804" s="39">
        <f t="shared" si="58"/>
        <v>4.997549464331998</v>
      </c>
      <c r="D1804" s="39">
        <f t="shared" si="59"/>
        <v>1.7777777777777777</v>
      </c>
    </row>
    <row r="1805" spans="2:4" ht="15" x14ac:dyDescent="0.15">
      <c r="B1805" s="38">
        <v>7172</v>
      </c>
      <c r="C1805" s="39">
        <f t="shared" ref="C1805:C1868" si="60">20*LOG(D1805)</f>
        <v>5.0013202000708645</v>
      </c>
      <c r="D1805" s="39">
        <f t="shared" ref="D1805:D1868" si="61">16384/(16384-B1805)</f>
        <v>1.7785497177594443</v>
      </c>
    </row>
    <row r="1806" spans="2:4" ht="15" x14ac:dyDescent="0.15">
      <c r="B1806" s="38">
        <v>7176</v>
      </c>
      <c r="C1806" s="39">
        <f t="shared" si="60"/>
        <v>5.0050925734800265</v>
      </c>
      <c r="D1806" s="39">
        <f t="shared" si="61"/>
        <v>1.7793223284100781</v>
      </c>
    </row>
    <row r="1807" spans="2:4" ht="15" x14ac:dyDescent="0.15">
      <c r="B1807" s="38">
        <v>7180</v>
      </c>
      <c r="C1807" s="39">
        <f t="shared" si="60"/>
        <v>5.00886658598262</v>
      </c>
      <c r="D1807" s="39">
        <f t="shared" si="61"/>
        <v>1.7800956106040853</v>
      </c>
    </row>
    <row r="1808" spans="2:4" ht="15" x14ac:dyDescent="0.15">
      <c r="B1808" s="38">
        <v>7184</v>
      </c>
      <c r="C1808" s="39">
        <f t="shared" si="60"/>
        <v>5.0126422390036298</v>
      </c>
      <c r="D1808" s="39">
        <f t="shared" si="61"/>
        <v>1.7808695652173914</v>
      </c>
    </row>
    <row r="1809" spans="2:4" ht="15" x14ac:dyDescent="0.15">
      <c r="B1809" s="38">
        <v>7188</v>
      </c>
      <c r="C1809" s="39">
        <f t="shared" si="60"/>
        <v>5.0164195339699056</v>
      </c>
      <c r="D1809" s="39">
        <f t="shared" si="61"/>
        <v>1.7816441931274467</v>
      </c>
    </row>
    <row r="1810" spans="2:4" ht="15" x14ac:dyDescent="0.15">
      <c r="B1810" s="38">
        <v>7192</v>
      </c>
      <c r="C1810" s="39">
        <f t="shared" si="60"/>
        <v>5.0201984723101587</v>
      </c>
      <c r="D1810" s="39">
        <f t="shared" si="61"/>
        <v>1.7824194952132288</v>
      </c>
    </row>
    <row r="1811" spans="2:4" ht="15" x14ac:dyDescent="0.15">
      <c r="B1811" s="38">
        <v>7196</v>
      </c>
      <c r="C1811" s="39">
        <f t="shared" si="60"/>
        <v>5.0239790554549648</v>
      </c>
      <c r="D1811" s="39">
        <f t="shared" si="61"/>
        <v>1.7831954723552459</v>
      </c>
    </row>
    <row r="1812" spans="2:4" ht="15" x14ac:dyDescent="0.15">
      <c r="B1812" s="38">
        <v>7200</v>
      </c>
      <c r="C1812" s="39">
        <f t="shared" si="60"/>
        <v>5.0277612848367683</v>
      </c>
      <c r="D1812" s="39">
        <f t="shared" si="61"/>
        <v>1.7839721254355401</v>
      </c>
    </row>
    <row r="1813" spans="2:4" ht="15" x14ac:dyDescent="0.15">
      <c r="B1813" s="38">
        <v>7204</v>
      </c>
      <c r="C1813" s="39">
        <f t="shared" si="60"/>
        <v>5.0315451618898859</v>
      </c>
      <c r="D1813" s="39">
        <f t="shared" si="61"/>
        <v>1.7847494553376906</v>
      </c>
    </row>
    <row r="1814" spans="2:4" ht="15" x14ac:dyDescent="0.15">
      <c r="B1814" s="38">
        <v>7208</v>
      </c>
      <c r="C1814" s="39">
        <f t="shared" si="60"/>
        <v>5.03533068805051</v>
      </c>
      <c r="D1814" s="39">
        <f t="shared" si="61"/>
        <v>1.7855274629468179</v>
      </c>
    </row>
    <row r="1815" spans="2:4" ht="15" x14ac:dyDescent="0.15">
      <c r="B1815" s="38">
        <v>7212</v>
      </c>
      <c r="C1815" s="39">
        <f t="shared" si="60"/>
        <v>5.0391178647567099</v>
      </c>
      <c r="D1815" s="39">
        <f t="shared" si="61"/>
        <v>1.7863061491495857</v>
      </c>
    </row>
    <row r="1816" spans="2:4" ht="15" x14ac:dyDescent="0.15">
      <c r="B1816" s="38">
        <v>7216</v>
      </c>
      <c r="C1816" s="39">
        <f t="shared" si="60"/>
        <v>5.0429066934484403</v>
      </c>
      <c r="D1816" s="39">
        <f t="shared" si="61"/>
        <v>1.787085514834206</v>
      </c>
    </row>
    <row r="1817" spans="2:4" ht="15" x14ac:dyDescent="0.15">
      <c r="B1817" s="38">
        <v>7220</v>
      </c>
      <c r="C1817" s="39">
        <f t="shared" si="60"/>
        <v>5.0466971755675356</v>
      </c>
      <c r="D1817" s="39">
        <f t="shared" si="61"/>
        <v>1.7878655608904408</v>
      </c>
    </row>
    <row r="1818" spans="2:4" ht="15" x14ac:dyDescent="0.15">
      <c r="B1818" s="38">
        <v>7224</v>
      </c>
      <c r="C1818" s="39">
        <f t="shared" si="60"/>
        <v>5.0504893125577279</v>
      </c>
      <c r="D1818" s="39">
        <f t="shared" si="61"/>
        <v>1.788646288209607</v>
      </c>
    </row>
    <row r="1819" spans="2:4" ht="15" x14ac:dyDescent="0.15">
      <c r="B1819" s="38">
        <v>7228</v>
      </c>
      <c r="C1819" s="39">
        <f t="shared" si="60"/>
        <v>5.0542831058646289</v>
      </c>
      <c r="D1819" s="39">
        <f t="shared" si="61"/>
        <v>1.7894276976845784</v>
      </c>
    </row>
    <row r="1820" spans="2:4" ht="15" x14ac:dyDescent="0.15">
      <c r="B1820" s="38">
        <v>7232</v>
      </c>
      <c r="C1820" s="39">
        <f t="shared" si="60"/>
        <v>5.0580785569357545</v>
      </c>
      <c r="D1820" s="39">
        <f t="shared" si="61"/>
        <v>1.7902097902097902</v>
      </c>
    </row>
    <row r="1821" spans="2:4" ht="15" x14ac:dyDescent="0.15">
      <c r="B1821" s="38">
        <v>7236</v>
      </c>
      <c r="C1821" s="39">
        <f t="shared" si="60"/>
        <v>5.0618756672205176</v>
      </c>
      <c r="D1821" s="39">
        <f t="shared" si="61"/>
        <v>1.7909925666812418</v>
      </c>
    </row>
    <row r="1822" spans="2:4" ht="15" x14ac:dyDescent="0.15">
      <c r="B1822" s="38">
        <v>7240</v>
      </c>
      <c r="C1822" s="39">
        <f t="shared" si="60"/>
        <v>5.0656744381702277</v>
      </c>
      <c r="D1822" s="39">
        <f t="shared" si="61"/>
        <v>1.7917760279965005</v>
      </c>
    </row>
    <row r="1823" spans="2:4" ht="15" x14ac:dyDescent="0.15">
      <c r="B1823" s="38">
        <v>7244</v>
      </c>
      <c r="C1823" s="39">
        <f t="shared" si="60"/>
        <v>5.069474871238107</v>
      </c>
      <c r="D1823" s="39">
        <f t="shared" si="61"/>
        <v>1.7925601750547047</v>
      </c>
    </row>
    <row r="1824" spans="2:4" ht="15" x14ac:dyDescent="0.15">
      <c r="B1824" s="38">
        <v>7248</v>
      </c>
      <c r="C1824" s="39">
        <f t="shared" si="60"/>
        <v>5.073276967879278</v>
      </c>
      <c r="D1824" s="39">
        <f t="shared" si="61"/>
        <v>1.7933450087565674</v>
      </c>
    </row>
    <row r="1825" spans="2:4" ht="15" x14ac:dyDescent="0.15">
      <c r="B1825" s="38">
        <v>7252</v>
      </c>
      <c r="C1825" s="39">
        <f t="shared" si="60"/>
        <v>5.0770807295507812</v>
      </c>
      <c r="D1825" s="39">
        <f t="shared" si="61"/>
        <v>1.7941305300043802</v>
      </c>
    </row>
    <row r="1826" spans="2:4" ht="15" x14ac:dyDescent="0.15">
      <c r="B1826" s="38">
        <v>7256</v>
      </c>
      <c r="C1826" s="39">
        <f t="shared" si="60"/>
        <v>5.0808861577115705</v>
      </c>
      <c r="D1826" s="39">
        <f t="shared" si="61"/>
        <v>1.7949167397020158</v>
      </c>
    </row>
    <row r="1827" spans="2:4" ht="15" x14ac:dyDescent="0.15">
      <c r="B1827" s="38">
        <v>7260</v>
      </c>
      <c r="C1827" s="39">
        <f t="shared" si="60"/>
        <v>5.0846932538225156</v>
      </c>
      <c r="D1827" s="39">
        <f t="shared" si="61"/>
        <v>1.7957036387549321</v>
      </c>
    </row>
    <row r="1828" spans="2:4" ht="15" x14ac:dyDescent="0.15">
      <c r="B1828" s="38">
        <v>7264</v>
      </c>
      <c r="C1828" s="39">
        <f t="shared" si="60"/>
        <v>5.0885020193464117</v>
      </c>
      <c r="D1828" s="39">
        <f t="shared" si="61"/>
        <v>1.7964912280701755</v>
      </c>
    </row>
    <row r="1829" spans="2:4" ht="15" x14ac:dyDescent="0.15">
      <c r="B1829" s="38">
        <v>7268</v>
      </c>
      <c r="C1829" s="39">
        <f t="shared" si="60"/>
        <v>5.092312455747976</v>
      </c>
      <c r="D1829" s="39">
        <f t="shared" si="61"/>
        <v>1.7972795085563844</v>
      </c>
    </row>
    <row r="1830" spans="2:4" ht="15" x14ac:dyDescent="0.15">
      <c r="B1830" s="38">
        <v>7272</v>
      </c>
      <c r="C1830" s="39">
        <f t="shared" si="60"/>
        <v>5.0961245644938558</v>
      </c>
      <c r="D1830" s="39">
        <f t="shared" si="61"/>
        <v>1.7980684811237928</v>
      </c>
    </row>
    <row r="1831" spans="2:4" ht="15" x14ac:dyDescent="0.15">
      <c r="B1831" s="38">
        <v>7276</v>
      </c>
      <c r="C1831" s="39">
        <f t="shared" si="60"/>
        <v>5.0999383470526318</v>
      </c>
      <c r="D1831" s="39">
        <f t="shared" si="61"/>
        <v>1.7988581466842337</v>
      </c>
    </row>
    <row r="1832" spans="2:4" ht="15" x14ac:dyDescent="0.15">
      <c r="B1832" s="38">
        <v>7280</v>
      </c>
      <c r="C1832" s="39">
        <f t="shared" si="60"/>
        <v>5.103753804894815</v>
      </c>
      <c r="D1832" s="39">
        <f t="shared" si="61"/>
        <v>1.7996485061511422</v>
      </c>
    </row>
    <row r="1833" spans="2:4" ht="15" x14ac:dyDescent="0.15">
      <c r="B1833" s="38">
        <v>7284</v>
      </c>
      <c r="C1833" s="39">
        <f t="shared" si="60"/>
        <v>5.107570939492863</v>
      </c>
      <c r="D1833" s="39">
        <f t="shared" si="61"/>
        <v>1.8004395604395604</v>
      </c>
    </row>
    <row r="1834" spans="2:4" ht="15" x14ac:dyDescent="0.15">
      <c r="B1834" s="38">
        <v>7288</v>
      </c>
      <c r="C1834" s="39">
        <f t="shared" si="60"/>
        <v>5.111389752321168</v>
      </c>
      <c r="D1834" s="39">
        <f t="shared" si="61"/>
        <v>1.801231310466139</v>
      </c>
    </row>
    <row r="1835" spans="2:4" ht="15" x14ac:dyDescent="0.15">
      <c r="B1835" s="38">
        <v>7292</v>
      </c>
      <c r="C1835" s="39">
        <f t="shared" si="60"/>
        <v>5.1152102448560708</v>
      </c>
      <c r="D1835" s="39">
        <f t="shared" si="61"/>
        <v>1.8020237571491422</v>
      </c>
    </row>
    <row r="1836" spans="2:4" ht="15" x14ac:dyDescent="0.15">
      <c r="B1836" s="38">
        <v>7296</v>
      </c>
      <c r="C1836" s="39">
        <f t="shared" si="60"/>
        <v>5.1190324185758618</v>
      </c>
      <c r="D1836" s="39">
        <f t="shared" si="61"/>
        <v>1.8028169014084507</v>
      </c>
    </row>
    <row r="1837" spans="2:4" ht="15" x14ac:dyDescent="0.15">
      <c r="B1837" s="38">
        <v>7300</v>
      </c>
      <c r="C1837" s="39">
        <f t="shared" si="60"/>
        <v>5.1228562749607836</v>
      </c>
      <c r="D1837" s="39">
        <f t="shared" si="61"/>
        <v>1.8036107441655658</v>
      </c>
    </row>
    <row r="1838" spans="2:4" ht="15" x14ac:dyDescent="0.15">
      <c r="B1838" s="38">
        <v>7304</v>
      </c>
      <c r="C1838" s="39">
        <f t="shared" si="60"/>
        <v>5.1266818154930327</v>
      </c>
      <c r="D1838" s="39">
        <f t="shared" si="61"/>
        <v>1.8044052863436124</v>
      </c>
    </row>
    <row r="1839" spans="2:4" ht="15" x14ac:dyDescent="0.15">
      <c r="B1839" s="38">
        <v>7308</v>
      </c>
      <c r="C1839" s="39">
        <f t="shared" si="60"/>
        <v>5.1305090416567678</v>
      </c>
      <c r="D1839" s="39">
        <f t="shared" si="61"/>
        <v>1.8052005288673425</v>
      </c>
    </row>
    <row r="1840" spans="2:4" ht="15" x14ac:dyDescent="0.15">
      <c r="B1840" s="38">
        <v>7312</v>
      </c>
      <c r="C1840" s="39">
        <f t="shared" si="60"/>
        <v>5.1343379549381076</v>
      </c>
      <c r="D1840" s="39">
        <f t="shared" si="61"/>
        <v>1.8059964726631392</v>
      </c>
    </row>
    <row r="1841" spans="2:4" ht="15" x14ac:dyDescent="0.15">
      <c r="B1841" s="38">
        <v>7316</v>
      </c>
      <c r="C1841" s="39">
        <f t="shared" si="60"/>
        <v>5.1381685568251392</v>
      </c>
      <c r="D1841" s="39">
        <f t="shared" si="61"/>
        <v>1.8067931186590207</v>
      </c>
    </row>
    <row r="1842" spans="2:4" ht="15" x14ac:dyDescent="0.15">
      <c r="B1842" s="38">
        <v>7320</v>
      </c>
      <c r="C1842" s="39">
        <f t="shared" si="60"/>
        <v>5.1420008488079185</v>
      </c>
      <c r="D1842" s="39">
        <f t="shared" si="61"/>
        <v>1.8075904677846426</v>
      </c>
    </row>
    <row r="1843" spans="2:4" ht="15" x14ac:dyDescent="0.15">
      <c r="B1843" s="38">
        <v>7324</v>
      </c>
      <c r="C1843" s="39">
        <f t="shared" si="60"/>
        <v>5.1458348323784726</v>
      </c>
      <c r="D1843" s="39">
        <f t="shared" si="61"/>
        <v>1.8083885209713024</v>
      </c>
    </row>
    <row r="1844" spans="2:4" ht="15" x14ac:dyDescent="0.15">
      <c r="B1844" s="38">
        <v>7328</v>
      </c>
      <c r="C1844" s="39">
        <f t="shared" si="60"/>
        <v>5.1496705090308108</v>
      </c>
      <c r="D1844" s="39">
        <f t="shared" si="61"/>
        <v>1.8091872791519434</v>
      </c>
    </row>
    <row r="1845" spans="2:4" ht="15" x14ac:dyDescent="0.15">
      <c r="B1845" s="38">
        <v>7332</v>
      </c>
      <c r="C1845" s="39">
        <f t="shared" si="60"/>
        <v>5.153507880260916</v>
      </c>
      <c r="D1845" s="39">
        <f t="shared" si="61"/>
        <v>1.8099867432611578</v>
      </c>
    </row>
    <row r="1846" spans="2:4" ht="15" x14ac:dyDescent="0.15">
      <c r="B1846" s="38">
        <v>7336</v>
      </c>
      <c r="C1846" s="39">
        <f t="shared" si="60"/>
        <v>5.1573469475667562</v>
      </c>
      <c r="D1846" s="39">
        <f t="shared" si="61"/>
        <v>1.81078691423519</v>
      </c>
    </row>
    <row r="1847" spans="2:4" ht="15" x14ac:dyDescent="0.15">
      <c r="B1847" s="38">
        <v>7340</v>
      </c>
      <c r="C1847" s="39">
        <f t="shared" si="60"/>
        <v>5.1611877124482932</v>
      </c>
      <c r="D1847" s="39">
        <f t="shared" si="61"/>
        <v>1.8115877930119417</v>
      </c>
    </row>
    <row r="1848" spans="2:4" ht="15" x14ac:dyDescent="0.15">
      <c r="B1848" s="38">
        <v>7344</v>
      </c>
      <c r="C1848" s="39">
        <f t="shared" si="60"/>
        <v>5.165030176407468</v>
      </c>
      <c r="D1848" s="39">
        <f t="shared" si="61"/>
        <v>1.8123893805309734</v>
      </c>
    </row>
    <row r="1849" spans="2:4" ht="15" x14ac:dyDescent="0.15">
      <c r="B1849" s="38">
        <v>7348</v>
      </c>
      <c r="C1849" s="39">
        <f t="shared" si="60"/>
        <v>5.1688743409482267</v>
      </c>
      <c r="D1849" s="39">
        <f t="shared" si="61"/>
        <v>1.8131916777335104</v>
      </c>
    </row>
    <row r="1850" spans="2:4" ht="15" x14ac:dyDescent="0.15">
      <c r="B1850" s="38">
        <v>7352</v>
      </c>
      <c r="C1850" s="39">
        <f t="shared" si="60"/>
        <v>5.1727202075765053</v>
      </c>
      <c r="D1850" s="39">
        <f t="shared" si="61"/>
        <v>1.8139946855624447</v>
      </c>
    </row>
    <row r="1851" spans="2:4" ht="15" x14ac:dyDescent="0.15">
      <c r="B1851" s="38">
        <v>7356</v>
      </c>
      <c r="C1851" s="39">
        <f t="shared" si="60"/>
        <v>5.1765677778002459</v>
      </c>
      <c r="D1851" s="39">
        <f t="shared" si="61"/>
        <v>1.8147984049623394</v>
      </c>
    </row>
    <row r="1852" spans="2:4" ht="15" x14ac:dyDescent="0.15">
      <c r="B1852" s="38">
        <v>7360</v>
      </c>
      <c r="C1852" s="39">
        <f t="shared" si="60"/>
        <v>5.1804170531293927</v>
      </c>
      <c r="D1852" s="39">
        <f t="shared" si="61"/>
        <v>1.8156028368794326</v>
      </c>
    </row>
    <row r="1853" spans="2:4" ht="15" x14ac:dyDescent="0.15">
      <c r="B1853" s="38">
        <v>7364</v>
      </c>
      <c r="C1853" s="39">
        <f t="shared" si="60"/>
        <v>5.1842680350758998</v>
      </c>
      <c r="D1853" s="39">
        <f t="shared" si="61"/>
        <v>1.8164079822616408</v>
      </c>
    </row>
    <row r="1854" spans="2:4" ht="15" x14ac:dyDescent="0.15">
      <c r="B1854" s="38">
        <v>7368</v>
      </c>
      <c r="C1854" s="39">
        <f t="shared" si="60"/>
        <v>5.1881207251537322</v>
      </c>
      <c r="D1854" s="39">
        <f t="shared" si="61"/>
        <v>1.8172138420585626</v>
      </c>
    </row>
    <row r="1855" spans="2:4" ht="15" x14ac:dyDescent="0.15">
      <c r="B1855" s="38">
        <v>7372</v>
      </c>
      <c r="C1855" s="39">
        <f t="shared" si="60"/>
        <v>5.1919751248788701</v>
      </c>
      <c r="D1855" s="39">
        <f t="shared" si="61"/>
        <v>1.8180204172214824</v>
      </c>
    </row>
    <row r="1856" spans="2:4" ht="15" x14ac:dyDescent="0.15">
      <c r="B1856" s="38">
        <v>7376</v>
      </c>
      <c r="C1856" s="39">
        <f t="shared" si="60"/>
        <v>5.1958312357693153</v>
      </c>
      <c r="D1856" s="39">
        <f t="shared" si="61"/>
        <v>1.8188277087033748</v>
      </c>
    </row>
    <row r="1857" spans="2:4" ht="15" x14ac:dyDescent="0.15">
      <c r="B1857" s="38">
        <v>7380</v>
      </c>
      <c r="C1857" s="39">
        <f t="shared" si="60"/>
        <v>5.1996890593450864</v>
      </c>
      <c r="D1857" s="39">
        <f t="shared" si="61"/>
        <v>1.8196357174589071</v>
      </c>
    </row>
    <row r="1858" spans="2:4" ht="15" x14ac:dyDescent="0.15">
      <c r="B1858" s="38">
        <v>7384</v>
      </c>
      <c r="C1858" s="39">
        <f t="shared" si="60"/>
        <v>5.203548597128238</v>
      </c>
      <c r="D1858" s="39">
        <f t="shared" si="61"/>
        <v>1.8204444444444445</v>
      </c>
    </row>
    <row r="1859" spans="2:4" ht="15" x14ac:dyDescent="0.15">
      <c r="B1859" s="38">
        <v>7388</v>
      </c>
      <c r="C1859" s="39">
        <f t="shared" si="60"/>
        <v>5.2074098506428435</v>
      </c>
      <c r="D1859" s="39">
        <f t="shared" si="61"/>
        <v>1.8212538906180524</v>
      </c>
    </row>
    <row r="1860" spans="2:4" ht="15" x14ac:dyDescent="0.15">
      <c r="B1860" s="38">
        <v>7392</v>
      </c>
      <c r="C1860" s="39">
        <f t="shared" si="60"/>
        <v>5.211272821415017</v>
      </c>
      <c r="D1860" s="39">
        <f t="shared" si="61"/>
        <v>1.8220640569395017</v>
      </c>
    </row>
    <row r="1861" spans="2:4" ht="15" x14ac:dyDescent="0.15">
      <c r="B1861" s="38">
        <v>7396</v>
      </c>
      <c r="C1861" s="39">
        <f t="shared" si="60"/>
        <v>5.2151375109729079</v>
      </c>
      <c r="D1861" s="39">
        <f t="shared" si="61"/>
        <v>1.8228749443702714</v>
      </c>
    </row>
    <row r="1862" spans="2:4" ht="15" x14ac:dyDescent="0.15">
      <c r="B1862" s="38">
        <v>7400</v>
      </c>
      <c r="C1862" s="39">
        <f t="shared" si="60"/>
        <v>5.2190039208467063</v>
      </c>
      <c r="D1862" s="39">
        <f t="shared" si="61"/>
        <v>1.8236865538735529</v>
      </c>
    </row>
    <row r="1863" spans="2:4" ht="15" x14ac:dyDescent="0.15">
      <c r="B1863" s="38">
        <v>7404</v>
      </c>
      <c r="C1863" s="39">
        <f t="shared" si="60"/>
        <v>5.2228720525686478</v>
      </c>
      <c r="D1863" s="39">
        <f t="shared" si="61"/>
        <v>1.824498886414254</v>
      </c>
    </row>
    <row r="1864" spans="2:4" ht="15" x14ac:dyDescent="0.15">
      <c r="B1864" s="38">
        <v>7408</v>
      </c>
      <c r="C1864" s="39">
        <f t="shared" si="60"/>
        <v>5.2267419076730102</v>
      </c>
      <c r="D1864" s="39">
        <f t="shared" si="61"/>
        <v>1.8253119429590017</v>
      </c>
    </row>
    <row r="1865" spans="2:4" ht="15" x14ac:dyDescent="0.15">
      <c r="B1865" s="38">
        <v>7412</v>
      </c>
      <c r="C1865" s="39">
        <f t="shared" si="60"/>
        <v>5.2306134876961323</v>
      </c>
      <c r="D1865" s="39">
        <f t="shared" si="61"/>
        <v>1.826125724476148</v>
      </c>
    </row>
    <row r="1866" spans="2:4" ht="15" x14ac:dyDescent="0.15">
      <c r="B1866" s="38">
        <v>7416</v>
      </c>
      <c r="C1866" s="39">
        <f t="shared" si="60"/>
        <v>5.2344867941764006</v>
      </c>
      <c r="D1866" s="39">
        <f t="shared" si="61"/>
        <v>1.8269402319357717</v>
      </c>
    </row>
    <row r="1867" spans="2:4" ht="15" x14ac:dyDescent="0.15">
      <c r="B1867" s="38">
        <v>7420</v>
      </c>
      <c r="C1867" s="39">
        <f t="shared" si="60"/>
        <v>5.2383618286542619</v>
      </c>
      <c r="D1867" s="39">
        <f t="shared" si="61"/>
        <v>1.8277554663096831</v>
      </c>
    </row>
    <row r="1868" spans="2:4" ht="15" x14ac:dyDescent="0.15">
      <c r="B1868" s="38">
        <v>7424</v>
      </c>
      <c r="C1868" s="39">
        <f t="shared" si="60"/>
        <v>5.2422385926722299</v>
      </c>
      <c r="D1868" s="39">
        <f t="shared" si="61"/>
        <v>1.8285714285714285</v>
      </c>
    </row>
    <row r="1869" spans="2:4" ht="15" x14ac:dyDescent="0.15">
      <c r="B1869" s="38">
        <v>7428</v>
      </c>
      <c r="C1869" s="39">
        <f t="shared" ref="C1869:C1932" si="62">20*LOG(D1869)</f>
        <v>5.2461170877748806</v>
      </c>
      <c r="D1869" s="39">
        <f t="shared" ref="D1869:D1932" si="63">16384/(16384-B1869)</f>
        <v>1.8293881196962929</v>
      </c>
    </row>
    <row r="1870" spans="2:4" ht="15" x14ac:dyDescent="0.15">
      <c r="B1870" s="38">
        <v>7432</v>
      </c>
      <c r="C1870" s="39">
        <f t="shared" si="62"/>
        <v>5.2499973155088622</v>
      </c>
      <c r="D1870" s="39">
        <f t="shared" si="63"/>
        <v>1.8302055406613047</v>
      </c>
    </row>
    <row r="1871" spans="2:4" ht="15" x14ac:dyDescent="0.15">
      <c r="B1871" s="38">
        <v>7436</v>
      </c>
      <c r="C1871" s="39">
        <f t="shared" si="62"/>
        <v>5.253879277422894</v>
      </c>
      <c r="D1871" s="39">
        <f t="shared" si="63"/>
        <v>1.8310236924452392</v>
      </c>
    </row>
    <row r="1872" spans="2:4" ht="15" x14ac:dyDescent="0.15">
      <c r="B1872" s="38">
        <v>7440</v>
      </c>
      <c r="C1872" s="39">
        <f t="shared" si="62"/>
        <v>5.2577629750677737</v>
      </c>
      <c r="D1872" s="39">
        <f t="shared" si="63"/>
        <v>1.8318425760286225</v>
      </c>
    </row>
    <row r="1873" spans="2:4" ht="15" x14ac:dyDescent="0.15">
      <c r="B1873" s="38">
        <v>7444</v>
      </c>
      <c r="C1873" s="39">
        <f t="shared" si="62"/>
        <v>5.2616484099963809</v>
      </c>
      <c r="D1873" s="39">
        <f t="shared" si="63"/>
        <v>1.8326621923937361</v>
      </c>
    </row>
    <row r="1874" spans="2:4" ht="15" x14ac:dyDescent="0.15">
      <c r="B1874" s="38">
        <v>7448</v>
      </c>
      <c r="C1874" s="39">
        <f t="shared" si="62"/>
        <v>5.2655355837636817</v>
      </c>
      <c r="D1874" s="39">
        <f t="shared" si="63"/>
        <v>1.8334825425246195</v>
      </c>
    </row>
    <row r="1875" spans="2:4" ht="15" x14ac:dyDescent="0.15">
      <c r="B1875" s="38">
        <v>7452</v>
      </c>
      <c r="C1875" s="39">
        <f t="shared" si="62"/>
        <v>5.2694244979267282</v>
      </c>
      <c r="D1875" s="39">
        <f t="shared" si="63"/>
        <v>1.8343036274070756</v>
      </c>
    </row>
    <row r="1876" spans="2:4" ht="15" x14ac:dyDescent="0.15">
      <c r="B1876" s="38">
        <v>7456</v>
      </c>
      <c r="C1876" s="39">
        <f t="shared" si="62"/>
        <v>5.2733151540446643</v>
      </c>
      <c r="D1876" s="39">
        <f t="shared" si="63"/>
        <v>1.8351254480286738</v>
      </c>
    </row>
    <row r="1877" spans="2:4" ht="15" x14ac:dyDescent="0.15">
      <c r="B1877" s="38">
        <v>7460</v>
      </c>
      <c r="C1877" s="39">
        <f t="shared" si="62"/>
        <v>5.277207553678732</v>
      </c>
      <c r="D1877" s="39">
        <f t="shared" si="63"/>
        <v>1.835948005378754</v>
      </c>
    </row>
    <row r="1878" spans="2:4" ht="15" x14ac:dyDescent="0.15">
      <c r="B1878" s="38">
        <v>7464</v>
      </c>
      <c r="C1878" s="39">
        <f t="shared" si="62"/>
        <v>5.2811016983922734</v>
      </c>
      <c r="D1878" s="39">
        <f t="shared" si="63"/>
        <v>1.8367713004484305</v>
      </c>
    </row>
    <row r="1879" spans="2:4" ht="15" x14ac:dyDescent="0.15">
      <c r="B1879" s="38">
        <v>7468</v>
      </c>
      <c r="C1879" s="39">
        <f t="shared" si="62"/>
        <v>5.2849975897507315</v>
      </c>
      <c r="D1879" s="39">
        <f t="shared" si="63"/>
        <v>1.8375953342305966</v>
      </c>
    </row>
    <row r="1880" spans="2:4" ht="15" x14ac:dyDescent="0.15">
      <c r="B1880" s="38">
        <v>7472</v>
      </c>
      <c r="C1880" s="39">
        <f t="shared" si="62"/>
        <v>5.2888952293216622</v>
      </c>
      <c r="D1880" s="39">
        <f t="shared" si="63"/>
        <v>1.8384201077199283</v>
      </c>
    </row>
    <row r="1881" spans="2:4" ht="15" x14ac:dyDescent="0.15">
      <c r="B1881" s="38">
        <v>7476</v>
      </c>
      <c r="C1881" s="39">
        <f t="shared" si="62"/>
        <v>5.2927946186747219</v>
      </c>
      <c r="D1881" s="39">
        <f t="shared" si="63"/>
        <v>1.8392456219128872</v>
      </c>
    </row>
    <row r="1882" spans="2:4" ht="15" x14ac:dyDescent="0.15">
      <c r="B1882" s="38">
        <v>7480</v>
      </c>
      <c r="C1882" s="39">
        <f t="shared" si="62"/>
        <v>5.2966957593816977</v>
      </c>
      <c r="D1882" s="39">
        <f t="shared" si="63"/>
        <v>1.840071877807727</v>
      </c>
    </row>
    <row r="1883" spans="2:4" ht="15" x14ac:dyDescent="0.15">
      <c r="B1883" s="38">
        <v>7484</v>
      </c>
      <c r="C1883" s="39">
        <f t="shared" si="62"/>
        <v>5.300598653016479</v>
      </c>
      <c r="D1883" s="39">
        <f t="shared" si="63"/>
        <v>1.8408988764044945</v>
      </c>
    </row>
    <row r="1884" spans="2:4" ht="15" x14ac:dyDescent="0.15">
      <c r="B1884" s="38">
        <v>7488</v>
      </c>
      <c r="C1884" s="39">
        <f t="shared" si="62"/>
        <v>5.3045033011550906</v>
      </c>
      <c r="D1884" s="39">
        <f t="shared" si="63"/>
        <v>1.8417266187050361</v>
      </c>
    </row>
    <row r="1885" spans="2:4" ht="15" x14ac:dyDescent="0.15">
      <c r="B1885" s="38">
        <v>7492</v>
      </c>
      <c r="C1885" s="39">
        <f t="shared" si="62"/>
        <v>5.3084097053756754</v>
      </c>
      <c r="D1885" s="39">
        <f t="shared" si="63"/>
        <v>1.8425551057130005</v>
      </c>
    </row>
    <row r="1886" spans="2:4" ht="15" x14ac:dyDescent="0.15">
      <c r="B1886" s="38">
        <v>7496</v>
      </c>
      <c r="C1886" s="39">
        <f t="shared" si="62"/>
        <v>5.3123178672585105</v>
      </c>
      <c r="D1886" s="39">
        <f t="shared" si="63"/>
        <v>1.8433843384338433</v>
      </c>
    </row>
    <row r="1887" spans="2:4" ht="15" x14ac:dyDescent="0.15">
      <c r="B1887" s="38">
        <v>7500</v>
      </c>
      <c r="C1887" s="39">
        <f t="shared" si="62"/>
        <v>5.3162277883860076</v>
      </c>
      <c r="D1887" s="39">
        <f t="shared" si="63"/>
        <v>1.8442143178748311</v>
      </c>
    </row>
    <row r="1888" spans="2:4" ht="15" x14ac:dyDescent="0.15">
      <c r="B1888" s="38">
        <v>7504</v>
      </c>
      <c r="C1888" s="39">
        <f t="shared" si="62"/>
        <v>5.3201394703427143</v>
      </c>
      <c r="D1888" s="39">
        <f t="shared" si="63"/>
        <v>1.8450450450450451</v>
      </c>
    </row>
    <row r="1889" spans="2:4" ht="15" x14ac:dyDescent="0.15">
      <c r="B1889" s="38">
        <v>7508</v>
      </c>
      <c r="C1889" s="39">
        <f t="shared" si="62"/>
        <v>5.3240529147153204</v>
      </c>
      <c r="D1889" s="39">
        <f t="shared" si="63"/>
        <v>1.8458765209553853</v>
      </c>
    </row>
    <row r="1890" spans="2:4" ht="15" x14ac:dyDescent="0.15">
      <c r="B1890" s="38">
        <v>7512</v>
      </c>
      <c r="C1890" s="39">
        <f t="shared" si="62"/>
        <v>5.3279681230926617</v>
      </c>
      <c r="D1890" s="39">
        <f t="shared" si="63"/>
        <v>1.8467087466185752</v>
      </c>
    </row>
    <row r="1891" spans="2:4" ht="15" x14ac:dyDescent="0.15">
      <c r="B1891" s="38">
        <v>7516</v>
      </c>
      <c r="C1891" s="39">
        <f t="shared" si="62"/>
        <v>5.3318850970657223</v>
      </c>
      <c r="D1891" s="39">
        <f t="shared" si="63"/>
        <v>1.8475417230491655</v>
      </c>
    </row>
    <row r="1892" spans="2:4" ht="15" x14ac:dyDescent="0.15">
      <c r="B1892" s="38">
        <v>7520</v>
      </c>
      <c r="C1892" s="39">
        <f t="shared" si="62"/>
        <v>5.335803838227644</v>
      </c>
      <c r="D1892" s="39">
        <f t="shared" si="63"/>
        <v>1.848375451263538</v>
      </c>
    </row>
    <row r="1893" spans="2:4" ht="15" x14ac:dyDescent="0.15">
      <c r="B1893" s="38">
        <v>7524</v>
      </c>
      <c r="C1893" s="39">
        <f t="shared" si="62"/>
        <v>5.3397243481737187</v>
      </c>
      <c r="D1893" s="39">
        <f t="shared" si="63"/>
        <v>1.8492099322799096</v>
      </c>
    </row>
    <row r="1894" spans="2:4" ht="15" x14ac:dyDescent="0.15">
      <c r="B1894" s="38">
        <v>7528</v>
      </c>
      <c r="C1894" s="39">
        <f t="shared" si="62"/>
        <v>5.3436466285014061</v>
      </c>
      <c r="D1894" s="39">
        <f t="shared" si="63"/>
        <v>1.8500451671183378</v>
      </c>
    </row>
    <row r="1895" spans="2:4" ht="15" x14ac:dyDescent="0.15">
      <c r="B1895" s="38">
        <v>7532</v>
      </c>
      <c r="C1895" s="39">
        <f t="shared" si="62"/>
        <v>5.3475706808103283</v>
      </c>
      <c r="D1895" s="39">
        <f t="shared" si="63"/>
        <v>1.8508811568007231</v>
      </c>
    </row>
    <row r="1896" spans="2:4" ht="15" x14ac:dyDescent="0.15">
      <c r="B1896" s="38">
        <v>7536</v>
      </c>
      <c r="C1896" s="39">
        <f t="shared" si="62"/>
        <v>5.3514965067022739</v>
      </c>
      <c r="D1896" s="39">
        <f t="shared" si="63"/>
        <v>1.8517179023508137</v>
      </c>
    </row>
    <row r="1897" spans="2:4" ht="15" x14ac:dyDescent="0.15">
      <c r="B1897" s="38">
        <v>7540</v>
      </c>
      <c r="C1897" s="39">
        <f t="shared" si="62"/>
        <v>5.3554241077812081</v>
      </c>
      <c r="D1897" s="39">
        <f t="shared" si="63"/>
        <v>1.8525554047942108</v>
      </c>
    </row>
    <row r="1898" spans="2:4" ht="15" x14ac:dyDescent="0.15">
      <c r="B1898" s="38">
        <v>7544</v>
      </c>
      <c r="C1898" s="39">
        <f t="shared" si="62"/>
        <v>5.3593534856532727</v>
      </c>
      <c r="D1898" s="39">
        <f t="shared" si="63"/>
        <v>1.8533936651583711</v>
      </c>
    </row>
    <row r="1899" spans="2:4" ht="15" x14ac:dyDescent="0.15">
      <c r="B1899" s="38">
        <v>7548</v>
      </c>
      <c r="C1899" s="39">
        <f t="shared" si="62"/>
        <v>5.3632846419267874</v>
      </c>
      <c r="D1899" s="39">
        <f t="shared" si="63"/>
        <v>1.854232684472612</v>
      </c>
    </row>
    <row r="1900" spans="2:4" ht="15" x14ac:dyDescent="0.15">
      <c r="B1900" s="38">
        <v>7552</v>
      </c>
      <c r="C1900" s="39">
        <f t="shared" si="62"/>
        <v>5.3672175782122613</v>
      </c>
      <c r="D1900" s="39">
        <f t="shared" si="63"/>
        <v>1.855072463768116</v>
      </c>
    </row>
    <row r="1901" spans="2:4" ht="15" x14ac:dyDescent="0.15">
      <c r="B1901" s="38">
        <v>7556</v>
      </c>
      <c r="C1901" s="39">
        <f t="shared" si="62"/>
        <v>5.3711522961223865</v>
      </c>
      <c r="D1901" s="39">
        <f t="shared" si="63"/>
        <v>1.8559130040779339</v>
      </c>
    </row>
    <row r="1902" spans="2:4" ht="15" x14ac:dyDescent="0.15">
      <c r="B1902" s="38">
        <v>7560</v>
      </c>
      <c r="C1902" s="39">
        <f t="shared" si="62"/>
        <v>5.3750887972720509</v>
      </c>
      <c r="D1902" s="39">
        <f t="shared" si="63"/>
        <v>1.85675430643699</v>
      </c>
    </row>
    <row r="1903" spans="2:4" ht="15" x14ac:dyDescent="0.15">
      <c r="B1903" s="38">
        <v>7564</v>
      </c>
      <c r="C1903" s="39">
        <f t="shared" si="62"/>
        <v>5.3790270832783404</v>
      </c>
      <c r="D1903" s="39">
        <f t="shared" si="63"/>
        <v>1.8575963718820863</v>
      </c>
    </row>
    <row r="1904" spans="2:4" ht="15" x14ac:dyDescent="0.15">
      <c r="B1904" s="38">
        <v>7568</v>
      </c>
      <c r="C1904" s="39">
        <f t="shared" si="62"/>
        <v>5.3829671557605376</v>
      </c>
      <c r="D1904" s="39">
        <f t="shared" si="63"/>
        <v>1.8584392014519056</v>
      </c>
    </row>
    <row r="1905" spans="2:4" ht="15" x14ac:dyDescent="0.15">
      <c r="B1905" s="38">
        <v>7572</v>
      </c>
      <c r="C1905" s="39">
        <f t="shared" si="62"/>
        <v>5.3869090163401347</v>
      </c>
      <c r="D1905" s="39">
        <f t="shared" si="63"/>
        <v>1.8592827961870178</v>
      </c>
    </row>
    <row r="1906" spans="2:4" ht="15" x14ac:dyDescent="0.15">
      <c r="B1906" s="38">
        <v>7576</v>
      </c>
      <c r="C1906" s="39">
        <f t="shared" si="62"/>
        <v>5.3908526666408276</v>
      </c>
      <c r="D1906" s="39">
        <f t="shared" si="63"/>
        <v>1.8601271571298819</v>
      </c>
    </row>
    <row r="1907" spans="2:4" ht="15" x14ac:dyDescent="0.15">
      <c r="B1907" s="38">
        <v>7580</v>
      </c>
      <c r="C1907" s="39">
        <f t="shared" si="62"/>
        <v>5.3947981082885281</v>
      </c>
      <c r="D1907" s="39">
        <f t="shared" si="63"/>
        <v>1.8609722853248523</v>
      </c>
    </row>
    <row r="1908" spans="2:4" ht="15" x14ac:dyDescent="0.15">
      <c r="B1908" s="38">
        <v>7584</v>
      </c>
      <c r="C1908" s="39">
        <f t="shared" si="62"/>
        <v>5.3987453429113614</v>
      </c>
      <c r="D1908" s="39">
        <f t="shared" si="63"/>
        <v>1.8618181818181818</v>
      </c>
    </row>
    <row r="1909" spans="2:4" ht="15" x14ac:dyDescent="0.15">
      <c r="B1909" s="38">
        <v>7588</v>
      </c>
      <c r="C1909" s="39">
        <f t="shared" si="62"/>
        <v>5.4026943721396794</v>
      </c>
      <c r="D1909" s="39">
        <f t="shared" si="63"/>
        <v>1.8626648476580263</v>
      </c>
    </row>
    <row r="1910" spans="2:4" ht="15" x14ac:dyDescent="0.15">
      <c r="B1910" s="38">
        <v>7592</v>
      </c>
      <c r="C1910" s="39">
        <f t="shared" si="62"/>
        <v>5.4066451976060517</v>
      </c>
      <c r="D1910" s="39">
        <f t="shared" si="63"/>
        <v>1.8635122838944496</v>
      </c>
    </row>
    <row r="1911" spans="2:4" ht="15" x14ac:dyDescent="0.15">
      <c r="B1911" s="38">
        <v>7596</v>
      </c>
      <c r="C1911" s="39">
        <f t="shared" si="62"/>
        <v>5.4105978209452807</v>
      </c>
      <c r="D1911" s="39">
        <f t="shared" si="63"/>
        <v>1.8643604915794265</v>
      </c>
    </row>
    <row r="1912" spans="2:4" ht="15" x14ac:dyDescent="0.15">
      <c r="B1912" s="38">
        <v>7600</v>
      </c>
      <c r="C1912" s="39">
        <f t="shared" si="62"/>
        <v>5.4145522437944003</v>
      </c>
      <c r="D1912" s="39">
        <f t="shared" si="63"/>
        <v>1.8652094717668488</v>
      </c>
    </row>
    <row r="1913" spans="2:4" ht="15" x14ac:dyDescent="0.15">
      <c r="B1913" s="38">
        <v>7604</v>
      </c>
      <c r="C1913" s="39">
        <f t="shared" si="62"/>
        <v>5.4185084677926838</v>
      </c>
      <c r="D1913" s="39">
        <f t="shared" si="63"/>
        <v>1.8660592255125286</v>
      </c>
    </row>
    <row r="1914" spans="2:4" ht="15" x14ac:dyDescent="0.15">
      <c r="B1914" s="38">
        <v>7608</v>
      </c>
      <c r="C1914" s="39">
        <f t="shared" si="62"/>
        <v>5.4224664945816405</v>
      </c>
      <c r="D1914" s="39">
        <f t="shared" si="63"/>
        <v>1.8669097538742023</v>
      </c>
    </row>
    <row r="1915" spans="2:4" ht="15" x14ac:dyDescent="0.15">
      <c r="B1915" s="38">
        <v>7612</v>
      </c>
      <c r="C1915" s="39">
        <f t="shared" si="62"/>
        <v>5.4264263258050294</v>
      </c>
      <c r="D1915" s="39">
        <f t="shared" si="63"/>
        <v>1.8677610579115367</v>
      </c>
    </row>
    <row r="1916" spans="2:4" ht="15" x14ac:dyDescent="0.15">
      <c r="B1916" s="38">
        <v>7616</v>
      </c>
      <c r="C1916" s="39">
        <f t="shared" si="62"/>
        <v>5.4303879631088563</v>
      </c>
      <c r="D1916" s="39">
        <f t="shared" si="63"/>
        <v>1.8686131386861313</v>
      </c>
    </row>
    <row r="1917" spans="2:4" ht="15" x14ac:dyDescent="0.15">
      <c r="B1917" s="38">
        <v>7620</v>
      </c>
      <c r="C1917" s="39">
        <f t="shared" si="62"/>
        <v>5.4343514081413797</v>
      </c>
      <c r="D1917" s="39">
        <f t="shared" si="63"/>
        <v>1.8694659972615244</v>
      </c>
    </row>
    <row r="1918" spans="2:4" ht="15" x14ac:dyDescent="0.15">
      <c r="B1918" s="38">
        <v>7624</v>
      </c>
      <c r="C1918" s="39">
        <f t="shared" si="62"/>
        <v>5.4383166625531203</v>
      </c>
      <c r="D1918" s="39">
        <f t="shared" si="63"/>
        <v>1.8703196347031963</v>
      </c>
    </row>
    <row r="1919" spans="2:4" ht="15" x14ac:dyDescent="0.15">
      <c r="B1919" s="38">
        <v>7628</v>
      </c>
      <c r="C1919" s="39">
        <f t="shared" si="62"/>
        <v>5.4422837279968528</v>
      </c>
      <c r="D1919" s="39">
        <f t="shared" si="63"/>
        <v>1.8711740520785747</v>
      </c>
    </row>
    <row r="1920" spans="2:4" ht="15" x14ac:dyDescent="0.15">
      <c r="B1920" s="38">
        <v>7632</v>
      </c>
      <c r="C1920" s="39">
        <f t="shared" si="62"/>
        <v>5.446252606127624</v>
      </c>
      <c r="D1920" s="39">
        <f t="shared" si="63"/>
        <v>1.8720292504570384</v>
      </c>
    </row>
    <row r="1921" spans="2:4" ht="15" x14ac:dyDescent="0.15">
      <c r="B1921" s="38">
        <v>7636</v>
      </c>
      <c r="C1921" s="39">
        <f t="shared" si="62"/>
        <v>5.4502232986027455</v>
      </c>
      <c r="D1921" s="39">
        <f t="shared" si="63"/>
        <v>1.8728852309099222</v>
      </c>
    </row>
    <row r="1922" spans="2:4" ht="15" x14ac:dyDescent="0.15">
      <c r="B1922" s="38">
        <v>7640</v>
      </c>
      <c r="C1922" s="39">
        <f t="shared" si="62"/>
        <v>5.454195807081808</v>
      </c>
      <c r="D1922" s="39">
        <f t="shared" si="63"/>
        <v>1.8737419945105216</v>
      </c>
    </row>
    <row r="1923" spans="2:4" ht="15" x14ac:dyDescent="0.15">
      <c r="B1923" s="38">
        <v>7644</v>
      </c>
      <c r="C1923" s="39">
        <f t="shared" si="62"/>
        <v>5.4581701332266741</v>
      </c>
      <c r="D1923" s="39">
        <f t="shared" si="63"/>
        <v>1.8745995423340962</v>
      </c>
    </row>
    <row r="1924" spans="2:4" ht="15" x14ac:dyDescent="0.15">
      <c r="B1924" s="38">
        <v>7648</v>
      </c>
      <c r="C1924" s="39">
        <f t="shared" si="62"/>
        <v>5.4621462787014945</v>
      </c>
      <c r="D1924" s="39">
        <f t="shared" si="63"/>
        <v>1.8754578754578755</v>
      </c>
    </row>
    <row r="1925" spans="2:4" ht="15" x14ac:dyDescent="0.15">
      <c r="B1925" s="38">
        <v>7652</v>
      </c>
      <c r="C1925" s="39">
        <f t="shared" si="62"/>
        <v>5.4661242451727032</v>
      </c>
      <c r="D1925" s="39">
        <f t="shared" si="63"/>
        <v>1.8763169949610627</v>
      </c>
    </row>
    <row r="1926" spans="2:4" ht="15" x14ac:dyDescent="0.15">
      <c r="B1926" s="38">
        <v>7656</v>
      </c>
      <c r="C1926" s="39">
        <f t="shared" si="62"/>
        <v>5.4701040343090259</v>
      </c>
      <c r="D1926" s="39">
        <f t="shared" si="63"/>
        <v>1.8771769019248397</v>
      </c>
    </row>
    <row r="1927" spans="2:4" ht="15" x14ac:dyDescent="0.15">
      <c r="B1927" s="38">
        <v>7660</v>
      </c>
      <c r="C1927" s="39">
        <f t="shared" si="62"/>
        <v>5.4740856477814814</v>
      </c>
      <c r="D1927" s="39">
        <f t="shared" si="63"/>
        <v>1.8780375974323704</v>
      </c>
    </row>
    <row r="1928" spans="2:4" ht="15" x14ac:dyDescent="0.15">
      <c r="B1928" s="38">
        <v>7664</v>
      </c>
      <c r="C1928" s="39">
        <f t="shared" si="62"/>
        <v>5.4780690872633908</v>
      </c>
      <c r="D1928" s="39">
        <f t="shared" si="63"/>
        <v>1.8788990825688074</v>
      </c>
    </row>
    <row r="1929" spans="2:4" ht="15" x14ac:dyDescent="0.15">
      <c r="B1929" s="38">
        <v>7668</v>
      </c>
      <c r="C1929" s="39">
        <f t="shared" si="62"/>
        <v>5.4820543544303746</v>
      </c>
      <c r="D1929" s="39">
        <f t="shared" si="63"/>
        <v>1.8797613584212942</v>
      </c>
    </row>
    <row r="1930" spans="2:4" ht="15" x14ac:dyDescent="0.15">
      <c r="B1930" s="38">
        <v>7672</v>
      </c>
      <c r="C1930" s="39">
        <f t="shared" si="62"/>
        <v>5.4860414509603643</v>
      </c>
      <c r="D1930" s="39">
        <f t="shared" si="63"/>
        <v>1.8806244260789715</v>
      </c>
    </row>
    <row r="1931" spans="2:4" ht="15" x14ac:dyDescent="0.15">
      <c r="B1931" s="38">
        <v>7676</v>
      </c>
      <c r="C1931" s="39">
        <f t="shared" si="62"/>
        <v>5.4900303785336</v>
      </c>
      <c r="D1931" s="39">
        <f t="shared" si="63"/>
        <v>1.8814882866329812</v>
      </c>
    </row>
    <row r="1932" spans="2:4" ht="15" x14ac:dyDescent="0.15">
      <c r="B1932" s="38">
        <v>7680</v>
      </c>
      <c r="C1932" s="39">
        <f t="shared" si="62"/>
        <v>5.4940211388326414</v>
      </c>
      <c r="D1932" s="39">
        <f t="shared" si="63"/>
        <v>1.8823529411764706</v>
      </c>
    </row>
    <row r="1933" spans="2:4" ht="15" x14ac:dyDescent="0.15">
      <c r="B1933" s="38">
        <v>7684</v>
      </c>
      <c r="C1933" s="39">
        <f t="shared" ref="C1933:C1996" si="64">20*LOG(D1933)</f>
        <v>5.498013733542364</v>
      </c>
      <c r="D1933" s="39">
        <f t="shared" ref="D1933:D1996" si="65">16384/(16384-B1933)</f>
        <v>1.8832183908045976</v>
      </c>
    </row>
    <row r="1934" spans="2:4" ht="15" x14ac:dyDescent="0.15">
      <c r="B1934" s="38">
        <v>7688</v>
      </c>
      <c r="C1934" s="39">
        <f t="shared" si="64"/>
        <v>5.5020081643499719</v>
      </c>
      <c r="D1934" s="39">
        <f t="shared" si="65"/>
        <v>1.8840846366145354</v>
      </c>
    </row>
    <row r="1935" spans="2:4" ht="15" x14ac:dyDescent="0.15">
      <c r="B1935" s="38">
        <v>7692</v>
      </c>
      <c r="C1935" s="39">
        <f t="shared" si="64"/>
        <v>5.5060044329449962</v>
      </c>
      <c r="D1935" s="39">
        <f t="shared" si="65"/>
        <v>1.8849516797054764</v>
      </c>
    </row>
    <row r="1936" spans="2:4" ht="15" x14ac:dyDescent="0.15">
      <c r="B1936" s="38">
        <v>7696</v>
      </c>
      <c r="C1936" s="39">
        <f t="shared" si="64"/>
        <v>5.5100025410192996</v>
      </c>
      <c r="D1936" s="39">
        <f t="shared" si="65"/>
        <v>1.8858195211786373</v>
      </c>
    </row>
    <row r="1937" spans="2:4" ht="15" x14ac:dyDescent="0.15">
      <c r="B1937" s="38">
        <v>7700</v>
      </c>
      <c r="C1937" s="39">
        <f t="shared" si="64"/>
        <v>5.5140024902670861</v>
      </c>
      <c r="D1937" s="39">
        <f t="shared" si="65"/>
        <v>1.886688162137264</v>
      </c>
    </row>
    <row r="1938" spans="2:4" ht="15" x14ac:dyDescent="0.15">
      <c r="B1938" s="38">
        <v>7704</v>
      </c>
      <c r="C1938" s="39">
        <f t="shared" si="64"/>
        <v>5.5180042823848963</v>
      </c>
      <c r="D1938" s="39">
        <f t="shared" si="65"/>
        <v>1.8875576036866359</v>
      </c>
    </row>
    <row r="1939" spans="2:4" ht="15" x14ac:dyDescent="0.15">
      <c r="B1939" s="38">
        <v>7708</v>
      </c>
      <c r="C1939" s="39">
        <f t="shared" si="64"/>
        <v>5.5220079190716209</v>
      </c>
      <c r="D1939" s="39">
        <f t="shared" si="65"/>
        <v>1.888427846934071</v>
      </c>
    </row>
    <row r="1940" spans="2:4" ht="15" x14ac:dyDescent="0.15">
      <c r="B1940" s="38">
        <v>7712</v>
      </c>
      <c r="C1940" s="39">
        <f t="shared" si="64"/>
        <v>5.5260134020285001</v>
      </c>
      <c r="D1940" s="39">
        <f t="shared" si="65"/>
        <v>1.8892988929889298</v>
      </c>
    </row>
    <row r="1941" spans="2:4" ht="15" x14ac:dyDescent="0.15">
      <c r="B1941" s="38">
        <v>7716</v>
      </c>
      <c r="C1941" s="39">
        <f t="shared" si="64"/>
        <v>5.5300207329591275</v>
      </c>
      <c r="D1941" s="39">
        <f t="shared" si="65"/>
        <v>1.8901707429626211</v>
      </c>
    </row>
    <row r="1942" spans="2:4" ht="15" x14ac:dyDescent="0.15">
      <c r="B1942" s="38">
        <v>7720</v>
      </c>
      <c r="C1942" s="39">
        <f t="shared" si="64"/>
        <v>5.5340299135694559</v>
      </c>
      <c r="D1942" s="39">
        <f t="shared" si="65"/>
        <v>1.8910433979686057</v>
      </c>
    </row>
    <row r="1943" spans="2:4" ht="15" x14ac:dyDescent="0.15">
      <c r="B1943" s="38">
        <v>7724</v>
      </c>
      <c r="C1943" s="39">
        <f t="shared" si="64"/>
        <v>5.5380409455678015</v>
      </c>
      <c r="D1943" s="39">
        <f t="shared" si="65"/>
        <v>1.8919168591224018</v>
      </c>
    </row>
    <row r="1944" spans="2:4" ht="15" x14ac:dyDescent="0.15">
      <c r="B1944" s="38">
        <v>7728</v>
      </c>
      <c r="C1944" s="39">
        <f t="shared" si="64"/>
        <v>5.5420538306648499</v>
      </c>
      <c r="D1944" s="39">
        <f t="shared" si="65"/>
        <v>1.8927911275415896</v>
      </c>
    </row>
    <row r="1945" spans="2:4" ht="15" x14ac:dyDescent="0.15">
      <c r="B1945" s="38">
        <v>7732</v>
      </c>
      <c r="C1945" s="39">
        <f t="shared" si="64"/>
        <v>5.5460685705736568</v>
      </c>
      <c r="D1945" s="39">
        <f t="shared" si="65"/>
        <v>1.8936662043458159</v>
      </c>
    </row>
    <row r="1946" spans="2:4" ht="15" x14ac:dyDescent="0.15">
      <c r="B1946" s="38">
        <v>7736</v>
      </c>
      <c r="C1946" s="39">
        <f t="shared" si="64"/>
        <v>5.550085167009656</v>
      </c>
      <c r="D1946" s="39">
        <f t="shared" si="65"/>
        <v>1.8945420906567993</v>
      </c>
    </row>
    <row r="1947" spans="2:4" ht="15" x14ac:dyDescent="0.15">
      <c r="B1947" s="38">
        <v>7740</v>
      </c>
      <c r="C1947" s="39">
        <f t="shared" si="64"/>
        <v>5.5541036216906603</v>
      </c>
      <c r="D1947" s="39">
        <f t="shared" si="65"/>
        <v>1.8954187875983342</v>
      </c>
    </row>
    <row r="1948" spans="2:4" ht="15" x14ac:dyDescent="0.15">
      <c r="B1948" s="38">
        <v>7744</v>
      </c>
      <c r="C1948" s="39">
        <f t="shared" si="64"/>
        <v>5.5581239363368695</v>
      </c>
      <c r="D1948" s="39">
        <f t="shared" si="65"/>
        <v>1.8962962962962964</v>
      </c>
    </row>
    <row r="1949" spans="2:4" ht="15" x14ac:dyDescent="0.15">
      <c r="B1949" s="38">
        <v>7748</v>
      </c>
      <c r="C1949" s="39">
        <f t="shared" si="64"/>
        <v>5.5621461126708702</v>
      </c>
      <c r="D1949" s="39">
        <f t="shared" si="65"/>
        <v>1.8971746178786475</v>
      </c>
    </row>
    <row r="1950" spans="2:4" ht="15" x14ac:dyDescent="0.15">
      <c r="B1950" s="38">
        <v>7752</v>
      </c>
      <c r="C1950" s="39">
        <f t="shared" si="64"/>
        <v>5.5661701524176497</v>
      </c>
      <c r="D1950" s="39">
        <f t="shared" si="65"/>
        <v>1.8980537534754403</v>
      </c>
    </row>
    <row r="1951" spans="2:4" ht="15" x14ac:dyDescent="0.15">
      <c r="B1951" s="38">
        <v>7756</v>
      </c>
      <c r="C1951" s="39">
        <f t="shared" si="64"/>
        <v>5.5701960573045852</v>
      </c>
      <c r="D1951" s="39">
        <f t="shared" si="65"/>
        <v>1.8989337042188223</v>
      </c>
    </row>
    <row r="1952" spans="2:4" ht="15" x14ac:dyDescent="0.15">
      <c r="B1952" s="38">
        <v>7760</v>
      </c>
      <c r="C1952" s="39">
        <f t="shared" si="64"/>
        <v>5.5742238290614656</v>
      </c>
      <c r="D1952" s="39">
        <f t="shared" si="65"/>
        <v>1.8998144712430427</v>
      </c>
    </row>
    <row r="1953" spans="2:4" ht="15" x14ac:dyDescent="0.15">
      <c r="B1953" s="38">
        <v>7764</v>
      </c>
      <c r="C1953" s="39">
        <f t="shared" si="64"/>
        <v>5.5782534694204786</v>
      </c>
      <c r="D1953" s="39">
        <f t="shared" si="65"/>
        <v>1.9006960556844548</v>
      </c>
    </row>
    <row r="1954" spans="2:4" ht="15" x14ac:dyDescent="0.15">
      <c r="B1954" s="38">
        <v>7768</v>
      </c>
      <c r="C1954" s="39">
        <f t="shared" si="64"/>
        <v>5.5822849801162313</v>
      </c>
      <c r="D1954" s="39">
        <f t="shared" si="65"/>
        <v>1.9015784586815228</v>
      </c>
    </row>
    <row r="1955" spans="2:4" ht="15" x14ac:dyDescent="0.15">
      <c r="B1955" s="38">
        <v>7772</v>
      </c>
      <c r="C1955" s="39">
        <f t="shared" si="64"/>
        <v>5.5863183628857431</v>
      </c>
      <c r="D1955" s="39">
        <f t="shared" si="65"/>
        <v>1.9024616813748259</v>
      </c>
    </row>
    <row r="1956" spans="2:4" ht="15" x14ac:dyDescent="0.15">
      <c r="B1956" s="38">
        <v>7776</v>
      </c>
      <c r="C1956" s="39">
        <f t="shared" si="64"/>
        <v>5.5903536194684555</v>
      </c>
      <c r="D1956" s="39">
        <f t="shared" si="65"/>
        <v>1.9033457249070631</v>
      </c>
    </row>
    <row r="1957" spans="2:4" ht="15" x14ac:dyDescent="0.15">
      <c r="B1957" s="38">
        <v>7780</v>
      </c>
      <c r="C1957" s="39">
        <f t="shared" si="64"/>
        <v>5.5943907516062357</v>
      </c>
      <c r="D1957" s="39">
        <f t="shared" si="65"/>
        <v>1.904230590423059</v>
      </c>
    </row>
    <row r="1958" spans="2:4" ht="15" x14ac:dyDescent="0.15">
      <c r="B1958" s="38">
        <v>7784</v>
      </c>
      <c r="C1958" s="39">
        <f t="shared" si="64"/>
        <v>5.5984297610433806</v>
      </c>
      <c r="D1958" s="39">
        <f t="shared" si="65"/>
        <v>1.9051162790697675</v>
      </c>
    </row>
    <row r="1959" spans="2:4" ht="15" x14ac:dyDescent="0.15">
      <c r="B1959" s="38">
        <v>7788</v>
      </c>
      <c r="C1959" s="39">
        <f t="shared" si="64"/>
        <v>5.6024706495266212</v>
      </c>
      <c r="D1959" s="39">
        <f t="shared" si="65"/>
        <v>1.9060027919962774</v>
      </c>
    </row>
    <row r="1960" spans="2:4" ht="15" x14ac:dyDescent="0.15">
      <c r="B1960" s="38">
        <v>7792</v>
      </c>
      <c r="C1960" s="39">
        <f t="shared" si="64"/>
        <v>5.6065134188051271</v>
      </c>
      <c r="D1960" s="39">
        <f t="shared" si="65"/>
        <v>1.9068901303538175</v>
      </c>
    </row>
    <row r="1961" spans="2:4" ht="15" x14ac:dyDescent="0.15">
      <c r="B1961" s="38">
        <v>7796</v>
      </c>
      <c r="C1961" s="39">
        <f t="shared" si="64"/>
        <v>5.610558070630514</v>
      </c>
      <c r="D1961" s="39">
        <f t="shared" si="65"/>
        <v>1.9077782952957616</v>
      </c>
    </row>
    <row r="1962" spans="2:4" ht="15" x14ac:dyDescent="0.15">
      <c r="B1962" s="38">
        <v>7800</v>
      </c>
      <c r="C1962" s="39">
        <f t="shared" si="64"/>
        <v>5.6146046067568411</v>
      </c>
      <c r="D1962" s="39">
        <f t="shared" si="65"/>
        <v>1.9086672879776327</v>
      </c>
    </row>
    <row r="1963" spans="2:4" ht="15" x14ac:dyDescent="0.15">
      <c r="B1963" s="38">
        <v>7804</v>
      </c>
      <c r="C1963" s="39">
        <f t="shared" si="64"/>
        <v>5.618653028940626</v>
      </c>
      <c r="D1963" s="39">
        <f t="shared" si="65"/>
        <v>1.9095571095571096</v>
      </c>
    </row>
    <row r="1964" spans="2:4" ht="15" x14ac:dyDescent="0.15">
      <c r="B1964" s="38">
        <v>7808</v>
      </c>
      <c r="C1964" s="39">
        <f t="shared" si="64"/>
        <v>5.6227033389408385</v>
      </c>
      <c r="D1964" s="39">
        <f t="shared" si="65"/>
        <v>1.9104477611940298</v>
      </c>
    </row>
    <row r="1965" spans="2:4" ht="15" x14ac:dyDescent="0.15">
      <c r="B1965" s="38">
        <v>7812</v>
      </c>
      <c r="C1965" s="39">
        <f t="shared" si="64"/>
        <v>5.6267555385189141</v>
      </c>
      <c r="D1965" s="39">
        <f t="shared" si="65"/>
        <v>1.9113392440503967</v>
      </c>
    </row>
    <row r="1966" spans="2:4" ht="15" x14ac:dyDescent="0.15">
      <c r="B1966" s="38">
        <v>7816</v>
      </c>
      <c r="C1966" s="39">
        <f t="shared" si="64"/>
        <v>5.6308096294387511</v>
      </c>
      <c r="D1966" s="39">
        <f t="shared" si="65"/>
        <v>1.9122315592903829</v>
      </c>
    </row>
    <row r="1967" spans="2:4" ht="15" x14ac:dyDescent="0.15">
      <c r="B1967" s="38">
        <v>7820</v>
      </c>
      <c r="C1967" s="39">
        <f t="shared" si="64"/>
        <v>5.6348656134667197</v>
      </c>
      <c r="D1967" s="39">
        <f t="shared" si="65"/>
        <v>1.9131247080803362</v>
      </c>
    </row>
    <row r="1968" spans="2:4" ht="15" x14ac:dyDescent="0.15">
      <c r="B1968" s="38">
        <v>7824</v>
      </c>
      <c r="C1968" s="39">
        <f t="shared" si="64"/>
        <v>5.6389234923716707</v>
      </c>
      <c r="D1968" s="39">
        <f t="shared" si="65"/>
        <v>1.9140186915887851</v>
      </c>
    </row>
    <row r="1969" spans="2:4" ht="15" x14ac:dyDescent="0.15">
      <c r="B1969" s="38">
        <v>7828</v>
      </c>
      <c r="C1969" s="39">
        <f t="shared" si="64"/>
        <v>5.6429832679249268</v>
      </c>
      <c r="D1969" s="39">
        <f t="shared" si="65"/>
        <v>1.9149135109864424</v>
      </c>
    </row>
    <row r="1970" spans="2:4" ht="15" x14ac:dyDescent="0.15">
      <c r="B1970" s="38">
        <v>7832</v>
      </c>
      <c r="C1970" s="39">
        <f t="shared" si="64"/>
        <v>5.6470449419003019</v>
      </c>
      <c r="D1970" s="39">
        <f t="shared" si="65"/>
        <v>1.9158091674462114</v>
      </c>
    </row>
    <row r="1971" spans="2:4" ht="15" x14ac:dyDescent="0.15">
      <c r="B1971" s="38">
        <v>7836</v>
      </c>
      <c r="C1971" s="39">
        <f t="shared" si="64"/>
        <v>5.6511085160740997</v>
      </c>
      <c r="D1971" s="39">
        <f t="shared" si="65"/>
        <v>1.9167056621431915</v>
      </c>
    </row>
    <row r="1972" spans="2:4" ht="15" x14ac:dyDescent="0.15">
      <c r="B1972" s="38">
        <v>7840</v>
      </c>
      <c r="C1972" s="39">
        <f t="shared" si="64"/>
        <v>5.6551739922251105</v>
      </c>
      <c r="D1972" s="39">
        <f t="shared" si="65"/>
        <v>1.9176029962546817</v>
      </c>
    </row>
    <row r="1973" spans="2:4" ht="15" x14ac:dyDescent="0.15">
      <c r="B1973" s="38">
        <v>7844</v>
      </c>
      <c r="C1973" s="39">
        <f t="shared" si="64"/>
        <v>5.659241372134634</v>
      </c>
      <c r="D1973" s="39">
        <f t="shared" si="65"/>
        <v>1.9185011709601874</v>
      </c>
    </row>
    <row r="1974" spans="2:4" ht="15" x14ac:dyDescent="0.15">
      <c r="B1974" s="38">
        <v>7848</v>
      </c>
      <c r="C1974" s="39">
        <f t="shared" si="64"/>
        <v>5.6633106575864653</v>
      </c>
      <c r="D1974" s="39">
        <f t="shared" si="65"/>
        <v>1.9194001874414246</v>
      </c>
    </row>
    <row r="1975" spans="2:4" ht="15" x14ac:dyDescent="0.15">
      <c r="B1975" s="38">
        <v>7852</v>
      </c>
      <c r="C1975" s="39">
        <f t="shared" si="64"/>
        <v>5.6673818503669127</v>
      </c>
      <c r="D1975" s="39">
        <f t="shared" si="65"/>
        <v>1.9203000468823255</v>
      </c>
    </row>
    <row r="1976" spans="2:4" ht="15" x14ac:dyDescent="0.15">
      <c r="B1976" s="38">
        <v>7856</v>
      </c>
      <c r="C1976" s="39">
        <f t="shared" si="64"/>
        <v>5.6714549522647939</v>
      </c>
      <c r="D1976" s="39">
        <f t="shared" si="65"/>
        <v>1.9212007504690432</v>
      </c>
    </row>
    <row r="1977" spans="2:4" ht="15" x14ac:dyDescent="0.15">
      <c r="B1977" s="38">
        <v>7860</v>
      </c>
      <c r="C1977" s="39">
        <f t="shared" si="64"/>
        <v>5.6755299650714477</v>
      </c>
      <c r="D1977" s="39">
        <f t="shared" si="65"/>
        <v>1.9221022993899577</v>
      </c>
    </row>
    <row r="1978" spans="2:4" ht="15" x14ac:dyDescent="0.15">
      <c r="B1978" s="38">
        <v>7864</v>
      </c>
      <c r="C1978" s="39">
        <f t="shared" si="64"/>
        <v>5.6796068905807315</v>
      </c>
      <c r="D1978" s="39">
        <f t="shared" si="65"/>
        <v>1.9230046948356807</v>
      </c>
    </row>
    <row r="1979" spans="2:4" ht="15" x14ac:dyDescent="0.15">
      <c r="B1979" s="38">
        <v>7868</v>
      </c>
      <c r="C1979" s="39">
        <f t="shared" si="64"/>
        <v>5.6836857305890351</v>
      </c>
      <c r="D1979" s="39">
        <f t="shared" si="65"/>
        <v>1.9239079379990607</v>
      </c>
    </row>
    <row r="1980" spans="2:4" ht="15" x14ac:dyDescent="0.15">
      <c r="B1980" s="38">
        <v>7872</v>
      </c>
      <c r="C1980" s="39">
        <f t="shared" si="64"/>
        <v>5.6877664868952751</v>
      </c>
      <c r="D1980" s="39">
        <f t="shared" si="65"/>
        <v>1.9248120300751879</v>
      </c>
    </row>
    <row r="1981" spans="2:4" ht="15" x14ac:dyDescent="0.15">
      <c r="B1981" s="38">
        <v>7876</v>
      </c>
      <c r="C1981" s="39">
        <f t="shared" si="64"/>
        <v>5.6918491613009072</v>
      </c>
      <c r="D1981" s="39">
        <f t="shared" si="65"/>
        <v>1.9257169722614009</v>
      </c>
    </row>
    <row r="1982" spans="2:4" ht="15" x14ac:dyDescent="0.15">
      <c r="B1982" s="38">
        <v>7880</v>
      </c>
      <c r="C1982" s="39">
        <f t="shared" si="64"/>
        <v>5.6959337556099277</v>
      </c>
      <c r="D1982" s="39">
        <f t="shared" si="65"/>
        <v>1.9266227657572907</v>
      </c>
    </row>
    <row r="1983" spans="2:4" ht="15" x14ac:dyDescent="0.15">
      <c r="B1983" s="38">
        <v>7884</v>
      </c>
      <c r="C1983" s="39">
        <f t="shared" si="64"/>
        <v>5.7000202716288806</v>
      </c>
      <c r="D1983" s="39">
        <f t="shared" si="65"/>
        <v>1.9275294117647059</v>
      </c>
    </row>
    <row r="1984" spans="2:4" ht="15" x14ac:dyDescent="0.15">
      <c r="B1984" s="38">
        <v>7888</v>
      </c>
      <c r="C1984" s="39">
        <f t="shared" si="64"/>
        <v>5.7041087111668576</v>
      </c>
      <c r="D1984" s="39">
        <f t="shared" si="65"/>
        <v>1.9284369114877589</v>
      </c>
    </row>
    <row r="1985" spans="2:4" ht="15" x14ac:dyDescent="0.15">
      <c r="B1985" s="38">
        <v>7892</v>
      </c>
      <c r="C1985" s="39">
        <f t="shared" si="64"/>
        <v>5.7081990760355117</v>
      </c>
      <c r="D1985" s="39">
        <f t="shared" si="65"/>
        <v>1.929345266132831</v>
      </c>
    </row>
    <row r="1986" spans="2:4" ht="15" x14ac:dyDescent="0.15">
      <c r="B1986" s="38">
        <v>7896</v>
      </c>
      <c r="C1986" s="39">
        <f t="shared" si="64"/>
        <v>5.7122913680490495</v>
      </c>
      <c r="D1986" s="39">
        <f t="shared" si="65"/>
        <v>1.9302544769085768</v>
      </c>
    </row>
    <row r="1987" spans="2:4" ht="15" x14ac:dyDescent="0.15">
      <c r="B1987" s="38">
        <v>7900</v>
      </c>
      <c r="C1987" s="39">
        <f t="shared" si="64"/>
        <v>5.7163855890242496</v>
      </c>
      <c r="D1987" s="39">
        <f t="shared" si="65"/>
        <v>1.9311645450259312</v>
      </c>
    </row>
    <row r="1988" spans="2:4" ht="15" x14ac:dyDescent="0.15">
      <c r="B1988" s="38">
        <v>7904</v>
      </c>
      <c r="C1988" s="39">
        <f t="shared" si="64"/>
        <v>5.7204817407804587</v>
      </c>
      <c r="D1988" s="39">
        <f t="shared" si="65"/>
        <v>1.9320754716981132</v>
      </c>
    </row>
    <row r="1989" spans="2:4" ht="15" x14ac:dyDescent="0.15">
      <c r="B1989" s="38">
        <v>7908</v>
      </c>
      <c r="C1989" s="39">
        <f t="shared" si="64"/>
        <v>5.7245798251395952</v>
      </c>
      <c r="D1989" s="39">
        <f t="shared" si="65"/>
        <v>1.9329872581406324</v>
      </c>
    </row>
    <row r="1990" spans="2:4" ht="15" x14ac:dyDescent="0.15">
      <c r="B1990" s="38">
        <v>7912</v>
      </c>
      <c r="C1990" s="39">
        <f t="shared" si="64"/>
        <v>5.7286798439261633</v>
      </c>
      <c r="D1990" s="39">
        <f t="shared" si="65"/>
        <v>1.9338999055712938</v>
      </c>
    </row>
    <row r="1991" spans="2:4" ht="15" x14ac:dyDescent="0.15">
      <c r="B1991" s="38">
        <v>7916</v>
      </c>
      <c r="C1991" s="39">
        <f t="shared" si="64"/>
        <v>5.732781798967248</v>
      </c>
      <c r="D1991" s="39">
        <f t="shared" si="65"/>
        <v>1.9348134152102032</v>
      </c>
    </row>
    <row r="1992" spans="2:4" ht="15" x14ac:dyDescent="0.15">
      <c r="B1992" s="38">
        <v>7920</v>
      </c>
      <c r="C1992" s="39">
        <f t="shared" si="64"/>
        <v>5.7368856920925237</v>
      </c>
      <c r="D1992" s="39">
        <f t="shared" si="65"/>
        <v>1.9357277882797732</v>
      </c>
    </row>
    <row r="1993" spans="2:4" ht="15" x14ac:dyDescent="0.15">
      <c r="B1993" s="38">
        <v>7924</v>
      </c>
      <c r="C1993" s="39">
        <f t="shared" si="64"/>
        <v>5.7409915251342634</v>
      </c>
      <c r="D1993" s="39">
        <f t="shared" si="65"/>
        <v>1.936643026004728</v>
      </c>
    </row>
    <row r="1994" spans="2:4" ht="15" x14ac:dyDescent="0.15">
      <c r="B1994" s="38">
        <v>7928</v>
      </c>
      <c r="C1994" s="39">
        <f t="shared" si="64"/>
        <v>5.7450992999273378</v>
      </c>
      <c r="D1994" s="39">
        <f t="shared" si="65"/>
        <v>1.9375591296121097</v>
      </c>
    </row>
    <row r="1995" spans="2:4" ht="15" x14ac:dyDescent="0.15">
      <c r="B1995" s="38">
        <v>7932</v>
      </c>
      <c r="C1995" s="39">
        <f t="shared" si="64"/>
        <v>5.7492090183092195</v>
      </c>
      <c r="D1995" s="39">
        <f t="shared" si="65"/>
        <v>1.9384761003312825</v>
      </c>
    </row>
    <row r="1996" spans="2:4" ht="15" x14ac:dyDescent="0.15">
      <c r="B1996" s="38">
        <v>7936</v>
      </c>
      <c r="C1996" s="39">
        <f t="shared" si="64"/>
        <v>5.7533206821199947</v>
      </c>
      <c r="D1996" s="39">
        <f t="shared" si="65"/>
        <v>1.9393939393939394</v>
      </c>
    </row>
    <row r="1997" spans="2:4" ht="15" x14ac:dyDescent="0.15">
      <c r="B1997" s="38">
        <v>7940</v>
      </c>
      <c r="C1997" s="39">
        <f t="shared" ref="C1997:C2060" si="66">20*LOG(D1997)</f>
        <v>5.7574342932023592</v>
      </c>
      <c r="D1997" s="39">
        <f t="shared" ref="D1997:D2060" si="67">16384/(16384-B1997)</f>
        <v>1.9403126480341071</v>
      </c>
    </row>
    <row r="1998" spans="2:4" ht="15" x14ac:dyDescent="0.15">
      <c r="B1998" s="38">
        <v>7944</v>
      </c>
      <c r="C1998" s="39">
        <f t="shared" si="66"/>
        <v>5.7615498534016343</v>
      </c>
      <c r="D1998" s="39">
        <f t="shared" si="67"/>
        <v>1.9412322274881517</v>
      </c>
    </row>
    <row r="1999" spans="2:4" ht="15" x14ac:dyDescent="0.15">
      <c r="B1999" s="38">
        <v>7948</v>
      </c>
      <c r="C1999" s="39">
        <f t="shared" si="66"/>
        <v>5.7656673645657586</v>
      </c>
      <c r="D1999" s="39">
        <f t="shared" si="67"/>
        <v>1.9421526789947843</v>
      </c>
    </row>
    <row r="2000" spans="2:4" ht="15" x14ac:dyDescent="0.15">
      <c r="B2000" s="38">
        <v>7952</v>
      </c>
      <c r="C2000" s="39">
        <f t="shared" si="66"/>
        <v>5.7697868285453069</v>
      </c>
      <c r="D2000" s="39">
        <f t="shared" si="67"/>
        <v>1.9430740037950665</v>
      </c>
    </row>
    <row r="2001" spans="2:4" ht="15" x14ac:dyDescent="0.15">
      <c r="B2001" s="38">
        <v>7956</v>
      </c>
      <c r="C2001" s="39">
        <f t="shared" si="66"/>
        <v>5.7739082471934831</v>
      </c>
      <c r="D2001" s="39">
        <f t="shared" si="67"/>
        <v>1.9439962031324158</v>
      </c>
    </row>
    <row r="2002" spans="2:4" ht="15" x14ac:dyDescent="0.15">
      <c r="B2002" s="38">
        <v>7960</v>
      </c>
      <c r="C2002" s="39">
        <f t="shared" si="66"/>
        <v>5.7780316223661332</v>
      </c>
      <c r="D2002" s="39">
        <f t="shared" si="67"/>
        <v>1.9449192782526117</v>
      </c>
    </row>
    <row r="2003" spans="2:4" ht="15" x14ac:dyDescent="0.15">
      <c r="B2003" s="38">
        <v>7964</v>
      </c>
      <c r="C2003" s="39">
        <f t="shared" si="66"/>
        <v>5.7821569559217441</v>
      </c>
      <c r="D2003" s="39">
        <f t="shared" si="67"/>
        <v>1.9458432304038005</v>
      </c>
    </row>
    <row r="2004" spans="2:4" ht="15" x14ac:dyDescent="0.15">
      <c r="B2004" s="38">
        <v>7968</v>
      </c>
      <c r="C2004" s="39">
        <f t="shared" si="66"/>
        <v>5.7862842497214571</v>
      </c>
      <c r="D2004" s="39">
        <f t="shared" si="67"/>
        <v>1.9467680608365019</v>
      </c>
    </row>
    <row r="2005" spans="2:4" ht="15" x14ac:dyDescent="0.15">
      <c r="B2005" s="38">
        <v>7972</v>
      </c>
      <c r="C2005" s="39">
        <f t="shared" si="66"/>
        <v>5.7904135056290649</v>
      </c>
      <c r="D2005" s="39">
        <f t="shared" si="67"/>
        <v>1.9476937708036139</v>
      </c>
    </row>
    <row r="2006" spans="2:4" ht="15" x14ac:dyDescent="0.15">
      <c r="B2006" s="38">
        <v>7976</v>
      </c>
      <c r="C2006" s="39">
        <f t="shared" si="66"/>
        <v>5.7945447255110194</v>
      </c>
      <c r="D2006" s="39">
        <f t="shared" si="67"/>
        <v>1.9486203615604187</v>
      </c>
    </row>
    <row r="2007" spans="2:4" ht="15" x14ac:dyDescent="0.15">
      <c r="B2007" s="38">
        <v>7980</v>
      </c>
      <c r="C2007" s="39">
        <f t="shared" si="66"/>
        <v>5.7986779112364353</v>
      </c>
      <c r="D2007" s="39">
        <f t="shared" si="67"/>
        <v>1.9495478343645882</v>
      </c>
    </row>
    <row r="2008" spans="2:4" ht="15" x14ac:dyDescent="0.15">
      <c r="B2008" s="38">
        <v>7984</v>
      </c>
      <c r="C2008" s="39">
        <f t="shared" si="66"/>
        <v>5.8028130646771015</v>
      </c>
      <c r="D2008" s="39">
        <f t="shared" si="67"/>
        <v>1.9504761904761905</v>
      </c>
    </row>
    <row r="2009" spans="2:4" ht="15" x14ac:dyDescent="0.15">
      <c r="B2009" s="38">
        <v>7988</v>
      </c>
      <c r="C2009" s="39">
        <f t="shared" si="66"/>
        <v>5.8069501877074785</v>
      </c>
      <c r="D2009" s="39">
        <f t="shared" si="67"/>
        <v>1.951405431157694</v>
      </c>
    </row>
    <row r="2010" spans="2:4" ht="15" x14ac:dyDescent="0.15">
      <c r="B2010" s="38">
        <v>7992</v>
      </c>
      <c r="C2010" s="39">
        <f t="shared" si="66"/>
        <v>5.8110892822047058</v>
      </c>
      <c r="D2010" s="39">
        <f t="shared" si="67"/>
        <v>1.9523355576739752</v>
      </c>
    </row>
    <row r="2011" spans="2:4" ht="15" x14ac:dyDescent="0.15">
      <c r="B2011" s="38">
        <v>7996</v>
      </c>
      <c r="C2011" s="39">
        <f t="shared" si="66"/>
        <v>5.8152303500486093</v>
      </c>
      <c r="D2011" s="39">
        <f t="shared" si="67"/>
        <v>1.9532665712923223</v>
      </c>
    </row>
    <row r="2012" spans="2:4" ht="15" x14ac:dyDescent="0.15">
      <c r="B2012" s="38">
        <v>8000</v>
      </c>
      <c r="C2012" s="39">
        <f t="shared" si="66"/>
        <v>5.8193733931217064</v>
      </c>
      <c r="D2012" s="39">
        <f t="shared" si="67"/>
        <v>1.9541984732824427</v>
      </c>
    </row>
    <row r="2013" spans="2:4" ht="15" x14ac:dyDescent="0.15">
      <c r="B2013" s="38">
        <v>8004</v>
      </c>
      <c r="C2013" s="39">
        <f t="shared" si="66"/>
        <v>5.8235184133092046</v>
      </c>
      <c r="D2013" s="39">
        <f t="shared" si="67"/>
        <v>1.9551312649164678</v>
      </c>
    </row>
    <row r="2014" spans="2:4" ht="15" x14ac:dyDescent="0.15">
      <c r="B2014" s="38">
        <v>8008</v>
      </c>
      <c r="C2014" s="39">
        <f t="shared" si="66"/>
        <v>5.8276654124990159</v>
      </c>
      <c r="D2014" s="39">
        <f t="shared" si="67"/>
        <v>1.9560649474689589</v>
      </c>
    </row>
    <row r="2015" spans="2:4" ht="15" x14ac:dyDescent="0.15">
      <c r="B2015" s="38">
        <v>8012</v>
      </c>
      <c r="C2015" s="39">
        <f t="shared" si="66"/>
        <v>5.8318143925817569</v>
      </c>
      <c r="D2015" s="39">
        <f t="shared" si="67"/>
        <v>1.9569995222169134</v>
      </c>
    </row>
    <row r="2016" spans="2:4" ht="15" x14ac:dyDescent="0.15">
      <c r="B2016" s="38">
        <v>8016</v>
      </c>
      <c r="C2016" s="39">
        <f t="shared" si="66"/>
        <v>5.835965355450754</v>
      </c>
      <c r="D2016" s="39">
        <f t="shared" si="67"/>
        <v>1.9579349904397705</v>
      </c>
    </row>
    <row r="2017" spans="2:4" ht="15" x14ac:dyDescent="0.15">
      <c r="B2017" s="38">
        <v>8020</v>
      </c>
      <c r="C2017" s="39">
        <f t="shared" si="66"/>
        <v>5.8401183030020496</v>
      </c>
      <c r="D2017" s="39">
        <f t="shared" si="67"/>
        <v>1.9588713534194166</v>
      </c>
    </row>
    <row r="2018" spans="2:4" ht="15" x14ac:dyDescent="0.15">
      <c r="B2018" s="38">
        <v>8024</v>
      </c>
      <c r="C2018" s="39">
        <f t="shared" si="66"/>
        <v>5.8442732371344075</v>
      </c>
      <c r="D2018" s="39">
        <f t="shared" si="67"/>
        <v>1.9598086124401914</v>
      </c>
    </row>
    <row r="2019" spans="2:4" ht="15" x14ac:dyDescent="0.15">
      <c r="B2019" s="38">
        <v>8028</v>
      </c>
      <c r="C2019" s="39">
        <f t="shared" si="66"/>
        <v>5.8484301597493147</v>
      </c>
      <c r="D2019" s="39">
        <f t="shared" si="67"/>
        <v>1.9607467687888942</v>
      </c>
    </row>
    <row r="2020" spans="2:4" ht="15" x14ac:dyDescent="0.15">
      <c r="B2020" s="38">
        <v>8032</v>
      </c>
      <c r="C2020" s="39">
        <f t="shared" si="66"/>
        <v>5.8525890727509955</v>
      </c>
      <c r="D2020" s="39">
        <f t="shared" si="67"/>
        <v>1.9616858237547892</v>
      </c>
    </row>
    <row r="2021" spans="2:4" ht="15" x14ac:dyDescent="0.15">
      <c r="B2021" s="38">
        <v>8036</v>
      </c>
      <c r="C2021" s="39">
        <f t="shared" si="66"/>
        <v>5.8567499780464063</v>
      </c>
      <c r="D2021" s="39">
        <f t="shared" si="67"/>
        <v>1.962625778629612</v>
      </c>
    </row>
    <row r="2022" spans="2:4" ht="15" x14ac:dyDescent="0.15">
      <c r="B2022" s="38">
        <v>8040</v>
      </c>
      <c r="C2022" s="39">
        <f t="shared" si="66"/>
        <v>5.8609128775452444</v>
      </c>
      <c r="D2022" s="39">
        <f t="shared" si="67"/>
        <v>1.9635666347075742</v>
      </c>
    </row>
    <row r="2023" spans="2:4" ht="15" x14ac:dyDescent="0.15">
      <c r="B2023" s="38">
        <v>8044</v>
      </c>
      <c r="C2023" s="39">
        <f t="shared" si="66"/>
        <v>5.8650777731599604</v>
      </c>
      <c r="D2023" s="39">
        <f t="shared" si="67"/>
        <v>1.9645083932853717</v>
      </c>
    </row>
    <row r="2024" spans="2:4" ht="15" x14ac:dyDescent="0.15">
      <c r="B2024" s="38">
        <v>8048</v>
      </c>
      <c r="C2024" s="39">
        <f t="shared" si="66"/>
        <v>5.8692446668057494</v>
      </c>
      <c r="D2024" s="39">
        <f t="shared" si="67"/>
        <v>1.965451055662188</v>
      </c>
    </row>
    <row r="2025" spans="2:4" ht="15" x14ac:dyDescent="0.15">
      <c r="B2025" s="38">
        <v>8052</v>
      </c>
      <c r="C2025" s="39">
        <f t="shared" si="66"/>
        <v>5.8734135604005688</v>
      </c>
      <c r="D2025" s="39">
        <f t="shared" si="67"/>
        <v>1.9663946231397023</v>
      </c>
    </row>
    <row r="2026" spans="2:4" ht="15" x14ac:dyDescent="0.15">
      <c r="B2026" s="38">
        <v>8056</v>
      </c>
      <c r="C2026" s="39">
        <f t="shared" si="66"/>
        <v>5.8775844558651391</v>
      </c>
      <c r="D2026" s="39">
        <f t="shared" si="67"/>
        <v>1.9673390970220941</v>
      </c>
    </row>
    <row r="2027" spans="2:4" ht="15" x14ac:dyDescent="0.15">
      <c r="B2027" s="38">
        <v>8060</v>
      </c>
      <c r="C2027" s="39">
        <f t="shared" si="66"/>
        <v>5.8817573551229483</v>
      </c>
      <c r="D2027" s="39">
        <f t="shared" si="67"/>
        <v>1.96828447861605</v>
      </c>
    </row>
    <row r="2028" spans="2:4" ht="15" x14ac:dyDescent="0.15">
      <c r="B2028" s="38">
        <v>8064</v>
      </c>
      <c r="C2028" s="39">
        <f t="shared" si="66"/>
        <v>5.8859322601002564</v>
      </c>
      <c r="D2028" s="39">
        <f t="shared" si="67"/>
        <v>1.9692307692307693</v>
      </c>
    </row>
    <row r="2029" spans="2:4" ht="15" x14ac:dyDescent="0.15">
      <c r="B2029" s="38">
        <v>8068</v>
      </c>
      <c r="C2029" s="39">
        <f t="shared" si="66"/>
        <v>5.8901091727261035</v>
      </c>
      <c r="D2029" s="39">
        <f t="shared" si="67"/>
        <v>1.9701779701779703</v>
      </c>
    </row>
    <row r="2030" spans="2:4" ht="15" x14ac:dyDescent="0.15">
      <c r="B2030" s="38">
        <v>8072</v>
      </c>
      <c r="C2030" s="39">
        <f t="shared" si="66"/>
        <v>5.8942880949323149</v>
      </c>
      <c r="D2030" s="39">
        <f t="shared" si="67"/>
        <v>1.9711260827718962</v>
      </c>
    </row>
    <row r="2031" spans="2:4" ht="15" x14ac:dyDescent="0.15">
      <c r="B2031" s="38">
        <v>8076</v>
      </c>
      <c r="C2031" s="39">
        <f t="shared" si="66"/>
        <v>5.8984690286535049</v>
      </c>
      <c r="D2031" s="39">
        <f t="shared" si="67"/>
        <v>1.9720751083293211</v>
      </c>
    </row>
    <row r="2032" spans="2:4" ht="15" x14ac:dyDescent="0.15">
      <c r="B2032" s="38">
        <v>8080</v>
      </c>
      <c r="C2032" s="39">
        <f t="shared" si="66"/>
        <v>5.9026519758270819</v>
      </c>
      <c r="D2032" s="39">
        <f t="shared" si="67"/>
        <v>1.9730250481695568</v>
      </c>
    </row>
    <row r="2033" spans="2:4" ht="15" x14ac:dyDescent="0.15">
      <c r="B2033" s="38">
        <v>8084</v>
      </c>
      <c r="C2033" s="39">
        <f t="shared" si="66"/>
        <v>5.9068369383932566</v>
      </c>
      <c r="D2033" s="39">
        <f t="shared" si="67"/>
        <v>1.9739759036144577</v>
      </c>
    </row>
    <row r="2034" spans="2:4" ht="15" x14ac:dyDescent="0.15">
      <c r="B2034" s="38">
        <v>8088</v>
      </c>
      <c r="C2034" s="39">
        <f t="shared" si="66"/>
        <v>5.9110239182950437</v>
      </c>
      <c r="D2034" s="39">
        <f t="shared" si="67"/>
        <v>1.9749276759884282</v>
      </c>
    </row>
    <row r="2035" spans="2:4" ht="15" x14ac:dyDescent="0.15">
      <c r="B2035" s="38">
        <v>8092</v>
      </c>
      <c r="C2035" s="39">
        <f t="shared" si="66"/>
        <v>5.9152129174782706</v>
      </c>
      <c r="D2035" s="39">
        <f t="shared" si="67"/>
        <v>1.9758803666184275</v>
      </c>
    </row>
    <row r="2036" spans="2:4" ht="15" x14ac:dyDescent="0.15">
      <c r="B2036" s="38">
        <v>8096</v>
      </c>
      <c r="C2036" s="39">
        <f t="shared" si="66"/>
        <v>5.9194039378915786</v>
      </c>
      <c r="D2036" s="39">
        <f t="shared" si="67"/>
        <v>1.9768339768339769</v>
      </c>
    </row>
    <row r="2037" spans="2:4" ht="15" x14ac:dyDescent="0.15">
      <c r="B2037" s="38">
        <v>8100</v>
      </c>
      <c r="C2037" s="39">
        <f t="shared" si="66"/>
        <v>5.9235969814864342</v>
      </c>
      <c r="D2037" s="39">
        <f t="shared" si="67"/>
        <v>1.9777885079671655</v>
      </c>
    </row>
    <row r="2038" spans="2:4" ht="15" x14ac:dyDescent="0.15">
      <c r="B2038" s="38">
        <v>8104</v>
      </c>
      <c r="C2038" s="39">
        <f t="shared" si="66"/>
        <v>5.9277920502171311</v>
      </c>
      <c r="D2038" s="39">
        <f t="shared" si="67"/>
        <v>1.978743961352657</v>
      </c>
    </row>
    <row r="2039" spans="2:4" ht="15" x14ac:dyDescent="0.15">
      <c r="B2039" s="38">
        <v>8108</v>
      </c>
      <c r="C2039" s="39">
        <f t="shared" si="66"/>
        <v>5.9319891460407952</v>
      </c>
      <c r="D2039" s="39">
        <f t="shared" si="67"/>
        <v>1.9797003383276945</v>
      </c>
    </row>
    <row r="2040" spans="2:4" ht="15" x14ac:dyDescent="0.15">
      <c r="B2040" s="38">
        <v>8112</v>
      </c>
      <c r="C2040" s="39">
        <f t="shared" si="66"/>
        <v>5.9361882709173885</v>
      </c>
      <c r="D2040" s="39">
        <f t="shared" si="67"/>
        <v>1.9806576402321083</v>
      </c>
    </row>
    <row r="2041" spans="2:4" ht="15" x14ac:dyDescent="0.15">
      <c r="B2041" s="38">
        <v>8116</v>
      </c>
      <c r="C2041" s="39">
        <f t="shared" si="66"/>
        <v>5.9403894268097215</v>
      </c>
      <c r="D2041" s="39">
        <f t="shared" si="67"/>
        <v>1.9816158684083212</v>
      </c>
    </row>
    <row r="2042" spans="2:4" ht="15" x14ac:dyDescent="0.15">
      <c r="B2042" s="38">
        <v>8120</v>
      </c>
      <c r="C2042" s="39">
        <f t="shared" si="66"/>
        <v>5.9445926156834519</v>
      </c>
      <c r="D2042" s="39">
        <f t="shared" si="67"/>
        <v>1.9825750242013553</v>
      </c>
    </row>
    <row r="2043" spans="2:4" ht="15" x14ac:dyDescent="0.15">
      <c r="B2043" s="38">
        <v>8124</v>
      </c>
      <c r="C2043" s="39">
        <f t="shared" si="66"/>
        <v>5.9487978395070904</v>
      </c>
      <c r="D2043" s="39">
        <f t="shared" si="67"/>
        <v>1.9835351089588378</v>
      </c>
    </row>
    <row r="2044" spans="2:4" ht="15" x14ac:dyDescent="0.15">
      <c r="B2044" s="38">
        <v>8128</v>
      </c>
      <c r="C2044" s="39">
        <f t="shared" si="66"/>
        <v>5.9530051002520121</v>
      </c>
      <c r="D2044" s="39">
        <f t="shared" si="67"/>
        <v>1.9844961240310077</v>
      </c>
    </row>
    <row r="2045" spans="2:4" ht="15" x14ac:dyDescent="0.15">
      <c r="B2045" s="38">
        <v>8132</v>
      </c>
      <c r="C2045" s="39">
        <f t="shared" si="66"/>
        <v>5.9572143998924556</v>
      </c>
      <c r="D2045" s="39">
        <f t="shared" si="67"/>
        <v>1.9854580707707223</v>
      </c>
    </row>
    <row r="2046" spans="2:4" ht="15" x14ac:dyDescent="0.15">
      <c r="B2046" s="38">
        <v>8136</v>
      </c>
      <c r="C2046" s="39">
        <f t="shared" si="66"/>
        <v>5.9614257404055326</v>
      </c>
      <c r="D2046" s="39">
        <f t="shared" si="67"/>
        <v>1.9864209505334627</v>
      </c>
    </row>
    <row r="2047" spans="2:4" ht="15" x14ac:dyDescent="0.15">
      <c r="B2047" s="38">
        <v>8140</v>
      </c>
      <c r="C2047" s="39">
        <f t="shared" si="66"/>
        <v>5.9656391237712292</v>
      </c>
      <c r="D2047" s="39">
        <f t="shared" si="67"/>
        <v>1.987384764677341</v>
      </c>
    </row>
    <row r="2048" spans="2:4" ht="15" x14ac:dyDescent="0.15">
      <c r="B2048" s="38">
        <v>8144</v>
      </c>
      <c r="C2048" s="39">
        <f t="shared" si="66"/>
        <v>5.9698545519724187</v>
      </c>
      <c r="D2048" s="39">
        <f t="shared" si="67"/>
        <v>1.9883495145631067</v>
      </c>
    </row>
    <row r="2049" spans="2:4" ht="15" x14ac:dyDescent="0.15">
      <c r="B2049" s="38">
        <v>8148</v>
      </c>
      <c r="C2049" s="39">
        <f t="shared" si="66"/>
        <v>5.9740720269948593</v>
      </c>
      <c r="D2049" s="39">
        <f t="shared" si="67"/>
        <v>1.9893152015541524</v>
      </c>
    </row>
    <row r="2050" spans="2:4" ht="15" x14ac:dyDescent="0.15">
      <c r="B2050" s="38">
        <v>8152</v>
      </c>
      <c r="C2050" s="39">
        <f t="shared" si="66"/>
        <v>5.9782915508272039</v>
      </c>
      <c r="D2050" s="39">
        <f t="shared" si="67"/>
        <v>1.9902818270165208</v>
      </c>
    </row>
    <row r="2051" spans="2:4" ht="15" x14ac:dyDescent="0.15">
      <c r="B2051" s="38">
        <v>8156</v>
      </c>
      <c r="C2051" s="39">
        <f t="shared" si="66"/>
        <v>5.982513125461006</v>
      </c>
      <c r="D2051" s="39">
        <f t="shared" si="67"/>
        <v>1.991249392318911</v>
      </c>
    </row>
    <row r="2052" spans="2:4" ht="15" x14ac:dyDescent="0.15">
      <c r="B2052" s="38">
        <v>8160</v>
      </c>
      <c r="C2052" s="39">
        <f t="shared" si="66"/>
        <v>5.9867367528907245</v>
      </c>
      <c r="D2052" s="39">
        <f t="shared" si="67"/>
        <v>1.9922178988326849</v>
      </c>
    </row>
    <row r="2053" spans="2:4" ht="15" x14ac:dyDescent="0.15">
      <c r="B2053" s="38">
        <v>8164</v>
      </c>
      <c r="C2053" s="39">
        <f t="shared" si="66"/>
        <v>5.9909624351137269</v>
      </c>
      <c r="D2053" s="39">
        <f t="shared" si="67"/>
        <v>1.9931873479318736</v>
      </c>
    </row>
    <row r="2054" spans="2:4" ht="15" x14ac:dyDescent="0.15">
      <c r="B2054" s="38">
        <v>8168</v>
      </c>
      <c r="C2054" s="39">
        <f t="shared" si="66"/>
        <v>5.9951901741302995</v>
      </c>
      <c r="D2054" s="39">
        <f t="shared" si="67"/>
        <v>1.9941577409931841</v>
      </c>
    </row>
    <row r="2055" spans="2:4" ht="15" x14ac:dyDescent="0.15">
      <c r="B2055" s="38">
        <v>8172</v>
      </c>
      <c r="C2055" s="39">
        <f t="shared" si="66"/>
        <v>5.9994199719436487</v>
      </c>
      <c r="D2055" s="39">
        <f t="shared" si="67"/>
        <v>1.9951290793960059</v>
      </c>
    </row>
    <row r="2056" spans="2:4" ht="15" x14ac:dyDescent="0.15">
      <c r="B2056" s="38">
        <v>8176</v>
      </c>
      <c r="C2056" s="39">
        <f t="shared" si="66"/>
        <v>6.0036518305599129</v>
      </c>
      <c r="D2056" s="39">
        <f t="shared" si="67"/>
        <v>1.996101364522417</v>
      </c>
    </row>
    <row r="2057" spans="2:4" ht="15" x14ac:dyDescent="0.15">
      <c r="B2057" s="38">
        <v>8180</v>
      </c>
      <c r="C2057" s="39">
        <f t="shared" si="66"/>
        <v>6.0078857519881614</v>
      </c>
      <c r="D2057" s="39">
        <f t="shared" si="67"/>
        <v>1.9970745977571915</v>
      </c>
    </row>
    <row r="2058" spans="2:4" ht="15" x14ac:dyDescent="0.15">
      <c r="B2058" s="38">
        <v>8184</v>
      </c>
      <c r="C2058" s="39">
        <f t="shared" si="66"/>
        <v>6.0121217382404009</v>
      </c>
      <c r="D2058" s="39">
        <f t="shared" si="67"/>
        <v>1.9980487804878049</v>
      </c>
    </row>
    <row r="2059" spans="2:4" ht="15" x14ac:dyDescent="0.15">
      <c r="B2059" s="38">
        <v>8188</v>
      </c>
      <c r="C2059" s="39">
        <f t="shared" si="66"/>
        <v>6.0163597913315865</v>
      </c>
      <c r="D2059" s="39">
        <f t="shared" si="67"/>
        <v>1.9990239141044412</v>
      </c>
    </row>
    <row r="2060" spans="2:4" ht="15" x14ac:dyDescent="0.15">
      <c r="B2060" s="38">
        <v>8192</v>
      </c>
      <c r="C2060" s="39">
        <f t="shared" si="66"/>
        <v>6.0205999132796242</v>
      </c>
      <c r="D2060" s="39">
        <f t="shared" si="67"/>
        <v>2</v>
      </c>
    </row>
    <row r="2061" spans="2:4" ht="15" x14ac:dyDescent="0.15">
      <c r="B2061" s="38">
        <v>8196</v>
      </c>
      <c r="C2061" s="39">
        <f t="shared" ref="C2061:C2124" si="68">20*LOG(D2061)</f>
        <v>6.0248421061053739</v>
      </c>
      <c r="D2061" s="39">
        <f t="shared" ref="D2061:D2124" si="69">16384/(16384-B2061)</f>
        <v>2.0009770395701025</v>
      </c>
    </row>
    <row r="2062" spans="2:4" ht="15" x14ac:dyDescent="0.15">
      <c r="B2062" s="38">
        <v>8200</v>
      </c>
      <c r="C2062" s="39">
        <f t="shared" si="68"/>
        <v>6.0290863718326593</v>
      </c>
      <c r="D2062" s="39">
        <f t="shared" si="69"/>
        <v>2.0019550342130987</v>
      </c>
    </row>
    <row r="2063" spans="2:4" ht="15" x14ac:dyDescent="0.15">
      <c r="B2063" s="38">
        <v>8204</v>
      </c>
      <c r="C2063" s="39">
        <f t="shared" si="68"/>
        <v>6.0333327124882743</v>
      </c>
      <c r="D2063" s="39">
        <f t="shared" si="69"/>
        <v>2.0029339853300732</v>
      </c>
    </row>
    <row r="2064" spans="2:4" ht="15" x14ac:dyDescent="0.15">
      <c r="B2064" s="38">
        <v>8208</v>
      </c>
      <c r="C2064" s="39">
        <f t="shared" si="68"/>
        <v>6.0375811301019846</v>
      </c>
      <c r="D2064" s="39">
        <f t="shared" si="69"/>
        <v>2.0039138943248531</v>
      </c>
    </row>
    <row r="2065" spans="2:4" ht="15" x14ac:dyDescent="0.15">
      <c r="B2065" s="38">
        <v>8212</v>
      </c>
      <c r="C2065" s="39">
        <f t="shared" si="68"/>
        <v>6.0418316267065357</v>
      </c>
      <c r="D2065" s="39">
        <f t="shared" si="69"/>
        <v>2.0048947626040139</v>
      </c>
    </row>
    <row r="2066" spans="2:4" ht="15" x14ac:dyDescent="0.15">
      <c r="B2066" s="38">
        <v>8216</v>
      </c>
      <c r="C2066" s="39">
        <f t="shared" si="68"/>
        <v>6.0460842043376584</v>
      </c>
      <c r="D2066" s="39">
        <f t="shared" si="69"/>
        <v>2.0058765915768855</v>
      </c>
    </row>
    <row r="2067" spans="2:4" ht="15" x14ac:dyDescent="0.15">
      <c r="B2067" s="38">
        <v>8220</v>
      </c>
      <c r="C2067" s="39">
        <f t="shared" si="68"/>
        <v>6.0503388650340764</v>
      </c>
      <c r="D2067" s="39">
        <f t="shared" si="69"/>
        <v>2.006859382655561</v>
      </c>
    </row>
    <row r="2068" spans="2:4" ht="15" x14ac:dyDescent="0.15">
      <c r="B2068" s="38">
        <v>8224</v>
      </c>
      <c r="C2068" s="39">
        <f t="shared" si="68"/>
        <v>6.0545956108375121</v>
      </c>
      <c r="D2068" s="39">
        <f t="shared" si="69"/>
        <v>2.0078431372549019</v>
      </c>
    </row>
    <row r="2069" spans="2:4" ht="15" x14ac:dyDescent="0.15">
      <c r="B2069" s="38">
        <v>8228</v>
      </c>
      <c r="C2069" s="39">
        <f t="shared" si="68"/>
        <v>6.0588544437926872</v>
      </c>
      <c r="D2069" s="39">
        <f t="shared" si="69"/>
        <v>2.0088278567925455</v>
      </c>
    </row>
    <row r="2070" spans="2:4" ht="15" x14ac:dyDescent="0.15">
      <c r="B2070" s="38">
        <v>8232</v>
      </c>
      <c r="C2070" s="39">
        <f t="shared" si="68"/>
        <v>6.0631153659473345</v>
      </c>
      <c r="D2070" s="39">
        <f t="shared" si="69"/>
        <v>2.0098135426889105</v>
      </c>
    </row>
    <row r="2071" spans="2:4" ht="15" x14ac:dyDescent="0.15">
      <c r="B2071" s="38">
        <v>8236</v>
      </c>
      <c r="C2071" s="39">
        <f t="shared" si="68"/>
        <v>6.0673783793522045</v>
      </c>
      <c r="D2071" s="39">
        <f t="shared" si="69"/>
        <v>2.0108001963672066</v>
      </c>
    </row>
    <row r="2072" spans="2:4" ht="15" x14ac:dyDescent="0.15">
      <c r="B2072" s="38">
        <v>8240</v>
      </c>
      <c r="C2072" s="39">
        <f t="shared" si="68"/>
        <v>6.0716434860610633</v>
      </c>
      <c r="D2072" s="39">
        <f t="shared" si="69"/>
        <v>2.011787819253438</v>
      </c>
    </row>
    <row r="2073" spans="2:4" ht="15" x14ac:dyDescent="0.15">
      <c r="B2073" s="38">
        <v>8244</v>
      </c>
      <c r="C2073" s="39">
        <f t="shared" si="68"/>
        <v>6.0759106881307101</v>
      </c>
      <c r="D2073" s="39">
        <f t="shared" si="69"/>
        <v>2.0127764127764127</v>
      </c>
    </row>
    <row r="2074" spans="2:4" ht="15" x14ac:dyDescent="0.15">
      <c r="B2074" s="38">
        <v>8248</v>
      </c>
      <c r="C2074" s="39">
        <f t="shared" si="68"/>
        <v>6.0801799876209719</v>
      </c>
      <c r="D2074" s="39">
        <f t="shared" si="69"/>
        <v>2.0137659783677484</v>
      </c>
    </row>
    <row r="2075" spans="2:4" ht="15" x14ac:dyDescent="0.15">
      <c r="B2075" s="38">
        <v>8252</v>
      </c>
      <c r="C2075" s="39">
        <f t="shared" si="68"/>
        <v>6.084451386594715</v>
      </c>
      <c r="D2075" s="39">
        <f t="shared" si="69"/>
        <v>2.0147565174618789</v>
      </c>
    </row>
    <row r="2076" spans="2:4" ht="15" x14ac:dyDescent="0.15">
      <c r="B2076" s="38">
        <v>8256</v>
      </c>
      <c r="C2076" s="39">
        <f t="shared" si="68"/>
        <v>6.0887248871178539</v>
      </c>
      <c r="D2076" s="39">
        <f t="shared" si="69"/>
        <v>2.015748031496063</v>
      </c>
    </row>
    <row r="2077" spans="2:4" ht="15" x14ac:dyDescent="0.15">
      <c r="B2077" s="38">
        <v>8260</v>
      </c>
      <c r="C2077" s="39">
        <f t="shared" si="68"/>
        <v>6.0930004912593532</v>
      </c>
      <c r="D2077" s="39">
        <f t="shared" si="69"/>
        <v>2.0167405219103891</v>
      </c>
    </row>
    <row r="2078" spans="2:4" ht="15" x14ac:dyDescent="0.15">
      <c r="B2078" s="38">
        <v>8264</v>
      </c>
      <c r="C2078" s="39">
        <f t="shared" si="68"/>
        <v>6.0972782010912274</v>
      </c>
      <c r="D2078" s="39">
        <f t="shared" si="69"/>
        <v>2.0177339901477831</v>
      </c>
    </row>
    <row r="2079" spans="2:4" ht="15" x14ac:dyDescent="0.15">
      <c r="B2079" s="38">
        <v>8268</v>
      </c>
      <c r="C2079" s="39">
        <f t="shared" si="68"/>
        <v>6.1015580186885678</v>
      </c>
      <c r="D2079" s="39">
        <f t="shared" si="69"/>
        <v>2.0187284376540169</v>
      </c>
    </row>
    <row r="2080" spans="2:4" ht="15" x14ac:dyDescent="0.15">
      <c r="B2080" s="38">
        <v>8272</v>
      </c>
      <c r="C2080" s="39">
        <f t="shared" si="68"/>
        <v>6.1058399461295201</v>
      </c>
      <c r="D2080" s="39">
        <f t="shared" si="69"/>
        <v>2.0197238658777121</v>
      </c>
    </row>
    <row r="2081" spans="2:4" ht="15" x14ac:dyDescent="0.15">
      <c r="B2081" s="38">
        <v>8276</v>
      </c>
      <c r="C2081" s="39">
        <f t="shared" si="68"/>
        <v>6.1101239854953135</v>
      </c>
      <c r="D2081" s="39">
        <f t="shared" si="69"/>
        <v>2.0207202762703504</v>
      </c>
    </row>
    <row r="2082" spans="2:4" ht="15" x14ac:dyDescent="0.15">
      <c r="B2082" s="38">
        <v>8280</v>
      </c>
      <c r="C2082" s="39">
        <f t="shared" si="68"/>
        <v>6.1144101388702543</v>
      </c>
      <c r="D2082" s="39">
        <f t="shared" si="69"/>
        <v>2.0217176702862782</v>
      </c>
    </row>
    <row r="2083" spans="2:4" ht="15" x14ac:dyDescent="0.15">
      <c r="B2083" s="38">
        <v>8284</v>
      </c>
      <c r="C2083" s="39">
        <f t="shared" si="68"/>
        <v>6.1186984083417393</v>
      </c>
      <c r="D2083" s="39">
        <f t="shared" si="69"/>
        <v>2.0227160493827161</v>
      </c>
    </row>
    <row r="2084" spans="2:4" ht="15" x14ac:dyDescent="0.15">
      <c r="B2084" s="38">
        <v>8288</v>
      </c>
      <c r="C2084" s="39">
        <f t="shared" si="68"/>
        <v>6.1229887960002563</v>
      </c>
      <c r="D2084" s="39">
        <f t="shared" si="69"/>
        <v>2.0237154150197627</v>
      </c>
    </row>
    <row r="2085" spans="2:4" ht="15" x14ac:dyDescent="0.15">
      <c r="B2085" s="38">
        <v>8292</v>
      </c>
      <c r="C2085" s="39">
        <f t="shared" si="68"/>
        <v>6.1272813039393927</v>
      </c>
      <c r="D2085" s="39">
        <f t="shared" si="69"/>
        <v>2.0247157686604051</v>
      </c>
    </row>
    <row r="2086" spans="2:4" ht="15" x14ac:dyDescent="0.15">
      <c r="B2086" s="38">
        <v>8296</v>
      </c>
      <c r="C2086" s="39">
        <f t="shared" si="68"/>
        <v>6.1315759342558422</v>
      </c>
      <c r="D2086" s="39">
        <f t="shared" si="69"/>
        <v>2.0257171117705242</v>
      </c>
    </row>
    <row r="2087" spans="2:4" ht="15" x14ac:dyDescent="0.15">
      <c r="B2087" s="38">
        <v>8300</v>
      </c>
      <c r="C2087" s="39">
        <f t="shared" si="68"/>
        <v>6.1358726890494077</v>
      </c>
      <c r="D2087" s="39">
        <f t="shared" si="69"/>
        <v>2.0267194458189017</v>
      </c>
    </row>
    <row r="2088" spans="2:4" ht="15" x14ac:dyDescent="0.15">
      <c r="B2088" s="38">
        <v>8304</v>
      </c>
      <c r="C2088" s="39">
        <f t="shared" si="68"/>
        <v>6.1401715704230124</v>
      </c>
      <c r="D2088" s="39">
        <f t="shared" si="69"/>
        <v>2.0277227722772277</v>
      </c>
    </row>
    <row r="2089" spans="2:4" ht="15" x14ac:dyDescent="0.15">
      <c r="B2089" s="38">
        <v>8308</v>
      </c>
      <c r="C2089" s="39">
        <f t="shared" si="68"/>
        <v>6.1444725804827005</v>
      </c>
      <c r="D2089" s="39">
        <f t="shared" si="69"/>
        <v>2.0287270926201089</v>
      </c>
    </row>
    <row r="2090" spans="2:4" ht="15" x14ac:dyDescent="0.15">
      <c r="B2090" s="38">
        <v>8312</v>
      </c>
      <c r="C2090" s="39">
        <f t="shared" si="68"/>
        <v>6.1487757213376524</v>
      </c>
      <c r="D2090" s="39">
        <f t="shared" si="69"/>
        <v>2.0297324083250743</v>
      </c>
    </row>
    <row r="2091" spans="2:4" ht="15" x14ac:dyDescent="0.15">
      <c r="B2091" s="38">
        <v>8316</v>
      </c>
      <c r="C2091" s="39">
        <f t="shared" si="68"/>
        <v>6.1530809951001775</v>
      </c>
      <c r="D2091" s="39">
        <f t="shared" si="69"/>
        <v>2.0307387208725829</v>
      </c>
    </row>
    <row r="2092" spans="2:4" ht="15" x14ac:dyDescent="0.15">
      <c r="B2092" s="38">
        <v>8320</v>
      </c>
      <c r="C2092" s="39">
        <f t="shared" si="68"/>
        <v>6.1573884038857329</v>
      </c>
      <c r="D2092" s="39">
        <f t="shared" si="69"/>
        <v>2.0317460317460316</v>
      </c>
    </row>
    <row r="2093" spans="2:4" ht="15" x14ac:dyDescent="0.15">
      <c r="B2093" s="38">
        <v>8324</v>
      </c>
      <c r="C2093" s="39">
        <f t="shared" si="68"/>
        <v>6.1616979498129218</v>
      </c>
      <c r="D2093" s="39">
        <f t="shared" si="69"/>
        <v>2.0327543424317618</v>
      </c>
    </row>
    <row r="2094" spans="2:4" ht="15" x14ac:dyDescent="0.15">
      <c r="B2094" s="38">
        <v>8328</v>
      </c>
      <c r="C2094" s="39">
        <f t="shared" si="68"/>
        <v>6.1660096350035021</v>
      </c>
      <c r="D2094" s="39">
        <f t="shared" si="69"/>
        <v>2.0337636544190665</v>
      </c>
    </row>
    <row r="2095" spans="2:4" ht="15" x14ac:dyDescent="0.15">
      <c r="B2095" s="38">
        <v>8332</v>
      </c>
      <c r="C2095" s="39">
        <f t="shared" si="68"/>
        <v>6.170323461582397</v>
      </c>
      <c r="D2095" s="39">
        <f t="shared" si="69"/>
        <v>2.0347739692001987</v>
      </c>
    </row>
    <row r="2096" spans="2:4" ht="15" x14ac:dyDescent="0.15">
      <c r="B2096" s="38">
        <v>8336</v>
      </c>
      <c r="C2096" s="39">
        <f t="shared" si="68"/>
        <v>6.17463943167769</v>
      </c>
      <c r="D2096" s="39">
        <f t="shared" si="69"/>
        <v>2.0357852882703775</v>
      </c>
    </row>
    <row r="2097" spans="2:4" ht="15" x14ac:dyDescent="0.15">
      <c r="B2097" s="38">
        <v>8340</v>
      </c>
      <c r="C2097" s="39">
        <f t="shared" si="68"/>
        <v>6.1789575474206471</v>
      </c>
      <c r="D2097" s="39">
        <f t="shared" si="69"/>
        <v>2.0367976131277969</v>
      </c>
    </row>
    <row r="2098" spans="2:4" ht="15" x14ac:dyDescent="0.15">
      <c r="B2098" s="38">
        <v>8344</v>
      </c>
      <c r="C2098" s="39">
        <f t="shared" si="68"/>
        <v>6.1832778109457092</v>
      </c>
      <c r="D2098" s="39">
        <f t="shared" si="69"/>
        <v>2.0378109452736317</v>
      </c>
    </row>
    <row r="2099" spans="2:4" ht="15" x14ac:dyDescent="0.15">
      <c r="B2099" s="38">
        <v>8348</v>
      </c>
      <c r="C2099" s="39">
        <f t="shared" si="68"/>
        <v>6.1876002243905042</v>
      </c>
      <c r="D2099" s="39">
        <f t="shared" si="69"/>
        <v>2.0388252862120457</v>
      </c>
    </row>
    <row r="2100" spans="2:4" ht="15" x14ac:dyDescent="0.15">
      <c r="B2100" s="38">
        <v>8352</v>
      </c>
      <c r="C2100" s="39">
        <f t="shared" si="68"/>
        <v>6.191924789895852</v>
      </c>
      <c r="D2100" s="39">
        <f t="shared" si="69"/>
        <v>2.0398406374501992</v>
      </c>
    </row>
    <row r="2101" spans="2:4" ht="15" x14ac:dyDescent="0.15">
      <c r="B2101" s="38">
        <v>8356</v>
      </c>
      <c r="C2101" s="39">
        <f t="shared" si="68"/>
        <v>6.1962515096057755</v>
      </c>
      <c r="D2101" s="39">
        <f t="shared" si="69"/>
        <v>2.040857000498256</v>
      </c>
    </row>
    <row r="2102" spans="2:4" ht="15" x14ac:dyDescent="0.15">
      <c r="B2102" s="38">
        <v>8360</v>
      </c>
      <c r="C2102" s="39">
        <f t="shared" si="68"/>
        <v>6.2005803856675001</v>
      </c>
      <c r="D2102" s="39">
        <f t="shared" si="69"/>
        <v>2.0418743768693917</v>
      </c>
    </row>
    <row r="2103" spans="2:4" ht="15" x14ac:dyDescent="0.15">
      <c r="B2103" s="38">
        <v>8364</v>
      </c>
      <c r="C2103" s="39">
        <f t="shared" si="68"/>
        <v>6.2049114202314639</v>
      </c>
      <c r="D2103" s="39">
        <f t="shared" si="69"/>
        <v>2.0428927680798004</v>
      </c>
    </row>
    <row r="2104" spans="2:4" ht="15" x14ac:dyDescent="0.15">
      <c r="B2104" s="38">
        <v>8368</v>
      </c>
      <c r="C2104" s="39">
        <f t="shared" si="68"/>
        <v>6.2092446154513237</v>
      </c>
      <c r="D2104" s="39">
        <f t="shared" si="69"/>
        <v>2.0439121756487024</v>
      </c>
    </row>
    <row r="2105" spans="2:4" ht="15" x14ac:dyDescent="0.15">
      <c r="B2105" s="38">
        <v>8372</v>
      </c>
      <c r="C2105" s="39">
        <f t="shared" si="68"/>
        <v>6.213579973483963</v>
      </c>
      <c r="D2105" s="39">
        <f t="shared" si="69"/>
        <v>2.0449326010983526</v>
      </c>
    </row>
    <row r="2106" spans="2:4" ht="15" x14ac:dyDescent="0.15">
      <c r="B2106" s="38">
        <v>8376</v>
      </c>
      <c r="C2106" s="39">
        <f t="shared" si="68"/>
        <v>6.2179174964894903</v>
      </c>
      <c r="D2106" s="39">
        <f t="shared" si="69"/>
        <v>2.045954045954046</v>
      </c>
    </row>
    <row r="2107" spans="2:4" ht="15" x14ac:dyDescent="0.15">
      <c r="B2107" s="38">
        <v>8380</v>
      </c>
      <c r="C2107" s="39">
        <f t="shared" si="68"/>
        <v>6.2222571866312579</v>
      </c>
      <c r="D2107" s="39">
        <f t="shared" si="69"/>
        <v>2.0469765117441279</v>
      </c>
    </row>
    <row r="2108" spans="2:4" ht="15" x14ac:dyDescent="0.15">
      <c r="B2108" s="38">
        <v>8384</v>
      </c>
      <c r="C2108" s="39">
        <f t="shared" si="68"/>
        <v>6.2265990460758633</v>
      </c>
      <c r="D2108" s="39">
        <f t="shared" si="69"/>
        <v>2.048</v>
      </c>
    </row>
    <row r="2109" spans="2:4" ht="15" x14ac:dyDescent="0.15">
      <c r="B2109" s="38">
        <v>8388</v>
      </c>
      <c r="C2109" s="39">
        <f t="shared" si="68"/>
        <v>6.2309430769931478</v>
      </c>
      <c r="D2109" s="39">
        <f t="shared" si="69"/>
        <v>2.0490245122561279</v>
      </c>
    </row>
    <row r="2110" spans="2:4" ht="15" x14ac:dyDescent="0.15">
      <c r="B2110" s="38">
        <v>8392</v>
      </c>
      <c r="C2110" s="39">
        <f t="shared" si="68"/>
        <v>6.2352892815562164</v>
      </c>
      <c r="D2110" s="39">
        <f t="shared" si="69"/>
        <v>2.05005005005005</v>
      </c>
    </row>
    <row r="2111" spans="2:4" ht="15" x14ac:dyDescent="0.15">
      <c r="B2111" s="38">
        <v>8396</v>
      </c>
      <c r="C2111" s="39">
        <f t="shared" si="68"/>
        <v>6.2396376619414342</v>
      </c>
      <c r="D2111" s="39">
        <f t="shared" si="69"/>
        <v>2.0510766149223834</v>
      </c>
    </row>
    <row r="2112" spans="2:4" ht="15" x14ac:dyDescent="0.15">
      <c r="B2112" s="38">
        <v>8400</v>
      </c>
      <c r="C2112" s="39">
        <f t="shared" si="68"/>
        <v>6.2439882203284398</v>
      </c>
      <c r="D2112" s="39">
        <f t="shared" si="69"/>
        <v>2.0521042084168335</v>
      </c>
    </row>
    <row r="2113" spans="2:4" ht="15" x14ac:dyDescent="0.15">
      <c r="B2113" s="38">
        <v>8404</v>
      </c>
      <c r="C2113" s="39">
        <f t="shared" si="68"/>
        <v>6.2483409589001457</v>
      </c>
      <c r="D2113" s="39">
        <f t="shared" si="69"/>
        <v>2.0531328320802005</v>
      </c>
    </row>
    <row r="2114" spans="2:4" ht="15" x14ac:dyDescent="0.15">
      <c r="B2114" s="38">
        <v>8408</v>
      </c>
      <c r="C2114" s="39">
        <f t="shared" si="68"/>
        <v>6.252695879842749</v>
      </c>
      <c r="D2114" s="39">
        <f t="shared" si="69"/>
        <v>2.0541624874623872</v>
      </c>
    </row>
    <row r="2115" spans="2:4" ht="15" x14ac:dyDescent="0.15">
      <c r="B2115" s="38">
        <v>8412</v>
      </c>
      <c r="C2115" s="39">
        <f t="shared" si="68"/>
        <v>6.2570529853457346</v>
      </c>
      <c r="D2115" s="39">
        <f t="shared" si="69"/>
        <v>2.0551931761164073</v>
      </c>
    </row>
    <row r="2116" spans="2:4" ht="15" x14ac:dyDescent="0.15">
      <c r="B2116" s="38">
        <v>8416</v>
      </c>
      <c r="C2116" s="39">
        <f t="shared" si="68"/>
        <v>6.2614122776018881</v>
      </c>
      <c r="D2116" s="39">
        <f t="shared" si="69"/>
        <v>2.0562248995983934</v>
      </c>
    </row>
    <row r="2117" spans="2:4" ht="15" x14ac:dyDescent="0.15">
      <c r="B2117" s="38">
        <v>8420</v>
      </c>
      <c r="C2117" s="39">
        <f t="shared" si="68"/>
        <v>6.2657737588072973</v>
      </c>
      <c r="D2117" s="39">
        <f t="shared" si="69"/>
        <v>2.0572576594676044</v>
      </c>
    </row>
    <row r="2118" spans="2:4" ht="15" x14ac:dyDescent="0.15">
      <c r="B2118" s="38">
        <v>8424</v>
      </c>
      <c r="C2118" s="39">
        <f t="shared" si="68"/>
        <v>6.2701374311613547</v>
      </c>
      <c r="D2118" s="39">
        <f t="shared" si="69"/>
        <v>2.0582914572864324</v>
      </c>
    </row>
    <row r="2119" spans="2:4" ht="15" x14ac:dyDescent="0.15">
      <c r="B2119" s="38">
        <v>8428</v>
      </c>
      <c r="C2119" s="39">
        <f t="shared" si="68"/>
        <v>6.2745032968667749</v>
      </c>
      <c r="D2119" s="39">
        <f t="shared" si="69"/>
        <v>2.0593262946204121</v>
      </c>
    </row>
    <row r="2120" spans="2:4" ht="15" x14ac:dyDescent="0.15">
      <c r="B2120" s="38">
        <v>8432</v>
      </c>
      <c r="C2120" s="39">
        <f t="shared" si="68"/>
        <v>6.2788713581295976</v>
      </c>
      <c r="D2120" s="39">
        <f t="shared" si="69"/>
        <v>2.0603621730382295</v>
      </c>
    </row>
    <row r="2121" spans="2:4" ht="15" x14ac:dyDescent="0.15">
      <c r="B2121" s="38">
        <v>8436</v>
      </c>
      <c r="C2121" s="39">
        <f t="shared" si="68"/>
        <v>6.2832416171591827</v>
      </c>
      <c r="D2121" s="39">
        <f t="shared" si="69"/>
        <v>2.0613990941117262</v>
      </c>
    </row>
    <row r="2122" spans="2:4" ht="15" x14ac:dyDescent="0.15">
      <c r="B2122" s="38">
        <v>8440</v>
      </c>
      <c r="C2122" s="39">
        <f t="shared" si="68"/>
        <v>6.2876140761682393</v>
      </c>
      <c r="D2122" s="39">
        <f t="shared" si="69"/>
        <v>2.0624370594159114</v>
      </c>
    </row>
    <row r="2123" spans="2:4" ht="15" x14ac:dyDescent="0.15">
      <c r="B2123" s="38">
        <v>8444</v>
      </c>
      <c r="C2123" s="39">
        <f t="shared" si="68"/>
        <v>6.2919887373728089</v>
      </c>
      <c r="D2123" s="39">
        <f t="shared" si="69"/>
        <v>2.0634760705289672</v>
      </c>
    </row>
    <row r="2124" spans="2:4" ht="15" x14ac:dyDescent="0.15">
      <c r="B2124" s="38">
        <v>8448</v>
      </c>
      <c r="C2124" s="39">
        <f t="shared" si="68"/>
        <v>6.2963656029922896</v>
      </c>
      <c r="D2124" s="39">
        <f t="shared" si="69"/>
        <v>2.064516129032258</v>
      </c>
    </row>
    <row r="2125" spans="2:4" ht="15" x14ac:dyDescent="0.15">
      <c r="B2125" s="38">
        <v>8452</v>
      </c>
      <c r="C2125" s="39">
        <f t="shared" ref="C2125:C2188" si="70">20*LOG(D2125)</f>
        <v>6.3007446752494349</v>
      </c>
      <c r="D2125" s="39">
        <f t="shared" ref="D2125:D2188" si="71">16384/(16384-B2125)</f>
        <v>2.0655572365103381</v>
      </c>
    </row>
    <row r="2126" spans="2:4" ht="15" x14ac:dyDescent="0.15">
      <c r="B2126" s="38">
        <v>8456</v>
      </c>
      <c r="C2126" s="39">
        <f t="shared" si="70"/>
        <v>6.3051259563703566</v>
      </c>
      <c r="D2126" s="39">
        <f t="shared" si="71"/>
        <v>2.0665993945509586</v>
      </c>
    </row>
    <row r="2127" spans="2:4" ht="15" x14ac:dyDescent="0.15">
      <c r="B2127" s="38">
        <v>8460</v>
      </c>
      <c r="C2127" s="39">
        <f t="shared" si="70"/>
        <v>6.3095094485845449</v>
      </c>
      <c r="D2127" s="39">
        <f t="shared" si="71"/>
        <v>2.0676426047450782</v>
      </c>
    </row>
    <row r="2128" spans="2:4" ht="15" x14ac:dyDescent="0.15">
      <c r="B2128" s="38">
        <v>8464</v>
      </c>
      <c r="C2128" s="39">
        <f t="shared" si="70"/>
        <v>6.3138951541248645</v>
      </c>
      <c r="D2128" s="39">
        <f t="shared" si="71"/>
        <v>2.0686868686868687</v>
      </c>
    </row>
    <row r="2129" spans="2:4" ht="15" x14ac:dyDescent="0.15">
      <c r="B2129" s="38">
        <v>8468</v>
      </c>
      <c r="C2129" s="39">
        <f t="shared" si="70"/>
        <v>6.3182830752275621</v>
      </c>
      <c r="D2129" s="39">
        <f t="shared" si="71"/>
        <v>2.0697321879737243</v>
      </c>
    </row>
    <row r="2130" spans="2:4" ht="15" x14ac:dyDescent="0.15">
      <c r="B2130" s="38">
        <v>8472</v>
      </c>
      <c r="C2130" s="39">
        <f t="shared" si="70"/>
        <v>6.3226732141322746</v>
      </c>
      <c r="D2130" s="39">
        <f t="shared" si="71"/>
        <v>2.070778564206269</v>
      </c>
    </row>
    <row r="2131" spans="2:4" ht="15" x14ac:dyDescent="0.15">
      <c r="B2131" s="38">
        <v>8476</v>
      </c>
      <c r="C2131" s="39">
        <f t="shared" si="70"/>
        <v>6.3270655730820415</v>
      </c>
      <c r="D2131" s="39">
        <f t="shared" si="71"/>
        <v>2.0718259989883663</v>
      </c>
    </row>
    <row r="2132" spans="2:4" ht="15" x14ac:dyDescent="0.15">
      <c r="B2132" s="38">
        <v>8480</v>
      </c>
      <c r="C2132" s="39">
        <f t="shared" si="70"/>
        <v>6.3314601543233007</v>
      </c>
      <c r="D2132" s="39">
        <f t="shared" si="71"/>
        <v>2.0728744939271255</v>
      </c>
    </row>
    <row r="2133" spans="2:4" ht="15" x14ac:dyDescent="0.15">
      <c r="B2133" s="38">
        <v>8484</v>
      </c>
      <c r="C2133" s="39">
        <f t="shared" si="70"/>
        <v>6.3358569601059065</v>
      </c>
      <c r="D2133" s="39">
        <f t="shared" si="71"/>
        <v>2.0739240506329115</v>
      </c>
    </row>
    <row r="2134" spans="2:4" ht="15" x14ac:dyDescent="0.15">
      <c r="B2134" s="38">
        <v>8488</v>
      </c>
      <c r="C2134" s="39">
        <f t="shared" si="70"/>
        <v>6.3402559926831294</v>
      </c>
      <c r="D2134" s="39">
        <f t="shared" si="71"/>
        <v>2.0749746707193517</v>
      </c>
    </row>
    <row r="2135" spans="2:4" ht="15" x14ac:dyDescent="0.15">
      <c r="B2135" s="38">
        <v>8492</v>
      </c>
      <c r="C2135" s="39">
        <f t="shared" si="70"/>
        <v>6.3446572543116631</v>
      </c>
      <c r="D2135" s="39">
        <f t="shared" si="71"/>
        <v>2.0760263558033452</v>
      </c>
    </row>
    <row r="2136" spans="2:4" ht="15" x14ac:dyDescent="0.15">
      <c r="B2136" s="38">
        <v>8496</v>
      </c>
      <c r="C2136" s="39">
        <f t="shared" si="70"/>
        <v>6.3490607472516389</v>
      </c>
      <c r="D2136" s="39">
        <f t="shared" si="71"/>
        <v>2.077079107505071</v>
      </c>
    </row>
    <row r="2137" spans="2:4" ht="15" x14ac:dyDescent="0.15">
      <c r="B2137" s="38">
        <v>8500</v>
      </c>
      <c r="C2137" s="39">
        <f t="shared" si="70"/>
        <v>6.3534664737666224</v>
      </c>
      <c r="D2137" s="39">
        <f t="shared" si="71"/>
        <v>2.0781329274479958</v>
      </c>
    </row>
    <row r="2138" spans="2:4" ht="15" x14ac:dyDescent="0.15">
      <c r="B2138" s="38">
        <v>8504</v>
      </c>
      <c r="C2138" s="39">
        <f t="shared" si="70"/>
        <v>6.3578744361236286</v>
      </c>
      <c r="D2138" s="39">
        <f t="shared" si="71"/>
        <v>2.0791878172588834</v>
      </c>
    </row>
    <row r="2139" spans="2:4" ht="15" x14ac:dyDescent="0.15">
      <c r="B2139" s="38">
        <v>8508</v>
      </c>
      <c r="C2139" s="39">
        <f t="shared" si="70"/>
        <v>6.362284636593122</v>
      </c>
      <c r="D2139" s="39">
        <f t="shared" si="71"/>
        <v>2.0802437785678007</v>
      </c>
    </row>
    <row r="2140" spans="2:4" ht="15" x14ac:dyDescent="0.15">
      <c r="B2140" s="38">
        <v>8512</v>
      </c>
      <c r="C2140" s="39">
        <f t="shared" si="70"/>
        <v>6.3666970774490341</v>
      </c>
      <c r="D2140" s="39">
        <f t="shared" si="71"/>
        <v>2.0813008130081303</v>
      </c>
    </row>
    <row r="2141" spans="2:4" ht="15" x14ac:dyDescent="0.15">
      <c r="B2141" s="38">
        <v>8516</v>
      </c>
      <c r="C2141" s="39">
        <f t="shared" si="70"/>
        <v>6.3711117609687529</v>
      </c>
      <c r="D2141" s="39">
        <f t="shared" si="71"/>
        <v>2.0823589222165735</v>
      </c>
    </row>
    <row r="2142" spans="2:4" ht="15" x14ac:dyDescent="0.15">
      <c r="B2142" s="38">
        <v>8520</v>
      </c>
      <c r="C2142" s="39">
        <f t="shared" si="70"/>
        <v>6.3755286894331498</v>
      </c>
      <c r="D2142" s="39">
        <f t="shared" si="71"/>
        <v>2.0834181078331637</v>
      </c>
    </row>
    <row r="2143" spans="2:4" ht="15" x14ac:dyDescent="0.15">
      <c r="B2143" s="38">
        <v>8524</v>
      </c>
      <c r="C2143" s="39">
        <f t="shared" si="70"/>
        <v>6.3799478651265762</v>
      </c>
      <c r="D2143" s="39">
        <f t="shared" si="71"/>
        <v>2.0844783715012722</v>
      </c>
    </row>
    <row r="2144" spans="2:4" ht="15" x14ac:dyDescent="0.15">
      <c r="B2144" s="38">
        <v>8528</v>
      </c>
      <c r="C2144" s="39">
        <f t="shared" si="70"/>
        <v>6.3843692903368687</v>
      </c>
      <c r="D2144" s="39">
        <f t="shared" si="71"/>
        <v>2.0855397148676169</v>
      </c>
    </row>
    <row r="2145" spans="2:4" ht="15" x14ac:dyDescent="0.15">
      <c r="B2145" s="38">
        <v>8532</v>
      </c>
      <c r="C2145" s="39">
        <f t="shared" si="70"/>
        <v>6.3887929673553625</v>
      </c>
      <c r="D2145" s="39">
        <f t="shared" si="71"/>
        <v>2.086602139582272</v>
      </c>
    </row>
    <row r="2146" spans="2:4" ht="15" x14ac:dyDescent="0.15">
      <c r="B2146" s="38">
        <v>8536</v>
      </c>
      <c r="C2146" s="39">
        <f t="shared" si="70"/>
        <v>6.3932188984768938</v>
      </c>
      <c r="D2146" s="39">
        <f t="shared" si="71"/>
        <v>2.087665647298675</v>
      </c>
    </row>
    <row r="2147" spans="2:4" ht="15" x14ac:dyDescent="0.15">
      <c r="B2147" s="38">
        <v>8540</v>
      </c>
      <c r="C2147" s="39">
        <f t="shared" si="70"/>
        <v>6.3976470859998074</v>
      </c>
      <c r="D2147" s="39">
        <f t="shared" si="71"/>
        <v>2.088730239673636</v>
      </c>
    </row>
    <row r="2148" spans="2:4" ht="15" x14ac:dyDescent="0.15">
      <c r="B2148" s="38">
        <v>8544</v>
      </c>
      <c r="C2148" s="39">
        <f t="shared" si="70"/>
        <v>6.4020775322259666</v>
      </c>
      <c r="D2148" s="39">
        <f t="shared" si="71"/>
        <v>2.0897959183673471</v>
      </c>
    </row>
    <row r="2149" spans="2:4" ht="15" x14ac:dyDescent="0.15">
      <c r="B2149" s="38">
        <v>8548</v>
      </c>
      <c r="C2149" s="39">
        <f t="shared" si="70"/>
        <v>6.4065102394607596</v>
      </c>
      <c r="D2149" s="39">
        <f t="shared" si="71"/>
        <v>2.0908626850433896</v>
      </c>
    </row>
    <row r="2150" spans="2:4" ht="15" x14ac:dyDescent="0.15">
      <c r="B2150" s="38">
        <v>8552</v>
      </c>
      <c r="C2150" s="39">
        <f t="shared" si="70"/>
        <v>6.4109452100131072</v>
      </c>
      <c r="D2150" s="39">
        <f t="shared" si="71"/>
        <v>2.0919305413687437</v>
      </c>
    </row>
    <row r="2151" spans="2:4" ht="15" x14ac:dyDescent="0.15">
      <c r="B2151" s="38">
        <v>8556</v>
      </c>
      <c r="C2151" s="39">
        <f t="shared" si="70"/>
        <v>6.4153824461954647</v>
      </c>
      <c r="D2151" s="39">
        <f t="shared" si="71"/>
        <v>2.0929994890137968</v>
      </c>
    </row>
    <row r="2152" spans="2:4" ht="15" x14ac:dyDescent="0.15">
      <c r="B2152" s="38">
        <v>8560</v>
      </c>
      <c r="C2152" s="39">
        <f t="shared" si="70"/>
        <v>6.4198219503238354</v>
      </c>
      <c r="D2152" s="39">
        <f t="shared" si="71"/>
        <v>2.0940695296523519</v>
      </c>
    </row>
    <row r="2153" spans="2:4" ht="15" x14ac:dyDescent="0.15">
      <c r="B2153" s="38">
        <v>8564</v>
      </c>
      <c r="C2153" s="39">
        <f t="shared" si="70"/>
        <v>6.4242637247177736</v>
      </c>
      <c r="D2153" s="39">
        <f t="shared" si="71"/>
        <v>2.0951406649616366</v>
      </c>
    </row>
    <row r="2154" spans="2:4" ht="15" x14ac:dyDescent="0.15">
      <c r="B2154" s="38">
        <v>8568</v>
      </c>
      <c r="C2154" s="39">
        <f t="shared" si="70"/>
        <v>6.4287077717004015</v>
      </c>
      <c r="D2154" s="39">
        <f t="shared" si="71"/>
        <v>2.0962128966223132</v>
      </c>
    </row>
    <row r="2155" spans="2:4" ht="15" x14ac:dyDescent="0.15">
      <c r="B2155" s="38">
        <v>8572</v>
      </c>
      <c r="C2155" s="39">
        <f t="shared" si="70"/>
        <v>6.4331540935983984</v>
      </c>
      <c r="D2155" s="39">
        <f t="shared" si="71"/>
        <v>2.0972862263184844</v>
      </c>
    </row>
    <row r="2156" spans="2:4" ht="15" x14ac:dyDescent="0.15">
      <c r="B2156" s="38">
        <v>8576</v>
      </c>
      <c r="C2156" s="39">
        <f t="shared" si="70"/>
        <v>6.4376026927420273</v>
      </c>
      <c r="D2156" s="39">
        <f t="shared" si="71"/>
        <v>2.098360655737705</v>
      </c>
    </row>
    <row r="2157" spans="2:4" ht="15" x14ac:dyDescent="0.15">
      <c r="B2157" s="38">
        <v>8580</v>
      </c>
      <c r="C2157" s="39">
        <f t="shared" si="70"/>
        <v>6.4420535714651255</v>
      </c>
      <c r="D2157" s="39">
        <f t="shared" si="71"/>
        <v>2.0994361865709892</v>
      </c>
    </row>
    <row r="2158" spans="2:4" ht="15" x14ac:dyDescent="0.15">
      <c r="B2158" s="38">
        <v>8584</v>
      </c>
      <c r="C2158" s="39">
        <f t="shared" si="70"/>
        <v>6.4465067321051261</v>
      </c>
      <c r="D2158" s="39">
        <f t="shared" si="71"/>
        <v>2.1005128205128205</v>
      </c>
    </row>
    <row r="2159" spans="2:4" ht="15" x14ac:dyDescent="0.15">
      <c r="B2159" s="38">
        <v>8588</v>
      </c>
      <c r="C2159" s="39">
        <f t="shared" si="70"/>
        <v>6.4509621770030581</v>
      </c>
      <c r="D2159" s="39">
        <f t="shared" si="71"/>
        <v>2.1015905592611595</v>
      </c>
    </row>
    <row r="2160" spans="2:4" ht="15" x14ac:dyDescent="0.15">
      <c r="B2160" s="38">
        <v>8592</v>
      </c>
      <c r="C2160" s="39">
        <f t="shared" si="70"/>
        <v>6.4554199085035524</v>
      </c>
      <c r="D2160" s="39">
        <f t="shared" si="71"/>
        <v>2.1026694045174539</v>
      </c>
    </row>
    <row r="2161" spans="2:4" ht="15" x14ac:dyDescent="0.15">
      <c r="B2161" s="38">
        <v>8596</v>
      </c>
      <c r="C2161" s="39">
        <f t="shared" si="70"/>
        <v>6.4598799289548534</v>
      </c>
      <c r="D2161" s="39">
        <f t="shared" si="71"/>
        <v>2.1037493579866462</v>
      </c>
    </row>
    <row r="2162" spans="2:4" ht="15" x14ac:dyDescent="0.15">
      <c r="B2162" s="38">
        <v>8600</v>
      </c>
      <c r="C2162" s="39">
        <f t="shared" si="70"/>
        <v>6.4643422407088247</v>
      </c>
      <c r="D2162" s="39">
        <f t="shared" si="71"/>
        <v>2.104830421377184</v>
      </c>
    </row>
    <row r="2163" spans="2:4" ht="15" x14ac:dyDescent="0.15">
      <c r="B2163" s="38">
        <v>8604</v>
      </c>
      <c r="C2163" s="39">
        <f t="shared" si="70"/>
        <v>6.4688068461209554</v>
      </c>
      <c r="D2163" s="39">
        <f t="shared" si="71"/>
        <v>2.1059125964010281</v>
      </c>
    </row>
    <row r="2164" spans="2:4" ht="15" x14ac:dyDescent="0.15">
      <c r="B2164" s="38">
        <v>8608</v>
      </c>
      <c r="C2164" s="39">
        <f t="shared" si="70"/>
        <v>6.4732737475503725</v>
      </c>
      <c r="D2164" s="39">
        <f t="shared" si="71"/>
        <v>2.1069958847736627</v>
      </c>
    </row>
    <row r="2165" spans="2:4" ht="15" x14ac:dyDescent="0.15">
      <c r="B2165" s="38">
        <v>8612</v>
      </c>
      <c r="C2165" s="39">
        <f t="shared" si="70"/>
        <v>6.4777429473598369</v>
      </c>
      <c r="D2165" s="39">
        <f t="shared" si="71"/>
        <v>2.1080802882141021</v>
      </c>
    </row>
    <row r="2166" spans="2:4" ht="15" x14ac:dyDescent="0.15">
      <c r="B2166" s="38">
        <v>8616</v>
      </c>
      <c r="C2166" s="39">
        <f t="shared" si="70"/>
        <v>6.4822144479157648</v>
      </c>
      <c r="D2166" s="39">
        <f t="shared" si="71"/>
        <v>2.1091658084449021</v>
      </c>
    </row>
    <row r="2167" spans="2:4" ht="15" x14ac:dyDescent="0.15">
      <c r="B2167" s="38">
        <v>8620</v>
      </c>
      <c r="C2167" s="39">
        <f t="shared" si="70"/>
        <v>6.4866882515882303</v>
      </c>
      <c r="D2167" s="39">
        <f t="shared" si="71"/>
        <v>2.1102524471921691</v>
      </c>
    </row>
    <row r="2168" spans="2:4" ht="15" x14ac:dyDescent="0.15">
      <c r="B2168" s="38">
        <v>8624</v>
      </c>
      <c r="C2168" s="39">
        <f t="shared" si="70"/>
        <v>6.4911643607509664</v>
      </c>
      <c r="D2168" s="39">
        <f t="shared" si="71"/>
        <v>2.1113402061855671</v>
      </c>
    </row>
    <row r="2169" spans="2:4" ht="15" x14ac:dyDescent="0.15">
      <c r="B2169" s="38">
        <v>8628</v>
      </c>
      <c r="C2169" s="39">
        <f t="shared" si="70"/>
        <v>6.4956427777813799</v>
      </c>
      <c r="D2169" s="39">
        <f t="shared" si="71"/>
        <v>2.1124290871583291</v>
      </c>
    </row>
    <row r="2170" spans="2:4" ht="15" x14ac:dyDescent="0.15">
      <c r="B2170" s="38">
        <v>8632</v>
      </c>
      <c r="C2170" s="39">
        <f t="shared" si="70"/>
        <v>6.5001235050605555</v>
      </c>
      <c r="D2170" s="39">
        <f t="shared" si="71"/>
        <v>2.1135190918472651</v>
      </c>
    </row>
    <row r="2171" spans="2:4" ht="15" x14ac:dyDescent="0.15">
      <c r="B2171" s="38">
        <v>8636</v>
      </c>
      <c r="C2171" s="39">
        <f t="shared" si="70"/>
        <v>6.5046065449732717</v>
      </c>
      <c r="D2171" s="39">
        <f t="shared" si="71"/>
        <v>2.1146102219927725</v>
      </c>
    </row>
    <row r="2172" spans="2:4" ht="15" x14ac:dyDescent="0.15">
      <c r="B2172" s="38">
        <v>8640</v>
      </c>
      <c r="C2172" s="39">
        <f t="shared" si="70"/>
        <v>6.5090918999079896</v>
      </c>
      <c r="D2172" s="39">
        <f t="shared" si="71"/>
        <v>2.115702479338843</v>
      </c>
    </row>
    <row r="2173" spans="2:4" ht="15" x14ac:dyDescent="0.15">
      <c r="B2173" s="38">
        <v>8644</v>
      </c>
      <c r="C2173" s="39">
        <f t="shared" si="70"/>
        <v>6.5135795722568819</v>
      </c>
      <c r="D2173" s="39">
        <f t="shared" si="71"/>
        <v>2.1167958656330748</v>
      </c>
    </row>
    <row r="2174" spans="2:4" ht="15" x14ac:dyDescent="0.15">
      <c r="B2174" s="38">
        <v>8648</v>
      </c>
      <c r="C2174" s="39">
        <f t="shared" si="70"/>
        <v>6.5180695644158302</v>
      </c>
      <c r="D2174" s="39">
        <f t="shared" si="71"/>
        <v>2.1178903826266806</v>
      </c>
    </row>
    <row r="2175" spans="2:4" ht="15" x14ac:dyDescent="0.15">
      <c r="B2175" s="38">
        <v>8652</v>
      </c>
      <c r="C2175" s="39">
        <f t="shared" si="70"/>
        <v>6.5225618787844262</v>
      </c>
      <c r="D2175" s="39">
        <f t="shared" si="71"/>
        <v>2.1189860320744955</v>
      </c>
    </row>
    <row r="2176" spans="2:4" ht="15" x14ac:dyDescent="0.15">
      <c r="B2176" s="38">
        <v>8656</v>
      </c>
      <c r="C2176" s="39">
        <f t="shared" si="70"/>
        <v>6.5270565177659972</v>
      </c>
      <c r="D2176" s="39">
        <f t="shared" si="71"/>
        <v>2.1200828157349898</v>
      </c>
    </row>
    <row r="2177" spans="2:4" ht="15" x14ac:dyDescent="0.15">
      <c r="B2177" s="38">
        <v>8660</v>
      </c>
      <c r="C2177" s="39">
        <f t="shared" si="70"/>
        <v>6.5315534837675919</v>
      </c>
      <c r="D2177" s="39">
        <f t="shared" si="71"/>
        <v>2.1211807353702743</v>
      </c>
    </row>
    <row r="2178" spans="2:4" ht="15" x14ac:dyDescent="0.15">
      <c r="B2178" s="38">
        <v>8664</v>
      </c>
      <c r="C2178" s="39">
        <f t="shared" si="70"/>
        <v>6.5360527792000109</v>
      </c>
      <c r="D2178" s="39">
        <f t="shared" si="71"/>
        <v>2.1222797927461139</v>
      </c>
    </row>
    <row r="2179" spans="2:4" ht="15" x14ac:dyDescent="0.15">
      <c r="B2179" s="38">
        <v>8668</v>
      </c>
      <c r="C2179" s="39">
        <f t="shared" si="70"/>
        <v>6.5405544064777965</v>
      </c>
      <c r="D2179" s="39">
        <f t="shared" si="71"/>
        <v>2.1233799896319336</v>
      </c>
    </row>
    <row r="2180" spans="2:4" ht="15" x14ac:dyDescent="0.15">
      <c r="B2180" s="38">
        <v>8672</v>
      </c>
      <c r="C2180" s="39">
        <f t="shared" si="70"/>
        <v>6.545058368019248</v>
      </c>
      <c r="D2180" s="39">
        <f t="shared" si="71"/>
        <v>2.1244813278008299</v>
      </c>
    </row>
    <row r="2181" spans="2:4" ht="15" x14ac:dyDescent="0.15">
      <c r="B2181" s="38">
        <v>8676</v>
      </c>
      <c r="C2181" s="39">
        <f t="shared" si="70"/>
        <v>6.5495646662464271</v>
      </c>
      <c r="D2181" s="39">
        <f t="shared" si="71"/>
        <v>2.1255838090295796</v>
      </c>
    </row>
    <row r="2182" spans="2:4" ht="15" x14ac:dyDescent="0.15">
      <c r="B2182" s="38">
        <v>8680</v>
      </c>
      <c r="C2182" s="39">
        <f t="shared" si="70"/>
        <v>6.5540733035851728</v>
      </c>
      <c r="D2182" s="39">
        <f t="shared" si="71"/>
        <v>2.12668743509865</v>
      </c>
    </row>
    <row r="2183" spans="2:4" ht="15" x14ac:dyDescent="0.15">
      <c r="B2183" s="38">
        <v>8684</v>
      </c>
      <c r="C2183" s="39">
        <f t="shared" si="70"/>
        <v>6.5585842824650973</v>
      </c>
      <c r="D2183" s="39">
        <f t="shared" si="71"/>
        <v>2.1277922077922078</v>
      </c>
    </row>
    <row r="2184" spans="2:4" ht="15" x14ac:dyDescent="0.15">
      <c r="B2184" s="38">
        <v>8688</v>
      </c>
      <c r="C2184" s="39">
        <f t="shared" si="70"/>
        <v>6.5630976053196042</v>
      </c>
      <c r="D2184" s="39">
        <f t="shared" si="71"/>
        <v>2.128898128898129</v>
      </c>
    </row>
    <row r="2185" spans="2:4" ht="15" x14ac:dyDescent="0.15">
      <c r="B2185" s="38">
        <v>8692</v>
      </c>
      <c r="C2185" s="39">
        <f t="shared" si="70"/>
        <v>6.5676132745858906</v>
      </c>
      <c r="D2185" s="39">
        <f t="shared" si="71"/>
        <v>2.1300052002080085</v>
      </c>
    </row>
    <row r="2186" spans="2:4" ht="15" x14ac:dyDescent="0.15">
      <c r="B2186" s="38">
        <v>8696</v>
      </c>
      <c r="C2186" s="39">
        <f t="shared" si="70"/>
        <v>6.5721312927049569</v>
      </c>
      <c r="D2186" s="39">
        <f t="shared" si="71"/>
        <v>2.1311134235171698</v>
      </c>
    </row>
    <row r="2187" spans="2:4" ht="15" x14ac:dyDescent="0.15">
      <c r="B2187" s="38">
        <v>8700</v>
      </c>
      <c r="C2187" s="39">
        <f t="shared" si="70"/>
        <v>6.5766516621216145</v>
      </c>
      <c r="D2187" s="39">
        <f t="shared" si="71"/>
        <v>2.1322228006246746</v>
      </c>
    </row>
    <row r="2188" spans="2:4" ht="15" x14ac:dyDescent="0.15">
      <c r="B2188" s="38">
        <v>8704</v>
      </c>
      <c r="C2188" s="39">
        <f t="shared" si="70"/>
        <v>6.5811743852844948</v>
      </c>
      <c r="D2188" s="39">
        <f t="shared" si="71"/>
        <v>2.1333333333333333</v>
      </c>
    </row>
    <row r="2189" spans="2:4" ht="15" x14ac:dyDescent="0.15">
      <c r="B2189" s="38">
        <v>8708</v>
      </c>
      <c r="C2189" s="39">
        <f t="shared" ref="C2189:C2252" si="72">20*LOG(D2189)</f>
        <v>6.5856994646460549</v>
      </c>
      <c r="D2189" s="39">
        <f t="shared" ref="D2189:D2252" si="73">16384/(16384-B2189)</f>
        <v>2.1344450234497132</v>
      </c>
    </row>
    <row r="2190" spans="2:4" ht="15" x14ac:dyDescent="0.15">
      <c r="B2190" s="38">
        <v>8712</v>
      </c>
      <c r="C2190" s="39">
        <f t="shared" si="72"/>
        <v>6.5902269026625913</v>
      </c>
      <c r="D2190" s="39">
        <f t="shared" si="73"/>
        <v>2.1355578727841502</v>
      </c>
    </row>
    <row r="2191" spans="2:4" ht="15" x14ac:dyDescent="0.15">
      <c r="B2191" s="38">
        <v>8716</v>
      </c>
      <c r="C2191" s="39">
        <f t="shared" si="72"/>
        <v>6.5947567017942346</v>
      </c>
      <c r="D2191" s="39">
        <f t="shared" si="73"/>
        <v>2.1366718831507563</v>
      </c>
    </row>
    <row r="2192" spans="2:4" ht="15" x14ac:dyDescent="0.15">
      <c r="B2192" s="38">
        <v>8720</v>
      </c>
      <c r="C2192" s="39">
        <f t="shared" si="72"/>
        <v>6.5992888645049739</v>
      </c>
      <c r="D2192" s="39">
        <f t="shared" si="73"/>
        <v>2.1377870563674319</v>
      </c>
    </row>
    <row r="2193" spans="2:4" ht="15" x14ac:dyDescent="0.15">
      <c r="B2193" s="38">
        <v>8724</v>
      </c>
      <c r="C2193" s="39">
        <f t="shared" si="72"/>
        <v>6.6038233932626556</v>
      </c>
      <c r="D2193" s="39">
        <f t="shared" si="73"/>
        <v>2.1389033942558746</v>
      </c>
    </row>
    <row r="2194" spans="2:4" ht="15" x14ac:dyDescent="0.15">
      <c r="B2194" s="38">
        <v>8728</v>
      </c>
      <c r="C2194" s="39">
        <f t="shared" si="72"/>
        <v>6.6083602905389931</v>
      </c>
      <c r="D2194" s="39">
        <f t="shared" si="73"/>
        <v>2.1400208986415885</v>
      </c>
    </row>
    <row r="2195" spans="2:4" ht="15" x14ac:dyDescent="0.15">
      <c r="B2195" s="38">
        <v>8732</v>
      </c>
      <c r="C2195" s="39">
        <f t="shared" si="72"/>
        <v>6.6128995588095698</v>
      </c>
      <c r="D2195" s="39">
        <f t="shared" si="73"/>
        <v>2.1411395713538943</v>
      </c>
    </row>
    <row r="2196" spans="2:4" ht="15" x14ac:dyDescent="0.15">
      <c r="B2196" s="38">
        <v>8736</v>
      </c>
      <c r="C2196" s="39">
        <f t="shared" si="72"/>
        <v>6.617441200553861</v>
      </c>
      <c r="D2196" s="39">
        <f t="shared" si="73"/>
        <v>2.1422594142259412</v>
      </c>
    </row>
    <row r="2197" spans="2:4" ht="15" x14ac:dyDescent="0.15">
      <c r="B2197" s="38">
        <v>8740</v>
      </c>
      <c r="C2197" s="39">
        <f t="shared" si="72"/>
        <v>6.6219852182552295</v>
      </c>
      <c r="D2197" s="39">
        <f t="shared" si="73"/>
        <v>2.1433804290947149</v>
      </c>
    </row>
    <row r="2198" spans="2:4" ht="15" x14ac:dyDescent="0.15">
      <c r="B2198" s="38">
        <v>8744</v>
      </c>
      <c r="C2198" s="39">
        <f t="shared" si="72"/>
        <v>6.6265316144009372</v>
      </c>
      <c r="D2198" s="39">
        <f t="shared" si="73"/>
        <v>2.1445026178010473</v>
      </c>
    </row>
    <row r="2199" spans="2:4" ht="15" x14ac:dyDescent="0.15">
      <c r="B2199" s="38">
        <v>8748</v>
      </c>
      <c r="C2199" s="39">
        <f t="shared" si="72"/>
        <v>6.6310803914821514</v>
      </c>
      <c r="D2199" s="39">
        <f t="shared" si="73"/>
        <v>2.1456259821896282</v>
      </c>
    </row>
    <row r="2200" spans="2:4" ht="15" x14ac:dyDescent="0.15">
      <c r="B2200" s="38">
        <v>8752</v>
      </c>
      <c r="C2200" s="39">
        <f t="shared" si="72"/>
        <v>6.6356315519939617</v>
      </c>
      <c r="D2200" s="39">
        <f t="shared" si="73"/>
        <v>2.1467505241090148</v>
      </c>
    </row>
    <row r="2201" spans="2:4" ht="15" x14ac:dyDescent="0.15">
      <c r="B2201" s="38">
        <v>8756</v>
      </c>
      <c r="C2201" s="39">
        <f t="shared" si="72"/>
        <v>6.6401850984353752</v>
      </c>
      <c r="D2201" s="39">
        <f t="shared" si="73"/>
        <v>2.1478762454116413</v>
      </c>
    </row>
    <row r="2202" spans="2:4" ht="15" x14ac:dyDescent="0.15">
      <c r="B2202" s="38">
        <v>8760</v>
      </c>
      <c r="C2202" s="39">
        <f t="shared" si="72"/>
        <v>6.6447410333093346</v>
      </c>
      <c r="D2202" s="39">
        <f t="shared" si="73"/>
        <v>2.1490031479538301</v>
      </c>
    </row>
    <row r="2203" spans="2:4" ht="15" x14ac:dyDescent="0.15">
      <c r="B2203" s="38">
        <v>8764</v>
      </c>
      <c r="C2203" s="39">
        <f t="shared" si="72"/>
        <v>6.6492993591227245</v>
      </c>
      <c r="D2203" s="39">
        <f t="shared" si="73"/>
        <v>2.1501312335958005</v>
      </c>
    </row>
    <row r="2204" spans="2:4" ht="15" x14ac:dyDescent="0.15">
      <c r="B2204" s="38">
        <v>8768</v>
      </c>
      <c r="C2204" s="39">
        <f t="shared" si="72"/>
        <v>6.6538600783863755</v>
      </c>
      <c r="D2204" s="39">
        <f t="shared" si="73"/>
        <v>2.1512605042016806</v>
      </c>
    </row>
    <row r="2205" spans="2:4" ht="15" x14ac:dyDescent="0.15">
      <c r="B2205" s="38">
        <v>8772</v>
      </c>
      <c r="C2205" s="39">
        <f t="shared" si="72"/>
        <v>6.6584231936150768</v>
      </c>
      <c r="D2205" s="39">
        <f t="shared" si="73"/>
        <v>2.1523909616395165</v>
      </c>
    </row>
    <row r="2206" spans="2:4" ht="15" x14ac:dyDescent="0.15">
      <c r="B2206" s="38">
        <v>8776</v>
      </c>
      <c r="C2206" s="39">
        <f t="shared" si="72"/>
        <v>6.6629887073275835</v>
      </c>
      <c r="D2206" s="39">
        <f t="shared" si="73"/>
        <v>2.1535226077812828</v>
      </c>
    </row>
    <row r="2207" spans="2:4" ht="15" x14ac:dyDescent="0.15">
      <c r="B2207" s="38">
        <v>8780</v>
      </c>
      <c r="C2207" s="39">
        <f t="shared" si="72"/>
        <v>6.6675566220466242</v>
      </c>
      <c r="D2207" s="39">
        <f t="shared" si="73"/>
        <v>2.1546554445028931</v>
      </c>
    </row>
    <row r="2208" spans="2:4" ht="15" x14ac:dyDescent="0.15">
      <c r="B2208" s="38">
        <v>8784</v>
      </c>
      <c r="C2208" s="39">
        <f t="shared" si="72"/>
        <v>6.6721269402989067</v>
      </c>
      <c r="D2208" s="39">
        <f t="shared" si="73"/>
        <v>2.1557894736842105</v>
      </c>
    </row>
    <row r="2209" spans="2:4" ht="15" x14ac:dyDescent="0.15">
      <c r="B2209" s="38">
        <v>8788</v>
      </c>
      <c r="C2209" s="39">
        <f t="shared" si="72"/>
        <v>6.6766996646151355</v>
      </c>
      <c r="D2209" s="39">
        <f t="shared" si="73"/>
        <v>2.1569246972090572</v>
      </c>
    </row>
    <row r="2210" spans="2:4" ht="15" x14ac:dyDescent="0.15">
      <c r="B2210" s="38">
        <v>8792</v>
      </c>
      <c r="C2210" s="39">
        <f t="shared" si="72"/>
        <v>6.6812747975300093</v>
      </c>
      <c r="D2210" s="39">
        <f t="shared" si="73"/>
        <v>2.1580611169652264</v>
      </c>
    </row>
    <row r="2211" spans="2:4" ht="15" x14ac:dyDescent="0.15">
      <c r="B2211" s="38">
        <v>8796</v>
      </c>
      <c r="C2211" s="39">
        <f t="shared" si="72"/>
        <v>6.685852341582236</v>
      </c>
      <c r="D2211" s="39">
        <f t="shared" si="73"/>
        <v>2.1591987348444914</v>
      </c>
    </row>
    <row r="2212" spans="2:4" ht="15" x14ac:dyDescent="0.15">
      <c r="B2212" s="38">
        <v>8800</v>
      </c>
      <c r="C2212" s="39">
        <f t="shared" si="72"/>
        <v>6.6904322993145371</v>
      </c>
      <c r="D2212" s="39">
        <f t="shared" si="73"/>
        <v>2.1603375527426159</v>
      </c>
    </row>
    <row r="2213" spans="2:4" ht="15" x14ac:dyDescent="0.15">
      <c r="B2213" s="38">
        <v>8804</v>
      </c>
      <c r="C2213" s="39">
        <f t="shared" si="72"/>
        <v>6.695014673273664</v>
      </c>
      <c r="D2213" s="39">
        <f t="shared" si="73"/>
        <v>2.1614775725593667</v>
      </c>
    </row>
    <row r="2214" spans="2:4" ht="15" x14ac:dyDescent="0.15">
      <c r="B2214" s="38">
        <v>8808</v>
      </c>
      <c r="C2214" s="39">
        <f t="shared" si="72"/>
        <v>6.6995994660103939</v>
      </c>
      <c r="D2214" s="39">
        <f t="shared" si="73"/>
        <v>2.1626187961985215</v>
      </c>
    </row>
    <row r="2215" spans="2:4" ht="15" x14ac:dyDescent="0.15">
      <c r="B2215" s="38">
        <v>8812</v>
      </c>
      <c r="C2215" s="39">
        <f t="shared" si="72"/>
        <v>6.7041866800795527</v>
      </c>
      <c r="D2215" s="39">
        <f t="shared" si="73"/>
        <v>2.1637612255678818</v>
      </c>
    </row>
    <row r="2216" spans="2:4" ht="15" x14ac:dyDescent="0.15">
      <c r="B2216" s="38">
        <v>8816</v>
      </c>
      <c r="C2216" s="39">
        <f t="shared" si="72"/>
        <v>6.7087763180400088</v>
      </c>
      <c r="D2216" s="39">
        <f t="shared" si="73"/>
        <v>2.1649048625792813</v>
      </c>
    </row>
    <row r="2217" spans="2:4" ht="15" x14ac:dyDescent="0.15">
      <c r="B2217" s="38">
        <v>8820</v>
      </c>
      <c r="C2217" s="39">
        <f t="shared" si="72"/>
        <v>6.7133683824546928</v>
      </c>
      <c r="D2217" s="39">
        <f t="shared" si="73"/>
        <v>2.1660497091485986</v>
      </c>
    </row>
    <row r="2218" spans="2:4" ht="15" x14ac:dyDescent="0.15">
      <c r="B2218" s="38">
        <v>8824</v>
      </c>
      <c r="C2218" s="39">
        <f t="shared" si="72"/>
        <v>6.7179628758906045</v>
      </c>
      <c r="D2218" s="39">
        <f t="shared" si="73"/>
        <v>2.1671957671957673</v>
      </c>
    </row>
    <row r="2219" spans="2:4" ht="15" x14ac:dyDescent="0.15">
      <c r="B2219" s="38">
        <v>8828</v>
      </c>
      <c r="C2219" s="39">
        <f t="shared" si="72"/>
        <v>6.7225598009188161</v>
      </c>
      <c r="D2219" s="39">
        <f t="shared" si="73"/>
        <v>2.1683430386447857</v>
      </c>
    </row>
    <row r="2220" spans="2:4" ht="15" x14ac:dyDescent="0.15">
      <c r="B2220" s="38">
        <v>8832</v>
      </c>
      <c r="C2220" s="39">
        <f t="shared" si="72"/>
        <v>6.7271591601144829</v>
      </c>
      <c r="D2220" s="39">
        <f t="shared" si="73"/>
        <v>2.1694915254237288</v>
      </c>
    </row>
    <row r="2221" spans="2:4" ht="15" x14ac:dyDescent="0.15">
      <c r="B2221" s="38">
        <v>8836</v>
      </c>
      <c r="C2221" s="39">
        <f t="shared" si="72"/>
        <v>6.7317609560568599</v>
      </c>
      <c r="D2221" s="39">
        <f t="shared" si="73"/>
        <v>2.170641229464759</v>
      </c>
    </row>
    <row r="2222" spans="2:4" ht="15" x14ac:dyDescent="0.15">
      <c r="B2222" s="38">
        <v>8840</v>
      </c>
      <c r="C2222" s="39">
        <f t="shared" si="72"/>
        <v>6.7363651913292966</v>
      </c>
      <c r="D2222" s="39">
        <f t="shared" si="73"/>
        <v>2.1717921527041359</v>
      </c>
    </row>
    <row r="2223" spans="2:4" ht="15" x14ac:dyDescent="0.15">
      <c r="B2223" s="38">
        <v>8844</v>
      </c>
      <c r="C2223" s="39">
        <f t="shared" si="72"/>
        <v>6.740971868519253</v>
      </c>
      <c r="D2223" s="39">
        <f t="shared" si="73"/>
        <v>2.1729442970822279</v>
      </c>
    </row>
    <row r="2224" spans="2:4" ht="15" x14ac:dyDescent="0.15">
      <c r="B2224" s="38">
        <v>8848</v>
      </c>
      <c r="C2224" s="39">
        <f t="shared" si="72"/>
        <v>6.7455809902183148</v>
      </c>
      <c r="D2224" s="39">
        <f t="shared" si="73"/>
        <v>2.1740976645435244</v>
      </c>
    </row>
    <row r="2225" spans="2:4" ht="15" x14ac:dyDescent="0.15">
      <c r="B2225" s="38">
        <v>8852</v>
      </c>
      <c r="C2225" s="39">
        <f t="shared" si="72"/>
        <v>6.7501925590221905</v>
      </c>
      <c r="D2225" s="39">
        <f t="shared" si="73"/>
        <v>2.1752522570366435</v>
      </c>
    </row>
    <row r="2226" spans="2:4" ht="15" x14ac:dyDescent="0.15">
      <c r="B2226" s="38">
        <v>8856</v>
      </c>
      <c r="C2226" s="39">
        <f t="shared" si="72"/>
        <v>6.754806577530724</v>
      </c>
      <c r="D2226" s="39">
        <f t="shared" si="73"/>
        <v>2.1764080765143463</v>
      </c>
    </row>
    <row r="2227" spans="2:4" ht="15" x14ac:dyDescent="0.15">
      <c r="B2227" s="38">
        <v>8860</v>
      </c>
      <c r="C2227" s="39">
        <f t="shared" si="72"/>
        <v>6.7594230483479105</v>
      </c>
      <c r="D2227" s="39">
        <f t="shared" si="73"/>
        <v>2.1775651249335461</v>
      </c>
    </row>
    <row r="2228" spans="2:4" ht="15" x14ac:dyDescent="0.15">
      <c r="B2228" s="38">
        <v>8864</v>
      </c>
      <c r="C2228" s="39">
        <f t="shared" si="72"/>
        <v>6.7640419740818905</v>
      </c>
      <c r="D2228" s="39">
        <f t="shared" si="73"/>
        <v>2.1787234042553192</v>
      </c>
    </row>
    <row r="2229" spans="2:4" ht="15" x14ac:dyDescent="0.15">
      <c r="B2229" s="38">
        <v>8868</v>
      </c>
      <c r="C2229" s="39">
        <f t="shared" si="72"/>
        <v>6.7686633573449742</v>
      </c>
      <c r="D2229" s="39">
        <f t="shared" si="73"/>
        <v>2.1798829164449174</v>
      </c>
    </row>
    <row r="2230" spans="2:4" ht="15" x14ac:dyDescent="0.15">
      <c r="B2230" s="38">
        <v>8872</v>
      </c>
      <c r="C2230" s="39">
        <f t="shared" si="72"/>
        <v>6.7732872007536447</v>
      </c>
      <c r="D2230" s="39">
        <f t="shared" si="73"/>
        <v>2.1810436634717787</v>
      </c>
    </row>
    <row r="2231" spans="2:4" ht="15" x14ac:dyDescent="0.15">
      <c r="B2231" s="38">
        <v>8876</v>
      </c>
      <c r="C2231" s="39">
        <f t="shared" si="72"/>
        <v>6.7779135069285603</v>
      </c>
      <c r="D2231" s="39">
        <f t="shared" si="73"/>
        <v>2.1822056473095364</v>
      </c>
    </row>
    <row r="2232" spans="2:4" ht="15" x14ac:dyDescent="0.15">
      <c r="B2232" s="38">
        <v>8880</v>
      </c>
      <c r="C2232" s="39">
        <f t="shared" si="72"/>
        <v>6.7825422784945735</v>
      </c>
      <c r="D2232" s="39">
        <f t="shared" si="73"/>
        <v>2.1833688699360341</v>
      </c>
    </row>
    <row r="2233" spans="2:4" ht="15" x14ac:dyDescent="0.15">
      <c r="B2233" s="38">
        <v>8884</v>
      </c>
      <c r="C2233" s="39">
        <f t="shared" si="72"/>
        <v>6.7871735180807349</v>
      </c>
      <c r="D2233" s="39">
        <f t="shared" si="73"/>
        <v>2.1845333333333334</v>
      </c>
    </row>
    <row r="2234" spans="2:4" ht="15" x14ac:dyDescent="0.15">
      <c r="B2234" s="38">
        <v>8888</v>
      </c>
      <c r="C2234" s="39">
        <f t="shared" si="72"/>
        <v>6.7918072283202982</v>
      </c>
      <c r="D2234" s="39">
        <f t="shared" si="73"/>
        <v>2.1856990394877269</v>
      </c>
    </row>
    <row r="2235" spans="2:4" ht="15" x14ac:dyDescent="0.15">
      <c r="B2235" s="38">
        <v>8892</v>
      </c>
      <c r="C2235" s="39">
        <f t="shared" si="72"/>
        <v>6.7964434118507384</v>
      </c>
      <c r="D2235" s="39">
        <f t="shared" si="73"/>
        <v>2.1868659903897489</v>
      </c>
    </row>
    <row r="2236" spans="2:4" ht="15" x14ac:dyDescent="0.15">
      <c r="B2236" s="38">
        <v>8896</v>
      </c>
      <c r="C2236" s="39">
        <f t="shared" si="72"/>
        <v>6.8010820713137585</v>
      </c>
      <c r="D2236" s="39">
        <f t="shared" si="73"/>
        <v>2.1880341880341883</v>
      </c>
    </row>
    <row r="2237" spans="2:4" ht="15" x14ac:dyDescent="0.15">
      <c r="B2237" s="38">
        <v>8900</v>
      </c>
      <c r="C2237" s="39">
        <f t="shared" si="72"/>
        <v>6.8057232093552873</v>
      </c>
      <c r="D2237" s="39">
        <f t="shared" si="73"/>
        <v>2.189203634420096</v>
      </c>
    </row>
    <row r="2238" spans="2:4" ht="15" x14ac:dyDescent="0.15">
      <c r="B2238" s="38">
        <v>8904</v>
      </c>
      <c r="C2238" s="39">
        <f t="shared" si="72"/>
        <v>6.8103668286255079</v>
      </c>
      <c r="D2238" s="39">
        <f t="shared" si="73"/>
        <v>2.1903743315508022</v>
      </c>
    </row>
    <row r="2239" spans="2:4" ht="15" x14ac:dyDescent="0.15">
      <c r="B2239" s="38">
        <v>8908</v>
      </c>
      <c r="C2239" s="39">
        <f t="shared" si="72"/>
        <v>6.8150129317788455</v>
      </c>
      <c r="D2239" s="39">
        <f t="shared" si="73"/>
        <v>2.1915462814339217</v>
      </c>
    </row>
    <row r="2240" spans="2:4" ht="15" x14ac:dyDescent="0.15">
      <c r="B2240" s="38">
        <v>8912</v>
      </c>
      <c r="C2240" s="39">
        <f t="shared" si="72"/>
        <v>6.8196615214739964</v>
      </c>
      <c r="D2240" s="39">
        <f t="shared" si="73"/>
        <v>2.1927194860813706</v>
      </c>
    </row>
    <row r="2241" spans="2:4" ht="15" x14ac:dyDescent="0.15">
      <c r="B2241" s="38">
        <v>8916</v>
      </c>
      <c r="C2241" s="39">
        <f t="shared" si="72"/>
        <v>6.8243126003739203</v>
      </c>
      <c r="D2241" s="39">
        <f t="shared" si="73"/>
        <v>2.1938939475093733</v>
      </c>
    </row>
    <row r="2242" spans="2:4" ht="15" x14ac:dyDescent="0.15">
      <c r="B2242" s="38">
        <v>8920</v>
      </c>
      <c r="C2242" s="39">
        <f t="shared" si="72"/>
        <v>6.828966171145864</v>
      </c>
      <c r="D2242" s="39">
        <f t="shared" si="73"/>
        <v>2.195069667738478</v>
      </c>
    </row>
    <row r="2243" spans="2:4" ht="15" x14ac:dyDescent="0.15">
      <c r="B2243" s="38">
        <v>8924</v>
      </c>
      <c r="C2243" s="39">
        <f t="shared" si="72"/>
        <v>6.8336222364613599</v>
      </c>
      <c r="D2243" s="39">
        <f t="shared" si="73"/>
        <v>2.1962466487935659</v>
      </c>
    </row>
    <row r="2244" spans="2:4" ht="15" x14ac:dyDescent="0.15">
      <c r="B2244" s="38">
        <v>8928</v>
      </c>
      <c r="C2244" s="39">
        <f t="shared" si="72"/>
        <v>6.8382807989962355</v>
      </c>
      <c r="D2244" s="39">
        <f t="shared" si="73"/>
        <v>2.1974248927038627</v>
      </c>
    </row>
    <row r="2245" spans="2:4" ht="15" x14ac:dyDescent="0.15">
      <c r="B2245" s="38">
        <v>8932</v>
      </c>
      <c r="C2245" s="39">
        <f t="shared" si="72"/>
        <v>6.842941861430635</v>
      </c>
      <c r="D2245" s="39">
        <f t="shared" si="73"/>
        <v>2.1986044015029522</v>
      </c>
    </row>
    <row r="2246" spans="2:4" ht="15" x14ac:dyDescent="0.15">
      <c r="B2246" s="38">
        <v>8936</v>
      </c>
      <c r="C2246" s="39">
        <f t="shared" si="72"/>
        <v>6.8476054264490109</v>
      </c>
      <c r="D2246" s="39">
        <f t="shared" si="73"/>
        <v>2.1997851772287862</v>
      </c>
    </row>
    <row r="2247" spans="2:4" ht="15" x14ac:dyDescent="0.15">
      <c r="B2247" s="38">
        <v>8940</v>
      </c>
      <c r="C2247" s="39">
        <f t="shared" si="72"/>
        <v>6.8522714967401477</v>
      </c>
      <c r="D2247" s="39">
        <f t="shared" si="73"/>
        <v>2.2009672219236971</v>
      </c>
    </row>
    <row r="2248" spans="2:4" ht="15" x14ac:dyDescent="0.15">
      <c r="B2248" s="38">
        <v>8944</v>
      </c>
      <c r="C2248" s="39">
        <f t="shared" si="72"/>
        <v>6.8569400749971612</v>
      </c>
      <c r="D2248" s="39">
        <f t="shared" si="73"/>
        <v>2.2021505376344086</v>
      </c>
    </row>
    <row r="2249" spans="2:4" ht="15" x14ac:dyDescent="0.15">
      <c r="B2249" s="38">
        <v>8948</v>
      </c>
      <c r="C2249" s="39">
        <f t="shared" si="72"/>
        <v>6.861611163917515</v>
      </c>
      <c r="D2249" s="39">
        <f t="shared" si="73"/>
        <v>2.2033351264120493</v>
      </c>
    </row>
    <row r="2250" spans="2:4" ht="15" x14ac:dyDescent="0.15">
      <c r="B2250" s="38">
        <v>8952</v>
      </c>
      <c r="C2250" s="39">
        <f t="shared" si="72"/>
        <v>6.8662847662030266</v>
      </c>
      <c r="D2250" s="39">
        <f t="shared" si="73"/>
        <v>2.2045209903121634</v>
      </c>
    </row>
    <row r="2251" spans="2:4" ht="15" x14ac:dyDescent="0.15">
      <c r="B2251" s="38">
        <v>8956</v>
      </c>
      <c r="C2251" s="39">
        <f t="shared" si="72"/>
        <v>6.8709608845598789</v>
      </c>
      <c r="D2251" s="39">
        <f t="shared" si="73"/>
        <v>2.2057081313947227</v>
      </c>
    </row>
    <row r="2252" spans="2:4" ht="15" x14ac:dyDescent="0.15">
      <c r="B2252" s="38">
        <v>8960</v>
      </c>
      <c r="C2252" s="39">
        <f t="shared" si="72"/>
        <v>6.8756395216986208</v>
      </c>
      <c r="D2252" s="39">
        <f t="shared" si="73"/>
        <v>2.2068965517241379</v>
      </c>
    </row>
    <row r="2253" spans="2:4" ht="15" x14ac:dyDescent="0.15">
      <c r="B2253" s="38">
        <v>8964</v>
      </c>
      <c r="C2253" s="39">
        <f t="shared" ref="C2253:C2316" si="74">20*LOG(D2253)</f>
        <v>6.8803206803341945</v>
      </c>
      <c r="D2253" s="39">
        <f t="shared" ref="D2253:D2316" si="75">16384/(16384-B2253)</f>
        <v>2.2080862533692724</v>
      </c>
    </row>
    <row r="2254" spans="2:4" ht="15" x14ac:dyDescent="0.15">
      <c r="B2254" s="38">
        <v>8968</v>
      </c>
      <c r="C2254" s="39">
        <f t="shared" si="74"/>
        <v>6.8850043631859208</v>
      </c>
      <c r="D2254" s="39">
        <f t="shared" si="75"/>
        <v>2.2092772384034518</v>
      </c>
    </row>
    <row r="2255" spans="2:4" ht="15" x14ac:dyDescent="0.15">
      <c r="B2255" s="38">
        <v>8972</v>
      </c>
      <c r="C2255" s="39">
        <f t="shared" si="74"/>
        <v>6.8896905729775355</v>
      </c>
      <c r="D2255" s="39">
        <f t="shared" si="75"/>
        <v>2.2104695089044792</v>
      </c>
    </row>
    <row r="2256" spans="2:4" ht="15" x14ac:dyDescent="0.15">
      <c r="B2256" s="38">
        <v>8976</v>
      </c>
      <c r="C2256" s="39">
        <f t="shared" si="74"/>
        <v>6.8943793124371764</v>
      </c>
      <c r="D2256" s="39">
        <f t="shared" si="75"/>
        <v>2.2116630669546438</v>
      </c>
    </row>
    <row r="2257" spans="2:4" ht="15" x14ac:dyDescent="0.15">
      <c r="B2257" s="38">
        <v>8980</v>
      </c>
      <c r="C2257" s="39">
        <f t="shared" si="74"/>
        <v>6.8990705842974043</v>
      </c>
      <c r="D2257" s="39">
        <f t="shared" si="75"/>
        <v>2.2128579146407348</v>
      </c>
    </row>
    <row r="2258" spans="2:4" ht="15" x14ac:dyDescent="0.15">
      <c r="B2258" s="38">
        <v>8984</v>
      </c>
      <c r="C2258" s="39">
        <f t="shared" si="74"/>
        <v>6.9037643912952102</v>
      </c>
      <c r="D2258" s="39">
        <f t="shared" si="75"/>
        <v>2.2140540540540541</v>
      </c>
    </row>
    <row r="2259" spans="2:4" ht="15" x14ac:dyDescent="0.15">
      <c r="B2259" s="38">
        <v>8988</v>
      </c>
      <c r="C2259" s="39">
        <f t="shared" si="74"/>
        <v>6.9084607361720263</v>
      </c>
      <c r="D2259" s="39">
        <f t="shared" si="75"/>
        <v>2.2152514872904274</v>
      </c>
    </row>
    <row r="2260" spans="2:4" ht="15" x14ac:dyDescent="0.15">
      <c r="B2260" s="38">
        <v>8992</v>
      </c>
      <c r="C2260" s="39">
        <f t="shared" si="74"/>
        <v>6.9131596216737288</v>
      </c>
      <c r="D2260" s="39">
        <f t="shared" si="75"/>
        <v>2.2164502164502164</v>
      </c>
    </row>
    <row r="2261" spans="2:4" ht="15" x14ac:dyDescent="0.15">
      <c r="B2261" s="38">
        <v>8996</v>
      </c>
      <c r="C2261" s="39">
        <f t="shared" si="74"/>
        <v>6.917861050550659</v>
      </c>
      <c r="D2261" s="39">
        <f t="shared" si="75"/>
        <v>2.2176502436383325</v>
      </c>
    </row>
    <row r="2262" spans="2:4" ht="15" x14ac:dyDescent="0.15">
      <c r="B2262" s="38">
        <v>9000</v>
      </c>
      <c r="C2262" s="39">
        <f t="shared" si="74"/>
        <v>6.9225650255576205</v>
      </c>
      <c r="D2262" s="39">
        <f t="shared" si="75"/>
        <v>2.2188515709642469</v>
      </c>
    </row>
    <row r="2263" spans="2:4" ht="15" x14ac:dyDescent="0.15">
      <c r="B2263" s="38">
        <v>9004</v>
      </c>
      <c r="C2263" s="39">
        <f t="shared" si="74"/>
        <v>6.9272715494539039</v>
      </c>
      <c r="D2263" s="39">
        <f t="shared" si="75"/>
        <v>2.2200542005420054</v>
      </c>
    </row>
    <row r="2264" spans="2:4" ht="15" x14ac:dyDescent="0.15">
      <c r="B2264" s="38">
        <v>9008</v>
      </c>
      <c r="C2264" s="39">
        <f t="shared" si="74"/>
        <v>6.9319806250032769</v>
      </c>
      <c r="D2264" s="39">
        <f t="shared" si="75"/>
        <v>2.2212581344902387</v>
      </c>
    </row>
    <row r="2265" spans="2:4" ht="15" x14ac:dyDescent="0.15">
      <c r="B2265" s="38">
        <v>9012</v>
      </c>
      <c r="C2265" s="39">
        <f t="shared" si="74"/>
        <v>6.9366922549740107</v>
      </c>
      <c r="D2265" s="39">
        <f t="shared" si="75"/>
        <v>2.2224633749321758</v>
      </c>
    </row>
    <row r="2266" spans="2:4" ht="15" x14ac:dyDescent="0.15">
      <c r="B2266" s="38">
        <v>9016</v>
      </c>
      <c r="C2266" s="39">
        <f t="shared" si="74"/>
        <v>6.9414064421388844</v>
      </c>
      <c r="D2266" s="39">
        <f t="shared" si="75"/>
        <v>2.223669923995657</v>
      </c>
    </row>
    <row r="2267" spans="2:4" ht="15" x14ac:dyDescent="0.15">
      <c r="B2267" s="38">
        <v>9020</v>
      </c>
      <c r="C2267" s="39">
        <f t="shared" si="74"/>
        <v>6.946123189275192</v>
      </c>
      <c r="D2267" s="39">
        <f t="shared" si="75"/>
        <v>2.2248777838131448</v>
      </c>
    </row>
    <row r="2268" spans="2:4" ht="15" x14ac:dyDescent="0.15">
      <c r="B2268" s="38">
        <v>9024</v>
      </c>
      <c r="C2268" s="39">
        <f t="shared" si="74"/>
        <v>6.9508424991647573</v>
      </c>
      <c r="D2268" s="39">
        <f t="shared" si="75"/>
        <v>2.2260869565217392</v>
      </c>
    </row>
    <row r="2269" spans="2:4" ht="15" x14ac:dyDescent="0.15">
      <c r="B2269" s="38">
        <v>9028</v>
      </c>
      <c r="C2269" s="39">
        <f t="shared" si="74"/>
        <v>6.9555643745939371</v>
      </c>
      <c r="D2269" s="39">
        <f t="shared" si="75"/>
        <v>2.2272974442631863</v>
      </c>
    </row>
    <row r="2270" spans="2:4" ht="15" x14ac:dyDescent="0.15">
      <c r="B2270" s="38">
        <v>9032</v>
      </c>
      <c r="C2270" s="39">
        <f t="shared" si="74"/>
        <v>6.9602888183536384</v>
      </c>
      <c r="D2270" s="39">
        <f t="shared" si="75"/>
        <v>2.2285092491838956</v>
      </c>
    </row>
    <row r="2271" spans="2:4" ht="15" x14ac:dyDescent="0.15">
      <c r="B2271" s="38">
        <v>9036</v>
      </c>
      <c r="C2271" s="39">
        <f t="shared" si="74"/>
        <v>6.9650158332393204</v>
      </c>
      <c r="D2271" s="39">
        <f t="shared" si="75"/>
        <v>2.2297223734349485</v>
      </c>
    </row>
    <row r="2272" spans="2:4" ht="15" x14ac:dyDescent="0.15">
      <c r="B2272" s="38">
        <v>9040</v>
      </c>
      <c r="C2272" s="39">
        <f t="shared" si="74"/>
        <v>6.9697454220510142</v>
      </c>
      <c r="D2272" s="39">
        <f t="shared" si="75"/>
        <v>2.2309368191721135</v>
      </c>
    </row>
    <row r="2273" spans="2:4" ht="15" x14ac:dyDescent="0.15">
      <c r="B2273" s="38">
        <v>9044</v>
      </c>
      <c r="C2273" s="39">
        <f t="shared" si="74"/>
        <v>6.9744775875933236</v>
      </c>
      <c r="D2273" s="39">
        <f t="shared" si="75"/>
        <v>2.2321525885558584</v>
      </c>
    </row>
    <row r="2274" spans="2:4" ht="15" x14ac:dyDescent="0.15">
      <c r="B2274" s="38">
        <v>9048</v>
      </c>
      <c r="C2274" s="39">
        <f t="shared" si="74"/>
        <v>6.9792123326754414</v>
      </c>
      <c r="D2274" s="39">
        <f t="shared" si="75"/>
        <v>2.2333696837513632</v>
      </c>
    </row>
    <row r="2275" spans="2:4" ht="15" x14ac:dyDescent="0.15">
      <c r="B2275" s="38">
        <v>9052</v>
      </c>
      <c r="C2275" s="39">
        <f t="shared" si="74"/>
        <v>6.9839496601111524</v>
      </c>
      <c r="D2275" s="39">
        <f t="shared" si="75"/>
        <v>2.2345881069285323</v>
      </c>
    </row>
    <row r="2276" spans="2:4" ht="15" x14ac:dyDescent="0.15">
      <c r="B2276" s="38">
        <v>9056</v>
      </c>
      <c r="C2276" s="39">
        <f t="shared" si="74"/>
        <v>6.9886895727188545</v>
      </c>
      <c r="D2276" s="39">
        <f t="shared" si="75"/>
        <v>2.2358078602620086</v>
      </c>
    </row>
    <row r="2277" spans="2:4" ht="15" x14ac:dyDescent="0.15">
      <c r="B2277" s="38">
        <v>9060</v>
      </c>
      <c r="C2277" s="39">
        <f t="shared" si="74"/>
        <v>6.9934320733215571</v>
      </c>
      <c r="D2277" s="39">
        <f t="shared" si="75"/>
        <v>2.237028945931185</v>
      </c>
    </row>
    <row r="2278" spans="2:4" ht="15" x14ac:dyDescent="0.15">
      <c r="B2278" s="38">
        <v>9064</v>
      </c>
      <c r="C2278" s="39">
        <f t="shared" si="74"/>
        <v>6.9981771647468971</v>
      </c>
      <c r="D2278" s="39">
        <f t="shared" si="75"/>
        <v>2.2382513661202186</v>
      </c>
    </row>
    <row r="2279" spans="2:4" ht="15" x14ac:dyDescent="0.15">
      <c r="B2279" s="38">
        <v>9068</v>
      </c>
      <c r="C2279" s="39">
        <f t="shared" si="74"/>
        <v>7.0029248498271492</v>
      </c>
      <c r="D2279" s="39">
        <f t="shared" si="75"/>
        <v>2.2394751230180425</v>
      </c>
    </row>
    <row r="2280" spans="2:4" ht="15" x14ac:dyDescent="0.15">
      <c r="B2280" s="38">
        <v>9072</v>
      </c>
      <c r="C2280" s="39">
        <f t="shared" si="74"/>
        <v>7.0076751313992345</v>
      </c>
      <c r="D2280" s="39">
        <f t="shared" si="75"/>
        <v>2.2407002188183807</v>
      </c>
    </row>
    <row r="2281" spans="2:4" ht="15" x14ac:dyDescent="0.15">
      <c r="B2281" s="38">
        <v>9076</v>
      </c>
      <c r="C2281" s="39">
        <f t="shared" si="74"/>
        <v>7.0124280123047313</v>
      </c>
      <c r="D2281" s="39">
        <f t="shared" si="75"/>
        <v>2.2419266557197592</v>
      </c>
    </row>
    <row r="2282" spans="2:4" ht="15" x14ac:dyDescent="0.15">
      <c r="B2282" s="38">
        <v>9080</v>
      </c>
      <c r="C2282" s="39">
        <f t="shared" si="74"/>
        <v>7.017183495389884</v>
      </c>
      <c r="D2282" s="39">
        <f t="shared" si="75"/>
        <v>2.2431544359255202</v>
      </c>
    </row>
    <row r="2283" spans="2:4" ht="15" x14ac:dyDescent="0.15">
      <c r="B2283" s="38">
        <v>9084</v>
      </c>
      <c r="C2283" s="39">
        <f t="shared" si="74"/>
        <v>7.0219415835056163</v>
      </c>
      <c r="D2283" s="39">
        <f t="shared" si="75"/>
        <v>2.2443835616438355</v>
      </c>
    </row>
    <row r="2284" spans="2:4" ht="15" x14ac:dyDescent="0.15">
      <c r="B2284" s="38">
        <v>9088</v>
      </c>
      <c r="C2284" s="39">
        <f t="shared" si="74"/>
        <v>7.0267022795075382</v>
      </c>
      <c r="D2284" s="39">
        <f t="shared" si="75"/>
        <v>2.2456140350877192</v>
      </c>
    </row>
    <row r="2285" spans="2:4" ht="15" x14ac:dyDescent="0.15">
      <c r="B2285" s="38">
        <v>9092</v>
      </c>
      <c r="C2285" s="39">
        <f t="shared" si="74"/>
        <v>7.0314655862559619</v>
      </c>
      <c r="D2285" s="39">
        <f t="shared" si="75"/>
        <v>2.2468458584750413</v>
      </c>
    </row>
    <row r="2286" spans="2:4" ht="15" x14ac:dyDescent="0.15">
      <c r="B2286" s="38">
        <v>9096</v>
      </c>
      <c r="C2286" s="39">
        <f t="shared" si="74"/>
        <v>7.0362315066158985</v>
      </c>
      <c r="D2286" s="39">
        <f t="shared" si="75"/>
        <v>2.2480790340285401</v>
      </c>
    </row>
    <row r="2287" spans="2:4" ht="15" x14ac:dyDescent="0.15">
      <c r="B2287" s="38">
        <v>9100</v>
      </c>
      <c r="C2287" s="39">
        <f t="shared" si="74"/>
        <v>7.0410000434570863</v>
      </c>
      <c r="D2287" s="39">
        <f t="shared" si="75"/>
        <v>2.2493135639758375</v>
      </c>
    </row>
    <row r="2288" spans="2:4" ht="15" x14ac:dyDescent="0.15">
      <c r="B2288" s="38">
        <v>9104</v>
      </c>
      <c r="C2288" s="39">
        <f t="shared" si="74"/>
        <v>7.0457711996539905</v>
      </c>
      <c r="D2288" s="39">
        <f t="shared" si="75"/>
        <v>2.2505494505494505</v>
      </c>
    </row>
    <row r="2289" spans="2:4" ht="15" x14ac:dyDescent="0.15">
      <c r="B2289" s="38">
        <v>9108</v>
      </c>
      <c r="C2289" s="39">
        <f t="shared" si="74"/>
        <v>7.0505449780858154</v>
      </c>
      <c r="D2289" s="39">
        <f t="shared" si="75"/>
        <v>2.251786695986806</v>
      </c>
    </row>
    <row r="2290" spans="2:4" ht="15" x14ac:dyDescent="0.15">
      <c r="B2290" s="38">
        <v>9112</v>
      </c>
      <c r="C2290" s="39">
        <f t="shared" si="74"/>
        <v>7.0553213816365137</v>
      </c>
      <c r="D2290" s="39">
        <f t="shared" si="75"/>
        <v>2.2530253025302529</v>
      </c>
    </row>
    <row r="2291" spans="2:4" ht="15" x14ac:dyDescent="0.15">
      <c r="B2291" s="38">
        <v>9116</v>
      </c>
      <c r="C2291" s="39">
        <f t="shared" si="74"/>
        <v>7.0601004131948013</v>
      </c>
      <c r="D2291" s="39">
        <f t="shared" si="75"/>
        <v>2.2542652724270775</v>
      </c>
    </row>
    <row r="2292" spans="2:4" ht="15" x14ac:dyDescent="0.15">
      <c r="B2292" s="38">
        <v>9120</v>
      </c>
      <c r="C2292" s="39">
        <f t="shared" si="74"/>
        <v>7.0648820756541619</v>
      </c>
      <c r="D2292" s="39">
        <f t="shared" si="75"/>
        <v>2.2555066079295156</v>
      </c>
    </row>
    <row r="2293" spans="2:4" ht="15" x14ac:dyDescent="0.15">
      <c r="B2293" s="38">
        <v>9124</v>
      </c>
      <c r="C2293" s="39">
        <f t="shared" si="74"/>
        <v>7.0696663719128594</v>
      </c>
      <c r="D2293" s="39">
        <f t="shared" si="75"/>
        <v>2.2567493112947656</v>
      </c>
    </row>
    <row r="2294" spans="2:4" ht="15" x14ac:dyDescent="0.15">
      <c r="B2294" s="38">
        <v>9128</v>
      </c>
      <c r="C2294" s="39">
        <f t="shared" si="74"/>
        <v>7.0744533048739573</v>
      </c>
      <c r="D2294" s="39">
        <f t="shared" si="75"/>
        <v>2.2579933847850056</v>
      </c>
    </row>
    <row r="2295" spans="2:4" ht="15" x14ac:dyDescent="0.15">
      <c r="B2295" s="38">
        <v>9132</v>
      </c>
      <c r="C2295" s="39">
        <f t="shared" si="74"/>
        <v>7.0792428774453144</v>
      </c>
      <c r="D2295" s="39">
        <f t="shared" si="75"/>
        <v>2.2592388306674023</v>
      </c>
    </row>
    <row r="2296" spans="2:4" ht="15" x14ac:dyDescent="0.15">
      <c r="B2296" s="38">
        <v>9136</v>
      </c>
      <c r="C2296" s="39">
        <f t="shared" si="74"/>
        <v>7.084035092539601</v>
      </c>
      <c r="D2296" s="39">
        <f t="shared" si="75"/>
        <v>2.260485651214128</v>
      </c>
    </row>
    <row r="2297" spans="2:4" ht="15" x14ac:dyDescent="0.15">
      <c r="B2297" s="38">
        <v>9140</v>
      </c>
      <c r="C2297" s="39">
        <f t="shared" si="74"/>
        <v>7.0888299530743195</v>
      </c>
      <c r="D2297" s="39">
        <f t="shared" si="75"/>
        <v>2.2617338487023746</v>
      </c>
    </row>
    <row r="2298" spans="2:4" ht="15" x14ac:dyDescent="0.15">
      <c r="B2298" s="38">
        <v>9144</v>
      </c>
      <c r="C2298" s="39">
        <f t="shared" si="74"/>
        <v>7.0936274619717974</v>
      </c>
      <c r="D2298" s="39">
        <f t="shared" si="75"/>
        <v>2.2629834254143648</v>
      </c>
    </row>
    <row r="2299" spans="2:4" ht="15" x14ac:dyDescent="0.15">
      <c r="B2299" s="38">
        <v>9148</v>
      </c>
      <c r="C2299" s="39">
        <f t="shared" si="74"/>
        <v>7.0984276221592113</v>
      </c>
      <c r="D2299" s="39">
        <f t="shared" si="75"/>
        <v>2.2642343836373686</v>
      </c>
    </row>
    <row r="2300" spans="2:4" ht="15" x14ac:dyDescent="0.15">
      <c r="B2300" s="38">
        <v>9152</v>
      </c>
      <c r="C2300" s="39">
        <f t="shared" si="74"/>
        <v>7.1032304365685972</v>
      </c>
      <c r="D2300" s="39">
        <f t="shared" si="75"/>
        <v>2.2654867256637168</v>
      </c>
    </row>
    <row r="2301" spans="2:4" ht="15" x14ac:dyDescent="0.15">
      <c r="B2301" s="38">
        <v>9156</v>
      </c>
      <c r="C2301" s="39">
        <f t="shared" si="74"/>
        <v>7.1080359081368494</v>
      </c>
      <c r="D2301" s="39">
        <f t="shared" si="75"/>
        <v>2.2667404537908133</v>
      </c>
    </row>
    <row r="2302" spans="2:4" ht="15" x14ac:dyDescent="0.15">
      <c r="B2302" s="38">
        <v>9160</v>
      </c>
      <c r="C2302" s="39">
        <f t="shared" si="74"/>
        <v>7.1128440398057471</v>
      </c>
      <c r="D2302" s="39">
        <f t="shared" si="75"/>
        <v>2.2679955703211516</v>
      </c>
    </row>
    <row r="2303" spans="2:4" ht="15" x14ac:dyDescent="0.15">
      <c r="B2303" s="38">
        <v>9164</v>
      </c>
      <c r="C2303" s="39">
        <f t="shared" si="74"/>
        <v>7.1176548345219528</v>
      </c>
      <c r="D2303" s="39">
        <f t="shared" si="75"/>
        <v>2.2692520775623271</v>
      </c>
    </row>
    <row r="2304" spans="2:4" ht="15" x14ac:dyDescent="0.15">
      <c r="B2304" s="38">
        <v>9168</v>
      </c>
      <c r="C2304" s="39">
        <f t="shared" si="74"/>
        <v>7.1224682952370291</v>
      </c>
      <c r="D2304" s="39">
        <f t="shared" si="75"/>
        <v>2.270509977827051</v>
      </c>
    </row>
    <row r="2305" spans="2:4" ht="15" x14ac:dyDescent="0.15">
      <c r="B2305" s="38">
        <v>9172</v>
      </c>
      <c r="C2305" s="39">
        <f t="shared" si="74"/>
        <v>7.1272844249074483</v>
      </c>
      <c r="D2305" s="39">
        <f t="shared" si="75"/>
        <v>2.2717692734331671</v>
      </c>
    </row>
    <row r="2306" spans="2:4" ht="15" x14ac:dyDescent="0.15">
      <c r="B2306" s="38">
        <v>9176</v>
      </c>
      <c r="C2306" s="39">
        <f t="shared" si="74"/>
        <v>7.1321032264946034</v>
      </c>
      <c r="D2306" s="39">
        <f t="shared" si="75"/>
        <v>2.2730299667036626</v>
      </c>
    </row>
    <row r="2307" spans="2:4" ht="15" x14ac:dyDescent="0.15">
      <c r="B2307" s="38">
        <v>9180</v>
      </c>
      <c r="C2307" s="39">
        <f t="shared" si="74"/>
        <v>7.1369247029648211</v>
      </c>
      <c r="D2307" s="39">
        <f t="shared" si="75"/>
        <v>2.2742920599666854</v>
      </c>
    </row>
    <row r="2308" spans="2:4" ht="15" x14ac:dyDescent="0.15">
      <c r="B2308" s="38">
        <v>9184</v>
      </c>
      <c r="C2308" s="39">
        <f t="shared" si="74"/>
        <v>7.1417488572893646</v>
      </c>
      <c r="D2308" s="39">
        <f t="shared" si="75"/>
        <v>2.2755555555555556</v>
      </c>
    </row>
    <row r="2309" spans="2:4" ht="15" x14ac:dyDescent="0.15">
      <c r="B2309" s="38">
        <v>9188</v>
      </c>
      <c r="C2309" s="39">
        <f t="shared" si="74"/>
        <v>7.1465756924444594</v>
      </c>
      <c r="D2309" s="39">
        <f t="shared" si="75"/>
        <v>2.2768204558087826</v>
      </c>
    </row>
    <row r="2310" spans="2:4" ht="15" x14ac:dyDescent="0.15">
      <c r="B2310" s="38">
        <v>9192</v>
      </c>
      <c r="C2310" s="39">
        <f t="shared" si="74"/>
        <v>7.151405211411288</v>
      </c>
      <c r="D2310" s="39">
        <f t="shared" si="75"/>
        <v>2.2780867630700778</v>
      </c>
    </row>
    <row r="2311" spans="2:4" ht="15" x14ac:dyDescent="0.15">
      <c r="B2311" s="38">
        <v>9196</v>
      </c>
      <c r="C2311" s="39">
        <f t="shared" si="74"/>
        <v>7.156237417176011</v>
      </c>
      <c r="D2311" s="39">
        <f t="shared" si="75"/>
        <v>2.2793544796883696</v>
      </c>
    </row>
    <row r="2312" spans="2:4" ht="15" x14ac:dyDescent="0.15">
      <c r="B2312" s="38">
        <v>9200</v>
      </c>
      <c r="C2312" s="39">
        <f t="shared" si="74"/>
        <v>7.1610723127297753</v>
      </c>
      <c r="D2312" s="39">
        <f t="shared" si="75"/>
        <v>2.2806236080178173</v>
      </c>
    </row>
    <row r="2313" spans="2:4" ht="15" x14ac:dyDescent="0.15">
      <c r="B2313" s="38">
        <v>9204</v>
      </c>
      <c r="C2313" s="39">
        <f t="shared" si="74"/>
        <v>7.1659099010687282</v>
      </c>
      <c r="D2313" s="39">
        <f t="shared" si="75"/>
        <v>2.2818941504178274</v>
      </c>
    </row>
    <row r="2314" spans="2:4" ht="15" x14ac:dyDescent="0.15">
      <c r="B2314" s="38">
        <v>9208</v>
      </c>
      <c r="C2314" s="39">
        <f t="shared" si="74"/>
        <v>7.1707501851940219</v>
      </c>
      <c r="D2314" s="39">
        <f t="shared" si="75"/>
        <v>2.2831661092530657</v>
      </c>
    </row>
    <row r="2315" spans="2:4" ht="15" x14ac:dyDescent="0.15">
      <c r="B2315" s="38">
        <v>9212</v>
      </c>
      <c r="C2315" s="39">
        <f t="shared" si="74"/>
        <v>7.1755931681118303</v>
      </c>
      <c r="D2315" s="39">
        <f t="shared" si="75"/>
        <v>2.2844394868934748</v>
      </c>
    </row>
    <row r="2316" spans="2:4" ht="15" x14ac:dyDescent="0.15">
      <c r="B2316" s="38">
        <v>9216</v>
      </c>
      <c r="C2316" s="39">
        <f t="shared" si="74"/>
        <v>7.1804388528333583</v>
      </c>
      <c r="D2316" s="39">
        <f t="shared" si="75"/>
        <v>2.2857142857142856</v>
      </c>
    </row>
    <row r="2317" spans="2:4" ht="15" x14ac:dyDescent="0.15">
      <c r="B2317" s="38">
        <v>9220</v>
      </c>
      <c r="C2317" s="39">
        <f t="shared" ref="C2317:C2380" si="76">20*LOG(D2317)</f>
        <v>7.1852872423748559</v>
      </c>
      <c r="D2317" s="39">
        <f t="shared" ref="D2317:D2380" si="77">16384/(16384-B2317)</f>
        <v>2.2869905080960358</v>
      </c>
    </row>
    <row r="2318" spans="2:4" ht="15" x14ac:dyDescent="0.15">
      <c r="B2318" s="38">
        <v>9224</v>
      </c>
      <c r="C2318" s="39">
        <f t="shared" si="76"/>
        <v>7.1901383397576222</v>
      </c>
      <c r="D2318" s="39">
        <f t="shared" si="77"/>
        <v>2.2882681564245808</v>
      </c>
    </row>
    <row r="2319" spans="2:4" ht="15" x14ac:dyDescent="0.15">
      <c r="B2319" s="38">
        <v>9228</v>
      </c>
      <c r="C2319" s="39">
        <f t="shared" si="76"/>
        <v>7.1949921480080272</v>
      </c>
      <c r="D2319" s="39">
        <f t="shared" si="77"/>
        <v>2.2895472330911124</v>
      </c>
    </row>
    <row r="2320" spans="2:4" ht="15" x14ac:dyDescent="0.15">
      <c r="B2320" s="38">
        <v>9232</v>
      </c>
      <c r="C2320" s="39">
        <f t="shared" si="76"/>
        <v>7.1998486701575093</v>
      </c>
      <c r="D2320" s="39">
        <f t="shared" si="77"/>
        <v>2.29082774049217</v>
      </c>
    </row>
    <row r="2321" spans="2:4" ht="15" x14ac:dyDescent="0.15">
      <c r="B2321" s="38">
        <v>9236</v>
      </c>
      <c r="C2321" s="39">
        <f t="shared" si="76"/>
        <v>7.2047079092426021</v>
      </c>
      <c r="D2321" s="39">
        <f t="shared" si="77"/>
        <v>2.2921096810296588</v>
      </c>
    </row>
    <row r="2322" spans="2:4" ht="15" x14ac:dyDescent="0.15">
      <c r="B2322" s="38">
        <v>9240</v>
      </c>
      <c r="C2322" s="39">
        <f t="shared" si="76"/>
        <v>7.2095698683049347</v>
      </c>
      <c r="D2322" s="39">
        <f t="shared" si="77"/>
        <v>2.2933930571108623</v>
      </c>
    </row>
    <row r="2323" spans="2:4" ht="15" x14ac:dyDescent="0.15">
      <c r="B2323" s="38">
        <v>9244</v>
      </c>
      <c r="C2323" s="39">
        <f t="shared" si="76"/>
        <v>7.2144345503912461</v>
      </c>
      <c r="D2323" s="39">
        <f t="shared" si="77"/>
        <v>2.2946778711484592</v>
      </c>
    </row>
    <row r="2324" spans="2:4" ht="15" x14ac:dyDescent="0.15">
      <c r="B2324" s="38">
        <v>9248</v>
      </c>
      <c r="C2324" s="39">
        <f t="shared" si="76"/>
        <v>7.2193019585534017</v>
      </c>
      <c r="D2324" s="39">
        <f t="shared" si="77"/>
        <v>2.2959641255605381</v>
      </c>
    </row>
    <row r="2325" spans="2:4" ht="15" x14ac:dyDescent="0.15">
      <c r="B2325" s="38">
        <v>9252</v>
      </c>
      <c r="C2325" s="39">
        <f t="shared" si="76"/>
        <v>7.2241720958483944</v>
      </c>
      <c r="D2325" s="39">
        <f t="shared" si="77"/>
        <v>2.2972518227706114</v>
      </c>
    </row>
    <row r="2326" spans="2:4" ht="15" x14ac:dyDescent="0.15">
      <c r="B2326" s="38">
        <v>9256</v>
      </c>
      <c r="C2326" s="39">
        <f t="shared" si="76"/>
        <v>7.2290449653383684</v>
      </c>
      <c r="D2326" s="39">
        <f t="shared" si="77"/>
        <v>2.2985409652076321</v>
      </c>
    </row>
    <row r="2327" spans="2:4" ht="15" x14ac:dyDescent="0.15">
      <c r="B2327" s="38">
        <v>9260</v>
      </c>
      <c r="C2327" s="39">
        <f t="shared" si="76"/>
        <v>7.233920570090616</v>
      </c>
      <c r="D2327" s="39">
        <f t="shared" si="77"/>
        <v>2.299831555306008</v>
      </c>
    </row>
    <row r="2328" spans="2:4" ht="15" x14ac:dyDescent="0.15">
      <c r="B2328" s="38">
        <v>9264</v>
      </c>
      <c r="C2328" s="39">
        <f t="shared" si="76"/>
        <v>7.2387989131776074</v>
      </c>
      <c r="D2328" s="39">
        <f t="shared" si="77"/>
        <v>2.3011235955056182</v>
      </c>
    </row>
    <row r="2329" spans="2:4" ht="15" x14ac:dyDescent="0.15">
      <c r="B2329" s="38">
        <v>9268</v>
      </c>
      <c r="C2329" s="39">
        <f t="shared" si="76"/>
        <v>7.2436799976769866</v>
      </c>
      <c r="D2329" s="39">
        <f t="shared" si="77"/>
        <v>2.3024170882518269</v>
      </c>
    </row>
    <row r="2330" spans="2:4" ht="15" x14ac:dyDescent="0.15">
      <c r="B2330" s="38">
        <v>9272</v>
      </c>
      <c r="C2330" s="39">
        <f t="shared" si="76"/>
        <v>7.2485638266715906</v>
      </c>
      <c r="D2330" s="39">
        <f t="shared" si="77"/>
        <v>2.3037120359955008</v>
      </c>
    </row>
    <row r="2331" spans="2:4" ht="15" x14ac:dyDescent="0.15">
      <c r="B2331" s="38">
        <v>9276</v>
      </c>
      <c r="C2331" s="39">
        <f t="shared" si="76"/>
        <v>7.253450403249456</v>
      </c>
      <c r="D2331" s="39">
        <f t="shared" si="77"/>
        <v>2.3050084411930221</v>
      </c>
    </row>
    <row r="2332" spans="2:4" ht="15" x14ac:dyDescent="0.15">
      <c r="B2332" s="38">
        <v>9280</v>
      </c>
      <c r="C2332" s="39">
        <f t="shared" si="76"/>
        <v>7.2583397305038417</v>
      </c>
      <c r="D2332" s="39">
        <f t="shared" si="77"/>
        <v>2.3063063063063063</v>
      </c>
    </row>
    <row r="2333" spans="2:4" ht="15" x14ac:dyDescent="0.15">
      <c r="B2333" s="38">
        <v>9284</v>
      </c>
      <c r="C2333" s="39">
        <f t="shared" si="76"/>
        <v>7.2632318115332293</v>
      </c>
      <c r="D2333" s="39">
        <f t="shared" si="77"/>
        <v>2.307605633802817</v>
      </c>
    </row>
    <row r="2334" spans="2:4" ht="15" x14ac:dyDescent="0.15">
      <c r="B2334" s="38">
        <v>9288</v>
      </c>
      <c r="C2334" s="39">
        <f t="shared" si="76"/>
        <v>7.2681266494413341</v>
      </c>
      <c r="D2334" s="39">
        <f t="shared" si="77"/>
        <v>2.3089064261555805</v>
      </c>
    </row>
    <row r="2335" spans="2:4" ht="15" x14ac:dyDescent="0.15">
      <c r="B2335" s="38">
        <v>9292</v>
      </c>
      <c r="C2335" s="39">
        <f t="shared" si="76"/>
        <v>7.2730242473371316</v>
      </c>
      <c r="D2335" s="39">
        <f t="shared" si="77"/>
        <v>2.3102086858432038</v>
      </c>
    </row>
    <row r="2336" spans="2:4" ht="15" x14ac:dyDescent="0.15">
      <c r="B2336" s="38">
        <v>9296</v>
      </c>
      <c r="C2336" s="39">
        <f t="shared" si="76"/>
        <v>7.277924608334847</v>
      </c>
      <c r="D2336" s="39">
        <f t="shared" si="77"/>
        <v>2.3115124153498869</v>
      </c>
    </row>
    <row r="2337" spans="2:4" ht="15" x14ac:dyDescent="0.15">
      <c r="B2337" s="38">
        <v>9300</v>
      </c>
      <c r="C2337" s="39">
        <f t="shared" si="76"/>
        <v>7.2828277355539921</v>
      </c>
      <c r="D2337" s="39">
        <f t="shared" si="77"/>
        <v>2.3128176171654431</v>
      </c>
    </row>
    <row r="2338" spans="2:4" ht="15" x14ac:dyDescent="0.15">
      <c r="B2338" s="38">
        <v>9304</v>
      </c>
      <c r="C2338" s="39">
        <f t="shared" si="76"/>
        <v>7.2877336321193544</v>
      </c>
      <c r="D2338" s="39">
        <f t="shared" si="77"/>
        <v>2.3141242937853108</v>
      </c>
    </row>
    <row r="2339" spans="2:4" ht="15" x14ac:dyDescent="0.15">
      <c r="B2339" s="38">
        <v>9308</v>
      </c>
      <c r="C2339" s="39">
        <f t="shared" si="76"/>
        <v>7.292642301161024</v>
      </c>
      <c r="D2339" s="39">
        <f t="shared" si="77"/>
        <v>2.3154324477105708</v>
      </c>
    </row>
    <row r="2340" spans="2:4" ht="15" x14ac:dyDescent="0.15">
      <c r="B2340" s="38">
        <v>9312</v>
      </c>
      <c r="C2340" s="39">
        <f t="shared" si="76"/>
        <v>7.2975537458144029</v>
      </c>
      <c r="D2340" s="39">
        <f t="shared" si="77"/>
        <v>2.316742081447964</v>
      </c>
    </row>
    <row r="2341" spans="2:4" ht="15" x14ac:dyDescent="0.15">
      <c r="B2341" s="38">
        <v>9316</v>
      </c>
      <c r="C2341" s="39">
        <f t="shared" si="76"/>
        <v>7.3024679692202055</v>
      </c>
      <c r="D2341" s="39">
        <f t="shared" si="77"/>
        <v>2.3180531975099039</v>
      </c>
    </row>
    <row r="2342" spans="2:4" ht="15" x14ac:dyDescent="0.15">
      <c r="B2342" s="38">
        <v>9320</v>
      </c>
      <c r="C2342" s="39">
        <f t="shared" si="76"/>
        <v>7.3073849745244921</v>
      </c>
      <c r="D2342" s="39">
        <f t="shared" si="77"/>
        <v>2.3193657984144962</v>
      </c>
    </row>
    <row r="2343" spans="2:4" ht="15" x14ac:dyDescent="0.15">
      <c r="B2343" s="38">
        <v>9324</v>
      </c>
      <c r="C2343" s="39">
        <f t="shared" si="76"/>
        <v>7.3123047648786592</v>
      </c>
      <c r="D2343" s="39">
        <f t="shared" si="77"/>
        <v>2.3206798866855523</v>
      </c>
    </row>
    <row r="2344" spans="2:4" ht="15" x14ac:dyDescent="0.15">
      <c r="B2344" s="38">
        <v>9328</v>
      </c>
      <c r="C2344" s="39">
        <f t="shared" si="76"/>
        <v>7.3172273434394688</v>
      </c>
      <c r="D2344" s="39">
        <f t="shared" si="77"/>
        <v>2.3219954648526078</v>
      </c>
    </row>
    <row r="2345" spans="2:4" ht="15" x14ac:dyDescent="0.15">
      <c r="B2345" s="38">
        <v>9332</v>
      </c>
      <c r="C2345" s="39">
        <f t="shared" si="76"/>
        <v>7.3221527133690465</v>
      </c>
      <c r="D2345" s="39">
        <f t="shared" si="77"/>
        <v>2.3233125354509361</v>
      </c>
    </row>
    <row r="2346" spans="2:4" ht="15" x14ac:dyDescent="0.15">
      <c r="B2346" s="38">
        <v>9336</v>
      </c>
      <c r="C2346" s="39">
        <f t="shared" si="76"/>
        <v>7.3270808778349039</v>
      </c>
      <c r="D2346" s="39">
        <f t="shared" si="77"/>
        <v>2.3246311010215663</v>
      </c>
    </row>
    <row r="2347" spans="2:4" ht="15" x14ac:dyDescent="0.15">
      <c r="B2347" s="38">
        <v>9340</v>
      </c>
      <c r="C2347" s="39">
        <f t="shared" si="76"/>
        <v>7.3320118400099492</v>
      </c>
      <c r="D2347" s="39">
        <f t="shared" si="77"/>
        <v>2.3259511641113004</v>
      </c>
    </row>
    <row r="2348" spans="2:4" ht="15" x14ac:dyDescent="0.15">
      <c r="B2348" s="38">
        <v>9344</v>
      </c>
      <c r="C2348" s="39">
        <f t="shared" si="76"/>
        <v>7.3369456030724898</v>
      </c>
      <c r="D2348" s="39">
        <f t="shared" si="77"/>
        <v>2.3272727272727272</v>
      </c>
    </row>
    <row r="2349" spans="2:4" ht="15" x14ac:dyDescent="0.15">
      <c r="B2349" s="38">
        <v>9348</v>
      </c>
      <c r="C2349" s="39">
        <f t="shared" si="76"/>
        <v>7.3418821702062607</v>
      </c>
      <c r="D2349" s="39">
        <f t="shared" si="77"/>
        <v>2.3285957930642409</v>
      </c>
    </row>
    <row r="2350" spans="2:4" ht="15" x14ac:dyDescent="0.15">
      <c r="B2350" s="38">
        <v>9352</v>
      </c>
      <c r="C2350" s="39">
        <f t="shared" si="76"/>
        <v>7.3468215446004246</v>
      </c>
      <c r="D2350" s="39">
        <f t="shared" si="77"/>
        <v>2.3299203640500568</v>
      </c>
    </row>
    <row r="2351" spans="2:4" ht="15" x14ac:dyDescent="0.15">
      <c r="B2351" s="38">
        <v>9356</v>
      </c>
      <c r="C2351" s="39">
        <f t="shared" si="76"/>
        <v>7.351763729449587</v>
      </c>
      <c r="D2351" s="39">
        <f t="shared" si="77"/>
        <v>2.3312464428002277</v>
      </c>
    </row>
    <row r="2352" spans="2:4" ht="15" x14ac:dyDescent="0.15">
      <c r="B2352" s="38">
        <v>9360</v>
      </c>
      <c r="C2352" s="39">
        <f t="shared" si="76"/>
        <v>7.3567087279538113</v>
      </c>
      <c r="D2352" s="39">
        <f t="shared" si="77"/>
        <v>2.3325740318906605</v>
      </c>
    </row>
    <row r="2353" spans="2:4" ht="15" x14ac:dyDescent="0.15">
      <c r="B2353" s="38">
        <v>9364</v>
      </c>
      <c r="C2353" s="39">
        <f t="shared" si="76"/>
        <v>7.3616565433186292</v>
      </c>
      <c r="D2353" s="39">
        <f t="shared" si="77"/>
        <v>2.3339031339031338</v>
      </c>
    </row>
    <row r="2354" spans="2:4" ht="15" x14ac:dyDescent="0.15">
      <c r="B2354" s="38">
        <v>9368</v>
      </c>
      <c r="C2354" s="39">
        <f t="shared" si="76"/>
        <v>7.3666071787550527</v>
      </c>
      <c r="D2354" s="39">
        <f t="shared" si="77"/>
        <v>2.3352337514253136</v>
      </c>
    </row>
    <row r="2355" spans="2:4" ht="15" x14ac:dyDescent="0.15">
      <c r="B2355" s="38">
        <v>9372</v>
      </c>
      <c r="C2355" s="39">
        <f t="shared" si="76"/>
        <v>7.371560637479587</v>
      </c>
      <c r="D2355" s="39">
        <f t="shared" si="77"/>
        <v>2.33656588705077</v>
      </c>
    </row>
    <row r="2356" spans="2:4" ht="15" x14ac:dyDescent="0.15">
      <c r="B2356" s="38">
        <v>9376</v>
      </c>
      <c r="C2356" s="39">
        <f t="shared" si="76"/>
        <v>7.3765169227142477</v>
      </c>
      <c r="D2356" s="39">
        <f t="shared" si="77"/>
        <v>2.3378995433789953</v>
      </c>
    </row>
    <row r="2357" spans="2:4" ht="15" x14ac:dyDescent="0.15">
      <c r="B2357" s="38">
        <v>9380</v>
      </c>
      <c r="C2357" s="39">
        <f t="shared" si="76"/>
        <v>7.3814760376865642</v>
      </c>
      <c r="D2357" s="39">
        <f t="shared" si="77"/>
        <v>2.3392347230154198</v>
      </c>
    </row>
    <row r="2358" spans="2:4" ht="15" x14ac:dyDescent="0.15">
      <c r="B2358" s="38">
        <v>9384</v>
      </c>
      <c r="C2358" s="39">
        <f t="shared" si="76"/>
        <v>7.3864379856295992</v>
      </c>
      <c r="D2358" s="39">
        <f t="shared" si="77"/>
        <v>2.3405714285714287</v>
      </c>
    </row>
    <row r="2359" spans="2:4" ht="15" x14ac:dyDescent="0.15">
      <c r="B2359" s="38">
        <v>9388</v>
      </c>
      <c r="C2359" s="39">
        <f t="shared" si="76"/>
        <v>7.3914027697819566</v>
      </c>
      <c r="D2359" s="39">
        <f t="shared" si="77"/>
        <v>2.3419096626643796</v>
      </c>
    </row>
    <row r="2360" spans="2:4" ht="15" x14ac:dyDescent="0.15">
      <c r="B2360" s="38">
        <v>9392</v>
      </c>
      <c r="C2360" s="39">
        <f t="shared" si="76"/>
        <v>7.3963703933878024</v>
      </c>
      <c r="D2360" s="39">
        <f t="shared" si="77"/>
        <v>2.3432494279176201</v>
      </c>
    </row>
    <row r="2361" spans="2:4" ht="15" x14ac:dyDescent="0.15">
      <c r="B2361" s="38">
        <v>9396</v>
      </c>
      <c r="C2361" s="39">
        <f t="shared" si="76"/>
        <v>7.4013408596968677</v>
      </c>
      <c r="D2361" s="39">
        <f t="shared" si="77"/>
        <v>2.3445907269605035</v>
      </c>
    </row>
    <row r="2362" spans="2:4" ht="15" x14ac:dyDescent="0.15">
      <c r="B2362" s="38">
        <v>9400</v>
      </c>
      <c r="C2362" s="39">
        <f t="shared" si="76"/>
        <v>7.4063141719644685</v>
      </c>
      <c r="D2362" s="39">
        <f t="shared" si="77"/>
        <v>2.3459335624284079</v>
      </c>
    </row>
    <row r="2363" spans="2:4" ht="15" x14ac:dyDescent="0.15">
      <c r="B2363" s="38">
        <v>9404</v>
      </c>
      <c r="C2363" s="39">
        <f t="shared" si="76"/>
        <v>7.4112903334515128</v>
      </c>
      <c r="D2363" s="39">
        <f t="shared" si="77"/>
        <v>2.3472779369627506</v>
      </c>
    </row>
    <row r="2364" spans="2:4" ht="15" x14ac:dyDescent="0.15">
      <c r="B2364" s="38">
        <v>9408</v>
      </c>
      <c r="C2364" s="39">
        <f t="shared" si="76"/>
        <v>7.4162693474245192</v>
      </c>
      <c r="D2364" s="39">
        <f t="shared" si="77"/>
        <v>2.3486238532110093</v>
      </c>
    </row>
    <row r="2365" spans="2:4" ht="15" x14ac:dyDescent="0.15">
      <c r="B2365" s="38">
        <v>9412</v>
      </c>
      <c r="C2365" s="39">
        <f t="shared" si="76"/>
        <v>7.4212512171556222</v>
      </c>
      <c r="D2365" s="39">
        <f t="shared" si="77"/>
        <v>2.3499713138267353</v>
      </c>
    </row>
    <row r="2366" spans="2:4" ht="15" x14ac:dyDescent="0.15">
      <c r="B2366" s="38">
        <v>9416</v>
      </c>
      <c r="C2366" s="39">
        <f t="shared" si="76"/>
        <v>7.4262359459225991</v>
      </c>
      <c r="D2366" s="39">
        <f t="shared" si="77"/>
        <v>2.3513203214695753</v>
      </c>
    </row>
    <row r="2367" spans="2:4" ht="15" x14ac:dyDescent="0.15">
      <c r="B2367" s="38">
        <v>9420</v>
      </c>
      <c r="C2367" s="39">
        <f t="shared" si="76"/>
        <v>7.4312235370088633</v>
      </c>
      <c r="D2367" s="39">
        <f t="shared" si="77"/>
        <v>2.3526708788052844</v>
      </c>
    </row>
    <row r="2368" spans="2:4" ht="15" x14ac:dyDescent="0.15">
      <c r="B2368" s="38">
        <v>9424</v>
      </c>
      <c r="C2368" s="39">
        <f t="shared" si="76"/>
        <v>7.4362139937034923</v>
      </c>
      <c r="D2368" s="39">
        <f t="shared" si="77"/>
        <v>2.3540229885057471</v>
      </c>
    </row>
    <row r="2369" spans="2:4" ht="15" x14ac:dyDescent="0.15">
      <c r="B2369" s="38">
        <v>9428</v>
      </c>
      <c r="C2369" s="39">
        <f t="shared" si="76"/>
        <v>7.4412073193012374</v>
      </c>
      <c r="D2369" s="39">
        <f t="shared" si="77"/>
        <v>2.3553766532489937</v>
      </c>
    </row>
    <row r="2370" spans="2:4" ht="15" x14ac:dyDescent="0.15">
      <c r="B2370" s="38">
        <v>9432</v>
      </c>
      <c r="C2370" s="39">
        <f t="shared" si="76"/>
        <v>7.4462035171025329</v>
      </c>
      <c r="D2370" s="39">
        <f t="shared" si="77"/>
        <v>2.3567318757192175</v>
      </c>
    </row>
    <row r="2371" spans="2:4" ht="15" x14ac:dyDescent="0.15">
      <c r="B2371" s="38">
        <v>9436</v>
      </c>
      <c r="C2371" s="39">
        <f t="shared" si="76"/>
        <v>7.4512025904135148</v>
      </c>
      <c r="D2371" s="39">
        <f t="shared" si="77"/>
        <v>2.3580886586067935</v>
      </c>
    </row>
    <row r="2372" spans="2:4" ht="15" x14ac:dyDescent="0.15">
      <c r="B2372" s="38">
        <v>9440</v>
      </c>
      <c r="C2372" s="39">
        <f t="shared" si="76"/>
        <v>7.4562045425460246</v>
      </c>
      <c r="D2372" s="39">
        <f t="shared" si="77"/>
        <v>2.3594470046082949</v>
      </c>
    </row>
    <row r="2373" spans="2:4" ht="15" x14ac:dyDescent="0.15">
      <c r="B2373" s="38">
        <v>9444</v>
      </c>
      <c r="C2373" s="39">
        <f t="shared" si="76"/>
        <v>7.4612093768176369</v>
      </c>
      <c r="D2373" s="39">
        <f t="shared" si="77"/>
        <v>2.3608069164265131</v>
      </c>
    </row>
    <row r="2374" spans="2:4" ht="15" x14ac:dyDescent="0.15">
      <c r="B2374" s="38">
        <v>9448</v>
      </c>
      <c r="C2374" s="39">
        <f t="shared" si="76"/>
        <v>7.4662170965516577</v>
      </c>
      <c r="D2374" s="39">
        <f t="shared" si="77"/>
        <v>2.362168396770473</v>
      </c>
    </row>
    <row r="2375" spans="2:4" ht="15" x14ac:dyDescent="0.15">
      <c r="B2375" s="38">
        <v>9452</v>
      </c>
      <c r="C2375" s="39">
        <f t="shared" si="76"/>
        <v>7.4712277050771458</v>
      </c>
      <c r="D2375" s="39">
        <f t="shared" si="77"/>
        <v>2.3635314483554528</v>
      </c>
    </row>
    <row r="2376" spans="2:4" ht="15" x14ac:dyDescent="0.15">
      <c r="B2376" s="38">
        <v>9456</v>
      </c>
      <c r="C2376" s="39">
        <f t="shared" si="76"/>
        <v>7.4762412057289298</v>
      </c>
      <c r="D2376" s="39">
        <f t="shared" si="77"/>
        <v>2.3648960739030023</v>
      </c>
    </row>
    <row r="2377" spans="2:4" ht="15" x14ac:dyDescent="0.15">
      <c r="B2377" s="38">
        <v>9460</v>
      </c>
      <c r="C2377" s="39">
        <f t="shared" si="76"/>
        <v>7.4812576018476094</v>
      </c>
      <c r="D2377" s="39">
        <f t="shared" si="77"/>
        <v>2.3662622761409589</v>
      </c>
    </row>
    <row r="2378" spans="2:4" ht="15" x14ac:dyDescent="0.15">
      <c r="B2378" s="38">
        <v>9464</v>
      </c>
      <c r="C2378" s="39">
        <f t="shared" si="76"/>
        <v>7.4862768967795787</v>
      </c>
      <c r="D2378" s="39">
        <f t="shared" si="77"/>
        <v>2.3676300578034684</v>
      </c>
    </row>
    <row r="2379" spans="2:4" ht="15" x14ac:dyDescent="0.15">
      <c r="B2379" s="38">
        <v>9468</v>
      </c>
      <c r="C2379" s="39">
        <f t="shared" si="76"/>
        <v>7.4912990938770356</v>
      </c>
      <c r="D2379" s="39">
        <f t="shared" si="77"/>
        <v>2.3689994216310004</v>
      </c>
    </row>
    <row r="2380" spans="2:4" ht="15" x14ac:dyDescent="0.15">
      <c r="B2380" s="38">
        <v>9472</v>
      </c>
      <c r="C2380" s="39">
        <f t="shared" si="76"/>
        <v>7.4963241964979961</v>
      </c>
      <c r="D2380" s="39">
        <f t="shared" si="77"/>
        <v>2.3703703703703702</v>
      </c>
    </row>
    <row r="2381" spans="2:4" ht="15" x14ac:dyDescent="0.15">
      <c r="B2381" s="38">
        <v>9476</v>
      </c>
      <c r="C2381" s="39">
        <f t="shared" ref="C2381:C2444" si="78">20*LOG(D2381)</f>
        <v>7.5013522080063115</v>
      </c>
      <c r="D2381" s="39">
        <f t="shared" ref="D2381:D2444" si="79">16384/(16384-B2381)</f>
        <v>2.3717429067747537</v>
      </c>
    </row>
    <row r="2382" spans="2:4" ht="15" x14ac:dyDescent="0.15">
      <c r="B2382" s="38">
        <v>9480</v>
      </c>
      <c r="C2382" s="39">
        <f t="shared" si="78"/>
        <v>7.5063831317716714</v>
      </c>
      <c r="D2382" s="39">
        <f t="shared" si="79"/>
        <v>2.373117033603708</v>
      </c>
    </row>
    <row r="2383" spans="2:4" ht="15" x14ac:dyDescent="0.15">
      <c r="B2383" s="38">
        <v>9484</v>
      </c>
      <c r="C2383" s="39">
        <f t="shared" si="78"/>
        <v>7.5114169711696279</v>
      </c>
      <c r="D2383" s="39">
        <f t="shared" si="79"/>
        <v>2.3744927536231883</v>
      </c>
    </row>
    <row r="2384" spans="2:4" ht="15" x14ac:dyDescent="0.15">
      <c r="B2384" s="38">
        <v>9488</v>
      </c>
      <c r="C2384" s="39">
        <f t="shared" si="78"/>
        <v>7.516453729581607</v>
      </c>
      <c r="D2384" s="39">
        <f t="shared" si="79"/>
        <v>2.3758700696055683</v>
      </c>
    </row>
    <row r="2385" spans="2:4" ht="15" x14ac:dyDescent="0.15">
      <c r="B2385" s="38">
        <v>9492</v>
      </c>
      <c r="C2385" s="39">
        <f t="shared" si="78"/>
        <v>7.5214934103949176</v>
      </c>
      <c r="D2385" s="39">
        <f t="shared" si="79"/>
        <v>2.3772489843296576</v>
      </c>
    </row>
    <row r="2386" spans="2:4" ht="15" x14ac:dyDescent="0.15">
      <c r="B2386" s="38">
        <v>9496</v>
      </c>
      <c r="C2386" s="39">
        <f t="shared" si="78"/>
        <v>7.5265360170027673</v>
      </c>
      <c r="D2386" s="39">
        <f t="shared" si="79"/>
        <v>2.3786295005807201</v>
      </c>
    </row>
    <row r="2387" spans="2:4" ht="15" x14ac:dyDescent="0.15">
      <c r="B2387" s="38">
        <v>9500</v>
      </c>
      <c r="C2387" s="39">
        <f t="shared" si="78"/>
        <v>7.5315815528042815</v>
      </c>
      <c r="D2387" s="39">
        <f t="shared" si="79"/>
        <v>2.3800116211504938</v>
      </c>
    </row>
    <row r="2388" spans="2:4" ht="15" x14ac:dyDescent="0.15">
      <c r="B2388" s="38">
        <v>9504</v>
      </c>
      <c r="C2388" s="39">
        <f t="shared" si="78"/>
        <v>7.5366300212045081</v>
      </c>
      <c r="D2388" s="39">
        <f t="shared" si="79"/>
        <v>2.3813953488372093</v>
      </c>
    </row>
    <row r="2389" spans="2:4" ht="15" x14ac:dyDescent="0.15">
      <c r="B2389" s="38">
        <v>9508</v>
      </c>
      <c r="C2389" s="39">
        <f t="shared" si="78"/>
        <v>7.5416814256144384</v>
      </c>
      <c r="D2389" s="39">
        <f t="shared" si="79"/>
        <v>2.3827806864456078</v>
      </c>
    </row>
    <row r="2390" spans="2:4" ht="15" x14ac:dyDescent="0.15">
      <c r="B2390" s="38">
        <v>9512</v>
      </c>
      <c r="C2390" s="39">
        <f t="shared" si="78"/>
        <v>7.5467357694510167</v>
      </c>
      <c r="D2390" s="39">
        <f t="shared" si="79"/>
        <v>2.3841676367869615</v>
      </c>
    </row>
    <row r="2391" spans="2:4" ht="15" x14ac:dyDescent="0.15">
      <c r="B2391" s="38">
        <v>9516</v>
      </c>
      <c r="C2391" s="39">
        <f t="shared" si="78"/>
        <v>7.5517930561371571</v>
      </c>
      <c r="D2391" s="39">
        <f t="shared" si="79"/>
        <v>2.3855562026790915</v>
      </c>
    </row>
    <row r="2392" spans="2:4" ht="15" x14ac:dyDescent="0.15">
      <c r="B2392" s="38">
        <v>9520</v>
      </c>
      <c r="C2392" s="39">
        <f t="shared" si="78"/>
        <v>7.5568532891017535</v>
      </c>
      <c r="D2392" s="39">
        <f t="shared" si="79"/>
        <v>2.3869463869463869</v>
      </c>
    </row>
    <row r="2393" spans="2:4" ht="15" x14ac:dyDescent="0.15">
      <c r="B2393" s="38">
        <v>9524</v>
      </c>
      <c r="C2393" s="39">
        <f t="shared" si="78"/>
        <v>7.5619164717797007</v>
      </c>
      <c r="D2393" s="39">
        <f t="shared" si="79"/>
        <v>2.388338192419825</v>
      </c>
    </row>
    <row r="2394" spans="2:4" ht="15" x14ac:dyDescent="0.15">
      <c r="B2394" s="38">
        <v>9528</v>
      </c>
      <c r="C2394" s="39">
        <f t="shared" si="78"/>
        <v>7.566982607611898</v>
      </c>
      <c r="D2394" s="39">
        <f t="shared" si="79"/>
        <v>2.3897316219369893</v>
      </c>
    </row>
    <row r="2395" spans="2:4" ht="15" x14ac:dyDescent="0.15">
      <c r="B2395" s="38">
        <v>9532</v>
      </c>
      <c r="C2395" s="39">
        <f t="shared" si="78"/>
        <v>7.5720517000452769</v>
      </c>
      <c r="D2395" s="39">
        <f t="shared" si="79"/>
        <v>2.3911266783420899</v>
      </c>
    </row>
    <row r="2396" spans="2:4" ht="15" x14ac:dyDescent="0.15">
      <c r="B2396" s="38">
        <v>9536</v>
      </c>
      <c r="C2396" s="39">
        <f t="shared" si="78"/>
        <v>7.5771237525327972</v>
      </c>
      <c r="D2396" s="39">
        <f t="shared" si="79"/>
        <v>2.3925233644859811</v>
      </c>
    </row>
    <row r="2397" spans="2:4" ht="15" x14ac:dyDescent="0.15">
      <c r="B2397" s="38">
        <v>9540</v>
      </c>
      <c r="C2397" s="39">
        <f t="shared" si="78"/>
        <v>7.5821987685334813</v>
      </c>
      <c r="D2397" s="39">
        <f t="shared" si="79"/>
        <v>2.3939216832261834</v>
      </c>
    </row>
    <row r="2398" spans="2:4" ht="15" x14ac:dyDescent="0.15">
      <c r="B2398" s="38">
        <v>9544</v>
      </c>
      <c r="C2398" s="39">
        <f t="shared" si="78"/>
        <v>7.5872767515124107</v>
      </c>
      <c r="D2398" s="39">
        <f t="shared" si="79"/>
        <v>2.3953216374269006</v>
      </c>
    </row>
    <row r="2399" spans="2:4" ht="15" x14ac:dyDescent="0.15">
      <c r="B2399" s="38">
        <v>9548</v>
      </c>
      <c r="C2399" s="39">
        <f t="shared" si="78"/>
        <v>7.59235770494075</v>
      </c>
      <c r="D2399" s="39">
        <f t="shared" si="79"/>
        <v>2.3967232299590404</v>
      </c>
    </row>
    <row r="2400" spans="2:4" ht="15" x14ac:dyDescent="0.15">
      <c r="B2400" s="38">
        <v>9552</v>
      </c>
      <c r="C2400" s="39">
        <f t="shared" si="78"/>
        <v>7.5974416322957614</v>
      </c>
      <c r="D2400" s="39">
        <f t="shared" si="79"/>
        <v>2.3981264637002342</v>
      </c>
    </row>
    <row r="2401" spans="2:4" ht="15" x14ac:dyDescent="0.15">
      <c r="B2401" s="38">
        <v>9556</v>
      </c>
      <c r="C2401" s="39">
        <f t="shared" si="78"/>
        <v>7.602528537060814</v>
      </c>
      <c r="D2401" s="39">
        <f t="shared" si="79"/>
        <v>2.3995313415348565</v>
      </c>
    </row>
    <row r="2402" spans="2:4" ht="15" x14ac:dyDescent="0.15">
      <c r="B2402" s="38">
        <v>9560</v>
      </c>
      <c r="C2402" s="39">
        <f t="shared" si="78"/>
        <v>7.6076184227254018</v>
      </c>
      <c r="D2402" s="39">
        <f t="shared" si="79"/>
        <v>2.4009378663540444</v>
      </c>
    </row>
    <row r="2403" spans="2:4" ht="15" x14ac:dyDescent="0.15">
      <c r="B2403" s="38">
        <v>9564</v>
      </c>
      <c r="C2403" s="39">
        <f t="shared" si="78"/>
        <v>7.6127112927851561</v>
      </c>
      <c r="D2403" s="39">
        <f t="shared" si="79"/>
        <v>2.4023460410557185</v>
      </c>
    </row>
    <row r="2404" spans="2:4" ht="15" x14ac:dyDescent="0.15">
      <c r="B2404" s="38">
        <v>9568</v>
      </c>
      <c r="C2404" s="39">
        <f t="shared" si="78"/>
        <v>7.6178071507418608</v>
      </c>
      <c r="D2404" s="39">
        <f t="shared" si="79"/>
        <v>2.403755868544601</v>
      </c>
    </row>
    <row r="2405" spans="2:4" ht="15" x14ac:dyDescent="0.15">
      <c r="B2405" s="38">
        <v>9572</v>
      </c>
      <c r="C2405" s="39">
        <f t="shared" si="78"/>
        <v>7.6229060001034661</v>
      </c>
      <c r="D2405" s="39">
        <f t="shared" si="79"/>
        <v>2.4051673517322372</v>
      </c>
    </row>
    <row r="2406" spans="2:4" ht="15" x14ac:dyDescent="0.15">
      <c r="B2406" s="38">
        <v>9576</v>
      </c>
      <c r="C2406" s="39">
        <f t="shared" si="78"/>
        <v>7.6280078443841051</v>
      </c>
      <c r="D2406" s="39">
        <f t="shared" si="79"/>
        <v>2.4065804935370152</v>
      </c>
    </row>
    <row r="2407" spans="2:4" ht="15" x14ac:dyDescent="0.15">
      <c r="B2407" s="38">
        <v>9580</v>
      </c>
      <c r="C2407" s="39">
        <f t="shared" si="78"/>
        <v>7.6331126871041066</v>
      </c>
      <c r="D2407" s="39">
        <f t="shared" si="79"/>
        <v>2.4079952968841858</v>
      </c>
    </row>
    <row r="2408" spans="2:4" ht="15" x14ac:dyDescent="0.15">
      <c r="B2408" s="38">
        <v>9584</v>
      </c>
      <c r="C2408" s="39">
        <f t="shared" si="78"/>
        <v>7.638220531790008</v>
      </c>
      <c r="D2408" s="39">
        <f t="shared" si="79"/>
        <v>2.4094117647058821</v>
      </c>
    </row>
    <row r="2409" spans="2:4" ht="15" x14ac:dyDescent="0.15">
      <c r="B2409" s="38">
        <v>9588</v>
      </c>
      <c r="C2409" s="39">
        <f t="shared" si="78"/>
        <v>7.6433313819745745</v>
      </c>
      <c r="D2409" s="39">
        <f t="shared" si="79"/>
        <v>2.4108298999411417</v>
      </c>
    </row>
    <row r="2410" spans="2:4" ht="15" x14ac:dyDescent="0.15">
      <c r="B2410" s="38">
        <v>9592</v>
      </c>
      <c r="C2410" s="39">
        <f t="shared" si="78"/>
        <v>7.6484452411968089</v>
      </c>
      <c r="D2410" s="39">
        <f t="shared" si="79"/>
        <v>2.4122497055359244</v>
      </c>
    </row>
    <row r="2411" spans="2:4" ht="15" x14ac:dyDescent="0.15">
      <c r="B2411" s="38">
        <v>9596</v>
      </c>
      <c r="C2411" s="39">
        <f t="shared" si="78"/>
        <v>7.6535621130019704</v>
      </c>
      <c r="D2411" s="39">
        <f t="shared" si="79"/>
        <v>2.4136711844431349</v>
      </c>
    </row>
    <row r="2412" spans="2:4" ht="15" x14ac:dyDescent="0.15">
      <c r="B2412" s="38">
        <v>9600</v>
      </c>
      <c r="C2412" s="39">
        <f t="shared" si="78"/>
        <v>7.6586820009415852</v>
      </c>
      <c r="D2412" s="39">
        <f t="shared" si="79"/>
        <v>2.4150943396226414</v>
      </c>
    </row>
    <row r="2413" spans="2:4" ht="15" x14ac:dyDescent="0.15">
      <c r="B2413" s="38">
        <v>9604</v>
      </c>
      <c r="C2413" s="39">
        <f t="shared" si="78"/>
        <v>7.663804908573467</v>
      </c>
      <c r="D2413" s="39">
        <f t="shared" si="79"/>
        <v>2.4165191740412979</v>
      </c>
    </row>
    <row r="2414" spans="2:4" ht="15" x14ac:dyDescent="0.15">
      <c r="B2414" s="38">
        <v>9608</v>
      </c>
      <c r="C2414" s="39">
        <f t="shared" si="78"/>
        <v>7.6689308394617237</v>
      </c>
      <c r="D2414" s="39">
        <f t="shared" si="79"/>
        <v>2.4179456906729633</v>
      </c>
    </row>
    <row r="2415" spans="2:4" ht="15" x14ac:dyDescent="0.15">
      <c r="B2415" s="38">
        <v>9612</v>
      </c>
      <c r="C2415" s="39">
        <f t="shared" si="78"/>
        <v>7.6740597971767821</v>
      </c>
      <c r="D2415" s="39">
        <f t="shared" si="79"/>
        <v>2.4193738924985233</v>
      </c>
    </row>
    <row r="2416" spans="2:4" ht="15" x14ac:dyDescent="0.15">
      <c r="B2416" s="38">
        <v>9616</v>
      </c>
      <c r="C2416" s="39">
        <f t="shared" si="78"/>
        <v>7.6791917852953917</v>
      </c>
      <c r="D2416" s="39">
        <f t="shared" si="79"/>
        <v>2.4208037825059101</v>
      </c>
    </row>
    <row r="2417" spans="2:4" ht="15" x14ac:dyDescent="0.15">
      <c r="B2417" s="38">
        <v>9620</v>
      </c>
      <c r="C2417" s="39">
        <f t="shared" si="78"/>
        <v>7.6843268074006517</v>
      </c>
      <c r="D2417" s="39">
        <f t="shared" si="79"/>
        <v>2.4222353636901244</v>
      </c>
    </row>
    <row r="2418" spans="2:4" ht="15" x14ac:dyDescent="0.15">
      <c r="B2418" s="38">
        <v>9624</v>
      </c>
      <c r="C2418" s="39">
        <f t="shared" si="78"/>
        <v>7.689464867082016</v>
      </c>
      <c r="D2418" s="39">
        <f t="shared" si="79"/>
        <v>2.4236686390532545</v>
      </c>
    </row>
    <row r="2419" spans="2:4" ht="15" x14ac:dyDescent="0.15">
      <c r="B2419" s="38">
        <v>9628</v>
      </c>
      <c r="C2419" s="39">
        <f t="shared" si="78"/>
        <v>7.6946059679353134</v>
      </c>
      <c r="D2419" s="39">
        <f t="shared" si="79"/>
        <v>2.4251036116044995</v>
      </c>
    </row>
    <row r="2420" spans="2:4" ht="15" x14ac:dyDescent="0.15">
      <c r="B2420" s="38">
        <v>9632</v>
      </c>
      <c r="C2420" s="39">
        <f t="shared" si="78"/>
        <v>7.6997501135627626</v>
      </c>
      <c r="D2420" s="39">
        <f t="shared" si="79"/>
        <v>2.4265402843601898</v>
      </c>
    </row>
    <row r="2421" spans="2:4" ht="15" x14ac:dyDescent="0.15">
      <c r="B2421" s="38">
        <v>9636</v>
      </c>
      <c r="C2421" s="39">
        <f t="shared" si="78"/>
        <v>7.7048973075729821</v>
      </c>
      <c r="D2421" s="39">
        <f t="shared" si="79"/>
        <v>2.4279786603438054</v>
      </c>
    </row>
    <row r="2422" spans="2:4" ht="15" x14ac:dyDescent="0.15">
      <c r="B2422" s="38">
        <v>9640</v>
      </c>
      <c r="C2422" s="39">
        <f t="shared" si="78"/>
        <v>7.7100475535810169</v>
      </c>
      <c r="D2422" s="39">
        <f t="shared" si="79"/>
        <v>2.4294187425860025</v>
      </c>
    </row>
    <row r="2423" spans="2:4" ht="15" x14ac:dyDescent="0.15">
      <c r="B2423" s="38">
        <v>9644</v>
      </c>
      <c r="C2423" s="39">
        <f t="shared" si="78"/>
        <v>7.7152008552083382</v>
      </c>
      <c r="D2423" s="39">
        <f t="shared" si="79"/>
        <v>2.430860534124629</v>
      </c>
    </row>
    <row r="2424" spans="2:4" ht="15" x14ac:dyDescent="0.15">
      <c r="B2424" s="38">
        <v>9648</v>
      </c>
      <c r="C2424" s="39">
        <f t="shared" si="78"/>
        <v>7.7203572160828742</v>
      </c>
      <c r="D2424" s="39">
        <f t="shared" si="79"/>
        <v>2.4323040380047507</v>
      </c>
    </row>
    <row r="2425" spans="2:4" ht="15" x14ac:dyDescent="0.15">
      <c r="B2425" s="38">
        <v>9652</v>
      </c>
      <c r="C2425" s="39">
        <f t="shared" si="78"/>
        <v>7.7255166398390109</v>
      </c>
      <c r="D2425" s="39">
        <f t="shared" si="79"/>
        <v>2.4337492572786692</v>
      </c>
    </row>
    <row r="2426" spans="2:4" ht="15" x14ac:dyDescent="0.15">
      <c r="B2426" s="38">
        <v>9656</v>
      </c>
      <c r="C2426" s="39">
        <f t="shared" si="78"/>
        <v>7.7306791301176192</v>
      </c>
      <c r="D2426" s="39">
        <f t="shared" si="79"/>
        <v>2.4351961950059451</v>
      </c>
    </row>
    <row r="2427" spans="2:4" ht="15" x14ac:dyDescent="0.15">
      <c r="B2427" s="38">
        <v>9660</v>
      </c>
      <c r="C2427" s="39">
        <f t="shared" si="78"/>
        <v>7.7358446905660667</v>
      </c>
      <c r="D2427" s="39">
        <f t="shared" si="79"/>
        <v>2.4366448542534207</v>
      </c>
    </row>
    <row r="2428" spans="2:4" ht="15" x14ac:dyDescent="0.15">
      <c r="B2428" s="38">
        <v>9664</v>
      </c>
      <c r="C2428" s="39">
        <f t="shared" si="78"/>
        <v>7.7410133248382307</v>
      </c>
      <c r="D2428" s="39">
        <f t="shared" si="79"/>
        <v>2.4380952380952383</v>
      </c>
    </row>
    <row r="2429" spans="2:4" ht="15" x14ac:dyDescent="0.15">
      <c r="B2429" s="38">
        <v>9668</v>
      </c>
      <c r="C2429" s="39">
        <f t="shared" si="78"/>
        <v>7.746185036594512</v>
      </c>
      <c r="D2429" s="39">
        <f t="shared" si="79"/>
        <v>2.439547349612865</v>
      </c>
    </row>
    <row r="2430" spans="2:4" ht="15" x14ac:dyDescent="0.15">
      <c r="B2430" s="38">
        <v>9672</v>
      </c>
      <c r="C2430" s="39">
        <f t="shared" si="78"/>
        <v>7.7513598295018573</v>
      </c>
      <c r="D2430" s="39">
        <f t="shared" si="79"/>
        <v>2.4410011918951131</v>
      </c>
    </row>
    <row r="2431" spans="2:4" ht="15" x14ac:dyDescent="0.15">
      <c r="B2431" s="38">
        <v>9676</v>
      </c>
      <c r="C2431" s="39">
        <f t="shared" si="78"/>
        <v>7.7565377072337718</v>
      </c>
      <c r="D2431" s="39">
        <f t="shared" si="79"/>
        <v>2.4424567680381633</v>
      </c>
    </row>
    <row r="2432" spans="2:4" ht="15" x14ac:dyDescent="0.15">
      <c r="B2432" s="38">
        <v>9680</v>
      </c>
      <c r="C2432" s="39">
        <f t="shared" si="78"/>
        <v>7.7617186734703338</v>
      </c>
      <c r="D2432" s="39">
        <f t="shared" si="79"/>
        <v>2.4439140811455848</v>
      </c>
    </row>
    <row r="2433" spans="2:4" ht="15" x14ac:dyDescent="0.15">
      <c r="B2433" s="38">
        <v>9684</v>
      </c>
      <c r="C2433" s="39">
        <f t="shared" si="78"/>
        <v>7.766902731898206</v>
      </c>
      <c r="D2433" s="39">
        <f t="shared" si="79"/>
        <v>2.4453731343283582</v>
      </c>
    </row>
    <row r="2434" spans="2:4" ht="15" x14ac:dyDescent="0.15">
      <c r="B2434" s="38">
        <v>9688</v>
      </c>
      <c r="C2434" s="39">
        <f t="shared" si="78"/>
        <v>7.7720898862106624</v>
      </c>
      <c r="D2434" s="39">
        <f t="shared" si="79"/>
        <v>2.4468339307048983</v>
      </c>
    </row>
    <row r="2435" spans="2:4" ht="15" x14ac:dyDescent="0.15">
      <c r="B2435" s="38">
        <v>9692</v>
      </c>
      <c r="C2435" s="39">
        <f t="shared" si="78"/>
        <v>7.7772801401075951</v>
      </c>
      <c r="D2435" s="39">
        <f t="shared" si="79"/>
        <v>2.4482964734010757</v>
      </c>
    </row>
    <row r="2436" spans="2:4" ht="15" x14ac:dyDescent="0.15">
      <c r="B2436" s="38">
        <v>9696</v>
      </c>
      <c r="C2436" s="39">
        <f t="shared" si="78"/>
        <v>7.7824734972955341</v>
      </c>
      <c r="D2436" s="39">
        <f t="shared" si="79"/>
        <v>2.4497607655502391</v>
      </c>
    </row>
    <row r="2437" spans="2:4" ht="15" x14ac:dyDescent="0.15">
      <c r="B2437" s="38">
        <v>9700</v>
      </c>
      <c r="C2437" s="39">
        <f t="shared" si="78"/>
        <v>7.7876699614876603</v>
      </c>
      <c r="D2437" s="39">
        <f t="shared" si="79"/>
        <v>2.4512268102932375</v>
      </c>
    </row>
    <row r="2438" spans="2:4" ht="15" x14ac:dyDescent="0.15">
      <c r="B2438" s="38">
        <v>9704</v>
      </c>
      <c r="C2438" s="39">
        <f t="shared" si="78"/>
        <v>7.7928695364038214</v>
      </c>
      <c r="D2438" s="39">
        <f t="shared" si="79"/>
        <v>2.4526946107784431</v>
      </c>
    </row>
    <row r="2439" spans="2:4" ht="15" x14ac:dyDescent="0.15">
      <c r="B2439" s="38">
        <v>9708</v>
      </c>
      <c r="C2439" s="39">
        <f t="shared" si="78"/>
        <v>7.7980722257705528</v>
      </c>
      <c r="D2439" s="39">
        <f t="shared" si="79"/>
        <v>2.4541641701617736</v>
      </c>
    </row>
    <row r="2440" spans="2:4" ht="15" x14ac:dyDescent="0.15">
      <c r="B2440" s="38">
        <v>9712</v>
      </c>
      <c r="C2440" s="39">
        <f t="shared" si="78"/>
        <v>7.8032780333210887</v>
      </c>
      <c r="D2440" s="39">
        <f t="shared" si="79"/>
        <v>2.4556354916067145</v>
      </c>
    </row>
    <row r="2441" spans="2:4" ht="15" x14ac:dyDescent="0.15">
      <c r="B2441" s="38">
        <v>9716</v>
      </c>
      <c r="C2441" s="39">
        <f t="shared" si="78"/>
        <v>7.8084869627953797</v>
      </c>
      <c r="D2441" s="39">
        <f t="shared" si="79"/>
        <v>2.4571085782843429</v>
      </c>
    </row>
    <row r="2442" spans="2:4" ht="15" x14ac:dyDescent="0.15">
      <c r="B2442" s="38">
        <v>9720</v>
      </c>
      <c r="C2442" s="39">
        <f t="shared" si="78"/>
        <v>7.8136990179401096</v>
      </c>
      <c r="D2442" s="39">
        <f t="shared" si="79"/>
        <v>2.4585834333733492</v>
      </c>
    </row>
    <row r="2443" spans="2:4" ht="15" x14ac:dyDescent="0.15">
      <c r="B2443" s="38">
        <v>9724</v>
      </c>
      <c r="C2443" s="39">
        <f t="shared" si="78"/>
        <v>7.8189142025087133</v>
      </c>
      <c r="D2443" s="39">
        <f t="shared" si="79"/>
        <v>2.4600600600600599</v>
      </c>
    </row>
    <row r="2444" spans="2:4" ht="15" x14ac:dyDescent="0.15">
      <c r="B2444" s="38">
        <v>9728</v>
      </c>
      <c r="C2444" s="39">
        <f t="shared" si="78"/>
        <v>7.8241325202613847</v>
      </c>
      <c r="D2444" s="39">
        <f t="shared" si="79"/>
        <v>2.4615384615384617</v>
      </c>
    </row>
    <row r="2445" spans="2:4" ht="15" x14ac:dyDescent="0.15">
      <c r="B2445" s="38">
        <v>9732</v>
      </c>
      <c r="C2445" s="39">
        <f t="shared" ref="C2445:C2501" si="80">20*LOG(D2445)</f>
        <v>7.8293539749651018</v>
      </c>
      <c r="D2445" s="39">
        <f t="shared" ref="D2445:D2501" si="81">16384/(16384-B2445)</f>
        <v>2.4630186410102226</v>
      </c>
    </row>
    <row r="2446" spans="2:4" ht="15" x14ac:dyDescent="0.15">
      <c r="B2446" s="38">
        <v>9736</v>
      </c>
      <c r="C2446" s="39">
        <f t="shared" si="80"/>
        <v>7.834578570393643</v>
      </c>
      <c r="D2446" s="39">
        <f t="shared" si="81"/>
        <v>2.4645006016847173</v>
      </c>
    </row>
    <row r="2447" spans="2:4" ht="15" x14ac:dyDescent="0.15">
      <c r="B2447" s="38">
        <v>9740</v>
      </c>
      <c r="C2447" s="39">
        <f t="shared" si="80"/>
        <v>7.8398063103275977</v>
      </c>
      <c r="D2447" s="39">
        <f t="shared" si="81"/>
        <v>2.4659843467790488</v>
      </c>
    </row>
    <row r="2448" spans="2:4" ht="15" x14ac:dyDescent="0.15">
      <c r="B2448" s="38">
        <v>9744</v>
      </c>
      <c r="C2448" s="39">
        <f t="shared" si="80"/>
        <v>7.845037198554385</v>
      </c>
      <c r="D2448" s="39">
        <f t="shared" si="81"/>
        <v>2.4674698795180725</v>
      </c>
    </row>
    <row r="2449" spans="2:4" ht="15" x14ac:dyDescent="0.15">
      <c r="B2449" s="38">
        <v>9748</v>
      </c>
      <c r="C2449" s="39">
        <f t="shared" si="80"/>
        <v>7.8502712388682729</v>
      </c>
      <c r="D2449" s="39">
        <f t="shared" si="81"/>
        <v>2.4689572031344182</v>
      </c>
    </row>
    <row r="2450" spans="2:4" ht="15" x14ac:dyDescent="0.15">
      <c r="B2450" s="38">
        <v>9752</v>
      </c>
      <c r="C2450" s="39">
        <f t="shared" si="80"/>
        <v>7.8555084350703908</v>
      </c>
      <c r="D2450" s="39">
        <f t="shared" si="81"/>
        <v>2.4704463208685161</v>
      </c>
    </row>
    <row r="2451" spans="2:4" ht="15" x14ac:dyDescent="0.15">
      <c r="B2451" s="38">
        <v>9756</v>
      </c>
      <c r="C2451" s="39">
        <f t="shared" si="80"/>
        <v>7.8607487909687528</v>
      </c>
      <c r="D2451" s="39">
        <f t="shared" si="81"/>
        <v>2.471937235968618</v>
      </c>
    </row>
    <row r="2452" spans="2:4" ht="15" x14ac:dyDescent="0.15">
      <c r="B2452" s="38">
        <v>9760</v>
      </c>
      <c r="C2452" s="39">
        <f t="shared" si="80"/>
        <v>7.8659923103782594</v>
      </c>
      <c r="D2452" s="39">
        <f t="shared" si="81"/>
        <v>2.4734299516908211</v>
      </c>
    </row>
    <row r="2453" spans="2:4" ht="15" x14ac:dyDescent="0.15">
      <c r="B2453" s="38">
        <v>9764</v>
      </c>
      <c r="C2453" s="39">
        <f t="shared" si="80"/>
        <v>7.8712389971207362</v>
      </c>
      <c r="D2453" s="39">
        <f t="shared" si="81"/>
        <v>2.4749244712990937</v>
      </c>
    </row>
    <row r="2454" spans="2:4" ht="15" x14ac:dyDescent="0.15">
      <c r="B2454" s="38">
        <v>9768</v>
      </c>
      <c r="C2454" s="39">
        <f t="shared" si="80"/>
        <v>7.8764888550249292</v>
      </c>
      <c r="D2454" s="39">
        <f t="shared" si="81"/>
        <v>2.4764207980652961</v>
      </c>
    </row>
    <row r="2455" spans="2:4" ht="15" x14ac:dyDescent="0.15">
      <c r="B2455" s="38">
        <v>9772</v>
      </c>
      <c r="C2455" s="39">
        <f t="shared" si="80"/>
        <v>7.8817418879265375</v>
      </c>
      <c r="D2455" s="39">
        <f t="shared" si="81"/>
        <v>2.4779189352692077</v>
      </c>
    </row>
    <row r="2456" spans="2:4" ht="15" x14ac:dyDescent="0.15">
      <c r="B2456" s="38">
        <v>9776</v>
      </c>
      <c r="C2456" s="39">
        <f t="shared" si="80"/>
        <v>7.8869980996682187</v>
      </c>
      <c r="D2456" s="39">
        <f t="shared" si="81"/>
        <v>2.4794188861985473</v>
      </c>
    </row>
    <row r="2457" spans="2:4" ht="15" x14ac:dyDescent="0.15">
      <c r="B2457" s="38">
        <v>9780</v>
      </c>
      <c r="C2457" s="39">
        <f t="shared" si="80"/>
        <v>7.8922574940996135</v>
      </c>
      <c r="D2457" s="39">
        <f t="shared" si="81"/>
        <v>2.4809206541490005</v>
      </c>
    </row>
    <row r="2458" spans="2:4" ht="15" x14ac:dyDescent="0.15">
      <c r="B2458" s="38">
        <v>9784</v>
      </c>
      <c r="C2458" s="39">
        <f t="shared" si="80"/>
        <v>7.8975200750773613</v>
      </c>
      <c r="D2458" s="39">
        <f t="shared" si="81"/>
        <v>2.4824242424242424</v>
      </c>
    </row>
    <row r="2459" spans="2:4" ht="15" x14ac:dyDescent="0.15">
      <c r="B2459" s="38">
        <v>9788</v>
      </c>
      <c r="C2459" s="39">
        <f t="shared" si="80"/>
        <v>7.9027858464651111</v>
      </c>
      <c r="D2459" s="39">
        <f t="shared" si="81"/>
        <v>2.4839296543359612</v>
      </c>
    </row>
    <row r="2460" spans="2:4" ht="15" x14ac:dyDescent="0.15">
      <c r="B2460" s="38">
        <v>9792</v>
      </c>
      <c r="C2460" s="39">
        <f t="shared" si="80"/>
        <v>7.9080548121335461</v>
      </c>
      <c r="D2460" s="39">
        <f t="shared" si="81"/>
        <v>2.4854368932038833</v>
      </c>
    </row>
    <row r="2461" spans="2:4" ht="15" x14ac:dyDescent="0.15">
      <c r="B2461" s="38">
        <v>9796</v>
      </c>
      <c r="C2461" s="39">
        <f t="shared" si="80"/>
        <v>7.913326975960401</v>
      </c>
      <c r="D2461" s="39">
        <f t="shared" si="81"/>
        <v>2.4869459623557986</v>
      </c>
    </row>
    <row r="2462" spans="2:4" ht="15" x14ac:dyDescent="0.15">
      <c r="B2462" s="38">
        <v>9800</v>
      </c>
      <c r="C2462" s="39">
        <f t="shared" si="80"/>
        <v>7.9186023418304652</v>
      </c>
      <c r="D2462" s="39">
        <f t="shared" si="81"/>
        <v>2.4884568651275818</v>
      </c>
    </row>
    <row r="2463" spans="2:4" ht="15" x14ac:dyDescent="0.15">
      <c r="B2463" s="38">
        <v>9804</v>
      </c>
      <c r="C2463" s="39">
        <f t="shared" si="80"/>
        <v>7.9238809136356263</v>
      </c>
      <c r="D2463" s="39">
        <f t="shared" si="81"/>
        <v>2.4899696048632221</v>
      </c>
    </row>
    <row r="2464" spans="2:4" ht="15" x14ac:dyDescent="0.15">
      <c r="B2464" s="38">
        <v>9808</v>
      </c>
      <c r="C2464" s="39">
        <f t="shared" si="80"/>
        <v>7.9291626952748553</v>
      </c>
      <c r="D2464" s="39">
        <f t="shared" si="81"/>
        <v>2.4914841849148419</v>
      </c>
    </row>
    <row r="2465" spans="2:4" ht="15" x14ac:dyDescent="0.15">
      <c r="B2465" s="38">
        <v>9812</v>
      </c>
      <c r="C2465" s="39">
        <f t="shared" si="80"/>
        <v>7.9344476906542525</v>
      </c>
      <c r="D2465" s="39">
        <f t="shared" si="81"/>
        <v>2.4930006086427268</v>
      </c>
    </row>
    <row r="2466" spans="2:4" ht="15" x14ac:dyDescent="0.15">
      <c r="B2466" s="38">
        <v>9816</v>
      </c>
      <c r="C2466" s="39">
        <f t="shared" si="80"/>
        <v>7.9397359036870476</v>
      </c>
      <c r="D2466" s="39">
        <f t="shared" si="81"/>
        <v>2.494518879415347</v>
      </c>
    </row>
    <row r="2467" spans="2:4" ht="15" x14ac:dyDescent="0.15">
      <c r="B2467" s="38">
        <v>9820</v>
      </c>
      <c r="C2467" s="39">
        <f t="shared" si="80"/>
        <v>7.945027338293623</v>
      </c>
      <c r="D2467" s="39">
        <f t="shared" si="81"/>
        <v>2.4960390006093847</v>
      </c>
    </row>
    <row r="2468" spans="2:4" ht="15" x14ac:dyDescent="0.15">
      <c r="B2468" s="38">
        <v>9824</v>
      </c>
      <c r="C2468" s="39">
        <f t="shared" si="80"/>
        <v>7.9503219984015292</v>
      </c>
      <c r="D2468" s="39">
        <f t="shared" si="81"/>
        <v>2.4975609756097561</v>
      </c>
    </row>
    <row r="2469" spans="2:4" ht="15" x14ac:dyDescent="0.15">
      <c r="B2469" s="38">
        <v>9828</v>
      </c>
      <c r="C2469" s="39">
        <f t="shared" si="80"/>
        <v>7.9556198879455051</v>
      </c>
      <c r="D2469" s="39">
        <f t="shared" si="81"/>
        <v>2.4990848078096399</v>
      </c>
    </row>
    <row r="2470" spans="2:4" ht="15" x14ac:dyDescent="0.15">
      <c r="B2470" s="38">
        <v>9832</v>
      </c>
      <c r="C2470" s="39">
        <f t="shared" si="80"/>
        <v>7.9609210108674935</v>
      </c>
      <c r="D2470" s="39">
        <f t="shared" si="81"/>
        <v>2.5006105006105006</v>
      </c>
    </row>
    <row r="2471" spans="2:4" ht="15" x14ac:dyDescent="0.15">
      <c r="B2471" s="38">
        <v>9836</v>
      </c>
      <c r="C2471" s="39">
        <f t="shared" si="80"/>
        <v>7.9662253711166588</v>
      </c>
      <c r="D2471" s="39">
        <f t="shared" si="81"/>
        <v>2.5021380574221137</v>
      </c>
    </row>
    <row r="2472" spans="2:4" ht="15" x14ac:dyDescent="0.15">
      <c r="B2472" s="38">
        <v>9840</v>
      </c>
      <c r="C2472" s="39">
        <f t="shared" si="80"/>
        <v>7.9715329726494035</v>
      </c>
      <c r="D2472" s="39">
        <f t="shared" si="81"/>
        <v>2.5036674816625917</v>
      </c>
    </row>
    <row r="2473" spans="2:4" ht="15" x14ac:dyDescent="0.15">
      <c r="B2473" s="38">
        <v>9844</v>
      </c>
      <c r="C2473" s="39">
        <f t="shared" si="80"/>
        <v>7.9768438194293889</v>
      </c>
      <c r="D2473" s="39">
        <f t="shared" si="81"/>
        <v>2.5051987767584096</v>
      </c>
    </row>
    <row r="2474" spans="2:4" ht="15" x14ac:dyDescent="0.15">
      <c r="B2474" s="38">
        <v>9848</v>
      </c>
      <c r="C2474" s="39">
        <f t="shared" si="80"/>
        <v>7.9821579154275524</v>
      </c>
      <c r="D2474" s="39">
        <f t="shared" si="81"/>
        <v>2.5067319461444306</v>
      </c>
    </row>
    <row r="2475" spans="2:4" ht="15" x14ac:dyDescent="0.15">
      <c r="B2475" s="38">
        <v>9852</v>
      </c>
      <c r="C2475" s="39">
        <f t="shared" si="80"/>
        <v>7.9874752646221232</v>
      </c>
      <c r="D2475" s="39">
        <f t="shared" si="81"/>
        <v>2.5082669932639314</v>
      </c>
    </row>
    <row r="2476" spans="2:4" ht="15" x14ac:dyDescent="0.15">
      <c r="B2476" s="38">
        <v>9856</v>
      </c>
      <c r="C2476" s="39">
        <f t="shared" si="80"/>
        <v>7.9927958709986404</v>
      </c>
      <c r="D2476" s="39">
        <f t="shared" si="81"/>
        <v>2.5098039215686274</v>
      </c>
    </row>
    <row r="2477" spans="2:4" ht="15" x14ac:dyDescent="0.15">
      <c r="B2477" s="38">
        <v>9860</v>
      </c>
      <c r="C2477" s="39">
        <f t="shared" si="80"/>
        <v>7.9981197385499705</v>
      </c>
      <c r="D2477" s="39">
        <f t="shared" si="81"/>
        <v>2.5113427345187</v>
      </c>
    </row>
    <row r="2478" spans="2:4" ht="15" x14ac:dyDescent="0.15">
      <c r="B2478" s="38">
        <v>9864</v>
      </c>
      <c r="C2478" s="39">
        <f t="shared" si="80"/>
        <v>8.0034468712763314</v>
      </c>
      <c r="D2478" s="39">
        <f t="shared" si="81"/>
        <v>2.5128834355828222</v>
      </c>
    </row>
    <row r="2479" spans="2:4" ht="15" x14ac:dyDescent="0.15">
      <c r="B2479" s="38">
        <v>9868</v>
      </c>
      <c r="C2479" s="39">
        <f t="shared" si="80"/>
        <v>8.0087772731852986</v>
      </c>
      <c r="D2479" s="39">
        <f t="shared" si="81"/>
        <v>2.5144260282381827</v>
      </c>
    </row>
    <row r="2480" spans="2:4" ht="15" x14ac:dyDescent="0.15">
      <c r="B2480" s="38">
        <v>9872</v>
      </c>
      <c r="C2480" s="39">
        <f t="shared" si="80"/>
        <v>8.0141109482918385</v>
      </c>
      <c r="D2480" s="39">
        <f t="shared" si="81"/>
        <v>2.5159705159705159</v>
      </c>
    </row>
    <row r="2481" spans="2:4" ht="15" x14ac:dyDescent="0.15">
      <c r="B2481" s="38">
        <v>9876</v>
      </c>
      <c r="C2481" s="39">
        <f t="shared" si="80"/>
        <v>8.0194479006183101</v>
      </c>
      <c r="D2481" s="39">
        <f t="shared" si="81"/>
        <v>2.5175169022741239</v>
      </c>
    </row>
    <row r="2482" spans="2:4" ht="15" x14ac:dyDescent="0.15">
      <c r="B2482" s="38">
        <v>9880</v>
      </c>
      <c r="C2482" s="39">
        <f t="shared" si="80"/>
        <v>8.0247881341945</v>
      </c>
      <c r="D2482" s="39">
        <f t="shared" si="81"/>
        <v>2.5190651906519066</v>
      </c>
    </row>
    <row r="2483" spans="2:4" ht="15" x14ac:dyDescent="0.15">
      <c r="B2483" s="38">
        <v>9884</v>
      </c>
      <c r="C2483" s="39">
        <f t="shared" si="80"/>
        <v>8.030131653057623</v>
      </c>
      <c r="D2483" s="39">
        <f t="shared" si="81"/>
        <v>2.5206153846153847</v>
      </c>
    </row>
    <row r="2484" spans="2:4" ht="15" x14ac:dyDescent="0.15">
      <c r="B2484" s="38">
        <v>9888</v>
      </c>
      <c r="C2484" s="39">
        <f t="shared" si="80"/>
        <v>8.0354784612523567</v>
      </c>
      <c r="D2484" s="39">
        <f t="shared" si="81"/>
        <v>2.5221674876847291</v>
      </c>
    </row>
    <row r="2485" spans="2:4" ht="15" x14ac:dyDescent="0.15">
      <c r="B2485" s="38">
        <v>9892</v>
      </c>
      <c r="C2485" s="39">
        <f t="shared" si="80"/>
        <v>8.0408285628308498</v>
      </c>
      <c r="D2485" s="39">
        <f t="shared" si="81"/>
        <v>2.5237215033887863</v>
      </c>
    </row>
    <row r="2486" spans="2:4" ht="15" x14ac:dyDescent="0.15">
      <c r="B2486" s="38">
        <v>9896</v>
      </c>
      <c r="C2486" s="39">
        <f t="shared" si="80"/>
        <v>8.0461819618527421</v>
      </c>
      <c r="D2486" s="39">
        <f t="shared" si="81"/>
        <v>2.5252774352651048</v>
      </c>
    </row>
    <row r="2487" spans="2:4" ht="15" x14ac:dyDescent="0.15">
      <c r="B2487" s="38">
        <v>9900</v>
      </c>
      <c r="C2487" s="39">
        <f t="shared" si="80"/>
        <v>8.0515386623851875</v>
      </c>
      <c r="D2487" s="39">
        <f t="shared" si="81"/>
        <v>2.5268352868599631</v>
      </c>
    </row>
    <row r="2488" spans="2:4" ht="15" x14ac:dyDescent="0.15">
      <c r="B2488" s="38">
        <v>9904</v>
      </c>
      <c r="C2488" s="39">
        <f t="shared" si="80"/>
        <v>8.0568986685028676</v>
      </c>
      <c r="D2488" s="39">
        <f t="shared" si="81"/>
        <v>2.528395061728395</v>
      </c>
    </row>
    <row r="2489" spans="2:4" ht="15" x14ac:dyDescent="0.15">
      <c r="B2489" s="38">
        <v>9908</v>
      </c>
      <c r="C2489" s="39">
        <f t="shared" si="80"/>
        <v>8.0622619842880123</v>
      </c>
      <c r="D2489" s="39">
        <f t="shared" si="81"/>
        <v>2.5299567634342188</v>
      </c>
    </row>
    <row r="2490" spans="2:4" ht="15" x14ac:dyDescent="0.15">
      <c r="B2490" s="38">
        <v>9912</v>
      </c>
      <c r="C2490" s="39">
        <f t="shared" si="80"/>
        <v>8.0676286138304167</v>
      </c>
      <c r="D2490" s="39">
        <f t="shared" si="81"/>
        <v>2.5315203955500616</v>
      </c>
    </row>
    <row r="2491" spans="2:4" ht="15" x14ac:dyDescent="0.15">
      <c r="B2491" s="38">
        <v>9916</v>
      </c>
      <c r="C2491" s="39">
        <f t="shared" si="80"/>
        <v>8.0729985612274646</v>
      </c>
      <c r="D2491" s="39">
        <f t="shared" si="81"/>
        <v>2.5330859616573904</v>
      </c>
    </row>
    <row r="2492" spans="2:4" ht="15" x14ac:dyDescent="0.15">
      <c r="B2492" s="38">
        <v>9920</v>
      </c>
      <c r="C2492" s="39">
        <f t="shared" si="80"/>
        <v>8.0783718305841408</v>
      </c>
      <c r="D2492" s="39">
        <f t="shared" si="81"/>
        <v>2.5346534653465347</v>
      </c>
    </row>
    <row r="2493" spans="2:4" ht="15" x14ac:dyDescent="0.15">
      <c r="B2493" s="38">
        <v>9924</v>
      </c>
      <c r="C2493" s="39">
        <f t="shared" si="80"/>
        <v>8.0837484260130523</v>
      </c>
      <c r="D2493" s="39">
        <f t="shared" si="81"/>
        <v>2.5362229102167184</v>
      </c>
    </row>
    <row r="2494" spans="2:4" ht="15" x14ac:dyDescent="0.15">
      <c r="B2494" s="38">
        <v>9928</v>
      </c>
      <c r="C2494" s="39">
        <f t="shared" si="80"/>
        <v>8.0891283516344554</v>
      </c>
      <c r="D2494" s="39">
        <f t="shared" si="81"/>
        <v>2.5377942998760843</v>
      </c>
    </row>
    <row r="2495" spans="2:4" ht="15" x14ac:dyDescent="0.15">
      <c r="B2495" s="38">
        <v>9932</v>
      </c>
      <c r="C2495" s="39">
        <f t="shared" si="80"/>
        <v>8.0945116115762552</v>
      </c>
      <c r="D2495" s="39">
        <f t="shared" si="81"/>
        <v>2.5393676379417234</v>
      </c>
    </row>
    <row r="2496" spans="2:4" ht="15" x14ac:dyDescent="0.15">
      <c r="B2496" s="38">
        <v>9936</v>
      </c>
      <c r="C2496" s="39">
        <f t="shared" si="80"/>
        <v>8.0998982099740502</v>
      </c>
      <c r="D2496" s="39">
        <f t="shared" si="81"/>
        <v>2.5409429280397022</v>
      </c>
    </row>
    <row r="2497" spans="2:4" ht="15" x14ac:dyDescent="0.15">
      <c r="B2497" s="38">
        <v>9940</v>
      </c>
      <c r="C2497" s="39">
        <f t="shared" si="80"/>
        <v>8.105288150971127</v>
      </c>
      <c r="D2497" s="39">
        <f t="shared" si="81"/>
        <v>2.54252017380509</v>
      </c>
    </row>
    <row r="2498" spans="2:4" ht="15" x14ac:dyDescent="0.15">
      <c r="B2498" s="38">
        <v>9944</v>
      </c>
      <c r="C2498" s="39">
        <f t="shared" si="80"/>
        <v>8.110681438718494</v>
      </c>
      <c r="D2498" s="39">
        <f t="shared" si="81"/>
        <v>2.5440993788819877</v>
      </c>
    </row>
    <row r="2499" spans="2:4" ht="15" x14ac:dyDescent="0.15">
      <c r="B2499" s="38">
        <v>9948</v>
      </c>
      <c r="C2499" s="39">
        <f t="shared" si="80"/>
        <v>8.1160780773748957</v>
      </c>
      <c r="D2499" s="39">
        <f t="shared" si="81"/>
        <v>2.5456805469235548</v>
      </c>
    </row>
    <row r="2500" spans="2:4" ht="15" x14ac:dyDescent="0.15">
      <c r="B2500" s="38">
        <v>9952</v>
      </c>
      <c r="C2500" s="39">
        <f t="shared" si="80"/>
        <v>8.1214780711068375</v>
      </c>
      <c r="D2500" s="39">
        <f t="shared" si="81"/>
        <v>2.5472636815920398</v>
      </c>
    </row>
    <row r="2501" spans="2:4" ht="15" x14ac:dyDescent="0.15">
      <c r="B2501" s="38">
        <v>9956</v>
      </c>
      <c r="C2501" s="39">
        <f t="shared" si="80"/>
        <v>8.1268814240885963</v>
      </c>
      <c r="D2501" s="39">
        <f t="shared" si="81"/>
        <v>2.5488487865588052</v>
      </c>
    </row>
    <row r="2502" spans="2:4" ht="15" x14ac:dyDescent="0.15">
      <c r="B2502" s="38">
        <v>9960</v>
      </c>
      <c r="C2502" s="39">
        <f t="shared" ref="C2502:C2565" si="82">20*LOG(D2502)</f>
        <v>8.1322881405022436</v>
      </c>
      <c r="D2502" s="39">
        <f t="shared" ref="D2502:D2565" si="83">16384/(16384-B2502)</f>
        <v>2.5504358655043586</v>
      </c>
    </row>
    <row r="2503" spans="2:4" ht="15" x14ac:dyDescent="0.15">
      <c r="B2503" s="38">
        <v>9964</v>
      </c>
      <c r="C2503" s="39">
        <f t="shared" si="82"/>
        <v>8.1376982245376688</v>
      </c>
      <c r="D2503" s="39">
        <f t="shared" si="83"/>
        <v>2.5520249221183802</v>
      </c>
    </row>
    <row r="2504" spans="2:4" ht="15" x14ac:dyDescent="0.15">
      <c r="B2504" s="38">
        <v>9968</v>
      </c>
      <c r="C2504" s="39">
        <f t="shared" si="82"/>
        <v>8.1431116803925931</v>
      </c>
      <c r="D2504" s="39">
        <f t="shared" si="83"/>
        <v>2.5536159600997506</v>
      </c>
    </row>
    <row r="2505" spans="2:4" ht="15" x14ac:dyDescent="0.15">
      <c r="B2505" s="38">
        <v>9972</v>
      </c>
      <c r="C2505" s="39">
        <f t="shared" si="82"/>
        <v>8.1485285122725912</v>
      </c>
      <c r="D2505" s="39">
        <f t="shared" si="83"/>
        <v>2.5552089831565814</v>
      </c>
    </row>
    <row r="2506" spans="2:4" ht="15" x14ac:dyDescent="0.15">
      <c r="B2506" s="38">
        <v>9976</v>
      </c>
      <c r="C2506" s="39">
        <f t="shared" si="82"/>
        <v>8.1539487243911104</v>
      </c>
      <c r="D2506" s="39">
        <f t="shared" si="83"/>
        <v>2.5568039950062422</v>
      </c>
    </row>
    <row r="2507" spans="2:4" ht="15" x14ac:dyDescent="0.15">
      <c r="B2507" s="38">
        <v>9980</v>
      </c>
      <c r="C2507" s="39">
        <f t="shared" si="82"/>
        <v>8.1593723209694922</v>
      </c>
      <c r="D2507" s="39">
        <f t="shared" si="83"/>
        <v>2.5584009993753902</v>
      </c>
    </row>
    <row r="2508" spans="2:4" ht="15" x14ac:dyDescent="0.15">
      <c r="B2508" s="38">
        <v>9984</v>
      </c>
      <c r="C2508" s="39">
        <f t="shared" si="82"/>
        <v>8.1647993062369917</v>
      </c>
      <c r="D2508" s="39">
        <f t="shared" si="83"/>
        <v>2.56</v>
      </c>
    </row>
    <row r="2509" spans="2:4" ht="15" x14ac:dyDescent="0.15">
      <c r="B2509" s="38">
        <v>9988</v>
      </c>
      <c r="C2509" s="39">
        <f t="shared" si="82"/>
        <v>8.1702296844307938</v>
      </c>
      <c r="D2509" s="39">
        <f t="shared" si="83"/>
        <v>2.5616010006253909</v>
      </c>
    </row>
    <row r="2510" spans="2:4" ht="15" x14ac:dyDescent="0.15">
      <c r="B2510" s="38">
        <v>9992</v>
      </c>
      <c r="C2510" s="39">
        <f t="shared" si="82"/>
        <v>8.175663459796036</v>
      </c>
      <c r="D2510" s="39">
        <f t="shared" si="83"/>
        <v>2.5632040050062579</v>
      </c>
    </row>
    <row r="2511" spans="2:4" ht="15" x14ac:dyDescent="0.15">
      <c r="B2511" s="38">
        <v>9996</v>
      </c>
      <c r="C2511" s="39">
        <f t="shared" si="82"/>
        <v>8.1811006365858283</v>
      </c>
      <c r="D2511" s="39">
        <f t="shared" si="83"/>
        <v>2.5648090169066999</v>
      </c>
    </row>
    <row r="2512" spans="2:4" ht="15" x14ac:dyDescent="0.15">
      <c r="B2512" s="38">
        <v>10000</v>
      </c>
      <c r="C2512" s="39">
        <f t="shared" si="82"/>
        <v>8.1865412190612741</v>
      </c>
      <c r="D2512" s="39">
        <f t="shared" si="83"/>
        <v>2.5664160401002505</v>
      </c>
    </row>
    <row r="2513" spans="2:4" ht="15" x14ac:dyDescent="0.15">
      <c r="B2513" s="38">
        <v>10004</v>
      </c>
      <c r="C2513" s="39">
        <f t="shared" si="82"/>
        <v>8.1919852114914899</v>
      </c>
      <c r="D2513" s="39">
        <f t="shared" si="83"/>
        <v>2.5680250783699061</v>
      </c>
    </row>
    <row r="2514" spans="2:4" ht="15" x14ac:dyDescent="0.15">
      <c r="B2514" s="38">
        <v>10008</v>
      </c>
      <c r="C2514" s="39">
        <f t="shared" si="82"/>
        <v>8.1974326181536146</v>
      </c>
      <c r="D2514" s="39">
        <f t="shared" si="83"/>
        <v>2.5696361355081554</v>
      </c>
    </row>
    <row r="2515" spans="2:4" ht="15" x14ac:dyDescent="0.15">
      <c r="B2515" s="38">
        <v>10012</v>
      </c>
      <c r="C2515" s="39">
        <f t="shared" si="82"/>
        <v>8.2028834433328583</v>
      </c>
      <c r="D2515" s="39">
        <f t="shared" si="83"/>
        <v>2.5712492153170121</v>
      </c>
    </row>
    <row r="2516" spans="2:4" ht="15" x14ac:dyDescent="0.15">
      <c r="B2516" s="38">
        <v>10016</v>
      </c>
      <c r="C2516" s="39">
        <f t="shared" si="82"/>
        <v>8.2083376913224821</v>
      </c>
      <c r="D2516" s="39">
        <f t="shared" si="83"/>
        <v>2.5728643216080402</v>
      </c>
    </row>
    <row r="2517" spans="2:4" ht="15" x14ac:dyDescent="0.15">
      <c r="B2517" s="38">
        <v>10020</v>
      </c>
      <c r="C2517" s="39">
        <f t="shared" si="82"/>
        <v>8.2137953664238559</v>
      </c>
      <c r="D2517" s="39">
        <f t="shared" si="83"/>
        <v>2.5744814582023885</v>
      </c>
    </row>
    <row r="2518" spans="2:4" ht="15" x14ac:dyDescent="0.15">
      <c r="B2518" s="38">
        <v>10024</v>
      </c>
      <c r="C2518" s="39">
        <f t="shared" si="82"/>
        <v>8.2192564729464568</v>
      </c>
      <c r="D2518" s="39">
        <f t="shared" si="83"/>
        <v>2.5761006289308175</v>
      </c>
    </row>
    <row r="2519" spans="2:4" ht="15" x14ac:dyDescent="0.15">
      <c r="B2519" s="38">
        <v>10028</v>
      </c>
      <c r="C2519" s="39">
        <f t="shared" si="82"/>
        <v>8.224721015207896</v>
      </c>
      <c r="D2519" s="39">
        <f t="shared" si="83"/>
        <v>2.5777218376337321</v>
      </c>
    </row>
    <row r="2520" spans="2:4" ht="15" x14ac:dyDescent="0.15">
      <c r="B2520" s="38">
        <v>10032</v>
      </c>
      <c r="C2520" s="39">
        <f t="shared" si="82"/>
        <v>8.2301889975339364</v>
      </c>
      <c r="D2520" s="39">
        <f t="shared" si="83"/>
        <v>2.579345088161209</v>
      </c>
    </row>
    <row r="2521" spans="2:4" ht="15" x14ac:dyDescent="0.15">
      <c r="B2521" s="38">
        <v>10036</v>
      </c>
      <c r="C2521" s="39">
        <f t="shared" si="82"/>
        <v>8.2356604242585227</v>
      </c>
      <c r="D2521" s="39">
        <f t="shared" si="83"/>
        <v>2.5809703843730309</v>
      </c>
    </row>
    <row r="2522" spans="2:4" ht="15" x14ac:dyDescent="0.15">
      <c r="B2522" s="38">
        <v>10040</v>
      </c>
      <c r="C2522" s="39">
        <f t="shared" si="82"/>
        <v>8.241135299723787</v>
      </c>
      <c r="D2522" s="39">
        <f t="shared" si="83"/>
        <v>2.5825977301387137</v>
      </c>
    </row>
    <row r="2523" spans="2:4" ht="15" x14ac:dyDescent="0.15">
      <c r="B2523" s="38">
        <v>10044</v>
      </c>
      <c r="C2523" s="39">
        <f t="shared" si="82"/>
        <v>8.2466136282800822</v>
      </c>
      <c r="D2523" s="39">
        <f t="shared" si="83"/>
        <v>2.5842271293375396</v>
      </c>
    </row>
    <row r="2524" spans="2:4" ht="15" x14ac:dyDescent="0.15">
      <c r="B2524" s="38">
        <v>10048</v>
      </c>
      <c r="C2524" s="39">
        <f t="shared" si="82"/>
        <v>8.2520954142859928</v>
      </c>
      <c r="D2524" s="39">
        <f t="shared" si="83"/>
        <v>2.5858585858585861</v>
      </c>
    </row>
    <row r="2525" spans="2:4" ht="15" x14ac:dyDescent="0.15">
      <c r="B2525" s="38">
        <v>10052</v>
      </c>
      <c r="C2525" s="39">
        <f t="shared" si="82"/>
        <v>8.2575806621083672</v>
      </c>
      <c r="D2525" s="39">
        <f t="shared" si="83"/>
        <v>2.5874921036007579</v>
      </c>
    </row>
    <row r="2526" spans="2:4" ht="15" x14ac:dyDescent="0.15">
      <c r="B2526" s="38">
        <v>10056</v>
      </c>
      <c r="C2526" s="39">
        <f t="shared" si="82"/>
        <v>8.2630693761223331</v>
      </c>
      <c r="D2526" s="39">
        <f t="shared" si="83"/>
        <v>2.5891276864728194</v>
      </c>
    </row>
    <row r="2527" spans="2:4" ht="15" x14ac:dyDescent="0.15">
      <c r="B2527" s="38">
        <v>10060</v>
      </c>
      <c r="C2527" s="39">
        <f t="shared" si="82"/>
        <v>8.2685615607113068</v>
      </c>
      <c r="D2527" s="39">
        <f t="shared" si="83"/>
        <v>2.5907653383934219</v>
      </c>
    </row>
    <row r="2528" spans="2:4" ht="15" x14ac:dyDescent="0.15">
      <c r="B2528" s="38">
        <v>10064</v>
      </c>
      <c r="C2528" s="39">
        <f t="shared" si="82"/>
        <v>8.2740572202670357</v>
      </c>
      <c r="D2528" s="39">
        <f t="shared" si="83"/>
        <v>2.5924050632911393</v>
      </c>
    </row>
    <row r="2529" spans="2:4" ht="15" x14ac:dyDescent="0.15">
      <c r="B2529" s="38">
        <v>10068</v>
      </c>
      <c r="C2529" s="39">
        <f t="shared" si="82"/>
        <v>8.279556359189602</v>
      </c>
      <c r="D2529" s="39">
        <f t="shared" si="83"/>
        <v>2.5940468651044966</v>
      </c>
    </row>
    <row r="2530" spans="2:4" ht="15" x14ac:dyDescent="0.15">
      <c r="B2530" s="38">
        <v>10072</v>
      </c>
      <c r="C2530" s="39">
        <f t="shared" si="82"/>
        <v>8.285058981887456</v>
      </c>
      <c r="D2530" s="39">
        <f t="shared" si="83"/>
        <v>2.5956907477820024</v>
      </c>
    </row>
    <row r="2531" spans="2:4" ht="15" x14ac:dyDescent="0.15">
      <c r="B2531" s="38">
        <v>10076</v>
      </c>
      <c r="C2531" s="39">
        <f t="shared" si="82"/>
        <v>8.2905650927774293</v>
      </c>
      <c r="D2531" s="39">
        <f t="shared" si="83"/>
        <v>2.5973367152821814</v>
      </c>
    </row>
    <row r="2532" spans="2:4" ht="15" x14ac:dyDescent="0.15">
      <c r="B2532" s="38">
        <v>10080</v>
      </c>
      <c r="C2532" s="39">
        <f t="shared" si="82"/>
        <v>8.2960746962847569</v>
      </c>
      <c r="D2532" s="39">
        <f t="shared" si="83"/>
        <v>2.5989847715736039</v>
      </c>
    </row>
    <row r="2533" spans="2:4" ht="15" x14ac:dyDescent="0.15">
      <c r="B2533" s="38">
        <v>10084</v>
      </c>
      <c r="C2533" s="39">
        <f t="shared" si="82"/>
        <v>8.3015877968431013</v>
      </c>
      <c r="D2533" s="39">
        <f t="shared" si="83"/>
        <v>2.6006349206349206</v>
      </c>
    </row>
    <row r="2534" spans="2:4" ht="15" x14ac:dyDescent="0.15">
      <c r="B2534" s="38">
        <v>10088</v>
      </c>
      <c r="C2534" s="39">
        <f t="shared" si="82"/>
        <v>8.3071043988945732</v>
      </c>
      <c r="D2534" s="39">
        <f t="shared" si="83"/>
        <v>2.6022871664548921</v>
      </c>
    </row>
    <row r="2535" spans="2:4" ht="15" x14ac:dyDescent="0.15">
      <c r="B2535" s="38">
        <v>10092</v>
      </c>
      <c r="C2535" s="39">
        <f t="shared" si="82"/>
        <v>8.3126245068897493</v>
      </c>
      <c r="D2535" s="39">
        <f t="shared" si="83"/>
        <v>2.6039415130324222</v>
      </c>
    </row>
    <row r="2536" spans="2:4" ht="15" x14ac:dyDescent="0.15">
      <c r="B2536" s="38">
        <v>10096</v>
      </c>
      <c r="C2536" s="39">
        <f t="shared" si="82"/>
        <v>8.3181481252877063</v>
      </c>
      <c r="D2536" s="39">
        <f t="shared" si="83"/>
        <v>2.6055979643765905</v>
      </c>
    </row>
    <row r="2537" spans="2:4" ht="15" x14ac:dyDescent="0.15">
      <c r="B2537" s="38">
        <v>10100</v>
      </c>
      <c r="C2537" s="39">
        <f t="shared" si="82"/>
        <v>8.323675258556019</v>
      </c>
      <c r="D2537" s="39">
        <f t="shared" si="83"/>
        <v>2.6072565245066834</v>
      </c>
    </row>
    <row r="2538" spans="2:4" ht="15" x14ac:dyDescent="0.15">
      <c r="B2538" s="38">
        <v>10104</v>
      </c>
      <c r="C2538" s="39">
        <f t="shared" si="82"/>
        <v>8.3292059111708117</v>
      </c>
      <c r="D2538" s="39">
        <f t="shared" si="83"/>
        <v>2.6089171974522292</v>
      </c>
    </row>
    <row r="2539" spans="2:4" ht="15" x14ac:dyDescent="0.15">
      <c r="B2539" s="38">
        <v>10108</v>
      </c>
      <c r="C2539" s="39">
        <f t="shared" si="82"/>
        <v>8.334740087616753</v>
      </c>
      <c r="D2539" s="39">
        <f t="shared" si="83"/>
        <v>2.6105799872530273</v>
      </c>
    </row>
    <row r="2540" spans="2:4" ht="15" x14ac:dyDescent="0.15">
      <c r="B2540" s="38">
        <v>10112</v>
      </c>
      <c r="C2540" s="39">
        <f t="shared" si="82"/>
        <v>8.3402777923870932</v>
      </c>
      <c r="D2540" s="39">
        <f t="shared" si="83"/>
        <v>2.6122448979591835</v>
      </c>
    </row>
    <row r="2541" spans="2:4" ht="15" x14ac:dyDescent="0.15">
      <c r="B2541" s="38">
        <v>10116</v>
      </c>
      <c r="C2541" s="39">
        <f t="shared" si="82"/>
        <v>8.3458190299836836</v>
      </c>
      <c r="D2541" s="39">
        <f t="shared" si="83"/>
        <v>2.6139119336311425</v>
      </c>
    </row>
    <row r="2542" spans="2:4" ht="15" x14ac:dyDescent="0.15">
      <c r="B2542" s="38">
        <v>10120</v>
      </c>
      <c r="C2542" s="39">
        <f t="shared" si="82"/>
        <v>8.3513638049169963</v>
      </c>
      <c r="D2542" s="39">
        <f t="shared" si="83"/>
        <v>2.6155810983397192</v>
      </c>
    </row>
    <row r="2543" spans="2:4" ht="15" x14ac:dyDescent="0.15">
      <c r="B2543" s="38">
        <v>10124</v>
      </c>
      <c r="C2543" s="39">
        <f t="shared" si="82"/>
        <v>8.3569121217061415</v>
      </c>
      <c r="D2543" s="39">
        <f t="shared" si="83"/>
        <v>2.6172523961661343</v>
      </c>
    </row>
    <row r="2544" spans="2:4" ht="15" x14ac:dyDescent="0.15">
      <c r="B2544" s="38">
        <v>10128</v>
      </c>
      <c r="C2544" s="39">
        <f t="shared" si="82"/>
        <v>8.3624639848789037</v>
      </c>
      <c r="D2544" s="39">
        <f t="shared" si="83"/>
        <v>2.6189258312020463</v>
      </c>
    </row>
    <row r="2545" spans="2:4" ht="15" x14ac:dyDescent="0.15">
      <c r="B2545" s="38">
        <v>10132</v>
      </c>
      <c r="C2545" s="39">
        <f t="shared" si="82"/>
        <v>8.3680193989717484</v>
      </c>
      <c r="D2545" s="39">
        <f t="shared" si="83"/>
        <v>2.620601407549584</v>
      </c>
    </row>
    <row r="2546" spans="2:4" ht="15" x14ac:dyDescent="0.15">
      <c r="B2546" s="38">
        <v>10136</v>
      </c>
      <c r="C2546" s="39">
        <f t="shared" si="82"/>
        <v>8.3735783685298557</v>
      </c>
      <c r="D2546" s="39">
        <f t="shared" si="83"/>
        <v>2.6222791293213827</v>
      </c>
    </row>
    <row r="2547" spans="2:4" ht="15" x14ac:dyDescent="0.15">
      <c r="B2547" s="38">
        <v>10140</v>
      </c>
      <c r="C2547" s="39">
        <f t="shared" si="82"/>
        <v>8.3791408981071349</v>
      </c>
      <c r="D2547" s="39">
        <f t="shared" si="83"/>
        <v>2.6239590006406148</v>
      </c>
    </row>
    <row r="2548" spans="2:4" ht="15" x14ac:dyDescent="0.15">
      <c r="B2548" s="38">
        <v>10144</v>
      </c>
      <c r="C2548" s="39">
        <f t="shared" si="82"/>
        <v>8.3847069922662563</v>
      </c>
      <c r="D2548" s="39">
        <f t="shared" si="83"/>
        <v>2.6256410256410256</v>
      </c>
    </row>
    <row r="2549" spans="2:4" ht="15" x14ac:dyDescent="0.15">
      <c r="B2549" s="38">
        <v>10148</v>
      </c>
      <c r="C2549" s="39">
        <f t="shared" si="82"/>
        <v>8.3902766555786528</v>
      </c>
      <c r="D2549" s="39">
        <f t="shared" si="83"/>
        <v>2.6273252084669658</v>
      </c>
    </row>
    <row r="2550" spans="2:4" ht="15" x14ac:dyDescent="0.15">
      <c r="B2550" s="38">
        <v>10152</v>
      </c>
      <c r="C2550" s="39">
        <f t="shared" si="82"/>
        <v>8.3958498926245735</v>
      </c>
      <c r="D2550" s="39">
        <f t="shared" si="83"/>
        <v>2.6290115532734273</v>
      </c>
    </row>
    <row r="2551" spans="2:4" ht="15" x14ac:dyDescent="0.15">
      <c r="B2551" s="38">
        <v>10156</v>
      </c>
      <c r="C2551" s="39">
        <f t="shared" si="82"/>
        <v>8.40142670799308</v>
      </c>
      <c r="D2551" s="39">
        <f t="shared" si="83"/>
        <v>2.6307000642260756</v>
      </c>
    </row>
    <row r="2552" spans="2:4" ht="15" x14ac:dyDescent="0.15">
      <c r="B2552" s="38">
        <v>10160</v>
      </c>
      <c r="C2552" s="39">
        <f t="shared" si="82"/>
        <v>8.4070071062820837</v>
      </c>
      <c r="D2552" s="39">
        <f t="shared" si="83"/>
        <v>2.6323907455012852</v>
      </c>
    </row>
    <row r="2553" spans="2:4" ht="15" x14ac:dyDescent="0.15">
      <c r="B2553" s="38">
        <v>10164</v>
      </c>
      <c r="C2553" s="39">
        <f t="shared" si="82"/>
        <v>8.41259109209836</v>
      </c>
      <c r="D2553" s="39">
        <f t="shared" si="83"/>
        <v>2.6340836012861737</v>
      </c>
    </row>
    <row r="2554" spans="2:4" ht="15" x14ac:dyDescent="0.15">
      <c r="B2554" s="38">
        <v>10168</v>
      </c>
      <c r="C2554" s="39">
        <f t="shared" si="82"/>
        <v>8.4181786700575785</v>
      </c>
      <c r="D2554" s="39">
        <f t="shared" si="83"/>
        <v>2.6357786357786357</v>
      </c>
    </row>
    <row r="2555" spans="2:4" ht="15" x14ac:dyDescent="0.15">
      <c r="B2555" s="38">
        <v>10172</v>
      </c>
      <c r="C2555" s="39">
        <f t="shared" si="82"/>
        <v>8.4237698447843155</v>
      </c>
      <c r="D2555" s="39">
        <f t="shared" si="83"/>
        <v>2.6374758531873792</v>
      </c>
    </row>
    <row r="2556" spans="2:4" ht="15" x14ac:dyDescent="0.15">
      <c r="B2556" s="38">
        <v>10176</v>
      </c>
      <c r="C2556" s="39">
        <f t="shared" si="82"/>
        <v>8.4293646209120947</v>
      </c>
      <c r="D2556" s="39">
        <f t="shared" si="83"/>
        <v>2.6391752577319587</v>
      </c>
    </row>
    <row r="2557" spans="2:4" ht="15" x14ac:dyDescent="0.15">
      <c r="B2557" s="38">
        <v>10180</v>
      </c>
      <c r="C2557" s="39">
        <f t="shared" si="82"/>
        <v>8.4349630030833875</v>
      </c>
      <c r="D2557" s="39">
        <f t="shared" si="83"/>
        <v>2.6408768536428111</v>
      </c>
    </row>
    <row r="2558" spans="2:4" ht="15" x14ac:dyDescent="0.15">
      <c r="B2558" s="38">
        <v>10184</v>
      </c>
      <c r="C2558" s="39">
        <f t="shared" si="82"/>
        <v>8.4405649959496571</v>
      </c>
      <c r="D2558" s="39">
        <f t="shared" si="83"/>
        <v>2.6425806451612903</v>
      </c>
    </row>
    <row r="2559" spans="2:4" ht="15" x14ac:dyDescent="0.15">
      <c r="B2559" s="38">
        <v>10188</v>
      </c>
      <c r="C2559" s="39">
        <f t="shared" si="82"/>
        <v>8.4461706041713658</v>
      </c>
      <c r="D2559" s="39">
        <f t="shared" si="83"/>
        <v>2.6442866365397029</v>
      </c>
    </row>
    <row r="2560" spans="2:4" ht="15" x14ac:dyDescent="0.15">
      <c r="B2560" s="38">
        <v>10192</v>
      </c>
      <c r="C2560" s="39">
        <f t="shared" si="82"/>
        <v>8.451779832418012</v>
      </c>
      <c r="D2560" s="39">
        <f t="shared" si="83"/>
        <v>2.6459948320413438</v>
      </c>
    </row>
    <row r="2561" spans="2:4" ht="15" x14ac:dyDescent="0.15">
      <c r="B2561" s="38">
        <v>10196</v>
      </c>
      <c r="C2561" s="39">
        <f t="shared" si="82"/>
        <v>8.457392685368136</v>
      </c>
      <c r="D2561" s="39">
        <f t="shared" si="83"/>
        <v>2.64770523594053</v>
      </c>
    </row>
    <row r="2562" spans="2:4" ht="15" x14ac:dyDescent="0.15">
      <c r="B2562" s="38">
        <v>10200</v>
      </c>
      <c r="C2562" s="39">
        <f t="shared" si="82"/>
        <v>8.463009167709366</v>
      </c>
      <c r="D2562" s="39">
        <f t="shared" si="83"/>
        <v>2.6494178525226393</v>
      </c>
    </row>
    <row r="2563" spans="2:4" ht="15" x14ac:dyDescent="0.15">
      <c r="B2563" s="38">
        <v>10204</v>
      </c>
      <c r="C2563" s="39">
        <f t="shared" si="82"/>
        <v>8.4686292841384176</v>
      </c>
      <c r="D2563" s="39">
        <f t="shared" si="83"/>
        <v>2.6511326860841424</v>
      </c>
    </row>
    <row r="2564" spans="2:4" ht="15" x14ac:dyDescent="0.15">
      <c r="B2564" s="38">
        <v>10208</v>
      </c>
      <c r="C2564" s="39">
        <f t="shared" si="82"/>
        <v>8.474253039361141</v>
      </c>
      <c r="D2564" s="39">
        <f t="shared" si="83"/>
        <v>2.6528497409326426</v>
      </c>
    </row>
    <row r="2565" spans="2:4" ht="15" x14ac:dyDescent="0.15">
      <c r="B2565" s="38">
        <v>10212</v>
      </c>
      <c r="C2565" s="39">
        <f t="shared" si="82"/>
        <v>8.4798804380925219</v>
      </c>
      <c r="D2565" s="39">
        <f t="shared" si="83"/>
        <v>2.6545690213869086</v>
      </c>
    </row>
    <row r="2566" spans="2:4" ht="15" x14ac:dyDescent="0.15">
      <c r="B2566" s="38">
        <v>10216</v>
      </c>
      <c r="C2566" s="39">
        <f t="shared" ref="C2566:C2629" si="84">20*LOG(D2566)</f>
        <v>8.4855114850567226</v>
      </c>
      <c r="D2566" s="39">
        <f t="shared" ref="D2566:D2629" si="85">16384/(16384-B2566)</f>
        <v>2.656290531776913</v>
      </c>
    </row>
    <row r="2567" spans="2:4" ht="15" x14ac:dyDescent="0.15">
      <c r="B2567" s="38">
        <v>10220</v>
      </c>
      <c r="C2567" s="39">
        <f t="shared" si="84"/>
        <v>8.4911461849870999</v>
      </c>
      <c r="D2567" s="39">
        <f t="shared" si="85"/>
        <v>2.6580142764438675</v>
      </c>
    </row>
    <row r="2568" spans="2:4" ht="15" x14ac:dyDescent="0.15">
      <c r="B2568" s="38">
        <v>10224</v>
      </c>
      <c r="C2568" s="39">
        <f t="shared" si="84"/>
        <v>8.4967845426262265</v>
      </c>
      <c r="D2568" s="39">
        <f t="shared" si="85"/>
        <v>2.6597402597402597</v>
      </c>
    </row>
    <row r="2569" spans="2:4" ht="15" x14ac:dyDescent="0.15">
      <c r="B2569" s="38">
        <v>10228</v>
      </c>
      <c r="C2569" s="39">
        <f t="shared" si="84"/>
        <v>8.5024265627259119</v>
      </c>
      <c r="D2569" s="39">
        <f t="shared" si="85"/>
        <v>2.6614684860298894</v>
      </c>
    </row>
    <row r="2570" spans="2:4" ht="15" x14ac:dyDescent="0.15">
      <c r="B2570" s="38">
        <v>10232</v>
      </c>
      <c r="C2570" s="39">
        <f t="shared" si="84"/>
        <v>8.5080722500472419</v>
      </c>
      <c r="D2570" s="39">
        <f t="shared" si="85"/>
        <v>2.6631989596879064</v>
      </c>
    </row>
    <row r="2571" spans="2:4" ht="15" x14ac:dyDescent="0.15">
      <c r="B2571" s="38">
        <v>10236</v>
      </c>
      <c r="C2571" s="39">
        <f t="shared" si="84"/>
        <v>8.5137216093605854</v>
      </c>
      <c r="D2571" s="39">
        <f t="shared" si="85"/>
        <v>2.664931685100846</v>
      </c>
    </row>
    <row r="2572" spans="2:4" ht="15" x14ac:dyDescent="0.15">
      <c r="B2572" s="38">
        <v>10240</v>
      </c>
      <c r="C2572" s="39">
        <f t="shared" si="84"/>
        <v>8.5193746454456214</v>
      </c>
      <c r="D2572" s="39">
        <f t="shared" si="85"/>
        <v>2.6666666666666665</v>
      </c>
    </row>
    <row r="2573" spans="2:4" ht="15" x14ac:dyDescent="0.15">
      <c r="B2573" s="38">
        <v>10244</v>
      </c>
      <c r="C2573" s="39">
        <f t="shared" si="84"/>
        <v>8.5250313630913812</v>
      </c>
      <c r="D2573" s="39">
        <f t="shared" si="85"/>
        <v>2.6684039087947884</v>
      </c>
    </row>
    <row r="2574" spans="2:4" ht="15" x14ac:dyDescent="0.15">
      <c r="B2574" s="38">
        <v>10248</v>
      </c>
      <c r="C2574" s="39">
        <f t="shared" si="84"/>
        <v>8.5306917670962434</v>
      </c>
      <c r="D2574" s="39">
        <f t="shared" si="85"/>
        <v>2.6701434159061277</v>
      </c>
    </row>
    <row r="2575" spans="2:4" ht="15" x14ac:dyDescent="0.15">
      <c r="B2575" s="38">
        <v>10252</v>
      </c>
      <c r="C2575" s="39">
        <f t="shared" si="84"/>
        <v>8.5363558622679818</v>
      </c>
      <c r="D2575" s="39">
        <f t="shared" si="85"/>
        <v>2.6718851924331375</v>
      </c>
    </row>
    <row r="2576" spans="2:4" ht="15" x14ac:dyDescent="0.15">
      <c r="B2576" s="38">
        <v>10256</v>
      </c>
      <c r="C2576" s="39">
        <f t="shared" si="84"/>
        <v>8.5420236534237848</v>
      </c>
      <c r="D2576" s="39">
        <f t="shared" si="85"/>
        <v>2.6736292428198434</v>
      </c>
    </row>
    <row r="2577" spans="2:4" ht="15" x14ac:dyDescent="0.15">
      <c r="B2577" s="38">
        <v>10260</v>
      </c>
      <c r="C2577" s="39">
        <f t="shared" si="84"/>
        <v>8.5476951453902661</v>
      </c>
      <c r="D2577" s="39">
        <f t="shared" si="85"/>
        <v>2.6753755715218812</v>
      </c>
    </row>
    <row r="2578" spans="2:4" ht="15" x14ac:dyDescent="0.15">
      <c r="B2578" s="38">
        <v>10264</v>
      </c>
      <c r="C2578" s="39">
        <f t="shared" si="84"/>
        <v>8.5533703430035111</v>
      </c>
      <c r="D2578" s="39">
        <f t="shared" si="85"/>
        <v>2.6771241830065358</v>
      </c>
    </row>
    <row r="2579" spans="2:4" ht="15" x14ac:dyDescent="0.15">
      <c r="B2579" s="38">
        <v>10268</v>
      </c>
      <c r="C2579" s="39">
        <f t="shared" si="84"/>
        <v>8.5590492511090854</v>
      </c>
      <c r="D2579" s="39">
        <f t="shared" si="85"/>
        <v>2.6788750817527798</v>
      </c>
    </row>
    <row r="2580" spans="2:4" ht="15" x14ac:dyDescent="0.15">
      <c r="B2580" s="38">
        <v>10272</v>
      </c>
      <c r="C2580" s="39">
        <f t="shared" si="84"/>
        <v>8.5647318745620655</v>
      </c>
      <c r="D2580" s="39">
        <f t="shared" si="85"/>
        <v>2.6806282722513091</v>
      </c>
    </row>
    <row r="2581" spans="2:4" ht="15" x14ac:dyDescent="0.15">
      <c r="B2581" s="38">
        <v>10276</v>
      </c>
      <c r="C2581" s="39">
        <f t="shared" si="84"/>
        <v>8.5704182182270632</v>
      </c>
      <c r="D2581" s="39">
        <f t="shared" si="85"/>
        <v>2.6823837590045843</v>
      </c>
    </row>
    <row r="2582" spans="2:4" ht="15" x14ac:dyDescent="0.15">
      <c r="B2582" s="38">
        <v>10280</v>
      </c>
      <c r="C2582" s="39">
        <f t="shared" si="84"/>
        <v>8.5761082869782541</v>
      </c>
      <c r="D2582" s="39">
        <f t="shared" si="85"/>
        <v>2.6841415465268676</v>
      </c>
    </row>
    <row r="2583" spans="2:4" ht="15" x14ac:dyDescent="0.15">
      <c r="B2583" s="38">
        <v>10284</v>
      </c>
      <c r="C2583" s="39">
        <f t="shared" si="84"/>
        <v>8.581802085699394</v>
      </c>
      <c r="D2583" s="39">
        <f t="shared" si="85"/>
        <v>2.6859016393442623</v>
      </c>
    </row>
    <row r="2584" spans="2:4" ht="15" x14ac:dyDescent="0.15">
      <c r="B2584" s="38">
        <v>10288</v>
      </c>
      <c r="C2584" s="39">
        <f t="shared" si="84"/>
        <v>8.587499619283852</v>
      </c>
      <c r="D2584" s="39">
        <f t="shared" si="85"/>
        <v>2.6876640419947506</v>
      </c>
    </row>
    <row r="2585" spans="2:4" ht="15" x14ac:dyDescent="0.15">
      <c r="B2585" s="38">
        <v>10292</v>
      </c>
      <c r="C2585" s="39">
        <f t="shared" si="84"/>
        <v>8.5932008926346342</v>
      </c>
      <c r="D2585" s="39">
        <f t="shared" si="85"/>
        <v>2.6894287590282335</v>
      </c>
    </row>
    <row r="2586" spans="2:4" ht="15" x14ac:dyDescent="0.15">
      <c r="B2586" s="38">
        <v>10296</v>
      </c>
      <c r="C2586" s="39">
        <f t="shared" si="84"/>
        <v>8.5989059106644063</v>
      </c>
      <c r="D2586" s="39">
        <f t="shared" si="85"/>
        <v>2.6911957950065704</v>
      </c>
    </row>
    <row r="2587" spans="2:4" ht="15" x14ac:dyDescent="0.15">
      <c r="B2587" s="38">
        <v>10300</v>
      </c>
      <c r="C2587" s="39">
        <f t="shared" si="84"/>
        <v>8.6046146782955191</v>
      </c>
      <c r="D2587" s="39">
        <f t="shared" si="85"/>
        <v>2.6929651545036162</v>
      </c>
    </row>
    <row r="2588" spans="2:4" ht="15" x14ac:dyDescent="0.15">
      <c r="B2588" s="38">
        <v>10304</v>
      </c>
      <c r="C2588" s="39">
        <f t="shared" si="84"/>
        <v>8.610327200460036</v>
      </c>
      <c r="D2588" s="39">
        <f t="shared" si="85"/>
        <v>2.6947368421052631</v>
      </c>
    </row>
    <row r="2589" spans="2:4" ht="15" x14ac:dyDescent="0.15">
      <c r="B2589" s="38">
        <v>10308</v>
      </c>
      <c r="C2589" s="39">
        <f t="shared" si="84"/>
        <v>8.6160434820997605</v>
      </c>
      <c r="D2589" s="39">
        <f t="shared" si="85"/>
        <v>2.6965108624094798</v>
      </c>
    </row>
    <row r="2590" spans="2:4" ht="15" x14ac:dyDescent="0.15">
      <c r="B2590" s="38">
        <v>10312</v>
      </c>
      <c r="C2590" s="39">
        <f t="shared" si="84"/>
        <v>8.621763528166257</v>
      </c>
      <c r="D2590" s="39">
        <f t="shared" si="85"/>
        <v>2.6982872200263506</v>
      </c>
    </row>
    <row r="2591" spans="2:4" ht="15" x14ac:dyDescent="0.15">
      <c r="B2591" s="38">
        <v>10316</v>
      </c>
      <c r="C2591" s="39">
        <f t="shared" si="84"/>
        <v>8.6274873436208761</v>
      </c>
      <c r="D2591" s="39">
        <f t="shared" si="85"/>
        <v>2.7000659195781145</v>
      </c>
    </row>
    <row r="2592" spans="2:4" ht="15" x14ac:dyDescent="0.15">
      <c r="B2592" s="38">
        <v>10320</v>
      </c>
      <c r="C2592" s="39">
        <f t="shared" si="84"/>
        <v>8.6332149334347914</v>
      </c>
      <c r="D2592" s="39">
        <f t="shared" si="85"/>
        <v>2.7018469656992083</v>
      </c>
    </row>
    <row r="2593" spans="2:4" ht="15" x14ac:dyDescent="0.15">
      <c r="B2593" s="38">
        <v>10324</v>
      </c>
      <c r="C2593" s="39">
        <f t="shared" si="84"/>
        <v>8.6389463025890105</v>
      </c>
      <c r="D2593" s="39">
        <f t="shared" si="85"/>
        <v>2.7036303630363037</v>
      </c>
    </row>
    <row r="2594" spans="2:4" ht="15" x14ac:dyDescent="0.15">
      <c r="B2594" s="38">
        <v>10328</v>
      </c>
      <c r="C2594" s="39">
        <f t="shared" si="84"/>
        <v>8.6446814560744087</v>
      </c>
      <c r="D2594" s="39">
        <f t="shared" si="85"/>
        <v>2.7054161162483488</v>
      </c>
    </row>
    <row r="2595" spans="2:4" ht="15" x14ac:dyDescent="0.15">
      <c r="B2595" s="38">
        <v>10332</v>
      </c>
      <c r="C2595" s="39">
        <f t="shared" si="84"/>
        <v>8.6504203988917521</v>
      </c>
      <c r="D2595" s="39">
        <f t="shared" si="85"/>
        <v>2.7072042300066093</v>
      </c>
    </row>
    <row r="2596" spans="2:4" ht="15" x14ac:dyDescent="0.15">
      <c r="B2596" s="38">
        <v>10336</v>
      </c>
      <c r="C2596" s="39">
        <f t="shared" si="84"/>
        <v>8.6561631360517328</v>
      </c>
      <c r="D2596" s="39">
        <f t="shared" si="85"/>
        <v>2.7089947089947088</v>
      </c>
    </row>
    <row r="2597" spans="2:4" ht="15" x14ac:dyDescent="0.15">
      <c r="B2597" s="38">
        <v>10340</v>
      </c>
      <c r="C2597" s="39">
        <f t="shared" si="84"/>
        <v>8.6619096725749802</v>
      </c>
      <c r="D2597" s="39">
        <f t="shared" si="85"/>
        <v>2.7107875579086698</v>
      </c>
    </row>
    <row r="2598" spans="2:4" ht="15" x14ac:dyDescent="0.15">
      <c r="B2598" s="38">
        <v>10344</v>
      </c>
      <c r="C2598" s="39">
        <f t="shared" si="84"/>
        <v>8.6676600134920978</v>
      </c>
      <c r="D2598" s="39">
        <f t="shared" si="85"/>
        <v>2.7125827814569536</v>
      </c>
    </row>
    <row r="2599" spans="2:4" ht="15" x14ac:dyDescent="0.15">
      <c r="B2599" s="38">
        <v>10348</v>
      </c>
      <c r="C2599" s="39">
        <f t="shared" si="84"/>
        <v>8.6734141638436899</v>
      </c>
      <c r="D2599" s="39">
        <f t="shared" si="85"/>
        <v>2.7143803843605037</v>
      </c>
    </row>
    <row r="2600" spans="2:4" ht="15" x14ac:dyDescent="0.15">
      <c r="B2600" s="38">
        <v>10352</v>
      </c>
      <c r="C2600" s="39">
        <f t="shared" si="84"/>
        <v>8.6791721286803813</v>
      </c>
      <c r="D2600" s="39">
        <f t="shared" si="85"/>
        <v>2.716180371352785</v>
      </c>
    </row>
    <row r="2601" spans="2:4" ht="15" x14ac:dyDescent="0.15">
      <c r="B2601" s="38">
        <v>10356</v>
      </c>
      <c r="C2601" s="39">
        <f t="shared" si="84"/>
        <v>8.6849339130628511</v>
      </c>
      <c r="D2601" s="39">
        <f t="shared" si="85"/>
        <v>2.7179827471798275</v>
      </c>
    </row>
    <row r="2602" spans="2:4" ht="15" x14ac:dyDescent="0.15">
      <c r="B2602" s="38">
        <v>10360</v>
      </c>
      <c r="C2602" s="39">
        <f t="shared" si="84"/>
        <v>8.6906995220618519</v>
      </c>
      <c r="D2602" s="39">
        <f t="shared" si="85"/>
        <v>2.7197875166002654</v>
      </c>
    </row>
    <row r="2603" spans="2:4" ht="15" x14ac:dyDescent="0.15">
      <c r="B2603" s="38">
        <v>10364</v>
      </c>
      <c r="C2603" s="39">
        <f t="shared" si="84"/>
        <v>8.6964689607582439</v>
      </c>
      <c r="D2603" s="39">
        <f t="shared" si="85"/>
        <v>2.7215946843853822</v>
      </c>
    </row>
    <row r="2604" spans="2:4" ht="15" x14ac:dyDescent="0.15">
      <c r="B2604" s="38">
        <v>10368</v>
      </c>
      <c r="C2604" s="39">
        <f t="shared" si="84"/>
        <v>8.7022422342430179</v>
      </c>
      <c r="D2604" s="39">
        <f t="shared" si="85"/>
        <v>2.7234042553191489</v>
      </c>
    </row>
    <row r="2605" spans="2:4" ht="15" x14ac:dyDescent="0.15">
      <c r="B2605" s="38">
        <v>10372</v>
      </c>
      <c r="C2605" s="39">
        <f t="shared" si="84"/>
        <v>8.7080193476173235</v>
      </c>
      <c r="D2605" s="39">
        <f t="shared" si="85"/>
        <v>2.7252162341982702</v>
      </c>
    </row>
    <row r="2606" spans="2:4" ht="15" x14ac:dyDescent="0.15">
      <c r="B2606" s="38">
        <v>10376</v>
      </c>
      <c r="C2606" s="39">
        <f t="shared" si="84"/>
        <v>8.7138003059924962</v>
      </c>
      <c r="D2606" s="39">
        <f t="shared" si="85"/>
        <v>2.7270306258322239</v>
      </c>
    </row>
    <row r="2607" spans="2:4" ht="15" x14ac:dyDescent="0.15">
      <c r="B2607" s="38">
        <v>10380</v>
      </c>
      <c r="C2607" s="39">
        <f t="shared" si="84"/>
        <v>8.71958511449008</v>
      </c>
      <c r="D2607" s="39">
        <f t="shared" si="85"/>
        <v>2.7288474350433045</v>
      </c>
    </row>
    <row r="2608" spans="2:4" ht="15" x14ac:dyDescent="0.15">
      <c r="B2608" s="38">
        <v>10384</v>
      </c>
      <c r="C2608" s="39">
        <f t="shared" si="84"/>
        <v>8.7253737782418614</v>
      </c>
      <c r="D2608" s="39">
        <f t="shared" si="85"/>
        <v>2.7306666666666666</v>
      </c>
    </row>
    <row r="2609" spans="2:4" ht="15" x14ac:dyDescent="0.15">
      <c r="B2609" s="38">
        <v>10388</v>
      </c>
      <c r="C2609" s="39">
        <f t="shared" si="84"/>
        <v>8.7311663023898962</v>
      </c>
      <c r="D2609" s="39">
        <f t="shared" si="85"/>
        <v>2.7324883255503667</v>
      </c>
    </row>
    <row r="2610" spans="2:4" ht="15" x14ac:dyDescent="0.15">
      <c r="B2610" s="38">
        <v>10392</v>
      </c>
      <c r="C2610" s="39">
        <f t="shared" si="84"/>
        <v>8.7369626920865322</v>
      </c>
      <c r="D2610" s="39">
        <f t="shared" si="85"/>
        <v>2.7343124165554071</v>
      </c>
    </row>
    <row r="2611" spans="2:4" ht="15" x14ac:dyDescent="0.15">
      <c r="B2611" s="38">
        <v>10396</v>
      </c>
      <c r="C2611" s="39">
        <f t="shared" si="84"/>
        <v>8.7427629524944415</v>
      </c>
      <c r="D2611" s="39">
        <f t="shared" si="85"/>
        <v>2.7361389445557784</v>
      </c>
    </row>
    <row r="2612" spans="2:4" ht="15" x14ac:dyDescent="0.15">
      <c r="B2612" s="38">
        <v>10400</v>
      </c>
      <c r="C2612" s="39">
        <f t="shared" si="84"/>
        <v>8.7485670887866345</v>
      </c>
      <c r="D2612" s="39">
        <f t="shared" si="85"/>
        <v>2.7379679144385025</v>
      </c>
    </row>
    <row r="2613" spans="2:4" ht="15" x14ac:dyDescent="0.15">
      <c r="B2613" s="38">
        <v>10404</v>
      </c>
      <c r="C2613" s="39">
        <f t="shared" si="84"/>
        <v>8.7543751061465169</v>
      </c>
      <c r="D2613" s="39">
        <f t="shared" si="85"/>
        <v>2.7397993311036788</v>
      </c>
    </row>
    <row r="2614" spans="2:4" ht="15" x14ac:dyDescent="0.15">
      <c r="B2614" s="38">
        <v>10408</v>
      </c>
      <c r="C2614" s="39">
        <f t="shared" si="84"/>
        <v>8.7601870097678862</v>
      </c>
      <c r="D2614" s="39">
        <f t="shared" si="85"/>
        <v>2.7416331994645247</v>
      </c>
    </row>
    <row r="2615" spans="2:4" ht="15" x14ac:dyDescent="0.15">
      <c r="B2615" s="38">
        <v>10412</v>
      </c>
      <c r="C2615" s="39">
        <f t="shared" si="84"/>
        <v>8.7660028048549794</v>
      </c>
      <c r="D2615" s="39">
        <f t="shared" si="85"/>
        <v>2.7434695244474212</v>
      </c>
    </row>
    <row r="2616" spans="2:4" ht="15" x14ac:dyDescent="0.15">
      <c r="B2616" s="38">
        <v>10416</v>
      </c>
      <c r="C2616" s="39">
        <f t="shared" si="84"/>
        <v>8.7718224966224874</v>
      </c>
      <c r="D2616" s="39">
        <f t="shared" si="85"/>
        <v>2.7453083109919572</v>
      </c>
    </row>
    <row r="2617" spans="2:4" ht="15" x14ac:dyDescent="0.15">
      <c r="B2617" s="38">
        <v>10420</v>
      </c>
      <c r="C2617" s="39">
        <f t="shared" si="84"/>
        <v>8.7776460902955957</v>
      </c>
      <c r="D2617" s="39">
        <f t="shared" si="85"/>
        <v>2.7471495640509724</v>
      </c>
    </row>
    <row r="2618" spans="2:4" ht="15" x14ac:dyDescent="0.15">
      <c r="B2618" s="38">
        <v>10424</v>
      </c>
      <c r="C2618" s="39">
        <f t="shared" si="84"/>
        <v>8.7834735911100061</v>
      </c>
      <c r="D2618" s="39">
        <f t="shared" si="85"/>
        <v>2.7489932885906039</v>
      </c>
    </row>
    <row r="2619" spans="2:4" ht="15" x14ac:dyDescent="0.15">
      <c r="B2619" s="38">
        <v>10428</v>
      </c>
      <c r="C2619" s="39">
        <f t="shared" si="84"/>
        <v>8.7893050043119647</v>
      </c>
      <c r="D2619" s="39">
        <f t="shared" si="85"/>
        <v>2.7508394895903292</v>
      </c>
    </row>
    <row r="2620" spans="2:4" ht="15" x14ac:dyDescent="0.15">
      <c r="B2620" s="38">
        <v>10432</v>
      </c>
      <c r="C2620" s="39">
        <f t="shared" si="84"/>
        <v>8.7951403351582886</v>
      </c>
      <c r="D2620" s="39">
        <f t="shared" si="85"/>
        <v>2.752688172043011</v>
      </c>
    </row>
    <row r="2621" spans="2:4" ht="15" x14ac:dyDescent="0.15">
      <c r="B2621" s="38">
        <v>10436</v>
      </c>
      <c r="C2621" s="39">
        <f t="shared" si="84"/>
        <v>8.8009795889164018</v>
      </c>
      <c r="D2621" s="39">
        <f t="shared" si="85"/>
        <v>2.7545393409549428</v>
      </c>
    </row>
    <row r="2622" spans="2:4" ht="15" x14ac:dyDescent="0.15">
      <c r="B2622" s="38">
        <v>10440</v>
      </c>
      <c r="C2622" s="39">
        <f t="shared" si="84"/>
        <v>8.8068227708643576</v>
      </c>
      <c r="D2622" s="39">
        <f t="shared" si="85"/>
        <v>2.756393001345895</v>
      </c>
    </row>
    <row r="2623" spans="2:4" ht="15" x14ac:dyDescent="0.15">
      <c r="B2623" s="38">
        <v>10444</v>
      </c>
      <c r="C2623" s="39">
        <f t="shared" si="84"/>
        <v>8.8126698862908643</v>
      </c>
      <c r="D2623" s="39">
        <f t="shared" si="85"/>
        <v>2.7582491582491584</v>
      </c>
    </row>
    <row r="2624" spans="2:4" ht="15" x14ac:dyDescent="0.15">
      <c r="B2624" s="38">
        <v>10448</v>
      </c>
      <c r="C2624" s="39">
        <f t="shared" si="84"/>
        <v>8.818520940495322</v>
      </c>
      <c r="D2624" s="39">
        <f t="shared" si="85"/>
        <v>2.7601078167115904</v>
      </c>
    </row>
    <row r="2625" spans="2:4" ht="15" x14ac:dyDescent="0.15">
      <c r="B2625" s="38">
        <v>10452</v>
      </c>
      <c r="C2625" s="39">
        <f t="shared" si="84"/>
        <v>8.8243759387878455</v>
      </c>
      <c r="D2625" s="39">
        <f t="shared" si="85"/>
        <v>2.7619689817936615</v>
      </c>
    </row>
    <row r="2626" spans="2:4" ht="15" x14ac:dyDescent="0.15">
      <c r="B2626" s="38">
        <v>10456</v>
      </c>
      <c r="C2626" s="39">
        <f t="shared" si="84"/>
        <v>8.8302348864892988</v>
      </c>
      <c r="D2626" s="39">
        <f t="shared" si="85"/>
        <v>2.7638326585695006</v>
      </c>
    </row>
    <row r="2627" spans="2:4" ht="15" x14ac:dyDescent="0.15">
      <c r="B2627" s="38">
        <v>10460</v>
      </c>
      <c r="C2627" s="39">
        <f t="shared" si="84"/>
        <v>8.8360977889313173</v>
      </c>
      <c r="D2627" s="39">
        <f t="shared" si="85"/>
        <v>2.7656988521269414</v>
      </c>
    </row>
    <row r="2628" spans="2:4" ht="15" x14ac:dyDescent="0.15">
      <c r="B2628" s="38">
        <v>10464</v>
      </c>
      <c r="C2628" s="39">
        <f t="shared" si="84"/>
        <v>8.8419646514563404</v>
      </c>
      <c r="D2628" s="39">
        <f t="shared" si="85"/>
        <v>2.7675675675675677</v>
      </c>
    </row>
    <row r="2629" spans="2:4" ht="15" x14ac:dyDescent="0.15">
      <c r="B2629" s="38">
        <v>10468</v>
      </c>
      <c r="C2629" s="39">
        <f t="shared" si="84"/>
        <v>8.8478354794176379</v>
      </c>
      <c r="D2629" s="39">
        <f t="shared" si="85"/>
        <v>2.7694388100067613</v>
      </c>
    </row>
    <row r="2630" spans="2:4" ht="15" x14ac:dyDescent="0.15">
      <c r="B2630" s="38">
        <v>10472</v>
      </c>
      <c r="C2630" s="39">
        <f t="shared" ref="C2630:C2693" si="86">20*LOG(D2630)</f>
        <v>8.8537102781793493</v>
      </c>
      <c r="D2630" s="39">
        <f t="shared" ref="D2630:D2693" si="87">16384/(16384-B2630)</f>
        <v>2.7713125845737485</v>
      </c>
    </row>
    <row r="2631" spans="2:4" ht="15" x14ac:dyDescent="0.15">
      <c r="B2631" s="38">
        <v>10476</v>
      </c>
      <c r="C2631" s="39">
        <f t="shared" si="86"/>
        <v>8.8595890531164976</v>
      </c>
      <c r="D2631" s="39">
        <f t="shared" si="87"/>
        <v>2.7731888964116451</v>
      </c>
    </row>
    <row r="2632" spans="2:4" ht="15" x14ac:dyDescent="0.15">
      <c r="B2632" s="38">
        <v>10480</v>
      </c>
      <c r="C2632" s="39">
        <f t="shared" si="86"/>
        <v>8.8654718096150322</v>
      </c>
      <c r="D2632" s="39">
        <f t="shared" si="87"/>
        <v>2.7750677506775068</v>
      </c>
    </row>
    <row r="2633" spans="2:4" ht="15" x14ac:dyDescent="0.15">
      <c r="B2633" s="38">
        <v>10484</v>
      </c>
      <c r="C2633" s="39">
        <f t="shared" si="86"/>
        <v>8.8713585530718522</v>
      </c>
      <c r="D2633" s="39">
        <f t="shared" si="87"/>
        <v>2.7769491525423731</v>
      </c>
    </row>
    <row r="2634" spans="2:4" ht="15" x14ac:dyDescent="0.15">
      <c r="B2634" s="38">
        <v>10488</v>
      </c>
      <c r="C2634" s="39">
        <f t="shared" si="86"/>
        <v>8.8772492888948324</v>
      </c>
      <c r="D2634" s="39">
        <f t="shared" si="87"/>
        <v>2.7788331071913159</v>
      </c>
    </row>
    <row r="2635" spans="2:4" ht="15" x14ac:dyDescent="0.15">
      <c r="B2635" s="38">
        <v>10492</v>
      </c>
      <c r="C2635" s="39">
        <f t="shared" si="86"/>
        <v>8.8831440225028686</v>
      </c>
      <c r="D2635" s="39">
        <f t="shared" si="87"/>
        <v>2.7807196198234894</v>
      </c>
    </row>
    <row r="2636" spans="2:4" ht="15" x14ac:dyDescent="0.15">
      <c r="B2636" s="38">
        <v>10496</v>
      </c>
      <c r="C2636" s="39">
        <f t="shared" si="86"/>
        <v>8.8890427593258856</v>
      </c>
      <c r="D2636" s="39">
        <f t="shared" si="87"/>
        <v>2.7826086956521738</v>
      </c>
    </row>
    <row r="2637" spans="2:4" ht="15" x14ac:dyDescent="0.15">
      <c r="B2637" s="38">
        <v>10500</v>
      </c>
      <c r="C2637" s="39">
        <f t="shared" si="86"/>
        <v>8.894945504804884</v>
      </c>
      <c r="D2637" s="39">
        <f t="shared" si="87"/>
        <v>2.7845003399048265</v>
      </c>
    </row>
    <row r="2638" spans="2:4" ht="15" x14ac:dyDescent="0.15">
      <c r="B2638" s="38">
        <v>10504</v>
      </c>
      <c r="C2638" s="39">
        <f t="shared" si="86"/>
        <v>8.9008522643919648</v>
      </c>
      <c r="D2638" s="39">
        <f t="shared" si="87"/>
        <v>2.7863945578231291</v>
      </c>
    </row>
    <row r="2639" spans="2:4" ht="15" x14ac:dyDescent="0.15">
      <c r="B2639" s="38">
        <v>10508</v>
      </c>
      <c r="C2639" s="39">
        <f t="shared" si="86"/>
        <v>8.906763043550356</v>
      </c>
      <c r="D2639" s="39">
        <f t="shared" si="87"/>
        <v>2.7882913546630359</v>
      </c>
    </row>
    <row r="2640" spans="2:4" ht="15" x14ac:dyDescent="0.15">
      <c r="B2640" s="38">
        <v>10512</v>
      </c>
      <c r="C2640" s="39">
        <f t="shared" si="86"/>
        <v>8.9126778477544519</v>
      </c>
      <c r="D2640" s="39">
        <f t="shared" si="87"/>
        <v>2.7901907356948228</v>
      </c>
    </row>
    <row r="2641" spans="2:4" ht="15" x14ac:dyDescent="0.15">
      <c r="B2641" s="38">
        <v>10516</v>
      </c>
      <c r="C2641" s="39">
        <f t="shared" si="86"/>
        <v>8.9185966824898326</v>
      </c>
      <c r="D2641" s="39">
        <f t="shared" si="87"/>
        <v>2.7920927062031358</v>
      </c>
    </row>
    <row r="2642" spans="2:4" ht="15" x14ac:dyDescent="0.15">
      <c r="B2642" s="38">
        <v>10520</v>
      </c>
      <c r="C2642" s="39">
        <f t="shared" si="86"/>
        <v>8.9245195532533046</v>
      </c>
      <c r="D2642" s="39">
        <f t="shared" si="87"/>
        <v>2.7939972714870396</v>
      </c>
    </row>
    <row r="2643" spans="2:4" ht="15" x14ac:dyDescent="0.15">
      <c r="B2643" s="38">
        <v>10524</v>
      </c>
      <c r="C2643" s="39">
        <f t="shared" si="86"/>
        <v>8.9304464655529223</v>
      </c>
      <c r="D2643" s="39">
        <f t="shared" si="87"/>
        <v>2.7959044368600683</v>
      </c>
    </row>
    <row r="2644" spans="2:4" ht="15" x14ac:dyDescent="0.15">
      <c r="B2644" s="38">
        <v>10528</v>
      </c>
      <c r="C2644" s="39">
        <f t="shared" si="86"/>
        <v>8.9363774249080254</v>
      </c>
      <c r="D2644" s="39">
        <f t="shared" si="87"/>
        <v>2.7978142076502732</v>
      </c>
    </row>
    <row r="2645" spans="2:4" ht="15" x14ac:dyDescent="0.15">
      <c r="B2645" s="38">
        <v>10532</v>
      </c>
      <c r="C2645" s="39">
        <f t="shared" si="86"/>
        <v>8.9423124368492708</v>
      </c>
      <c r="D2645" s="39">
        <f t="shared" si="87"/>
        <v>2.7997265892002736</v>
      </c>
    </row>
    <row r="2646" spans="2:4" ht="15" x14ac:dyDescent="0.15">
      <c r="B2646" s="38">
        <v>10536</v>
      </c>
      <c r="C2646" s="39">
        <f t="shared" si="86"/>
        <v>8.9482515069186537</v>
      </c>
      <c r="D2646" s="39">
        <f t="shared" si="87"/>
        <v>2.801641586867305</v>
      </c>
    </row>
    <row r="2647" spans="2:4" ht="15" x14ac:dyDescent="0.15">
      <c r="B2647" s="38">
        <v>10540</v>
      </c>
      <c r="C2647" s="39">
        <f t="shared" si="86"/>
        <v>8.9541946406695523</v>
      </c>
      <c r="D2647" s="39">
        <f t="shared" si="87"/>
        <v>2.8035592060232717</v>
      </c>
    </row>
    <row r="2648" spans="2:4" ht="15" x14ac:dyDescent="0.15">
      <c r="B2648" s="38">
        <v>10544</v>
      </c>
      <c r="C2648" s="39">
        <f t="shared" si="86"/>
        <v>8.9601418436667437</v>
      </c>
      <c r="D2648" s="39">
        <f t="shared" si="87"/>
        <v>2.8054794520547945</v>
      </c>
    </row>
    <row r="2649" spans="2:4" ht="15" x14ac:dyDescent="0.15">
      <c r="B2649" s="38">
        <v>10548</v>
      </c>
      <c r="C2649" s="39">
        <f t="shared" si="86"/>
        <v>8.9660931214864554</v>
      </c>
      <c r="D2649" s="39">
        <f t="shared" si="87"/>
        <v>2.8074023303632627</v>
      </c>
    </row>
    <row r="2650" spans="2:4" ht="15" x14ac:dyDescent="0.15">
      <c r="B2650" s="38">
        <v>10552</v>
      </c>
      <c r="C2650" s="39">
        <f t="shared" si="86"/>
        <v>8.9720484797163707</v>
      </c>
      <c r="D2650" s="39">
        <f t="shared" si="87"/>
        <v>2.8093278463648832</v>
      </c>
    </row>
    <row r="2651" spans="2:4" ht="15" x14ac:dyDescent="0.15">
      <c r="B2651" s="38">
        <v>10556</v>
      </c>
      <c r="C2651" s="39">
        <f t="shared" si="86"/>
        <v>8.9780079239556834</v>
      </c>
      <c r="D2651" s="39">
        <f t="shared" si="87"/>
        <v>2.8112560054907343</v>
      </c>
    </row>
    <row r="2652" spans="2:4" ht="15" x14ac:dyDescent="0.15">
      <c r="B2652" s="38">
        <v>10560</v>
      </c>
      <c r="C2652" s="39">
        <f t="shared" si="86"/>
        <v>8.9839714598151197</v>
      </c>
      <c r="D2652" s="39">
        <f t="shared" si="87"/>
        <v>2.8131868131868134</v>
      </c>
    </row>
    <row r="2653" spans="2:4" ht="15" x14ac:dyDescent="0.15">
      <c r="B2653" s="38">
        <v>10564</v>
      </c>
      <c r="C2653" s="39">
        <f t="shared" si="86"/>
        <v>8.9899390929169662</v>
      </c>
      <c r="D2653" s="39">
        <f t="shared" si="87"/>
        <v>2.8151202749140896</v>
      </c>
    </row>
    <row r="2654" spans="2:4" ht="15" x14ac:dyDescent="0.15">
      <c r="B2654" s="38">
        <v>10568</v>
      </c>
      <c r="C2654" s="39">
        <f t="shared" si="86"/>
        <v>8.9959108288951057</v>
      </c>
      <c r="D2654" s="39">
        <f t="shared" si="87"/>
        <v>2.8170563961485557</v>
      </c>
    </row>
    <row r="2655" spans="2:4" ht="15" x14ac:dyDescent="0.15">
      <c r="B2655" s="38">
        <v>10572</v>
      </c>
      <c r="C2655" s="39">
        <f t="shared" si="86"/>
        <v>9.001886673395056</v>
      </c>
      <c r="D2655" s="39">
        <f t="shared" si="87"/>
        <v>2.81899518238128</v>
      </c>
    </row>
    <row r="2656" spans="2:4" ht="15" x14ac:dyDescent="0.15">
      <c r="B2656" s="38">
        <v>10576</v>
      </c>
      <c r="C2656" s="39">
        <f t="shared" si="86"/>
        <v>9.0078666320739877</v>
      </c>
      <c r="D2656" s="39">
        <f t="shared" si="87"/>
        <v>2.8209366391184574</v>
      </c>
    </row>
    <row r="2657" spans="2:4" ht="15" x14ac:dyDescent="0.15">
      <c r="B2657" s="38">
        <v>10580</v>
      </c>
      <c r="C2657" s="39">
        <f t="shared" si="86"/>
        <v>9.013850710600769</v>
      </c>
      <c r="D2657" s="39">
        <f t="shared" si="87"/>
        <v>2.822880771881461</v>
      </c>
    </row>
    <row r="2658" spans="2:4" ht="15" x14ac:dyDescent="0.15">
      <c r="B2658" s="38">
        <v>10584</v>
      </c>
      <c r="C2658" s="39">
        <f t="shared" si="86"/>
        <v>9.0198389146559883</v>
      </c>
      <c r="D2658" s="39">
        <f t="shared" si="87"/>
        <v>2.8248275862068963</v>
      </c>
    </row>
    <row r="2659" spans="2:4" ht="15" x14ac:dyDescent="0.15">
      <c r="B2659" s="38">
        <v>10588</v>
      </c>
      <c r="C2659" s="39">
        <f t="shared" si="86"/>
        <v>9.0258312499319953</v>
      </c>
      <c r="D2659" s="39">
        <f t="shared" si="87"/>
        <v>2.8267770876466529</v>
      </c>
    </row>
    <row r="2660" spans="2:4" ht="15" x14ac:dyDescent="0.15">
      <c r="B2660" s="38">
        <v>10592</v>
      </c>
      <c r="C2660" s="39">
        <f t="shared" si="86"/>
        <v>9.031827722132924</v>
      </c>
      <c r="D2660" s="39">
        <f t="shared" si="87"/>
        <v>2.8287292817679557</v>
      </c>
    </row>
    <row r="2661" spans="2:4" ht="15" x14ac:dyDescent="0.15">
      <c r="B2661" s="38">
        <v>10596</v>
      </c>
      <c r="C2661" s="39">
        <f t="shared" si="86"/>
        <v>9.0378283369747372</v>
      </c>
      <c r="D2661" s="39">
        <f t="shared" si="87"/>
        <v>2.8306841741534208</v>
      </c>
    </row>
    <row r="2662" spans="2:4" ht="15" x14ac:dyDescent="0.15">
      <c r="B2662" s="38">
        <v>10600</v>
      </c>
      <c r="C2662" s="39">
        <f t="shared" si="86"/>
        <v>9.0438331001852461</v>
      </c>
      <c r="D2662" s="39">
        <f t="shared" si="87"/>
        <v>2.8326417704011067</v>
      </c>
    </row>
    <row r="2663" spans="2:4" ht="15" x14ac:dyDescent="0.15">
      <c r="B2663" s="38">
        <v>10604</v>
      </c>
      <c r="C2663" s="39">
        <f t="shared" si="86"/>
        <v>9.0498420175041545</v>
      </c>
      <c r="D2663" s="39">
        <f t="shared" si="87"/>
        <v>2.8346020761245674</v>
      </c>
    </row>
    <row r="2664" spans="2:4" ht="15" x14ac:dyDescent="0.15">
      <c r="B2664" s="38">
        <v>10608</v>
      </c>
      <c r="C2664" s="39">
        <f t="shared" si="86"/>
        <v>9.0558550946830803</v>
      </c>
      <c r="D2664" s="39">
        <f t="shared" si="87"/>
        <v>2.8365650969529086</v>
      </c>
    </row>
    <row r="2665" spans="2:4" ht="15" x14ac:dyDescent="0.15">
      <c r="B2665" s="38">
        <v>10612</v>
      </c>
      <c r="C2665" s="39">
        <f t="shared" si="86"/>
        <v>9.0618723374856032</v>
      </c>
      <c r="D2665" s="39">
        <f t="shared" si="87"/>
        <v>2.8385308385308385</v>
      </c>
    </row>
    <row r="2666" spans="2:4" ht="15" x14ac:dyDescent="0.15">
      <c r="B2666" s="38">
        <v>10616</v>
      </c>
      <c r="C2666" s="39">
        <f t="shared" si="86"/>
        <v>9.0678937516872828</v>
      </c>
      <c r="D2666" s="39">
        <f t="shared" si="87"/>
        <v>2.8404993065187241</v>
      </c>
    </row>
    <row r="2667" spans="2:4" ht="15" x14ac:dyDescent="0.15">
      <c r="B2667" s="38">
        <v>10620</v>
      </c>
      <c r="C2667" s="39">
        <f t="shared" si="86"/>
        <v>9.0739193430757012</v>
      </c>
      <c r="D2667" s="39">
        <f t="shared" si="87"/>
        <v>2.8424705065926439</v>
      </c>
    </row>
    <row r="2668" spans="2:4" ht="15" x14ac:dyDescent="0.15">
      <c r="B2668" s="38">
        <v>10624</v>
      </c>
      <c r="C2668" s="39">
        <f t="shared" si="86"/>
        <v>9.0799491174504947</v>
      </c>
      <c r="D2668" s="39">
        <f t="shared" si="87"/>
        <v>2.8444444444444446</v>
      </c>
    </row>
    <row r="2669" spans="2:4" ht="15" x14ac:dyDescent="0.15">
      <c r="B2669" s="38">
        <v>10628</v>
      </c>
      <c r="C2669" s="39">
        <f t="shared" si="86"/>
        <v>9.0859830806233823</v>
      </c>
      <c r="D2669" s="39">
        <f t="shared" si="87"/>
        <v>2.8464211257817928</v>
      </c>
    </row>
    <row r="2670" spans="2:4" ht="15" x14ac:dyDescent="0.15">
      <c r="B2670" s="38">
        <v>10632</v>
      </c>
      <c r="C2670" s="39">
        <f t="shared" si="86"/>
        <v>9.0920212384182104</v>
      </c>
      <c r="D2670" s="39">
        <f t="shared" si="87"/>
        <v>2.8484005563282335</v>
      </c>
    </row>
    <row r="2671" spans="2:4" ht="15" x14ac:dyDescent="0.15">
      <c r="B2671" s="38">
        <v>10636</v>
      </c>
      <c r="C2671" s="39">
        <f t="shared" si="86"/>
        <v>9.0980635966709738</v>
      </c>
      <c r="D2671" s="39">
        <f t="shared" si="87"/>
        <v>2.850382741823243</v>
      </c>
    </row>
    <row r="2672" spans="2:4" ht="15" x14ac:dyDescent="0.15">
      <c r="B2672" s="38">
        <v>10640</v>
      </c>
      <c r="C2672" s="39">
        <f t="shared" si="86"/>
        <v>9.1041101612298565</v>
      </c>
      <c r="D2672" s="39">
        <f t="shared" si="87"/>
        <v>2.8523676880222841</v>
      </c>
    </row>
    <row r="2673" spans="2:4" ht="15" x14ac:dyDescent="0.15">
      <c r="B2673" s="38">
        <v>10644</v>
      </c>
      <c r="C2673" s="39">
        <f t="shared" si="86"/>
        <v>9.1101609379552642</v>
      </c>
      <c r="D2673" s="39">
        <f t="shared" si="87"/>
        <v>2.8543554006968641</v>
      </c>
    </row>
    <row r="2674" spans="2:4" ht="15" x14ac:dyDescent="0.15">
      <c r="B2674" s="38">
        <v>10648</v>
      </c>
      <c r="C2674" s="39">
        <f t="shared" si="86"/>
        <v>9.1162159327198609</v>
      </c>
      <c r="D2674" s="39">
        <f t="shared" si="87"/>
        <v>2.8563458856345885</v>
      </c>
    </row>
    <row r="2675" spans="2:4" ht="15" x14ac:dyDescent="0.15">
      <c r="B2675" s="38">
        <v>10652</v>
      </c>
      <c r="C2675" s="39">
        <f t="shared" si="86"/>
        <v>9.122275151408596</v>
      </c>
      <c r="D2675" s="39">
        <f t="shared" si="87"/>
        <v>2.8583391486392182</v>
      </c>
    </row>
    <row r="2676" spans="2:4" ht="15" x14ac:dyDescent="0.15">
      <c r="B2676" s="38">
        <v>10656</v>
      </c>
      <c r="C2676" s="39">
        <f t="shared" si="86"/>
        <v>9.1283385999187523</v>
      </c>
      <c r="D2676" s="39">
        <f t="shared" si="87"/>
        <v>2.8603351955307263</v>
      </c>
    </row>
    <row r="2677" spans="2:4" ht="15" x14ac:dyDescent="0.15">
      <c r="B2677" s="38">
        <v>10660</v>
      </c>
      <c r="C2677" s="39">
        <f t="shared" si="86"/>
        <v>9.1344062841599598</v>
      </c>
      <c r="D2677" s="39">
        <f t="shared" si="87"/>
        <v>2.8623340321453528</v>
      </c>
    </row>
    <row r="2678" spans="2:4" ht="15" x14ac:dyDescent="0.15">
      <c r="B2678" s="38">
        <v>10664</v>
      </c>
      <c r="C2678" s="39">
        <f t="shared" si="86"/>
        <v>9.1404782100542512</v>
      </c>
      <c r="D2678" s="39">
        <f t="shared" si="87"/>
        <v>2.8643356643356643</v>
      </c>
    </row>
    <row r="2679" spans="2:4" ht="15" x14ac:dyDescent="0.15">
      <c r="B2679" s="38">
        <v>10668</v>
      </c>
      <c r="C2679" s="39">
        <f t="shared" si="86"/>
        <v>9.1465543835360812</v>
      </c>
      <c r="D2679" s="39">
        <f t="shared" si="87"/>
        <v>2.8663400979706086</v>
      </c>
    </row>
    <row r="2680" spans="2:4" ht="15" x14ac:dyDescent="0.15">
      <c r="B2680" s="38">
        <v>10672</v>
      </c>
      <c r="C2680" s="39">
        <f t="shared" si="86"/>
        <v>9.1526348105523745</v>
      </c>
      <c r="D2680" s="39">
        <f t="shared" si="87"/>
        <v>2.8683473389355743</v>
      </c>
    </row>
    <row r="2681" spans="2:4" ht="15" x14ac:dyDescent="0.15">
      <c r="B2681" s="38">
        <v>10676</v>
      </c>
      <c r="C2681" s="39">
        <f t="shared" si="86"/>
        <v>9.1587194970625472</v>
      </c>
      <c r="D2681" s="39">
        <f t="shared" si="87"/>
        <v>2.8703573931324455</v>
      </c>
    </row>
    <row r="2682" spans="2:4" ht="15" x14ac:dyDescent="0.15">
      <c r="B2682" s="38">
        <v>10680</v>
      </c>
      <c r="C2682" s="39">
        <f t="shared" si="86"/>
        <v>9.1648084490385511</v>
      </c>
      <c r="D2682" s="39">
        <f t="shared" si="87"/>
        <v>2.8723702664796633</v>
      </c>
    </row>
    <row r="2683" spans="2:4" ht="15" x14ac:dyDescent="0.15">
      <c r="B2683" s="38">
        <v>10684</v>
      </c>
      <c r="C2683" s="39">
        <f t="shared" si="86"/>
        <v>9.1709016724649057</v>
      </c>
      <c r="D2683" s="39">
        <f t="shared" si="87"/>
        <v>2.8743859649122805</v>
      </c>
    </row>
    <row r="2684" spans="2:4" ht="15" x14ac:dyDescent="0.15">
      <c r="B2684" s="38">
        <v>10688</v>
      </c>
      <c r="C2684" s="39">
        <f t="shared" si="86"/>
        <v>9.1769991733387357</v>
      </c>
      <c r="D2684" s="39">
        <f t="shared" si="87"/>
        <v>2.8764044943820224</v>
      </c>
    </row>
    <row r="2685" spans="2:4" ht="15" x14ac:dyDescent="0.15">
      <c r="B2685" s="38">
        <v>10692</v>
      </c>
      <c r="C2685" s="39">
        <f t="shared" si="86"/>
        <v>9.1831009576697991</v>
      </c>
      <c r="D2685" s="39">
        <f t="shared" si="87"/>
        <v>2.8784258608573436</v>
      </c>
    </row>
    <row r="2686" spans="2:4" ht="15" x14ac:dyDescent="0.15">
      <c r="B2686" s="38">
        <v>10696</v>
      </c>
      <c r="C2686" s="39">
        <f t="shared" si="86"/>
        <v>9.189207031480537</v>
      </c>
      <c r="D2686" s="39">
        <f t="shared" si="87"/>
        <v>2.8804500703234881</v>
      </c>
    </row>
    <row r="2687" spans="2:4" ht="15" x14ac:dyDescent="0.15">
      <c r="B2687" s="38">
        <v>10700</v>
      </c>
      <c r="C2687" s="39">
        <f t="shared" si="86"/>
        <v>9.1953174008060916</v>
      </c>
      <c r="D2687" s="39">
        <f t="shared" si="87"/>
        <v>2.8824771287825475</v>
      </c>
    </row>
    <row r="2688" spans="2:4" ht="15" x14ac:dyDescent="0.15">
      <c r="B2688" s="38">
        <v>10704</v>
      </c>
      <c r="C2688" s="39">
        <f t="shared" si="86"/>
        <v>9.2014320716943576</v>
      </c>
      <c r="D2688" s="39">
        <f t="shared" si="87"/>
        <v>2.8845070422535213</v>
      </c>
    </row>
    <row r="2689" spans="2:4" ht="15" x14ac:dyDescent="0.15">
      <c r="B2689" s="38">
        <v>10708</v>
      </c>
      <c r="C2689" s="39">
        <f t="shared" si="86"/>
        <v>9.2075510502060069</v>
      </c>
      <c r="D2689" s="39">
        <f t="shared" si="87"/>
        <v>2.886539816772375</v>
      </c>
    </row>
    <row r="2690" spans="2:4" ht="15" x14ac:dyDescent="0.15">
      <c r="B2690" s="38">
        <v>10712</v>
      </c>
      <c r="C2690" s="39">
        <f t="shared" si="86"/>
        <v>9.2136743424145315</v>
      </c>
      <c r="D2690" s="39">
        <f t="shared" si="87"/>
        <v>2.8885754583921015</v>
      </c>
    </row>
    <row r="2691" spans="2:4" ht="15" x14ac:dyDescent="0.15">
      <c r="B2691" s="38">
        <v>10716</v>
      </c>
      <c r="C2691" s="39">
        <f t="shared" si="86"/>
        <v>9.2198019544062788</v>
      </c>
      <c r="D2691" s="39">
        <f t="shared" si="87"/>
        <v>2.8906139731827807</v>
      </c>
    </row>
    <row r="2692" spans="2:4" ht="15" x14ac:dyDescent="0.15">
      <c r="B2692" s="38">
        <v>10720</v>
      </c>
      <c r="C2692" s="39">
        <f t="shared" si="86"/>
        <v>9.2259338922804819</v>
      </c>
      <c r="D2692" s="39">
        <f t="shared" si="87"/>
        <v>2.8926553672316384</v>
      </c>
    </row>
    <row r="2693" spans="2:4" ht="15" x14ac:dyDescent="0.15">
      <c r="B2693" s="38">
        <v>10724</v>
      </c>
      <c r="C2693" s="39">
        <f t="shared" si="86"/>
        <v>9.2320701621493058</v>
      </c>
      <c r="D2693" s="39">
        <f t="shared" si="87"/>
        <v>2.8946996466431094</v>
      </c>
    </row>
    <row r="2694" spans="2:4" ht="15" x14ac:dyDescent="0.15">
      <c r="B2694" s="38">
        <v>10728</v>
      </c>
      <c r="C2694" s="39">
        <f t="shared" ref="C2694:C2757" si="88">20*LOG(D2694)</f>
        <v>9.238210770137874</v>
      </c>
      <c r="D2694" s="39">
        <f t="shared" ref="D2694:D2757" si="89">16384/(16384-B2694)</f>
        <v>2.8967468175388968</v>
      </c>
    </row>
    <row r="2695" spans="2:4" ht="15" x14ac:dyDescent="0.15">
      <c r="B2695" s="38">
        <v>10732</v>
      </c>
      <c r="C2695" s="39">
        <f t="shared" si="88"/>
        <v>9.2443557223843147</v>
      </c>
      <c r="D2695" s="39">
        <f t="shared" si="89"/>
        <v>2.8987968860580327</v>
      </c>
    </row>
    <row r="2696" spans="2:4" ht="15" x14ac:dyDescent="0.15">
      <c r="B2696" s="38">
        <v>10736</v>
      </c>
      <c r="C2696" s="39">
        <f t="shared" si="88"/>
        <v>9.2505050250397876</v>
      </c>
      <c r="D2696" s="39">
        <f t="shared" si="89"/>
        <v>2.9008498583569406</v>
      </c>
    </row>
    <row r="2697" spans="2:4" ht="15" x14ac:dyDescent="0.15">
      <c r="B2697" s="38">
        <v>10740</v>
      </c>
      <c r="C2697" s="39">
        <f t="shared" si="88"/>
        <v>9.2566586842685297</v>
      </c>
      <c r="D2697" s="39">
        <f t="shared" si="89"/>
        <v>2.9029057406094969</v>
      </c>
    </row>
    <row r="2698" spans="2:4" ht="15" x14ac:dyDescent="0.15">
      <c r="B2698" s="38">
        <v>10744</v>
      </c>
      <c r="C2698" s="39">
        <f t="shared" si="88"/>
        <v>9.2628167062478894</v>
      </c>
      <c r="D2698" s="39">
        <f t="shared" si="89"/>
        <v>2.9049645390070924</v>
      </c>
    </row>
    <row r="2699" spans="2:4" ht="15" x14ac:dyDescent="0.15">
      <c r="B2699" s="38">
        <v>10748</v>
      </c>
      <c r="C2699" s="39">
        <f t="shared" si="88"/>
        <v>9.2689790971683585</v>
      </c>
      <c r="D2699" s="39">
        <f t="shared" si="89"/>
        <v>2.9070262597586942</v>
      </c>
    </row>
    <row r="2700" spans="2:4" ht="15" x14ac:dyDescent="0.15">
      <c r="B2700" s="38">
        <v>10752</v>
      </c>
      <c r="C2700" s="39">
        <f t="shared" si="88"/>
        <v>9.2751458632336199</v>
      </c>
      <c r="D2700" s="39">
        <f t="shared" si="89"/>
        <v>2.9090909090909092</v>
      </c>
    </row>
    <row r="2701" spans="2:4" ht="15" x14ac:dyDescent="0.15">
      <c r="B2701" s="38">
        <v>10756</v>
      </c>
      <c r="C2701" s="39">
        <f t="shared" si="88"/>
        <v>9.2813170106605725</v>
      </c>
      <c r="D2701" s="39">
        <f t="shared" si="89"/>
        <v>2.9111584932480454</v>
      </c>
    </row>
    <row r="2702" spans="2:4" ht="15" x14ac:dyDescent="0.15">
      <c r="B2702" s="38">
        <v>10760</v>
      </c>
      <c r="C2702" s="39">
        <f t="shared" si="88"/>
        <v>9.2874925456793846</v>
      </c>
      <c r="D2702" s="39">
        <f t="shared" si="89"/>
        <v>2.9132290184921765</v>
      </c>
    </row>
    <row r="2703" spans="2:4" ht="15" x14ac:dyDescent="0.15">
      <c r="B2703" s="38">
        <v>10764</v>
      </c>
      <c r="C2703" s="39">
        <f t="shared" si="88"/>
        <v>9.2936724745335137</v>
      </c>
      <c r="D2703" s="39">
        <f t="shared" si="89"/>
        <v>2.9153024911032031</v>
      </c>
    </row>
    <row r="2704" spans="2:4" ht="15" x14ac:dyDescent="0.15">
      <c r="B2704" s="38">
        <v>10768</v>
      </c>
      <c r="C2704" s="39">
        <f t="shared" si="88"/>
        <v>9.2998568034797575</v>
      </c>
      <c r="D2704" s="39">
        <f t="shared" si="89"/>
        <v>2.9173789173789175</v>
      </c>
    </row>
    <row r="2705" spans="2:4" ht="15" x14ac:dyDescent="0.15">
      <c r="B2705" s="38">
        <v>10772</v>
      </c>
      <c r="C2705" s="39">
        <f t="shared" si="88"/>
        <v>9.3060455387882897</v>
      </c>
      <c r="D2705" s="39">
        <f t="shared" si="89"/>
        <v>2.9194583036350679</v>
      </c>
    </row>
    <row r="2706" spans="2:4" ht="15" x14ac:dyDescent="0.15">
      <c r="B2706" s="38">
        <v>10776</v>
      </c>
      <c r="C2706" s="39">
        <f t="shared" si="88"/>
        <v>9.3122386867426901</v>
      </c>
      <c r="D2706" s="39">
        <f t="shared" si="89"/>
        <v>2.9215406562054209</v>
      </c>
    </row>
    <row r="2707" spans="2:4" ht="15" x14ac:dyDescent="0.15">
      <c r="B2707" s="38">
        <v>10780</v>
      </c>
      <c r="C2707" s="39">
        <f t="shared" si="88"/>
        <v>9.3184362536399945</v>
      </c>
      <c r="D2707" s="39">
        <f t="shared" si="89"/>
        <v>2.9236259814418273</v>
      </c>
    </row>
    <row r="2708" spans="2:4" ht="15" x14ac:dyDescent="0.15">
      <c r="B2708" s="38">
        <v>10784</v>
      </c>
      <c r="C2708" s="39">
        <f t="shared" si="88"/>
        <v>9.3246382457907266</v>
      </c>
      <c r="D2708" s="39">
        <f t="shared" si="89"/>
        <v>2.9257142857142857</v>
      </c>
    </row>
    <row r="2709" spans="2:4" ht="15" x14ac:dyDescent="0.15">
      <c r="B2709" s="38">
        <v>10788</v>
      </c>
      <c r="C2709" s="39">
        <f t="shared" si="88"/>
        <v>9.3308446695189335</v>
      </c>
      <c r="D2709" s="39">
        <f t="shared" si="89"/>
        <v>2.9278055754110079</v>
      </c>
    </row>
    <row r="2710" spans="2:4" ht="15" x14ac:dyDescent="0.15">
      <c r="B2710" s="38">
        <v>10792</v>
      </c>
      <c r="C2710" s="39">
        <f t="shared" si="88"/>
        <v>9.3370555311622354</v>
      </c>
      <c r="D2710" s="39">
        <f t="shared" si="89"/>
        <v>2.9298998569384835</v>
      </c>
    </row>
    <row r="2711" spans="2:4" ht="15" x14ac:dyDescent="0.15">
      <c r="B2711" s="38">
        <v>10796</v>
      </c>
      <c r="C2711" s="39">
        <f t="shared" si="88"/>
        <v>9.3432708370718487</v>
      </c>
      <c r="D2711" s="39">
        <f t="shared" si="89"/>
        <v>2.931997136721546</v>
      </c>
    </row>
    <row r="2712" spans="2:4" ht="15" x14ac:dyDescent="0.15">
      <c r="B2712" s="38">
        <v>10800</v>
      </c>
      <c r="C2712" s="39">
        <f t="shared" si="88"/>
        <v>9.3494905936126411</v>
      </c>
      <c r="D2712" s="39">
        <f t="shared" si="89"/>
        <v>2.9340974212034383</v>
      </c>
    </row>
    <row r="2713" spans="2:4" ht="15" x14ac:dyDescent="0.15">
      <c r="B2713" s="38">
        <v>10804</v>
      </c>
      <c r="C2713" s="39">
        <f t="shared" si="88"/>
        <v>9.3557148071631602</v>
      </c>
      <c r="D2713" s="39">
        <f t="shared" si="89"/>
        <v>2.9362007168458781</v>
      </c>
    </row>
    <row r="2714" spans="2:4" ht="15" x14ac:dyDescent="0.15">
      <c r="B2714" s="38">
        <v>10808</v>
      </c>
      <c r="C2714" s="39">
        <f t="shared" si="88"/>
        <v>9.3619434841156739</v>
      </c>
      <c r="D2714" s="39">
        <f t="shared" si="89"/>
        <v>2.938307030129125</v>
      </c>
    </row>
    <row r="2715" spans="2:4" ht="15" x14ac:dyDescent="0.15">
      <c r="B2715" s="38">
        <v>10812</v>
      </c>
      <c r="C2715" s="39">
        <f t="shared" si="88"/>
        <v>9.3681766308762171</v>
      </c>
      <c r="D2715" s="39">
        <f t="shared" si="89"/>
        <v>2.9404163675520461</v>
      </c>
    </row>
    <row r="2716" spans="2:4" ht="15" x14ac:dyDescent="0.15">
      <c r="B2716" s="38">
        <v>10816</v>
      </c>
      <c r="C2716" s="39">
        <f t="shared" si="88"/>
        <v>9.3744142538646198</v>
      </c>
      <c r="D2716" s="39">
        <f t="shared" si="89"/>
        <v>2.9425287356321839</v>
      </c>
    </row>
    <row r="2717" spans="2:4" ht="15" x14ac:dyDescent="0.15">
      <c r="B2717" s="38">
        <v>10820</v>
      </c>
      <c r="C2717" s="39">
        <f t="shared" si="88"/>
        <v>9.3806563595145587</v>
      </c>
      <c r="D2717" s="39">
        <f t="shared" si="89"/>
        <v>2.9446441409058233</v>
      </c>
    </row>
    <row r="2718" spans="2:4" ht="15" x14ac:dyDescent="0.15">
      <c r="B2718" s="38">
        <v>10824</v>
      </c>
      <c r="C2718" s="39">
        <f t="shared" si="88"/>
        <v>9.3869029542735856</v>
      </c>
      <c r="D2718" s="39">
        <f t="shared" si="89"/>
        <v>2.9467625899280576</v>
      </c>
    </row>
    <row r="2719" spans="2:4" ht="15" x14ac:dyDescent="0.15">
      <c r="B2719" s="38">
        <v>10828</v>
      </c>
      <c r="C2719" s="39">
        <f t="shared" si="88"/>
        <v>9.3931540446031754</v>
      </c>
      <c r="D2719" s="39">
        <f t="shared" si="89"/>
        <v>2.9488840892728581</v>
      </c>
    </row>
    <row r="2720" spans="2:4" ht="15" x14ac:dyDescent="0.15">
      <c r="B2720" s="38">
        <v>10832</v>
      </c>
      <c r="C2720" s="39">
        <f t="shared" si="88"/>
        <v>9.3994096369787634</v>
      </c>
      <c r="D2720" s="39">
        <f t="shared" si="89"/>
        <v>2.951008645533141</v>
      </c>
    </row>
    <row r="2721" spans="2:4" ht="15" x14ac:dyDescent="0.15">
      <c r="B2721" s="38">
        <v>10836</v>
      </c>
      <c r="C2721" s="39">
        <f t="shared" si="88"/>
        <v>9.4056697378897898</v>
      </c>
      <c r="D2721" s="39">
        <f t="shared" si="89"/>
        <v>2.9531362653208362</v>
      </c>
    </row>
    <row r="2722" spans="2:4" ht="15" x14ac:dyDescent="0.15">
      <c r="B2722" s="38">
        <v>10840</v>
      </c>
      <c r="C2722" s="39">
        <f t="shared" si="88"/>
        <v>9.4119343538397278</v>
      </c>
      <c r="D2722" s="39">
        <f t="shared" si="89"/>
        <v>2.9552669552669553</v>
      </c>
    </row>
    <row r="2723" spans="2:4" ht="15" x14ac:dyDescent="0.15">
      <c r="B2723" s="38">
        <v>10844</v>
      </c>
      <c r="C2723" s="39">
        <f t="shared" si="88"/>
        <v>9.418203491346139</v>
      </c>
      <c r="D2723" s="39">
        <f t="shared" si="89"/>
        <v>2.9574007220216605</v>
      </c>
    </row>
    <row r="2724" spans="2:4" ht="15" x14ac:dyDescent="0.15">
      <c r="B2724" s="38">
        <v>10848</v>
      </c>
      <c r="C2724" s="39">
        <f t="shared" si="88"/>
        <v>9.4244771569407053</v>
      </c>
      <c r="D2724" s="39">
        <f t="shared" si="89"/>
        <v>2.9595375722543351</v>
      </c>
    </row>
    <row r="2725" spans="2:4" ht="15" x14ac:dyDescent="0.15">
      <c r="B2725" s="38">
        <v>10852</v>
      </c>
      <c r="C2725" s="39">
        <f t="shared" si="88"/>
        <v>9.430755357169275</v>
      </c>
      <c r="D2725" s="39">
        <f t="shared" si="89"/>
        <v>2.9616775126536514</v>
      </c>
    </row>
    <row r="2726" spans="2:4" ht="15" x14ac:dyDescent="0.15">
      <c r="B2726" s="38">
        <v>10856</v>
      </c>
      <c r="C2726" s="39">
        <f t="shared" si="88"/>
        <v>9.4370380985918949</v>
      </c>
      <c r="D2726" s="39">
        <f t="shared" si="89"/>
        <v>2.9638205499276409</v>
      </c>
    </row>
    <row r="2727" spans="2:4" ht="15" x14ac:dyDescent="0.15">
      <c r="B2727" s="38">
        <v>10860</v>
      </c>
      <c r="C2727" s="39">
        <f t="shared" si="88"/>
        <v>9.4433253877828598</v>
      </c>
      <c r="D2727" s="39">
        <f t="shared" si="89"/>
        <v>2.9659666908037652</v>
      </c>
    </row>
    <row r="2728" spans="2:4" ht="15" x14ac:dyDescent="0.15">
      <c r="B2728" s="38">
        <v>10864</v>
      </c>
      <c r="C2728" s="39">
        <f t="shared" si="88"/>
        <v>9.4496172313307571</v>
      </c>
      <c r="D2728" s="39">
        <f t="shared" si="89"/>
        <v>2.9681159420289855</v>
      </c>
    </row>
    <row r="2729" spans="2:4" ht="15" x14ac:dyDescent="0.15">
      <c r="B2729" s="38">
        <v>10868</v>
      </c>
      <c r="C2729" s="39">
        <f t="shared" si="88"/>
        <v>9.4559136358384919</v>
      </c>
      <c r="D2729" s="39">
        <f t="shared" si="89"/>
        <v>2.9702683103698333</v>
      </c>
    </row>
    <row r="2730" spans="2:4" ht="15" x14ac:dyDescent="0.15">
      <c r="B2730" s="38">
        <v>10872</v>
      </c>
      <c r="C2730" s="39">
        <f t="shared" si="88"/>
        <v>9.4622146079233467</v>
      </c>
      <c r="D2730" s="39">
        <f t="shared" si="89"/>
        <v>2.9724238026124818</v>
      </c>
    </row>
    <row r="2731" spans="2:4" ht="15" x14ac:dyDescent="0.15">
      <c r="B2731" s="38">
        <v>10876</v>
      </c>
      <c r="C2731" s="39">
        <f t="shared" si="88"/>
        <v>9.4685201542170123</v>
      </c>
      <c r="D2731" s="39">
        <f t="shared" si="89"/>
        <v>2.9745824255628177</v>
      </c>
    </row>
    <row r="2732" spans="2:4" ht="15" x14ac:dyDescent="0.15">
      <c r="B2732" s="38">
        <v>10880</v>
      </c>
      <c r="C2732" s="39">
        <f t="shared" si="88"/>
        <v>9.4748302813656373</v>
      </c>
      <c r="D2732" s="39">
        <f t="shared" si="89"/>
        <v>2.9767441860465116</v>
      </c>
    </row>
    <row r="2733" spans="2:4" ht="15" x14ac:dyDescent="0.15">
      <c r="B2733" s="38">
        <v>10884</v>
      </c>
      <c r="C2733" s="39">
        <f t="shared" si="88"/>
        <v>9.4811449960298582</v>
      </c>
      <c r="D2733" s="39">
        <f t="shared" si="89"/>
        <v>2.9789090909090907</v>
      </c>
    </row>
    <row r="2734" spans="2:4" ht="15" x14ac:dyDescent="0.15">
      <c r="B2734" s="38">
        <v>10888</v>
      </c>
      <c r="C2734" s="39">
        <f t="shared" si="88"/>
        <v>9.4874643048848544</v>
      </c>
      <c r="D2734" s="39">
        <f t="shared" si="89"/>
        <v>2.9810771470160118</v>
      </c>
    </row>
    <row r="2735" spans="2:4" ht="15" x14ac:dyDescent="0.15">
      <c r="B2735" s="38">
        <v>10892</v>
      </c>
      <c r="C2735" s="39">
        <f t="shared" si="88"/>
        <v>9.4937882146203858</v>
      </c>
      <c r="D2735" s="39">
        <f t="shared" si="89"/>
        <v>2.9832483612527314</v>
      </c>
    </row>
    <row r="2736" spans="2:4" ht="15" x14ac:dyDescent="0.15">
      <c r="B2736" s="38">
        <v>10896</v>
      </c>
      <c r="C2736" s="39">
        <f t="shared" si="88"/>
        <v>9.5001167319408282</v>
      </c>
      <c r="D2736" s="39">
        <f t="shared" si="89"/>
        <v>2.9854227405247813</v>
      </c>
    </row>
    <row r="2737" spans="2:4" ht="15" x14ac:dyDescent="0.15">
      <c r="B2737" s="38">
        <v>10900</v>
      </c>
      <c r="C2737" s="39">
        <f t="shared" si="88"/>
        <v>9.5064498635652335</v>
      </c>
      <c r="D2737" s="39">
        <f t="shared" si="89"/>
        <v>2.987600291757841</v>
      </c>
    </row>
    <row r="2738" spans="2:4" ht="15" x14ac:dyDescent="0.15">
      <c r="B2738" s="38">
        <v>10904</v>
      </c>
      <c r="C2738" s="39">
        <f t="shared" si="88"/>
        <v>9.5127876162273513</v>
      </c>
      <c r="D2738" s="39">
        <f t="shared" si="89"/>
        <v>2.98978102189781</v>
      </c>
    </row>
    <row r="2739" spans="2:4" ht="15" x14ac:dyDescent="0.15">
      <c r="B2739" s="38">
        <v>10908</v>
      </c>
      <c r="C2739" s="39">
        <f t="shared" si="88"/>
        <v>9.5191299966756873</v>
      </c>
      <c r="D2739" s="39">
        <f t="shared" si="89"/>
        <v>2.9919649379108839</v>
      </c>
    </row>
    <row r="2740" spans="2:4" ht="15" x14ac:dyDescent="0.15">
      <c r="B2740" s="38">
        <v>10912</v>
      </c>
      <c r="C2740" s="39">
        <f t="shared" si="88"/>
        <v>9.5254770116735372</v>
      </c>
      <c r="D2740" s="39">
        <f t="shared" si="89"/>
        <v>2.9941520467836256</v>
      </c>
    </row>
    <row r="2741" spans="2:4" ht="15" x14ac:dyDescent="0.15">
      <c r="B2741" s="38">
        <v>10916</v>
      </c>
      <c r="C2741" s="39">
        <f t="shared" si="88"/>
        <v>9.5318286679990418</v>
      </c>
      <c r="D2741" s="39">
        <f t="shared" si="89"/>
        <v>2.9963423555230433</v>
      </c>
    </row>
    <row r="2742" spans="2:4" ht="15" x14ac:dyDescent="0.15">
      <c r="B2742" s="38">
        <v>10920</v>
      </c>
      <c r="C2742" s="39">
        <f t="shared" si="88"/>
        <v>9.5381849724452117</v>
      </c>
      <c r="D2742" s="39">
        <f t="shared" si="89"/>
        <v>2.9985358711566619</v>
      </c>
    </row>
    <row r="2743" spans="2:4" ht="15" x14ac:dyDescent="0.15">
      <c r="B2743" s="38">
        <v>10924</v>
      </c>
      <c r="C2743" s="39">
        <f t="shared" si="88"/>
        <v>9.5445459318199894</v>
      </c>
      <c r="D2743" s="39">
        <f t="shared" si="89"/>
        <v>3.0007326007326007</v>
      </c>
    </row>
    <row r="2744" spans="2:4" ht="15" x14ac:dyDescent="0.15">
      <c r="B2744" s="38">
        <v>10928</v>
      </c>
      <c r="C2744" s="39">
        <f t="shared" si="88"/>
        <v>9.5509115529462854</v>
      </c>
      <c r="D2744" s="39">
        <f t="shared" si="89"/>
        <v>3.0029325513196481</v>
      </c>
    </row>
    <row r="2745" spans="2:4" ht="15" x14ac:dyDescent="0.15">
      <c r="B2745" s="38">
        <v>10932</v>
      </c>
      <c r="C2745" s="39">
        <f t="shared" si="88"/>
        <v>9.5572818426620163</v>
      </c>
      <c r="D2745" s="39">
        <f t="shared" si="89"/>
        <v>3.0051357300073369</v>
      </c>
    </row>
    <row r="2746" spans="2:4" ht="15" x14ac:dyDescent="0.15">
      <c r="B2746" s="38">
        <v>10936</v>
      </c>
      <c r="C2746" s="39">
        <f t="shared" si="88"/>
        <v>9.5636568078201591</v>
      </c>
      <c r="D2746" s="39">
        <f t="shared" si="89"/>
        <v>3.0073421439060204</v>
      </c>
    </row>
    <row r="2747" spans="2:4" ht="15" x14ac:dyDescent="0.15">
      <c r="B2747" s="38">
        <v>10940</v>
      </c>
      <c r="C2747" s="39">
        <f t="shared" si="88"/>
        <v>9.5700364552887933</v>
      </c>
      <c r="D2747" s="39">
        <f t="shared" si="89"/>
        <v>3.0095518001469506</v>
      </c>
    </row>
    <row r="2748" spans="2:4" ht="15" x14ac:dyDescent="0.15">
      <c r="B2748" s="38">
        <v>10944</v>
      </c>
      <c r="C2748" s="39">
        <f t="shared" si="88"/>
        <v>9.5764207919511364</v>
      </c>
      <c r="D2748" s="39">
        <f t="shared" si="89"/>
        <v>3.0117647058823529</v>
      </c>
    </row>
    <row r="2749" spans="2:4" ht="15" x14ac:dyDescent="0.15">
      <c r="B2749" s="38">
        <v>10948</v>
      </c>
      <c r="C2749" s="39">
        <f t="shared" si="88"/>
        <v>9.5828098247056008</v>
      </c>
      <c r="D2749" s="39">
        <f t="shared" si="89"/>
        <v>3.013980868285504</v>
      </c>
    </row>
    <row r="2750" spans="2:4" ht="15" x14ac:dyDescent="0.15">
      <c r="B2750" s="38">
        <v>10952</v>
      </c>
      <c r="C2750" s="39">
        <f t="shared" si="88"/>
        <v>9.5892035604658297</v>
      </c>
      <c r="D2750" s="39">
        <f t="shared" si="89"/>
        <v>3.01620029455081</v>
      </c>
    </row>
    <row r="2751" spans="2:4" ht="15" x14ac:dyDescent="0.15">
      <c r="B2751" s="38">
        <v>10956</v>
      </c>
      <c r="C2751" s="39">
        <f t="shared" si="88"/>
        <v>9.5956020061607461</v>
      </c>
      <c r="D2751" s="39">
        <f t="shared" si="89"/>
        <v>3.0184229918938836</v>
      </c>
    </row>
    <row r="2752" spans="2:4" ht="15" x14ac:dyDescent="0.15">
      <c r="B2752" s="38">
        <v>10960</v>
      </c>
      <c r="C2752" s="39">
        <f t="shared" si="88"/>
        <v>9.6020051687345962</v>
      </c>
      <c r="D2752" s="39">
        <f t="shared" si="89"/>
        <v>3.0206489675516224</v>
      </c>
    </row>
    <row r="2753" spans="2:4" ht="15" x14ac:dyDescent="0.15">
      <c r="B2753" s="38">
        <v>10964</v>
      </c>
      <c r="C2753" s="39">
        <f t="shared" si="88"/>
        <v>9.6084130551469968</v>
      </c>
      <c r="D2753" s="39">
        <f t="shared" si="89"/>
        <v>3.0228782287822877</v>
      </c>
    </row>
    <row r="2754" spans="2:4" ht="15" x14ac:dyDescent="0.15">
      <c r="B2754" s="38">
        <v>10968</v>
      </c>
      <c r="C2754" s="39">
        <f t="shared" si="88"/>
        <v>9.6148256723729766</v>
      </c>
      <c r="D2754" s="39">
        <f t="shared" si="89"/>
        <v>3.0251107828655837</v>
      </c>
    </row>
    <row r="2755" spans="2:4" ht="15" x14ac:dyDescent="0.15">
      <c r="B2755" s="38">
        <v>10972</v>
      </c>
      <c r="C2755" s="39">
        <f t="shared" si="88"/>
        <v>9.6212430274030272</v>
      </c>
      <c r="D2755" s="39">
        <f t="shared" si="89"/>
        <v>3.0273466371027347</v>
      </c>
    </row>
    <row r="2756" spans="2:4" ht="15" x14ac:dyDescent="0.15">
      <c r="B2756" s="38">
        <v>10976</v>
      </c>
      <c r="C2756" s="39">
        <f t="shared" si="88"/>
        <v>9.6276651272431444</v>
      </c>
      <c r="D2756" s="39">
        <f t="shared" si="89"/>
        <v>3.029585798816568</v>
      </c>
    </row>
    <row r="2757" spans="2:4" ht="15" x14ac:dyDescent="0.15">
      <c r="B2757" s="38">
        <v>10980</v>
      </c>
      <c r="C2757" s="39">
        <f t="shared" si="88"/>
        <v>9.6340919789148742</v>
      </c>
      <c r="D2757" s="39">
        <f t="shared" si="89"/>
        <v>3.0318282753515913</v>
      </c>
    </row>
    <row r="2758" spans="2:4" ht="15" x14ac:dyDescent="0.15">
      <c r="B2758" s="38">
        <v>10984</v>
      </c>
      <c r="C2758" s="39">
        <f t="shared" ref="C2758:C2821" si="90">20*LOG(D2758)</f>
        <v>9.6405235894553645</v>
      </c>
      <c r="D2758" s="39">
        <f t="shared" ref="D2758:D2821" si="91">16384/(16384-B2758)</f>
        <v>3.0340740740740739</v>
      </c>
    </row>
    <row r="2759" spans="2:4" ht="15" x14ac:dyDescent="0.15">
      <c r="B2759" s="38">
        <v>10988</v>
      </c>
      <c r="C2759" s="39">
        <f t="shared" si="90"/>
        <v>9.6469599659174001</v>
      </c>
      <c r="D2759" s="39">
        <f t="shared" si="91"/>
        <v>3.0363232023721274</v>
      </c>
    </row>
    <row r="2760" spans="2:4" ht="15" x14ac:dyDescent="0.15">
      <c r="B2760" s="38">
        <v>10992</v>
      </c>
      <c r="C2760" s="39">
        <f t="shared" si="90"/>
        <v>9.6534011153694657</v>
      </c>
      <c r="D2760" s="39">
        <f t="shared" si="91"/>
        <v>3.0385756676557865</v>
      </c>
    </row>
    <row r="2761" spans="2:4" ht="15" x14ac:dyDescent="0.15">
      <c r="B2761" s="38">
        <v>10996</v>
      </c>
      <c r="C2761" s="39">
        <f t="shared" si="90"/>
        <v>9.6598470448957734</v>
      </c>
      <c r="D2761" s="39">
        <f t="shared" si="91"/>
        <v>3.0408314773570897</v>
      </c>
    </row>
    <row r="2762" spans="2:4" ht="15" x14ac:dyDescent="0.15">
      <c r="B2762" s="38">
        <v>11000</v>
      </c>
      <c r="C2762" s="39">
        <f t="shared" si="90"/>
        <v>9.6662977615963257</v>
      </c>
      <c r="D2762" s="39">
        <f t="shared" si="91"/>
        <v>3.0430906389301633</v>
      </c>
    </row>
    <row r="2763" spans="2:4" ht="15" x14ac:dyDescent="0.15">
      <c r="B2763" s="38">
        <v>11004</v>
      </c>
      <c r="C2763" s="39">
        <f t="shared" si="90"/>
        <v>9.6727532725869523</v>
      </c>
      <c r="D2763" s="39">
        <f t="shared" si="91"/>
        <v>3.0453531598513011</v>
      </c>
    </row>
    <row r="2764" spans="2:4" ht="15" x14ac:dyDescent="0.15">
      <c r="B2764" s="38">
        <v>11008</v>
      </c>
      <c r="C2764" s="39">
        <f t="shared" si="90"/>
        <v>9.6792135849993581</v>
      </c>
      <c r="D2764" s="39">
        <f t="shared" si="91"/>
        <v>3.0476190476190474</v>
      </c>
    </row>
    <row r="2765" spans="2:4" ht="15" x14ac:dyDescent="0.15">
      <c r="B2765" s="38">
        <v>11012</v>
      </c>
      <c r="C2765" s="39">
        <f t="shared" si="90"/>
        <v>9.6856787059811804</v>
      </c>
      <c r="D2765" s="39">
        <f t="shared" si="91"/>
        <v>3.0498883097542815</v>
      </c>
    </row>
    <row r="2766" spans="2:4" ht="15" x14ac:dyDescent="0.15">
      <c r="B2766" s="38">
        <v>11016</v>
      </c>
      <c r="C2766" s="39">
        <f t="shared" si="90"/>
        <v>9.6921486426960222</v>
      </c>
      <c r="D2766" s="39">
        <f t="shared" si="91"/>
        <v>3.0521609538002981</v>
      </c>
    </row>
    <row r="2767" spans="2:4" ht="15" x14ac:dyDescent="0.15">
      <c r="B2767" s="38">
        <v>11020</v>
      </c>
      <c r="C2767" s="39">
        <f t="shared" si="90"/>
        <v>9.6986234023235092</v>
      </c>
      <c r="D2767" s="39">
        <f t="shared" si="91"/>
        <v>3.0544369873228931</v>
      </c>
    </row>
    <row r="2768" spans="2:4" ht="15" x14ac:dyDescent="0.15">
      <c r="B2768" s="38">
        <v>11024</v>
      </c>
      <c r="C2768" s="39">
        <f t="shared" si="90"/>
        <v>9.7051029920593344</v>
      </c>
      <c r="D2768" s="39">
        <f t="shared" si="91"/>
        <v>3.0567164179104478</v>
      </c>
    </row>
    <row r="2769" spans="2:4" ht="15" x14ac:dyDescent="0.15">
      <c r="B2769" s="38">
        <v>11028</v>
      </c>
      <c r="C2769" s="39">
        <f t="shared" si="90"/>
        <v>9.7115874191153075</v>
      </c>
      <c r="D2769" s="39">
        <f t="shared" si="91"/>
        <v>3.0589992531740107</v>
      </c>
    </row>
    <row r="2770" spans="2:4" ht="15" x14ac:dyDescent="0.15">
      <c r="B2770" s="38">
        <v>11032</v>
      </c>
      <c r="C2770" s="39">
        <f t="shared" si="90"/>
        <v>9.7180766907193998</v>
      </c>
      <c r="D2770" s="39">
        <f t="shared" si="91"/>
        <v>3.0612855007473843</v>
      </c>
    </row>
    <row r="2771" spans="2:4" ht="15" x14ac:dyDescent="0.15">
      <c r="B2771" s="38">
        <v>11036</v>
      </c>
      <c r="C2771" s="39">
        <f t="shared" si="90"/>
        <v>9.7245708141157987</v>
      </c>
      <c r="D2771" s="39">
        <f t="shared" si="91"/>
        <v>3.0635751682872101</v>
      </c>
    </row>
    <row r="2772" spans="2:4" ht="15" x14ac:dyDescent="0.15">
      <c r="B2772" s="38">
        <v>11040</v>
      </c>
      <c r="C2772" s="39">
        <f t="shared" si="90"/>
        <v>9.7310697965649489</v>
      </c>
      <c r="D2772" s="39">
        <f t="shared" si="91"/>
        <v>3.0658682634730541</v>
      </c>
    </row>
    <row r="2773" spans="2:4" ht="15" x14ac:dyDescent="0.15">
      <c r="B2773" s="38">
        <v>11044</v>
      </c>
      <c r="C2773" s="39">
        <f t="shared" si="90"/>
        <v>9.7375736453436073</v>
      </c>
      <c r="D2773" s="39">
        <f t="shared" si="91"/>
        <v>3.0681647940074908</v>
      </c>
    </row>
    <row r="2774" spans="2:4" ht="15" x14ac:dyDescent="0.15">
      <c r="B2774" s="38">
        <v>11048</v>
      </c>
      <c r="C2774" s="39">
        <f t="shared" si="90"/>
        <v>9.7440823677448822</v>
      </c>
      <c r="D2774" s="39">
        <f t="shared" si="91"/>
        <v>3.0704647676161918</v>
      </c>
    </row>
    <row r="2775" spans="2:4" ht="15" x14ac:dyDescent="0.15">
      <c r="B2775" s="38">
        <v>11052</v>
      </c>
      <c r="C2775" s="39">
        <f t="shared" si="90"/>
        <v>9.7505959710783028</v>
      </c>
      <c r="D2775" s="39">
        <f t="shared" si="91"/>
        <v>3.0727681920480121</v>
      </c>
    </row>
    <row r="2776" spans="2:4" ht="15" x14ac:dyDescent="0.15">
      <c r="B2776" s="38">
        <v>11056</v>
      </c>
      <c r="C2776" s="39">
        <f t="shared" si="90"/>
        <v>9.7571144626698416</v>
      </c>
      <c r="D2776" s="39">
        <f t="shared" si="91"/>
        <v>3.075075075075075</v>
      </c>
    </row>
    <row r="2777" spans="2:4" ht="15" x14ac:dyDescent="0.15">
      <c r="B2777" s="38">
        <v>11060</v>
      </c>
      <c r="C2777" s="39">
        <f t="shared" si="90"/>
        <v>9.7636378498619845</v>
      </c>
      <c r="D2777" s="39">
        <f t="shared" si="91"/>
        <v>3.0773854244928627</v>
      </c>
    </row>
    <row r="2778" spans="2:4" ht="15" x14ac:dyDescent="0.15">
      <c r="B2778" s="38">
        <v>11064</v>
      </c>
      <c r="C2778" s="39">
        <f t="shared" si="90"/>
        <v>9.7701661400137709</v>
      </c>
      <c r="D2778" s="39">
        <f t="shared" si="91"/>
        <v>3.0796992481203009</v>
      </c>
    </row>
    <row r="2779" spans="2:4" ht="15" x14ac:dyDescent="0.15">
      <c r="B2779" s="38">
        <v>11068</v>
      </c>
      <c r="C2779" s="39">
        <f t="shared" si="90"/>
        <v>9.776699340500846</v>
      </c>
      <c r="D2779" s="39">
        <f t="shared" si="91"/>
        <v>3.0820165537998494</v>
      </c>
    </row>
    <row r="2780" spans="2:4" ht="15" x14ac:dyDescent="0.15">
      <c r="B2780" s="38">
        <v>11072</v>
      </c>
      <c r="C2780" s="39">
        <f t="shared" si="90"/>
        <v>9.7832374587155133</v>
      </c>
      <c r="D2780" s="39">
        <f t="shared" si="91"/>
        <v>3.0843373493975905</v>
      </c>
    </row>
    <row r="2781" spans="2:4" ht="15" x14ac:dyDescent="0.15">
      <c r="B2781" s="38">
        <v>11076</v>
      </c>
      <c r="C2781" s="39">
        <f t="shared" si="90"/>
        <v>9.7897805020667779</v>
      </c>
      <c r="D2781" s="39">
        <f t="shared" si="91"/>
        <v>3.0866616428033158</v>
      </c>
    </row>
    <row r="2782" spans="2:4" ht="15" x14ac:dyDescent="0.15">
      <c r="B2782" s="38">
        <v>11080</v>
      </c>
      <c r="C2782" s="39">
        <f t="shared" si="90"/>
        <v>9.796328477980401</v>
      </c>
      <c r="D2782" s="39">
        <f t="shared" si="91"/>
        <v>3.0889894419306185</v>
      </c>
    </row>
    <row r="2783" spans="2:4" ht="15" x14ac:dyDescent="0.15">
      <c r="B2783" s="38">
        <v>11084</v>
      </c>
      <c r="C2783" s="39">
        <f t="shared" si="90"/>
        <v>9.8028813938989536</v>
      </c>
      <c r="D2783" s="39">
        <f t="shared" si="91"/>
        <v>3.091320754716981</v>
      </c>
    </row>
    <row r="2784" spans="2:4" ht="15" x14ac:dyDescent="0.15">
      <c r="B2784" s="38">
        <v>11088</v>
      </c>
      <c r="C2784" s="39">
        <f t="shared" si="90"/>
        <v>9.8094392572818645</v>
      </c>
      <c r="D2784" s="39">
        <f t="shared" si="91"/>
        <v>3.0936555891238671</v>
      </c>
    </row>
    <row r="2785" spans="2:4" ht="15" x14ac:dyDescent="0.15">
      <c r="B2785" s="38">
        <v>11092</v>
      </c>
      <c r="C2785" s="39">
        <f t="shared" si="90"/>
        <v>9.8160020756054678</v>
      </c>
      <c r="D2785" s="39">
        <f t="shared" si="91"/>
        <v>3.0959939531368104</v>
      </c>
    </row>
    <row r="2786" spans="2:4" ht="15" x14ac:dyDescent="0.15">
      <c r="B2786" s="38">
        <v>11096</v>
      </c>
      <c r="C2786" s="39">
        <f t="shared" si="90"/>
        <v>9.8225698563630583</v>
      </c>
      <c r="D2786" s="39">
        <f t="shared" si="91"/>
        <v>3.0983358547655069</v>
      </c>
    </row>
    <row r="2787" spans="2:4" ht="15" x14ac:dyDescent="0.15">
      <c r="B2787" s="38">
        <v>11100</v>
      </c>
      <c r="C2787" s="39">
        <f t="shared" si="90"/>
        <v>9.8291426070649415</v>
      </c>
      <c r="D2787" s="39">
        <f t="shared" si="91"/>
        <v>3.1006813020439061</v>
      </c>
    </row>
    <row r="2788" spans="2:4" ht="15" x14ac:dyDescent="0.15">
      <c r="B2788" s="38">
        <v>11104</v>
      </c>
      <c r="C2788" s="39">
        <f t="shared" si="90"/>
        <v>9.8357203352384897</v>
      </c>
      <c r="D2788" s="39">
        <f t="shared" si="91"/>
        <v>3.103030303030303</v>
      </c>
    </row>
    <row r="2789" spans="2:4" ht="15" x14ac:dyDescent="0.15">
      <c r="B2789" s="38">
        <v>11108</v>
      </c>
      <c r="C2789" s="39">
        <f t="shared" si="90"/>
        <v>9.8423030484281799</v>
      </c>
      <c r="D2789" s="39">
        <f t="shared" si="91"/>
        <v>3.1053828658074298</v>
      </c>
    </row>
    <row r="2790" spans="2:4" ht="15" x14ac:dyDescent="0.15">
      <c r="B2790" s="38">
        <v>11112</v>
      </c>
      <c r="C2790" s="39">
        <f t="shared" si="90"/>
        <v>9.8488907541956667</v>
      </c>
      <c r="D2790" s="39">
        <f t="shared" si="91"/>
        <v>3.1077389984825494</v>
      </c>
    </row>
    <row r="2791" spans="2:4" ht="15" x14ac:dyDescent="0.15">
      <c r="B2791" s="38">
        <v>11116</v>
      </c>
      <c r="C2791" s="39">
        <f t="shared" si="90"/>
        <v>9.855483460119812</v>
      </c>
      <c r="D2791" s="39">
        <f t="shared" si="91"/>
        <v>3.1100987091875476</v>
      </c>
    </row>
    <row r="2792" spans="2:4" ht="15" x14ac:dyDescent="0.15">
      <c r="B2792" s="38">
        <v>11120</v>
      </c>
      <c r="C2792" s="39">
        <f t="shared" si="90"/>
        <v>9.8620811737967529</v>
      </c>
      <c r="D2792" s="39">
        <f t="shared" si="91"/>
        <v>3.1124620060790273</v>
      </c>
    </row>
    <row r="2793" spans="2:4" ht="15" x14ac:dyDescent="0.15">
      <c r="B2793" s="38">
        <v>11124</v>
      </c>
      <c r="C2793" s="39">
        <f t="shared" si="90"/>
        <v>9.8686839028399529</v>
      </c>
      <c r="D2793" s="39">
        <f t="shared" si="91"/>
        <v>3.1148288973384028</v>
      </c>
    </row>
    <row r="2794" spans="2:4" ht="15" x14ac:dyDescent="0.15">
      <c r="B2794" s="38">
        <v>11128</v>
      </c>
      <c r="C2794" s="39">
        <f t="shared" si="90"/>
        <v>9.8752916548802467</v>
      </c>
      <c r="D2794" s="39">
        <f t="shared" si="91"/>
        <v>3.1171993911719937</v>
      </c>
    </row>
    <row r="2795" spans="2:4" ht="15" x14ac:dyDescent="0.15">
      <c r="B2795" s="38">
        <v>11132</v>
      </c>
      <c r="C2795" s="39">
        <f t="shared" si="90"/>
        <v>9.8819044375659004</v>
      </c>
      <c r="D2795" s="39">
        <f t="shared" si="91"/>
        <v>3.1195734958111196</v>
      </c>
    </row>
    <row r="2796" spans="2:4" ht="15" x14ac:dyDescent="0.15">
      <c r="B2796" s="38">
        <v>11136</v>
      </c>
      <c r="C2796" s="39">
        <f t="shared" si="90"/>
        <v>9.8885222585626575</v>
      </c>
      <c r="D2796" s="39">
        <f t="shared" si="91"/>
        <v>3.1219512195121952</v>
      </c>
    </row>
    <row r="2797" spans="2:4" ht="15" x14ac:dyDescent="0.15">
      <c r="B2797" s="38">
        <v>11140</v>
      </c>
      <c r="C2797" s="39">
        <f t="shared" si="90"/>
        <v>9.8951451255538014</v>
      </c>
      <c r="D2797" s="39">
        <f t="shared" si="91"/>
        <v>3.124332570556827</v>
      </c>
    </row>
    <row r="2798" spans="2:4" ht="15" x14ac:dyDescent="0.15">
      <c r="B2798" s="38">
        <v>11144</v>
      </c>
      <c r="C2798" s="39">
        <f t="shared" si="90"/>
        <v>9.9017730462402014</v>
      </c>
      <c r="D2798" s="39">
        <f t="shared" si="91"/>
        <v>3.1267175572519084</v>
      </c>
    </row>
    <row r="2799" spans="2:4" ht="15" x14ac:dyDescent="0.15">
      <c r="B2799" s="38">
        <v>11148</v>
      </c>
      <c r="C2799" s="39">
        <f t="shared" si="90"/>
        <v>9.9084060283403712</v>
      </c>
      <c r="D2799" s="39">
        <f t="shared" si="91"/>
        <v>3.1291061879297173</v>
      </c>
    </row>
    <row r="2800" spans="2:4" ht="15" x14ac:dyDescent="0.15">
      <c r="B2800" s="38">
        <v>11152</v>
      </c>
      <c r="C2800" s="39">
        <f t="shared" si="90"/>
        <v>9.915044079590519</v>
      </c>
      <c r="D2800" s="39">
        <f t="shared" si="91"/>
        <v>3.1314984709480123</v>
      </c>
    </row>
    <row r="2801" spans="2:4" ht="15" x14ac:dyDescent="0.15">
      <c r="B2801" s="38">
        <v>11156</v>
      </c>
      <c r="C2801" s="39">
        <f t="shared" si="90"/>
        <v>9.9216872077446006</v>
      </c>
      <c r="D2801" s="39">
        <f t="shared" si="91"/>
        <v>3.13389441469013</v>
      </c>
    </row>
    <row r="2802" spans="2:4" ht="15" x14ac:dyDescent="0.15">
      <c r="B2802" s="38">
        <v>11160</v>
      </c>
      <c r="C2802" s="39">
        <f t="shared" si="90"/>
        <v>9.9283354205743848</v>
      </c>
      <c r="D2802" s="39">
        <f t="shared" si="91"/>
        <v>3.1362940275650844</v>
      </c>
    </row>
    <row r="2803" spans="2:4" ht="15" x14ac:dyDescent="0.15">
      <c r="B2803" s="38">
        <v>11164</v>
      </c>
      <c r="C2803" s="39">
        <f t="shared" si="90"/>
        <v>9.9349887258694913</v>
      </c>
      <c r="D2803" s="39">
        <f t="shared" si="91"/>
        <v>3.1386973180076629</v>
      </c>
    </row>
    <row r="2804" spans="2:4" ht="15" x14ac:dyDescent="0.15">
      <c r="B2804" s="38">
        <v>11168</v>
      </c>
      <c r="C2804" s="39">
        <f t="shared" si="90"/>
        <v>9.9416471314374597</v>
      </c>
      <c r="D2804" s="39">
        <f t="shared" si="91"/>
        <v>3.1411042944785277</v>
      </c>
    </row>
    <row r="2805" spans="2:4" ht="15" x14ac:dyDescent="0.15">
      <c r="B2805" s="38">
        <v>11172</v>
      </c>
      <c r="C2805" s="39">
        <f t="shared" si="90"/>
        <v>9.9483106451037919</v>
      </c>
      <c r="D2805" s="39">
        <f t="shared" si="91"/>
        <v>3.1435149654643131</v>
      </c>
    </row>
    <row r="2806" spans="2:4" ht="15" x14ac:dyDescent="0.15">
      <c r="B2806" s="38">
        <v>11176</v>
      </c>
      <c r="C2806" s="39">
        <f t="shared" si="90"/>
        <v>9.9549792747120236</v>
      </c>
      <c r="D2806" s="39">
        <f t="shared" si="91"/>
        <v>3.1459293394777266</v>
      </c>
    </row>
    <row r="2807" spans="2:4" ht="15" x14ac:dyDescent="0.15">
      <c r="B2807" s="38">
        <v>11180</v>
      </c>
      <c r="C2807" s="39">
        <f t="shared" si="90"/>
        <v>9.9616530281237612</v>
      </c>
      <c r="D2807" s="39">
        <f t="shared" si="91"/>
        <v>3.148347425057648</v>
      </c>
    </row>
    <row r="2808" spans="2:4" ht="15" x14ac:dyDescent="0.15">
      <c r="B2808" s="38">
        <v>11184</v>
      </c>
      <c r="C2808" s="39">
        <f t="shared" si="90"/>
        <v>9.9683319132187513</v>
      </c>
      <c r="D2808" s="39">
        <f t="shared" si="91"/>
        <v>3.1507692307692308</v>
      </c>
    </row>
    <row r="2809" spans="2:4" ht="15" x14ac:dyDescent="0.15">
      <c r="B2809" s="38">
        <v>11188</v>
      </c>
      <c r="C2809" s="39">
        <f t="shared" si="90"/>
        <v>9.9750159378949288</v>
      </c>
      <c r="D2809" s="39">
        <f t="shared" si="91"/>
        <v>3.1531947652040029</v>
      </c>
    </row>
    <row r="2810" spans="2:4" ht="15" x14ac:dyDescent="0.15">
      <c r="B2810" s="38">
        <v>11192</v>
      </c>
      <c r="C2810" s="39">
        <f t="shared" si="90"/>
        <v>9.9817051100684786</v>
      </c>
      <c r="D2810" s="39">
        <f t="shared" si="91"/>
        <v>3.1556240369799693</v>
      </c>
    </row>
    <row r="2811" spans="2:4" ht="15" x14ac:dyDescent="0.15">
      <c r="B2811" s="38">
        <v>11196</v>
      </c>
      <c r="C2811" s="39">
        <f t="shared" si="90"/>
        <v>9.9883994376738841</v>
      </c>
      <c r="D2811" s="39">
        <f t="shared" si="91"/>
        <v>3.1580570547417115</v>
      </c>
    </row>
    <row r="2812" spans="2:4" ht="15" x14ac:dyDescent="0.15">
      <c r="B2812" s="38">
        <v>11200</v>
      </c>
      <c r="C2812" s="39">
        <f t="shared" si="90"/>
        <v>9.995098928663996</v>
      </c>
      <c r="D2812" s="39">
        <f t="shared" si="91"/>
        <v>3.1604938271604937</v>
      </c>
    </row>
    <row r="2813" spans="2:4" ht="15" x14ac:dyDescent="0.15">
      <c r="B2813" s="38">
        <v>11204</v>
      </c>
      <c r="C2813" s="39">
        <f t="shared" si="90"/>
        <v>10.001803591010074</v>
      </c>
      <c r="D2813" s="39">
        <f t="shared" si="91"/>
        <v>3.1629343629343629</v>
      </c>
    </row>
    <row r="2814" spans="2:4" ht="15" x14ac:dyDescent="0.15">
      <c r="B2814" s="38">
        <v>11208</v>
      </c>
      <c r="C2814" s="39">
        <f t="shared" si="90"/>
        <v>10.008513432701855</v>
      </c>
      <c r="D2814" s="39">
        <f t="shared" si="91"/>
        <v>3.1653786707882534</v>
      </c>
    </row>
    <row r="2815" spans="2:4" ht="15" x14ac:dyDescent="0.15">
      <c r="B2815" s="38">
        <v>11212</v>
      </c>
      <c r="C2815" s="39">
        <f t="shared" si="90"/>
        <v>10.015228461747608</v>
      </c>
      <c r="D2815" s="39">
        <f t="shared" si="91"/>
        <v>3.1678267594740914</v>
      </c>
    </row>
    <row r="2816" spans="2:4" ht="15" x14ac:dyDescent="0.15">
      <c r="B2816" s="38">
        <v>11216</v>
      </c>
      <c r="C2816" s="39">
        <f t="shared" si="90"/>
        <v>10.021948686174182</v>
      </c>
      <c r="D2816" s="39">
        <f t="shared" si="91"/>
        <v>3.170278637770898</v>
      </c>
    </row>
    <row r="2817" spans="2:4" ht="15" x14ac:dyDescent="0.15">
      <c r="B2817" s="38">
        <v>11220</v>
      </c>
      <c r="C2817" s="39">
        <f t="shared" si="90"/>
        <v>10.02867411402708</v>
      </c>
      <c r="D2817" s="39">
        <f t="shared" si="91"/>
        <v>3.1727343144848956</v>
      </c>
    </row>
    <row r="2818" spans="2:4" ht="15" x14ac:dyDescent="0.15">
      <c r="B2818" s="38">
        <v>11224</v>
      </c>
      <c r="C2818" s="39">
        <f t="shared" si="90"/>
        <v>10.035404753370507</v>
      </c>
      <c r="D2818" s="39">
        <f t="shared" si="91"/>
        <v>3.1751937984496124</v>
      </c>
    </row>
    <row r="2819" spans="2:4" ht="15" x14ac:dyDescent="0.15">
      <c r="B2819" s="38">
        <v>11228</v>
      </c>
      <c r="C2819" s="39">
        <f t="shared" si="90"/>
        <v>10.042140612287426</v>
      </c>
      <c r="D2819" s="39">
        <f t="shared" si="91"/>
        <v>3.1776570985259891</v>
      </c>
    </row>
    <row r="2820" spans="2:4" ht="15" x14ac:dyDescent="0.15">
      <c r="B2820" s="38">
        <v>11232</v>
      </c>
      <c r="C2820" s="39">
        <f t="shared" si="90"/>
        <v>10.048881698879622</v>
      </c>
      <c r="D2820" s="39">
        <f t="shared" si="91"/>
        <v>3.1801242236024843</v>
      </c>
    </row>
    <row r="2821" spans="2:4" ht="15" x14ac:dyDescent="0.15">
      <c r="B2821" s="38">
        <v>11236</v>
      </c>
      <c r="C2821" s="39">
        <f t="shared" si="90"/>
        <v>10.055628021267752</v>
      </c>
      <c r="D2821" s="39">
        <f t="shared" si="91"/>
        <v>3.1825951825951826</v>
      </c>
    </row>
    <row r="2822" spans="2:4" ht="15" x14ac:dyDescent="0.15">
      <c r="B2822" s="38">
        <v>11240</v>
      </c>
      <c r="C2822" s="39">
        <f t="shared" ref="C2822:C2885" si="92">20*LOG(D2822)</f>
        <v>10.062379587591421</v>
      </c>
      <c r="D2822" s="39">
        <f t="shared" ref="D2822:D2885" si="93">16384/(16384-B2822)</f>
        <v>3.1850699844479005</v>
      </c>
    </row>
    <row r="2823" spans="2:4" ht="15" x14ac:dyDescent="0.15">
      <c r="B2823" s="38">
        <v>11244</v>
      </c>
      <c r="C2823" s="39">
        <f t="shared" si="92"/>
        <v>10.069136406009221</v>
      </c>
      <c r="D2823" s="39">
        <f t="shared" si="93"/>
        <v>3.1875486381322959</v>
      </c>
    </row>
    <row r="2824" spans="2:4" ht="15" x14ac:dyDescent="0.15">
      <c r="B2824" s="38">
        <v>11248</v>
      </c>
      <c r="C2824" s="39">
        <f t="shared" si="92"/>
        <v>10.075898484698797</v>
      </c>
      <c r="D2824" s="39">
        <f t="shared" si="93"/>
        <v>3.190031152647975</v>
      </c>
    </row>
    <row r="2825" spans="2:4" ht="15" x14ac:dyDescent="0.15">
      <c r="B2825" s="38">
        <v>11252</v>
      </c>
      <c r="C2825" s="39">
        <f t="shared" si="92"/>
        <v>10.082665831856916</v>
      </c>
      <c r="D2825" s="39">
        <f t="shared" si="93"/>
        <v>3.1925175370226033</v>
      </c>
    </row>
    <row r="2826" spans="2:4" ht="15" x14ac:dyDescent="0.15">
      <c r="B2826" s="38">
        <v>11256</v>
      </c>
      <c r="C2826" s="39">
        <f t="shared" si="92"/>
        <v>10.089438455699515</v>
      </c>
      <c r="D2826" s="39">
        <f t="shared" si="93"/>
        <v>3.1950078003120126</v>
      </c>
    </row>
    <row r="2827" spans="2:4" ht="15" x14ac:dyDescent="0.15">
      <c r="B2827" s="38">
        <v>11260</v>
      </c>
      <c r="C2827" s="39">
        <f t="shared" si="92"/>
        <v>10.09621636446176</v>
      </c>
      <c r="D2827" s="39">
        <f t="shared" si="93"/>
        <v>3.1975019516003123</v>
      </c>
    </row>
    <row r="2828" spans="2:4" ht="15" x14ac:dyDescent="0.15">
      <c r="B2828" s="38">
        <v>11264</v>
      </c>
      <c r="C2828" s="39">
        <f t="shared" si="92"/>
        <v>10.102999566398122</v>
      </c>
      <c r="D2828" s="39">
        <f t="shared" si="93"/>
        <v>3.2</v>
      </c>
    </row>
    <row r="2829" spans="2:4" ht="15" x14ac:dyDescent="0.15">
      <c r="B2829" s="38">
        <v>11268</v>
      </c>
      <c r="C2829" s="39">
        <f t="shared" si="92"/>
        <v>10.109788069782407</v>
      </c>
      <c r="D2829" s="39">
        <f t="shared" si="93"/>
        <v>3.2025019546520719</v>
      </c>
    </row>
    <row r="2830" spans="2:4" ht="15" x14ac:dyDescent="0.15">
      <c r="B2830" s="38">
        <v>11272</v>
      </c>
      <c r="C2830" s="39">
        <f t="shared" si="92"/>
        <v>10.116581882907861</v>
      </c>
      <c r="D2830" s="39">
        <f t="shared" si="93"/>
        <v>3.2050078247261347</v>
      </c>
    </row>
    <row r="2831" spans="2:4" ht="15" x14ac:dyDescent="0.15">
      <c r="B2831" s="38">
        <v>11276</v>
      </c>
      <c r="C2831" s="39">
        <f t="shared" si="92"/>
        <v>10.12338101408718</v>
      </c>
      <c r="D2831" s="39">
        <f t="shared" si="93"/>
        <v>3.2075176194205168</v>
      </c>
    </row>
    <row r="2832" spans="2:4" ht="15" x14ac:dyDescent="0.15">
      <c r="B2832" s="38">
        <v>11280</v>
      </c>
      <c r="C2832" s="39">
        <f t="shared" si="92"/>
        <v>10.130185471652615</v>
      </c>
      <c r="D2832" s="39">
        <f t="shared" si="93"/>
        <v>3.2100313479623823</v>
      </c>
    </row>
    <row r="2833" spans="2:4" ht="15" x14ac:dyDescent="0.15">
      <c r="B2833" s="38">
        <v>11284</v>
      </c>
      <c r="C2833" s="39">
        <f t="shared" si="92"/>
        <v>10.136995263956008</v>
      </c>
      <c r="D2833" s="39">
        <f t="shared" si="93"/>
        <v>3.212549019607843</v>
      </c>
    </row>
    <row r="2834" spans="2:4" ht="15" x14ac:dyDescent="0.15">
      <c r="B2834" s="38">
        <v>11288</v>
      </c>
      <c r="C2834" s="39">
        <f t="shared" si="92"/>
        <v>10.143810399368856</v>
      </c>
      <c r="D2834" s="39">
        <f t="shared" si="93"/>
        <v>3.2150706436420724</v>
      </c>
    </row>
    <row r="2835" spans="2:4" ht="15" x14ac:dyDescent="0.15">
      <c r="B2835" s="38">
        <v>11292</v>
      </c>
      <c r="C2835" s="39">
        <f t="shared" si="92"/>
        <v>10.150630886282379</v>
      </c>
      <c r="D2835" s="39">
        <f t="shared" si="93"/>
        <v>3.2175962293794189</v>
      </c>
    </row>
    <row r="2836" spans="2:4" ht="15" x14ac:dyDescent="0.15">
      <c r="B2836" s="38">
        <v>11296</v>
      </c>
      <c r="C2836" s="39">
        <f t="shared" si="92"/>
        <v>10.157456733107587</v>
      </c>
      <c r="D2836" s="39">
        <f t="shared" si="93"/>
        <v>3.2201257861635222</v>
      </c>
    </row>
    <row r="2837" spans="2:4" ht="15" x14ac:dyDescent="0.15">
      <c r="B2837" s="38">
        <v>11300</v>
      </c>
      <c r="C2837" s="39">
        <f t="shared" si="92"/>
        <v>10.164287948275323</v>
      </c>
      <c r="D2837" s="39">
        <f t="shared" si="93"/>
        <v>3.2226593233674272</v>
      </c>
    </row>
    <row r="2838" spans="2:4" ht="15" x14ac:dyDescent="0.15">
      <c r="B2838" s="38">
        <v>11304</v>
      </c>
      <c r="C2838" s="39">
        <f t="shared" si="92"/>
        <v>10.171124540236349</v>
      </c>
      <c r="D2838" s="39">
        <f t="shared" si="93"/>
        <v>3.2251968503937007</v>
      </c>
    </row>
    <row r="2839" spans="2:4" ht="15" x14ac:dyDescent="0.15">
      <c r="B2839" s="38">
        <v>11308</v>
      </c>
      <c r="C2839" s="39">
        <f t="shared" si="92"/>
        <v>10.177966517461392</v>
      </c>
      <c r="D2839" s="39">
        <f t="shared" si="93"/>
        <v>3.2277383766745471</v>
      </c>
    </row>
    <row r="2840" spans="2:4" ht="15" x14ac:dyDescent="0.15">
      <c r="B2840" s="38">
        <v>11312</v>
      </c>
      <c r="C2840" s="39">
        <f t="shared" si="92"/>
        <v>10.184813888441209</v>
      </c>
      <c r="D2840" s="39">
        <f t="shared" si="93"/>
        <v>3.2302839116719242</v>
      </c>
    </row>
    <row r="2841" spans="2:4" ht="15" x14ac:dyDescent="0.15">
      <c r="B2841" s="38">
        <v>11316</v>
      </c>
      <c r="C2841" s="39">
        <f t="shared" si="92"/>
        <v>10.191666661686661</v>
      </c>
      <c r="D2841" s="39">
        <f t="shared" si="93"/>
        <v>3.2328334648776638</v>
      </c>
    </row>
    <row r="2842" spans="2:4" ht="15" x14ac:dyDescent="0.15">
      <c r="B2842" s="38">
        <v>11320</v>
      </c>
      <c r="C2842" s="39">
        <f t="shared" si="92"/>
        <v>10.198524845728761</v>
      </c>
      <c r="D2842" s="39">
        <f t="shared" si="93"/>
        <v>3.235387045813586</v>
      </c>
    </row>
    <row r="2843" spans="2:4" ht="15" x14ac:dyDescent="0.15">
      <c r="B2843" s="38">
        <v>11324</v>
      </c>
      <c r="C2843" s="39">
        <f t="shared" si="92"/>
        <v>10.205388449118754</v>
      </c>
      <c r="D2843" s="39">
        <f t="shared" si="93"/>
        <v>3.2379446640316205</v>
      </c>
    </row>
    <row r="2844" spans="2:4" ht="15" x14ac:dyDescent="0.15">
      <c r="B2844" s="38">
        <v>11328</v>
      </c>
      <c r="C2844" s="39">
        <f t="shared" si="92"/>
        <v>10.212257480428162</v>
      </c>
      <c r="D2844" s="39">
        <f t="shared" si="93"/>
        <v>3.240506329113924</v>
      </c>
    </row>
    <row r="2845" spans="2:4" ht="15" x14ac:dyDescent="0.15">
      <c r="B2845" s="38">
        <v>11332</v>
      </c>
      <c r="C2845" s="39">
        <f t="shared" si="92"/>
        <v>10.219131948248872</v>
      </c>
      <c r="D2845" s="39">
        <f t="shared" si="93"/>
        <v>3.2430720506730006</v>
      </c>
    </row>
    <row r="2846" spans="2:4" ht="15" x14ac:dyDescent="0.15">
      <c r="B2846" s="38">
        <v>11336</v>
      </c>
      <c r="C2846" s="39">
        <f t="shared" si="92"/>
        <v>10.226011861193175</v>
      </c>
      <c r="D2846" s="39">
        <f t="shared" si="93"/>
        <v>3.2456418383518226</v>
      </c>
    </row>
    <row r="2847" spans="2:4" ht="15" x14ac:dyDescent="0.15">
      <c r="B2847" s="38">
        <v>11340</v>
      </c>
      <c r="C2847" s="39">
        <f t="shared" si="92"/>
        <v>10.232897227893854</v>
      </c>
      <c r="D2847" s="39">
        <f t="shared" si="93"/>
        <v>3.2482157018239493</v>
      </c>
    </row>
    <row r="2848" spans="2:4" ht="15" x14ac:dyDescent="0.15">
      <c r="B2848" s="38">
        <v>11344</v>
      </c>
      <c r="C2848" s="39">
        <f t="shared" si="92"/>
        <v>10.23978805700423</v>
      </c>
      <c r="D2848" s="39">
        <f t="shared" si="93"/>
        <v>3.2507936507936508</v>
      </c>
    </row>
    <row r="2849" spans="2:4" ht="15" x14ac:dyDescent="0.15">
      <c r="B2849" s="38">
        <v>11348</v>
      </c>
      <c r="C2849" s="39">
        <f t="shared" si="92"/>
        <v>10.246684357198234</v>
      </c>
      <c r="D2849" s="39">
        <f t="shared" si="93"/>
        <v>3.2533756949960284</v>
      </c>
    </row>
    <row r="2850" spans="2:4" ht="15" x14ac:dyDescent="0.15">
      <c r="B2850" s="38">
        <v>11352</v>
      </c>
      <c r="C2850" s="39">
        <f t="shared" si="92"/>
        <v>10.253586137170485</v>
      </c>
      <c r="D2850" s="39">
        <f t="shared" si="93"/>
        <v>3.2559618441971385</v>
      </c>
    </row>
    <row r="2851" spans="2:4" ht="15" x14ac:dyDescent="0.15">
      <c r="B2851" s="38">
        <v>11356</v>
      </c>
      <c r="C2851" s="39">
        <f t="shared" si="92"/>
        <v>10.260493405636332</v>
      </c>
      <c r="D2851" s="39">
        <f t="shared" si="93"/>
        <v>3.2585521081941131</v>
      </c>
    </row>
    <row r="2852" spans="2:4" ht="15" x14ac:dyDescent="0.15">
      <c r="B2852" s="38">
        <v>11360</v>
      </c>
      <c r="C2852" s="39">
        <f t="shared" si="92"/>
        <v>10.267406171331942</v>
      </c>
      <c r="D2852" s="39">
        <f t="shared" si="93"/>
        <v>3.2611464968152868</v>
      </c>
    </row>
    <row r="2853" spans="2:4" ht="15" x14ac:dyDescent="0.15">
      <c r="B2853" s="38">
        <v>11364</v>
      </c>
      <c r="C2853" s="39">
        <f t="shared" si="92"/>
        <v>10.274324443014349</v>
      </c>
      <c r="D2853" s="39">
        <f t="shared" si="93"/>
        <v>3.2637450199203188</v>
      </c>
    </row>
    <row r="2854" spans="2:4" ht="15" x14ac:dyDescent="0.15">
      <c r="B2854" s="38">
        <v>11368</v>
      </c>
      <c r="C2854" s="39">
        <f t="shared" si="92"/>
        <v>10.281248229461536</v>
      </c>
      <c r="D2854" s="39">
        <f t="shared" si="93"/>
        <v>3.266347687400319</v>
      </c>
    </row>
    <row r="2855" spans="2:4" ht="15" x14ac:dyDescent="0.15">
      <c r="B2855" s="38">
        <v>11372</v>
      </c>
      <c r="C2855" s="39">
        <f t="shared" si="92"/>
        <v>10.288177539472487</v>
      </c>
      <c r="D2855" s="39">
        <f t="shared" si="93"/>
        <v>3.268954509177973</v>
      </c>
    </row>
    <row r="2856" spans="2:4" ht="15" x14ac:dyDescent="0.15">
      <c r="B2856" s="38">
        <v>11376</v>
      </c>
      <c r="C2856" s="39">
        <f t="shared" si="92"/>
        <v>10.295112381867268</v>
      </c>
      <c r="D2856" s="39">
        <f t="shared" si="93"/>
        <v>3.2715654952076676</v>
      </c>
    </row>
    <row r="2857" spans="2:4" ht="15" x14ac:dyDescent="0.15">
      <c r="B2857" s="38">
        <v>11380</v>
      </c>
      <c r="C2857" s="39">
        <f t="shared" si="92"/>
        <v>10.302052765487089</v>
      </c>
      <c r="D2857" s="39">
        <f t="shared" si="93"/>
        <v>3.2741806554756194</v>
      </c>
    </row>
    <row r="2858" spans="2:4" ht="15" x14ac:dyDescent="0.15">
      <c r="B2858" s="38">
        <v>11384</v>
      </c>
      <c r="C2858" s="39">
        <f t="shared" si="92"/>
        <v>10.308998699194358</v>
      </c>
      <c r="D2858" s="39">
        <f t="shared" si="93"/>
        <v>3.2768000000000002</v>
      </c>
    </row>
    <row r="2859" spans="2:4" ht="15" x14ac:dyDescent="0.15">
      <c r="B2859" s="38">
        <v>11388</v>
      </c>
      <c r="C2859" s="39">
        <f t="shared" si="92"/>
        <v>10.315950191872776</v>
      </c>
      <c r="D2859" s="39">
        <f t="shared" si="93"/>
        <v>3.2794235388310646</v>
      </c>
    </row>
    <row r="2860" spans="2:4" ht="15" x14ac:dyDescent="0.15">
      <c r="B2860" s="38">
        <v>11392</v>
      </c>
      <c r="C2860" s="39">
        <f t="shared" si="92"/>
        <v>10.322907252427383</v>
      </c>
      <c r="D2860" s="39">
        <f t="shared" si="93"/>
        <v>3.2820512820512819</v>
      </c>
    </row>
    <row r="2861" spans="2:4" ht="15" x14ac:dyDescent="0.15">
      <c r="B2861" s="38">
        <v>11396</v>
      </c>
      <c r="C2861" s="39">
        <f t="shared" si="92"/>
        <v>10.329869889784636</v>
      </c>
      <c r="D2861" s="39">
        <f t="shared" si="93"/>
        <v>3.2846832397754611</v>
      </c>
    </row>
    <row r="2862" spans="2:4" ht="15" x14ac:dyDescent="0.15">
      <c r="B2862" s="38">
        <v>11400</v>
      </c>
      <c r="C2862" s="39">
        <f t="shared" si="92"/>
        <v>10.336838112892471</v>
      </c>
      <c r="D2862" s="39">
        <f t="shared" si="93"/>
        <v>3.2873194221508828</v>
      </c>
    </row>
    <row r="2863" spans="2:4" ht="15" x14ac:dyDescent="0.15">
      <c r="B2863" s="38">
        <v>11404</v>
      </c>
      <c r="C2863" s="39">
        <f t="shared" si="92"/>
        <v>10.343811930720383</v>
      </c>
      <c r="D2863" s="39">
        <f t="shared" si="93"/>
        <v>3.2899598393574299</v>
      </c>
    </row>
    <row r="2864" spans="2:4" ht="15" x14ac:dyDescent="0.15">
      <c r="B2864" s="38">
        <v>11408</v>
      </c>
      <c r="C2864" s="39">
        <f t="shared" si="92"/>
        <v>10.35079135225949</v>
      </c>
      <c r="D2864" s="39">
        <f t="shared" si="93"/>
        <v>3.292604501607717</v>
      </c>
    </row>
    <row r="2865" spans="2:4" ht="15" x14ac:dyDescent="0.15">
      <c r="B2865" s="38">
        <v>11412</v>
      </c>
      <c r="C2865" s="39">
        <f t="shared" si="92"/>
        <v>10.357776386522591</v>
      </c>
      <c r="D2865" s="39">
        <f t="shared" si="93"/>
        <v>3.2952534191472242</v>
      </c>
    </row>
    <row r="2866" spans="2:4" ht="15" x14ac:dyDescent="0.15">
      <c r="B2866" s="38">
        <v>11416</v>
      </c>
      <c r="C2866" s="39">
        <f t="shared" si="92"/>
        <v>10.364767042544258</v>
      </c>
      <c r="D2866" s="39">
        <f t="shared" si="93"/>
        <v>3.2979066022544283</v>
      </c>
    </row>
    <row r="2867" spans="2:4" ht="15" x14ac:dyDescent="0.15">
      <c r="B2867" s="38">
        <v>11420</v>
      </c>
      <c r="C2867" s="39">
        <f t="shared" si="92"/>
        <v>10.37176332938089</v>
      </c>
      <c r="D2867" s="39">
        <f t="shared" si="93"/>
        <v>3.3005640612409346</v>
      </c>
    </row>
    <row r="2868" spans="2:4" ht="15" x14ac:dyDescent="0.15">
      <c r="B2868" s="38">
        <v>11424</v>
      </c>
      <c r="C2868" s="39">
        <f t="shared" si="92"/>
        <v>10.378765256110785</v>
      </c>
      <c r="D2868" s="39">
        <f t="shared" si="93"/>
        <v>3.3032258064516129</v>
      </c>
    </row>
    <row r="2869" spans="2:4" ht="15" x14ac:dyDescent="0.15">
      <c r="B2869" s="38">
        <v>11428</v>
      </c>
      <c r="C2869" s="39">
        <f t="shared" si="92"/>
        <v>10.385772831834217</v>
      </c>
      <c r="D2869" s="39">
        <f t="shared" si="93"/>
        <v>3.3058918482647295</v>
      </c>
    </row>
    <row r="2870" spans="2:4" ht="15" x14ac:dyDescent="0.15">
      <c r="B2870" s="38">
        <v>11432</v>
      </c>
      <c r="C2870" s="39">
        <f t="shared" si="92"/>
        <v>10.392786065673505</v>
      </c>
      <c r="D2870" s="39">
        <f t="shared" si="93"/>
        <v>3.3085621970920842</v>
      </c>
    </row>
    <row r="2871" spans="2:4" ht="15" x14ac:dyDescent="0.15">
      <c r="B2871" s="38">
        <v>11436</v>
      </c>
      <c r="C2871" s="39">
        <f t="shared" si="92"/>
        <v>10.399804966773074</v>
      </c>
      <c r="D2871" s="39">
        <f t="shared" si="93"/>
        <v>3.3112368633791429</v>
      </c>
    </row>
    <row r="2872" spans="2:4" ht="15" x14ac:dyDescent="0.15">
      <c r="B2872" s="38">
        <v>11440</v>
      </c>
      <c r="C2872" s="39">
        <f t="shared" si="92"/>
        <v>10.406829544299548</v>
      </c>
      <c r="D2872" s="39">
        <f t="shared" si="93"/>
        <v>3.3139158576051782</v>
      </c>
    </row>
    <row r="2873" spans="2:4" ht="15" x14ac:dyDescent="0.15">
      <c r="B2873" s="38">
        <v>11444</v>
      </c>
      <c r="C2873" s="39">
        <f t="shared" si="92"/>
        <v>10.413859807441796</v>
      </c>
      <c r="D2873" s="39">
        <f t="shared" si="93"/>
        <v>3.3165991902834007</v>
      </c>
    </row>
    <row r="2874" spans="2:4" ht="15" x14ac:dyDescent="0.15">
      <c r="B2874" s="38">
        <v>11448</v>
      </c>
      <c r="C2874" s="39">
        <f t="shared" si="92"/>
        <v>10.420895765411029</v>
      </c>
      <c r="D2874" s="39">
        <f t="shared" si="93"/>
        <v>3.3192868719611019</v>
      </c>
    </row>
    <row r="2875" spans="2:4" ht="15" x14ac:dyDescent="0.15">
      <c r="B2875" s="38">
        <v>11452</v>
      </c>
      <c r="C2875" s="39">
        <f t="shared" si="92"/>
        <v>10.427937427440854</v>
      </c>
      <c r="D2875" s="39">
        <f t="shared" si="93"/>
        <v>3.3219789132197892</v>
      </c>
    </row>
    <row r="2876" spans="2:4" ht="15" x14ac:dyDescent="0.15">
      <c r="B2876" s="38">
        <v>11456</v>
      </c>
      <c r="C2876" s="39">
        <f t="shared" si="92"/>
        <v>10.434984802787355</v>
      </c>
      <c r="D2876" s="39">
        <f t="shared" si="93"/>
        <v>3.3246753246753249</v>
      </c>
    </row>
    <row r="2877" spans="2:4" ht="15" x14ac:dyDescent="0.15">
      <c r="B2877" s="38">
        <v>11460</v>
      </c>
      <c r="C2877" s="39">
        <f t="shared" si="92"/>
        <v>10.44203790072916</v>
      </c>
      <c r="D2877" s="39">
        <f t="shared" si="93"/>
        <v>3.3273761169780665</v>
      </c>
    </row>
    <row r="2878" spans="2:4" ht="15" x14ac:dyDescent="0.15">
      <c r="B2878" s="38">
        <v>11464</v>
      </c>
      <c r="C2878" s="39">
        <f t="shared" si="92"/>
        <v>10.449096730567529</v>
      </c>
      <c r="D2878" s="39">
        <f t="shared" si="93"/>
        <v>3.3300813008130081</v>
      </c>
    </row>
    <row r="2879" spans="2:4" ht="15" x14ac:dyDescent="0.15">
      <c r="B2879" s="38">
        <v>11468</v>
      </c>
      <c r="C2879" s="39">
        <f t="shared" si="92"/>
        <v>10.456161301626405</v>
      </c>
      <c r="D2879" s="39">
        <f t="shared" si="93"/>
        <v>3.3327908868999185</v>
      </c>
    </row>
    <row r="2880" spans="2:4" ht="15" x14ac:dyDescent="0.15">
      <c r="B2880" s="38">
        <v>11472</v>
      </c>
      <c r="C2880" s="39">
        <f t="shared" si="92"/>
        <v>10.46323162325251</v>
      </c>
      <c r="D2880" s="39">
        <f t="shared" si="93"/>
        <v>3.3355048859934855</v>
      </c>
    </row>
    <row r="2881" spans="2:4" ht="15" x14ac:dyDescent="0.15">
      <c r="B2881" s="38">
        <v>11476</v>
      </c>
      <c r="C2881" s="39">
        <f t="shared" si="92"/>
        <v>10.470307704815403</v>
      </c>
      <c r="D2881" s="39">
        <f t="shared" si="93"/>
        <v>3.3382233088834554</v>
      </c>
    </row>
    <row r="2882" spans="2:4" ht="15" x14ac:dyDescent="0.15">
      <c r="B2882" s="38">
        <v>11480</v>
      </c>
      <c r="C2882" s="39">
        <f t="shared" si="92"/>
        <v>10.477389555707564</v>
      </c>
      <c r="D2882" s="39">
        <f t="shared" si="93"/>
        <v>3.3409461663947799</v>
      </c>
    </row>
    <row r="2883" spans="2:4" ht="15" x14ac:dyDescent="0.15">
      <c r="B2883" s="38">
        <v>11484</v>
      </c>
      <c r="C2883" s="39">
        <f t="shared" si="92"/>
        <v>10.48447718534446</v>
      </c>
      <c r="D2883" s="39">
        <f t="shared" si="93"/>
        <v>3.3436734693877552</v>
      </c>
    </row>
    <row r="2884" spans="2:4" ht="15" x14ac:dyDescent="0.15">
      <c r="B2884" s="38">
        <v>11488</v>
      </c>
      <c r="C2884" s="39">
        <f t="shared" si="92"/>
        <v>10.491570603164639</v>
      </c>
      <c r="D2884" s="39">
        <f t="shared" si="93"/>
        <v>3.34640522875817</v>
      </c>
    </row>
    <row r="2885" spans="2:4" ht="15" x14ac:dyDescent="0.15">
      <c r="B2885" s="38">
        <v>11492</v>
      </c>
      <c r="C2885" s="39">
        <f t="shared" si="92"/>
        <v>10.498669818629779</v>
      </c>
      <c r="D2885" s="39">
        <f t="shared" si="93"/>
        <v>3.349141455437449</v>
      </c>
    </row>
    <row r="2886" spans="2:4" ht="15" x14ac:dyDescent="0.15">
      <c r="B2886" s="38">
        <v>11496</v>
      </c>
      <c r="C2886" s="39">
        <f t="shared" ref="C2886:C2949" si="94">20*LOG(D2886)</f>
        <v>10.505774841224779</v>
      </c>
      <c r="D2886" s="39">
        <f t="shared" ref="D2886:D2949" si="95">16384/(16384-B2886)</f>
        <v>3.3518821603927988</v>
      </c>
    </row>
    <row r="2887" spans="2:4" ht="15" x14ac:dyDescent="0.15">
      <c r="B2887" s="38">
        <v>11500</v>
      </c>
      <c r="C2887" s="39">
        <f t="shared" si="94"/>
        <v>10.512885680457838</v>
      </c>
      <c r="D2887" s="39">
        <f t="shared" si="95"/>
        <v>3.3546273546273548</v>
      </c>
    </row>
    <row r="2888" spans="2:4" ht="15" x14ac:dyDescent="0.15">
      <c r="B2888" s="38">
        <v>11504</v>
      </c>
      <c r="C2888" s="39">
        <f t="shared" si="94"/>
        <v>10.520002345860522</v>
      </c>
      <c r="D2888" s="39">
        <f t="shared" si="95"/>
        <v>3.3573770491803279</v>
      </c>
    </row>
    <row r="2889" spans="2:4" ht="15" x14ac:dyDescent="0.15">
      <c r="B2889" s="38">
        <v>11508</v>
      </c>
      <c r="C2889" s="39">
        <f t="shared" si="94"/>
        <v>10.527124846987849</v>
      </c>
      <c r="D2889" s="39">
        <f t="shared" si="95"/>
        <v>3.3601312551271536</v>
      </c>
    </row>
    <row r="2890" spans="2:4" ht="15" x14ac:dyDescent="0.15">
      <c r="B2890" s="38">
        <v>11512</v>
      </c>
      <c r="C2890" s="39">
        <f t="shared" si="94"/>
        <v>10.534253193418355</v>
      </c>
      <c r="D2890" s="39">
        <f t="shared" si="95"/>
        <v>3.3628899835796386</v>
      </c>
    </row>
    <row r="2891" spans="2:4" ht="15" x14ac:dyDescent="0.15">
      <c r="B2891" s="38">
        <v>11516</v>
      </c>
      <c r="C2891" s="39">
        <f t="shared" si="94"/>
        <v>10.541387394754187</v>
      </c>
      <c r="D2891" s="39">
        <f t="shared" si="95"/>
        <v>3.3656532456861132</v>
      </c>
    </row>
    <row r="2892" spans="2:4" ht="15" x14ac:dyDescent="0.15">
      <c r="B2892" s="38">
        <v>11520</v>
      </c>
      <c r="C2892" s="39">
        <f t="shared" si="94"/>
        <v>10.548527460621164</v>
      </c>
      <c r="D2892" s="39">
        <f t="shared" si="95"/>
        <v>3.3684210526315788</v>
      </c>
    </row>
    <row r="2893" spans="2:4" ht="15" x14ac:dyDescent="0.15">
      <c r="B2893" s="38">
        <v>11524</v>
      </c>
      <c r="C2893" s="39">
        <f t="shared" si="94"/>
        <v>10.555673400668868</v>
      </c>
      <c r="D2893" s="39">
        <f t="shared" si="95"/>
        <v>3.37119341563786</v>
      </c>
    </row>
    <row r="2894" spans="2:4" ht="15" x14ac:dyDescent="0.15">
      <c r="B2894" s="38">
        <v>11528</v>
      </c>
      <c r="C2894" s="39">
        <f t="shared" si="94"/>
        <v>10.562825224570711</v>
      </c>
      <c r="D2894" s="39">
        <f t="shared" si="95"/>
        <v>3.3739703459637562</v>
      </c>
    </row>
    <row r="2895" spans="2:4" ht="15" x14ac:dyDescent="0.15">
      <c r="B2895" s="38">
        <v>11532</v>
      </c>
      <c r="C2895" s="39">
        <f t="shared" si="94"/>
        <v>10.569982942024028</v>
      </c>
      <c r="D2895" s="39">
        <f t="shared" si="95"/>
        <v>3.3767518549051938</v>
      </c>
    </row>
    <row r="2896" spans="2:4" ht="15" x14ac:dyDescent="0.15">
      <c r="B2896" s="38">
        <v>11536</v>
      </c>
      <c r="C2896" s="39">
        <f t="shared" si="94"/>
        <v>10.577146562750139</v>
      </c>
      <c r="D2896" s="39">
        <f t="shared" si="95"/>
        <v>3.3795379537953796</v>
      </c>
    </row>
    <row r="2897" spans="2:4" ht="15" x14ac:dyDescent="0.15">
      <c r="B2897" s="38">
        <v>11540</v>
      </c>
      <c r="C2897" s="39">
        <f t="shared" si="94"/>
        <v>10.584316096494442</v>
      </c>
      <c r="D2897" s="39">
        <f t="shared" si="95"/>
        <v>3.3823286540049544</v>
      </c>
    </row>
    <row r="2898" spans="2:4" ht="15" x14ac:dyDescent="0.15">
      <c r="B2898" s="38">
        <v>11544</v>
      </c>
      <c r="C2898" s="39">
        <f t="shared" si="94"/>
        <v>10.591491553026485</v>
      </c>
      <c r="D2898" s="39">
        <f t="shared" si="95"/>
        <v>3.3851239669421487</v>
      </c>
    </row>
    <row r="2899" spans="2:4" ht="15" x14ac:dyDescent="0.15">
      <c r="B2899" s="38">
        <v>11548</v>
      </c>
      <c r="C2899" s="39">
        <f t="shared" si="94"/>
        <v>10.598672942140048</v>
      </c>
      <c r="D2899" s="39">
        <f t="shared" si="95"/>
        <v>3.3879239040529363</v>
      </c>
    </row>
    <row r="2900" spans="2:4" ht="15" x14ac:dyDescent="0.15">
      <c r="B2900" s="38">
        <v>11552</v>
      </c>
      <c r="C2900" s="39">
        <f t="shared" si="94"/>
        <v>10.605860273653228</v>
      </c>
      <c r="D2900" s="39">
        <f t="shared" si="95"/>
        <v>3.3907284768211921</v>
      </c>
    </row>
    <row r="2901" spans="2:4" ht="15" x14ac:dyDescent="0.15">
      <c r="B2901" s="38">
        <v>11556</v>
      </c>
      <c r="C2901" s="39">
        <f t="shared" si="94"/>
        <v>10.613053557408502</v>
      </c>
      <c r="D2901" s="39">
        <f t="shared" si="95"/>
        <v>3.3935376967688482</v>
      </c>
    </row>
    <row r="2902" spans="2:4" ht="15" x14ac:dyDescent="0.15">
      <c r="B2902" s="38">
        <v>11560</v>
      </c>
      <c r="C2902" s="39">
        <f t="shared" si="94"/>
        <v>10.620252803272836</v>
      </c>
      <c r="D2902" s="39">
        <f t="shared" si="95"/>
        <v>3.3963515754560532</v>
      </c>
    </row>
    <row r="2903" spans="2:4" ht="15" x14ac:dyDescent="0.15">
      <c r="B2903" s="38">
        <v>11564</v>
      </c>
      <c r="C2903" s="39">
        <f t="shared" si="94"/>
        <v>10.627458021137743</v>
      </c>
      <c r="D2903" s="39">
        <f t="shared" si="95"/>
        <v>3.3991701244813277</v>
      </c>
    </row>
    <row r="2904" spans="2:4" ht="15" x14ac:dyDescent="0.15">
      <c r="B2904" s="38">
        <v>11568</v>
      </c>
      <c r="C2904" s="39">
        <f t="shared" si="94"/>
        <v>10.634669220919372</v>
      </c>
      <c r="D2904" s="39">
        <f t="shared" si="95"/>
        <v>3.4019933554817277</v>
      </c>
    </row>
    <row r="2905" spans="2:4" ht="15" x14ac:dyDescent="0.15">
      <c r="B2905" s="38">
        <v>11572</v>
      </c>
      <c r="C2905" s="39">
        <f t="shared" si="94"/>
        <v>10.641886412558591</v>
      </c>
      <c r="D2905" s="39">
        <f t="shared" si="95"/>
        <v>3.4048212801330009</v>
      </c>
    </row>
    <row r="2906" spans="2:4" ht="15" x14ac:dyDescent="0.15">
      <c r="B2906" s="38">
        <v>11576</v>
      </c>
      <c r="C2906" s="39">
        <f t="shared" si="94"/>
        <v>10.649109606021073</v>
      </c>
      <c r="D2906" s="39">
        <f t="shared" si="95"/>
        <v>3.4076539101497505</v>
      </c>
    </row>
    <row r="2907" spans="2:4" ht="15" x14ac:dyDescent="0.15">
      <c r="B2907" s="38">
        <v>11580</v>
      </c>
      <c r="C2907" s="39">
        <f t="shared" si="94"/>
        <v>10.656338811297365</v>
      </c>
      <c r="D2907" s="39">
        <f t="shared" si="95"/>
        <v>3.4104912572855954</v>
      </c>
    </row>
    <row r="2908" spans="2:4" ht="15" x14ac:dyDescent="0.15">
      <c r="B2908" s="38">
        <v>11584</v>
      </c>
      <c r="C2908" s="39">
        <f t="shared" si="94"/>
        <v>10.66357403840299</v>
      </c>
      <c r="D2908" s="39">
        <f t="shared" si="95"/>
        <v>3.4133333333333336</v>
      </c>
    </row>
    <row r="2909" spans="2:4" ht="15" x14ac:dyDescent="0.15">
      <c r="B2909" s="38">
        <v>11588</v>
      </c>
      <c r="C2909" s="39">
        <f t="shared" si="94"/>
        <v>10.670815297378514</v>
      </c>
      <c r="D2909" s="39">
        <f t="shared" si="95"/>
        <v>3.4161801501251041</v>
      </c>
    </row>
    <row r="2910" spans="2:4" ht="15" x14ac:dyDescent="0.15">
      <c r="B2910" s="38">
        <v>11592</v>
      </c>
      <c r="C2910" s="39">
        <f t="shared" si="94"/>
        <v>10.678062598289635</v>
      </c>
      <c r="D2910" s="39">
        <f t="shared" si="95"/>
        <v>3.4190317195325544</v>
      </c>
    </row>
    <row r="2911" spans="2:4" ht="15" x14ac:dyDescent="0.15">
      <c r="B2911" s="38">
        <v>11596</v>
      </c>
      <c r="C2911" s="39">
        <f t="shared" si="94"/>
        <v>10.685315951227272</v>
      </c>
      <c r="D2911" s="39">
        <f t="shared" si="95"/>
        <v>3.4218880534670006</v>
      </c>
    </row>
    <row r="2912" spans="2:4" ht="15" x14ac:dyDescent="0.15">
      <c r="B2912" s="38">
        <v>11600</v>
      </c>
      <c r="C2912" s="39">
        <f t="shared" si="94"/>
        <v>10.692575366307647</v>
      </c>
      <c r="D2912" s="39">
        <f t="shared" si="95"/>
        <v>3.4247491638795986</v>
      </c>
    </row>
    <row r="2913" spans="2:4" ht="15" x14ac:dyDescent="0.15">
      <c r="B2913" s="38">
        <v>11604</v>
      </c>
      <c r="C2913" s="39">
        <f t="shared" si="94"/>
        <v>10.699840853672356</v>
      </c>
      <c r="D2913" s="39">
        <f t="shared" si="95"/>
        <v>3.4276150627615061</v>
      </c>
    </row>
    <row r="2914" spans="2:4" ht="15" x14ac:dyDescent="0.15">
      <c r="B2914" s="38">
        <v>11608</v>
      </c>
      <c r="C2914" s="39">
        <f t="shared" si="94"/>
        <v>10.70711242348848</v>
      </c>
      <c r="D2914" s="39">
        <f t="shared" si="95"/>
        <v>3.4304857621440537</v>
      </c>
    </row>
    <row r="2915" spans="2:4" ht="15" x14ac:dyDescent="0.15">
      <c r="B2915" s="38">
        <v>11612</v>
      </c>
      <c r="C2915" s="39">
        <f t="shared" si="94"/>
        <v>10.714390085948649</v>
      </c>
      <c r="D2915" s="39">
        <f t="shared" si="95"/>
        <v>3.4333612740989103</v>
      </c>
    </row>
    <row r="2916" spans="2:4" ht="15" x14ac:dyDescent="0.15">
      <c r="B2916" s="38">
        <v>11616</v>
      </c>
      <c r="C2916" s="39">
        <f t="shared" si="94"/>
        <v>10.721673851271134</v>
      </c>
      <c r="D2916" s="39">
        <f t="shared" si="95"/>
        <v>3.436241610738255</v>
      </c>
    </row>
    <row r="2917" spans="2:4" ht="15" x14ac:dyDescent="0.15">
      <c r="B2917" s="38">
        <v>11620</v>
      </c>
      <c r="C2917" s="39">
        <f t="shared" si="94"/>
        <v>10.728963729699936</v>
      </c>
      <c r="D2917" s="39">
        <f t="shared" si="95"/>
        <v>3.4391267842149453</v>
      </c>
    </row>
    <row r="2918" spans="2:4" ht="15" x14ac:dyDescent="0.15">
      <c r="B2918" s="38">
        <v>11624</v>
      </c>
      <c r="C2918" s="39">
        <f t="shared" si="94"/>
        <v>10.736259731504871</v>
      </c>
      <c r="D2918" s="39">
        <f t="shared" si="95"/>
        <v>3.4420168067226893</v>
      </c>
    </row>
    <row r="2919" spans="2:4" ht="15" x14ac:dyDescent="0.15">
      <c r="B2919" s="38">
        <v>11628</v>
      </c>
      <c r="C2919" s="39">
        <f t="shared" si="94"/>
        <v>10.743561866981654</v>
      </c>
      <c r="D2919" s="39">
        <f t="shared" si="95"/>
        <v>3.4449116904962152</v>
      </c>
    </row>
    <row r="2920" spans="2:4" ht="15" x14ac:dyDescent="0.15">
      <c r="B2920" s="38">
        <v>11632</v>
      </c>
      <c r="C2920" s="39">
        <f t="shared" si="94"/>
        <v>10.750870146451991</v>
      </c>
      <c r="D2920" s="39">
        <f t="shared" si="95"/>
        <v>3.4478114478114477</v>
      </c>
    </row>
    <row r="2921" spans="2:4" ht="15" x14ac:dyDescent="0.15">
      <c r="B2921" s="38">
        <v>11636</v>
      </c>
      <c r="C2921" s="39">
        <f t="shared" si="94"/>
        <v>10.758184580263661</v>
      </c>
      <c r="D2921" s="39">
        <f t="shared" si="95"/>
        <v>3.450716090985678</v>
      </c>
    </row>
    <row r="2922" spans="2:4" ht="15" x14ac:dyDescent="0.15">
      <c r="B2922" s="38">
        <v>11640</v>
      </c>
      <c r="C2922" s="39">
        <f t="shared" si="94"/>
        <v>10.765505178790612</v>
      </c>
      <c r="D2922" s="39">
        <f t="shared" si="95"/>
        <v>3.4536256323777401</v>
      </c>
    </row>
    <row r="2923" spans="2:4" ht="15" x14ac:dyDescent="0.15">
      <c r="B2923" s="38">
        <v>11644</v>
      </c>
      <c r="C2923" s="39">
        <f t="shared" si="94"/>
        <v>10.772831952433034</v>
      </c>
      <c r="D2923" s="39">
        <f t="shared" si="95"/>
        <v>3.4565400843881857</v>
      </c>
    </row>
    <row r="2924" spans="2:4" ht="15" x14ac:dyDescent="0.15">
      <c r="B2924" s="38">
        <v>11648</v>
      </c>
      <c r="C2924" s="39">
        <f t="shared" si="94"/>
        <v>10.780164911617467</v>
      </c>
      <c r="D2924" s="39">
        <f t="shared" si="95"/>
        <v>3.4594594594594597</v>
      </c>
    </row>
    <row r="2925" spans="2:4" ht="15" x14ac:dyDescent="0.15">
      <c r="B2925" s="38">
        <v>11652</v>
      </c>
      <c r="C2925" s="39">
        <f t="shared" si="94"/>
        <v>10.787504066796878</v>
      </c>
      <c r="D2925" s="39">
        <f t="shared" si="95"/>
        <v>3.4623837700760776</v>
      </c>
    </row>
    <row r="2926" spans="2:4" ht="15" x14ac:dyDescent="0.15">
      <c r="B2926" s="38">
        <v>11656</v>
      </c>
      <c r="C2926" s="39">
        <f t="shared" si="94"/>
        <v>10.794849428450755</v>
      </c>
      <c r="D2926" s="39">
        <f t="shared" si="95"/>
        <v>3.4653130287648053</v>
      </c>
    </row>
    <row r="2927" spans="2:4" ht="15" x14ac:dyDescent="0.15">
      <c r="B2927" s="38">
        <v>11660</v>
      </c>
      <c r="C2927" s="39">
        <f t="shared" si="94"/>
        <v>10.802201007085191</v>
      </c>
      <c r="D2927" s="39">
        <f t="shared" si="95"/>
        <v>3.4682472480948348</v>
      </c>
    </row>
    <row r="2928" spans="2:4" ht="15" x14ac:dyDescent="0.15">
      <c r="B2928" s="38">
        <v>11664</v>
      </c>
      <c r="C2928" s="39">
        <f t="shared" si="94"/>
        <v>10.809558813232979</v>
      </c>
      <c r="D2928" s="39">
        <f t="shared" si="95"/>
        <v>3.471186440677966</v>
      </c>
    </row>
    <row r="2929" spans="2:4" ht="15" x14ac:dyDescent="0.15">
      <c r="B2929" s="38">
        <v>11668</v>
      </c>
      <c r="C2929" s="39">
        <f t="shared" si="94"/>
        <v>10.816922857453704</v>
      </c>
      <c r="D2929" s="39">
        <f t="shared" si="95"/>
        <v>3.4741306191687871</v>
      </c>
    </row>
    <row r="2930" spans="2:4" ht="15" x14ac:dyDescent="0.15">
      <c r="B2930" s="38">
        <v>11672</v>
      </c>
      <c r="C2930" s="39">
        <f t="shared" si="94"/>
        <v>10.82429315033383</v>
      </c>
      <c r="D2930" s="39">
        <f t="shared" si="95"/>
        <v>3.4770797962648556</v>
      </c>
    </row>
    <row r="2931" spans="2:4" ht="15" x14ac:dyDescent="0.15">
      <c r="B2931" s="38">
        <v>11676</v>
      </c>
      <c r="C2931" s="39">
        <f t="shared" si="94"/>
        <v>10.831669702486792</v>
      </c>
      <c r="D2931" s="39">
        <f t="shared" si="95"/>
        <v>3.480033984706882</v>
      </c>
    </row>
    <row r="2932" spans="2:4" ht="15" x14ac:dyDescent="0.15">
      <c r="B2932" s="38">
        <v>11680</v>
      </c>
      <c r="C2932" s="39">
        <f t="shared" si="94"/>
        <v>10.839052524553093</v>
      </c>
      <c r="D2932" s="39">
        <f t="shared" si="95"/>
        <v>3.4829931972789114</v>
      </c>
    </row>
    <row r="2933" spans="2:4" ht="15" x14ac:dyDescent="0.15">
      <c r="B2933" s="38">
        <v>11684</v>
      </c>
      <c r="C2933" s="39">
        <f t="shared" si="94"/>
        <v>10.846441627200385</v>
      </c>
      <c r="D2933" s="39">
        <f t="shared" si="95"/>
        <v>3.4859574468085106</v>
      </c>
    </row>
    <row r="2934" spans="2:4" ht="15" x14ac:dyDescent="0.15">
      <c r="B2934" s="38">
        <v>11688</v>
      </c>
      <c r="C2934" s="39">
        <f t="shared" si="94"/>
        <v>10.853837021123574</v>
      </c>
      <c r="D2934" s="39">
        <f t="shared" si="95"/>
        <v>3.4889267461669506</v>
      </c>
    </row>
    <row r="2935" spans="2:4" ht="15" x14ac:dyDescent="0.15">
      <c r="B2935" s="38">
        <v>11692</v>
      </c>
      <c r="C2935" s="39">
        <f t="shared" si="94"/>
        <v>10.861238717044902</v>
      </c>
      <c r="D2935" s="39">
        <f t="shared" si="95"/>
        <v>3.4919011082693947</v>
      </c>
    </row>
    <row r="2936" spans="2:4" ht="15" x14ac:dyDescent="0.15">
      <c r="B2936" s="38">
        <v>11696</v>
      </c>
      <c r="C2936" s="39">
        <f t="shared" si="94"/>
        <v>10.868646725714051</v>
      </c>
      <c r="D2936" s="39">
        <f t="shared" si="95"/>
        <v>3.4948805460750854</v>
      </c>
    </row>
    <row r="2937" spans="2:4" ht="15" x14ac:dyDescent="0.15">
      <c r="B2937" s="38">
        <v>11700</v>
      </c>
      <c r="C2937" s="39">
        <f t="shared" si="94"/>
        <v>10.876061057908224</v>
      </c>
      <c r="D2937" s="39">
        <f t="shared" si="95"/>
        <v>3.497865072587532</v>
      </c>
    </row>
    <row r="2938" spans="2:4" ht="15" x14ac:dyDescent="0.15">
      <c r="B2938" s="38">
        <v>11704</v>
      </c>
      <c r="C2938" s="39">
        <f t="shared" si="94"/>
        <v>10.883481724432254</v>
      </c>
      <c r="D2938" s="39">
        <f t="shared" si="95"/>
        <v>3.5008547008547009</v>
      </c>
    </row>
    <row r="2939" spans="2:4" ht="15" x14ac:dyDescent="0.15">
      <c r="B2939" s="38">
        <v>11708</v>
      </c>
      <c r="C2939" s="39">
        <f t="shared" si="94"/>
        <v>10.890908736118686</v>
      </c>
      <c r="D2939" s="39">
        <f t="shared" si="95"/>
        <v>3.5038494439692043</v>
      </c>
    </row>
    <row r="2940" spans="2:4" ht="15" x14ac:dyDescent="0.15">
      <c r="B2940" s="38">
        <v>11712</v>
      </c>
      <c r="C2940" s="39">
        <f t="shared" si="94"/>
        <v>10.898342103827874</v>
      </c>
      <c r="D2940" s="39">
        <f t="shared" si="95"/>
        <v>3.506849315068493</v>
      </c>
    </row>
    <row r="2941" spans="2:4" ht="15" x14ac:dyDescent="0.15">
      <c r="B2941" s="38">
        <v>11716</v>
      </c>
      <c r="C2941" s="39">
        <f t="shared" si="94"/>
        <v>10.905781838448084</v>
      </c>
      <c r="D2941" s="39">
        <f t="shared" si="95"/>
        <v>3.5098543273350473</v>
      </c>
    </row>
    <row r="2942" spans="2:4" ht="15" x14ac:dyDescent="0.15">
      <c r="B2942" s="38">
        <v>11720</v>
      </c>
      <c r="C2942" s="39">
        <f t="shared" si="94"/>
        <v>10.913227950895582</v>
      </c>
      <c r="D2942" s="39">
        <f t="shared" si="95"/>
        <v>3.5128644939965694</v>
      </c>
    </row>
    <row r="2943" spans="2:4" ht="15" x14ac:dyDescent="0.15">
      <c r="B2943" s="38">
        <v>11724</v>
      </c>
      <c r="C2943" s="39">
        <f t="shared" si="94"/>
        <v>10.92068045211473</v>
      </c>
      <c r="D2943" s="39">
        <f t="shared" si="95"/>
        <v>3.5158798283261801</v>
      </c>
    </row>
    <row r="2944" spans="2:4" ht="15" x14ac:dyDescent="0.15">
      <c r="B2944" s="38">
        <v>11728</v>
      </c>
      <c r="C2944" s="39">
        <f t="shared" si="94"/>
        <v>10.928139353078093</v>
      </c>
      <c r="D2944" s="39">
        <f t="shared" si="95"/>
        <v>3.5189003436426116</v>
      </c>
    </row>
    <row r="2945" spans="2:4" ht="15" x14ac:dyDescent="0.15">
      <c r="B2945" s="38">
        <v>11732</v>
      </c>
      <c r="C2945" s="39">
        <f t="shared" si="94"/>
        <v>10.935604664786517</v>
      </c>
      <c r="D2945" s="39">
        <f t="shared" si="95"/>
        <v>3.5219260533104042</v>
      </c>
    </row>
    <row r="2946" spans="2:4" ht="15" x14ac:dyDescent="0.15">
      <c r="B2946" s="38">
        <v>11736</v>
      </c>
      <c r="C2946" s="39">
        <f t="shared" si="94"/>
        <v>10.943076398269248</v>
      </c>
      <c r="D2946" s="39">
        <f t="shared" si="95"/>
        <v>3.5249569707401034</v>
      </c>
    </row>
    <row r="2947" spans="2:4" ht="15" x14ac:dyDescent="0.15">
      <c r="B2947" s="38">
        <v>11740</v>
      </c>
      <c r="C2947" s="39">
        <f t="shared" si="94"/>
        <v>10.95055456458401</v>
      </c>
      <c r="D2947" s="39">
        <f t="shared" si="95"/>
        <v>3.5279931093884582</v>
      </c>
    </row>
    <row r="2948" spans="2:4" ht="15" x14ac:dyDescent="0.15">
      <c r="B2948" s="38">
        <v>11744</v>
      </c>
      <c r="C2948" s="39">
        <f t="shared" si="94"/>
        <v>10.958039174817118</v>
      </c>
      <c r="D2948" s="39">
        <f t="shared" si="95"/>
        <v>3.5310344827586206</v>
      </c>
    </row>
    <row r="2949" spans="2:4" ht="15" x14ac:dyDescent="0.15">
      <c r="B2949" s="38">
        <v>11748</v>
      </c>
      <c r="C2949" s="39">
        <f t="shared" si="94"/>
        <v>10.965530240083567</v>
      </c>
      <c r="D2949" s="39">
        <f t="shared" si="95"/>
        <v>3.5340811044003453</v>
      </c>
    </row>
    <row r="2950" spans="2:4" ht="15" x14ac:dyDescent="0.15">
      <c r="B2950" s="38">
        <v>11752</v>
      </c>
      <c r="C2950" s="39">
        <f t="shared" ref="C2950:C3013" si="96">20*LOG(D2950)</f>
        <v>10.973027771527139</v>
      </c>
      <c r="D2950" s="39">
        <f t="shared" ref="D2950:D3013" si="97">16384/(16384-B2950)</f>
        <v>3.5371329879101898</v>
      </c>
    </row>
    <row r="2951" spans="2:4" ht="15" x14ac:dyDescent="0.15">
      <c r="B2951" s="38">
        <v>11756</v>
      </c>
      <c r="C2951" s="39">
        <f t="shared" si="96"/>
        <v>10.980531780320495</v>
      </c>
      <c r="D2951" s="39">
        <f t="shared" si="97"/>
        <v>3.5401901469317201</v>
      </c>
    </row>
    <row r="2952" spans="2:4" ht="15" x14ac:dyDescent="0.15">
      <c r="B2952" s="38">
        <v>11760</v>
      </c>
      <c r="C2952" s="39">
        <f t="shared" si="96"/>
        <v>10.988042277665283</v>
      </c>
      <c r="D2952" s="39">
        <f t="shared" si="97"/>
        <v>3.5432525951557095</v>
      </c>
    </row>
    <row r="2953" spans="2:4" ht="15" x14ac:dyDescent="0.15">
      <c r="B2953" s="38">
        <v>11764</v>
      </c>
      <c r="C2953" s="39">
        <f t="shared" si="96"/>
        <v>10.995559274792225</v>
      </c>
      <c r="D2953" s="39">
        <f t="shared" si="97"/>
        <v>3.5463203463203463</v>
      </c>
    </row>
    <row r="2954" spans="2:4" ht="15" x14ac:dyDescent="0.15">
      <c r="B2954" s="38">
        <v>11768</v>
      </c>
      <c r="C2954" s="39">
        <f t="shared" si="96"/>
        <v>11.003082782961233</v>
      </c>
      <c r="D2954" s="39">
        <f t="shared" si="97"/>
        <v>3.5493934142114383</v>
      </c>
    </row>
    <row r="2955" spans="2:4" ht="15" x14ac:dyDescent="0.15">
      <c r="B2955" s="38">
        <v>11772</v>
      </c>
      <c r="C2955" s="39">
        <f t="shared" si="96"/>
        <v>11.010612813461506</v>
      </c>
      <c r="D2955" s="39">
        <f t="shared" si="97"/>
        <v>3.5524718126626191</v>
      </c>
    </row>
    <row r="2956" spans="2:4" ht="15" x14ac:dyDescent="0.15">
      <c r="B2956" s="38">
        <v>11776</v>
      </c>
      <c r="C2956" s="39">
        <f t="shared" si="96"/>
        <v>11.018149377611621</v>
      </c>
      <c r="D2956" s="39">
        <f t="shared" si="97"/>
        <v>3.5555555555555554</v>
      </c>
    </row>
    <row r="2957" spans="2:4" ht="15" x14ac:dyDescent="0.15">
      <c r="B2957" s="38">
        <v>11780</v>
      </c>
      <c r="C2957" s="39">
        <f t="shared" si="96"/>
        <v>11.025692486759651</v>
      </c>
      <c r="D2957" s="39">
        <f t="shared" si="97"/>
        <v>3.5586446568201562</v>
      </c>
    </row>
    <row r="2958" spans="2:4" ht="15" x14ac:dyDescent="0.15">
      <c r="B2958" s="38">
        <v>11784</v>
      </c>
      <c r="C2958" s="39">
        <f t="shared" si="96"/>
        <v>11.033242152283254</v>
      </c>
      <c r="D2958" s="39">
        <f t="shared" si="97"/>
        <v>3.5617391304347827</v>
      </c>
    </row>
    <row r="2959" spans="2:4" ht="15" x14ac:dyDescent="0.15">
      <c r="B2959" s="38">
        <v>11788</v>
      </c>
      <c r="C2959" s="39">
        <f t="shared" si="96"/>
        <v>11.040798385589783</v>
      </c>
      <c r="D2959" s="39">
        <f t="shared" si="97"/>
        <v>3.5648389904264577</v>
      </c>
    </row>
    <row r="2960" spans="2:4" ht="15" x14ac:dyDescent="0.15">
      <c r="B2960" s="38">
        <v>11792</v>
      </c>
      <c r="C2960" s="39">
        <f t="shared" si="96"/>
        <v>11.048361198116393</v>
      </c>
      <c r="D2960" s="39">
        <f t="shared" si="97"/>
        <v>3.5679442508710801</v>
      </c>
    </row>
    <row r="2961" spans="2:4" ht="15" x14ac:dyDescent="0.15">
      <c r="B2961" s="38">
        <v>11796</v>
      </c>
      <c r="C2961" s="39">
        <f t="shared" si="96"/>
        <v>11.055930601330132</v>
      </c>
      <c r="D2961" s="39">
        <f t="shared" si="97"/>
        <v>3.5710549258936357</v>
      </c>
    </row>
    <row r="2962" spans="2:4" ht="15" x14ac:dyDescent="0.15">
      <c r="B2962" s="38">
        <v>11800</v>
      </c>
      <c r="C2962" s="39">
        <f t="shared" si="96"/>
        <v>11.063506606728064</v>
      </c>
      <c r="D2962" s="39">
        <f t="shared" si="97"/>
        <v>3.5741710296684119</v>
      </c>
    </row>
    <row r="2963" spans="2:4" ht="15" x14ac:dyDescent="0.15">
      <c r="B2963" s="38">
        <v>11804</v>
      </c>
      <c r="C2963" s="39">
        <f t="shared" si="96"/>
        <v>11.071089225837351</v>
      </c>
      <c r="D2963" s="39">
        <f t="shared" si="97"/>
        <v>3.5772925764192141</v>
      </c>
    </row>
    <row r="2964" spans="2:4" ht="15" x14ac:dyDescent="0.15">
      <c r="B2964" s="38">
        <v>11808</v>
      </c>
      <c r="C2964" s="39">
        <f t="shared" si="96"/>
        <v>11.07867847021538</v>
      </c>
      <c r="D2964" s="39">
        <f t="shared" si="97"/>
        <v>3.5804195804195804</v>
      </c>
    </row>
    <row r="2965" spans="2:4" ht="15" x14ac:dyDescent="0.15">
      <c r="B2965" s="38">
        <v>11812</v>
      </c>
      <c r="C2965" s="39">
        <f t="shared" si="96"/>
        <v>11.086274351449852</v>
      </c>
      <c r="D2965" s="39">
        <f t="shared" si="97"/>
        <v>3.583552055993001</v>
      </c>
    </row>
    <row r="2966" spans="2:4" ht="15" x14ac:dyDescent="0.15">
      <c r="B2966" s="38">
        <v>11816</v>
      </c>
      <c r="C2966" s="39">
        <f t="shared" si="96"/>
        <v>11.093876881158902</v>
      </c>
      <c r="D2966" s="39">
        <f t="shared" si="97"/>
        <v>3.5866900175131349</v>
      </c>
    </row>
    <row r="2967" spans="2:4" ht="15" x14ac:dyDescent="0.15">
      <c r="B2967" s="38">
        <v>11820</v>
      </c>
      <c r="C2967" s="39">
        <f t="shared" si="96"/>
        <v>11.101486070991193</v>
      </c>
      <c r="D2967" s="39">
        <f t="shared" si="97"/>
        <v>3.5898334794040316</v>
      </c>
    </row>
    <row r="2968" spans="2:4" ht="15" x14ac:dyDescent="0.15">
      <c r="B2968" s="38">
        <v>11824</v>
      </c>
      <c r="C2968" s="39">
        <f t="shared" si="96"/>
        <v>11.109101932626036</v>
      </c>
      <c r="D2968" s="39">
        <f t="shared" si="97"/>
        <v>3.5929824561403509</v>
      </c>
    </row>
    <row r="2969" spans="2:4" ht="15" x14ac:dyDescent="0.15">
      <c r="B2969" s="38">
        <v>11828</v>
      </c>
      <c r="C2969" s="39">
        <f t="shared" si="96"/>
        <v>11.116724477773479</v>
      </c>
      <c r="D2969" s="39">
        <f t="shared" si="97"/>
        <v>3.5961369622475856</v>
      </c>
    </row>
    <row r="2970" spans="2:4" ht="15" x14ac:dyDescent="0.15">
      <c r="B2970" s="38">
        <v>11832</v>
      </c>
      <c r="C2970" s="39">
        <f t="shared" si="96"/>
        <v>11.12435371817444</v>
      </c>
      <c r="D2970" s="39">
        <f t="shared" si="97"/>
        <v>3.5992970123022845</v>
      </c>
    </row>
    <row r="2971" spans="2:4" ht="15" x14ac:dyDescent="0.15">
      <c r="B2971" s="38">
        <v>11836</v>
      </c>
      <c r="C2971" s="39">
        <f t="shared" si="96"/>
        <v>11.131989665600791</v>
      </c>
      <c r="D2971" s="39">
        <f t="shared" si="97"/>
        <v>3.6024626209322781</v>
      </c>
    </row>
    <row r="2972" spans="2:4" ht="15" x14ac:dyDescent="0.15">
      <c r="B2972" s="38">
        <v>11840</v>
      </c>
      <c r="C2972" s="39">
        <f t="shared" si="96"/>
        <v>11.139632331855484</v>
      </c>
      <c r="D2972" s="39">
        <f t="shared" si="97"/>
        <v>3.6056338028169015</v>
      </c>
    </row>
    <row r="2973" spans="2:4" ht="15" x14ac:dyDescent="0.15">
      <c r="B2973" s="38">
        <v>11844</v>
      </c>
      <c r="C2973" s="39">
        <f t="shared" si="96"/>
        <v>11.147281728772658</v>
      </c>
      <c r="D2973" s="39">
        <f t="shared" si="97"/>
        <v>3.6088105726872248</v>
      </c>
    </row>
    <row r="2974" spans="2:4" ht="15" x14ac:dyDescent="0.15">
      <c r="B2974" s="38">
        <v>11848</v>
      </c>
      <c r="C2974" s="39">
        <f t="shared" si="96"/>
        <v>11.154937868217731</v>
      </c>
      <c r="D2974" s="39">
        <f t="shared" si="97"/>
        <v>3.6119929453262785</v>
      </c>
    </row>
    <row r="2975" spans="2:4" ht="15" x14ac:dyDescent="0.15">
      <c r="B2975" s="38">
        <v>11852</v>
      </c>
      <c r="C2975" s="39">
        <f t="shared" si="96"/>
        <v>11.162600762087543</v>
      </c>
      <c r="D2975" s="39">
        <f t="shared" si="97"/>
        <v>3.6151809355692852</v>
      </c>
    </row>
    <row r="2976" spans="2:4" ht="15" x14ac:dyDescent="0.15">
      <c r="B2976" s="38">
        <v>11856</v>
      </c>
      <c r="C2976" s="39">
        <f t="shared" si="96"/>
        <v>11.170270422310434</v>
      </c>
      <c r="D2976" s="39">
        <f t="shared" si="97"/>
        <v>3.6183745583038869</v>
      </c>
    </row>
    <row r="2977" spans="2:4" ht="15" x14ac:dyDescent="0.15">
      <c r="B2977" s="38">
        <v>11860</v>
      </c>
      <c r="C2977" s="39">
        <f t="shared" si="96"/>
        <v>11.177946860846379</v>
      </c>
      <c r="D2977" s="39">
        <f t="shared" si="97"/>
        <v>3.62157382847038</v>
      </c>
    </row>
    <row r="2978" spans="2:4" ht="15" x14ac:dyDescent="0.15">
      <c r="B2978" s="38">
        <v>11864</v>
      </c>
      <c r="C2978" s="39">
        <f t="shared" si="96"/>
        <v>11.185630089687093</v>
      </c>
      <c r="D2978" s="39">
        <f t="shared" si="97"/>
        <v>3.6247787610619469</v>
      </c>
    </row>
    <row r="2979" spans="2:4" ht="15" x14ac:dyDescent="0.15">
      <c r="B2979" s="38">
        <v>11868</v>
      </c>
      <c r="C2979" s="39">
        <f t="shared" si="96"/>
        <v>11.193320120856129</v>
      </c>
      <c r="D2979" s="39">
        <f t="shared" si="97"/>
        <v>3.6279893711248894</v>
      </c>
    </row>
    <row r="2980" spans="2:4" ht="15" x14ac:dyDescent="0.15">
      <c r="B2980" s="38">
        <v>11872</v>
      </c>
      <c r="C2980" s="39">
        <f t="shared" si="96"/>
        <v>11.201016966409016</v>
      </c>
      <c r="D2980" s="39">
        <f t="shared" si="97"/>
        <v>3.6312056737588652</v>
      </c>
    </row>
    <row r="2981" spans="2:4" ht="15" x14ac:dyDescent="0.15">
      <c r="B2981" s="38">
        <v>11876</v>
      </c>
      <c r="C2981" s="39">
        <f t="shared" si="96"/>
        <v>11.208720638433356</v>
      </c>
      <c r="D2981" s="39">
        <f t="shared" si="97"/>
        <v>3.6344276841171252</v>
      </c>
    </row>
    <row r="2982" spans="2:4" ht="15" x14ac:dyDescent="0.15">
      <c r="B2982" s="38">
        <v>11880</v>
      </c>
      <c r="C2982" s="39">
        <f t="shared" si="96"/>
        <v>11.216431149048937</v>
      </c>
      <c r="D2982" s="39">
        <f t="shared" si="97"/>
        <v>3.6376554174067497</v>
      </c>
    </row>
    <row r="2983" spans="2:4" ht="15" x14ac:dyDescent="0.15">
      <c r="B2983" s="38">
        <v>11884</v>
      </c>
      <c r="C2983" s="39">
        <f t="shared" si="96"/>
        <v>11.224148510407861</v>
      </c>
      <c r="D2983" s="39">
        <f t="shared" si="97"/>
        <v>3.6408888888888891</v>
      </c>
    </row>
    <row r="2984" spans="2:4" ht="15" x14ac:dyDescent="0.15">
      <c r="B2984" s="38">
        <v>11888</v>
      </c>
      <c r="C2984" s="39">
        <f t="shared" si="96"/>
        <v>11.23187273469464</v>
      </c>
      <c r="D2984" s="39">
        <f t="shared" si="97"/>
        <v>3.6441281138790034</v>
      </c>
    </row>
    <row r="2985" spans="2:4" ht="15" x14ac:dyDescent="0.15">
      <c r="B2985" s="38">
        <v>11892</v>
      </c>
      <c r="C2985" s="39">
        <f t="shared" si="96"/>
        <v>11.239603834126331</v>
      </c>
      <c r="D2985" s="39">
        <f t="shared" si="97"/>
        <v>3.6473731077471059</v>
      </c>
    </row>
    <row r="2986" spans="2:4" ht="15" x14ac:dyDescent="0.15">
      <c r="B2986" s="38">
        <v>11896</v>
      </c>
      <c r="C2986" s="39">
        <f t="shared" si="96"/>
        <v>11.247341820952634</v>
      </c>
      <c r="D2986" s="39">
        <f t="shared" si="97"/>
        <v>3.6506238859180034</v>
      </c>
    </row>
    <row r="2987" spans="2:4" ht="15" x14ac:dyDescent="0.15">
      <c r="B2987" s="38">
        <v>11900</v>
      </c>
      <c r="C2987" s="39">
        <f t="shared" si="96"/>
        <v>11.255086707456023</v>
      </c>
      <c r="D2987" s="39">
        <f t="shared" si="97"/>
        <v>3.6538804638715434</v>
      </c>
    </row>
    <row r="2988" spans="2:4" ht="15" x14ac:dyDescent="0.15">
      <c r="B2988" s="38">
        <v>11904</v>
      </c>
      <c r="C2988" s="39">
        <f t="shared" si="96"/>
        <v>11.262838505951855</v>
      </c>
      <c r="D2988" s="39">
        <f t="shared" si="97"/>
        <v>3.657142857142857</v>
      </c>
    </row>
    <row r="2989" spans="2:4" ht="15" x14ac:dyDescent="0.15">
      <c r="B2989" s="38">
        <v>11908</v>
      </c>
      <c r="C2989" s="39">
        <f t="shared" si="96"/>
        <v>11.270597228788485</v>
      </c>
      <c r="D2989" s="39">
        <f t="shared" si="97"/>
        <v>3.6604110813226094</v>
      </c>
    </row>
    <row r="2990" spans="2:4" ht="15" x14ac:dyDescent="0.15">
      <c r="B2990" s="38">
        <v>11912</v>
      </c>
      <c r="C2990" s="39">
        <f t="shared" si="96"/>
        <v>11.278362888347397</v>
      </c>
      <c r="D2990" s="39">
        <f t="shared" si="97"/>
        <v>3.6636851520572451</v>
      </c>
    </row>
    <row r="2991" spans="2:4" ht="15" x14ac:dyDescent="0.15">
      <c r="B2991" s="38">
        <v>11916</v>
      </c>
      <c r="C2991" s="39">
        <f t="shared" si="96"/>
        <v>11.286135497043306</v>
      </c>
      <c r="D2991" s="39">
        <f t="shared" si="97"/>
        <v>3.666965085049239</v>
      </c>
    </row>
    <row r="2992" spans="2:4" ht="15" x14ac:dyDescent="0.15">
      <c r="B2992" s="38">
        <v>11920</v>
      </c>
      <c r="C2992" s="39">
        <f t="shared" si="96"/>
        <v>11.293915067324287</v>
      </c>
      <c r="D2992" s="39">
        <f t="shared" si="97"/>
        <v>3.6702508960573477</v>
      </c>
    </row>
    <row r="2993" spans="2:4" ht="15" x14ac:dyDescent="0.15">
      <c r="B2993" s="38">
        <v>11924</v>
      </c>
      <c r="C2993" s="39">
        <f t="shared" si="96"/>
        <v>11.301701611671897</v>
      </c>
      <c r="D2993" s="39">
        <f t="shared" si="97"/>
        <v>3.673542600896861</v>
      </c>
    </row>
    <row r="2994" spans="2:4" ht="15" x14ac:dyDescent="0.15">
      <c r="B2994" s="38">
        <v>11928</v>
      </c>
      <c r="C2994" s="39">
        <f t="shared" si="96"/>
        <v>11.309495142601286</v>
      </c>
      <c r="D2994" s="39">
        <f t="shared" si="97"/>
        <v>3.6768402154398565</v>
      </c>
    </row>
    <row r="2995" spans="2:4" ht="15" x14ac:dyDescent="0.15">
      <c r="B2995" s="38">
        <v>11932</v>
      </c>
      <c r="C2995" s="39">
        <f t="shared" si="96"/>
        <v>11.31729567266132</v>
      </c>
      <c r="D2995" s="39">
        <f t="shared" si="97"/>
        <v>3.6801437556154539</v>
      </c>
    </row>
    <row r="2996" spans="2:4" ht="15" x14ac:dyDescent="0.15">
      <c r="B2996" s="38">
        <v>11936</v>
      </c>
      <c r="C2996" s="39">
        <f t="shared" si="96"/>
        <v>11.325103214434712</v>
      </c>
      <c r="D2996" s="39">
        <f t="shared" si="97"/>
        <v>3.6834532374100721</v>
      </c>
    </row>
    <row r="2997" spans="2:4" ht="15" x14ac:dyDescent="0.15">
      <c r="B2997" s="38">
        <v>11940</v>
      </c>
      <c r="C2997" s="39">
        <f t="shared" si="96"/>
        <v>11.332917780538134</v>
      </c>
      <c r="D2997" s="39">
        <f t="shared" si="97"/>
        <v>3.6867686768676866</v>
      </c>
    </row>
    <row r="2998" spans="2:4" ht="15" x14ac:dyDescent="0.15">
      <c r="B2998" s="38">
        <v>11944</v>
      </c>
      <c r="C2998" s="39">
        <f t="shared" si="96"/>
        <v>11.340739383622338</v>
      </c>
      <c r="D2998" s="39">
        <f t="shared" si="97"/>
        <v>3.6900900900900901</v>
      </c>
    </row>
    <row r="2999" spans="2:4" ht="15" x14ac:dyDescent="0.15">
      <c r="B2999" s="38">
        <v>11948</v>
      </c>
      <c r="C2999" s="39">
        <f t="shared" si="96"/>
        <v>11.348568036372285</v>
      </c>
      <c r="D2999" s="39">
        <f t="shared" si="97"/>
        <v>3.6934174932371504</v>
      </c>
    </row>
    <row r="3000" spans="2:4" ht="15" x14ac:dyDescent="0.15">
      <c r="B3000" s="38">
        <v>11952</v>
      </c>
      <c r="C3000" s="39">
        <f t="shared" si="96"/>
        <v>11.356403751507269</v>
      </c>
      <c r="D3000" s="39">
        <f t="shared" si="97"/>
        <v>3.6967509025270759</v>
      </c>
    </row>
    <row r="3001" spans="2:4" ht="15" x14ac:dyDescent="0.15">
      <c r="B3001" s="38">
        <v>11956</v>
      </c>
      <c r="C3001" s="39">
        <f t="shared" si="96"/>
        <v>11.364246541781032</v>
      </c>
      <c r="D3001" s="39">
        <f t="shared" si="97"/>
        <v>3.7000903342366755</v>
      </c>
    </row>
    <row r="3002" spans="2:4" ht="15" x14ac:dyDescent="0.15">
      <c r="B3002" s="38">
        <v>11960</v>
      </c>
      <c r="C3002" s="39">
        <f t="shared" si="96"/>
        <v>11.372096419981899</v>
      </c>
      <c r="D3002" s="39">
        <f t="shared" si="97"/>
        <v>3.7034358047016274</v>
      </c>
    </row>
    <row r="3003" spans="2:4" ht="15" x14ac:dyDescent="0.15">
      <c r="B3003" s="38">
        <v>11964</v>
      </c>
      <c r="C3003" s="39">
        <f t="shared" si="96"/>
        <v>11.379953398932898</v>
      </c>
      <c r="D3003" s="39">
        <f t="shared" si="97"/>
        <v>3.7067873303167422</v>
      </c>
    </row>
    <row r="3004" spans="2:4" ht="15" x14ac:dyDescent="0.15">
      <c r="B3004" s="38">
        <v>11968</v>
      </c>
      <c r="C3004" s="39">
        <f t="shared" si="96"/>
        <v>11.387817491491885</v>
      </c>
      <c r="D3004" s="39">
        <f t="shared" si="97"/>
        <v>3.7101449275362319</v>
      </c>
    </row>
    <row r="3005" spans="2:4" ht="15" x14ac:dyDescent="0.15">
      <c r="B3005" s="38">
        <v>11972</v>
      </c>
      <c r="C3005" s="39">
        <f t="shared" si="96"/>
        <v>11.395688710551674</v>
      </c>
      <c r="D3005" s="39">
        <f t="shared" si="97"/>
        <v>3.71350861287398</v>
      </c>
    </row>
    <row r="3006" spans="2:4" ht="15" x14ac:dyDescent="0.15">
      <c r="B3006" s="38">
        <v>11976</v>
      </c>
      <c r="C3006" s="39">
        <f t="shared" si="96"/>
        <v>11.403567069040161</v>
      </c>
      <c r="D3006" s="39">
        <f t="shared" si="97"/>
        <v>3.7168784029038111</v>
      </c>
    </row>
    <row r="3007" spans="2:4" ht="15" x14ac:dyDescent="0.15">
      <c r="B3007" s="38">
        <v>11980</v>
      </c>
      <c r="C3007" s="39">
        <f t="shared" si="96"/>
        <v>11.411452579920452</v>
      </c>
      <c r="D3007" s="39">
        <f t="shared" si="97"/>
        <v>3.7202543142597637</v>
      </c>
    </row>
    <row r="3008" spans="2:4" ht="15" x14ac:dyDescent="0.15">
      <c r="B3008" s="38">
        <v>11984</v>
      </c>
      <c r="C3008" s="39">
        <f t="shared" si="96"/>
        <v>11.419345256190987</v>
      </c>
      <c r="D3008" s="39">
        <f t="shared" si="97"/>
        <v>3.7236363636363636</v>
      </c>
    </row>
    <row r="3009" spans="2:4" ht="15" x14ac:dyDescent="0.15">
      <c r="B3009" s="38">
        <v>11988</v>
      </c>
      <c r="C3009" s="39">
        <f t="shared" si="96"/>
        <v>11.427245110885675</v>
      </c>
      <c r="D3009" s="39">
        <f t="shared" si="97"/>
        <v>3.7270245677888991</v>
      </c>
    </row>
    <row r="3010" spans="2:4" ht="15" x14ac:dyDescent="0.15">
      <c r="B3010" s="38">
        <v>11992</v>
      </c>
      <c r="C3010" s="39">
        <f t="shared" si="96"/>
        <v>11.435152157074025</v>
      </c>
      <c r="D3010" s="39">
        <f t="shared" si="97"/>
        <v>3.7304189435336976</v>
      </c>
    </row>
    <row r="3011" spans="2:4" ht="15" x14ac:dyDescent="0.15">
      <c r="B3011" s="38">
        <v>11996</v>
      </c>
      <c r="C3011" s="39">
        <f t="shared" si="96"/>
        <v>11.443066407861265</v>
      </c>
      <c r="D3011" s="39">
        <f t="shared" si="97"/>
        <v>3.7338195077484047</v>
      </c>
    </row>
    <row r="3012" spans="2:4" ht="15" x14ac:dyDescent="0.15">
      <c r="B3012" s="38">
        <v>12000</v>
      </c>
      <c r="C3012" s="39">
        <f t="shared" si="96"/>
        <v>11.450987876388478</v>
      </c>
      <c r="D3012" s="39">
        <f t="shared" si="97"/>
        <v>3.7372262773722627</v>
      </c>
    </row>
    <row r="3013" spans="2:4" ht="15" x14ac:dyDescent="0.15">
      <c r="B3013" s="38">
        <v>12004</v>
      </c>
      <c r="C3013" s="39">
        <f t="shared" si="96"/>
        <v>11.458916575832742</v>
      </c>
      <c r="D3013" s="39">
        <f t="shared" si="97"/>
        <v>3.7406392694063926</v>
      </c>
    </row>
    <row r="3014" spans="2:4" ht="15" x14ac:dyDescent="0.15">
      <c r="B3014" s="38">
        <v>12008</v>
      </c>
      <c r="C3014" s="39">
        <f t="shared" ref="C3014:C3077" si="98">20*LOG(D3014)</f>
        <v>11.466852519407247</v>
      </c>
      <c r="D3014" s="39">
        <f t="shared" ref="D3014:D3077" si="99">16384/(16384-B3014)</f>
        <v>3.7440585009140768</v>
      </c>
    </row>
    <row r="3015" spans="2:4" ht="15" x14ac:dyDescent="0.15">
      <c r="B3015" s="38">
        <v>12012</v>
      </c>
      <c r="C3015" s="39">
        <f t="shared" si="98"/>
        <v>11.474795720361431</v>
      </c>
      <c r="D3015" s="39">
        <f t="shared" si="99"/>
        <v>3.7474839890210432</v>
      </c>
    </row>
    <row r="3016" spans="2:4" ht="15" x14ac:dyDescent="0.15">
      <c r="B3016" s="38">
        <v>12016</v>
      </c>
      <c r="C3016" s="39">
        <f t="shared" si="98"/>
        <v>11.48274619198112</v>
      </c>
      <c r="D3016" s="39">
        <f t="shared" si="99"/>
        <v>3.7509157509157509</v>
      </c>
    </row>
    <row r="3017" spans="2:4" ht="15" x14ac:dyDescent="0.15">
      <c r="B3017" s="38">
        <v>12020</v>
      </c>
      <c r="C3017" s="39">
        <f t="shared" si="98"/>
        <v>11.490703947588649</v>
      </c>
      <c r="D3017" s="39">
        <f t="shared" si="99"/>
        <v>3.7543538038496793</v>
      </c>
    </row>
    <row r="3018" spans="2:4" ht="15" x14ac:dyDescent="0.15">
      <c r="B3018" s="38">
        <v>12024</v>
      </c>
      <c r="C3018" s="39">
        <f t="shared" si="98"/>
        <v>11.498669000543014</v>
      </c>
      <c r="D3018" s="39">
        <f t="shared" si="99"/>
        <v>3.7577981651376149</v>
      </c>
    </row>
    <row r="3019" spans="2:4" ht="15" x14ac:dyDescent="0.15">
      <c r="B3019" s="38">
        <v>12028</v>
      </c>
      <c r="C3019" s="39">
        <f t="shared" si="98"/>
        <v>11.506641364239986</v>
      </c>
      <c r="D3019" s="39">
        <f t="shared" si="99"/>
        <v>3.761248852157943</v>
      </c>
    </row>
    <row r="3020" spans="2:4" ht="15" x14ac:dyDescent="0.15">
      <c r="B3020" s="38">
        <v>12032</v>
      </c>
      <c r="C3020" s="39">
        <f t="shared" si="98"/>
        <v>11.514621052112265</v>
      </c>
      <c r="D3020" s="39">
        <f t="shared" si="99"/>
        <v>3.7647058823529411</v>
      </c>
    </row>
    <row r="3021" spans="2:4" ht="15" x14ac:dyDescent="0.15">
      <c r="B3021" s="38">
        <v>12036</v>
      </c>
      <c r="C3021" s="39">
        <f t="shared" si="98"/>
        <v>11.522608077629597</v>
      </c>
      <c r="D3021" s="39">
        <f t="shared" si="99"/>
        <v>3.7681692732290708</v>
      </c>
    </row>
    <row r="3022" spans="2:4" ht="15" x14ac:dyDescent="0.15">
      <c r="B3022" s="38">
        <v>12040</v>
      </c>
      <c r="C3022" s="39">
        <f t="shared" si="98"/>
        <v>11.530602454298924</v>
      </c>
      <c r="D3022" s="39">
        <f t="shared" si="99"/>
        <v>3.7716390423572745</v>
      </c>
    </row>
    <row r="3023" spans="2:4" ht="15" x14ac:dyDescent="0.15">
      <c r="B3023" s="38">
        <v>12044</v>
      </c>
      <c r="C3023" s="39">
        <f t="shared" si="98"/>
        <v>11.538604195664522</v>
      </c>
      <c r="D3023" s="39">
        <f t="shared" si="99"/>
        <v>3.7751152073732719</v>
      </c>
    </row>
    <row r="3024" spans="2:4" ht="15" x14ac:dyDescent="0.15">
      <c r="B3024" s="38">
        <v>12048</v>
      </c>
      <c r="C3024" s="39">
        <f t="shared" si="98"/>
        <v>11.546613315308125</v>
      </c>
      <c r="D3024" s="39">
        <f t="shared" si="99"/>
        <v>3.7785977859778597</v>
      </c>
    </row>
    <row r="3025" spans="2:4" ht="15" x14ac:dyDescent="0.15">
      <c r="B3025" s="38">
        <v>12052</v>
      </c>
      <c r="C3025" s="39">
        <f t="shared" si="98"/>
        <v>11.554629826849078</v>
      </c>
      <c r="D3025" s="39">
        <f t="shared" si="99"/>
        <v>3.7820867959372113</v>
      </c>
    </row>
    <row r="3026" spans="2:4" ht="15" x14ac:dyDescent="0.15">
      <c r="B3026" s="38">
        <v>12056</v>
      </c>
      <c r="C3026" s="39">
        <f t="shared" si="98"/>
        <v>11.562653743944473</v>
      </c>
      <c r="D3026" s="39">
        <f t="shared" si="99"/>
        <v>3.7855822550831792</v>
      </c>
    </row>
    <row r="3027" spans="2:4" ht="15" x14ac:dyDescent="0.15">
      <c r="B3027" s="38">
        <v>12060</v>
      </c>
      <c r="C3027" s="39">
        <f t="shared" si="98"/>
        <v>11.57068508028928</v>
      </c>
      <c r="D3027" s="39">
        <f t="shared" si="99"/>
        <v>3.7890841813135987</v>
      </c>
    </row>
    <row r="3028" spans="2:4" ht="15" x14ac:dyDescent="0.15">
      <c r="B3028" s="38">
        <v>12064</v>
      </c>
      <c r="C3028" s="39">
        <f t="shared" si="98"/>
        <v>11.578723849616493</v>
      </c>
      <c r="D3028" s="39">
        <f t="shared" si="99"/>
        <v>3.7925925925925927</v>
      </c>
    </row>
    <row r="3029" spans="2:4" ht="15" x14ac:dyDescent="0.15">
      <c r="B3029" s="38">
        <v>12068</v>
      </c>
      <c r="C3029" s="39">
        <f t="shared" si="98"/>
        <v>11.586770065697273</v>
      </c>
      <c r="D3029" s="39">
        <f t="shared" si="99"/>
        <v>3.7961075069508805</v>
      </c>
    </row>
    <row r="3030" spans="2:4" ht="15" x14ac:dyDescent="0.15">
      <c r="B3030" s="38">
        <v>12072</v>
      </c>
      <c r="C3030" s="39">
        <f t="shared" si="98"/>
        <v>11.59482374234109</v>
      </c>
      <c r="D3030" s="39">
        <f t="shared" si="99"/>
        <v>3.7996289424860854</v>
      </c>
    </row>
    <row r="3031" spans="2:4" ht="15" x14ac:dyDescent="0.15">
      <c r="B3031" s="38">
        <v>12076</v>
      </c>
      <c r="C3031" s="39">
        <f t="shared" si="98"/>
        <v>11.602884893395855</v>
      </c>
      <c r="D3031" s="39">
        <f t="shared" si="99"/>
        <v>3.8031569173630455</v>
      </c>
    </row>
    <row r="3032" spans="2:4" ht="15" x14ac:dyDescent="0.15">
      <c r="B3032" s="38">
        <v>12080</v>
      </c>
      <c r="C3032" s="39">
        <f t="shared" si="98"/>
        <v>11.610953532748079</v>
      </c>
      <c r="D3032" s="39">
        <f t="shared" si="99"/>
        <v>3.8066914498141262</v>
      </c>
    </row>
    <row r="3033" spans="2:4" ht="15" x14ac:dyDescent="0.15">
      <c r="B3033" s="38">
        <v>12084</v>
      </c>
      <c r="C3033" s="39">
        <f t="shared" si="98"/>
        <v>11.619029674323006</v>
      </c>
      <c r="D3033" s="39">
        <f t="shared" si="99"/>
        <v>3.8102325581395351</v>
      </c>
    </row>
    <row r="3034" spans="2:4" ht="15" x14ac:dyDescent="0.15">
      <c r="B3034" s="38">
        <v>12088</v>
      </c>
      <c r="C3034" s="39">
        <f t="shared" si="98"/>
        <v>11.62711333208475</v>
      </c>
      <c r="D3034" s="39">
        <f t="shared" si="99"/>
        <v>3.813780260707635</v>
      </c>
    </row>
    <row r="3035" spans="2:4" ht="15" x14ac:dyDescent="0.15">
      <c r="B3035" s="38">
        <v>12092</v>
      </c>
      <c r="C3035" s="39">
        <f t="shared" si="98"/>
        <v>11.635204520036464</v>
      </c>
      <c r="D3035" s="39">
        <f t="shared" si="99"/>
        <v>3.8173345759552655</v>
      </c>
    </row>
    <row r="3036" spans="2:4" ht="15" x14ac:dyDescent="0.15">
      <c r="B3036" s="38">
        <v>12096</v>
      </c>
      <c r="C3036" s="39">
        <f t="shared" si="98"/>
        <v>11.643303252220463</v>
      </c>
      <c r="D3036" s="39">
        <f t="shared" si="99"/>
        <v>3.8208955223880596</v>
      </c>
    </row>
    <row r="3037" spans="2:4" ht="15" x14ac:dyDescent="0.15">
      <c r="B3037" s="38">
        <v>12100</v>
      </c>
      <c r="C3037" s="39">
        <f t="shared" si="98"/>
        <v>11.651409542718374</v>
      </c>
      <c r="D3037" s="39">
        <f t="shared" si="99"/>
        <v>3.8244631185807658</v>
      </c>
    </row>
    <row r="3038" spans="2:4" ht="15" x14ac:dyDescent="0.15">
      <c r="B3038" s="38">
        <v>12104</v>
      </c>
      <c r="C3038" s="39">
        <f t="shared" si="98"/>
        <v>11.659523405651296</v>
      </c>
      <c r="D3038" s="39">
        <f t="shared" si="99"/>
        <v>3.8280373831775703</v>
      </c>
    </row>
    <row r="3039" spans="2:4" ht="15" x14ac:dyDescent="0.15">
      <c r="B3039" s="38">
        <v>12108</v>
      </c>
      <c r="C3039" s="39">
        <f t="shared" si="98"/>
        <v>11.667644855179926</v>
      </c>
      <c r="D3039" s="39">
        <f t="shared" si="99"/>
        <v>3.8316183348924229</v>
      </c>
    </row>
    <row r="3040" spans="2:4" ht="15" x14ac:dyDescent="0.15">
      <c r="B3040" s="38">
        <v>12112</v>
      </c>
      <c r="C3040" s="39">
        <f t="shared" si="98"/>
        <v>11.675773905504734</v>
      </c>
      <c r="D3040" s="39">
        <f t="shared" si="99"/>
        <v>3.8352059925093633</v>
      </c>
    </row>
    <row r="3041" spans="2:4" ht="15" x14ac:dyDescent="0.15">
      <c r="B3041" s="38">
        <v>12116</v>
      </c>
      <c r="C3041" s="39">
        <f t="shared" si="98"/>
        <v>11.68391057086609</v>
      </c>
      <c r="D3041" s="39">
        <f t="shared" si="99"/>
        <v>3.8388003748828492</v>
      </c>
    </row>
    <row r="3042" spans="2:4" ht="15" x14ac:dyDescent="0.15">
      <c r="B3042" s="38">
        <v>12120</v>
      </c>
      <c r="C3042" s="39">
        <f t="shared" si="98"/>
        <v>11.692054865544417</v>
      </c>
      <c r="D3042" s="39">
        <f t="shared" si="99"/>
        <v>3.8424015009380863</v>
      </c>
    </row>
    <row r="3043" spans="2:4" ht="15" x14ac:dyDescent="0.15">
      <c r="B3043" s="38">
        <v>12124</v>
      </c>
      <c r="C3043" s="39">
        <f t="shared" si="98"/>
        <v>11.700206803860356</v>
      </c>
      <c r="D3043" s="39">
        <f t="shared" si="99"/>
        <v>3.8460093896713614</v>
      </c>
    </row>
    <row r="3044" spans="2:4" ht="15" x14ac:dyDescent="0.15">
      <c r="B3044" s="38">
        <v>12128</v>
      </c>
      <c r="C3044" s="39">
        <f t="shared" si="98"/>
        <v>11.708366400174899</v>
      </c>
      <c r="D3044" s="39">
        <f t="shared" si="99"/>
        <v>3.8496240601503757</v>
      </c>
    </row>
    <row r="3045" spans="2:4" ht="15" x14ac:dyDescent="0.15">
      <c r="B3045" s="38">
        <v>12132</v>
      </c>
      <c r="C3045" s="39">
        <f t="shared" si="98"/>
        <v>11.716533668889554</v>
      </c>
      <c r="D3045" s="39">
        <f t="shared" si="99"/>
        <v>3.8532455315145815</v>
      </c>
    </row>
    <row r="3046" spans="2:4" ht="15" x14ac:dyDescent="0.15">
      <c r="B3046" s="38">
        <v>12136</v>
      </c>
      <c r="C3046" s="39">
        <f t="shared" si="98"/>
        <v>11.72470862444648</v>
      </c>
      <c r="D3046" s="39">
        <f t="shared" si="99"/>
        <v>3.8568738229755177</v>
      </c>
    </row>
    <row r="3047" spans="2:4" ht="15" x14ac:dyDescent="0.15">
      <c r="B3047" s="38">
        <v>12140</v>
      </c>
      <c r="C3047" s="39">
        <f t="shared" si="98"/>
        <v>11.732891281328673</v>
      </c>
      <c r="D3047" s="39">
        <f t="shared" si="99"/>
        <v>3.8605089538171535</v>
      </c>
    </row>
    <row r="3048" spans="2:4" ht="15" x14ac:dyDescent="0.15">
      <c r="B3048" s="38">
        <v>12144</v>
      </c>
      <c r="C3048" s="39">
        <f t="shared" si="98"/>
        <v>11.741081654060082</v>
      </c>
      <c r="D3048" s="39">
        <f t="shared" si="99"/>
        <v>3.8641509433962264</v>
      </c>
    </row>
    <row r="3049" spans="2:4" ht="15" x14ac:dyDescent="0.15">
      <c r="B3049" s="38">
        <v>12148</v>
      </c>
      <c r="C3049" s="39">
        <f t="shared" si="98"/>
        <v>11.749279757205786</v>
      </c>
      <c r="D3049" s="39">
        <f t="shared" si="99"/>
        <v>3.8677998111425875</v>
      </c>
    </row>
    <row r="3050" spans="2:4" ht="15" x14ac:dyDescent="0.15">
      <c r="B3050" s="38">
        <v>12152</v>
      </c>
      <c r="C3050" s="39">
        <f t="shared" si="98"/>
        <v>11.75748560537215</v>
      </c>
      <c r="D3050" s="39">
        <f t="shared" si="99"/>
        <v>3.8714555765595464</v>
      </c>
    </row>
    <row r="3051" spans="2:4" ht="15" x14ac:dyDescent="0.15">
      <c r="B3051" s="38">
        <v>12156</v>
      </c>
      <c r="C3051" s="39">
        <f t="shared" si="98"/>
        <v>11.765699213206961</v>
      </c>
      <c r="D3051" s="39">
        <f t="shared" si="99"/>
        <v>3.8751182592242195</v>
      </c>
    </row>
    <row r="3052" spans="2:4" ht="15" x14ac:dyDescent="0.15">
      <c r="B3052" s="38">
        <v>12160</v>
      </c>
      <c r="C3052" s="39">
        <f t="shared" si="98"/>
        <v>11.773920595399618</v>
      </c>
      <c r="D3052" s="39">
        <f t="shared" si="99"/>
        <v>3.8787878787878789</v>
      </c>
    </row>
    <row r="3053" spans="2:4" ht="15" x14ac:dyDescent="0.15">
      <c r="B3053" s="38">
        <v>12164</v>
      </c>
      <c r="C3053" s="39">
        <f t="shared" si="98"/>
        <v>11.782149766681258</v>
      </c>
      <c r="D3053" s="39">
        <f t="shared" si="99"/>
        <v>3.8824644549763034</v>
      </c>
    </row>
    <row r="3054" spans="2:4" ht="15" x14ac:dyDescent="0.15">
      <c r="B3054" s="38">
        <v>12168</v>
      </c>
      <c r="C3054" s="39">
        <f t="shared" si="98"/>
        <v>11.790386741824932</v>
      </c>
      <c r="D3054" s="39">
        <f t="shared" si="99"/>
        <v>3.8861480075901329</v>
      </c>
    </row>
    <row r="3055" spans="2:4" ht="15" x14ac:dyDescent="0.15">
      <c r="B3055" s="38">
        <v>12172</v>
      </c>
      <c r="C3055" s="39">
        <f t="shared" si="98"/>
        <v>11.798631535645756</v>
      </c>
      <c r="D3055" s="39">
        <f t="shared" si="99"/>
        <v>3.8898385565052234</v>
      </c>
    </row>
    <row r="3056" spans="2:4" ht="15" x14ac:dyDescent="0.15">
      <c r="B3056" s="38">
        <v>12176</v>
      </c>
      <c r="C3056" s="39">
        <f t="shared" si="98"/>
        <v>11.806884163001081</v>
      </c>
      <c r="D3056" s="39">
        <f t="shared" si="99"/>
        <v>3.8935361216730038</v>
      </c>
    </row>
    <row r="3057" spans="2:4" ht="15" x14ac:dyDescent="0.15">
      <c r="B3057" s="38">
        <v>12180</v>
      </c>
      <c r="C3057" s="39">
        <f t="shared" si="98"/>
        <v>11.815144638790642</v>
      </c>
      <c r="D3057" s="39">
        <f t="shared" si="99"/>
        <v>3.8972407231208375</v>
      </c>
    </row>
    <row r="3058" spans="2:4" ht="15" x14ac:dyDescent="0.15">
      <c r="B3058" s="38">
        <v>12184</v>
      </c>
      <c r="C3058" s="39">
        <f t="shared" si="98"/>
        <v>11.823412977956725</v>
      </c>
      <c r="D3058" s="39">
        <f t="shared" si="99"/>
        <v>3.9009523809523809</v>
      </c>
    </row>
    <row r="3059" spans="2:4" ht="15" x14ac:dyDescent="0.15">
      <c r="B3059" s="38">
        <v>12188</v>
      </c>
      <c r="C3059" s="39">
        <f t="shared" si="98"/>
        <v>11.83168919548433</v>
      </c>
      <c r="D3059" s="39">
        <f t="shared" si="99"/>
        <v>3.9046711153479503</v>
      </c>
    </row>
    <row r="3060" spans="2:4" ht="15" x14ac:dyDescent="0.15">
      <c r="B3060" s="38">
        <v>12192</v>
      </c>
      <c r="C3060" s="39">
        <f t="shared" si="98"/>
        <v>11.83997330640133</v>
      </c>
      <c r="D3060" s="39">
        <f t="shared" si="99"/>
        <v>3.9083969465648853</v>
      </c>
    </row>
    <row r="3061" spans="2:4" ht="15" x14ac:dyDescent="0.15">
      <c r="B3061" s="38">
        <v>12196</v>
      </c>
      <c r="C3061" s="39">
        <f t="shared" si="98"/>
        <v>11.848265325778639</v>
      </c>
      <c r="D3061" s="39">
        <f t="shared" si="99"/>
        <v>3.9121298949379177</v>
      </c>
    </row>
    <row r="3062" spans="2:4" ht="15" x14ac:dyDescent="0.15">
      <c r="B3062" s="38">
        <v>12200</v>
      </c>
      <c r="C3062" s="39">
        <f t="shared" si="98"/>
        <v>11.856565268730376</v>
      </c>
      <c r="D3062" s="39">
        <f t="shared" si="99"/>
        <v>3.915869980879541</v>
      </c>
    </row>
    <row r="3063" spans="2:4" ht="15" x14ac:dyDescent="0.15">
      <c r="B3063" s="38">
        <v>12204</v>
      </c>
      <c r="C3063" s="39">
        <f t="shared" si="98"/>
        <v>11.864873150414031</v>
      </c>
      <c r="D3063" s="39">
        <f t="shared" si="99"/>
        <v>3.9196172248803829</v>
      </c>
    </row>
    <row r="3064" spans="2:4" ht="15" x14ac:dyDescent="0.15">
      <c r="B3064" s="38">
        <v>12208</v>
      </c>
      <c r="C3064" s="39">
        <f t="shared" si="98"/>
        <v>11.873188986030618</v>
      </c>
      <c r="D3064" s="39">
        <f t="shared" si="99"/>
        <v>3.9233716475095783</v>
      </c>
    </row>
    <row r="3065" spans="2:4" ht="15" x14ac:dyDescent="0.15">
      <c r="B3065" s="38">
        <v>12212</v>
      </c>
      <c r="C3065" s="39">
        <f t="shared" si="98"/>
        <v>11.881512790824868</v>
      </c>
      <c r="D3065" s="39">
        <f t="shared" si="99"/>
        <v>3.9271332694151484</v>
      </c>
    </row>
    <row r="3066" spans="2:4" ht="15" x14ac:dyDescent="0.15">
      <c r="B3066" s="38">
        <v>12216</v>
      </c>
      <c r="C3066" s="39">
        <f t="shared" si="98"/>
        <v>11.889844580085374</v>
      </c>
      <c r="D3066" s="39">
        <f t="shared" si="99"/>
        <v>3.9309021113243761</v>
      </c>
    </row>
    <row r="3067" spans="2:4" ht="15" x14ac:dyDescent="0.15">
      <c r="B3067" s="38">
        <v>12220</v>
      </c>
      <c r="C3067" s="39">
        <f t="shared" si="98"/>
        <v>11.898184369144765</v>
      </c>
      <c r="D3067" s="39">
        <f t="shared" si="99"/>
        <v>3.9346781940441882</v>
      </c>
    </row>
    <row r="3068" spans="2:4" ht="15" x14ac:dyDescent="0.15">
      <c r="B3068" s="38">
        <v>12224</v>
      </c>
      <c r="C3068" s="39">
        <f t="shared" si="98"/>
        <v>11.90653217337988</v>
      </c>
      <c r="D3068" s="39">
        <f t="shared" si="99"/>
        <v>3.9384615384615387</v>
      </c>
    </row>
    <row r="3069" spans="2:4" ht="15" x14ac:dyDescent="0.15">
      <c r="B3069" s="38">
        <v>12228</v>
      </c>
      <c r="C3069" s="39">
        <f t="shared" si="98"/>
        <v>11.914888008211939</v>
      </c>
      <c r="D3069" s="39">
        <f t="shared" si="99"/>
        <v>3.9422521655437923</v>
      </c>
    </row>
    <row r="3070" spans="2:4" ht="15" x14ac:dyDescent="0.15">
      <c r="B3070" s="38">
        <v>12232</v>
      </c>
      <c r="C3070" s="39">
        <f t="shared" si="98"/>
        <v>11.923251889106705</v>
      </c>
      <c r="D3070" s="39">
        <f t="shared" si="99"/>
        <v>3.9460500963391136</v>
      </c>
    </row>
    <row r="3071" spans="2:4" ht="15" x14ac:dyDescent="0.15">
      <c r="B3071" s="38">
        <v>12236</v>
      </c>
      <c r="C3071" s="39">
        <f t="shared" si="98"/>
        <v>11.931623831574667</v>
      </c>
      <c r="D3071" s="39">
        <f t="shared" si="99"/>
        <v>3.9498553519768564</v>
      </c>
    </row>
    <row r="3072" spans="2:4" ht="15" x14ac:dyDescent="0.15">
      <c r="B3072" s="38">
        <v>12240</v>
      </c>
      <c r="C3072" s="39">
        <f t="shared" si="98"/>
        <v>11.940003851171204</v>
      </c>
      <c r="D3072" s="39">
        <f t="shared" si="99"/>
        <v>3.9536679536679538</v>
      </c>
    </row>
    <row r="3073" spans="2:4" ht="15" x14ac:dyDescent="0.15">
      <c r="B3073" s="38">
        <v>12244</v>
      </c>
      <c r="C3073" s="39">
        <f t="shared" si="98"/>
        <v>11.948391963496757</v>
      </c>
      <c r="D3073" s="39">
        <f t="shared" si="99"/>
        <v>3.9574879227053139</v>
      </c>
    </row>
    <row r="3074" spans="2:4" ht="15" x14ac:dyDescent="0.15">
      <c r="B3074" s="38">
        <v>12248</v>
      </c>
      <c r="C3074" s="39">
        <f t="shared" si="98"/>
        <v>11.956788184197013</v>
      </c>
      <c r="D3074" s="39">
        <f t="shared" si="99"/>
        <v>3.9613152804642167</v>
      </c>
    </row>
    <row r="3075" spans="2:4" ht="15" x14ac:dyDescent="0.15">
      <c r="B3075" s="38">
        <v>12252</v>
      </c>
      <c r="C3075" s="39">
        <f t="shared" si="98"/>
        <v>11.965192528963076</v>
      </c>
      <c r="D3075" s="39">
        <f t="shared" si="99"/>
        <v>3.9651500484027107</v>
      </c>
    </row>
    <row r="3076" spans="2:4" ht="15" x14ac:dyDescent="0.15">
      <c r="B3076" s="38">
        <v>12256</v>
      </c>
      <c r="C3076" s="39">
        <f t="shared" si="98"/>
        <v>11.973605013531635</v>
      </c>
      <c r="D3076" s="39">
        <f t="shared" si="99"/>
        <v>3.9689922480620154</v>
      </c>
    </row>
    <row r="3077" spans="2:4" ht="15" x14ac:dyDescent="0.15">
      <c r="B3077" s="38">
        <v>12260</v>
      </c>
      <c r="C3077" s="39">
        <f t="shared" si="98"/>
        <v>11.982025653685156</v>
      </c>
      <c r="D3077" s="39">
        <f t="shared" si="99"/>
        <v>3.9728419010669254</v>
      </c>
    </row>
    <row r="3078" spans="2:4" ht="15" x14ac:dyDescent="0.15">
      <c r="B3078" s="38">
        <v>12264</v>
      </c>
      <c r="C3078" s="39">
        <f t="shared" ref="C3078:C3141" si="100">20*LOG(D3078)</f>
        <v>11.990454465252043</v>
      </c>
      <c r="D3078" s="39">
        <f t="shared" ref="D3078:D3141" si="101">16384/(16384-B3078)</f>
        <v>3.9766990291262134</v>
      </c>
    </row>
    <row r="3079" spans="2:4" ht="15" x14ac:dyDescent="0.15">
      <c r="B3079" s="38">
        <v>12268</v>
      </c>
      <c r="C3079" s="39">
        <f t="shared" si="100"/>
        <v>11.998891464106826</v>
      </c>
      <c r="D3079" s="39">
        <f t="shared" si="101"/>
        <v>3.9805636540330416</v>
      </c>
    </row>
    <row r="3080" spans="2:4" ht="15" x14ac:dyDescent="0.15">
      <c r="B3080" s="38">
        <v>12272</v>
      </c>
      <c r="C3080" s="39">
        <f t="shared" si="100"/>
        <v>12.007336666170348</v>
      </c>
      <c r="D3080" s="39">
        <f t="shared" si="101"/>
        <v>3.9844357976653697</v>
      </c>
    </row>
    <row r="3081" spans="2:4" ht="15" x14ac:dyDescent="0.15">
      <c r="B3081" s="38">
        <v>12276</v>
      </c>
      <c r="C3081" s="39">
        <f t="shared" si="100"/>
        <v>12.015790087409924</v>
      </c>
      <c r="D3081" s="39">
        <f t="shared" si="101"/>
        <v>3.9883154819863682</v>
      </c>
    </row>
    <row r="3082" spans="2:4" ht="15" x14ac:dyDescent="0.15">
      <c r="B3082" s="38">
        <v>12280</v>
      </c>
      <c r="C3082" s="39">
        <f t="shared" si="100"/>
        <v>12.024251743839539</v>
      </c>
      <c r="D3082" s="39">
        <f t="shared" si="101"/>
        <v>3.9922027290448341</v>
      </c>
    </row>
    <row r="3083" spans="2:4" ht="15" x14ac:dyDescent="0.15">
      <c r="B3083" s="38">
        <v>12284</v>
      </c>
      <c r="C3083" s="39">
        <f t="shared" si="100"/>
        <v>12.032721651520024</v>
      </c>
      <c r="D3083" s="39">
        <f t="shared" si="101"/>
        <v>3.9960975609756098</v>
      </c>
    </row>
    <row r="3084" spans="2:4" ht="15" x14ac:dyDescent="0.15">
      <c r="B3084" s="38">
        <v>12288</v>
      </c>
      <c r="C3084" s="39">
        <f t="shared" si="100"/>
        <v>12.041199826559248</v>
      </c>
      <c r="D3084" s="39">
        <f t="shared" si="101"/>
        <v>4</v>
      </c>
    </row>
    <row r="3085" spans="2:4" ht="15" x14ac:dyDescent="0.15">
      <c r="B3085" s="38">
        <v>12292</v>
      </c>
      <c r="C3085" s="39">
        <f t="shared" si="100"/>
        <v>12.049686285112283</v>
      </c>
      <c r="D3085" s="39">
        <f t="shared" si="101"/>
        <v>4.0039100684261975</v>
      </c>
    </row>
    <row r="3086" spans="2:4" ht="15" x14ac:dyDescent="0.15">
      <c r="B3086" s="38">
        <v>12296</v>
      </c>
      <c r="C3086" s="39">
        <f t="shared" si="100"/>
        <v>12.058181043381609</v>
      </c>
      <c r="D3086" s="39">
        <f t="shared" si="101"/>
        <v>4.0078277886497062</v>
      </c>
    </row>
    <row r="3087" spans="2:4" ht="15" x14ac:dyDescent="0.15">
      <c r="B3087" s="38">
        <v>12300</v>
      </c>
      <c r="C3087" s="39">
        <f t="shared" si="100"/>
        <v>12.066684117617282</v>
      </c>
      <c r="D3087" s="39">
        <f t="shared" si="101"/>
        <v>4.0117531831537709</v>
      </c>
    </row>
    <row r="3088" spans="2:4" ht="15" x14ac:dyDescent="0.15">
      <c r="B3088" s="38">
        <v>12304</v>
      </c>
      <c r="C3088" s="39">
        <f t="shared" si="100"/>
        <v>12.075195524117134</v>
      </c>
      <c r="D3088" s="39">
        <f t="shared" si="101"/>
        <v>4.0156862745098039</v>
      </c>
    </row>
    <row r="3089" spans="2:4" ht="15" x14ac:dyDescent="0.15">
      <c r="B3089" s="38">
        <v>12308</v>
      </c>
      <c r="C3089" s="39">
        <f t="shared" si="100"/>
        <v>12.083715279226958</v>
      </c>
      <c r="D3089" s="39">
        <f t="shared" si="101"/>
        <v>4.0196270853778211</v>
      </c>
    </row>
    <row r="3090" spans="2:4" ht="15" x14ac:dyDescent="0.15">
      <c r="B3090" s="38">
        <v>12312</v>
      </c>
      <c r="C3090" s="39">
        <f t="shared" si="100"/>
        <v>12.092243399340688</v>
      </c>
      <c r="D3090" s="39">
        <f t="shared" si="101"/>
        <v>4.0235756385068759</v>
      </c>
    </row>
    <row r="3091" spans="2:4" ht="15" x14ac:dyDescent="0.15">
      <c r="B3091" s="38">
        <v>12316</v>
      </c>
      <c r="C3091" s="39">
        <f t="shared" si="100"/>
        <v>12.100779900900596</v>
      </c>
      <c r="D3091" s="39">
        <f t="shared" si="101"/>
        <v>4.0275319567354968</v>
      </c>
    </row>
    <row r="3092" spans="2:4" ht="15" x14ac:dyDescent="0.15">
      <c r="B3092" s="38">
        <v>12320</v>
      </c>
      <c r="C3092" s="39">
        <f t="shared" si="100"/>
        <v>12.109324800397479</v>
      </c>
      <c r="D3092" s="39">
        <f t="shared" si="101"/>
        <v>4.0314960629921259</v>
      </c>
    </row>
    <row r="3093" spans="2:4" ht="15" x14ac:dyDescent="0.15">
      <c r="B3093" s="38">
        <v>12324</v>
      </c>
      <c r="C3093" s="39">
        <f t="shared" si="100"/>
        <v>12.117878114370853</v>
      </c>
      <c r="D3093" s="39">
        <f t="shared" si="101"/>
        <v>4.0354679802955662</v>
      </c>
    </row>
    <row r="3094" spans="2:4" ht="15" x14ac:dyDescent="0.15">
      <c r="B3094" s="38">
        <v>12328</v>
      </c>
      <c r="C3094" s="39">
        <f t="shared" si="100"/>
        <v>12.126439859409144</v>
      </c>
      <c r="D3094" s="39">
        <f t="shared" si="101"/>
        <v>4.0394477317554243</v>
      </c>
    </row>
    <row r="3095" spans="2:4" ht="15" x14ac:dyDescent="0.15">
      <c r="B3095" s="38">
        <v>12332</v>
      </c>
      <c r="C3095" s="39">
        <f t="shared" si="100"/>
        <v>12.135010052149877</v>
      </c>
      <c r="D3095" s="39">
        <f t="shared" si="101"/>
        <v>4.0434353405725565</v>
      </c>
    </row>
    <row r="3096" spans="2:4" ht="15" x14ac:dyDescent="0.15">
      <c r="B3096" s="38">
        <v>12336</v>
      </c>
      <c r="C3096" s="39">
        <f t="shared" si="100"/>
        <v>12.14358870927988</v>
      </c>
      <c r="D3096" s="39">
        <f t="shared" si="101"/>
        <v>4.0474308300395254</v>
      </c>
    </row>
    <row r="3097" spans="2:4" ht="15" x14ac:dyDescent="0.15">
      <c r="B3097" s="38">
        <v>12340</v>
      </c>
      <c r="C3097" s="39">
        <f t="shared" si="100"/>
        <v>12.152175847535464</v>
      </c>
      <c r="D3097" s="39">
        <f t="shared" si="101"/>
        <v>4.0514342235410483</v>
      </c>
    </row>
    <row r="3098" spans="2:4" ht="15" x14ac:dyDescent="0.15">
      <c r="B3098" s="38">
        <v>12344</v>
      </c>
      <c r="C3098" s="39">
        <f t="shared" si="100"/>
        <v>12.160771483702636</v>
      </c>
      <c r="D3098" s="39">
        <f t="shared" si="101"/>
        <v>4.0554455445544555</v>
      </c>
    </row>
    <row r="3099" spans="2:4" ht="15" x14ac:dyDescent="0.15">
      <c r="B3099" s="38">
        <v>12348</v>
      </c>
      <c r="C3099" s="39">
        <f t="shared" si="100"/>
        <v>12.169375634617277</v>
      </c>
      <c r="D3099" s="39">
        <f t="shared" si="101"/>
        <v>4.0594648166501486</v>
      </c>
    </row>
    <row r="3100" spans="2:4" ht="15" x14ac:dyDescent="0.15">
      <c r="B3100" s="38">
        <v>12352</v>
      </c>
      <c r="C3100" s="39">
        <f t="shared" si="100"/>
        <v>12.177988317165356</v>
      </c>
      <c r="D3100" s="39">
        <f t="shared" si="101"/>
        <v>4.0634920634920633</v>
      </c>
    </row>
    <row r="3101" spans="2:4" ht="15" x14ac:dyDescent="0.15">
      <c r="B3101" s="38">
        <v>12356</v>
      </c>
      <c r="C3101" s="39">
        <f t="shared" si="100"/>
        <v>12.186609548283126</v>
      </c>
      <c r="D3101" s="39">
        <f t="shared" si="101"/>
        <v>4.067527308838133</v>
      </c>
    </row>
    <row r="3102" spans="2:4" ht="15" x14ac:dyDescent="0.15">
      <c r="B3102" s="38">
        <v>12360</v>
      </c>
      <c r="C3102" s="39">
        <f t="shared" si="100"/>
        <v>12.195239344957313</v>
      </c>
      <c r="D3102" s="39">
        <f t="shared" si="101"/>
        <v>4.071570576540755</v>
      </c>
    </row>
    <row r="3103" spans="2:4" ht="15" x14ac:dyDescent="0.15">
      <c r="B3103" s="38">
        <v>12364</v>
      </c>
      <c r="C3103" s="39">
        <f t="shared" si="100"/>
        <v>12.203877724225334</v>
      </c>
      <c r="D3103" s="39">
        <f t="shared" si="101"/>
        <v>4.0756218905472634</v>
      </c>
    </row>
    <row r="3104" spans="2:4" ht="15" x14ac:dyDescent="0.15">
      <c r="B3104" s="38">
        <v>12368</v>
      </c>
      <c r="C3104" s="39">
        <f t="shared" si="100"/>
        <v>12.212524703175475</v>
      </c>
      <c r="D3104" s="39">
        <f t="shared" si="101"/>
        <v>4.0796812749003983</v>
      </c>
    </row>
    <row r="3105" spans="2:4" ht="15" x14ac:dyDescent="0.15">
      <c r="B3105" s="38">
        <v>12372</v>
      </c>
      <c r="C3105" s="39">
        <f t="shared" si="100"/>
        <v>12.221180298947123</v>
      </c>
      <c r="D3105" s="39">
        <f t="shared" si="101"/>
        <v>4.0837487537387833</v>
      </c>
    </row>
    <row r="3106" spans="2:4" ht="15" x14ac:dyDescent="0.15">
      <c r="B3106" s="38">
        <v>12376</v>
      </c>
      <c r="C3106" s="39">
        <f t="shared" si="100"/>
        <v>12.229844528730949</v>
      </c>
      <c r="D3106" s="39">
        <f t="shared" si="101"/>
        <v>4.0878243512974048</v>
      </c>
    </row>
    <row r="3107" spans="2:4" ht="15" x14ac:dyDescent="0.15">
      <c r="B3107" s="38">
        <v>12380</v>
      </c>
      <c r="C3107" s="39">
        <f t="shared" si="100"/>
        <v>12.238517409769115</v>
      </c>
      <c r="D3107" s="39">
        <f t="shared" si="101"/>
        <v>4.0919080919080919</v>
      </c>
    </row>
    <row r="3108" spans="2:4" ht="15" x14ac:dyDescent="0.15">
      <c r="B3108" s="38">
        <v>12384</v>
      </c>
      <c r="C3108" s="39">
        <f t="shared" si="100"/>
        <v>12.247198959355487</v>
      </c>
      <c r="D3108" s="39">
        <f t="shared" si="101"/>
        <v>4.0960000000000001</v>
      </c>
    </row>
    <row r="3109" spans="2:4" ht="15" x14ac:dyDescent="0.15">
      <c r="B3109" s="38">
        <v>12388</v>
      </c>
      <c r="C3109" s="39">
        <f t="shared" si="100"/>
        <v>12.255889194835841</v>
      </c>
      <c r="D3109" s="39">
        <f t="shared" si="101"/>
        <v>4.1001001001001001</v>
      </c>
    </row>
    <row r="3110" spans="2:4" ht="15" x14ac:dyDescent="0.15">
      <c r="B3110" s="38">
        <v>12392</v>
      </c>
      <c r="C3110" s="39">
        <f t="shared" si="100"/>
        <v>12.264588133608063</v>
      </c>
      <c r="D3110" s="39">
        <f t="shared" si="101"/>
        <v>4.104208416833667</v>
      </c>
    </row>
    <row r="3111" spans="2:4" ht="15" x14ac:dyDescent="0.15">
      <c r="B3111" s="38">
        <v>12396</v>
      </c>
      <c r="C3111" s="39">
        <f t="shared" si="100"/>
        <v>12.273295793122372</v>
      </c>
      <c r="D3111" s="39">
        <f t="shared" si="101"/>
        <v>4.1083249749247743</v>
      </c>
    </row>
    <row r="3112" spans="2:4" ht="15" x14ac:dyDescent="0.15">
      <c r="B3112" s="38">
        <v>12400</v>
      </c>
      <c r="C3112" s="39">
        <f t="shared" si="100"/>
        <v>12.28201219088151</v>
      </c>
      <c r="D3112" s="39">
        <f t="shared" si="101"/>
        <v>4.1124497991967868</v>
      </c>
    </row>
    <row r="3113" spans="2:4" ht="15" x14ac:dyDescent="0.15">
      <c r="B3113" s="38">
        <v>12404</v>
      </c>
      <c r="C3113" s="39">
        <f t="shared" si="100"/>
        <v>12.290737344440979</v>
      </c>
      <c r="D3113" s="39">
        <f t="shared" si="101"/>
        <v>4.1165829145728647</v>
      </c>
    </row>
    <row r="3114" spans="2:4" ht="15" x14ac:dyDescent="0.15">
      <c r="B3114" s="38">
        <v>12408</v>
      </c>
      <c r="C3114" s="39">
        <f t="shared" si="100"/>
        <v>12.299471271409221</v>
      </c>
      <c r="D3114" s="39">
        <f t="shared" si="101"/>
        <v>4.1207243460764591</v>
      </c>
    </row>
    <row r="3115" spans="2:4" ht="15" x14ac:dyDescent="0.15">
      <c r="B3115" s="38">
        <v>12412</v>
      </c>
      <c r="C3115" s="39">
        <f t="shared" si="100"/>
        <v>12.308213989447863</v>
      </c>
      <c r="D3115" s="39">
        <f t="shared" si="101"/>
        <v>4.1248741188318228</v>
      </c>
    </row>
    <row r="3116" spans="2:4" ht="15" x14ac:dyDescent="0.15">
      <c r="B3116" s="38">
        <v>12416</v>
      </c>
      <c r="C3116" s="39">
        <f t="shared" si="100"/>
        <v>12.316965516271914</v>
      </c>
      <c r="D3116" s="39">
        <f t="shared" si="101"/>
        <v>4.129032258064516</v>
      </c>
    </row>
    <row r="3117" spans="2:4" ht="15" x14ac:dyDescent="0.15">
      <c r="B3117" s="38">
        <v>12420</v>
      </c>
      <c r="C3117" s="39">
        <f t="shared" si="100"/>
        <v>12.325725869649979</v>
      </c>
      <c r="D3117" s="39">
        <f t="shared" si="101"/>
        <v>4.1331987891019173</v>
      </c>
    </row>
    <row r="3118" spans="2:4" ht="15" x14ac:dyDescent="0.15">
      <c r="B3118" s="38">
        <v>12424</v>
      </c>
      <c r="C3118" s="39">
        <f t="shared" si="100"/>
        <v>12.33449506740449</v>
      </c>
      <c r="D3118" s="39">
        <f t="shared" si="101"/>
        <v>4.1373737373737374</v>
      </c>
    </row>
    <row r="3119" spans="2:4" ht="15" x14ac:dyDescent="0.15">
      <c r="B3119" s="38">
        <v>12428</v>
      </c>
      <c r="C3119" s="39">
        <f t="shared" si="100"/>
        <v>12.3432731274119</v>
      </c>
      <c r="D3119" s="39">
        <f t="shared" si="101"/>
        <v>4.1415571284125381</v>
      </c>
    </row>
    <row r="3120" spans="2:4" ht="15" x14ac:dyDescent="0.15">
      <c r="B3120" s="38">
        <v>12432</v>
      </c>
      <c r="C3120" s="39">
        <f t="shared" si="100"/>
        <v>12.352060067602924</v>
      </c>
      <c r="D3120" s="39">
        <f t="shared" si="101"/>
        <v>4.1457489878542511</v>
      </c>
    </row>
    <row r="3121" spans="2:4" ht="15" x14ac:dyDescent="0.15">
      <c r="B3121" s="38">
        <v>12436</v>
      </c>
      <c r="C3121" s="39">
        <f t="shared" si="100"/>
        <v>12.360855905962753</v>
      </c>
      <c r="D3121" s="39">
        <f t="shared" si="101"/>
        <v>4.1499493414387034</v>
      </c>
    </row>
    <row r="3122" spans="2:4" ht="15" x14ac:dyDescent="0.15">
      <c r="B3122" s="38">
        <v>12440</v>
      </c>
      <c r="C3122" s="39">
        <f t="shared" si="100"/>
        <v>12.369660660531263</v>
      </c>
      <c r="D3122" s="39">
        <f t="shared" si="101"/>
        <v>4.1541582150101419</v>
      </c>
    </row>
    <row r="3123" spans="2:4" ht="15" x14ac:dyDescent="0.15">
      <c r="B3123" s="38">
        <v>12444</v>
      </c>
      <c r="C3123" s="39">
        <f t="shared" si="100"/>
        <v>12.378474349403252</v>
      </c>
      <c r="D3123" s="39">
        <f t="shared" si="101"/>
        <v>4.1583756345177667</v>
      </c>
    </row>
    <row r="3124" spans="2:4" ht="15" x14ac:dyDescent="0.15">
      <c r="B3124" s="38">
        <v>12448</v>
      </c>
      <c r="C3124" s="39">
        <f t="shared" si="100"/>
        <v>12.387296990728657</v>
      </c>
      <c r="D3124" s="39">
        <f t="shared" si="101"/>
        <v>4.1626016260162606</v>
      </c>
    </row>
    <row r="3125" spans="2:4" ht="15" x14ac:dyDescent="0.15">
      <c r="B3125" s="38">
        <v>12452</v>
      </c>
      <c r="C3125" s="39">
        <f t="shared" si="100"/>
        <v>12.396128602712775</v>
      </c>
      <c r="D3125" s="39">
        <f t="shared" si="101"/>
        <v>4.1668362156663274</v>
      </c>
    </row>
    <row r="3126" spans="2:4" ht="15" x14ac:dyDescent="0.15">
      <c r="B3126" s="38">
        <v>12456</v>
      </c>
      <c r="C3126" s="39">
        <f t="shared" si="100"/>
        <v>12.404969203616492</v>
      </c>
      <c r="D3126" s="39">
        <f t="shared" si="101"/>
        <v>4.1710794297352338</v>
      </c>
    </row>
    <row r="3127" spans="2:4" ht="15" x14ac:dyDescent="0.15">
      <c r="B3127" s="38">
        <v>12460</v>
      </c>
      <c r="C3127" s="39">
        <f t="shared" si="100"/>
        <v>12.413818811756517</v>
      </c>
      <c r="D3127" s="39">
        <f t="shared" si="101"/>
        <v>4.17533129459735</v>
      </c>
    </row>
    <row r="3128" spans="2:4" ht="15" x14ac:dyDescent="0.15">
      <c r="B3128" s="38">
        <v>12464</v>
      </c>
      <c r="C3128" s="39">
        <f t="shared" si="100"/>
        <v>12.42267744550559</v>
      </c>
      <c r="D3128" s="39">
        <f t="shared" si="101"/>
        <v>4.1795918367346943</v>
      </c>
    </row>
    <row r="3129" spans="2:4" ht="15" x14ac:dyDescent="0.15">
      <c r="B3129" s="38">
        <v>12468</v>
      </c>
      <c r="C3129" s="39">
        <f t="shared" si="100"/>
        <v>12.431545123292731</v>
      </c>
      <c r="D3129" s="39">
        <f t="shared" si="101"/>
        <v>4.1838610827374874</v>
      </c>
    </row>
    <row r="3130" spans="2:4" ht="15" x14ac:dyDescent="0.15">
      <c r="B3130" s="38">
        <v>12472</v>
      </c>
      <c r="C3130" s="39">
        <f t="shared" si="100"/>
        <v>12.44042186360346</v>
      </c>
      <c r="D3130" s="39">
        <f t="shared" si="101"/>
        <v>4.1881390593047039</v>
      </c>
    </row>
    <row r="3131" spans="2:4" ht="15" x14ac:dyDescent="0.15">
      <c r="B3131" s="38">
        <v>12476</v>
      </c>
      <c r="C3131" s="39">
        <f t="shared" si="100"/>
        <v>12.449307684980027</v>
      </c>
      <c r="D3131" s="39">
        <f t="shared" si="101"/>
        <v>4.1924257932446265</v>
      </c>
    </row>
    <row r="3132" spans="2:4" ht="15" x14ac:dyDescent="0.15">
      <c r="B3132" s="38">
        <v>12480</v>
      </c>
      <c r="C3132" s="39">
        <f t="shared" si="100"/>
        <v>12.458202606021651</v>
      </c>
      <c r="D3132" s="39">
        <f t="shared" si="101"/>
        <v>4.1967213114754101</v>
      </c>
    </row>
    <row r="3133" spans="2:4" ht="15" x14ac:dyDescent="0.15">
      <c r="B3133" s="38">
        <v>12484</v>
      </c>
      <c r="C3133" s="39">
        <f t="shared" si="100"/>
        <v>12.467106645384751</v>
      </c>
      <c r="D3133" s="39">
        <f t="shared" si="101"/>
        <v>4.201025641025641</v>
      </c>
    </row>
    <row r="3134" spans="2:4" ht="15" x14ac:dyDescent="0.15">
      <c r="B3134" s="38">
        <v>12488</v>
      </c>
      <c r="C3134" s="39">
        <f t="shared" si="100"/>
        <v>12.476019821783177</v>
      </c>
      <c r="D3134" s="39">
        <f t="shared" si="101"/>
        <v>4.2053388090349078</v>
      </c>
    </row>
    <row r="3135" spans="2:4" ht="15" x14ac:dyDescent="0.15">
      <c r="B3135" s="38">
        <v>12492</v>
      </c>
      <c r="C3135" s="39">
        <f t="shared" si="100"/>
        <v>12.484942153988449</v>
      </c>
      <c r="D3135" s="39">
        <f t="shared" si="101"/>
        <v>4.209660842754368</v>
      </c>
    </row>
    <row r="3136" spans="2:4" ht="15" x14ac:dyDescent="0.15">
      <c r="B3136" s="38">
        <v>12496</v>
      </c>
      <c r="C3136" s="39">
        <f t="shared" si="100"/>
        <v>12.493873660829994</v>
      </c>
      <c r="D3136" s="39">
        <f t="shared" si="101"/>
        <v>4.2139917695473255</v>
      </c>
    </row>
    <row r="3137" spans="2:4" ht="15" x14ac:dyDescent="0.15">
      <c r="B3137" s="38">
        <v>12500</v>
      </c>
      <c r="C3137" s="39">
        <f t="shared" si="100"/>
        <v>12.502814361195389</v>
      </c>
      <c r="D3137" s="39">
        <f t="shared" si="101"/>
        <v>4.2183316168898042</v>
      </c>
    </row>
    <row r="3138" spans="2:4" ht="15" x14ac:dyDescent="0.15">
      <c r="B3138" s="38">
        <v>12504</v>
      </c>
      <c r="C3138" s="39">
        <f t="shared" si="100"/>
        <v>12.51176427403059</v>
      </c>
      <c r="D3138" s="39">
        <f t="shared" si="101"/>
        <v>4.2226804123711341</v>
      </c>
    </row>
    <row r="3139" spans="2:4" ht="15" x14ac:dyDescent="0.15">
      <c r="B3139" s="38">
        <v>12508</v>
      </c>
      <c r="C3139" s="39">
        <f t="shared" si="100"/>
        <v>12.520723418340181</v>
      </c>
      <c r="D3139" s="39">
        <f t="shared" si="101"/>
        <v>4.2270381836945301</v>
      </c>
    </row>
    <row r="3140" spans="2:4" ht="15" x14ac:dyDescent="0.15">
      <c r="B3140" s="38">
        <v>12512</v>
      </c>
      <c r="C3140" s="39">
        <f t="shared" si="100"/>
        <v>12.529691813187613</v>
      </c>
      <c r="D3140" s="39">
        <f t="shared" si="101"/>
        <v>4.2314049586776861</v>
      </c>
    </row>
    <row r="3141" spans="2:4" ht="15" x14ac:dyDescent="0.15">
      <c r="B3141" s="38">
        <v>12516</v>
      </c>
      <c r="C3141" s="39">
        <f t="shared" si="100"/>
        <v>12.538669477695453</v>
      </c>
      <c r="D3141" s="39">
        <f t="shared" si="101"/>
        <v>4.2357807652533612</v>
      </c>
    </row>
    <row r="3142" spans="2:4" ht="15" x14ac:dyDescent="0.15">
      <c r="B3142" s="38">
        <v>12520</v>
      </c>
      <c r="C3142" s="39">
        <f t="shared" ref="C3142:C3205" si="102">20*LOG(D3142)</f>
        <v>12.54765643104562</v>
      </c>
      <c r="D3142" s="39">
        <f t="shared" ref="D3142:D3205" si="103">16384/(16384-B3142)</f>
        <v>4.2401656314699796</v>
      </c>
    </row>
    <row r="3143" spans="2:4" ht="15" x14ac:dyDescent="0.15">
      <c r="B3143" s="38">
        <v>12524</v>
      </c>
      <c r="C3143" s="39">
        <f t="shared" si="102"/>
        <v>12.556652692479634</v>
      </c>
      <c r="D3143" s="39">
        <f t="shared" si="103"/>
        <v>4.2445595854922278</v>
      </c>
    </row>
    <row r="3144" spans="2:4" ht="15" x14ac:dyDescent="0.15">
      <c r="B3144" s="38">
        <v>12528</v>
      </c>
      <c r="C3144" s="39">
        <f t="shared" si="102"/>
        <v>12.56565828129887</v>
      </c>
      <c r="D3144" s="39">
        <f t="shared" si="103"/>
        <v>4.2489626556016598</v>
      </c>
    </row>
    <row r="3145" spans="2:4" ht="15" x14ac:dyDescent="0.15">
      <c r="B3145" s="38">
        <v>12532</v>
      </c>
      <c r="C3145" s="39">
        <f t="shared" si="102"/>
        <v>12.574673216864795</v>
      </c>
      <c r="D3145" s="39">
        <f t="shared" si="103"/>
        <v>4.2533748701973</v>
      </c>
    </row>
    <row r="3146" spans="2:4" ht="15" x14ac:dyDescent="0.15">
      <c r="B3146" s="38">
        <v>12536</v>
      </c>
      <c r="C3146" s="39">
        <f t="shared" si="102"/>
        <v>12.583697518599228</v>
      </c>
      <c r="D3146" s="39">
        <f t="shared" si="103"/>
        <v>4.257796257796258</v>
      </c>
    </row>
    <row r="3147" spans="2:4" ht="15" x14ac:dyDescent="0.15">
      <c r="B3147" s="38">
        <v>12540</v>
      </c>
      <c r="C3147" s="39">
        <f t="shared" si="102"/>
        <v>12.592731205984579</v>
      </c>
      <c r="D3147" s="39">
        <f t="shared" si="103"/>
        <v>4.2622268470343396</v>
      </c>
    </row>
    <row r="3148" spans="2:4" ht="15" x14ac:dyDescent="0.15">
      <c r="B3148" s="38">
        <v>12544</v>
      </c>
      <c r="C3148" s="39">
        <f t="shared" si="102"/>
        <v>12.60177429856412</v>
      </c>
      <c r="D3148" s="39">
        <f t="shared" si="103"/>
        <v>4.2666666666666666</v>
      </c>
    </row>
    <row r="3149" spans="2:4" ht="15" x14ac:dyDescent="0.15">
      <c r="B3149" s="38">
        <v>12548</v>
      </c>
      <c r="C3149" s="39">
        <f t="shared" si="102"/>
        <v>12.610826815942215</v>
      </c>
      <c r="D3149" s="39">
        <f t="shared" si="103"/>
        <v>4.2711157455683004</v>
      </c>
    </row>
    <row r="3150" spans="2:4" ht="15" x14ac:dyDescent="0.15">
      <c r="B3150" s="38">
        <v>12552</v>
      </c>
      <c r="C3150" s="39">
        <f t="shared" si="102"/>
        <v>12.619888777784599</v>
      </c>
      <c r="D3150" s="39">
        <f t="shared" si="103"/>
        <v>4.2755741127348639</v>
      </c>
    </row>
    <row r="3151" spans="2:4" ht="15" x14ac:dyDescent="0.15">
      <c r="B3151" s="38">
        <v>12556</v>
      </c>
      <c r="C3151" s="39">
        <f t="shared" si="102"/>
        <v>12.628960203818615</v>
      </c>
      <c r="D3151" s="39">
        <f t="shared" si="103"/>
        <v>4.280041797283177</v>
      </c>
    </row>
    <row r="3152" spans="2:4" ht="15" x14ac:dyDescent="0.15">
      <c r="B3152" s="38">
        <v>12560</v>
      </c>
      <c r="C3152" s="39">
        <f t="shared" si="102"/>
        <v>12.638041113833484</v>
      </c>
      <c r="D3152" s="39">
        <f t="shared" si="103"/>
        <v>4.2845188284518825</v>
      </c>
    </row>
    <row r="3153" spans="2:4" ht="15" x14ac:dyDescent="0.15">
      <c r="B3153" s="38">
        <v>12564</v>
      </c>
      <c r="C3153" s="39">
        <f t="shared" si="102"/>
        <v>12.647131527680562</v>
      </c>
      <c r="D3153" s="39">
        <f t="shared" si="103"/>
        <v>4.2890052356020947</v>
      </c>
    </row>
    <row r="3154" spans="2:4" ht="15" x14ac:dyDescent="0.15">
      <c r="B3154" s="38">
        <v>12568</v>
      </c>
      <c r="C3154" s="39">
        <f t="shared" si="102"/>
        <v>12.656231465273585</v>
      </c>
      <c r="D3154" s="39">
        <f t="shared" si="103"/>
        <v>4.2935010482180296</v>
      </c>
    </row>
    <row r="3155" spans="2:4" ht="15" x14ac:dyDescent="0.15">
      <c r="B3155" s="38">
        <v>12572</v>
      </c>
      <c r="C3155" s="39">
        <f t="shared" si="102"/>
        <v>12.665340946588959</v>
      </c>
      <c r="D3155" s="39">
        <f t="shared" si="103"/>
        <v>4.2980062959076601</v>
      </c>
    </row>
    <row r="3156" spans="2:4" ht="15" x14ac:dyDescent="0.15">
      <c r="B3156" s="38">
        <v>12576</v>
      </c>
      <c r="C3156" s="39">
        <f t="shared" si="102"/>
        <v>12.674459991666001</v>
      </c>
      <c r="D3156" s="39">
        <f t="shared" si="103"/>
        <v>4.3025210084033612</v>
      </c>
    </row>
    <row r="3157" spans="2:4" ht="15" x14ac:dyDescent="0.15">
      <c r="B3157" s="38">
        <v>12580</v>
      </c>
      <c r="C3157" s="39">
        <f t="shared" si="102"/>
        <v>12.683588620607209</v>
      </c>
      <c r="D3157" s="39">
        <f t="shared" si="103"/>
        <v>4.3070452155625656</v>
      </c>
    </row>
    <row r="3158" spans="2:4" ht="15" x14ac:dyDescent="0.15">
      <c r="B3158" s="38">
        <v>12584</v>
      </c>
      <c r="C3158" s="39">
        <f t="shared" si="102"/>
        <v>12.692726853578531</v>
      </c>
      <c r="D3158" s="39">
        <f t="shared" si="103"/>
        <v>4.311578947368421</v>
      </c>
    </row>
    <row r="3159" spans="2:4" ht="15" x14ac:dyDescent="0.15">
      <c r="B3159" s="38">
        <v>12588</v>
      </c>
      <c r="C3159" s="39">
        <f t="shared" si="102"/>
        <v>12.701874710809633</v>
      </c>
      <c r="D3159" s="39">
        <f t="shared" si="103"/>
        <v>4.3161222339304528</v>
      </c>
    </row>
    <row r="3160" spans="2:4" ht="15" x14ac:dyDescent="0.15">
      <c r="B3160" s="38">
        <v>12592</v>
      </c>
      <c r="C3160" s="39">
        <f t="shared" si="102"/>
        <v>12.71103221259416</v>
      </c>
      <c r="D3160" s="39">
        <f t="shared" si="103"/>
        <v>4.3206751054852317</v>
      </c>
    </row>
    <row r="3161" spans="2:4" ht="15" x14ac:dyDescent="0.15">
      <c r="B3161" s="38">
        <v>12596</v>
      </c>
      <c r="C3161" s="39">
        <f t="shared" si="102"/>
        <v>12.720199379290019</v>
      </c>
      <c r="D3161" s="39">
        <f t="shared" si="103"/>
        <v>4.325237592397043</v>
      </c>
    </row>
    <row r="3162" spans="2:4" ht="15" x14ac:dyDescent="0.15">
      <c r="B3162" s="38">
        <v>12600</v>
      </c>
      <c r="C3162" s="39">
        <f t="shared" si="102"/>
        <v>12.72937623131963</v>
      </c>
      <c r="D3162" s="39">
        <f t="shared" si="103"/>
        <v>4.3298097251585626</v>
      </c>
    </row>
    <row r="3163" spans="2:4" ht="15" x14ac:dyDescent="0.15">
      <c r="B3163" s="38">
        <v>12604</v>
      </c>
      <c r="C3163" s="39">
        <f t="shared" si="102"/>
        <v>12.73856278917023</v>
      </c>
      <c r="D3163" s="39">
        <f t="shared" si="103"/>
        <v>4.3343915343915347</v>
      </c>
    </row>
    <row r="3164" spans="2:4" ht="15" x14ac:dyDescent="0.15">
      <c r="B3164" s="38">
        <v>12608</v>
      </c>
      <c r="C3164" s="39">
        <f t="shared" si="102"/>
        <v>12.747759073394107</v>
      </c>
      <c r="D3164" s="39">
        <f t="shared" si="103"/>
        <v>4.3389830508474576</v>
      </c>
    </row>
    <row r="3165" spans="2:4" ht="15" x14ac:dyDescent="0.15">
      <c r="B3165" s="38">
        <v>12612</v>
      </c>
      <c r="C3165" s="39">
        <f t="shared" si="102"/>
        <v>12.75696510460892</v>
      </c>
      <c r="D3165" s="39">
        <f t="shared" si="103"/>
        <v>4.3435843054082719</v>
      </c>
    </row>
    <row r="3166" spans="2:4" ht="15" x14ac:dyDescent="0.15">
      <c r="B3166" s="38">
        <v>12616</v>
      </c>
      <c r="C3166" s="39">
        <f t="shared" si="102"/>
        <v>12.76618090349794</v>
      </c>
      <c r="D3166" s="39">
        <f t="shared" si="103"/>
        <v>4.3481953290870488</v>
      </c>
    </row>
    <row r="3167" spans="2:4" ht="15" x14ac:dyDescent="0.15">
      <c r="B3167" s="38">
        <v>12620</v>
      </c>
      <c r="C3167" s="39">
        <f t="shared" si="102"/>
        <v>12.775406490810347</v>
      </c>
      <c r="D3167" s="39">
        <f t="shared" si="103"/>
        <v>4.3528161530286926</v>
      </c>
    </row>
    <row r="3168" spans="2:4" ht="15" x14ac:dyDescent="0.15">
      <c r="B3168" s="38">
        <v>12624</v>
      </c>
      <c r="C3168" s="39">
        <f t="shared" si="102"/>
        <v>12.784641887361515</v>
      </c>
      <c r="D3168" s="39">
        <f t="shared" si="103"/>
        <v>4.3574468085106384</v>
      </c>
    </row>
    <row r="3169" spans="2:4" ht="15" x14ac:dyDescent="0.15">
      <c r="B3169" s="38">
        <v>12628</v>
      </c>
      <c r="C3169" s="39">
        <f t="shared" si="102"/>
        <v>12.793887114033268</v>
      </c>
      <c r="D3169" s="39">
        <f t="shared" si="103"/>
        <v>4.3620873269435574</v>
      </c>
    </row>
    <row r="3170" spans="2:4" ht="15" x14ac:dyDescent="0.15">
      <c r="B3170" s="38">
        <v>12632</v>
      </c>
      <c r="C3170" s="39">
        <f t="shared" si="102"/>
        <v>12.803142191774198</v>
      </c>
      <c r="D3170" s="39">
        <f t="shared" si="103"/>
        <v>4.3667377398720681</v>
      </c>
    </row>
    <row r="3171" spans="2:4" ht="15" x14ac:dyDescent="0.15">
      <c r="B3171" s="38">
        <v>12636</v>
      </c>
      <c r="C3171" s="39">
        <f t="shared" si="102"/>
        <v>12.812407141599921</v>
      </c>
      <c r="D3171" s="39">
        <f t="shared" si="103"/>
        <v>4.3713980789754538</v>
      </c>
    </row>
    <row r="3172" spans="2:4" ht="15" x14ac:dyDescent="0.15">
      <c r="B3172" s="38">
        <v>12640</v>
      </c>
      <c r="C3172" s="39">
        <f t="shared" si="102"/>
        <v>12.821681984593383</v>
      </c>
      <c r="D3172" s="39">
        <f t="shared" si="103"/>
        <v>4.3760683760683765</v>
      </c>
    </row>
    <row r="3173" spans="2:4" ht="15" x14ac:dyDescent="0.15">
      <c r="B3173" s="38">
        <v>12644</v>
      </c>
      <c r="C3173" s="39">
        <f t="shared" si="102"/>
        <v>12.830966741905133</v>
      </c>
      <c r="D3173" s="39">
        <f t="shared" si="103"/>
        <v>4.3807486631016044</v>
      </c>
    </row>
    <row r="3174" spans="2:4" ht="15" x14ac:dyDescent="0.15">
      <c r="B3174" s="38">
        <v>12648</v>
      </c>
      <c r="C3174" s="39">
        <f t="shared" si="102"/>
        <v>12.84026143475362</v>
      </c>
      <c r="D3174" s="39">
        <f t="shared" si="103"/>
        <v>4.3854389721627411</v>
      </c>
    </row>
    <row r="3175" spans="2:4" ht="15" x14ac:dyDescent="0.15">
      <c r="B3175" s="38">
        <v>12652</v>
      </c>
      <c r="C3175" s="39">
        <f t="shared" si="102"/>
        <v>12.849566084425488</v>
      </c>
      <c r="D3175" s="39">
        <f t="shared" si="103"/>
        <v>4.390139335476956</v>
      </c>
    </row>
    <row r="3176" spans="2:4" ht="15" x14ac:dyDescent="0.15">
      <c r="B3176" s="38">
        <v>12656</v>
      </c>
      <c r="C3176" s="39">
        <f t="shared" si="102"/>
        <v>12.858880712275859</v>
      </c>
      <c r="D3176" s="39">
        <f t="shared" si="103"/>
        <v>4.3948497854077253</v>
      </c>
    </row>
    <row r="3177" spans="2:4" ht="15" x14ac:dyDescent="0.15">
      <c r="B3177" s="38">
        <v>12660</v>
      </c>
      <c r="C3177" s="39">
        <f t="shared" si="102"/>
        <v>12.868205339728632</v>
      </c>
      <c r="D3177" s="39">
        <f t="shared" si="103"/>
        <v>4.3995703544575724</v>
      </c>
    </row>
    <row r="3178" spans="2:4" ht="15" x14ac:dyDescent="0.15">
      <c r="B3178" s="38">
        <v>12664</v>
      </c>
      <c r="C3178" s="39">
        <f t="shared" si="102"/>
        <v>12.877539988276785</v>
      </c>
      <c r="D3178" s="39">
        <f t="shared" si="103"/>
        <v>4.4043010752688172</v>
      </c>
    </row>
    <row r="3179" spans="2:4" ht="15" x14ac:dyDescent="0.15">
      <c r="B3179" s="38">
        <v>12668</v>
      </c>
      <c r="C3179" s="39">
        <f t="shared" si="102"/>
        <v>12.886884679482652</v>
      </c>
      <c r="D3179" s="39">
        <f t="shared" si="103"/>
        <v>4.4090419806243268</v>
      </c>
    </row>
    <row r="3180" spans="2:4" ht="15" x14ac:dyDescent="0.15">
      <c r="B3180" s="38">
        <v>12672</v>
      </c>
      <c r="C3180" s="39">
        <f t="shared" si="102"/>
        <v>12.896239434978245</v>
      </c>
      <c r="D3180" s="39">
        <f t="shared" si="103"/>
        <v>4.4137931034482758</v>
      </c>
    </row>
    <row r="3181" spans="2:4" ht="15" x14ac:dyDescent="0.15">
      <c r="B3181" s="38">
        <v>12676</v>
      </c>
      <c r="C3181" s="39">
        <f t="shared" si="102"/>
        <v>12.905604276465546</v>
      </c>
      <c r="D3181" s="39">
        <f t="shared" si="103"/>
        <v>4.4185544768069036</v>
      </c>
    </row>
    <row r="3182" spans="2:4" ht="15" x14ac:dyDescent="0.15">
      <c r="B3182" s="38">
        <v>12680</v>
      </c>
      <c r="C3182" s="39">
        <f t="shared" si="102"/>
        <v>12.914979225716801</v>
      </c>
      <c r="D3182" s="39">
        <f t="shared" si="103"/>
        <v>4.4233261339092875</v>
      </c>
    </row>
    <row r="3183" spans="2:4" ht="15" x14ac:dyDescent="0.15">
      <c r="B3183" s="38">
        <v>12684</v>
      </c>
      <c r="C3183" s="39">
        <f t="shared" si="102"/>
        <v>12.924364304574835</v>
      </c>
      <c r="D3183" s="39">
        <f t="shared" si="103"/>
        <v>4.4281081081081082</v>
      </c>
    </row>
    <row r="3184" spans="2:4" ht="15" x14ac:dyDescent="0.15">
      <c r="B3184" s="38">
        <v>12688</v>
      </c>
      <c r="C3184" s="39">
        <f t="shared" si="102"/>
        <v>12.933759534953353</v>
      </c>
      <c r="D3184" s="39">
        <f t="shared" si="103"/>
        <v>4.4329004329004329</v>
      </c>
    </row>
    <row r="3185" spans="2:4" ht="15" x14ac:dyDescent="0.15">
      <c r="B3185" s="38">
        <v>12692</v>
      </c>
      <c r="C3185" s="39">
        <f t="shared" si="102"/>
        <v>12.943164938837246</v>
      </c>
      <c r="D3185" s="39">
        <f t="shared" si="103"/>
        <v>4.4377031419284938</v>
      </c>
    </row>
    <row r="3186" spans="2:4" ht="15" x14ac:dyDescent="0.15">
      <c r="B3186" s="38">
        <v>12696</v>
      </c>
      <c r="C3186" s="39">
        <f t="shared" si="102"/>
        <v>12.9525805382829</v>
      </c>
      <c r="D3186" s="39">
        <f t="shared" si="103"/>
        <v>4.4425162689804774</v>
      </c>
    </row>
    <row r="3187" spans="2:4" ht="15" x14ac:dyDescent="0.15">
      <c r="B3187" s="38">
        <v>12700</v>
      </c>
      <c r="C3187" s="39">
        <f t="shared" si="102"/>
        <v>12.962006355418509</v>
      </c>
      <c r="D3187" s="39">
        <f t="shared" si="103"/>
        <v>4.447339847991314</v>
      </c>
    </row>
    <row r="3188" spans="2:4" ht="15" x14ac:dyDescent="0.15">
      <c r="B3188" s="38">
        <v>12704</v>
      </c>
      <c r="C3188" s="39">
        <f t="shared" si="102"/>
        <v>12.971442412444381</v>
      </c>
      <c r="D3188" s="39">
        <f t="shared" si="103"/>
        <v>4.4521739130434783</v>
      </c>
    </row>
    <row r="3189" spans="2:4" ht="15" x14ac:dyDescent="0.15">
      <c r="B3189" s="38">
        <v>12708</v>
      </c>
      <c r="C3189" s="39">
        <f t="shared" si="102"/>
        <v>12.980888731633263</v>
      </c>
      <c r="D3189" s="39">
        <f t="shared" si="103"/>
        <v>4.4570184983677912</v>
      </c>
    </row>
    <row r="3190" spans="2:4" ht="15" x14ac:dyDescent="0.15">
      <c r="B3190" s="38">
        <v>12712</v>
      </c>
      <c r="C3190" s="39">
        <f t="shared" si="102"/>
        <v>12.990345335330639</v>
      </c>
      <c r="D3190" s="39">
        <f t="shared" si="103"/>
        <v>4.461873638344227</v>
      </c>
    </row>
    <row r="3191" spans="2:4" ht="15" x14ac:dyDescent="0.15">
      <c r="B3191" s="38">
        <v>12716</v>
      </c>
      <c r="C3191" s="39">
        <f t="shared" si="102"/>
        <v>12.999812245955065</v>
      </c>
      <c r="D3191" s="39">
        <f t="shared" si="103"/>
        <v>4.4667393675027265</v>
      </c>
    </row>
    <row r="3192" spans="2:4" ht="15" x14ac:dyDescent="0.15">
      <c r="B3192" s="38">
        <v>12720</v>
      </c>
      <c r="C3192" s="39">
        <f t="shared" si="102"/>
        <v>13.00928948599848</v>
      </c>
      <c r="D3192" s="39">
        <f t="shared" si="103"/>
        <v>4.4716157205240172</v>
      </c>
    </row>
    <row r="3193" spans="2:4" ht="15" x14ac:dyDescent="0.15">
      <c r="B3193" s="38">
        <v>12724</v>
      </c>
      <c r="C3193" s="39">
        <f t="shared" si="102"/>
        <v>13.018777078026522</v>
      </c>
      <c r="D3193" s="39">
        <f t="shared" si="103"/>
        <v>4.4765027322404372</v>
      </c>
    </row>
    <row r="3194" spans="2:4" ht="15" x14ac:dyDescent="0.15">
      <c r="B3194" s="38">
        <v>12728</v>
      </c>
      <c r="C3194" s="39">
        <f t="shared" si="102"/>
        <v>13.028275044678859</v>
      </c>
      <c r="D3194" s="39">
        <f t="shared" si="103"/>
        <v>4.4814004376367613</v>
      </c>
    </row>
    <row r="3195" spans="2:4" ht="15" x14ac:dyDescent="0.15">
      <c r="B3195" s="38">
        <v>12732</v>
      </c>
      <c r="C3195" s="39">
        <f t="shared" si="102"/>
        <v>13.037783408669508</v>
      </c>
      <c r="D3195" s="39">
        <f t="shared" si="103"/>
        <v>4.4863088718510404</v>
      </c>
    </row>
    <row r="3196" spans="2:4" ht="15" x14ac:dyDescent="0.15">
      <c r="B3196" s="38">
        <v>12736</v>
      </c>
      <c r="C3196" s="39">
        <f t="shared" si="102"/>
        <v>13.047302192787162</v>
      </c>
      <c r="D3196" s="39">
        <f t="shared" si="103"/>
        <v>4.4912280701754383</v>
      </c>
    </row>
    <row r="3197" spans="2:4" ht="15" x14ac:dyDescent="0.15">
      <c r="B3197" s="38">
        <v>12740</v>
      </c>
      <c r="C3197" s="39">
        <f t="shared" si="102"/>
        <v>13.056831419895524</v>
      </c>
      <c r="D3197" s="39">
        <f t="shared" si="103"/>
        <v>4.4961580680570803</v>
      </c>
    </row>
    <row r="3198" spans="2:4" ht="15" x14ac:dyDescent="0.15">
      <c r="B3198" s="38">
        <v>12744</v>
      </c>
      <c r="C3198" s="39">
        <f t="shared" si="102"/>
        <v>13.066371112933615</v>
      </c>
      <c r="D3198" s="39">
        <f t="shared" si="103"/>
        <v>4.5010989010989011</v>
      </c>
    </row>
    <row r="3199" spans="2:4" ht="15" x14ac:dyDescent="0.15">
      <c r="B3199" s="38">
        <v>12748</v>
      </c>
      <c r="C3199" s="39">
        <f t="shared" si="102"/>
        <v>13.075921294916137</v>
      </c>
      <c r="D3199" s="39">
        <f t="shared" si="103"/>
        <v>4.5060506050605058</v>
      </c>
    </row>
    <row r="3200" spans="2:4" ht="15" x14ac:dyDescent="0.15">
      <c r="B3200" s="38">
        <v>12752</v>
      </c>
      <c r="C3200" s="39">
        <f t="shared" si="102"/>
        <v>13.085481988933784</v>
      </c>
      <c r="D3200" s="39">
        <f t="shared" si="103"/>
        <v>4.5110132158590313</v>
      </c>
    </row>
    <row r="3201" spans="2:4" ht="15" x14ac:dyDescent="0.15">
      <c r="B3201" s="38">
        <v>12756</v>
      </c>
      <c r="C3201" s="39">
        <f t="shared" si="102"/>
        <v>13.095053218153582</v>
      </c>
      <c r="D3201" s="39">
        <f t="shared" si="103"/>
        <v>4.5159867695700111</v>
      </c>
    </row>
    <row r="3202" spans="2:4" ht="15" x14ac:dyDescent="0.15">
      <c r="B3202" s="38">
        <v>12760</v>
      </c>
      <c r="C3202" s="39">
        <f t="shared" si="102"/>
        <v>13.104635005819226</v>
      </c>
      <c r="D3202" s="39">
        <f t="shared" si="103"/>
        <v>4.5209713024282561</v>
      </c>
    </row>
    <row r="3203" spans="2:4" ht="15" x14ac:dyDescent="0.15">
      <c r="B3203" s="38">
        <v>12764</v>
      </c>
      <c r="C3203" s="39">
        <f t="shared" si="102"/>
        <v>13.114227375251421</v>
      </c>
      <c r="D3203" s="39">
        <f t="shared" si="103"/>
        <v>4.5259668508287296</v>
      </c>
    </row>
    <row r="3204" spans="2:4" ht="15" x14ac:dyDescent="0.15">
      <c r="B3204" s="38">
        <v>12768</v>
      </c>
      <c r="C3204" s="39">
        <f t="shared" si="102"/>
        <v>13.12383034984822</v>
      </c>
      <c r="D3204" s="39">
        <f t="shared" si="103"/>
        <v>4.5309734513274336</v>
      </c>
    </row>
    <row r="3205" spans="2:4" ht="15" x14ac:dyDescent="0.15">
      <c r="B3205" s="38">
        <v>12772</v>
      </c>
      <c r="C3205" s="39">
        <f t="shared" si="102"/>
        <v>13.13344395308537</v>
      </c>
      <c r="D3205" s="39">
        <f t="shared" si="103"/>
        <v>4.5359911406423032</v>
      </c>
    </row>
    <row r="3206" spans="2:4" ht="15" x14ac:dyDescent="0.15">
      <c r="B3206" s="38">
        <v>12776</v>
      </c>
      <c r="C3206" s="39">
        <f t="shared" ref="C3206:C3269" si="104">20*LOG(D3206)</f>
        <v>13.143068208516652</v>
      </c>
      <c r="D3206" s="39">
        <f t="shared" ref="D3206:D3269" si="105">16384/(16384-B3206)</f>
        <v>4.541019955654102</v>
      </c>
    </row>
    <row r="3207" spans="2:4" ht="15" x14ac:dyDescent="0.15">
      <c r="B3207" s="38">
        <v>12780</v>
      </c>
      <c r="C3207" s="39">
        <f t="shared" si="104"/>
        <v>13.152703139774227</v>
      </c>
      <c r="D3207" s="39">
        <f t="shared" si="105"/>
        <v>4.5460599334073253</v>
      </c>
    </row>
    <row r="3208" spans="2:4" ht="15" x14ac:dyDescent="0.15">
      <c r="B3208" s="38">
        <v>12784</v>
      </c>
      <c r="C3208" s="39">
        <f t="shared" si="104"/>
        <v>13.16234877056899</v>
      </c>
      <c r="D3208" s="39">
        <f t="shared" si="105"/>
        <v>4.5511111111111111</v>
      </c>
    </row>
    <row r="3209" spans="2:4" ht="15" x14ac:dyDescent="0.15">
      <c r="B3209" s="38">
        <v>12788</v>
      </c>
      <c r="C3209" s="39">
        <f t="shared" si="104"/>
        <v>13.17200512469091</v>
      </c>
      <c r="D3209" s="39">
        <f t="shared" si="105"/>
        <v>4.5561735261401557</v>
      </c>
    </row>
    <row r="3210" spans="2:4" ht="15" x14ac:dyDescent="0.15">
      <c r="B3210" s="38">
        <v>12792</v>
      </c>
      <c r="C3210" s="39">
        <f t="shared" si="104"/>
        <v>13.1816722260094</v>
      </c>
      <c r="D3210" s="39">
        <f t="shared" si="105"/>
        <v>4.5612472160356345</v>
      </c>
    </row>
    <row r="3211" spans="2:4" ht="15" x14ac:dyDescent="0.15">
      <c r="B3211" s="38">
        <v>12796</v>
      </c>
      <c r="C3211" s="39">
        <f t="shared" si="104"/>
        <v>13.191350098473645</v>
      </c>
      <c r="D3211" s="39">
        <f t="shared" si="105"/>
        <v>4.5663322185061315</v>
      </c>
    </row>
    <row r="3212" spans="2:4" ht="15" x14ac:dyDescent="0.15">
      <c r="B3212" s="38">
        <v>12800</v>
      </c>
      <c r="C3212" s="39">
        <f t="shared" si="104"/>
        <v>13.201038766112983</v>
      </c>
      <c r="D3212" s="39">
        <f t="shared" si="105"/>
        <v>4.5714285714285712</v>
      </c>
    </row>
    <row r="3213" spans="2:4" ht="15" x14ac:dyDescent="0.15">
      <c r="B3213" s="38">
        <v>12804</v>
      </c>
      <c r="C3213" s="39">
        <f t="shared" si="104"/>
        <v>13.210738253037245</v>
      </c>
      <c r="D3213" s="39">
        <f t="shared" si="105"/>
        <v>4.5765363128491616</v>
      </c>
    </row>
    <row r="3214" spans="2:4" ht="15" x14ac:dyDescent="0.15">
      <c r="B3214" s="38">
        <v>12808</v>
      </c>
      <c r="C3214" s="39">
        <f t="shared" si="104"/>
        <v>13.220448583437133</v>
      </c>
      <c r="D3214" s="39">
        <f t="shared" si="105"/>
        <v>4.5816554809843399</v>
      </c>
    </row>
    <row r="3215" spans="2:4" ht="15" x14ac:dyDescent="0.15">
      <c r="B3215" s="38">
        <v>12812</v>
      </c>
      <c r="C3215" s="39">
        <f t="shared" si="104"/>
        <v>13.230169781584557</v>
      </c>
      <c r="D3215" s="39">
        <f t="shared" si="105"/>
        <v>4.5867861142217246</v>
      </c>
    </row>
    <row r="3216" spans="2:4" ht="15" x14ac:dyDescent="0.15">
      <c r="B3216" s="38">
        <v>12816</v>
      </c>
      <c r="C3216" s="39">
        <f t="shared" si="104"/>
        <v>13.239901871833027</v>
      </c>
      <c r="D3216" s="39">
        <f t="shared" si="105"/>
        <v>4.5919282511210762</v>
      </c>
    </row>
    <row r="3217" spans="2:4" ht="15" x14ac:dyDescent="0.15">
      <c r="B3217" s="38">
        <v>12820</v>
      </c>
      <c r="C3217" s="39">
        <f t="shared" si="104"/>
        <v>13.249644878617993</v>
      </c>
      <c r="D3217" s="39">
        <f t="shared" si="105"/>
        <v>4.5970819304152641</v>
      </c>
    </row>
    <row r="3218" spans="2:4" ht="15" x14ac:dyDescent="0.15">
      <c r="B3218" s="38">
        <v>12824</v>
      </c>
      <c r="C3218" s="39">
        <f t="shared" si="104"/>
        <v>13.259398826457232</v>
      </c>
      <c r="D3218" s="39">
        <f t="shared" si="105"/>
        <v>4.6022471910112364</v>
      </c>
    </row>
    <row r="3219" spans="2:4" ht="15" x14ac:dyDescent="0.15">
      <c r="B3219" s="38">
        <v>12828</v>
      </c>
      <c r="C3219" s="39">
        <f t="shared" si="104"/>
        <v>13.269163739951214</v>
      </c>
      <c r="D3219" s="39">
        <f t="shared" si="105"/>
        <v>4.6074240719910016</v>
      </c>
    </row>
    <row r="3220" spans="2:4" ht="15" x14ac:dyDescent="0.15">
      <c r="B3220" s="38">
        <v>12832</v>
      </c>
      <c r="C3220" s="39">
        <f t="shared" si="104"/>
        <v>13.278939643783467</v>
      </c>
      <c r="D3220" s="39">
        <f t="shared" si="105"/>
        <v>4.6126126126126126</v>
      </c>
    </row>
    <row r="3221" spans="2:4" ht="15" x14ac:dyDescent="0.15">
      <c r="B3221" s="38">
        <v>12836</v>
      </c>
      <c r="C3221" s="39">
        <f t="shared" si="104"/>
        <v>13.288726562720958</v>
      </c>
      <c r="D3221" s="39">
        <f t="shared" si="105"/>
        <v>4.617812852311161</v>
      </c>
    </row>
    <row r="3222" spans="2:4" ht="15" x14ac:dyDescent="0.15">
      <c r="B3222" s="38">
        <v>12840</v>
      </c>
      <c r="C3222" s="39">
        <f t="shared" si="104"/>
        <v>13.298524521614471</v>
      </c>
      <c r="D3222" s="39">
        <f t="shared" si="105"/>
        <v>4.6230248306997739</v>
      </c>
    </row>
    <row r="3223" spans="2:4" ht="15" x14ac:dyDescent="0.15">
      <c r="B3223" s="38">
        <v>12844</v>
      </c>
      <c r="C3223" s="39">
        <f t="shared" si="104"/>
        <v>13.308333545398979</v>
      </c>
      <c r="D3223" s="39">
        <f t="shared" si="105"/>
        <v>4.6282485875706216</v>
      </c>
    </row>
    <row r="3224" spans="2:4" ht="15" x14ac:dyDescent="0.15">
      <c r="B3224" s="38">
        <v>12848</v>
      </c>
      <c r="C3224" s="39">
        <f t="shared" si="104"/>
        <v>13.318153659094026</v>
      </c>
      <c r="D3224" s="39">
        <f t="shared" si="105"/>
        <v>4.633484162895928</v>
      </c>
    </row>
    <row r="3225" spans="2:4" ht="15" x14ac:dyDescent="0.15">
      <c r="B3225" s="38">
        <v>12852</v>
      </c>
      <c r="C3225" s="39">
        <f t="shared" si="104"/>
        <v>13.327984887804117</v>
      </c>
      <c r="D3225" s="39">
        <f t="shared" si="105"/>
        <v>4.6387315968289924</v>
      </c>
    </row>
    <row r="3226" spans="2:4" ht="15" x14ac:dyDescent="0.15">
      <c r="B3226" s="38">
        <v>12856</v>
      </c>
      <c r="C3226" s="39">
        <f t="shared" si="104"/>
        <v>13.337827256719093</v>
      </c>
      <c r="D3226" s="39">
        <f t="shared" si="105"/>
        <v>4.6439909297052155</v>
      </c>
    </row>
    <row r="3227" spans="2:4" ht="15" x14ac:dyDescent="0.15">
      <c r="B3227" s="38">
        <v>12860</v>
      </c>
      <c r="C3227" s="39">
        <f t="shared" si="104"/>
        <v>13.347680791114529</v>
      </c>
      <c r="D3227" s="39">
        <f t="shared" si="105"/>
        <v>4.6492622020431327</v>
      </c>
    </row>
    <row r="3228" spans="2:4" ht="15" x14ac:dyDescent="0.15">
      <c r="B3228" s="38">
        <v>12864</v>
      </c>
      <c r="C3228" s="39">
        <f t="shared" si="104"/>
        <v>13.357545516352115</v>
      </c>
      <c r="D3228" s="39">
        <f t="shared" si="105"/>
        <v>4.6545454545454543</v>
      </c>
    </row>
    <row r="3229" spans="2:4" ht="15" x14ac:dyDescent="0.15">
      <c r="B3229" s="38">
        <v>12868</v>
      </c>
      <c r="C3229" s="39">
        <f t="shared" si="104"/>
        <v>13.367421457880049</v>
      </c>
      <c r="D3229" s="39">
        <f t="shared" si="105"/>
        <v>4.6598407281001135</v>
      </c>
    </row>
    <row r="3230" spans="2:4" ht="15" x14ac:dyDescent="0.15">
      <c r="B3230" s="38">
        <v>12872</v>
      </c>
      <c r="C3230" s="39">
        <f t="shared" si="104"/>
        <v>13.377308641233434</v>
      </c>
      <c r="D3230" s="39">
        <f t="shared" si="105"/>
        <v>4.665148063781321</v>
      </c>
    </row>
    <row r="3231" spans="2:4" ht="15" x14ac:dyDescent="0.15">
      <c r="B3231" s="38">
        <v>12876</v>
      </c>
      <c r="C3231" s="39">
        <f t="shared" si="104"/>
        <v>13.387207092034677</v>
      </c>
      <c r="D3231" s="39">
        <f t="shared" si="105"/>
        <v>4.6704675028506273</v>
      </c>
    </row>
    <row r="3232" spans="2:4" ht="15" x14ac:dyDescent="0.15">
      <c r="B3232" s="38">
        <v>12880</v>
      </c>
      <c r="C3232" s="39">
        <f t="shared" si="104"/>
        <v>13.397116835993872</v>
      </c>
      <c r="D3232" s="39">
        <f t="shared" si="105"/>
        <v>4.6757990867579906</v>
      </c>
    </row>
    <row r="3233" spans="2:4" ht="15" x14ac:dyDescent="0.15">
      <c r="B3233" s="38">
        <v>12884</v>
      </c>
      <c r="C3233" s="39">
        <f t="shared" si="104"/>
        <v>13.407037898909222</v>
      </c>
      <c r="D3233" s="39">
        <f t="shared" si="105"/>
        <v>4.6811428571428575</v>
      </c>
    </row>
    <row r="3234" spans="2:4" ht="15" x14ac:dyDescent="0.15">
      <c r="B3234" s="38">
        <v>12888</v>
      </c>
      <c r="C3234" s="39">
        <f t="shared" si="104"/>
        <v>13.416970306667427</v>
      </c>
      <c r="D3234" s="39">
        <f t="shared" si="105"/>
        <v>4.6864988558352403</v>
      </c>
    </row>
    <row r="3235" spans="2:4" ht="15" x14ac:dyDescent="0.15">
      <c r="B3235" s="38">
        <v>12892</v>
      </c>
      <c r="C3235" s="39">
        <f t="shared" si="104"/>
        <v>13.426914085244093</v>
      </c>
      <c r="D3235" s="39">
        <f t="shared" si="105"/>
        <v>4.6918671248568158</v>
      </c>
    </row>
    <row r="3236" spans="2:4" ht="15" x14ac:dyDescent="0.15">
      <c r="B3236" s="38">
        <v>12896</v>
      </c>
      <c r="C3236" s="39">
        <f t="shared" si="104"/>
        <v>13.436869260704142</v>
      </c>
      <c r="D3236" s="39">
        <f t="shared" si="105"/>
        <v>4.6972477064220186</v>
      </c>
    </row>
    <row r="3237" spans="2:4" ht="15" x14ac:dyDescent="0.15">
      <c r="B3237" s="38">
        <v>12900</v>
      </c>
      <c r="C3237" s="39">
        <f t="shared" si="104"/>
        <v>13.446835859202222</v>
      </c>
      <c r="D3237" s="39">
        <f t="shared" si="105"/>
        <v>4.7026406429391505</v>
      </c>
    </row>
    <row r="3238" spans="2:4" ht="15" x14ac:dyDescent="0.15">
      <c r="B3238" s="38">
        <v>12904</v>
      </c>
      <c r="C3238" s="39">
        <f t="shared" si="104"/>
        <v>13.456813906983117</v>
      </c>
      <c r="D3238" s="39">
        <f t="shared" si="105"/>
        <v>4.7080459770114942</v>
      </c>
    </row>
    <row r="3239" spans="2:4" ht="15" x14ac:dyDescent="0.15">
      <c r="B3239" s="38">
        <v>12908</v>
      </c>
      <c r="C3239" s="39">
        <f t="shared" si="104"/>
        <v>13.466803430382157</v>
      </c>
      <c r="D3239" s="39">
        <f t="shared" si="105"/>
        <v>4.713463751438435</v>
      </c>
    </row>
    <row r="3240" spans="2:4" ht="15" x14ac:dyDescent="0.15">
      <c r="B3240" s="38">
        <v>12912</v>
      </c>
      <c r="C3240" s="39">
        <f t="shared" si="104"/>
        <v>13.476804455825649</v>
      </c>
      <c r="D3240" s="39">
        <f t="shared" si="105"/>
        <v>4.7188940092165899</v>
      </c>
    </row>
    <row r="3241" spans="2:4" ht="15" x14ac:dyDescent="0.15">
      <c r="B3241" s="38">
        <v>12916</v>
      </c>
      <c r="C3241" s="39">
        <f t="shared" si="104"/>
        <v>13.486817009831283</v>
      </c>
      <c r="D3241" s="39">
        <f t="shared" si="105"/>
        <v>4.7243367935409459</v>
      </c>
    </row>
    <row r="3242" spans="2:4" ht="15" x14ac:dyDescent="0.15">
      <c r="B3242" s="38">
        <v>12920</v>
      </c>
      <c r="C3242" s="39">
        <f t="shared" si="104"/>
        <v>13.496841119008554</v>
      </c>
      <c r="D3242" s="39">
        <f t="shared" si="105"/>
        <v>4.7297921478060045</v>
      </c>
    </row>
    <row r="3243" spans="2:4" ht="15" x14ac:dyDescent="0.15">
      <c r="B3243" s="38">
        <v>12924</v>
      </c>
      <c r="C3243" s="39">
        <f t="shared" si="104"/>
        <v>13.506876810059204</v>
      </c>
      <c r="D3243" s="39">
        <f t="shared" si="105"/>
        <v>4.7352601156069367</v>
      </c>
    </row>
    <row r="3244" spans="2:4" ht="15" x14ac:dyDescent="0.15">
      <c r="B3244" s="38">
        <v>12928</v>
      </c>
      <c r="C3244" s="39">
        <f t="shared" si="104"/>
        <v>13.516924109777621</v>
      </c>
      <c r="D3244" s="39">
        <f t="shared" si="105"/>
        <v>4.7407407407407405</v>
      </c>
    </row>
    <row r="3245" spans="2:4" ht="15" x14ac:dyDescent="0.15">
      <c r="B3245" s="38">
        <v>12932</v>
      </c>
      <c r="C3245" s="39">
        <f t="shared" si="104"/>
        <v>13.526983045051296</v>
      </c>
      <c r="D3245" s="39">
        <f t="shared" si="105"/>
        <v>4.7462340672074159</v>
      </c>
    </row>
    <row r="3246" spans="2:4" ht="15" x14ac:dyDescent="0.15">
      <c r="B3246" s="38">
        <v>12936</v>
      </c>
      <c r="C3246" s="39">
        <f t="shared" si="104"/>
        <v>13.537053642861229</v>
      </c>
      <c r="D3246" s="39">
        <f t="shared" si="105"/>
        <v>4.7517401392111367</v>
      </c>
    </row>
    <row r="3247" spans="2:4" ht="15" x14ac:dyDescent="0.15">
      <c r="B3247" s="38">
        <v>12940</v>
      </c>
      <c r="C3247" s="39">
        <f t="shared" si="104"/>
        <v>13.547135930282392</v>
      </c>
      <c r="D3247" s="39">
        <f t="shared" si="105"/>
        <v>4.7572590011614402</v>
      </c>
    </row>
    <row r="3248" spans="2:4" ht="15" x14ac:dyDescent="0.15">
      <c r="B3248" s="38">
        <v>12944</v>
      </c>
      <c r="C3248" s="39">
        <f t="shared" si="104"/>
        <v>13.557229934484132</v>
      </c>
      <c r="D3248" s="39">
        <f t="shared" si="105"/>
        <v>4.7627906976744185</v>
      </c>
    </row>
    <row r="3249" spans="2:4" ht="15" x14ac:dyDescent="0.15">
      <c r="B3249" s="38">
        <v>12948</v>
      </c>
      <c r="C3249" s="39">
        <f t="shared" si="104"/>
        <v>13.567335682730642</v>
      </c>
      <c r="D3249" s="39">
        <f t="shared" si="105"/>
        <v>4.7683352735739231</v>
      </c>
    </row>
    <row r="3250" spans="2:4" ht="15" x14ac:dyDescent="0.15">
      <c r="B3250" s="38">
        <v>12952</v>
      </c>
      <c r="C3250" s="39">
        <f t="shared" si="104"/>
        <v>13.577453202381378</v>
      </c>
      <c r="D3250" s="39">
        <f t="shared" si="105"/>
        <v>4.7738927738927739</v>
      </c>
    </row>
    <row r="3251" spans="2:4" ht="15" x14ac:dyDescent="0.15">
      <c r="B3251" s="38">
        <v>12956</v>
      </c>
      <c r="C3251" s="39">
        <f t="shared" si="104"/>
        <v>13.587582520891523</v>
      </c>
      <c r="D3251" s="39">
        <f t="shared" si="105"/>
        <v>4.7794632438739786</v>
      </c>
    </row>
    <row r="3252" spans="2:4" ht="15" x14ac:dyDescent="0.15">
      <c r="B3252" s="38">
        <v>12960</v>
      </c>
      <c r="C3252" s="39">
        <f t="shared" si="104"/>
        <v>13.597723665812422</v>
      </c>
      <c r="D3252" s="39">
        <f t="shared" si="105"/>
        <v>4.7850467289719623</v>
      </c>
    </row>
    <row r="3253" spans="2:4" ht="15" x14ac:dyDescent="0.15">
      <c r="B3253" s="38">
        <v>12964</v>
      </c>
      <c r="C3253" s="39">
        <f t="shared" si="104"/>
        <v>13.607876664792034</v>
      </c>
      <c r="D3253" s="39">
        <f t="shared" si="105"/>
        <v>4.7906432748538013</v>
      </c>
    </row>
    <row r="3254" spans="2:4" ht="15" x14ac:dyDescent="0.15">
      <c r="B3254" s="38">
        <v>12968</v>
      </c>
      <c r="C3254" s="39">
        <f t="shared" si="104"/>
        <v>13.618041545575386</v>
      </c>
      <c r="D3254" s="39">
        <f t="shared" si="105"/>
        <v>4.7962529274004684</v>
      </c>
    </row>
    <row r="3255" spans="2:4" ht="15" x14ac:dyDescent="0.15">
      <c r="B3255" s="38">
        <v>12972</v>
      </c>
      <c r="C3255" s="39">
        <f t="shared" si="104"/>
        <v>13.628218336005025</v>
      </c>
      <c r="D3255" s="39">
        <f t="shared" si="105"/>
        <v>4.8018757327080888</v>
      </c>
    </row>
    <row r="3256" spans="2:4" ht="15" x14ac:dyDescent="0.15">
      <c r="B3256" s="38">
        <v>12976</v>
      </c>
      <c r="C3256" s="39">
        <f t="shared" si="104"/>
        <v>13.638407064021486</v>
      </c>
      <c r="D3256" s="39">
        <f t="shared" si="105"/>
        <v>4.807511737089202</v>
      </c>
    </row>
    <row r="3257" spans="2:4" ht="15" x14ac:dyDescent="0.15">
      <c r="B3257" s="38">
        <v>12980</v>
      </c>
      <c r="C3257" s="39">
        <f t="shared" si="104"/>
        <v>13.648607757663729</v>
      </c>
      <c r="D3257" s="39">
        <f t="shared" si="105"/>
        <v>4.8131609870740304</v>
      </c>
    </row>
    <row r="3258" spans="2:4" ht="15" x14ac:dyDescent="0.15">
      <c r="B3258" s="38">
        <v>12984</v>
      </c>
      <c r="C3258" s="39">
        <f t="shared" si="104"/>
        <v>13.65882044506963</v>
      </c>
      <c r="D3258" s="39">
        <f t="shared" si="105"/>
        <v>4.8188235294117643</v>
      </c>
    </row>
    <row r="3259" spans="2:4" ht="15" x14ac:dyDescent="0.15">
      <c r="B3259" s="38">
        <v>12988</v>
      </c>
      <c r="C3259" s="39">
        <f t="shared" si="104"/>
        <v>13.669045154476434</v>
      </c>
      <c r="D3259" s="39">
        <f t="shared" si="105"/>
        <v>4.8244994110718489</v>
      </c>
    </row>
    <row r="3260" spans="2:4" ht="15" x14ac:dyDescent="0.15">
      <c r="B3260" s="38">
        <v>12992</v>
      </c>
      <c r="C3260" s="39">
        <f t="shared" si="104"/>
        <v>13.67928191422121</v>
      </c>
      <c r="D3260" s="39">
        <f t="shared" si="105"/>
        <v>4.8301886792452828</v>
      </c>
    </row>
    <row r="3261" spans="2:4" ht="15" x14ac:dyDescent="0.15">
      <c r="B3261" s="38">
        <v>12996</v>
      </c>
      <c r="C3261" s="39">
        <f t="shared" si="104"/>
        <v>13.689530752741348</v>
      </c>
      <c r="D3261" s="39">
        <f t="shared" si="105"/>
        <v>4.8358913813459266</v>
      </c>
    </row>
    <row r="3262" spans="2:4" ht="15" x14ac:dyDescent="0.15">
      <c r="B3262" s="38">
        <v>13000</v>
      </c>
      <c r="C3262" s="39">
        <f t="shared" si="104"/>
        <v>13.699791698575016</v>
      </c>
      <c r="D3262" s="39">
        <f t="shared" si="105"/>
        <v>4.8416075650118202</v>
      </c>
    </row>
    <row r="3263" spans="2:4" ht="15" x14ac:dyDescent="0.15">
      <c r="B3263" s="38">
        <v>13004</v>
      </c>
      <c r="C3263" s="39">
        <f t="shared" si="104"/>
        <v>13.710064780361639</v>
      </c>
      <c r="D3263" s="39">
        <f t="shared" si="105"/>
        <v>4.8473372781065089</v>
      </c>
    </row>
    <row r="3264" spans="2:4" ht="15" x14ac:dyDescent="0.15">
      <c r="B3264" s="38">
        <v>13008</v>
      </c>
      <c r="C3264" s="39">
        <f t="shared" si="104"/>
        <v>13.720350026842388</v>
      </c>
      <c r="D3264" s="39">
        <f t="shared" si="105"/>
        <v>4.8530805687203795</v>
      </c>
    </row>
    <row r="3265" spans="2:4" ht="15" x14ac:dyDescent="0.15">
      <c r="B3265" s="38">
        <v>13012</v>
      </c>
      <c r="C3265" s="39">
        <f t="shared" si="104"/>
        <v>13.730647466860642</v>
      </c>
      <c r="D3265" s="39">
        <f t="shared" si="105"/>
        <v>4.8588374851720051</v>
      </c>
    </row>
    <row r="3266" spans="2:4" ht="15" x14ac:dyDescent="0.15">
      <c r="B3266" s="38">
        <v>13016</v>
      </c>
      <c r="C3266" s="39">
        <f t="shared" si="104"/>
        <v>13.740957129362496</v>
      </c>
      <c r="D3266" s="39">
        <f t="shared" si="105"/>
        <v>4.8646080760095014</v>
      </c>
    </row>
    <row r="3267" spans="2:4" ht="15" x14ac:dyDescent="0.15">
      <c r="B3267" s="38">
        <v>13020</v>
      </c>
      <c r="C3267" s="39">
        <f t="shared" si="104"/>
        <v>13.751279043397242</v>
      </c>
      <c r="D3267" s="39">
        <f t="shared" si="105"/>
        <v>4.8703923900118902</v>
      </c>
    </row>
    <row r="3268" spans="2:4" ht="15" x14ac:dyDescent="0.15">
      <c r="B3268" s="38">
        <v>13024</v>
      </c>
      <c r="C3268" s="39">
        <f t="shared" si="104"/>
        <v>13.761613238117853</v>
      </c>
      <c r="D3268" s="39">
        <f t="shared" si="105"/>
        <v>4.8761904761904766</v>
      </c>
    </row>
    <row r="3269" spans="2:4" ht="15" x14ac:dyDescent="0.15">
      <c r="B3269" s="38">
        <v>13028</v>
      </c>
      <c r="C3269" s="39">
        <f t="shared" si="104"/>
        <v>13.771959742781481</v>
      </c>
      <c r="D3269" s="39">
        <f t="shared" si="105"/>
        <v>4.8820023837902262</v>
      </c>
    </row>
    <row r="3270" spans="2:4" ht="15" x14ac:dyDescent="0.15">
      <c r="B3270" s="38">
        <v>13032</v>
      </c>
      <c r="C3270" s="39">
        <f t="shared" ref="C3270:C3333" si="106">20*LOG(D3270)</f>
        <v>13.782318586749957</v>
      </c>
      <c r="D3270" s="39">
        <f t="shared" ref="D3270:D3333" si="107">16384/(16384-B3270)</f>
        <v>4.8878281622911697</v>
      </c>
    </row>
    <row r="3271" spans="2:4" ht="15" x14ac:dyDescent="0.15">
      <c r="B3271" s="38">
        <v>13036</v>
      </c>
      <c r="C3271" s="39">
        <f t="shared" si="106"/>
        <v>13.792689799490287</v>
      </c>
      <c r="D3271" s="39">
        <f t="shared" si="107"/>
        <v>4.8936678614097966</v>
      </c>
    </row>
    <row r="3272" spans="2:4" ht="15" x14ac:dyDescent="0.15">
      <c r="B3272" s="38">
        <v>13040</v>
      </c>
      <c r="C3272" s="39">
        <f t="shared" si="106"/>
        <v>13.803073410575159</v>
      </c>
      <c r="D3272" s="39">
        <f t="shared" si="107"/>
        <v>4.8995215311004783</v>
      </c>
    </row>
    <row r="3273" spans="2:4" ht="15" x14ac:dyDescent="0.15">
      <c r="B3273" s="38">
        <v>13044</v>
      </c>
      <c r="C3273" s="39">
        <f t="shared" si="106"/>
        <v>13.813469449683444</v>
      </c>
      <c r="D3273" s="39">
        <f t="shared" si="107"/>
        <v>4.9053892215568862</v>
      </c>
    </row>
    <row r="3274" spans="2:4" ht="15" x14ac:dyDescent="0.15">
      <c r="B3274" s="38">
        <v>13048</v>
      </c>
      <c r="C3274" s="39">
        <f t="shared" si="106"/>
        <v>13.82387794660071</v>
      </c>
      <c r="D3274" s="39">
        <f t="shared" si="107"/>
        <v>4.9112709832134289</v>
      </c>
    </row>
    <row r="3275" spans="2:4" ht="15" x14ac:dyDescent="0.15">
      <c r="B3275" s="38">
        <v>13052</v>
      </c>
      <c r="C3275" s="39">
        <f t="shared" si="106"/>
        <v>13.834298931219735</v>
      </c>
      <c r="D3275" s="39">
        <f t="shared" si="107"/>
        <v>4.9171668667466983</v>
      </c>
    </row>
    <row r="3276" spans="2:4" ht="15" x14ac:dyDescent="0.15">
      <c r="B3276" s="38">
        <v>13056</v>
      </c>
      <c r="C3276" s="39">
        <f t="shared" si="106"/>
        <v>13.84473243354101</v>
      </c>
      <c r="D3276" s="39">
        <f t="shared" si="107"/>
        <v>4.9230769230769234</v>
      </c>
    </row>
    <row r="3277" spans="2:4" ht="15" x14ac:dyDescent="0.15">
      <c r="B3277" s="38">
        <v>13060</v>
      </c>
      <c r="C3277" s="39">
        <f t="shared" si="106"/>
        <v>13.855178483673267</v>
      </c>
      <c r="D3277" s="39">
        <f t="shared" si="107"/>
        <v>4.9290012033694346</v>
      </c>
    </row>
    <row r="3278" spans="2:4" ht="15" x14ac:dyDescent="0.15">
      <c r="B3278" s="38">
        <v>13064</v>
      </c>
      <c r="C3278" s="39">
        <f t="shared" si="106"/>
        <v>13.86563711183401</v>
      </c>
      <c r="D3278" s="39">
        <f t="shared" si="107"/>
        <v>4.934939759036145</v>
      </c>
    </row>
    <row r="3279" spans="2:4" ht="15" x14ac:dyDescent="0.15">
      <c r="B3279" s="38">
        <v>13068</v>
      </c>
      <c r="C3279" s="39">
        <f t="shared" si="106"/>
        <v>13.876108348350016</v>
      </c>
      <c r="D3279" s="39">
        <f t="shared" si="107"/>
        <v>4.9408926417370322</v>
      </c>
    </row>
    <row r="3280" spans="2:4" ht="15" x14ac:dyDescent="0.15">
      <c r="B3280" s="38">
        <v>13072</v>
      </c>
      <c r="C3280" s="39">
        <f t="shared" si="106"/>
        <v>13.886592223657884</v>
      </c>
      <c r="D3280" s="39">
        <f t="shared" si="107"/>
        <v>4.9468599033816423</v>
      </c>
    </row>
    <row r="3281" spans="2:4" ht="15" x14ac:dyDescent="0.15">
      <c r="B3281" s="38">
        <v>13076</v>
      </c>
      <c r="C3281" s="39">
        <f t="shared" si="106"/>
        <v>13.897088768304553</v>
      </c>
      <c r="D3281" s="39">
        <f t="shared" si="107"/>
        <v>4.9528415961305923</v>
      </c>
    </row>
    <row r="3282" spans="2:4" ht="15" x14ac:dyDescent="0.15">
      <c r="B3282" s="38">
        <v>13080</v>
      </c>
      <c r="C3282" s="39">
        <f t="shared" si="106"/>
        <v>13.907598012947844</v>
      </c>
      <c r="D3282" s="39">
        <f t="shared" si="107"/>
        <v>4.9588377723970947</v>
      </c>
    </row>
    <row r="3283" spans="2:4" ht="15" x14ac:dyDescent="0.15">
      <c r="B3283" s="38">
        <v>13084</v>
      </c>
      <c r="C3283" s="39">
        <f t="shared" si="106"/>
        <v>13.918119988356985</v>
      </c>
      <c r="D3283" s="39">
        <f t="shared" si="107"/>
        <v>4.9648484848484848</v>
      </c>
    </row>
    <row r="3284" spans="2:4" ht="15" x14ac:dyDescent="0.15">
      <c r="B3284" s="38">
        <v>13088</v>
      </c>
      <c r="C3284" s="39">
        <f t="shared" si="106"/>
        <v>13.928654725413169</v>
      </c>
      <c r="D3284" s="39">
        <f t="shared" si="107"/>
        <v>4.9708737864077666</v>
      </c>
    </row>
    <row r="3285" spans="2:4" ht="15" x14ac:dyDescent="0.15">
      <c r="B3285" s="38">
        <v>13092</v>
      </c>
      <c r="C3285" s="39">
        <f t="shared" si="106"/>
        <v>13.939202255110089</v>
      </c>
      <c r="D3285" s="39">
        <f t="shared" si="107"/>
        <v>4.9769137302551636</v>
      </c>
    </row>
    <row r="3286" spans="2:4" ht="15" x14ac:dyDescent="0.15">
      <c r="B3286" s="38">
        <v>13096</v>
      </c>
      <c r="C3286" s="39">
        <f t="shared" si="106"/>
        <v>13.949762608554479</v>
      </c>
      <c r="D3286" s="39">
        <f t="shared" si="107"/>
        <v>4.9829683698296838</v>
      </c>
    </row>
    <row r="3287" spans="2:4" ht="15" x14ac:dyDescent="0.15">
      <c r="B3287" s="38">
        <v>13100</v>
      </c>
      <c r="C3287" s="39">
        <f t="shared" si="106"/>
        <v>13.960335816966671</v>
      </c>
      <c r="D3287" s="39">
        <f t="shared" si="107"/>
        <v>4.989037758830694</v>
      </c>
    </row>
    <row r="3288" spans="2:4" ht="15" x14ac:dyDescent="0.15">
      <c r="B3288" s="38">
        <v>13104</v>
      </c>
      <c r="C3288" s="39">
        <f t="shared" si="106"/>
        <v>13.970921911681152</v>
      </c>
      <c r="D3288" s="39">
        <f t="shared" si="107"/>
        <v>4.9951219512195122</v>
      </c>
    </row>
    <row r="3289" spans="2:4" ht="15" x14ac:dyDescent="0.15">
      <c r="B3289" s="38">
        <v>13108</v>
      </c>
      <c r="C3289" s="39">
        <f t="shared" si="106"/>
        <v>13.981520924147118</v>
      </c>
      <c r="D3289" s="39">
        <f t="shared" si="107"/>
        <v>5.0012210012210012</v>
      </c>
    </row>
    <row r="3290" spans="2:4" ht="15" x14ac:dyDescent="0.15">
      <c r="B3290" s="38">
        <v>13112</v>
      </c>
      <c r="C3290" s="39">
        <f t="shared" si="106"/>
        <v>13.992132885929028</v>
      </c>
      <c r="D3290" s="39">
        <f t="shared" si="107"/>
        <v>5.0073349633251834</v>
      </c>
    </row>
    <row r="3291" spans="2:4" ht="15" x14ac:dyDescent="0.15">
      <c r="B3291" s="38">
        <v>13116</v>
      </c>
      <c r="C3291" s="39">
        <f t="shared" si="106"/>
        <v>14.002757828707175</v>
      </c>
      <c r="D3291" s="39">
        <f t="shared" si="107"/>
        <v>5.0134638922888612</v>
      </c>
    </row>
    <row r="3292" spans="2:4" ht="15" x14ac:dyDescent="0.15">
      <c r="B3292" s="38">
        <v>13120</v>
      </c>
      <c r="C3292" s="39">
        <f t="shared" si="106"/>
        <v>14.013395784278265</v>
      </c>
      <c r="D3292" s="39">
        <f t="shared" si="107"/>
        <v>5.0196078431372548</v>
      </c>
    </row>
    <row r="3293" spans="2:4" ht="15" x14ac:dyDescent="0.15">
      <c r="B3293" s="38">
        <v>13124</v>
      </c>
      <c r="C3293" s="39">
        <f t="shared" si="106"/>
        <v>14.024046784555955</v>
      </c>
      <c r="D3293" s="39">
        <f t="shared" si="107"/>
        <v>5.0257668711656445</v>
      </c>
    </row>
    <row r="3294" spans="2:4" ht="15" x14ac:dyDescent="0.15">
      <c r="B3294" s="38">
        <v>13128</v>
      </c>
      <c r="C3294" s="39">
        <f t="shared" si="106"/>
        <v>14.034710861571462</v>
      </c>
      <c r="D3294" s="39">
        <f t="shared" si="107"/>
        <v>5.0319410319410318</v>
      </c>
    </row>
    <row r="3295" spans="2:4" ht="15" x14ac:dyDescent="0.15">
      <c r="B3295" s="38">
        <v>13132</v>
      </c>
      <c r="C3295" s="39">
        <f t="shared" si="106"/>
        <v>14.045388047474123</v>
      </c>
      <c r="D3295" s="39">
        <f t="shared" si="107"/>
        <v>5.0381303813038132</v>
      </c>
    </row>
    <row r="3296" spans="2:4" ht="15" x14ac:dyDescent="0.15">
      <c r="B3296" s="38">
        <v>13136</v>
      </c>
      <c r="C3296" s="39">
        <f t="shared" si="106"/>
        <v>14.056078374531982</v>
      </c>
      <c r="D3296" s="39">
        <f t="shared" si="107"/>
        <v>5.0443349753694582</v>
      </c>
    </row>
    <row r="3297" spans="2:4" ht="15" x14ac:dyDescent="0.15">
      <c r="B3297" s="38">
        <v>13140</v>
      </c>
      <c r="C3297" s="39">
        <f t="shared" si="106"/>
        <v>14.066781875132365</v>
      </c>
      <c r="D3297" s="39">
        <f t="shared" si="107"/>
        <v>5.0505548705302097</v>
      </c>
    </row>
    <row r="3298" spans="2:4" ht="15" x14ac:dyDescent="0.15">
      <c r="B3298" s="38">
        <v>13144</v>
      </c>
      <c r="C3298" s="39">
        <f t="shared" si="106"/>
        <v>14.077498581782493</v>
      </c>
      <c r="D3298" s="39">
        <f t="shared" si="107"/>
        <v>5.05679012345679</v>
      </c>
    </row>
    <row r="3299" spans="2:4" ht="15" x14ac:dyDescent="0.15">
      <c r="B3299" s="38">
        <v>13148</v>
      </c>
      <c r="C3299" s="39">
        <f t="shared" si="106"/>
        <v>14.08822852711004</v>
      </c>
      <c r="D3299" s="39">
        <f t="shared" si="107"/>
        <v>5.0630407911001232</v>
      </c>
    </row>
    <row r="3300" spans="2:4" ht="15" x14ac:dyDescent="0.15">
      <c r="B3300" s="38">
        <v>13152</v>
      </c>
      <c r="C3300" s="39">
        <f t="shared" si="106"/>
        <v>14.098971743863764</v>
      </c>
      <c r="D3300" s="39">
        <f t="shared" si="107"/>
        <v>5.0693069306930694</v>
      </c>
    </row>
    <row r="3301" spans="2:4" ht="15" x14ac:dyDescent="0.15">
      <c r="B3301" s="38">
        <v>13156</v>
      </c>
      <c r="C3301" s="39">
        <f t="shared" si="106"/>
        <v>14.109728264914079</v>
      </c>
      <c r="D3301" s="39">
        <f t="shared" si="107"/>
        <v>5.0755885997521686</v>
      </c>
    </row>
    <row r="3302" spans="2:4" ht="15" x14ac:dyDescent="0.15">
      <c r="B3302" s="38">
        <v>13160</v>
      </c>
      <c r="C3302" s="39">
        <f t="shared" si="106"/>
        <v>14.120498123253673</v>
      </c>
      <c r="D3302" s="39">
        <f t="shared" si="107"/>
        <v>5.0818858560794045</v>
      </c>
    </row>
    <row r="3303" spans="2:4" ht="15" x14ac:dyDescent="0.15">
      <c r="B3303" s="38">
        <v>13164</v>
      </c>
      <c r="C3303" s="39">
        <f t="shared" si="106"/>
        <v>14.131281351998117</v>
      </c>
      <c r="D3303" s="39">
        <f t="shared" si="107"/>
        <v>5.0881987577639753</v>
      </c>
    </row>
    <row r="3304" spans="2:4" ht="15" x14ac:dyDescent="0.15">
      <c r="B3304" s="38">
        <v>13168</v>
      </c>
      <c r="C3304" s="39">
        <f t="shared" si="106"/>
        <v>14.142077984386461</v>
      </c>
      <c r="D3304" s="39">
        <f t="shared" si="107"/>
        <v>5.0945273631840795</v>
      </c>
    </row>
    <row r="3305" spans="2:4" ht="15" x14ac:dyDescent="0.15">
      <c r="B3305" s="38">
        <v>13172</v>
      </c>
      <c r="C3305" s="39">
        <f t="shared" si="106"/>
        <v>14.152888053781867</v>
      </c>
      <c r="D3305" s="39">
        <f t="shared" si="107"/>
        <v>5.1008717310087173</v>
      </c>
    </row>
    <row r="3306" spans="2:4" ht="15" x14ac:dyDescent="0.15">
      <c r="B3306" s="38">
        <v>13176</v>
      </c>
      <c r="C3306" s="39">
        <f t="shared" si="106"/>
        <v>14.163711593672216</v>
      </c>
      <c r="D3306" s="39">
        <f t="shared" si="107"/>
        <v>5.1072319201995011</v>
      </c>
    </row>
    <row r="3307" spans="2:4" ht="15" x14ac:dyDescent="0.15">
      <c r="B3307" s="38">
        <v>13180</v>
      </c>
      <c r="C3307" s="39">
        <f t="shared" si="106"/>
        <v>14.174548637670734</v>
      </c>
      <c r="D3307" s="39">
        <f t="shared" si="107"/>
        <v>5.1136079900124844</v>
      </c>
    </row>
    <row r="3308" spans="2:4" ht="15" x14ac:dyDescent="0.15">
      <c r="B3308" s="38">
        <v>13184</v>
      </c>
      <c r="C3308" s="39">
        <f t="shared" si="106"/>
        <v>14.185399219516615</v>
      </c>
      <c r="D3308" s="39">
        <f t="shared" si="107"/>
        <v>5.12</v>
      </c>
    </row>
    <row r="3309" spans="2:4" ht="15" x14ac:dyDescent="0.15">
      <c r="B3309" s="38">
        <v>13188</v>
      </c>
      <c r="C3309" s="39">
        <f t="shared" si="106"/>
        <v>14.196263373075659</v>
      </c>
      <c r="D3309" s="39">
        <f t="shared" si="107"/>
        <v>5.1264080100125158</v>
      </c>
    </row>
    <row r="3310" spans="2:4" ht="15" x14ac:dyDescent="0.15">
      <c r="B3310" s="38">
        <v>13192</v>
      </c>
      <c r="C3310" s="39">
        <f t="shared" si="106"/>
        <v>14.207141132340897</v>
      </c>
      <c r="D3310" s="39">
        <f t="shared" si="107"/>
        <v>5.132832080200501</v>
      </c>
    </row>
    <row r="3311" spans="2:4" ht="15" x14ac:dyDescent="0.15">
      <c r="B3311" s="38">
        <v>13196</v>
      </c>
      <c r="C3311" s="39">
        <f t="shared" si="106"/>
        <v>14.21803253143324</v>
      </c>
      <c r="D3311" s="39">
        <f t="shared" si="107"/>
        <v>5.1392722710163108</v>
      </c>
    </row>
    <row r="3312" spans="2:4" ht="15" x14ac:dyDescent="0.15">
      <c r="B3312" s="38">
        <v>13200</v>
      </c>
      <c r="C3312" s="39">
        <f t="shared" si="106"/>
        <v>14.228937604602105</v>
      </c>
      <c r="D3312" s="39">
        <f t="shared" si="107"/>
        <v>5.1457286432160805</v>
      </c>
    </row>
    <row r="3313" spans="2:4" ht="15" x14ac:dyDescent="0.15">
      <c r="B3313" s="38">
        <v>13204</v>
      </c>
      <c r="C3313" s="39">
        <f t="shared" si="106"/>
        <v>14.23985638622608</v>
      </c>
      <c r="D3313" s="39">
        <f t="shared" si="107"/>
        <v>5.152201257861635</v>
      </c>
    </row>
    <row r="3314" spans="2:4" ht="15" x14ac:dyDescent="0.15">
      <c r="B3314" s="38">
        <v>13208</v>
      </c>
      <c r="C3314" s="39">
        <f t="shared" si="106"/>
        <v>14.250788910813561</v>
      </c>
      <c r="D3314" s="39">
        <f t="shared" si="107"/>
        <v>5.158690176322418</v>
      </c>
    </row>
    <row r="3315" spans="2:4" ht="15" x14ac:dyDescent="0.15">
      <c r="B3315" s="38">
        <v>13212</v>
      </c>
      <c r="C3315" s="39">
        <f t="shared" si="106"/>
        <v>14.26173521300341</v>
      </c>
      <c r="D3315" s="39">
        <f t="shared" si="107"/>
        <v>5.1651954602774275</v>
      </c>
    </row>
    <row r="3316" spans="2:4" ht="15" x14ac:dyDescent="0.15">
      <c r="B3316" s="38">
        <v>13216</v>
      </c>
      <c r="C3316" s="39">
        <f t="shared" si="106"/>
        <v>14.272695327565616</v>
      </c>
      <c r="D3316" s="39">
        <f t="shared" si="107"/>
        <v>5.1717171717171722</v>
      </c>
    </row>
    <row r="3317" spans="2:4" ht="15" x14ac:dyDescent="0.15">
      <c r="B3317" s="38">
        <v>13220</v>
      </c>
      <c r="C3317" s="39">
        <f t="shared" si="106"/>
        <v>14.283669289401956</v>
      </c>
      <c r="D3317" s="39">
        <f t="shared" si="107"/>
        <v>5.1782553729456389</v>
      </c>
    </row>
    <row r="3318" spans="2:4" ht="15" x14ac:dyDescent="0.15">
      <c r="B3318" s="38">
        <v>13224</v>
      </c>
      <c r="C3318" s="39">
        <f t="shared" si="106"/>
        <v>14.294657133546657</v>
      </c>
      <c r="D3318" s="39">
        <f t="shared" si="107"/>
        <v>5.1848101265822786</v>
      </c>
    </row>
    <row r="3319" spans="2:4" ht="15" x14ac:dyDescent="0.15">
      <c r="B3319" s="38">
        <v>13228</v>
      </c>
      <c r="C3319" s="39">
        <f t="shared" si="106"/>
        <v>14.305658895167079</v>
      </c>
      <c r="D3319" s="39">
        <f t="shared" si="107"/>
        <v>5.1913814955640047</v>
      </c>
    </row>
    <row r="3320" spans="2:4" ht="15" x14ac:dyDescent="0.15">
      <c r="B3320" s="38">
        <v>13232</v>
      </c>
      <c r="C3320" s="39">
        <f t="shared" si="106"/>
        <v>14.31667460956438</v>
      </c>
      <c r="D3320" s="39">
        <f t="shared" si="107"/>
        <v>5.1979695431472077</v>
      </c>
    </row>
    <row r="3321" spans="2:4" ht="15" x14ac:dyDescent="0.15">
      <c r="B3321" s="38">
        <v>13236</v>
      </c>
      <c r="C3321" s="39">
        <f t="shared" si="106"/>
        <v>14.327704312174196</v>
      </c>
      <c r="D3321" s="39">
        <f t="shared" si="107"/>
        <v>5.2045743329097842</v>
      </c>
    </row>
    <row r="3322" spans="2:4" ht="15" x14ac:dyDescent="0.15">
      <c r="B3322" s="38">
        <v>13240</v>
      </c>
      <c r="C3322" s="39">
        <f t="shared" si="106"/>
        <v>14.338748038567331</v>
      </c>
      <c r="D3322" s="39">
        <f t="shared" si="107"/>
        <v>5.2111959287531811</v>
      </c>
    </row>
    <row r="3323" spans="2:4" ht="15" x14ac:dyDescent="0.15">
      <c r="B3323" s="38">
        <v>13244</v>
      </c>
      <c r="C3323" s="39">
        <f t="shared" si="106"/>
        <v>14.349805824450435</v>
      </c>
      <c r="D3323" s="39">
        <f t="shared" si="107"/>
        <v>5.2178343949044583</v>
      </c>
    </row>
    <row r="3324" spans="2:4" ht="15" x14ac:dyDescent="0.15">
      <c r="B3324" s="38">
        <v>13248</v>
      </c>
      <c r="C3324" s="39">
        <f t="shared" si="106"/>
        <v>14.360877705666717</v>
      </c>
      <c r="D3324" s="39">
        <f t="shared" si="107"/>
        <v>5.2244897959183669</v>
      </c>
    </row>
    <row r="3325" spans="2:4" ht="15" x14ac:dyDescent="0.15">
      <c r="B3325" s="38">
        <v>13252</v>
      </c>
      <c r="C3325" s="39">
        <f t="shared" si="106"/>
        <v>14.371963718196618</v>
      </c>
      <c r="D3325" s="39">
        <f t="shared" si="107"/>
        <v>5.2311621966794384</v>
      </c>
    </row>
    <row r="3326" spans="2:4" ht="15" x14ac:dyDescent="0.15">
      <c r="B3326" s="38">
        <v>13256</v>
      </c>
      <c r="C3326" s="39">
        <f t="shared" si="106"/>
        <v>14.383063898158529</v>
      </c>
      <c r="D3326" s="39">
        <f t="shared" si="107"/>
        <v>5.2378516624040925</v>
      </c>
    </row>
    <row r="3327" spans="2:4" ht="15" x14ac:dyDescent="0.15">
      <c r="B3327" s="38">
        <v>13260</v>
      </c>
      <c r="C3327" s="39">
        <f t="shared" si="106"/>
        <v>14.394178281809481</v>
      </c>
      <c r="D3327" s="39">
        <f t="shared" si="107"/>
        <v>5.2445582586427655</v>
      </c>
    </row>
    <row r="3328" spans="2:4" ht="15" x14ac:dyDescent="0.15">
      <c r="B3328" s="38">
        <v>13264</v>
      </c>
      <c r="C3328" s="39">
        <f t="shared" si="106"/>
        <v>14.405306905545878</v>
      </c>
      <c r="D3328" s="39">
        <f t="shared" si="107"/>
        <v>5.2512820512820513</v>
      </c>
    </row>
    <row r="3329" spans="2:4" ht="15" x14ac:dyDescent="0.15">
      <c r="B3329" s="38">
        <v>13268</v>
      </c>
      <c r="C3329" s="39">
        <f t="shared" si="106"/>
        <v>14.416449805904197</v>
      </c>
      <c r="D3329" s="39">
        <f t="shared" si="107"/>
        <v>5.2580231065468546</v>
      </c>
    </row>
    <row r="3330" spans="2:4" ht="15" x14ac:dyDescent="0.15">
      <c r="B3330" s="38">
        <v>13272</v>
      </c>
      <c r="C3330" s="39">
        <f t="shared" si="106"/>
        <v>14.427607019561709</v>
      </c>
      <c r="D3330" s="39">
        <f t="shared" si="107"/>
        <v>5.2647814910025703</v>
      </c>
    </row>
    <row r="3331" spans="2:4" ht="15" x14ac:dyDescent="0.15">
      <c r="B3331" s="38">
        <v>13276</v>
      </c>
      <c r="C3331" s="39">
        <f t="shared" si="106"/>
        <v>14.438778583337202</v>
      </c>
      <c r="D3331" s="39">
        <f t="shared" si="107"/>
        <v>5.2715572715572714</v>
      </c>
    </row>
    <row r="3332" spans="2:4" ht="15" x14ac:dyDescent="0.15">
      <c r="B3332" s="38">
        <v>13280</v>
      </c>
      <c r="C3332" s="39">
        <f t="shared" si="106"/>
        <v>14.449964534191718</v>
      </c>
      <c r="D3332" s="39">
        <f t="shared" si="107"/>
        <v>5.2783505154639174</v>
      </c>
    </row>
    <row r="3333" spans="2:4" ht="15" x14ac:dyDescent="0.15">
      <c r="B3333" s="38">
        <v>13284</v>
      </c>
      <c r="C3333" s="39">
        <f t="shared" si="106"/>
        <v>14.46116490922928</v>
      </c>
      <c r="D3333" s="39">
        <f t="shared" si="107"/>
        <v>5.2851612903225806</v>
      </c>
    </row>
    <row r="3334" spans="2:4" ht="15" x14ac:dyDescent="0.15">
      <c r="B3334" s="38">
        <v>13288</v>
      </c>
      <c r="C3334" s="39">
        <f t="shared" ref="C3334:C3397" si="108">20*LOG(D3334)</f>
        <v>14.472379745697634</v>
      </c>
      <c r="D3334" s="39">
        <f t="shared" ref="D3334:D3397" si="109">16384/(16384-B3334)</f>
        <v>5.2919896640826876</v>
      </c>
    </row>
    <row r="3335" spans="2:4" ht="15" x14ac:dyDescent="0.15">
      <c r="B3335" s="38">
        <v>13292</v>
      </c>
      <c r="C3335" s="39">
        <f t="shared" si="108"/>
        <v>14.483609080988987</v>
      </c>
      <c r="D3335" s="39">
        <f t="shared" si="109"/>
        <v>5.2988357050452786</v>
      </c>
    </row>
    <row r="3336" spans="2:4" ht="15" x14ac:dyDescent="0.15">
      <c r="B3336" s="38">
        <v>13296</v>
      </c>
      <c r="C3336" s="39">
        <f t="shared" si="108"/>
        <v>14.494852952640764</v>
      </c>
      <c r="D3336" s="39">
        <f t="shared" si="109"/>
        <v>5.3056994818652852</v>
      </c>
    </row>
    <row r="3337" spans="2:4" ht="15" x14ac:dyDescent="0.15">
      <c r="B3337" s="38">
        <v>13300</v>
      </c>
      <c r="C3337" s="39">
        <f t="shared" si="108"/>
        <v>14.506111398336348</v>
      </c>
      <c r="D3337" s="39">
        <f t="shared" si="109"/>
        <v>5.312581063553826</v>
      </c>
    </row>
    <row r="3338" spans="2:4" ht="15" x14ac:dyDescent="0.15">
      <c r="B3338" s="38">
        <v>13304</v>
      </c>
      <c r="C3338" s="39">
        <f t="shared" si="108"/>
        <v>14.517384455905848</v>
      </c>
      <c r="D3338" s="39">
        <f t="shared" si="109"/>
        <v>5.3194805194805195</v>
      </c>
    </row>
    <row r="3339" spans="2:4" ht="15" x14ac:dyDescent="0.15">
      <c r="B3339" s="38">
        <v>13308</v>
      </c>
      <c r="C3339" s="39">
        <f t="shared" si="108"/>
        <v>14.528672163326865</v>
      </c>
      <c r="D3339" s="39">
        <f t="shared" si="109"/>
        <v>5.3263979193758129</v>
      </c>
    </row>
    <row r="3340" spans="2:4" ht="15" x14ac:dyDescent="0.15">
      <c r="B3340" s="38">
        <v>13312</v>
      </c>
      <c r="C3340" s="39">
        <f t="shared" si="108"/>
        <v>14.539974558725246</v>
      </c>
      <c r="D3340" s="39">
        <f t="shared" si="109"/>
        <v>5.333333333333333</v>
      </c>
    </row>
    <row r="3341" spans="2:4" ht="15" x14ac:dyDescent="0.15">
      <c r="B3341" s="38">
        <v>13316</v>
      </c>
      <c r="C3341" s="39">
        <f t="shared" si="108"/>
        <v>14.551291680375869</v>
      </c>
      <c r="D3341" s="39">
        <f t="shared" si="109"/>
        <v>5.3402868318122554</v>
      </c>
    </row>
    <row r="3342" spans="2:4" ht="15" x14ac:dyDescent="0.15">
      <c r="B3342" s="38">
        <v>13320</v>
      </c>
      <c r="C3342" s="39">
        <f t="shared" si="108"/>
        <v>14.562623566703408</v>
      </c>
      <c r="D3342" s="39">
        <f t="shared" si="109"/>
        <v>5.3472584856396868</v>
      </c>
    </row>
    <row r="3343" spans="2:4" ht="15" x14ac:dyDescent="0.15">
      <c r="B3343" s="38">
        <v>13324</v>
      </c>
      <c r="C3343" s="39">
        <f t="shared" si="108"/>
        <v>14.573970256283133</v>
      </c>
      <c r="D3343" s="39">
        <f t="shared" si="109"/>
        <v>5.3542483660130715</v>
      </c>
    </row>
    <row r="3344" spans="2:4" ht="15" x14ac:dyDescent="0.15">
      <c r="B3344" s="38">
        <v>13328</v>
      </c>
      <c r="C3344" s="39">
        <f t="shared" si="108"/>
        <v>14.585331787841689</v>
      </c>
      <c r="D3344" s="39">
        <f t="shared" si="109"/>
        <v>5.3612565445026181</v>
      </c>
    </row>
    <row r="3345" spans="2:4" ht="15" x14ac:dyDescent="0.15">
      <c r="B3345" s="38">
        <v>13332</v>
      </c>
      <c r="C3345" s="39">
        <f t="shared" si="108"/>
        <v>14.596708200257877</v>
      </c>
      <c r="D3345" s="39">
        <f t="shared" si="109"/>
        <v>5.3682830930537353</v>
      </c>
    </row>
    <row r="3346" spans="2:4" ht="15" x14ac:dyDescent="0.15">
      <c r="B3346" s="38">
        <v>13336</v>
      </c>
      <c r="C3346" s="39">
        <f t="shared" si="108"/>
        <v>14.608099532563477</v>
      </c>
      <c r="D3346" s="39">
        <f t="shared" si="109"/>
        <v>5.3753280839895012</v>
      </c>
    </row>
    <row r="3347" spans="2:4" ht="15" x14ac:dyDescent="0.15">
      <c r="B3347" s="38">
        <v>13340</v>
      </c>
      <c r="C3347" s="39">
        <f t="shared" si="108"/>
        <v>14.61950582394403</v>
      </c>
      <c r="D3347" s="39">
        <f t="shared" si="109"/>
        <v>5.3823915900131407</v>
      </c>
    </row>
    <row r="3348" spans="2:4" ht="15" x14ac:dyDescent="0.15">
      <c r="B3348" s="38">
        <v>13344</v>
      </c>
      <c r="C3348" s="39">
        <f t="shared" si="108"/>
        <v>14.630927113739659</v>
      </c>
      <c r="D3348" s="39">
        <f t="shared" si="109"/>
        <v>5.3894736842105262</v>
      </c>
    </row>
    <row r="3349" spans="2:4" ht="15" x14ac:dyDescent="0.15">
      <c r="B3349" s="38">
        <v>13348</v>
      </c>
      <c r="C3349" s="39">
        <f t="shared" si="108"/>
        <v>14.64236344144588</v>
      </c>
      <c r="D3349" s="39">
        <f t="shared" si="109"/>
        <v>5.3965744400527011</v>
      </c>
    </row>
    <row r="3350" spans="2:4" ht="15" x14ac:dyDescent="0.15">
      <c r="B3350" s="38">
        <v>13352</v>
      </c>
      <c r="C3350" s="39">
        <f t="shared" si="108"/>
        <v>14.653814846714415</v>
      </c>
      <c r="D3350" s="39">
        <f t="shared" si="109"/>
        <v>5.4036939313984167</v>
      </c>
    </row>
    <row r="3351" spans="2:4" ht="15" x14ac:dyDescent="0.15">
      <c r="B3351" s="38">
        <v>13356</v>
      </c>
      <c r="C3351" s="39">
        <f t="shared" si="108"/>
        <v>14.66528136935403</v>
      </c>
      <c r="D3351" s="39">
        <f t="shared" si="109"/>
        <v>5.4108322324966975</v>
      </c>
    </row>
    <row r="3352" spans="2:4" ht="15" x14ac:dyDescent="0.15">
      <c r="B3352" s="38">
        <v>13360</v>
      </c>
      <c r="C3352" s="39">
        <f t="shared" si="108"/>
        <v>14.676763049331356</v>
      </c>
      <c r="D3352" s="39">
        <f t="shared" si="109"/>
        <v>5.4179894179894177</v>
      </c>
    </row>
    <row r="3353" spans="2:4" ht="15" x14ac:dyDescent="0.15">
      <c r="B3353" s="38">
        <v>13364</v>
      </c>
      <c r="C3353" s="39">
        <f t="shared" si="108"/>
        <v>14.688259926771723</v>
      </c>
      <c r="D3353" s="39">
        <f t="shared" si="109"/>
        <v>5.4251655629139073</v>
      </c>
    </row>
    <row r="3354" spans="2:4" ht="15" x14ac:dyDescent="0.15">
      <c r="B3354" s="38">
        <v>13368</v>
      </c>
      <c r="C3354" s="39">
        <f t="shared" si="108"/>
        <v>14.699772041960006</v>
      </c>
      <c r="D3354" s="39">
        <f t="shared" si="109"/>
        <v>5.43236074270557</v>
      </c>
    </row>
    <row r="3355" spans="2:4" ht="15" x14ac:dyDescent="0.15">
      <c r="B3355" s="38">
        <v>13372</v>
      </c>
      <c r="C3355" s="39">
        <f t="shared" si="108"/>
        <v>14.711299435341473</v>
      </c>
      <c r="D3355" s="39">
        <f t="shared" si="109"/>
        <v>5.4395750332005308</v>
      </c>
    </row>
    <row r="3356" spans="2:4" ht="15" x14ac:dyDescent="0.15">
      <c r="B3356" s="38">
        <v>13376</v>
      </c>
      <c r="C3356" s="39">
        <f t="shared" si="108"/>
        <v>14.722842147522641</v>
      </c>
      <c r="D3356" s="39">
        <f t="shared" si="109"/>
        <v>5.4468085106382977</v>
      </c>
    </row>
    <row r="3357" spans="2:4" ht="15" x14ac:dyDescent="0.15">
      <c r="B3357" s="38">
        <v>13380</v>
      </c>
      <c r="C3357" s="39">
        <f t="shared" si="108"/>
        <v>14.73440021927212</v>
      </c>
      <c r="D3357" s="39">
        <f t="shared" si="109"/>
        <v>5.4540612516644478</v>
      </c>
    </row>
    <row r="3358" spans="2:4" ht="15" x14ac:dyDescent="0.15">
      <c r="B3358" s="38">
        <v>13384</v>
      </c>
      <c r="C3358" s="39">
        <f t="shared" si="108"/>
        <v>14.745973691521485</v>
      </c>
      <c r="D3358" s="39">
        <f t="shared" si="109"/>
        <v>5.4613333333333332</v>
      </c>
    </row>
    <row r="3359" spans="2:4" ht="15" x14ac:dyDescent="0.15">
      <c r="B3359" s="38">
        <v>13388</v>
      </c>
      <c r="C3359" s="39">
        <f t="shared" si="108"/>
        <v>14.757562605366157</v>
      </c>
      <c r="D3359" s="39">
        <f t="shared" si="109"/>
        <v>5.4686248331108143</v>
      </c>
    </row>
    <row r="3360" spans="2:4" ht="15" x14ac:dyDescent="0.15">
      <c r="B3360" s="38">
        <v>13392</v>
      </c>
      <c r="C3360" s="39">
        <f t="shared" si="108"/>
        <v>14.76916700206626</v>
      </c>
      <c r="D3360" s="39">
        <f t="shared" si="109"/>
        <v>5.475935828877005</v>
      </c>
    </row>
    <row r="3361" spans="2:4" ht="15" x14ac:dyDescent="0.15">
      <c r="B3361" s="38">
        <v>13396</v>
      </c>
      <c r="C3361" s="39">
        <f t="shared" si="108"/>
        <v>14.780786923047511</v>
      </c>
      <c r="D3361" s="39">
        <f t="shared" si="109"/>
        <v>5.4832663989290493</v>
      </c>
    </row>
    <row r="3362" spans="2:4" ht="15" x14ac:dyDescent="0.15">
      <c r="B3362" s="38">
        <v>13400</v>
      </c>
      <c r="C3362" s="39">
        <f t="shared" si="108"/>
        <v>14.792422409902111</v>
      </c>
      <c r="D3362" s="39">
        <f t="shared" si="109"/>
        <v>5.4906166219839143</v>
      </c>
    </row>
    <row r="3363" spans="2:4" ht="15" x14ac:dyDescent="0.15">
      <c r="B3363" s="38">
        <v>13404</v>
      </c>
      <c r="C3363" s="39">
        <f t="shared" si="108"/>
        <v>14.804073504389629</v>
      </c>
      <c r="D3363" s="39">
        <f t="shared" si="109"/>
        <v>5.4979865771812078</v>
      </c>
    </row>
    <row r="3364" spans="2:4" ht="15" x14ac:dyDescent="0.15">
      <c r="B3364" s="38">
        <v>13408</v>
      </c>
      <c r="C3364" s="39">
        <f t="shared" si="108"/>
        <v>14.815740248437914</v>
      </c>
      <c r="D3364" s="39">
        <f t="shared" si="109"/>
        <v>5.5053763440860219</v>
      </c>
    </row>
    <row r="3365" spans="2:4" ht="15" x14ac:dyDescent="0.15">
      <c r="B3365" s="38">
        <v>13412</v>
      </c>
      <c r="C3365" s="39">
        <f t="shared" si="108"/>
        <v>14.827422684143981</v>
      </c>
      <c r="D3365" s="39">
        <f t="shared" si="109"/>
        <v>5.5127860026917901</v>
      </c>
    </row>
    <row r="3366" spans="2:4" ht="15" x14ac:dyDescent="0.15">
      <c r="B3366" s="38">
        <v>13416</v>
      </c>
      <c r="C3366" s="39">
        <f t="shared" si="108"/>
        <v>14.839120853774945</v>
      </c>
      <c r="D3366" s="39">
        <f t="shared" si="109"/>
        <v>5.5202156334231809</v>
      </c>
    </row>
    <row r="3367" spans="2:4" ht="15" x14ac:dyDescent="0.15">
      <c r="B3367" s="38">
        <v>13420</v>
      </c>
      <c r="C3367" s="39">
        <f t="shared" si="108"/>
        <v>14.850834799768924</v>
      </c>
      <c r="D3367" s="39">
        <f t="shared" si="109"/>
        <v>5.5276653171390011</v>
      </c>
    </row>
    <row r="3368" spans="2:4" ht="15" x14ac:dyDescent="0.15">
      <c r="B3368" s="38">
        <v>13424</v>
      </c>
      <c r="C3368" s="39">
        <f t="shared" si="108"/>
        <v>14.862564564735962</v>
      </c>
      <c r="D3368" s="39">
        <f t="shared" si="109"/>
        <v>5.5351351351351354</v>
      </c>
    </row>
    <row r="3369" spans="2:4" ht="15" x14ac:dyDescent="0.15">
      <c r="B3369" s="38">
        <v>13428</v>
      </c>
      <c r="C3369" s="39">
        <f t="shared" si="108"/>
        <v>14.874310191458973</v>
      </c>
      <c r="D3369" s="39">
        <f t="shared" si="109"/>
        <v>5.542625169147497</v>
      </c>
    </row>
    <row r="3370" spans="2:4" ht="15" x14ac:dyDescent="0.15">
      <c r="B3370" s="38">
        <v>13432</v>
      </c>
      <c r="C3370" s="39">
        <f t="shared" si="108"/>
        <v>14.886071722894656</v>
      </c>
      <c r="D3370" s="39">
        <f t="shared" si="109"/>
        <v>5.5501355013550135</v>
      </c>
    </row>
    <row r="3371" spans="2:4" ht="15" x14ac:dyDescent="0.15">
      <c r="B3371" s="38">
        <v>13436</v>
      </c>
      <c r="C3371" s="39">
        <f t="shared" si="108"/>
        <v>14.897849202174456</v>
      </c>
      <c r="D3371" s="39">
        <f t="shared" si="109"/>
        <v>5.5576662143826319</v>
      </c>
    </row>
    <row r="3372" spans="2:4" ht="15" x14ac:dyDescent="0.15">
      <c r="B3372" s="38">
        <v>13440</v>
      </c>
      <c r="C3372" s="39">
        <f t="shared" si="108"/>
        <v>14.909642672605511</v>
      </c>
      <c r="D3372" s="39">
        <f t="shared" si="109"/>
        <v>5.5652173913043477</v>
      </c>
    </row>
    <row r="3373" spans="2:4" ht="15" x14ac:dyDescent="0.15">
      <c r="B3373" s="38">
        <v>13444</v>
      </c>
      <c r="C3373" s="39">
        <f t="shared" si="108"/>
        <v>14.921452177671588</v>
      </c>
      <c r="D3373" s="39">
        <f t="shared" si="109"/>
        <v>5.5727891156462581</v>
      </c>
    </row>
    <row r="3374" spans="2:4" ht="15" x14ac:dyDescent="0.15">
      <c r="B3374" s="38">
        <v>13448</v>
      </c>
      <c r="C3374" s="39">
        <f t="shared" si="108"/>
        <v>14.933277761034077</v>
      </c>
      <c r="D3374" s="39">
        <f t="shared" si="109"/>
        <v>5.5803814713896456</v>
      </c>
    </row>
    <row r="3375" spans="2:4" ht="15" x14ac:dyDescent="0.15">
      <c r="B3375" s="38">
        <v>13452</v>
      </c>
      <c r="C3375" s="39">
        <f t="shared" si="108"/>
        <v>14.945119466532928</v>
      </c>
      <c r="D3375" s="39">
        <f t="shared" si="109"/>
        <v>5.5879945429740792</v>
      </c>
    </row>
    <row r="3376" spans="2:4" ht="15" x14ac:dyDescent="0.15">
      <c r="B3376" s="38">
        <v>13456</v>
      </c>
      <c r="C3376" s="39">
        <f t="shared" si="108"/>
        <v>14.956977338187649</v>
      </c>
      <c r="D3376" s="39">
        <f t="shared" si="109"/>
        <v>5.5956284153005464</v>
      </c>
    </row>
    <row r="3377" spans="2:4" ht="15" x14ac:dyDescent="0.15">
      <c r="B3377" s="38">
        <v>13460</v>
      </c>
      <c r="C3377" s="39">
        <f t="shared" si="108"/>
        <v>14.968851420198277</v>
      </c>
      <c r="D3377" s="39">
        <f t="shared" si="109"/>
        <v>5.60328317373461</v>
      </c>
    </row>
    <row r="3378" spans="2:4" ht="15" x14ac:dyDescent="0.15">
      <c r="B3378" s="38">
        <v>13464</v>
      </c>
      <c r="C3378" s="39">
        <f t="shared" si="108"/>
        <v>14.980741756946369</v>
      </c>
      <c r="D3378" s="39">
        <f t="shared" si="109"/>
        <v>5.6109589041095891</v>
      </c>
    </row>
    <row r="3379" spans="2:4" ht="15" x14ac:dyDescent="0.15">
      <c r="B3379" s="38">
        <v>13468</v>
      </c>
      <c r="C3379" s="39">
        <f t="shared" si="108"/>
        <v>14.992648392995992</v>
      </c>
      <c r="D3379" s="39">
        <f t="shared" si="109"/>
        <v>5.6186556927297664</v>
      </c>
    </row>
    <row r="3380" spans="2:4" ht="15" x14ac:dyDescent="0.15">
      <c r="B3380" s="38">
        <v>13472</v>
      </c>
      <c r="C3380" s="39">
        <f t="shared" si="108"/>
        <v>15.004571373094745</v>
      </c>
      <c r="D3380" s="39">
        <f t="shared" si="109"/>
        <v>5.6263736263736268</v>
      </c>
    </row>
    <row r="3381" spans="2:4" ht="15" x14ac:dyDescent="0.15">
      <c r="B3381" s="38">
        <v>13476</v>
      </c>
      <c r="C3381" s="39">
        <f t="shared" si="108"/>
        <v>15.016510742174731</v>
      </c>
      <c r="D3381" s="39">
        <f t="shared" si="109"/>
        <v>5.6341127922971115</v>
      </c>
    </row>
    <row r="3382" spans="2:4" ht="15" x14ac:dyDescent="0.15">
      <c r="B3382" s="38">
        <v>13480</v>
      </c>
      <c r="C3382" s="39">
        <f t="shared" si="108"/>
        <v>15.028466545353613</v>
      </c>
      <c r="D3382" s="39">
        <f t="shared" si="109"/>
        <v>5.6418732782369148</v>
      </c>
    </row>
    <row r="3383" spans="2:4" ht="15" x14ac:dyDescent="0.15">
      <c r="B3383" s="38">
        <v>13484</v>
      </c>
      <c r="C3383" s="39">
        <f t="shared" si="108"/>
        <v>15.040438827935612</v>
      </c>
      <c r="D3383" s="39">
        <f t="shared" si="109"/>
        <v>5.6496551724137927</v>
      </c>
    </row>
    <row r="3384" spans="2:4" ht="15" x14ac:dyDescent="0.15">
      <c r="B3384" s="38">
        <v>13488</v>
      </c>
      <c r="C3384" s="39">
        <f t="shared" si="108"/>
        <v>15.052427635412549</v>
      </c>
      <c r="D3384" s="39">
        <f t="shared" si="109"/>
        <v>5.6574585635359114</v>
      </c>
    </row>
    <row r="3385" spans="2:4" ht="15" x14ac:dyDescent="0.15">
      <c r="B3385" s="38">
        <v>13492</v>
      </c>
      <c r="C3385" s="39">
        <f t="shared" si="108"/>
        <v>15.064433013464871</v>
      </c>
      <c r="D3385" s="39">
        <f t="shared" si="109"/>
        <v>5.6652835408022133</v>
      </c>
    </row>
    <row r="3386" spans="2:4" ht="15" x14ac:dyDescent="0.15">
      <c r="B3386" s="38">
        <v>13496</v>
      </c>
      <c r="C3386" s="39">
        <f t="shared" si="108"/>
        <v>15.076455007962704</v>
      </c>
      <c r="D3386" s="39">
        <f t="shared" si="109"/>
        <v>5.6731301939058172</v>
      </c>
    </row>
    <row r="3387" spans="2:4" ht="15" x14ac:dyDescent="0.15">
      <c r="B3387" s="38">
        <v>13500</v>
      </c>
      <c r="C3387" s="39">
        <f t="shared" si="108"/>
        <v>15.088493664966906</v>
      </c>
      <c r="D3387" s="39">
        <f t="shared" si="109"/>
        <v>5.6809986130374481</v>
      </c>
    </row>
    <row r="3388" spans="2:4" ht="15" x14ac:dyDescent="0.15">
      <c r="B3388" s="38">
        <v>13504</v>
      </c>
      <c r="C3388" s="39">
        <f t="shared" si="108"/>
        <v>15.100549030730118</v>
      </c>
      <c r="D3388" s="39">
        <f t="shared" si="109"/>
        <v>5.6888888888888891</v>
      </c>
    </row>
    <row r="3389" spans="2:4" ht="15" x14ac:dyDescent="0.15">
      <c r="B3389" s="38">
        <v>13508</v>
      </c>
      <c r="C3389" s="39">
        <f t="shared" si="108"/>
        <v>15.112621151697834</v>
      </c>
      <c r="D3389" s="39">
        <f t="shared" si="109"/>
        <v>5.696801112656467</v>
      </c>
    </row>
    <row r="3390" spans="2:4" ht="15" x14ac:dyDescent="0.15">
      <c r="B3390" s="38">
        <v>13512</v>
      </c>
      <c r="C3390" s="39">
        <f t="shared" si="108"/>
        <v>15.12471007450948</v>
      </c>
      <c r="D3390" s="39">
        <f t="shared" si="109"/>
        <v>5.7047353760445683</v>
      </c>
    </row>
    <row r="3391" spans="2:4" ht="15" x14ac:dyDescent="0.15">
      <c r="B3391" s="38">
        <v>13516</v>
      </c>
      <c r="C3391" s="39">
        <f t="shared" si="108"/>
        <v>15.136815845999486</v>
      </c>
      <c r="D3391" s="39">
        <f t="shared" si="109"/>
        <v>5.7126917712691769</v>
      </c>
    </row>
    <row r="3392" spans="2:4" ht="15" x14ac:dyDescent="0.15">
      <c r="B3392" s="38">
        <v>13520</v>
      </c>
      <c r="C3392" s="39">
        <f t="shared" si="108"/>
        <v>15.148938513198376</v>
      </c>
      <c r="D3392" s="39">
        <f t="shared" si="109"/>
        <v>5.7206703910614527</v>
      </c>
    </row>
    <row r="3393" spans="2:4" ht="15" x14ac:dyDescent="0.15">
      <c r="B3393" s="38">
        <v>13524</v>
      </c>
      <c r="C3393" s="39">
        <f t="shared" si="108"/>
        <v>15.161078123333876</v>
      </c>
      <c r="D3393" s="39">
        <f t="shared" si="109"/>
        <v>5.7286713286713287</v>
      </c>
    </row>
    <row r="3394" spans="2:4" ht="15" x14ac:dyDescent="0.15">
      <c r="B3394" s="38">
        <v>13528</v>
      </c>
      <c r="C3394" s="39">
        <f t="shared" si="108"/>
        <v>15.173234723832</v>
      </c>
      <c r="D3394" s="39">
        <f t="shared" si="109"/>
        <v>5.7366946778711485</v>
      </c>
    </row>
    <row r="3395" spans="2:4" ht="15" x14ac:dyDescent="0.15">
      <c r="B3395" s="38">
        <v>13532</v>
      </c>
      <c r="C3395" s="39">
        <f t="shared" si="108"/>
        <v>15.185408362318176</v>
      </c>
      <c r="D3395" s="39">
        <f t="shared" si="109"/>
        <v>5.7447405329593266</v>
      </c>
    </row>
    <row r="3396" spans="2:4" ht="15" x14ac:dyDescent="0.15">
      <c r="B3396" s="38">
        <v>13536</v>
      </c>
      <c r="C3396" s="39">
        <f t="shared" si="108"/>
        <v>15.197599086618359</v>
      </c>
      <c r="D3396" s="39">
        <f t="shared" si="109"/>
        <v>5.7528089887640448</v>
      </c>
    </row>
    <row r="3397" spans="2:4" ht="15" x14ac:dyDescent="0.15">
      <c r="B3397" s="38">
        <v>13540</v>
      </c>
      <c r="C3397" s="39">
        <f t="shared" si="108"/>
        <v>15.20980694476016</v>
      </c>
      <c r="D3397" s="39">
        <f t="shared" si="109"/>
        <v>5.7609001406469762</v>
      </c>
    </row>
    <row r="3398" spans="2:4" ht="15" x14ac:dyDescent="0.15">
      <c r="B3398" s="38">
        <v>13544</v>
      </c>
      <c r="C3398" s="39">
        <f t="shared" ref="C3398:C3461" si="110">20*LOG(D3398)</f>
        <v>15.222031984973983</v>
      </c>
      <c r="D3398" s="39">
        <f t="shared" ref="D3398:D3461" si="111">16384/(16384-B3398)</f>
        <v>5.7690140845070426</v>
      </c>
    </row>
    <row r="3399" spans="2:4" ht="15" x14ac:dyDescent="0.15">
      <c r="B3399" s="38">
        <v>13548</v>
      </c>
      <c r="C3399" s="39">
        <f t="shared" si="110"/>
        <v>15.234274255694157</v>
      </c>
      <c r="D3399" s="39">
        <f t="shared" si="111"/>
        <v>5.777150916784203</v>
      </c>
    </row>
    <row r="3400" spans="2:4" ht="15" x14ac:dyDescent="0.15">
      <c r="B3400" s="38">
        <v>13552</v>
      </c>
      <c r="C3400" s="39">
        <f t="shared" si="110"/>
        <v>15.246533805560107</v>
      </c>
      <c r="D3400" s="39">
        <f t="shared" si="111"/>
        <v>5.7853107344632768</v>
      </c>
    </row>
    <row r="3401" spans="2:4" ht="15" x14ac:dyDescent="0.15">
      <c r="B3401" s="38">
        <v>13556</v>
      </c>
      <c r="C3401" s="39">
        <f t="shared" si="110"/>
        <v>15.258810683417499</v>
      </c>
      <c r="D3401" s="39">
        <f t="shared" si="111"/>
        <v>5.7934936350777937</v>
      </c>
    </row>
    <row r="3402" spans="2:4" ht="15" x14ac:dyDescent="0.15">
      <c r="B3402" s="38">
        <v>13560</v>
      </c>
      <c r="C3402" s="39">
        <f t="shared" si="110"/>
        <v>15.271104938319413</v>
      </c>
      <c r="D3402" s="39">
        <f t="shared" si="111"/>
        <v>5.8016997167138813</v>
      </c>
    </row>
    <row r="3403" spans="2:4" ht="15" x14ac:dyDescent="0.15">
      <c r="B3403" s="38">
        <v>13564</v>
      </c>
      <c r="C3403" s="39">
        <f t="shared" si="110"/>
        <v>15.283416619527513</v>
      </c>
      <c r="D3403" s="39">
        <f t="shared" si="111"/>
        <v>5.8099290780141848</v>
      </c>
    </row>
    <row r="3404" spans="2:4" ht="15" x14ac:dyDescent="0.15">
      <c r="B3404" s="38">
        <v>13568</v>
      </c>
      <c r="C3404" s="39">
        <f t="shared" si="110"/>
        <v>15.295745776513243</v>
      </c>
      <c r="D3404" s="39">
        <f t="shared" si="111"/>
        <v>5.8181818181818183</v>
      </c>
    </row>
    <row r="3405" spans="2:4" ht="15" x14ac:dyDescent="0.15">
      <c r="B3405" s="38">
        <v>13572</v>
      </c>
      <c r="C3405" s="39">
        <f t="shared" si="110"/>
        <v>15.308092458959008</v>
      </c>
      <c r="D3405" s="39">
        <f t="shared" si="111"/>
        <v>5.8264580369843531</v>
      </c>
    </row>
    <row r="3406" spans="2:4" ht="15" x14ac:dyDescent="0.15">
      <c r="B3406" s="38">
        <v>13576</v>
      </c>
      <c r="C3406" s="39">
        <f t="shared" si="110"/>
        <v>15.320456716759381</v>
      </c>
      <c r="D3406" s="39">
        <f t="shared" si="111"/>
        <v>5.834757834757835</v>
      </c>
    </row>
    <row r="3407" spans="2:4" ht="15" x14ac:dyDescent="0.15">
      <c r="B3407" s="38">
        <v>13580</v>
      </c>
      <c r="C3407" s="39">
        <f t="shared" si="110"/>
        <v>15.332838600022313</v>
      </c>
      <c r="D3407" s="39">
        <f t="shared" si="111"/>
        <v>5.8430813124108418</v>
      </c>
    </row>
    <row r="3408" spans="2:4" ht="15" x14ac:dyDescent="0.15">
      <c r="B3408" s="38">
        <v>13584</v>
      </c>
      <c r="C3408" s="39">
        <f t="shared" si="110"/>
        <v>15.345238159070352</v>
      </c>
      <c r="D3408" s="39">
        <f t="shared" si="111"/>
        <v>5.8514285714285714</v>
      </c>
    </row>
    <row r="3409" spans="2:4" ht="15" x14ac:dyDescent="0.15">
      <c r="B3409" s="38">
        <v>13588</v>
      </c>
      <c r="C3409" s="39">
        <f t="shared" si="110"/>
        <v>15.357655444441857</v>
      </c>
      <c r="D3409" s="39">
        <f t="shared" si="111"/>
        <v>5.8597997138769671</v>
      </c>
    </row>
    <row r="3410" spans="2:4" ht="15" x14ac:dyDescent="0.15">
      <c r="B3410" s="38">
        <v>13592</v>
      </c>
      <c r="C3410" s="39">
        <f t="shared" si="110"/>
        <v>15.370090506892264</v>
      </c>
      <c r="D3410" s="39">
        <f t="shared" si="111"/>
        <v>5.8681948424068766</v>
      </c>
    </row>
    <row r="3411" spans="2:4" ht="15" x14ac:dyDescent="0.15">
      <c r="B3411" s="38">
        <v>13596</v>
      </c>
      <c r="C3411" s="39">
        <f t="shared" si="110"/>
        <v>15.382543397395299</v>
      </c>
      <c r="D3411" s="39">
        <f t="shared" si="111"/>
        <v>5.8766140602582499</v>
      </c>
    </row>
    <row r="3412" spans="2:4" ht="15" x14ac:dyDescent="0.15">
      <c r="B3412" s="38">
        <v>13600</v>
      </c>
      <c r="C3412" s="39">
        <f t="shared" si="110"/>
        <v>15.395014167144245</v>
      </c>
      <c r="D3412" s="39">
        <f t="shared" si="111"/>
        <v>5.8850574712643677</v>
      </c>
    </row>
    <row r="3413" spans="2:4" ht="15" x14ac:dyDescent="0.15">
      <c r="B3413" s="38">
        <v>13604</v>
      </c>
      <c r="C3413" s="39">
        <f t="shared" si="110"/>
        <v>15.407502867553209</v>
      </c>
      <c r="D3413" s="39">
        <f t="shared" si="111"/>
        <v>5.8935251798561152</v>
      </c>
    </row>
    <row r="3414" spans="2:4" ht="15" x14ac:dyDescent="0.15">
      <c r="B3414" s="38">
        <v>13608</v>
      </c>
      <c r="C3414" s="39">
        <f t="shared" si="110"/>
        <v>15.420009550258388</v>
      </c>
      <c r="D3414" s="39">
        <f t="shared" si="111"/>
        <v>5.902017291066282</v>
      </c>
    </row>
    <row r="3415" spans="2:4" ht="15" x14ac:dyDescent="0.15">
      <c r="B3415" s="38">
        <v>13612</v>
      </c>
      <c r="C3415" s="39">
        <f t="shared" si="110"/>
        <v>15.432534267119351</v>
      </c>
      <c r="D3415" s="39">
        <f t="shared" si="111"/>
        <v>5.9105339105339105</v>
      </c>
    </row>
    <row r="3416" spans="2:4" ht="15" x14ac:dyDescent="0.15">
      <c r="B3416" s="38">
        <v>13616</v>
      </c>
      <c r="C3416" s="39">
        <f t="shared" si="110"/>
        <v>15.44507707022033</v>
      </c>
      <c r="D3416" s="39">
        <f t="shared" si="111"/>
        <v>5.9190751445086702</v>
      </c>
    </row>
    <row r="3417" spans="2:4" ht="15" x14ac:dyDescent="0.15">
      <c r="B3417" s="38">
        <v>13620</v>
      </c>
      <c r="C3417" s="39">
        <f t="shared" si="110"/>
        <v>15.457638011871516</v>
      </c>
      <c r="D3417" s="39">
        <f t="shared" si="111"/>
        <v>5.9276410998552818</v>
      </c>
    </row>
    <row r="3418" spans="2:4" ht="15" x14ac:dyDescent="0.15">
      <c r="B3418" s="38">
        <v>13624</v>
      </c>
      <c r="C3418" s="39">
        <f t="shared" si="110"/>
        <v>15.47021714461038</v>
      </c>
      <c r="D3418" s="39">
        <f t="shared" si="111"/>
        <v>5.9362318840579711</v>
      </c>
    </row>
    <row r="3419" spans="2:4" ht="15" x14ac:dyDescent="0.15">
      <c r="B3419" s="38">
        <v>13628</v>
      </c>
      <c r="C3419" s="39">
        <f t="shared" si="110"/>
        <v>15.48281452120297</v>
      </c>
      <c r="D3419" s="39">
        <f t="shared" si="111"/>
        <v>5.9448476052249637</v>
      </c>
    </row>
    <row r="3420" spans="2:4" ht="15" x14ac:dyDescent="0.15">
      <c r="B3420" s="38">
        <v>13632</v>
      </c>
      <c r="C3420" s="39">
        <f t="shared" si="110"/>
        <v>15.495430194645261</v>
      </c>
      <c r="D3420" s="39">
        <f t="shared" si="111"/>
        <v>5.9534883720930232</v>
      </c>
    </row>
    <row r="3421" spans="2:4" ht="15" x14ac:dyDescent="0.15">
      <c r="B3421" s="38">
        <v>13636</v>
      </c>
      <c r="C3421" s="39">
        <f t="shared" si="110"/>
        <v>15.508064218164479</v>
      </c>
      <c r="D3421" s="39">
        <f t="shared" si="111"/>
        <v>5.9621542940320236</v>
      </c>
    </row>
    <row r="3422" spans="2:4" ht="15" x14ac:dyDescent="0.15">
      <c r="B3422" s="38">
        <v>13640</v>
      </c>
      <c r="C3422" s="39">
        <f t="shared" si="110"/>
        <v>15.520716645220453</v>
      </c>
      <c r="D3422" s="39">
        <f t="shared" si="111"/>
        <v>5.9708454810495626</v>
      </c>
    </row>
    <row r="3423" spans="2:4" ht="15" x14ac:dyDescent="0.15">
      <c r="B3423" s="38">
        <v>13644</v>
      </c>
      <c r="C3423" s="39">
        <f t="shared" si="110"/>
        <v>15.533387529506975</v>
      </c>
      <c r="D3423" s="39">
        <f t="shared" si="111"/>
        <v>5.9795620437956201</v>
      </c>
    </row>
    <row r="3424" spans="2:4" ht="15" x14ac:dyDescent="0.15">
      <c r="B3424" s="38">
        <v>13648</v>
      </c>
      <c r="C3424" s="39">
        <f t="shared" si="110"/>
        <v>15.546076924953162</v>
      </c>
      <c r="D3424" s="39">
        <f t="shared" si="111"/>
        <v>5.9883040935672511</v>
      </c>
    </row>
    <row r="3425" spans="2:4" ht="15" x14ac:dyDescent="0.15">
      <c r="B3425" s="38">
        <v>13652</v>
      </c>
      <c r="C3425" s="39">
        <f t="shared" si="110"/>
        <v>15.558784885724837</v>
      </c>
      <c r="D3425" s="39">
        <f t="shared" si="111"/>
        <v>5.9970717423133237</v>
      </c>
    </row>
    <row r="3426" spans="2:4" ht="15" x14ac:dyDescent="0.15">
      <c r="B3426" s="38">
        <v>13656</v>
      </c>
      <c r="C3426" s="39">
        <f t="shared" si="110"/>
        <v>15.571511466225909</v>
      </c>
      <c r="D3426" s="39">
        <f t="shared" si="111"/>
        <v>6.0058651026392962</v>
      </c>
    </row>
    <row r="3427" spans="2:4" ht="15" x14ac:dyDescent="0.15">
      <c r="B3427" s="38">
        <v>13660</v>
      </c>
      <c r="C3427" s="39">
        <f t="shared" si="110"/>
        <v>15.584256721099782</v>
      </c>
      <c r="D3427" s="39">
        <f t="shared" si="111"/>
        <v>6.0146842878120408</v>
      </c>
    </row>
    <row r="3428" spans="2:4" ht="15" x14ac:dyDescent="0.15">
      <c r="B3428" s="38">
        <v>13664</v>
      </c>
      <c r="C3428" s="39">
        <f t="shared" si="110"/>
        <v>15.59702070523076</v>
      </c>
      <c r="D3428" s="39">
        <f t="shared" si="111"/>
        <v>6.0235294117647058</v>
      </c>
    </row>
    <row r="3429" spans="2:4" ht="15" x14ac:dyDescent="0.15">
      <c r="B3429" s="38">
        <v>13668</v>
      </c>
      <c r="C3429" s="39">
        <f t="shared" si="110"/>
        <v>15.609803473745455</v>
      </c>
      <c r="D3429" s="39">
        <f t="shared" si="111"/>
        <v>6.0324005891016199</v>
      </c>
    </row>
    <row r="3430" spans="2:4" ht="15" x14ac:dyDescent="0.15">
      <c r="B3430" s="38">
        <v>13672</v>
      </c>
      <c r="C3430" s="39">
        <f t="shared" si="110"/>
        <v>15.622605082014221</v>
      </c>
      <c r="D3430" s="39">
        <f t="shared" si="111"/>
        <v>6.0412979351032448</v>
      </c>
    </row>
    <row r="3431" spans="2:4" ht="15" x14ac:dyDescent="0.15">
      <c r="B3431" s="38">
        <v>13676</v>
      </c>
      <c r="C3431" s="39">
        <f t="shared" si="110"/>
        <v>15.6354255856526</v>
      </c>
      <c r="D3431" s="39">
        <f t="shared" si="111"/>
        <v>6.0502215657311673</v>
      </c>
    </row>
    <row r="3432" spans="2:4" ht="15" x14ac:dyDescent="0.15">
      <c r="B3432" s="38">
        <v>13680</v>
      </c>
      <c r="C3432" s="39">
        <f t="shared" si="110"/>
        <v>15.648265040522769</v>
      </c>
      <c r="D3432" s="39">
        <f t="shared" si="111"/>
        <v>6.059171597633136</v>
      </c>
    </row>
    <row r="3433" spans="2:4" ht="15" x14ac:dyDescent="0.15">
      <c r="B3433" s="38">
        <v>13684</v>
      </c>
      <c r="C3433" s="39">
        <f t="shared" si="110"/>
        <v>15.661123502734988</v>
      </c>
      <c r="D3433" s="39">
        <f t="shared" si="111"/>
        <v>6.0681481481481478</v>
      </c>
    </row>
    <row r="3434" spans="2:4" ht="15" x14ac:dyDescent="0.15">
      <c r="B3434" s="38">
        <v>13688</v>
      </c>
      <c r="C3434" s="39">
        <f t="shared" si="110"/>
        <v>15.674001028649091</v>
      </c>
      <c r="D3434" s="39">
        <f t="shared" si="111"/>
        <v>6.0771513353115729</v>
      </c>
    </row>
    <row r="3435" spans="2:4" ht="15" x14ac:dyDescent="0.15">
      <c r="B3435" s="38">
        <v>13692</v>
      </c>
      <c r="C3435" s="39">
        <f t="shared" si="110"/>
        <v>15.686897674875951</v>
      </c>
      <c r="D3435" s="39">
        <f t="shared" si="111"/>
        <v>6.0861812778603266</v>
      </c>
    </row>
    <row r="3436" spans="2:4" ht="15" x14ac:dyDescent="0.15">
      <c r="B3436" s="38">
        <v>13696</v>
      </c>
      <c r="C3436" s="39">
        <f t="shared" si="110"/>
        <v>15.699813498278981</v>
      </c>
      <c r="D3436" s="39">
        <f t="shared" si="111"/>
        <v>6.0952380952380949</v>
      </c>
    </row>
    <row r="3437" spans="2:4" ht="15" x14ac:dyDescent="0.15">
      <c r="B3437" s="38">
        <v>13700</v>
      </c>
      <c r="C3437" s="39">
        <f t="shared" si="110"/>
        <v>15.712748555975647</v>
      </c>
      <c r="D3437" s="39">
        <f t="shared" si="111"/>
        <v>6.1043219076005961</v>
      </c>
    </row>
    <row r="3438" spans="2:4" ht="15" x14ac:dyDescent="0.15">
      <c r="B3438" s="38">
        <v>13704</v>
      </c>
      <c r="C3438" s="39">
        <f t="shared" si="110"/>
        <v>15.725702905338959</v>
      </c>
      <c r="D3438" s="39">
        <f t="shared" si="111"/>
        <v>6.1134328358208956</v>
      </c>
    </row>
    <row r="3439" spans="2:4" ht="15" x14ac:dyDescent="0.15">
      <c r="B3439" s="38">
        <v>13708</v>
      </c>
      <c r="C3439" s="39">
        <f t="shared" si="110"/>
        <v>15.738676603999025</v>
      </c>
      <c r="D3439" s="39">
        <f t="shared" si="111"/>
        <v>6.1225710014947685</v>
      </c>
    </row>
    <row r="3440" spans="2:4" ht="15" x14ac:dyDescent="0.15">
      <c r="B3440" s="38">
        <v>13712</v>
      </c>
      <c r="C3440" s="39">
        <f t="shared" si="110"/>
        <v>15.751669709844574</v>
      </c>
      <c r="D3440" s="39">
        <f t="shared" si="111"/>
        <v>6.1317365269461082</v>
      </c>
    </row>
    <row r="3441" spans="2:4" ht="15" x14ac:dyDescent="0.15">
      <c r="B3441" s="38">
        <v>13716</v>
      </c>
      <c r="C3441" s="39">
        <f t="shared" si="110"/>
        <v>15.764682281024507</v>
      </c>
      <c r="D3441" s="39">
        <f t="shared" si="111"/>
        <v>6.1409295352323836</v>
      </c>
    </row>
    <row r="3442" spans="2:4" ht="15" x14ac:dyDescent="0.15">
      <c r="B3442" s="38">
        <v>13720</v>
      </c>
      <c r="C3442" s="39">
        <f t="shared" si="110"/>
        <v>15.777714375949465</v>
      </c>
      <c r="D3442" s="39">
        <f t="shared" si="111"/>
        <v>6.1501501501501501</v>
      </c>
    </row>
    <row r="3443" spans="2:4" ht="15" x14ac:dyDescent="0.15">
      <c r="B3443" s="38">
        <v>13724</v>
      </c>
      <c r="C3443" s="39">
        <f t="shared" si="110"/>
        <v>15.790766053293394</v>
      </c>
      <c r="D3443" s="39">
        <f t="shared" si="111"/>
        <v>6.1593984962406019</v>
      </c>
    </row>
    <row r="3444" spans="2:4" ht="15" x14ac:dyDescent="0.15">
      <c r="B3444" s="38">
        <v>13728</v>
      </c>
      <c r="C3444" s="39">
        <f t="shared" si="110"/>
        <v>15.803837371995137</v>
      </c>
      <c r="D3444" s="39">
        <f t="shared" si="111"/>
        <v>6.168674698795181</v>
      </c>
    </row>
    <row r="3445" spans="2:4" ht="15" x14ac:dyDescent="0.15">
      <c r="B3445" s="38">
        <v>13732</v>
      </c>
      <c r="C3445" s="39">
        <f t="shared" si="110"/>
        <v>15.816928391260026</v>
      </c>
      <c r="D3445" s="39">
        <f t="shared" si="111"/>
        <v>6.1779788838612371</v>
      </c>
    </row>
    <row r="3446" spans="2:4" ht="15" x14ac:dyDescent="0.15">
      <c r="B3446" s="38">
        <v>13736</v>
      </c>
      <c r="C3446" s="39">
        <f t="shared" si="110"/>
        <v>15.830039170561488</v>
      </c>
      <c r="D3446" s="39">
        <f t="shared" si="111"/>
        <v>6.1873111782477341</v>
      </c>
    </row>
    <row r="3447" spans="2:4" ht="15" x14ac:dyDescent="0.15">
      <c r="B3447" s="38">
        <v>13740</v>
      </c>
      <c r="C3447" s="39">
        <f t="shared" si="110"/>
        <v>15.843169769642682</v>
      </c>
      <c r="D3447" s="39">
        <f t="shared" si="111"/>
        <v>6.1966717095310138</v>
      </c>
    </row>
    <row r="3448" spans="2:4" ht="15" x14ac:dyDescent="0.15">
      <c r="B3448" s="38">
        <v>13744</v>
      </c>
      <c r="C3448" s="39">
        <f t="shared" si="110"/>
        <v>15.856320248518115</v>
      </c>
      <c r="D3448" s="39">
        <f t="shared" si="111"/>
        <v>6.2060606060606061</v>
      </c>
    </row>
    <row r="3449" spans="2:4" ht="15" x14ac:dyDescent="0.15">
      <c r="B3449" s="38">
        <v>13748</v>
      </c>
      <c r="C3449" s="39">
        <f t="shared" si="110"/>
        <v>15.86949066747529</v>
      </c>
      <c r="D3449" s="39">
        <f t="shared" si="111"/>
        <v>6.2154779969650988</v>
      </c>
    </row>
    <row r="3450" spans="2:4" ht="15" x14ac:dyDescent="0.15">
      <c r="B3450" s="38">
        <v>13752</v>
      </c>
      <c r="C3450" s="39">
        <f t="shared" si="110"/>
        <v>15.882681087076378</v>
      </c>
      <c r="D3450" s="39">
        <f t="shared" si="111"/>
        <v>6.2249240121580547</v>
      </c>
    </row>
    <row r="3451" spans="2:4" ht="15" x14ac:dyDescent="0.15">
      <c r="B3451" s="38">
        <v>13756</v>
      </c>
      <c r="C3451" s="39">
        <f t="shared" si="110"/>
        <v>15.89589156815987</v>
      </c>
      <c r="D3451" s="39">
        <f t="shared" si="111"/>
        <v>6.2343987823439875</v>
      </c>
    </row>
    <row r="3452" spans="2:4" ht="15" x14ac:dyDescent="0.15">
      <c r="B3452" s="38">
        <v>13760</v>
      </c>
      <c r="C3452" s="39">
        <f t="shared" si="110"/>
        <v>15.909122171842283</v>
      </c>
      <c r="D3452" s="39">
        <f t="shared" si="111"/>
        <v>6.2439024390243905</v>
      </c>
    </row>
    <row r="3453" spans="2:4" ht="15" x14ac:dyDescent="0.15">
      <c r="B3453" s="38">
        <v>13764</v>
      </c>
      <c r="C3453" s="39">
        <f t="shared" si="110"/>
        <v>15.922372959519826</v>
      </c>
      <c r="D3453" s="39">
        <f t="shared" si="111"/>
        <v>6.2534351145038167</v>
      </c>
    </row>
    <row r="3454" spans="2:4" ht="15" x14ac:dyDescent="0.15">
      <c r="B3454" s="38">
        <v>13768</v>
      </c>
      <c r="C3454" s="39">
        <f t="shared" si="110"/>
        <v>15.935643992870141</v>
      </c>
      <c r="D3454" s="39">
        <f t="shared" si="111"/>
        <v>6.2629969418960245</v>
      </c>
    </row>
    <row r="3455" spans="2:4" ht="15" x14ac:dyDescent="0.15">
      <c r="B3455" s="38">
        <v>13772</v>
      </c>
      <c r="C3455" s="39">
        <f t="shared" si="110"/>
        <v>15.948935333854008</v>
      </c>
      <c r="D3455" s="39">
        <f t="shared" si="111"/>
        <v>6.2725880551301687</v>
      </c>
    </row>
    <row r="3456" spans="2:4" ht="15" x14ac:dyDescent="0.15">
      <c r="B3456" s="38">
        <v>13776</v>
      </c>
      <c r="C3456" s="39">
        <f t="shared" si="110"/>
        <v>15.962247044717085</v>
      </c>
      <c r="D3456" s="39">
        <f t="shared" si="111"/>
        <v>6.2822085889570554</v>
      </c>
    </row>
    <row r="3457" spans="2:4" ht="15" x14ac:dyDescent="0.15">
      <c r="B3457" s="38">
        <v>13780</v>
      </c>
      <c r="C3457" s="39">
        <f t="shared" si="110"/>
        <v>15.975579187991649</v>
      </c>
      <c r="D3457" s="39">
        <f t="shared" si="111"/>
        <v>6.2918586789554531</v>
      </c>
    </row>
    <row r="3458" spans="2:4" ht="15" x14ac:dyDescent="0.15">
      <c r="B3458" s="38">
        <v>13784</v>
      </c>
      <c r="C3458" s="39">
        <f t="shared" si="110"/>
        <v>15.988931826498376</v>
      </c>
      <c r="D3458" s="39">
        <f t="shared" si="111"/>
        <v>6.3015384615384615</v>
      </c>
    </row>
    <row r="3459" spans="2:4" ht="15" x14ac:dyDescent="0.15">
      <c r="B3459" s="38">
        <v>13788</v>
      </c>
      <c r="C3459" s="39">
        <f t="shared" si="110"/>
        <v>16.002305023348104</v>
      </c>
      <c r="D3459" s="39">
        <f t="shared" si="111"/>
        <v>6.3112480739599386</v>
      </c>
    </row>
    <row r="3460" spans="2:4" ht="15" x14ac:dyDescent="0.15">
      <c r="B3460" s="38">
        <v>13792</v>
      </c>
      <c r="C3460" s="39">
        <f t="shared" si="110"/>
        <v>16.015698841943621</v>
      </c>
      <c r="D3460" s="39">
        <f t="shared" si="111"/>
        <v>6.3209876543209873</v>
      </c>
    </row>
    <row r="3461" spans="2:4" ht="15" x14ac:dyDescent="0.15">
      <c r="B3461" s="38">
        <v>13796</v>
      </c>
      <c r="C3461" s="39">
        <f t="shared" si="110"/>
        <v>16.029113345981479</v>
      </c>
      <c r="D3461" s="39">
        <f t="shared" si="111"/>
        <v>6.3307573415765068</v>
      </c>
    </row>
    <row r="3462" spans="2:4" ht="15" x14ac:dyDescent="0.15">
      <c r="B3462" s="38">
        <v>13800</v>
      </c>
      <c r="C3462" s="39">
        <f t="shared" ref="C3462:C3525" si="112">20*LOG(D3462)</f>
        <v>16.042548599453806</v>
      </c>
      <c r="D3462" s="39">
        <f t="shared" ref="D3462:D3525" si="113">16384/(16384-B3462)</f>
        <v>6.340557275541796</v>
      </c>
    </row>
    <row r="3463" spans="2:4" ht="15" x14ac:dyDescent="0.15">
      <c r="B3463" s="38">
        <v>13804</v>
      </c>
      <c r="C3463" s="39">
        <f t="shared" si="112"/>
        <v>16.056004666650132</v>
      </c>
      <c r="D3463" s="39">
        <f t="shared" si="113"/>
        <v>6.3503875968992247</v>
      </c>
    </row>
    <row r="3464" spans="2:4" ht="15" x14ac:dyDescent="0.15">
      <c r="B3464" s="38">
        <v>13808</v>
      </c>
      <c r="C3464" s="39">
        <f t="shared" si="112"/>
        <v>16.069481612159244</v>
      </c>
      <c r="D3464" s="39">
        <f t="shared" si="113"/>
        <v>6.3602484472049685</v>
      </c>
    </row>
    <row r="3465" spans="2:4" ht="15" x14ac:dyDescent="0.15">
      <c r="B3465" s="38">
        <v>13812</v>
      </c>
      <c r="C3465" s="39">
        <f t="shared" si="112"/>
        <v>16.082979500871048</v>
      </c>
      <c r="D3465" s="39">
        <f t="shared" si="113"/>
        <v>6.3701399688958009</v>
      </c>
    </row>
    <row r="3466" spans="2:4" ht="15" x14ac:dyDescent="0.15">
      <c r="B3466" s="38">
        <v>13816</v>
      </c>
      <c r="C3466" s="39">
        <f t="shared" si="112"/>
        <v>16.096498397978422</v>
      </c>
      <c r="D3466" s="39">
        <f t="shared" si="113"/>
        <v>6.38006230529595</v>
      </c>
    </row>
    <row r="3467" spans="2:4" ht="15" x14ac:dyDescent="0.15">
      <c r="B3467" s="38">
        <v>13820</v>
      </c>
      <c r="C3467" s="39">
        <f t="shared" si="112"/>
        <v>16.11003836897914</v>
      </c>
      <c r="D3467" s="39">
        <f t="shared" si="113"/>
        <v>6.3900156006240252</v>
      </c>
    </row>
    <row r="3468" spans="2:4" ht="15" x14ac:dyDescent="0.15">
      <c r="B3468" s="38">
        <v>13824</v>
      </c>
      <c r="C3468" s="39">
        <f t="shared" si="112"/>
        <v>16.123599479677743</v>
      </c>
      <c r="D3468" s="39">
        <f t="shared" si="113"/>
        <v>6.4</v>
      </c>
    </row>
    <row r="3469" spans="2:4" ht="15" x14ac:dyDescent="0.15">
      <c r="B3469" s="38">
        <v>13828</v>
      </c>
      <c r="C3469" s="39">
        <f t="shared" si="112"/>
        <v>16.137181796187484</v>
      </c>
      <c r="D3469" s="39">
        <f t="shared" si="113"/>
        <v>6.4100156494522693</v>
      </c>
    </row>
    <row r="3470" spans="2:4" ht="15" x14ac:dyDescent="0.15">
      <c r="B3470" s="38">
        <v>13832</v>
      </c>
      <c r="C3470" s="39">
        <f t="shared" si="112"/>
        <v>16.150785384932242</v>
      </c>
      <c r="D3470" s="39">
        <f t="shared" si="113"/>
        <v>6.4200626959247646</v>
      </c>
    </row>
    <row r="3471" spans="2:4" ht="15" x14ac:dyDescent="0.15">
      <c r="B3471" s="38">
        <v>13836</v>
      </c>
      <c r="C3471" s="39">
        <f t="shared" si="112"/>
        <v>16.164410312648478</v>
      </c>
      <c r="D3471" s="39">
        <f t="shared" si="113"/>
        <v>6.4301412872841448</v>
      </c>
    </row>
    <row r="3472" spans="2:4" ht="15" x14ac:dyDescent="0.15">
      <c r="B3472" s="38">
        <v>13840</v>
      </c>
      <c r="C3472" s="39">
        <f t="shared" si="112"/>
        <v>16.178056646387208</v>
      </c>
      <c r="D3472" s="39">
        <f t="shared" si="113"/>
        <v>6.4402515723270444</v>
      </c>
    </row>
    <row r="3473" spans="2:4" ht="15" x14ac:dyDescent="0.15">
      <c r="B3473" s="38">
        <v>13844</v>
      </c>
      <c r="C3473" s="39">
        <f t="shared" si="112"/>
        <v>16.191724453515974</v>
      </c>
      <c r="D3473" s="39">
        <f t="shared" si="113"/>
        <v>6.4503937007874015</v>
      </c>
    </row>
    <row r="3474" spans="2:4" ht="15" x14ac:dyDescent="0.15">
      <c r="B3474" s="38">
        <v>13848</v>
      </c>
      <c r="C3474" s="39">
        <f t="shared" si="112"/>
        <v>16.205413801720834</v>
      </c>
      <c r="D3474" s="39">
        <f t="shared" si="113"/>
        <v>6.4605678233438484</v>
      </c>
    </row>
    <row r="3475" spans="2:4" ht="15" x14ac:dyDescent="0.15">
      <c r="B3475" s="38">
        <v>13852</v>
      </c>
      <c r="C3475" s="39">
        <f t="shared" si="112"/>
        <v>16.219124759008384</v>
      </c>
      <c r="D3475" s="39">
        <f t="shared" si="113"/>
        <v>6.4707740916271721</v>
      </c>
    </row>
    <row r="3476" spans="2:4" ht="15" x14ac:dyDescent="0.15">
      <c r="B3476" s="38">
        <v>13856</v>
      </c>
      <c r="C3476" s="39">
        <f t="shared" si="112"/>
        <v>16.232857393707786</v>
      </c>
      <c r="D3476" s="39">
        <f t="shared" si="113"/>
        <v>6.481012658227848</v>
      </c>
    </row>
    <row r="3477" spans="2:4" ht="15" x14ac:dyDescent="0.15">
      <c r="B3477" s="38">
        <v>13860</v>
      </c>
      <c r="C3477" s="39">
        <f t="shared" si="112"/>
        <v>16.2466117744728</v>
      </c>
      <c r="D3477" s="39">
        <f t="shared" si="113"/>
        <v>6.4912836767036453</v>
      </c>
    </row>
    <row r="3478" spans="2:4" ht="15" x14ac:dyDescent="0.15">
      <c r="B3478" s="38">
        <v>13864</v>
      </c>
      <c r="C3478" s="39">
        <f t="shared" si="112"/>
        <v>16.260387970283851</v>
      </c>
      <c r="D3478" s="39">
        <f t="shared" si="113"/>
        <v>6.5015873015873016</v>
      </c>
    </row>
    <row r="3479" spans="2:4" ht="15" x14ac:dyDescent="0.15">
      <c r="B3479" s="38">
        <v>13868</v>
      </c>
      <c r="C3479" s="39">
        <f t="shared" si="112"/>
        <v>16.274186050450108</v>
      </c>
      <c r="D3479" s="39">
        <f t="shared" si="113"/>
        <v>6.511923688394277</v>
      </c>
    </row>
    <row r="3480" spans="2:4" ht="15" x14ac:dyDescent="0.15">
      <c r="B3480" s="38">
        <v>13872</v>
      </c>
      <c r="C3480" s="39">
        <f t="shared" si="112"/>
        <v>16.288006084611563</v>
      </c>
      <c r="D3480" s="39">
        <f t="shared" si="113"/>
        <v>6.5222929936305736</v>
      </c>
    </row>
    <row r="3481" spans="2:4" ht="15" x14ac:dyDescent="0.15">
      <c r="B3481" s="38">
        <v>13876</v>
      </c>
      <c r="C3481" s="39">
        <f t="shared" si="112"/>
        <v>16.301848142741157</v>
      </c>
      <c r="D3481" s="39">
        <f t="shared" si="113"/>
        <v>6.532695374800638</v>
      </c>
    </row>
    <row r="3482" spans="2:4" ht="15" x14ac:dyDescent="0.15">
      <c r="B3482" s="38">
        <v>13880</v>
      </c>
      <c r="C3482" s="39">
        <f t="shared" si="112"/>
        <v>16.315712295146895</v>
      </c>
      <c r="D3482" s="39">
        <f t="shared" si="113"/>
        <v>6.5431309904153352</v>
      </c>
    </row>
    <row r="3483" spans="2:4" ht="15" x14ac:dyDescent="0.15">
      <c r="B3483" s="38">
        <v>13884</v>
      </c>
      <c r="C3483" s="39">
        <f t="shared" si="112"/>
        <v>16.329598612473983</v>
      </c>
      <c r="D3483" s="39">
        <f t="shared" si="113"/>
        <v>6.5536000000000003</v>
      </c>
    </row>
    <row r="3484" spans="2:4" ht="15" x14ac:dyDescent="0.15">
      <c r="B3484" s="38">
        <v>13888</v>
      </c>
      <c r="C3484" s="39">
        <f t="shared" si="112"/>
        <v>16.343507165707006</v>
      </c>
      <c r="D3484" s="39">
        <f t="shared" si="113"/>
        <v>6.5641025641025639</v>
      </c>
    </row>
    <row r="3485" spans="2:4" ht="15" x14ac:dyDescent="0.15">
      <c r="B3485" s="38">
        <v>13892</v>
      </c>
      <c r="C3485" s="39">
        <f t="shared" si="112"/>
        <v>16.357438026172094</v>
      </c>
      <c r="D3485" s="39">
        <f t="shared" si="113"/>
        <v>6.5746388443017656</v>
      </c>
    </row>
    <row r="3486" spans="2:4" ht="15" x14ac:dyDescent="0.15">
      <c r="B3486" s="38">
        <v>13896</v>
      </c>
      <c r="C3486" s="39">
        <f t="shared" si="112"/>
        <v>16.371391265539113</v>
      </c>
      <c r="D3486" s="39">
        <f t="shared" si="113"/>
        <v>6.585209003215434</v>
      </c>
    </row>
    <row r="3487" spans="2:4" ht="15" x14ac:dyDescent="0.15">
      <c r="B3487" s="38">
        <v>13900</v>
      </c>
      <c r="C3487" s="39">
        <f t="shared" si="112"/>
        <v>16.385366955823883</v>
      </c>
      <c r="D3487" s="39">
        <f t="shared" si="113"/>
        <v>6.5958132045088567</v>
      </c>
    </row>
    <row r="3488" spans="2:4" ht="15" x14ac:dyDescent="0.15">
      <c r="B3488" s="38">
        <v>13904</v>
      </c>
      <c r="C3488" s="39">
        <f t="shared" si="112"/>
        <v>16.399365169390411</v>
      </c>
      <c r="D3488" s="39">
        <f t="shared" si="113"/>
        <v>6.6064516129032258</v>
      </c>
    </row>
    <row r="3489" spans="2:4" ht="15" x14ac:dyDescent="0.15">
      <c r="B3489" s="38">
        <v>13908</v>
      </c>
      <c r="C3489" s="39">
        <f t="shared" si="112"/>
        <v>16.413385978953126</v>
      </c>
      <c r="D3489" s="39">
        <f t="shared" si="113"/>
        <v>6.6171243941841684</v>
      </c>
    </row>
    <row r="3490" spans="2:4" ht="15" x14ac:dyDescent="0.15">
      <c r="B3490" s="38">
        <v>13912</v>
      </c>
      <c r="C3490" s="39">
        <f t="shared" si="112"/>
        <v>16.427429457579169</v>
      </c>
      <c r="D3490" s="39">
        <f t="shared" si="113"/>
        <v>6.6278317152103563</v>
      </c>
    </row>
    <row r="3491" spans="2:4" ht="15" x14ac:dyDescent="0.15">
      <c r="B3491" s="38">
        <v>13916</v>
      </c>
      <c r="C3491" s="39">
        <f t="shared" si="112"/>
        <v>16.44149567869065</v>
      </c>
      <c r="D3491" s="39">
        <f t="shared" si="113"/>
        <v>6.6385737439222039</v>
      </c>
    </row>
    <row r="3492" spans="2:4" ht="15" x14ac:dyDescent="0.15">
      <c r="B3492" s="38">
        <v>13920</v>
      </c>
      <c r="C3492" s="39">
        <f t="shared" si="112"/>
        <v>16.455584716066976</v>
      </c>
      <c r="D3492" s="39">
        <f t="shared" si="113"/>
        <v>6.6493506493506498</v>
      </c>
    </row>
    <row r="3493" spans="2:4" ht="15" x14ac:dyDescent="0.15">
      <c r="B3493" s="38">
        <v>13924</v>
      </c>
      <c r="C3493" s="39">
        <f t="shared" si="112"/>
        <v>16.469696643847151</v>
      </c>
      <c r="D3493" s="39">
        <f t="shared" si="113"/>
        <v>6.6601626016260163</v>
      </c>
    </row>
    <row r="3494" spans="2:4" ht="15" x14ac:dyDescent="0.15">
      <c r="B3494" s="38">
        <v>13928</v>
      </c>
      <c r="C3494" s="39">
        <f t="shared" si="112"/>
        <v>16.483831536532133</v>
      </c>
      <c r="D3494" s="39">
        <f t="shared" si="113"/>
        <v>6.671009771986971</v>
      </c>
    </row>
    <row r="3495" spans="2:4" ht="15" x14ac:dyDescent="0.15">
      <c r="B3495" s="38">
        <v>13932</v>
      </c>
      <c r="C3495" s="39">
        <f t="shared" si="112"/>
        <v>16.497989468987186</v>
      </c>
      <c r="D3495" s="39">
        <f t="shared" si="113"/>
        <v>6.6818923327895599</v>
      </c>
    </row>
    <row r="3496" spans="2:4" ht="15" x14ac:dyDescent="0.15">
      <c r="B3496" s="38">
        <v>13936</v>
      </c>
      <c r="C3496" s="39">
        <f t="shared" si="112"/>
        <v>16.512170516444261</v>
      </c>
      <c r="D3496" s="39">
        <f t="shared" si="113"/>
        <v>6.6928104575163401</v>
      </c>
    </row>
    <row r="3497" spans="2:4" ht="15" x14ac:dyDescent="0.15">
      <c r="B3497" s="38">
        <v>13940</v>
      </c>
      <c r="C3497" s="39">
        <f t="shared" si="112"/>
        <v>16.526374754504403</v>
      </c>
      <c r="D3497" s="39">
        <f t="shared" si="113"/>
        <v>6.7037643207855977</v>
      </c>
    </row>
    <row r="3498" spans="2:4" ht="15" x14ac:dyDescent="0.15">
      <c r="B3498" s="38">
        <v>13944</v>
      </c>
      <c r="C3498" s="39">
        <f t="shared" si="112"/>
        <v>16.540602259140147</v>
      </c>
      <c r="D3498" s="39">
        <f t="shared" si="113"/>
        <v>6.7147540983606557</v>
      </c>
    </row>
    <row r="3499" spans="2:4" ht="15" x14ac:dyDescent="0.15">
      <c r="B3499" s="38">
        <v>13948</v>
      </c>
      <c r="C3499" s="39">
        <f t="shared" si="112"/>
        <v>16.55485310669798</v>
      </c>
      <c r="D3499" s="39">
        <f t="shared" si="113"/>
        <v>6.7257799671592773</v>
      </c>
    </row>
    <row r="3500" spans="2:4" ht="15" x14ac:dyDescent="0.15">
      <c r="B3500" s="38">
        <v>13952</v>
      </c>
      <c r="C3500" s="39">
        <f t="shared" si="112"/>
        <v>16.569127373900788</v>
      </c>
      <c r="D3500" s="39">
        <f t="shared" si="113"/>
        <v>6.7368421052631575</v>
      </c>
    </row>
    <row r="3501" spans="2:4" ht="15" x14ac:dyDescent="0.15">
      <c r="B3501" s="38">
        <v>13956</v>
      </c>
      <c r="C3501" s="39">
        <f t="shared" si="112"/>
        <v>16.583425137850337</v>
      </c>
      <c r="D3501" s="39">
        <f t="shared" si="113"/>
        <v>6.7479406919275124</v>
      </c>
    </row>
    <row r="3502" spans="2:4" ht="15" x14ac:dyDescent="0.15">
      <c r="B3502" s="38">
        <v>13960</v>
      </c>
      <c r="C3502" s="39">
        <f t="shared" si="112"/>
        <v>16.597746476029762</v>
      </c>
      <c r="D3502" s="39">
        <f t="shared" si="113"/>
        <v>6.7590759075907592</v>
      </c>
    </row>
    <row r="3503" spans="2:4" ht="15" x14ac:dyDescent="0.15">
      <c r="B3503" s="38">
        <v>13964</v>
      </c>
      <c r="C3503" s="39">
        <f t="shared" si="112"/>
        <v>16.612091466306108</v>
      </c>
      <c r="D3503" s="39">
        <f t="shared" si="113"/>
        <v>6.7702479338842974</v>
      </c>
    </row>
    <row r="3504" spans="2:4" ht="15" x14ac:dyDescent="0.15">
      <c r="B3504" s="38">
        <v>13968</v>
      </c>
      <c r="C3504" s="39">
        <f t="shared" si="112"/>
        <v>16.626460186932849</v>
      </c>
      <c r="D3504" s="39">
        <f t="shared" si="113"/>
        <v>6.7814569536423841</v>
      </c>
    </row>
    <row r="3505" spans="2:4" ht="15" x14ac:dyDescent="0.15">
      <c r="B3505" s="38">
        <v>13972</v>
      </c>
      <c r="C3505" s="39">
        <f t="shared" si="112"/>
        <v>16.640852716552462</v>
      </c>
      <c r="D3505" s="39">
        <f t="shared" si="113"/>
        <v>6.7927031509121063</v>
      </c>
    </row>
    <row r="3506" spans="2:4" ht="15" x14ac:dyDescent="0.15">
      <c r="B3506" s="38">
        <v>13976</v>
      </c>
      <c r="C3506" s="39">
        <f t="shared" si="112"/>
        <v>16.655269134198996</v>
      </c>
      <c r="D3506" s="39">
        <f t="shared" si="113"/>
        <v>6.8039867109634553</v>
      </c>
    </row>
    <row r="3507" spans="2:4" ht="15" x14ac:dyDescent="0.15">
      <c r="B3507" s="38">
        <v>13980</v>
      </c>
      <c r="C3507" s="39">
        <f t="shared" si="112"/>
        <v>16.669709519300696</v>
      </c>
      <c r="D3507" s="39">
        <f t="shared" si="113"/>
        <v>6.815307820299501</v>
      </c>
    </row>
    <row r="3508" spans="2:4" ht="15" x14ac:dyDescent="0.15">
      <c r="B3508" s="38">
        <v>13984</v>
      </c>
      <c r="C3508" s="39">
        <f t="shared" si="112"/>
        <v>16.684173951682617</v>
      </c>
      <c r="D3508" s="39">
        <f t="shared" si="113"/>
        <v>6.8266666666666671</v>
      </c>
    </row>
    <row r="3509" spans="2:4" ht="15" x14ac:dyDescent="0.15">
      <c r="B3509" s="38">
        <v>13988</v>
      </c>
      <c r="C3509" s="39">
        <f t="shared" si="112"/>
        <v>16.69866251156926</v>
      </c>
      <c r="D3509" s="39">
        <f t="shared" si="113"/>
        <v>6.8380634390651087</v>
      </c>
    </row>
    <row r="3510" spans="2:4" ht="15" x14ac:dyDescent="0.15">
      <c r="B3510" s="38">
        <v>13992</v>
      </c>
      <c r="C3510" s="39">
        <f t="shared" si="112"/>
        <v>16.713175279587269</v>
      </c>
      <c r="D3510" s="39">
        <f t="shared" si="113"/>
        <v>6.8494983277591972</v>
      </c>
    </row>
    <row r="3511" spans="2:4" ht="15" x14ac:dyDescent="0.15">
      <c r="B3511" s="38">
        <v>13996</v>
      </c>
      <c r="C3511" s="39">
        <f t="shared" si="112"/>
        <v>16.727712336768107</v>
      </c>
      <c r="D3511" s="39">
        <f t="shared" si="113"/>
        <v>6.8609715242881073</v>
      </c>
    </row>
    <row r="3512" spans="2:4" ht="15" x14ac:dyDescent="0.15">
      <c r="B3512" s="38">
        <v>14000</v>
      </c>
      <c r="C3512" s="39">
        <f t="shared" si="112"/>
        <v>16.74227376455076</v>
      </c>
      <c r="D3512" s="39">
        <f t="shared" si="113"/>
        <v>6.8724832214765099</v>
      </c>
    </row>
    <row r="3513" spans="2:4" ht="15" x14ac:dyDescent="0.15">
      <c r="B3513" s="38">
        <v>14004</v>
      </c>
      <c r="C3513" s="39">
        <f t="shared" si="112"/>
        <v>16.756859644784498</v>
      </c>
      <c r="D3513" s="39">
        <f t="shared" si="113"/>
        <v>6.8840336134453786</v>
      </c>
    </row>
    <row r="3514" spans="2:4" ht="15" x14ac:dyDescent="0.15">
      <c r="B3514" s="38">
        <v>14008</v>
      </c>
      <c r="C3514" s="39">
        <f t="shared" si="112"/>
        <v>16.771470059731616</v>
      </c>
      <c r="D3514" s="39">
        <f t="shared" si="113"/>
        <v>6.8956228956228953</v>
      </c>
    </row>
    <row r="3515" spans="2:4" ht="15" x14ac:dyDescent="0.15">
      <c r="B3515" s="38">
        <v>14012</v>
      </c>
      <c r="C3515" s="39">
        <f t="shared" si="112"/>
        <v>16.786105092070233</v>
      </c>
      <c r="D3515" s="39">
        <f t="shared" si="113"/>
        <v>6.9072512647554802</v>
      </c>
    </row>
    <row r="3516" spans="2:4" ht="15" x14ac:dyDescent="0.15">
      <c r="B3516" s="38">
        <v>14016</v>
      </c>
      <c r="C3516" s="39">
        <f t="shared" si="112"/>
        <v>16.800764824897094</v>
      </c>
      <c r="D3516" s="39">
        <f t="shared" si="113"/>
        <v>6.9189189189189193</v>
      </c>
    </row>
    <row r="3517" spans="2:4" ht="15" x14ac:dyDescent="0.15">
      <c r="B3517" s="38">
        <v>14020</v>
      </c>
      <c r="C3517" s="39">
        <f t="shared" si="112"/>
        <v>16.815449341730378</v>
      </c>
      <c r="D3517" s="39">
        <f t="shared" si="113"/>
        <v>6.9306260575296106</v>
      </c>
    </row>
    <row r="3518" spans="2:4" ht="15" x14ac:dyDescent="0.15">
      <c r="B3518" s="38">
        <v>14024</v>
      </c>
      <c r="C3518" s="39">
        <f t="shared" si="112"/>
        <v>16.830158726512604</v>
      </c>
      <c r="D3518" s="39">
        <f t="shared" si="113"/>
        <v>6.942372881355932</v>
      </c>
    </row>
    <row r="3519" spans="2:4" ht="15" x14ac:dyDescent="0.15">
      <c r="B3519" s="38">
        <v>14028</v>
      </c>
      <c r="C3519" s="39">
        <f t="shared" si="112"/>
        <v>16.844893063613455</v>
      </c>
      <c r="D3519" s="39">
        <f t="shared" si="113"/>
        <v>6.9541595925297113</v>
      </c>
    </row>
    <row r="3520" spans="2:4" ht="15" x14ac:dyDescent="0.15">
      <c r="B3520" s="38">
        <v>14032</v>
      </c>
      <c r="C3520" s="39">
        <f t="shared" si="112"/>
        <v>16.859652437832718</v>
      </c>
      <c r="D3520" s="39">
        <f t="shared" si="113"/>
        <v>6.9659863945578229</v>
      </c>
    </row>
    <row r="3521" spans="2:4" ht="15" x14ac:dyDescent="0.15">
      <c r="B3521" s="38">
        <v>14036</v>
      </c>
      <c r="C3521" s="39">
        <f t="shared" si="112"/>
        <v>16.874436934403196</v>
      </c>
      <c r="D3521" s="39">
        <f t="shared" si="113"/>
        <v>6.9778534923339013</v>
      </c>
    </row>
    <row r="3522" spans="2:4" ht="15" x14ac:dyDescent="0.15">
      <c r="B3522" s="38">
        <v>14040</v>
      </c>
      <c r="C3522" s="39">
        <f t="shared" si="112"/>
        <v>16.889246638993672</v>
      </c>
      <c r="D3522" s="39">
        <f t="shared" si="113"/>
        <v>6.9897610921501707</v>
      </c>
    </row>
    <row r="3523" spans="2:4" ht="15" x14ac:dyDescent="0.15">
      <c r="B3523" s="38">
        <v>14044</v>
      </c>
      <c r="C3523" s="39">
        <f t="shared" si="112"/>
        <v>16.904081637711879</v>
      </c>
      <c r="D3523" s="39">
        <f t="shared" si="113"/>
        <v>7.0017094017094017</v>
      </c>
    </row>
    <row r="3524" spans="2:4" ht="15" x14ac:dyDescent="0.15">
      <c r="B3524" s="38">
        <v>14048</v>
      </c>
      <c r="C3524" s="39">
        <f t="shared" si="112"/>
        <v>16.918942017107497</v>
      </c>
      <c r="D3524" s="39">
        <f t="shared" si="113"/>
        <v>7.0136986301369859</v>
      </c>
    </row>
    <row r="3525" spans="2:4" ht="15" x14ac:dyDescent="0.15">
      <c r="B3525" s="38">
        <v>14052</v>
      </c>
      <c r="C3525" s="39">
        <f t="shared" si="112"/>
        <v>16.933827864175207</v>
      </c>
      <c r="D3525" s="39">
        <f t="shared" si="113"/>
        <v>7.0257289879931388</v>
      </c>
    </row>
    <row r="3526" spans="2:4" ht="15" x14ac:dyDescent="0.15">
      <c r="B3526" s="38">
        <v>14056</v>
      </c>
      <c r="C3526" s="39">
        <f t="shared" ref="C3526:C3589" si="114">20*LOG(D3526)</f>
        <v>16.948739266357716</v>
      </c>
      <c r="D3526" s="39">
        <f t="shared" ref="D3526:D3589" si="115">16384/(16384-B3526)</f>
        <v>7.0378006872852232</v>
      </c>
    </row>
    <row r="3527" spans="2:4" ht="15" x14ac:dyDescent="0.15">
      <c r="B3527" s="38">
        <v>14060</v>
      </c>
      <c r="C3527" s="39">
        <f t="shared" si="114"/>
        <v>16.963676311548873</v>
      </c>
      <c r="D3527" s="39">
        <f t="shared" si="115"/>
        <v>7.0499139414802068</v>
      </c>
    </row>
    <row r="3528" spans="2:4" ht="15" x14ac:dyDescent="0.15">
      <c r="B3528" s="38">
        <v>14064</v>
      </c>
      <c r="C3528" s="39">
        <f t="shared" si="114"/>
        <v>16.978639088096742</v>
      </c>
      <c r="D3528" s="39">
        <f t="shared" si="115"/>
        <v>7.0620689655172413</v>
      </c>
    </row>
    <row r="3529" spans="2:4" ht="15" x14ac:dyDescent="0.15">
      <c r="B3529" s="38">
        <v>14068</v>
      </c>
      <c r="C3529" s="39">
        <f t="shared" si="114"/>
        <v>16.993627684806761</v>
      </c>
      <c r="D3529" s="39">
        <f t="shared" si="115"/>
        <v>7.0742659758203796</v>
      </c>
    </row>
    <row r="3530" spans="2:4" ht="15" x14ac:dyDescent="0.15">
      <c r="B3530" s="38">
        <v>14072</v>
      </c>
      <c r="C3530" s="39">
        <f t="shared" si="114"/>
        <v>17.008642190944908</v>
      </c>
      <c r="D3530" s="39">
        <f t="shared" si="115"/>
        <v>7.0865051903114189</v>
      </c>
    </row>
    <row r="3531" spans="2:4" ht="15" x14ac:dyDescent="0.15">
      <c r="B3531" s="38">
        <v>14076</v>
      </c>
      <c r="C3531" s="39">
        <f t="shared" si="114"/>
        <v>17.023682696240858</v>
      </c>
      <c r="D3531" s="39">
        <f t="shared" si="115"/>
        <v>7.0987868284228766</v>
      </c>
    </row>
    <row r="3532" spans="2:4" ht="15" x14ac:dyDescent="0.15">
      <c r="B3532" s="38">
        <v>14080</v>
      </c>
      <c r="C3532" s="39">
        <f t="shared" si="114"/>
        <v>17.038749290891246</v>
      </c>
      <c r="D3532" s="39">
        <f t="shared" si="115"/>
        <v>7.1111111111111107</v>
      </c>
    </row>
    <row r="3533" spans="2:4" ht="15" x14ac:dyDescent="0.15">
      <c r="B3533" s="38">
        <v>14084</v>
      </c>
      <c r="C3533" s="39">
        <f t="shared" si="114"/>
        <v>17.053842065562876</v>
      </c>
      <c r="D3533" s="39">
        <f t="shared" si="115"/>
        <v>7.1234782608695655</v>
      </c>
    </row>
    <row r="3534" spans="2:4" ht="15" x14ac:dyDescent="0.15">
      <c r="B3534" s="38">
        <v>14088</v>
      </c>
      <c r="C3534" s="39">
        <f t="shared" si="114"/>
        <v>17.068961111396018</v>
      </c>
      <c r="D3534" s="39">
        <f t="shared" si="115"/>
        <v>7.1358885017421603</v>
      </c>
    </row>
    <row r="3535" spans="2:4" ht="15" x14ac:dyDescent="0.15">
      <c r="B3535" s="38">
        <v>14092</v>
      </c>
      <c r="C3535" s="39">
        <f t="shared" si="114"/>
        <v>17.084106520007687</v>
      </c>
      <c r="D3535" s="39">
        <f t="shared" si="115"/>
        <v>7.1483420593368239</v>
      </c>
    </row>
    <row r="3536" spans="2:4" ht="15" x14ac:dyDescent="0.15">
      <c r="B3536" s="38">
        <v>14096</v>
      </c>
      <c r="C3536" s="39">
        <f t="shared" si="114"/>
        <v>17.099278383495001</v>
      </c>
      <c r="D3536" s="39">
        <f t="shared" si="115"/>
        <v>7.1608391608391608</v>
      </c>
    </row>
    <row r="3537" spans="2:4" ht="15" x14ac:dyDescent="0.15">
      <c r="B3537" s="38">
        <v>14100</v>
      </c>
      <c r="C3537" s="39">
        <f t="shared" si="114"/>
        <v>17.114476794438527</v>
      </c>
      <c r="D3537" s="39">
        <f t="shared" si="115"/>
        <v>7.1733800350262698</v>
      </c>
    </row>
    <row r="3538" spans="2:4" ht="15" x14ac:dyDescent="0.15">
      <c r="B3538" s="38">
        <v>14104</v>
      </c>
      <c r="C3538" s="39">
        <f t="shared" si="114"/>
        <v>17.129701845905657</v>
      </c>
      <c r="D3538" s="39">
        <f t="shared" si="115"/>
        <v>7.1859649122807019</v>
      </c>
    </row>
    <row r="3539" spans="2:4" ht="15" x14ac:dyDescent="0.15">
      <c r="B3539" s="38">
        <v>14108</v>
      </c>
      <c r="C3539" s="39">
        <f t="shared" si="114"/>
        <v>17.144953631454062</v>
      </c>
      <c r="D3539" s="39">
        <f t="shared" si="115"/>
        <v>7.198594024604569</v>
      </c>
    </row>
    <row r="3540" spans="2:4" ht="15" x14ac:dyDescent="0.15">
      <c r="B3540" s="38">
        <v>14112</v>
      </c>
      <c r="C3540" s="39">
        <f t="shared" si="114"/>
        <v>17.160232245135109</v>
      </c>
      <c r="D3540" s="39">
        <f t="shared" si="115"/>
        <v>7.211267605633803</v>
      </c>
    </row>
    <row r="3541" spans="2:4" ht="15" x14ac:dyDescent="0.15">
      <c r="B3541" s="38">
        <v>14116</v>
      </c>
      <c r="C3541" s="39">
        <f t="shared" si="114"/>
        <v>17.175537781497354</v>
      </c>
      <c r="D3541" s="39">
        <f t="shared" si="115"/>
        <v>7.2239858906525569</v>
      </c>
    </row>
    <row r="3542" spans="2:4" ht="15" x14ac:dyDescent="0.15">
      <c r="B3542" s="38">
        <v>14120</v>
      </c>
      <c r="C3542" s="39">
        <f t="shared" si="114"/>
        <v>17.190870335590059</v>
      </c>
      <c r="D3542" s="39">
        <f t="shared" si="115"/>
        <v>7.2367491166077738</v>
      </c>
    </row>
    <row r="3543" spans="2:4" ht="15" x14ac:dyDescent="0.15">
      <c r="B3543" s="38">
        <v>14124</v>
      </c>
      <c r="C3543" s="39">
        <f t="shared" si="114"/>
        <v>17.206230002966716</v>
      </c>
      <c r="D3543" s="39">
        <f t="shared" si="115"/>
        <v>7.2495575221238937</v>
      </c>
    </row>
    <row r="3544" spans="2:4" ht="15" x14ac:dyDescent="0.15">
      <c r="B3544" s="38">
        <v>14128</v>
      </c>
      <c r="C3544" s="39">
        <f t="shared" si="114"/>
        <v>17.221616879688643</v>
      </c>
      <c r="D3544" s="39">
        <f t="shared" si="115"/>
        <v>7.2624113475177303</v>
      </c>
    </row>
    <row r="3545" spans="2:4" ht="15" x14ac:dyDescent="0.15">
      <c r="B3545" s="38">
        <v>14132</v>
      </c>
      <c r="C3545" s="39">
        <f t="shared" si="114"/>
        <v>17.237031062328562</v>
      </c>
      <c r="D3545" s="39">
        <f t="shared" si="115"/>
        <v>7.2753108348134994</v>
      </c>
    </row>
    <row r="3546" spans="2:4" ht="15" x14ac:dyDescent="0.15">
      <c r="B3546" s="38">
        <v>14136</v>
      </c>
      <c r="C3546" s="39">
        <f t="shared" si="114"/>
        <v>17.252472647974265</v>
      </c>
      <c r="D3546" s="39">
        <f t="shared" si="115"/>
        <v>7.2882562277580067</v>
      </c>
    </row>
    <row r="3547" spans="2:4" ht="15" x14ac:dyDescent="0.15">
      <c r="B3547" s="38">
        <v>14140</v>
      </c>
      <c r="C3547" s="39">
        <f t="shared" si="114"/>
        <v>17.267941734232256</v>
      </c>
      <c r="D3547" s="39">
        <f t="shared" si="115"/>
        <v>7.3012477718360067</v>
      </c>
    </row>
    <row r="3548" spans="2:4" ht="15" x14ac:dyDescent="0.15">
      <c r="B3548" s="38">
        <v>14144</v>
      </c>
      <c r="C3548" s="39">
        <f t="shared" si="114"/>
        <v>17.28343841923148</v>
      </c>
      <c r="D3548" s="39">
        <f t="shared" si="115"/>
        <v>7.3142857142857141</v>
      </c>
    </row>
    <row r="3549" spans="2:4" ht="15" x14ac:dyDescent="0.15">
      <c r="B3549" s="38">
        <v>14148</v>
      </c>
      <c r="C3549" s="39">
        <f t="shared" si="114"/>
        <v>17.29896280162702</v>
      </c>
      <c r="D3549" s="39">
        <f t="shared" si="115"/>
        <v>7.3273703041144902</v>
      </c>
    </row>
    <row r="3550" spans="2:4" ht="15" x14ac:dyDescent="0.15">
      <c r="B3550" s="38">
        <v>14152</v>
      </c>
      <c r="C3550" s="39">
        <f t="shared" si="114"/>
        <v>17.314514980603914</v>
      </c>
      <c r="D3550" s="39">
        <f t="shared" si="115"/>
        <v>7.3405017921146953</v>
      </c>
    </row>
    <row r="3551" spans="2:4" ht="15" x14ac:dyDescent="0.15">
      <c r="B3551" s="38">
        <v>14156</v>
      </c>
      <c r="C3551" s="39">
        <f t="shared" si="114"/>
        <v>17.330095055880911</v>
      </c>
      <c r="D3551" s="39">
        <f t="shared" si="115"/>
        <v>7.353680430879713</v>
      </c>
    </row>
    <row r="3552" spans="2:4" ht="15" x14ac:dyDescent="0.15">
      <c r="B3552" s="38">
        <v>14160</v>
      </c>
      <c r="C3552" s="39">
        <f t="shared" si="114"/>
        <v>17.345703127714337</v>
      </c>
      <c r="D3552" s="39">
        <f t="shared" si="115"/>
        <v>7.3669064748201443</v>
      </c>
    </row>
    <row r="3553" spans="2:4" ht="15" x14ac:dyDescent="0.15">
      <c r="B3553" s="38">
        <v>14164</v>
      </c>
      <c r="C3553" s="39">
        <f t="shared" si="114"/>
        <v>17.361339296901964</v>
      </c>
      <c r="D3553" s="39">
        <f t="shared" si="115"/>
        <v>7.3801801801801803</v>
      </c>
    </row>
    <row r="3554" spans="2:4" ht="15" x14ac:dyDescent="0.15">
      <c r="B3554" s="38">
        <v>14168</v>
      </c>
      <c r="C3554" s="39">
        <f t="shared" si="114"/>
        <v>17.377003664786891</v>
      </c>
      <c r="D3554" s="39">
        <f t="shared" si="115"/>
        <v>7.3935018050541519</v>
      </c>
    </row>
    <row r="3555" spans="2:4" ht="15" x14ac:dyDescent="0.15">
      <c r="B3555" s="38">
        <v>14172</v>
      </c>
      <c r="C3555" s="39">
        <f t="shared" si="114"/>
        <v>17.392696333261522</v>
      </c>
      <c r="D3555" s="39">
        <f t="shared" si="115"/>
        <v>7.4068716094032547</v>
      </c>
    </row>
    <row r="3556" spans="2:4" ht="15" x14ac:dyDescent="0.15">
      <c r="B3556" s="38">
        <v>14176</v>
      </c>
      <c r="C3556" s="39">
        <f t="shared" si="114"/>
        <v>17.408417404771509</v>
      </c>
      <c r="D3556" s="39">
        <f t="shared" si="115"/>
        <v>7.4202898550724639</v>
      </c>
    </row>
    <row r="3557" spans="2:4" ht="15" x14ac:dyDescent="0.15">
      <c r="B3557" s="38">
        <v>14180</v>
      </c>
      <c r="C3557" s="39">
        <f t="shared" si="114"/>
        <v>17.424166982319786</v>
      </c>
      <c r="D3557" s="39">
        <f t="shared" si="115"/>
        <v>7.4337568058076222</v>
      </c>
    </row>
    <row r="3558" spans="2:4" ht="15" x14ac:dyDescent="0.15">
      <c r="B3558" s="38">
        <v>14184</v>
      </c>
      <c r="C3558" s="39">
        <f t="shared" si="114"/>
        <v>17.439945169470612</v>
      </c>
      <c r="D3558" s="39">
        <f t="shared" si="115"/>
        <v>7.4472727272727273</v>
      </c>
    </row>
    <row r="3559" spans="2:4" ht="15" x14ac:dyDescent="0.15">
      <c r="B3559" s="38">
        <v>14188</v>
      </c>
      <c r="C3559" s="39">
        <f t="shared" si="114"/>
        <v>17.45575207035365</v>
      </c>
      <c r="D3559" s="39">
        <f t="shared" si="115"/>
        <v>7.4608378870673953</v>
      </c>
    </row>
    <row r="3560" spans="2:4" ht="15" x14ac:dyDescent="0.15">
      <c r="B3560" s="38">
        <v>14192</v>
      </c>
      <c r="C3560" s="39">
        <f t="shared" si="114"/>
        <v>17.471587789668103</v>
      </c>
      <c r="D3560" s="39">
        <f t="shared" si="115"/>
        <v>7.4744525547445253</v>
      </c>
    </row>
    <row r="3561" spans="2:4" ht="15" x14ac:dyDescent="0.15">
      <c r="B3561" s="38">
        <v>14196</v>
      </c>
      <c r="C3561" s="39">
        <f t="shared" si="114"/>
        <v>17.487452432686872</v>
      </c>
      <c r="D3561" s="39">
        <f t="shared" si="115"/>
        <v>7.4881170018281535</v>
      </c>
    </row>
    <row r="3562" spans="2:4" ht="15" x14ac:dyDescent="0.15">
      <c r="B3562" s="38">
        <v>14200</v>
      </c>
      <c r="C3562" s="39">
        <f t="shared" si="114"/>
        <v>17.503346105260743</v>
      </c>
      <c r="D3562" s="39">
        <f t="shared" si="115"/>
        <v>7.5018315018315018</v>
      </c>
    </row>
    <row r="3563" spans="2:4" ht="15" x14ac:dyDescent="0.15">
      <c r="B3563" s="38">
        <v>14204</v>
      </c>
      <c r="C3563" s="39">
        <f t="shared" si="114"/>
        <v>17.519268913822639</v>
      </c>
      <c r="D3563" s="39">
        <f t="shared" si="115"/>
        <v>7.5155963302752298</v>
      </c>
    </row>
    <row r="3564" spans="2:4" ht="15" x14ac:dyDescent="0.15">
      <c r="B3564" s="38">
        <v>14208</v>
      </c>
      <c r="C3564" s="39">
        <f t="shared" si="114"/>
        <v>17.53522096539189</v>
      </c>
      <c r="D3564" s="39">
        <f t="shared" si="115"/>
        <v>7.5294117647058822</v>
      </c>
    </row>
    <row r="3565" spans="2:4" ht="15" x14ac:dyDescent="0.15">
      <c r="B3565" s="38">
        <v>14212</v>
      </c>
      <c r="C3565" s="39">
        <f t="shared" si="114"/>
        <v>17.551202367578547</v>
      </c>
      <c r="D3565" s="39">
        <f t="shared" si="115"/>
        <v>7.5432780847145491</v>
      </c>
    </row>
    <row r="3566" spans="2:4" ht="15" x14ac:dyDescent="0.15">
      <c r="B3566" s="38">
        <v>14216</v>
      </c>
      <c r="C3566" s="39">
        <f t="shared" si="114"/>
        <v>17.567213228587747</v>
      </c>
      <c r="D3566" s="39">
        <f t="shared" si="115"/>
        <v>7.5571955719557193</v>
      </c>
    </row>
    <row r="3567" spans="2:4" ht="15" x14ac:dyDescent="0.15">
      <c r="B3567" s="38">
        <v>14220</v>
      </c>
      <c r="C3567" s="39">
        <f t="shared" si="114"/>
        <v>17.583253657224098</v>
      </c>
      <c r="D3567" s="39">
        <f t="shared" si="115"/>
        <v>7.5711645101663585</v>
      </c>
    </row>
    <row r="3568" spans="2:4" ht="15" x14ac:dyDescent="0.15">
      <c r="B3568" s="38">
        <v>14224</v>
      </c>
      <c r="C3568" s="39">
        <f t="shared" si="114"/>
        <v>17.599323762896116</v>
      </c>
      <c r="D3568" s="39">
        <f t="shared" si="115"/>
        <v>7.5851851851851855</v>
      </c>
    </row>
    <row r="3569" spans="2:4" ht="15" x14ac:dyDescent="0.15">
      <c r="B3569" s="38">
        <v>14228</v>
      </c>
      <c r="C3569" s="39">
        <f t="shared" si="114"/>
        <v>17.615423655620713</v>
      </c>
      <c r="D3569" s="39">
        <f t="shared" si="115"/>
        <v>7.5992578849721708</v>
      </c>
    </row>
    <row r="3570" spans="2:4" ht="15" x14ac:dyDescent="0.15">
      <c r="B3570" s="38">
        <v>14232</v>
      </c>
      <c r="C3570" s="39">
        <f t="shared" si="114"/>
        <v>17.631553446027702</v>
      </c>
      <c r="D3570" s="39">
        <f t="shared" si="115"/>
        <v>7.6133828996282524</v>
      </c>
    </row>
    <row r="3571" spans="2:4" ht="15" x14ac:dyDescent="0.15">
      <c r="B3571" s="38">
        <v>14236</v>
      </c>
      <c r="C3571" s="39">
        <f t="shared" si="114"/>
        <v>17.647713245364372</v>
      </c>
      <c r="D3571" s="39">
        <f t="shared" si="115"/>
        <v>7.62756052141527</v>
      </c>
    </row>
    <row r="3572" spans="2:4" ht="15" x14ac:dyDescent="0.15">
      <c r="B3572" s="38">
        <v>14240</v>
      </c>
      <c r="C3572" s="39">
        <f t="shared" si="114"/>
        <v>17.663903165500084</v>
      </c>
      <c r="D3572" s="39">
        <f t="shared" si="115"/>
        <v>7.6417910447761193</v>
      </c>
    </row>
    <row r="3573" spans="2:4" ht="15" x14ac:dyDescent="0.15">
      <c r="B3573" s="38">
        <v>14244</v>
      </c>
      <c r="C3573" s="39">
        <f t="shared" si="114"/>
        <v>17.680123318930917</v>
      </c>
      <c r="D3573" s="39">
        <f t="shared" si="115"/>
        <v>7.6560747663551405</v>
      </c>
    </row>
    <row r="3574" spans="2:4" ht="15" x14ac:dyDescent="0.15">
      <c r="B3574" s="38">
        <v>14248</v>
      </c>
      <c r="C3574" s="39">
        <f t="shared" si="114"/>
        <v>17.696373818784359</v>
      </c>
      <c r="D3574" s="39">
        <f t="shared" si="115"/>
        <v>7.6704119850187267</v>
      </c>
    </row>
    <row r="3575" spans="2:4" ht="15" x14ac:dyDescent="0.15">
      <c r="B3575" s="38">
        <v>14252</v>
      </c>
      <c r="C3575" s="39">
        <f t="shared" si="114"/>
        <v>17.712654778824042</v>
      </c>
      <c r="D3575" s="39">
        <f t="shared" si="115"/>
        <v>7.6848030018761726</v>
      </c>
    </row>
    <row r="3576" spans="2:4" ht="15" x14ac:dyDescent="0.15">
      <c r="B3576" s="38">
        <v>14256</v>
      </c>
      <c r="C3576" s="39">
        <f t="shared" si="114"/>
        <v>17.728966313454521</v>
      </c>
      <c r="D3576" s="39">
        <f t="shared" si="115"/>
        <v>7.6992481203007515</v>
      </c>
    </row>
    <row r="3577" spans="2:4" ht="15" x14ac:dyDescent="0.15">
      <c r="B3577" s="38">
        <v>14260</v>
      </c>
      <c r="C3577" s="39">
        <f t="shared" si="114"/>
        <v>17.745308537726107</v>
      </c>
      <c r="D3577" s="39">
        <f t="shared" si="115"/>
        <v>7.7137476459510355</v>
      </c>
    </row>
    <row r="3578" spans="2:4" ht="15" x14ac:dyDescent="0.15">
      <c r="B3578" s="38">
        <v>14264</v>
      </c>
      <c r="C3578" s="39">
        <f t="shared" si="114"/>
        <v>17.761681567339707</v>
      </c>
      <c r="D3578" s="39">
        <f t="shared" si="115"/>
        <v>7.7283018867924529</v>
      </c>
    </row>
    <row r="3579" spans="2:4" ht="15" x14ac:dyDescent="0.15">
      <c r="B3579" s="38">
        <v>14268</v>
      </c>
      <c r="C3579" s="39">
        <f t="shared" si="114"/>
        <v>17.778085518651771</v>
      </c>
      <c r="D3579" s="39">
        <f t="shared" si="115"/>
        <v>7.7429111531190928</v>
      </c>
    </row>
    <row r="3580" spans="2:4" ht="15" x14ac:dyDescent="0.15">
      <c r="B3580" s="38">
        <v>14272</v>
      </c>
      <c r="C3580" s="39">
        <f t="shared" si="114"/>
        <v>17.794520508679241</v>
      </c>
      <c r="D3580" s="39">
        <f t="shared" si="115"/>
        <v>7.7575757575757578</v>
      </c>
    </row>
    <row r="3581" spans="2:4" ht="15" x14ac:dyDescent="0.15">
      <c r="B3581" s="38">
        <v>14276</v>
      </c>
      <c r="C3581" s="39">
        <f t="shared" si="114"/>
        <v>17.810986655104553</v>
      </c>
      <c r="D3581" s="39">
        <f t="shared" si="115"/>
        <v>7.7722960151802658</v>
      </c>
    </row>
    <row r="3582" spans="2:4" ht="15" x14ac:dyDescent="0.15">
      <c r="B3582" s="38">
        <v>14280</v>
      </c>
      <c r="C3582" s="39">
        <f t="shared" si="114"/>
        <v>17.827484076280705</v>
      </c>
      <c r="D3582" s="39">
        <f t="shared" si="115"/>
        <v>7.7870722433460076</v>
      </c>
    </row>
    <row r="3583" spans="2:4" ht="15" x14ac:dyDescent="0.15">
      <c r="B3583" s="38">
        <v>14284</v>
      </c>
      <c r="C3583" s="39">
        <f t="shared" si="114"/>
        <v>17.84401289123635</v>
      </c>
      <c r="D3583" s="39">
        <f t="shared" si="115"/>
        <v>7.8019047619047619</v>
      </c>
    </row>
    <row r="3584" spans="2:4" ht="15" x14ac:dyDescent="0.15">
      <c r="B3584" s="38">
        <v>14288</v>
      </c>
      <c r="C3584" s="39">
        <f t="shared" si="114"/>
        <v>17.860573219680951</v>
      </c>
      <c r="D3584" s="39">
        <f t="shared" si="115"/>
        <v>7.8167938931297707</v>
      </c>
    </row>
    <row r="3585" spans="2:4" ht="15" x14ac:dyDescent="0.15">
      <c r="B3585" s="38">
        <v>14292</v>
      </c>
      <c r="C3585" s="39">
        <f t="shared" si="114"/>
        <v>17.877165182010003</v>
      </c>
      <c r="D3585" s="39">
        <f t="shared" si="115"/>
        <v>7.8317399617590819</v>
      </c>
    </row>
    <row r="3586" spans="2:4" ht="15" x14ac:dyDescent="0.15">
      <c r="B3586" s="38">
        <v>14296</v>
      </c>
      <c r="C3586" s="39">
        <f t="shared" si="114"/>
        <v>17.893788899310245</v>
      </c>
      <c r="D3586" s="39">
        <f t="shared" si="115"/>
        <v>7.8467432950191567</v>
      </c>
    </row>
    <row r="3587" spans="2:4" ht="15" x14ac:dyDescent="0.15">
      <c r="B3587" s="38">
        <v>14300</v>
      </c>
      <c r="C3587" s="39">
        <f t="shared" si="114"/>
        <v>17.910444493364995</v>
      </c>
      <c r="D3587" s="39">
        <f t="shared" si="115"/>
        <v>7.8618042226487521</v>
      </c>
    </row>
    <row r="3588" spans="2:4" ht="15" x14ac:dyDescent="0.15">
      <c r="B3588" s="38">
        <v>14304</v>
      </c>
      <c r="C3588" s="39">
        <f t="shared" si="114"/>
        <v>17.927132086659505</v>
      </c>
      <c r="D3588" s="39">
        <f t="shared" si="115"/>
        <v>7.8769230769230774</v>
      </c>
    </row>
    <row r="3589" spans="2:4" ht="15" x14ac:dyDescent="0.15">
      <c r="B3589" s="38">
        <v>14308</v>
      </c>
      <c r="C3589" s="39">
        <f t="shared" si="114"/>
        <v>17.94385180238633</v>
      </c>
      <c r="D3589" s="39">
        <f t="shared" si="115"/>
        <v>7.8921001926782273</v>
      </c>
    </row>
    <row r="3590" spans="2:4" ht="15" x14ac:dyDescent="0.15">
      <c r="B3590" s="38">
        <v>14312</v>
      </c>
      <c r="C3590" s="39">
        <f t="shared" ref="C3590:C3653" si="116">20*LOG(D3590)</f>
        <v>17.960603764450827</v>
      </c>
      <c r="D3590" s="39">
        <f t="shared" ref="D3590:D3653" si="117">16384/(16384-B3590)</f>
        <v>7.9073359073359075</v>
      </c>
    </row>
    <row r="3591" spans="2:4" ht="15" x14ac:dyDescent="0.15">
      <c r="B3591" s="38">
        <v>14316</v>
      </c>
      <c r="C3591" s="39">
        <f t="shared" si="116"/>
        <v>17.977388097476638</v>
      </c>
      <c r="D3591" s="39">
        <f t="shared" si="117"/>
        <v>7.9226305609284333</v>
      </c>
    </row>
    <row r="3592" spans="2:4" ht="15" x14ac:dyDescent="0.15">
      <c r="B3592" s="38">
        <v>14320</v>
      </c>
      <c r="C3592" s="39">
        <f t="shared" si="116"/>
        <v>17.99420492681126</v>
      </c>
      <c r="D3592" s="39">
        <f t="shared" si="117"/>
        <v>7.9379844961240309</v>
      </c>
    </row>
    <row r="3593" spans="2:4" ht="15" x14ac:dyDescent="0.15">
      <c r="B3593" s="38">
        <v>14324</v>
      </c>
      <c r="C3593" s="39">
        <f t="shared" si="116"/>
        <v>18.011054378531664</v>
      </c>
      <c r="D3593" s="39">
        <f t="shared" si="117"/>
        <v>7.9533980582524268</v>
      </c>
    </row>
    <row r="3594" spans="2:4" ht="15" x14ac:dyDescent="0.15">
      <c r="B3594" s="38">
        <v>14328</v>
      </c>
      <c r="C3594" s="39">
        <f t="shared" si="116"/>
        <v>18.027936579449971</v>
      </c>
      <c r="D3594" s="39">
        <f t="shared" si="117"/>
        <v>7.9688715953307394</v>
      </c>
    </row>
    <row r="3595" spans="2:4" ht="15" x14ac:dyDescent="0.15">
      <c r="B3595" s="38">
        <v>14332</v>
      </c>
      <c r="C3595" s="39">
        <f t="shared" si="116"/>
        <v>18.04485165711916</v>
      </c>
      <c r="D3595" s="39">
        <f t="shared" si="117"/>
        <v>7.9844054580896682</v>
      </c>
    </row>
    <row r="3596" spans="2:4" ht="15" x14ac:dyDescent="0.15">
      <c r="B3596" s="38">
        <v>14336</v>
      </c>
      <c r="C3596" s="39">
        <f t="shared" si="116"/>
        <v>18.061799739838872</v>
      </c>
      <c r="D3596" s="39">
        <f t="shared" si="117"/>
        <v>8</v>
      </c>
    </row>
    <row r="3597" spans="2:4" ht="15" x14ac:dyDescent="0.15">
      <c r="B3597" s="38">
        <v>14340</v>
      </c>
      <c r="C3597" s="39">
        <f t="shared" si="116"/>
        <v>18.07878095666123</v>
      </c>
      <c r="D3597" s="39">
        <f t="shared" si="117"/>
        <v>8.0156555772994125</v>
      </c>
    </row>
    <row r="3598" spans="2:4" ht="15" x14ac:dyDescent="0.15">
      <c r="B3598" s="38">
        <v>14344</v>
      </c>
      <c r="C3598" s="39">
        <f t="shared" si="116"/>
        <v>18.09579543739676</v>
      </c>
      <c r="D3598" s="39">
        <f t="shared" si="117"/>
        <v>8.0313725490196077</v>
      </c>
    </row>
    <row r="3599" spans="2:4" ht="15" x14ac:dyDescent="0.15">
      <c r="B3599" s="38">
        <v>14348</v>
      </c>
      <c r="C3599" s="39">
        <f t="shared" si="116"/>
        <v>18.11284331262031</v>
      </c>
      <c r="D3599" s="39">
        <f t="shared" si="117"/>
        <v>8.0471512770137519</v>
      </c>
    </row>
    <row r="3600" spans="2:4" ht="15" x14ac:dyDescent="0.15">
      <c r="B3600" s="38">
        <v>14352</v>
      </c>
      <c r="C3600" s="39">
        <f t="shared" si="116"/>
        <v>18.129924713677102</v>
      </c>
      <c r="D3600" s="39">
        <f t="shared" si="117"/>
        <v>8.0629921259842519</v>
      </c>
    </row>
    <row r="3601" spans="2:4" ht="15" x14ac:dyDescent="0.15">
      <c r="B3601" s="38">
        <v>14356</v>
      </c>
      <c r="C3601" s="39">
        <f t="shared" si="116"/>
        <v>18.147039772688768</v>
      </c>
      <c r="D3601" s="39">
        <f t="shared" si="117"/>
        <v>8.0788954635108485</v>
      </c>
    </row>
    <row r="3602" spans="2:4" ht="15" x14ac:dyDescent="0.15">
      <c r="B3602" s="38">
        <v>14360</v>
      </c>
      <c r="C3602" s="39">
        <f t="shared" si="116"/>
        <v>18.164188622559504</v>
      </c>
      <c r="D3602" s="39">
        <f t="shared" si="117"/>
        <v>8.0948616600790508</v>
      </c>
    </row>
    <row r="3603" spans="2:4" ht="15" x14ac:dyDescent="0.15">
      <c r="B3603" s="38">
        <v>14364</v>
      </c>
      <c r="C3603" s="39">
        <f t="shared" si="116"/>
        <v>18.181371396982261</v>
      </c>
      <c r="D3603" s="39">
        <f t="shared" si="117"/>
        <v>8.110891089108911</v>
      </c>
    </row>
    <row r="3604" spans="2:4" ht="15" x14ac:dyDescent="0.15">
      <c r="B3604" s="38">
        <v>14368</v>
      </c>
      <c r="C3604" s="39">
        <f t="shared" si="116"/>
        <v>18.19858823044498</v>
      </c>
      <c r="D3604" s="39">
        <f t="shared" si="117"/>
        <v>8.1269841269841265</v>
      </c>
    </row>
    <row r="3605" spans="2:4" ht="15" x14ac:dyDescent="0.15">
      <c r="B3605" s="38">
        <v>14372</v>
      </c>
      <c r="C3605" s="39">
        <f t="shared" si="116"/>
        <v>18.21583925823694</v>
      </c>
      <c r="D3605" s="39">
        <f t="shared" si="117"/>
        <v>8.1431411530815101</v>
      </c>
    </row>
    <row r="3606" spans="2:4" ht="15" x14ac:dyDescent="0.15">
      <c r="B3606" s="38">
        <v>14376</v>
      </c>
      <c r="C3606" s="39">
        <f t="shared" si="116"/>
        <v>18.2331246164551</v>
      </c>
      <c r="D3606" s="39">
        <f t="shared" si="117"/>
        <v>8.1593625498007967</v>
      </c>
    </row>
    <row r="3607" spans="2:4" ht="15" x14ac:dyDescent="0.15">
      <c r="B3607" s="38">
        <v>14380</v>
      </c>
      <c r="C3607" s="39">
        <f t="shared" si="116"/>
        <v>18.250444442010572</v>
      </c>
      <c r="D3607" s="39">
        <f t="shared" si="117"/>
        <v>8.1756487025948097</v>
      </c>
    </row>
    <row r="3608" spans="2:4" ht="15" x14ac:dyDescent="0.15">
      <c r="B3608" s="38">
        <v>14384</v>
      </c>
      <c r="C3608" s="39">
        <f t="shared" si="116"/>
        <v>18.267798872635112</v>
      </c>
      <c r="D3608" s="39">
        <f t="shared" si="117"/>
        <v>8.1920000000000002</v>
      </c>
    </row>
    <row r="3609" spans="2:4" ht="15" x14ac:dyDescent="0.15">
      <c r="B3609" s="38">
        <v>14388</v>
      </c>
      <c r="C3609" s="39">
        <f t="shared" si="116"/>
        <v>18.28518804688769</v>
      </c>
      <c r="D3609" s="39">
        <f t="shared" si="117"/>
        <v>8.208416833667334</v>
      </c>
    </row>
    <row r="3610" spans="2:4" ht="15" x14ac:dyDescent="0.15">
      <c r="B3610" s="38">
        <v>14392</v>
      </c>
      <c r="C3610" s="39">
        <f t="shared" si="116"/>
        <v>18.302612104161135</v>
      </c>
      <c r="D3610" s="39">
        <f t="shared" si="117"/>
        <v>8.2248995983935735</v>
      </c>
    </row>
    <row r="3611" spans="2:4" ht="15" x14ac:dyDescent="0.15">
      <c r="B3611" s="38">
        <v>14396</v>
      </c>
      <c r="C3611" s="39">
        <f t="shared" si="116"/>
        <v>18.320071184688842</v>
      </c>
      <c r="D3611" s="39">
        <f t="shared" si="117"/>
        <v>8.2414486921529182</v>
      </c>
    </row>
    <row r="3612" spans="2:4" ht="15" x14ac:dyDescent="0.15">
      <c r="B3612" s="38">
        <v>14400</v>
      </c>
      <c r="C3612" s="39">
        <f t="shared" si="116"/>
        <v>18.337565429551535</v>
      </c>
      <c r="D3612" s="39">
        <f t="shared" si="117"/>
        <v>8.258064516129032</v>
      </c>
    </row>
    <row r="3613" spans="2:4" ht="15" x14ac:dyDescent="0.15">
      <c r="B3613" s="38">
        <v>14404</v>
      </c>
      <c r="C3613" s="39">
        <f t="shared" si="116"/>
        <v>18.355094980684111</v>
      </c>
      <c r="D3613" s="39">
        <f t="shared" si="117"/>
        <v>8.2747474747474747</v>
      </c>
    </row>
    <row r="3614" spans="2:4" ht="15" x14ac:dyDescent="0.15">
      <c r="B3614" s="38">
        <v>14408</v>
      </c>
      <c r="C3614" s="39">
        <f t="shared" si="116"/>
        <v>18.372659980882549</v>
      </c>
      <c r="D3614" s="39">
        <f t="shared" si="117"/>
        <v>8.2914979757085021</v>
      </c>
    </row>
    <row r="3615" spans="2:4" ht="15" x14ac:dyDescent="0.15">
      <c r="B3615" s="38">
        <v>14412</v>
      </c>
      <c r="C3615" s="39">
        <f t="shared" si="116"/>
        <v>18.390260573810885</v>
      </c>
      <c r="D3615" s="39">
        <f t="shared" si="117"/>
        <v>8.3083164300202839</v>
      </c>
    </row>
    <row r="3616" spans="2:4" ht="15" x14ac:dyDescent="0.15">
      <c r="B3616" s="38">
        <v>14416</v>
      </c>
      <c r="C3616" s="39">
        <f t="shared" si="116"/>
        <v>18.407896904008282</v>
      </c>
      <c r="D3616" s="39">
        <f t="shared" si="117"/>
        <v>8.3252032520325212</v>
      </c>
    </row>
    <row r="3617" spans="2:4" ht="15" x14ac:dyDescent="0.15">
      <c r="B3617" s="38">
        <v>14420</v>
      </c>
      <c r="C3617" s="39">
        <f t="shared" si="116"/>
        <v>18.425569116896117</v>
      </c>
      <c r="D3617" s="39">
        <f t="shared" si="117"/>
        <v>8.3421588594704676</v>
      </c>
    </row>
    <row r="3618" spans="2:4" ht="15" x14ac:dyDescent="0.15">
      <c r="B3618" s="38">
        <v>14424</v>
      </c>
      <c r="C3618" s="39">
        <f t="shared" si="116"/>
        <v>18.443277358785217</v>
      </c>
      <c r="D3618" s="39">
        <f t="shared" si="117"/>
        <v>8.3591836734693885</v>
      </c>
    </row>
    <row r="3619" spans="2:4" ht="15" x14ac:dyDescent="0.15">
      <c r="B3619" s="38">
        <v>14428</v>
      </c>
      <c r="C3619" s="39">
        <f t="shared" si="116"/>
        <v>18.461021776883083</v>
      </c>
      <c r="D3619" s="39">
        <f t="shared" si="117"/>
        <v>8.3762781186094077</v>
      </c>
    </row>
    <row r="3620" spans="2:4" ht="15" x14ac:dyDescent="0.15">
      <c r="B3620" s="38">
        <v>14432</v>
      </c>
      <c r="C3620" s="39">
        <f t="shared" si="116"/>
        <v>18.478802519301276</v>
      </c>
      <c r="D3620" s="39">
        <f t="shared" si="117"/>
        <v>8.3934426229508201</v>
      </c>
    </row>
    <row r="3621" spans="2:4" ht="15" x14ac:dyDescent="0.15">
      <c r="B3621" s="38">
        <v>14436</v>
      </c>
      <c r="C3621" s="39">
        <f t="shared" si="116"/>
        <v>18.496619735062801</v>
      </c>
      <c r="D3621" s="39">
        <f t="shared" si="117"/>
        <v>8.4106776180698155</v>
      </c>
    </row>
    <row r="3622" spans="2:4" ht="15" x14ac:dyDescent="0.15">
      <c r="B3622" s="38">
        <v>14440</v>
      </c>
      <c r="C3622" s="39">
        <f t="shared" si="116"/>
        <v>18.514473574109619</v>
      </c>
      <c r="D3622" s="39">
        <f t="shared" si="117"/>
        <v>8.4279835390946509</v>
      </c>
    </row>
    <row r="3623" spans="2:4" ht="15" x14ac:dyDescent="0.15">
      <c r="B3623" s="38">
        <v>14444</v>
      </c>
      <c r="C3623" s="39">
        <f t="shared" si="116"/>
        <v>18.532364187310215</v>
      </c>
      <c r="D3623" s="39">
        <f t="shared" si="117"/>
        <v>8.4453608247422682</v>
      </c>
    </row>
    <row r="3624" spans="2:4" ht="15" x14ac:dyDescent="0.15">
      <c r="B3624" s="38">
        <v>14448</v>
      </c>
      <c r="C3624" s="39">
        <f t="shared" si="116"/>
        <v>18.55029172646724</v>
      </c>
      <c r="D3624" s="39">
        <f t="shared" si="117"/>
        <v>8.4628099173553721</v>
      </c>
    </row>
    <row r="3625" spans="2:4" ht="15" x14ac:dyDescent="0.15">
      <c r="B3625" s="38">
        <v>14452</v>
      </c>
      <c r="C3625" s="39">
        <f t="shared" si="116"/>
        <v>18.568256344325246</v>
      </c>
      <c r="D3625" s="39">
        <f t="shared" si="117"/>
        <v>8.4803312629399592</v>
      </c>
    </row>
    <row r="3626" spans="2:4" ht="15" x14ac:dyDescent="0.15">
      <c r="B3626" s="38">
        <v>14456</v>
      </c>
      <c r="C3626" s="39">
        <f t="shared" si="116"/>
        <v>18.586258194578495</v>
      </c>
      <c r="D3626" s="39">
        <f t="shared" si="117"/>
        <v>8.4979253112033195</v>
      </c>
    </row>
    <row r="3627" spans="2:4" ht="15" x14ac:dyDescent="0.15">
      <c r="B3627" s="38">
        <v>14460</v>
      </c>
      <c r="C3627" s="39">
        <f t="shared" si="116"/>
        <v>18.604297431878852</v>
      </c>
      <c r="D3627" s="39">
        <f t="shared" si="117"/>
        <v>8.5155925155925161</v>
      </c>
    </row>
    <row r="3628" spans="2:4" ht="15" x14ac:dyDescent="0.15">
      <c r="B3628" s="38">
        <v>14464</v>
      </c>
      <c r="C3628" s="39">
        <f t="shared" si="116"/>
        <v>18.622374211843741</v>
      </c>
      <c r="D3628" s="39">
        <f t="shared" si="117"/>
        <v>8.5333333333333332</v>
      </c>
    </row>
    <row r="3629" spans="2:4" ht="15" x14ac:dyDescent="0.15">
      <c r="B3629" s="38">
        <v>14468</v>
      </c>
      <c r="C3629" s="39">
        <f t="shared" si="116"/>
        <v>18.64048869106422</v>
      </c>
      <c r="D3629" s="39">
        <f t="shared" si="117"/>
        <v>8.5511482254697277</v>
      </c>
    </row>
    <row r="3630" spans="2:4" ht="15" x14ac:dyDescent="0.15">
      <c r="B3630" s="38">
        <v>14472</v>
      </c>
      <c r="C3630" s="39">
        <f t="shared" si="116"/>
        <v>18.658641027113106</v>
      </c>
      <c r="D3630" s="39">
        <f t="shared" si="117"/>
        <v>8.569037656903765</v>
      </c>
    </row>
    <row r="3631" spans="2:4" ht="15" x14ac:dyDescent="0.15">
      <c r="B3631" s="38">
        <v>14476</v>
      </c>
      <c r="C3631" s="39">
        <f t="shared" si="116"/>
        <v>18.67683137855321</v>
      </c>
      <c r="D3631" s="39">
        <f t="shared" si="117"/>
        <v>8.5870020964360592</v>
      </c>
    </row>
    <row r="3632" spans="2:4" ht="15" x14ac:dyDescent="0.15">
      <c r="B3632" s="38">
        <v>14480</v>
      </c>
      <c r="C3632" s="39">
        <f t="shared" si="116"/>
        <v>18.695059904945623</v>
      </c>
      <c r="D3632" s="39">
        <f t="shared" si="117"/>
        <v>8.6050420168067223</v>
      </c>
    </row>
    <row r="3633" spans="2:4" ht="15" x14ac:dyDescent="0.15">
      <c r="B3633" s="38">
        <v>14484</v>
      </c>
      <c r="C3633" s="39">
        <f t="shared" si="116"/>
        <v>18.713326766858156</v>
      </c>
      <c r="D3633" s="39">
        <f t="shared" si="117"/>
        <v>8.6231578947368419</v>
      </c>
    </row>
    <row r="3634" spans="2:4" ht="15" x14ac:dyDescent="0.15">
      <c r="B3634" s="38">
        <v>14488</v>
      </c>
      <c r="C3634" s="39">
        <f t="shared" si="116"/>
        <v>18.731632125873784</v>
      </c>
      <c r="D3634" s="39">
        <f t="shared" si="117"/>
        <v>8.6413502109704634</v>
      </c>
    </row>
    <row r="3635" spans="2:4" ht="15" x14ac:dyDescent="0.15">
      <c r="B3635" s="38">
        <v>14492</v>
      </c>
      <c r="C3635" s="39">
        <f t="shared" si="116"/>
        <v>18.749976144599255</v>
      </c>
      <c r="D3635" s="39">
        <f t="shared" si="117"/>
        <v>8.6596194503171251</v>
      </c>
    </row>
    <row r="3636" spans="2:4" ht="15" x14ac:dyDescent="0.15">
      <c r="B3636" s="38">
        <v>14496</v>
      </c>
      <c r="C3636" s="39">
        <f t="shared" si="116"/>
        <v>18.768358986673732</v>
      </c>
      <c r="D3636" s="39">
        <f t="shared" si="117"/>
        <v>8.6779661016949152</v>
      </c>
    </row>
    <row r="3637" spans="2:4" ht="15" x14ac:dyDescent="0.15">
      <c r="B3637" s="38">
        <v>14500</v>
      </c>
      <c r="C3637" s="39">
        <f t="shared" si="116"/>
        <v>18.786780816777565</v>
      </c>
      <c r="D3637" s="39">
        <f t="shared" si="117"/>
        <v>8.6963906581740975</v>
      </c>
    </row>
    <row r="3638" spans="2:4" ht="15" x14ac:dyDescent="0.15">
      <c r="B3638" s="38">
        <v>14504</v>
      </c>
      <c r="C3638" s="39">
        <f t="shared" si="116"/>
        <v>18.805241800641138</v>
      </c>
      <c r="D3638" s="39">
        <f t="shared" si="117"/>
        <v>8.7148936170212767</v>
      </c>
    </row>
    <row r="3639" spans="2:4" ht="15" x14ac:dyDescent="0.15">
      <c r="B3639" s="38">
        <v>14508</v>
      </c>
      <c r="C3639" s="39">
        <f t="shared" si="116"/>
        <v>18.823742105053821</v>
      </c>
      <c r="D3639" s="39">
        <f t="shared" si="117"/>
        <v>8.7334754797441363</v>
      </c>
    </row>
    <row r="3640" spans="2:4" ht="15" x14ac:dyDescent="0.15">
      <c r="B3640" s="38">
        <v>14512</v>
      </c>
      <c r="C3640" s="39">
        <f t="shared" si="116"/>
        <v>18.842281897873008</v>
      </c>
      <c r="D3640" s="39">
        <f t="shared" si="117"/>
        <v>8.752136752136753</v>
      </c>
    </row>
    <row r="3641" spans="2:4" ht="15" x14ac:dyDescent="0.15">
      <c r="B3641" s="38">
        <v>14516</v>
      </c>
      <c r="C3641" s="39">
        <f t="shared" si="116"/>
        <v>18.860861348033243</v>
      </c>
      <c r="D3641" s="39">
        <f t="shared" si="117"/>
        <v>8.7708779443254823</v>
      </c>
    </row>
    <row r="3642" spans="2:4" ht="15" x14ac:dyDescent="0.15">
      <c r="B3642" s="38">
        <v>14520</v>
      </c>
      <c r="C3642" s="39">
        <f t="shared" si="116"/>
        <v>18.879480625555484</v>
      </c>
      <c r="D3642" s="39">
        <f t="shared" si="117"/>
        <v>8.7896995708154506</v>
      </c>
    </row>
    <row r="3643" spans="2:4" ht="15" x14ac:dyDescent="0.15">
      <c r="B3643" s="38">
        <v>14524</v>
      </c>
      <c r="C3643" s="39">
        <f t="shared" si="116"/>
        <v>18.898139901556409</v>
      </c>
      <c r="D3643" s="39">
        <f t="shared" si="117"/>
        <v>8.8086021505376344</v>
      </c>
    </row>
    <row r="3644" spans="2:4" ht="15" x14ac:dyDescent="0.15">
      <c r="B3644" s="38">
        <v>14528</v>
      </c>
      <c r="C3644" s="39">
        <f t="shared" si="116"/>
        <v>18.91683934825787</v>
      </c>
      <c r="D3644" s="39">
        <f t="shared" si="117"/>
        <v>8.8275862068965516</v>
      </c>
    </row>
    <row r="3645" spans="2:4" ht="15" x14ac:dyDescent="0.15">
      <c r="B3645" s="38">
        <v>14532</v>
      </c>
      <c r="C3645" s="39">
        <f t="shared" si="116"/>
        <v>18.935579138996424</v>
      </c>
      <c r="D3645" s="39">
        <f t="shared" si="117"/>
        <v>8.8466522678185751</v>
      </c>
    </row>
    <row r="3646" spans="2:4" ht="15" x14ac:dyDescent="0.15">
      <c r="B3646" s="38">
        <v>14536</v>
      </c>
      <c r="C3646" s="39">
        <f t="shared" si="116"/>
        <v>18.954359448232974</v>
      </c>
      <c r="D3646" s="39">
        <f t="shared" si="117"/>
        <v>8.8658008658008658</v>
      </c>
    </row>
    <row r="3647" spans="2:4" ht="15" x14ac:dyDescent="0.15">
      <c r="B3647" s="38">
        <v>14540</v>
      </c>
      <c r="C3647" s="39">
        <f t="shared" si="116"/>
        <v>18.973180451562524</v>
      </c>
      <c r="D3647" s="39">
        <f t="shared" si="117"/>
        <v>8.8850325379609547</v>
      </c>
    </row>
    <row r="3648" spans="2:4" ht="15" x14ac:dyDescent="0.15">
      <c r="B3648" s="38">
        <v>14544</v>
      </c>
      <c r="C3648" s="39">
        <f t="shared" si="116"/>
        <v>18.992042325724007</v>
      </c>
      <c r="D3648" s="39">
        <f t="shared" si="117"/>
        <v>8.9043478260869566</v>
      </c>
    </row>
    <row r="3649" spans="2:4" ht="15" x14ac:dyDescent="0.15">
      <c r="B3649" s="38">
        <v>14548</v>
      </c>
      <c r="C3649" s="39">
        <f t="shared" si="116"/>
        <v>19.010945248610263</v>
      </c>
      <c r="D3649" s="39">
        <f t="shared" si="117"/>
        <v>8.923747276688454</v>
      </c>
    </row>
    <row r="3650" spans="2:4" ht="15" x14ac:dyDescent="0.15">
      <c r="B3650" s="38">
        <v>14552</v>
      </c>
      <c r="C3650" s="39">
        <f t="shared" si="116"/>
        <v>19.029889399278101</v>
      </c>
      <c r="D3650" s="39">
        <f t="shared" si="117"/>
        <v>8.9432314410480345</v>
      </c>
    </row>
    <row r="3651" spans="2:4" ht="15" x14ac:dyDescent="0.15">
      <c r="B3651" s="38">
        <v>14556</v>
      </c>
      <c r="C3651" s="39">
        <f t="shared" si="116"/>
        <v>19.048874957958482</v>
      </c>
      <c r="D3651" s="39">
        <f t="shared" si="117"/>
        <v>8.9628008752735226</v>
      </c>
    </row>
    <row r="3652" spans="2:4" ht="15" x14ac:dyDescent="0.15">
      <c r="B3652" s="38">
        <v>14560</v>
      </c>
      <c r="C3652" s="39">
        <f t="shared" si="116"/>
        <v>19.067902106066789</v>
      </c>
      <c r="D3652" s="39">
        <f t="shared" si="117"/>
        <v>8.9824561403508767</v>
      </c>
    </row>
    <row r="3653" spans="2:4" ht="15" x14ac:dyDescent="0.15">
      <c r="B3653" s="38">
        <v>14564</v>
      </c>
      <c r="C3653" s="39">
        <f t="shared" si="116"/>
        <v>19.086971026213241</v>
      </c>
      <c r="D3653" s="39">
        <f t="shared" si="117"/>
        <v>9.0021978021978022</v>
      </c>
    </row>
    <row r="3654" spans="2:4" ht="15" x14ac:dyDescent="0.15">
      <c r="B3654" s="38">
        <v>14568</v>
      </c>
      <c r="C3654" s="39">
        <f t="shared" ref="C3654:C3717" si="118">20*LOG(D3654)</f>
        <v>19.106081902213411</v>
      </c>
      <c r="D3654" s="39">
        <f t="shared" ref="D3654:D3717" si="119">16384/(16384-B3654)</f>
        <v>9.0220264317180625</v>
      </c>
    </row>
    <row r="3655" spans="2:4" ht="15" x14ac:dyDescent="0.15">
      <c r="B3655" s="38">
        <v>14572</v>
      </c>
      <c r="C3655" s="39">
        <f t="shared" si="118"/>
        <v>19.125234919098851</v>
      </c>
      <c r="D3655" s="39">
        <f t="shared" si="119"/>
        <v>9.0419426048565121</v>
      </c>
    </row>
    <row r="3656" spans="2:4" ht="15" x14ac:dyDescent="0.15">
      <c r="B3656" s="38">
        <v>14576</v>
      </c>
      <c r="C3656" s="39">
        <f t="shared" si="118"/>
        <v>19.144430263127845</v>
      </c>
      <c r="D3656" s="39">
        <f t="shared" si="119"/>
        <v>9.0619469026548671</v>
      </c>
    </row>
    <row r="3657" spans="2:4" ht="15" x14ac:dyDescent="0.15">
      <c r="B3657" s="38">
        <v>14580</v>
      </c>
      <c r="C3657" s="39">
        <f t="shared" si="118"/>
        <v>19.163668121796277</v>
      </c>
      <c r="D3657" s="39">
        <f t="shared" si="119"/>
        <v>9.082039911308204</v>
      </c>
    </row>
    <row r="3658" spans="2:4" ht="15" x14ac:dyDescent="0.15">
      <c r="B3658" s="38">
        <v>14584</v>
      </c>
      <c r="C3658" s="39">
        <f t="shared" si="118"/>
        <v>19.182948683848615</v>
      </c>
      <c r="D3658" s="39">
        <f t="shared" si="119"/>
        <v>9.1022222222222222</v>
      </c>
    </row>
    <row r="3659" spans="2:4" ht="15" x14ac:dyDescent="0.15">
      <c r="B3659" s="38">
        <v>14588</v>
      </c>
      <c r="C3659" s="39">
        <f t="shared" si="118"/>
        <v>19.202272139289022</v>
      </c>
      <c r="D3659" s="39">
        <f t="shared" si="119"/>
        <v>9.1224944320712691</v>
      </c>
    </row>
    <row r="3660" spans="2:4" ht="15" x14ac:dyDescent="0.15">
      <c r="B3660" s="38">
        <v>14592</v>
      </c>
      <c r="C3660" s="39">
        <f t="shared" si="118"/>
        <v>19.221638679392605</v>
      </c>
      <c r="D3660" s="39">
        <f t="shared" si="119"/>
        <v>9.1428571428571423</v>
      </c>
    </row>
    <row r="3661" spans="2:4" ht="15" x14ac:dyDescent="0.15">
      <c r="B3661" s="38">
        <v>14596</v>
      </c>
      <c r="C3661" s="39">
        <f t="shared" si="118"/>
        <v>19.241048496716758</v>
      </c>
      <c r="D3661" s="39">
        <f t="shared" si="119"/>
        <v>9.1633109619686799</v>
      </c>
    </row>
    <row r="3662" spans="2:4" ht="15" x14ac:dyDescent="0.15">
      <c r="B3662" s="38">
        <v>14600</v>
      </c>
      <c r="C3662" s="39">
        <f t="shared" si="118"/>
        <v>19.260501785112648</v>
      </c>
      <c r="D3662" s="39">
        <f t="shared" si="119"/>
        <v>9.1838565022421523</v>
      </c>
    </row>
    <row r="3663" spans="2:4" ht="15" x14ac:dyDescent="0.15">
      <c r="B3663" s="38">
        <v>14604</v>
      </c>
      <c r="C3663" s="39">
        <f t="shared" si="118"/>
        <v>19.279998739736858</v>
      </c>
      <c r="D3663" s="39">
        <f t="shared" si="119"/>
        <v>9.2044943820224727</v>
      </c>
    </row>
    <row r="3664" spans="2:4" ht="15" x14ac:dyDescent="0.15">
      <c r="B3664" s="38">
        <v>14608</v>
      </c>
      <c r="C3664" s="39">
        <f t="shared" si="118"/>
        <v>19.299539557063092</v>
      </c>
      <c r="D3664" s="39">
        <f t="shared" si="119"/>
        <v>9.2252252252252251</v>
      </c>
    </row>
    <row r="3665" spans="2:4" ht="15" x14ac:dyDescent="0.15">
      <c r="B3665" s="38">
        <v>14612</v>
      </c>
      <c r="C3665" s="39">
        <f t="shared" si="118"/>
        <v>19.319124434894096</v>
      </c>
      <c r="D3665" s="39">
        <f t="shared" si="119"/>
        <v>9.2460496613995478</v>
      </c>
    </row>
    <row r="3666" spans="2:4" ht="15" x14ac:dyDescent="0.15">
      <c r="B3666" s="38">
        <v>14616</v>
      </c>
      <c r="C3666" s="39">
        <f t="shared" si="118"/>
        <v>19.338753572373651</v>
      </c>
      <c r="D3666" s="39">
        <f t="shared" si="119"/>
        <v>9.266968325791856</v>
      </c>
    </row>
    <row r="3667" spans="2:4" ht="15" x14ac:dyDescent="0.15">
      <c r="B3667" s="38">
        <v>14620</v>
      </c>
      <c r="C3667" s="39">
        <f t="shared" si="118"/>
        <v>19.358427169998716</v>
      </c>
      <c r="D3667" s="39">
        <f t="shared" si="119"/>
        <v>9.2879818594104311</v>
      </c>
    </row>
    <row r="3668" spans="2:4" ht="15" x14ac:dyDescent="0.15">
      <c r="B3668" s="38">
        <v>14624</v>
      </c>
      <c r="C3668" s="39">
        <f t="shared" si="118"/>
        <v>19.378145429631736</v>
      </c>
      <c r="D3668" s="39">
        <f t="shared" si="119"/>
        <v>9.3090909090909086</v>
      </c>
    </row>
    <row r="3669" spans="2:4" ht="15" x14ac:dyDescent="0.15">
      <c r="B3669" s="38">
        <v>14628</v>
      </c>
      <c r="C3669" s="39">
        <f t="shared" si="118"/>
        <v>19.397908554513059</v>
      </c>
      <c r="D3669" s="39">
        <f t="shared" si="119"/>
        <v>9.3302961275626419</v>
      </c>
    </row>
    <row r="3670" spans="2:4" ht="15" x14ac:dyDescent="0.15">
      <c r="B3670" s="38">
        <v>14632</v>
      </c>
      <c r="C3670" s="39">
        <f t="shared" si="118"/>
        <v>19.417716749273495</v>
      </c>
      <c r="D3670" s="39">
        <f t="shared" si="119"/>
        <v>9.3515981735159812</v>
      </c>
    </row>
    <row r="3671" spans="2:4" ht="15" x14ac:dyDescent="0.15">
      <c r="B3671" s="38">
        <v>14636</v>
      </c>
      <c r="C3671" s="39">
        <f t="shared" si="118"/>
        <v>19.437570219947048</v>
      </c>
      <c r="D3671" s="39">
        <f t="shared" si="119"/>
        <v>9.3729977116704806</v>
      </c>
    </row>
    <row r="3672" spans="2:4" ht="15" x14ac:dyDescent="0.15">
      <c r="B3672" s="38">
        <v>14640</v>
      </c>
      <c r="C3672" s="39">
        <f t="shared" si="118"/>
        <v>19.457469173983768</v>
      </c>
      <c r="D3672" s="39">
        <f t="shared" si="119"/>
        <v>9.3944954128440372</v>
      </c>
    </row>
    <row r="3673" spans="2:4" ht="15" x14ac:dyDescent="0.15">
      <c r="B3673" s="38">
        <v>14644</v>
      </c>
      <c r="C3673" s="39">
        <f t="shared" si="118"/>
        <v>19.47741382026274</v>
      </c>
      <c r="D3673" s="39">
        <f t="shared" si="119"/>
        <v>9.4160919540229884</v>
      </c>
    </row>
    <row r="3674" spans="2:4" ht="15" x14ac:dyDescent="0.15">
      <c r="B3674" s="38">
        <v>14648</v>
      </c>
      <c r="C3674" s="39">
        <f t="shared" si="118"/>
        <v>19.497404369105272</v>
      </c>
      <c r="D3674" s="39">
        <f t="shared" si="119"/>
        <v>9.4377880184331797</v>
      </c>
    </row>
    <row r="3675" spans="2:4" ht="15" x14ac:dyDescent="0.15">
      <c r="B3675" s="38">
        <v>14652</v>
      </c>
      <c r="C3675" s="39">
        <f t="shared" si="118"/>
        <v>19.517441032288179</v>
      </c>
      <c r="D3675" s="39">
        <f t="shared" si="119"/>
        <v>9.4595842956120091</v>
      </c>
    </row>
    <row r="3676" spans="2:4" ht="15" x14ac:dyDescent="0.15">
      <c r="B3676" s="38">
        <v>14656</v>
      </c>
      <c r="C3676" s="39">
        <f t="shared" si="118"/>
        <v>19.537524023057244</v>
      </c>
      <c r="D3676" s="39">
        <f t="shared" si="119"/>
        <v>9.481481481481481</v>
      </c>
    </row>
    <row r="3677" spans="2:4" ht="15" x14ac:dyDescent="0.15">
      <c r="B3677" s="38">
        <v>14660</v>
      </c>
      <c r="C3677" s="39">
        <f t="shared" si="118"/>
        <v>19.557653556140856</v>
      </c>
      <c r="D3677" s="39">
        <f t="shared" si="119"/>
        <v>9.5034802784222734</v>
      </c>
    </row>
    <row r="3678" spans="2:4" ht="15" x14ac:dyDescent="0.15">
      <c r="B3678" s="38">
        <v>14664</v>
      </c>
      <c r="C3678" s="39">
        <f t="shared" si="118"/>
        <v>19.577829847763756</v>
      </c>
      <c r="D3678" s="39">
        <f t="shared" si="119"/>
        <v>9.5255813953488371</v>
      </c>
    </row>
    <row r="3679" spans="2:4" ht="15" x14ac:dyDescent="0.15">
      <c r="B3679" s="38">
        <v>14668</v>
      </c>
      <c r="C3679" s="39">
        <f t="shared" si="118"/>
        <v>19.598053115661003</v>
      </c>
      <c r="D3679" s="39">
        <f t="shared" si="119"/>
        <v>9.5477855477855478</v>
      </c>
    </row>
    <row r="3680" spans="2:4" ht="15" x14ac:dyDescent="0.15">
      <c r="B3680" s="38">
        <v>14672</v>
      </c>
      <c r="C3680" s="39">
        <f t="shared" si="118"/>
        <v>19.618323579092046</v>
      </c>
      <c r="D3680" s="39">
        <f t="shared" si="119"/>
        <v>9.5700934579439245</v>
      </c>
    </row>
    <row r="3681" spans="2:4" ht="15" x14ac:dyDescent="0.15">
      <c r="B3681" s="38">
        <v>14676</v>
      </c>
      <c r="C3681" s="39">
        <f t="shared" si="118"/>
        <v>19.638641458855009</v>
      </c>
      <c r="D3681" s="39">
        <f t="shared" si="119"/>
        <v>9.5925058548009368</v>
      </c>
    </row>
    <row r="3682" spans="2:4" ht="15" x14ac:dyDescent="0.15">
      <c r="B3682" s="38">
        <v>14680</v>
      </c>
      <c r="C3682" s="39">
        <f t="shared" si="118"/>
        <v>19.659006977301107</v>
      </c>
      <c r="D3682" s="39">
        <f t="shared" si="119"/>
        <v>9.615023474178404</v>
      </c>
    </row>
    <row r="3683" spans="2:4" ht="15" x14ac:dyDescent="0.15">
      <c r="B3683" s="38">
        <v>14684</v>
      </c>
      <c r="C3683" s="39">
        <f t="shared" si="118"/>
        <v>19.679420358349255</v>
      </c>
      <c r="D3683" s="39">
        <f t="shared" si="119"/>
        <v>9.6376470588235286</v>
      </c>
    </row>
    <row r="3684" spans="2:4" ht="15" x14ac:dyDescent="0.15">
      <c r="B3684" s="38">
        <v>14688</v>
      </c>
      <c r="C3684" s="39">
        <f t="shared" si="118"/>
        <v>19.699881827500832</v>
      </c>
      <c r="D3684" s="39">
        <f t="shared" si="119"/>
        <v>9.6603773584905657</v>
      </c>
    </row>
    <row r="3685" spans="2:4" ht="15" x14ac:dyDescent="0.15">
      <c r="B3685" s="38">
        <v>14692</v>
      </c>
      <c r="C3685" s="39">
        <f t="shared" si="118"/>
        <v>19.720391611854641</v>
      </c>
      <c r="D3685" s="39">
        <f t="shared" si="119"/>
        <v>9.6832151300236404</v>
      </c>
    </row>
    <row r="3686" spans="2:4" ht="15" x14ac:dyDescent="0.15">
      <c r="B3686" s="38">
        <v>14696</v>
      </c>
      <c r="C3686" s="39">
        <f t="shared" si="118"/>
        <v>19.740949940122011</v>
      </c>
      <c r="D3686" s="39">
        <f t="shared" si="119"/>
        <v>9.706161137440759</v>
      </c>
    </row>
    <row r="3687" spans="2:4" ht="15" x14ac:dyDescent="0.15">
      <c r="B3687" s="38">
        <v>14700</v>
      </c>
      <c r="C3687" s="39">
        <f t="shared" si="118"/>
        <v>19.761557042642121</v>
      </c>
      <c r="D3687" s="39">
        <f t="shared" si="119"/>
        <v>9.7292161520190028</v>
      </c>
    </row>
    <row r="3688" spans="2:4" ht="15" x14ac:dyDescent="0.15">
      <c r="B3688" s="38">
        <v>14704</v>
      </c>
      <c r="C3688" s="39">
        <f t="shared" si="118"/>
        <v>19.782213151397478</v>
      </c>
      <c r="D3688" s="39">
        <f t="shared" si="119"/>
        <v>9.7523809523809533</v>
      </c>
    </row>
    <row r="3689" spans="2:4" ht="15" x14ac:dyDescent="0.15">
      <c r="B3689" s="38">
        <v>14708</v>
      </c>
      <c r="C3689" s="39">
        <f t="shared" si="118"/>
        <v>19.80291850002958</v>
      </c>
      <c r="D3689" s="39">
        <f t="shared" si="119"/>
        <v>9.7756563245823394</v>
      </c>
    </row>
    <row r="3690" spans="2:4" ht="15" x14ac:dyDescent="0.15">
      <c r="B3690" s="38">
        <v>14712</v>
      </c>
      <c r="C3690" s="39">
        <f t="shared" si="118"/>
        <v>19.823673323854784</v>
      </c>
      <c r="D3690" s="39">
        <f t="shared" si="119"/>
        <v>9.7990430622009566</v>
      </c>
    </row>
    <row r="3691" spans="2:4" ht="15" x14ac:dyDescent="0.15">
      <c r="B3691" s="38">
        <v>14716</v>
      </c>
      <c r="C3691" s="39">
        <f t="shared" si="118"/>
        <v>19.844477859880335</v>
      </c>
      <c r="D3691" s="39">
        <f t="shared" si="119"/>
        <v>9.8225419664268578</v>
      </c>
    </row>
    <row r="3692" spans="2:4" ht="15" x14ac:dyDescent="0.15">
      <c r="B3692" s="38">
        <v>14720</v>
      </c>
      <c r="C3692" s="39">
        <f t="shared" si="118"/>
        <v>19.865332346820633</v>
      </c>
      <c r="D3692" s="39">
        <f t="shared" si="119"/>
        <v>9.8461538461538467</v>
      </c>
    </row>
    <row r="3693" spans="2:4" ht="15" x14ac:dyDescent="0.15">
      <c r="B3693" s="38">
        <v>14724</v>
      </c>
      <c r="C3693" s="39">
        <f t="shared" si="118"/>
        <v>19.886237025113633</v>
      </c>
      <c r="D3693" s="39">
        <f t="shared" si="119"/>
        <v>9.86987951807229</v>
      </c>
    </row>
    <row r="3694" spans="2:4" ht="15" x14ac:dyDescent="0.15">
      <c r="B3694" s="38">
        <v>14728</v>
      </c>
      <c r="C3694" s="39">
        <f t="shared" si="118"/>
        <v>19.907192136937507</v>
      </c>
      <c r="D3694" s="39">
        <f t="shared" si="119"/>
        <v>9.8937198067632846</v>
      </c>
    </row>
    <row r="3695" spans="2:4" ht="15" x14ac:dyDescent="0.15">
      <c r="B3695" s="38">
        <v>14732</v>
      </c>
      <c r="C3695" s="39">
        <f t="shared" si="118"/>
        <v>19.928197926227465</v>
      </c>
      <c r="D3695" s="39">
        <f t="shared" si="119"/>
        <v>9.9176755447941893</v>
      </c>
    </row>
    <row r="3696" spans="2:4" ht="15" x14ac:dyDescent="0.15">
      <c r="B3696" s="38">
        <v>14736</v>
      </c>
      <c r="C3696" s="39">
        <f t="shared" si="118"/>
        <v>19.949254638692796</v>
      </c>
      <c r="D3696" s="39">
        <f t="shared" si="119"/>
        <v>9.9417475728155331</v>
      </c>
    </row>
    <row r="3697" spans="2:4" ht="15" x14ac:dyDescent="0.15">
      <c r="B3697" s="38">
        <v>14740</v>
      </c>
      <c r="C3697" s="39">
        <f t="shared" si="118"/>
        <v>19.970362521834101</v>
      </c>
      <c r="D3697" s="39">
        <f t="shared" si="119"/>
        <v>9.9659367396593677</v>
      </c>
    </row>
    <row r="3698" spans="2:4" ht="15" x14ac:dyDescent="0.15">
      <c r="B3698" s="38">
        <v>14744</v>
      </c>
      <c r="C3698" s="39">
        <f t="shared" si="118"/>
        <v>19.991521824960778</v>
      </c>
      <c r="D3698" s="39">
        <f t="shared" si="119"/>
        <v>9.9902439024390244</v>
      </c>
    </row>
    <row r="3699" spans="2:4" ht="15" x14ac:dyDescent="0.15">
      <c r="B3699" s="38">
        <v>14748</v>
      </c>
      <c r="C3699" s="39">
        <f t="shared" si="118"/>
        <v>20.012732799208649</v>
      </c>
      <c r="D3699" s="39">
        <f t="shared" si="119"/>
        <v>10.014669926650367</v>
      </c>
    </row>
    <row r="3700" spans="2:4" ht="15" x14ac:dyDescent="0.15">
      <c r="B3700" s="38">
        <v>14752</v>
      </c>
      <c r="C3700" s="39">
        <f t="shared" si="118"/>
        <v>20.033995697557888</v>
      </c>
      <c r="D3700" s="39">
        <f t="shared" si="119"/>
        <v>10.03921568627451</v>
      </c>
    </row>
    <row r="3701" spans="2:4" ht="15" x14ac:dyDescent="0.15">
      <c r="B3701" s="38">
        <v>14756</v>
      </c>
      <c r="C3701" s="39">
        <f t="shared" si="118"/>
        <v>20.055310774851087</v>
      </c>
      <c r="D3701" s="39">
        <f t="shared" si="119"/>
        <v>10.063882063882064</v>
      </c>
    </row>
    <row r="3702" spans="2:4" ht="15" x14ac:dyDescent="0.15">
      <c r="B3702" s="38">
        <v>14760</v>
      </c>
      <c r="C3702" s="39">
        <f t="shared" si="118"/>
        <v>20.076678287811607</v>
      </c>
      <c r="D3702" s="39">
        <f t="shared" si="119"/>
        <v>10.088669950738916</v>
      </c>
    </row>
    <row r="3703" spans="2:4" ht="15" x14ac:dyDescent="0.15">
      <c r="B3703" s="38">
        <v>14764</v>
      </c>
      <c r="C3703" s="39">
        <f t="shared" si="118"/>
        <v>20.098098495062118</v>
      </c>
      <c r="D3703" s="39">
        <f t="shared" si="119"/>
        <v>10.11358024691358</v>
      </c>
    </row>
    <row r="3704" spans="2:4" ht="15" x14ac:dyDescent="0.15">
      <c r="B3704" s="38">
        <v>14768</v>
      </c>
      <c r="C3704" s="39">
        <f t="shared" si="118"/>
        <v>20.119571657143389</v>
      </c>
      <c r="D3704" s="39">
        <f t="shared" si="119"/>
        <v>10.138613861386139</v>
      </c>
    </row>
    <row r="3705" spans="2:4" ht="15" x14ac:dyDescent="0.15">
      <c r="B3705" s="38">
        <v>14772</v>
      </c>
      <c r="C3705" s="39">
        <f t="shared" si="118"/>
        <v>20.141098036533297</v>
      </c>
      <c r="D3705" s="39">
        <f t="shared" si="119"/>
        <v>10.163771712158809</v>
      </c>
    </row>
    <row r="3706" spans="2:4" ht="15" x14ac:dyDescent="0.15">
      <c r="B3706" s="38">
        <v>14776</v>
      </c>
      <c r="C3706" s="39">
        <f t="shared" si="118"/>
        <v>20.162677897666086</v>
      </c>
      <c r="D3706" s="39">
        <f t="shared" si="119"/>
        <v>10.189054726368159</v>
      </c>
    </row>
    <row r="3707" spans="2:4" ht="15" x14ac:dyDescent="0.15">
      <c r="B3707" s="38">
        <v>14780</v>
      </c>
      <c r="C3707" s="39">
        <f t="shared" si="118"/>
        <v>20.18431150695184</v>
      </c>
      <c r="D3707" s="39">
        <f t="shared" si="119"/>
        <v>10.214463840399002</v>
      </c>
    </row>
    <row r="3708" spans="2:4" ht="15" x14ac:dyDescent="0.15">
      <c r="B3708" s="38">
        <v>14784</v>
      </c>
      <c r="C3708" s="39">
        <f t="shared" si="118"/>
        <v>20.205999132796236</v>
      </c>
      <c r="D3708" s="39">
        <f t="shared" si="119"/>
        <v>10.24</v>
      </c>
    </row>
    <row r="3709" spans="2:4" ht="15" x14ac:dyDescent="0.15">
      <c r="B3709" s="38">
        <v>14788</v>
      </c>
      <c r="C3709" s="39">
        <f t="shared" si="118"/>
        <v>20.227741045620519</v>
      </c>
      <c r="D3709" s="39">
        <f t="shared" si="119"/>
        <v>10.265664160401002</v>
      </c>
    </row>
    <row r="3710" spans="2:4" ht="15" x14ac:dyDescent="0.15">
      <c r="B3710" s="38">
        <v>14792</v>
      </c>
      <c r="C3710" s="39">
        <f t="shared" si="118"/>
        <v>20.249537517881731</v>
      </c>
      <c r="D3710" s="39">
        <f t="shared" si="119"/>
        <v>10.291457286432161</v>
      </c>
    </row>
    <row r="3711" spans="2:4" ht="15" x14ac:dyDescent="0.15">
      <c r="B3711" s="38">
        <v>14796</v>
      </c>
      <c r="C3711" s="39">
        <f t="shared" si="118"/>
        <v>20.271388824093183</v>
      </c>
      <c r="D3711" s="39">
        <f t="shared" si="119"/>
        <v>10.317380352644836</v>
      </c>
    </row>
    <row r="3712" spans="2:4" ht="15" x14ac:dyDescent="0.15">
      <c r="B3712" s="38">
        <v>14800</v>
      </c>
      <c r="C3712" s="39">
        <f t="shared" si="118"/>
        <v>20.293295240845239</v>
      </c>
      <c r="D3712" s="39">
        <f t="shared" si="119"/>
        <v>10.343434343434344</v>
      </c>
    </row>
    <row r="3713" spans="2:4" ht="15" x14ac:dyDescent="0.15">
      <c r="B3713" s="38">
        <v>14804</v>
      </c>
      <c r="C3713" s="39">
        <f t="shared" si="118"/>
        <v>20.315257046826282</v>
      </c>
      <c r="D3713" s="39">
        <f t="shared" si="119"/>
        <v>10.369620253164557</v>
      </c>
    </row>
    <row r="3714" spans="2:4" ht="15" x14ac:dyDescent="0.15">
      <c r="B3714" s="38">
        <v>14808</v>
      </c>
      <c r="C3714" s="39">
        <f t="shared" si="118"/>
        <v>20.337274522844005</v>
      </c>
      <c r="D3714" s="39">
        <f t="shared" si="119"/>
        <v>10.395939086294415</v>
      </c>
    </row>
    <row r="3715" spans="2:4" ht="15" x14ac:dyDescent="0.15">
      <c r="B3715" s="38">
        <v>14812</v>
      </c>
      <c r="C3715" s="39">
        <f t="shared" si="118"/>
        <v>20.359347951846956</v>
      </c>
      <c r="D3715" s="39">
        <f t="shared" si="119"/>
        <v>10.422391857506362</v>
      </c>
    </row>
    <row r="3716" spans="2:4" ht="15" x14ac:dyDescent="0.15">
      <c r="B3716" s="38">
        <v>14816</v>
      </c>
      <c r="C3716" s="39">
        <f t="shared" si="118"/>
        <v>20.381477618946342</v>
      </c>
      <c r="D3716" s="39">
        <f t="shared" si="119"/>
        <v>10.448979591836734</v>
      </c>
    </row>
    <row r="3717" spans="2:4" ht="15" x14ac:dyDescent="0.15">
      <c r="B3717" s="38">
        <v>14820</v>
      </c>
      <c r="C3717" s="39">
        <f t="shared" si="118"/>
        <v>20.403663811438154</v>
      </c>
      <c r="D3717" s="39">
        <f t="shared" si="119"/>
        <v>10.475703324808185</v>
      </c>
    </row>
    <row r="3718" spans="2:4" ht="15" x14ac:dyDescent="0.15">
      <c r="B3718" s="38">
        <v>14824</v>
      </c>
      <c r="C3718" s="39">
        <f t="shared" ref="C3718:C3781" si="120">20*LOG(D3718)</f>
        <v>20.425906818825503</v>
      </c>
      <c r="D3718" s="39">
        <f t="shared" ref="D3718:D3781" si="121">16384/(16384-B3718)</f>
        <v>10.502564102564103</v>
      </c>
    </row>
    <row r="3719" spans="2:4" ht="15" x14ac:dyDescent="0.15">
      <c r="B3719" s="38">
        <v>14828</v>
      </c>
      <c r="C3719" s="39">
        <f t="shared" si="120"/>
        <v>20.448206932841334</v>
      </c>
      <c r="D3719" s="39">
        <f t="shared" si="121"/>
        <v>10.529562982005141</v>
      </c>
    </row>
    <row r="3720" spans="2:4" ht="15" x14ac:dyDescent="0.15">
      <c r="B3720" s="38">
        <v>14832</v>
      </c>
      <c r="C3720" s="39">
        <f t="shared" si="120"/>
        <v>20.470564447471343</v>
      </c>
      <c r="D3720" s="39">
        <f t="shared" si="121"/>
        <v>10.556701030927835</v>
      </c>
    </row>
    <row r="3721" spans="2:4" ht="15" x14ac:dyDescent="0.15">
      <c r="B3721" s="38">
        <v>14836</v>
      </c>
      <c r="C3721" s="39">
        <f t="shared" si="120"/>
        <v>20.492979658977259</v>
      </c>
      <c r="D3721" s="39">
        <f t="shared" si="121"/>
        <v>10.583979328165375</v>
      </c>
    </row>
    <row r="3722" spans="2:4" ht="15" x14ac:dyDescent="0.15">
      <c r="B3722" s="38">
        <v>14840</v>
      </c>
      <c r="C3722" s="39">
        <f t="shared" si="120"/>
        <v>20.515452865920388</v>
      </c>
      <c r="D3722" s="39">
        <f t="shared" si="121"/>
        <v>10.61139896373057</v>
      </c>
    </row>
    <row r="3723" spans="2:4" ht="15" x14ac:dyDescent="0.15">
      <c r="B3723" s="38">
        <v>14844</v>
      </c>
      <c r="C3723" s="39">
        <f t="shared" si="120"/>
        <v>20.537984369185473</v>
      </c>
      <c r="D3723" s="39">
        <f t="shared" si="121"/>
        <v>10.638961038961039</v>
      </c>
    </row>
    <row r="3724" spans="2:4" ht="15" x14ac:dyDescent="0.15">
      <c r="B3724" s="38">
        <v>14848</v>
      </c>
      <c r="C3724" s="39">
        <f t="shared" si="120"/>
        <v>20.56057447200487</v>
      </c>
      <c r="D3724" s="39">
        <f t="shared" si="121"/>
        <v>10.666666666666666</v>
      </c>
    </row>
    <row r="3725" spans="2:4" ht="15" x14ac:dyDescent="0.15">
      <c r="B3725" s="38">
        <v>14852</v>
      </c>
      <c r="C3725" s="39">
        <f t="shared" si="120"/>
        <v>20.58322347998303</v>
      </c>
      <c r="D3725" s="39">
        <f t="shared" si="121"/>
        <v>10.694516971279374</v>
      </c>
    </row>
    <row r="3726" spans="2:4" ht="15" x14ac:dyDescent="0.15">
      <c r="B3726" s="38">
        <v>14856</v>
      </c>
      <c r="C3726" s="39">
        <f t="shared" si="120"/>
        <v>20.605931701121314</v>
      </c>
      <c r="D3726" s="39">
        <f t="shared" si="121"/>
        <v>10.722513089005236</v>
      </c>
    </row>
    <row r="3727" spans="2:4" ht="15" x14ac:dyDescent="0.15">
      <c r="B3727" s="38">
        <v>14860</v>
      </c>
      <c r="C3727" s="39">
        <f t="shared" si="120"/>
        <v>20.6286994458431</v>
      </c>
      <c r="D3727" s="39">
        <f t="shared" si="121"/>
        <v>10.750656167979002</v>
      </c>
    </row>
    <row r="3728" spans="2:4" ht="15" x14ac:dyDescent="0.15">
      <c r="B3728" s="38">
        <v>14864</v>
      </c>
      <c r="C3728" s="39">
        <f t="shared" si="120"/>
        <v>20.651527027019284</v>
      </c>
      <c r="D3728" s="39">
        <f t="shared" si="121"/>
        <v>10.778947368421052</v>
      </c>
    </row>
    <row r="3729" spans="2:4" ht="15" x14ac:dyDescent="0.15">
      <c r="B3729" s="38">
        <v>14868</v>
      </c>
      <c r="C3729" s="39">
        <f t="shared" si="120"/>
        <v>20.67441475999404</v>
      </c>
      <c r="D3729" s="39">
        <f t="shared" si="121"/>
        <v>10.807387862796833</v>
      </c>
    </row>
    <row r="3730" spans="2:4" ht="15" x14ac:dyDescent="0.15">
      <c r="B3730" s="38">
        <v>14872</v>
      </c>
      <c r="C3730" s="39">
        <f t="shared" si="120"/>
        <v>20.697362962610981</v>
      </c>
      <c r="D3730" s="39">
        <f t="shared" si="121"/>
        <v>10.835978835978835</v>
      </c>
    </row>
    <row r="3731" spans="2:4" ht="15" x14ac:dyDescent="0.15">
      <c r="B3731" s="38">
        <v>14876</v>
      </c>
      <c r="C3731" s="39">
        <f t="shared" si="120"/>
        <v>20.720371955239631</v>
      </c>
      <c r="D3731" s="39">
        <f t="shared" si="121"/>
        <v>10.86472148541114</v>
      </c>
    </row>
    <row r="3732" spans="2:4" ht="15" x14ac:dyDescent="0.15">
      <c r="B3732" s="38">
        <v>14880</v>
      </c>
      <c r="C3732" s="39">
        <f t="shared" si="120"/>
        <v>20.743442060802266</v>
      </c>
      <c r="D3732" s="39">
        <f t="shared" si="121"/>
        <v>10.893617021276595</v>
      </c>
    </row>
    <row r="3733" spans="2:4" ht="15" x14ac:dyDescent="0.15">
      <c r="B3733" s="38">
        <v>14884</v>
      </c>
      <c r="C3733" s="39">
        <f t="shared" si="120"/>
        <v>20.76657360480111</v>
      </c>
      <c r="D3733" s="39">
        <f t="shared" si="121"/>
        <v>10.922666666666666</v>
      </c>
    </row>
    <row r="3734" spans="2:4" ht="15" x14ac:dyDescent="0.15">
      <c r="B3734" s="38">
        <v>14888</v>
      </c>
      <c r="C3734" s="39">
        <f t="shared" si="120"/>
        <v>20.789766915345883</v>
      </c>
      <c r="D3734" s="39">
        <f t="shared" si="121"/>
        <v>10.95187165775401</v>
      </c>
    </row>
    <row r="3735" spans="2:4" ht="15" x14ac:dyDescent="0.15">
      <c r="B3735" s="38">
        <v>14892</v>
      </c>
      <c r="C3735" s="39">
        <f t="shared" si="120"/>
        <v>20.813022323181734</v>
      </c>
      <c r="D3735" s="39">
        <f t="shared" si="121"/>
        <v>10.981233243967829</v>
      </c>
    </row>
    <row r="3736" spans="2:4" ht="15" x14ac:dyDescent="0.15">
      <c r="B3736" s="38">
        <v>14896</v>
      </c>
      <c r="C3736" s="39">
        <f t="shared" si="120"/>
        <v>20.836340161717537</v>
      </c>
      <c r="D3736" s="39">
        <f t="shared" si="121"/>
        <v>11.010752688172044</v>
      </c>
    </row>
    <row r="3737" spans="2:4" ht="15" x14ac:dyDescent="0.15">
      <c r="B3737" s="38">
        <v>14900</v>
      </c>
      <c r="C3737" s="39">
        <f t="shared" si="120"/>
        <v>20.859720767054569</v>
      </c>
      <c r="D3737" s="39">
        <f t="shared" si="121"/>
        <v>11.040431266846362</v>
      </c>
    </row>
    <row r="3738" spans="2:4" ht="15" x14ac:dyDescent="0.15">
      <c r="B3738" s="38">
        <v>14904</v>
      </c>
      <c r="C3738" s="39">
        <f t="shared" si="120"/>
        <v>20.883164478015587</v>
      </c>
      <c r="D3738" s="39">
        <f t="shared" si="121"/>
        <v>11.070270270270271</v>
      </c>
    </row>
    <row r="3739" spans="2:4" ht="15" x14ac:dyDescent="0.15">
      <c r="B3739" s="38">
        <v>14908</v>
      </c>
      <c r="C3739" s="39">
        <f t="shared" si="120"/>
        <v>20.906671636174281</v>
      </c>
      <c r="D3739" s="39">
        <f t="shared" si="121"/>
        <v>11.100271002710027</v>
      </c>
    </row>
    <row r="3740" spans="2:4" ht="15" x14ac:dyDescent="0.15">
      <c r="B3740" s="38">
        <v>14912</v>
      </c>
      <c r="C3740" s="39">
        <f t="shared" si="120"/>
        <v>20.930242585885136</v>
      </c>
      <c r="D3740" s="39">
        <f t="shared" si="121"/>
        <v>11.130434782608695</v>
      </c>
    </row>
    <row r="3741" spans="2:4" ht="15" x14ac:dyDescent="0.15">
      <c r="B3741" s="38">
        <v>14916</v>
      </c>
      <c r="C3741" s="39">
        <f t="shared" si="120"/>
        <v>20.953877674313702</v>
      </c>
      <c r="D3741" s="39">
        <f t="shared" si="121"/>
        <v>11.160762942779291</v>
      </c>
    </row>
    <row r="3742" spans="2:4" ht="15" x14ac:dyDescent="0.15">
      <c r="B3742" s="38">
        <v>14920</v>
      </c>
      <c r="C3742" s="39">
        <f t="shared" si="120"/>
        <v>20.977577251467274</v>
      </c>
      <c r="D3742" s="39">
        <f t="shared" si="121"/>
        <v>11.191256830601093</v>
      </c>
    </row>
    <row r="3743" spans="2:4" ht="15" x14ac:dyDescent="0.15">
      <c r="B3743" s="38">
        <v>14924</v>
      </c>
      <c r="C3743" s="39">
        <f t="shared" si="120"/>
        <v>21.001341670225994</v>
      </c>
      <c r="D3743" s="39">
        <f t="shared" si="121"/>
        <v>11.221917808219178</v>
      </c>
    </row>
    <row r="3744" spans="2:4" ht="15" x14ac:dyDescent="0.15">
      <c r="B3744" s="38">
        <v>14928</v>
      </c>
      <c r="C3744" s="39">
        <f t="shared" si="120"/>
        <v>21.02517128637437</v>
      </c>
      <c r="D3744" s="39">
        <f t="shared" si="121"/>
        <v>11.252747252747254</v>
      </c>
    </row>
    <row r="3745" spans="2:4" ht="15" x14ac:dyDescent="0.15">
      <c r="B3745" s="38">
        <v>14932</v>
      </c>
      <c r="C3745" s="39">
        <f t="shared" si="120"/>
        <v>21.049066458633238</v>
      </c>
      <c r="D3745" s="39">
        <f t="shared" si="121"/>
        <v>11.28374655647383</v>
      </c>
    </row>
    <row r="3746" spans="2:4" ht="15" x14ac:dyDescent="0.15">
      <c r="B3746" s="38">
        <v>14936</v>
      </c>
      <c r="C3746" s="39">
        <f t="shared" si="120"/>
        <v>21.073027548692171</v>
      </c>
      <c r="D3746" s="39">
        <f t="shared" si="121"/>
        <v>11.314917127071823</v>
      </c>
    </row>
    <row r="3747" spans="2:4" ht="15" x14ac:dyDescent="0.15">
      <c r="B3747" s="38">
        <v>14940</v>
      </c>
      <c r="C3747" s="39">
        <f t="shared" si="120"/>
        <v>21.097054921242329</v>
      </c>
      <c r="D3747" s="39">
        <f t="shared" si="121"/>
        <v>11.346260387811634</v>
      </c>
    </row>
    <row r="3748" spans="2:4" ht="15" x14ac:dyDescent="0.15">
      <c r="B3748" s="38">
        <v>14944</v>
      </c>
      <c r="C3748" s="39">
        <f t="shared" si="120"/>
        <v>21.121148944009743</v>
      </c>
      <c r="D3748" s="39">
        <f t="shared" si="121"/>
        <v>11.377777777777778</v>
      </c>
    </row>
    <row r="3749" spans="2:4" ht="15" x14ac:dyDescent="0.15">
      <c r="B3749" s="38">
        <v>14948</v>
      </c>
      <c r="C3749" s="39">
        <f t="shared" si="120"/>
        <v>21.145309987789105</v>
      </c>
      <c r="D3749" s="39">
        <f t="shared" si="121"/>
        <v>11.409470752089137</v>
      </c>
    </row>
    <row r="3750" spans="2:4" ht="15" x14ac:dyDescent="0.15">
      <c r="B3750" s="38">
        <v>14952</v>
      </c>
      <c r="C3750" s="39">
        <f t="shared" si="120"/>
        <v>21.169538426477999</v>
      </c>
      <c r="D3750" s="39">
        <f t="shared" si="121"/>
        <v>11.441340782122905</v>
      </c>
    </row>
    <row r="3751" spans="2:4" ht="15" x14ac:dyDescent="0.15">
      <c r="B3751" s="38">
        <v>14956</v>
      </c>
      <c r="C3751" s="39">
        <f t="shared" si="120"/>
        <v>21.193834637111625</v>
      </c>
      <c r="D3751" s="39">
        <f t="shared" si="121"/>
        <v>11.473389355742297</v>
      </c>
    </row>
    <row r="3752" spans="2:4" ht="15" x14ac:dyDescent="0.15">
      <c r="B3752" s="38">
        <v>14960</v>
      </c>
      <c r="C3752" s="39">
        <f t="shared" si="120"/>
        <v>21.218198999897982</v>
      </c>
      <c r="D3752" s="39">
        <f t="shared" si="121"/>
        <v>11.50561797752809</v>
      </c>
    </row>
    <row r="3753" spans="2:4" ht="15" x14ac:dyDescent="0.15">
      <c r="B3753" s="38">
        <v>14964</v>
      </c>
      <c r="C3753" s="39">
        <f t="shared" si="120"/>
        <v>21.242631898253602</v>
      </c>
      <c r="D3753" s="39">
        <f t="shared" si="121"/>
        <v>11.538028169014085</v>
      </c>
    </row>
    <row r="3754" spans="2:4" ht="15" x14ac:dyDescent="0.15">
      <c r="B3754" s="38">
        <v>14968</v>
      </c>
      <c r="C3754" s="39">
        <f t="shared" si="120"/>
        <v>21.26713371883973</v>
      </c>
      <c r="D3754" s="39">
        <f t="shared" si="121"/>
        <v>11.570621468926554</v>
      </c>
    </row>
    <row r="3755" spans="2:4" ht="15" x14ac:dyDescent="0.15">
      <c r="B3755" s="38">
        <v>14972</v>
      </c>
      <c r="C3755" s="39">
        <f t="shared" si="120"/>
        <v>21.291704851599036</v>
      </c>
      <c r="D3755" s="39">
        <f t="shared" si="121"/>
        <v>11.603399433427763</v>
      </c>
    </row>
    <row r="3756" spans="2:4" ht="15" x14ac:dyDescent="0.15">
      <c r="B3756" s="38">
        <v>14976</v>
      </c>
      <c r="C3756" s="39">
        <f t="shared" si="120"/>
        <v>21.316345689792868</v>
      </c>
      <c r="D3756" s="39">
        <f t="shared" si="121"/>
        <v>11.636363636363637</v>
      </c>
    </row>
    <row r="3757" spans="2:4" ht="15" x14ac:dyDescent="0.15">
      <c r="B3757" s="38">
        <v>14980</v>
      </c>
      <c r="C3757" s="39">
        <f t="shared" si="120"/>
        <v>21.341056630039006</v>
      </c>
      <c r="D3757" s="39">
        <f t="shared" si="121"/>
        <v>11.66951566951567</v>
      </c>
    </row>
    <row r="3758" spans="2:4" ht="15" x14ac:dyDescent="0.15">
      <c r="B3758" s="38">
        <v>14984</v>
      </c>
      <c r="C3758" s="39">
        <f t="shared" si="120"/>
        <v>21.365838072349973</v>
      </c>
      <c r="D3758" s="39">
        <f t="shared" si="121"/>
        <v>11.702857142857143</v>
      </c>
    </row>
    <row r="3759" spans="2:4" ht="15" x14ac:dyDescent="0.15">
      <c r="B3759" s="38">
        <v>14988</v>
      </c>
      <c r="C3759" s="39">
        <f t="shared" si="120"/>
        <v>21.390690420171889</v>
      </c>
      <c r="D3759" s="39">
        <f t="shared" si="121"/>
        <v>11.736389684813753</v>
      </c>
    </row>
    <row r="3760" spans="2:4" ht="15" x14ac:dyDescent="0.15">
      <c r="B3760" s="38">
        <v>14992</v>
      </c>
      <c r="C3760" s="39">
        <f t="shared" si="120"/>
        <v>21.415614080423868</v>
      </c>
      <c r="D3760" s="39">
        <f t="shared" si="121"/>
        <v>11.770114942528735</v>
      </c>
    </row>
    <row r="3761" spans="2:4" ht="15" x14ac:dyDescent="0.15">
      <c r="B3761" s="38">
        <v>14996</v>
      </c>
      <c r="C3761" s="39">
        <f t="shared" si="120"/>
        <v>21.44060946353801</v>
      </c>
      <c r="D3761" s="39">
        <f t="shared" si="121"/>
        <v>11.804034582132564</v>
      </c>
    </row>
    <row r="3762" spans="2:4" ht="15" x14ac:dyDescent="0.15">
      <c r="B3762" s="38">
        <v>15000</v>
      </c>
      <c r="C3762" s="39">
        <f t="shared" si="120"/>
        <v>21.465676983499954</v>
      </c>
      <c r="D3762" s="39">
        <f t="shared" si="121"/>
        <v>11.83815028901734</v>
      </c>
    </row>
    <row r="3763" spans="2:4" ht="15" x14ac:dyDescent="0.15">
      <c r="B3763" s="38">
        <v>15004</v>
      </c>
      <c r="C3763" s="39">
        <f t="shared" si="120"/>
        <v>21.490817057890006</v>
      </c>
      <c r="D3763" s="39">
        <f t="shared" si="121"/>
        <v>11.872463768115942</v>
      </c>
    </row>
    <row r="3764" spans="2:4" ht="15" x14ac:dyDescent="0.15">
      <c r="B3764" s="38">
        <v>15008</v>
      </c>
      <c r="C3764" s="39">
        <f t="shared" si="120"/>
        <v>21.516030107924884</v>
      </c>
      <c r="D3764" s="39">
        <f t="shared" si="121"/>
        <v>11.906976744186046</v>
      </c>
    </row>
    <row r="3765" spans="2:4" ht="15" x14ac:dyDescent="0.15">
      <c r="B3765" s="38">
        <v>15012</v>
      </c>
      <c r="C3765" s="39">
        <f t="shared" si="120"/>
        <v>21.541316558500078</v>
      </c>
      <c r="D3765" s="39">
        <f t="shared" si="121"/>
        <v>11.941690962099125</v>
      </c>
    </row>
    <row r="3766" spans="2:4" ht="15" x14ac:dyDescent="0.15">
      <c r="B3766" s="38">
        <v>15016</v>
      </c>
      <c r="C3766" s="39">
        <f t="shared" si="120"/>
        <v>21.566676838232787</v>
      </c>
      <c r="D3766" s="39">
        <f t="shared" si="121"/>
        <v>11.976608187134502</v>
      </c>
    </row>
    <row r="3767" spans="2:4" ht="15" x14ac:dyDescent="0.15">
      <c r="B3767" s="38">
        <v>15020</v>
      </c>
      <c r="C3767" s="39">
        <f t="shared" si="120"/>
        <v>21.592111379505532</v>
      </c>
      <c r="D3767" s="39">
        <f t="shared" si="121"/>
        <v>12.011730205278592</v>
      </c>
    </row>
    <row r="3768" spans="2:4" ht="15" x14ac:dyDescent="0.15">
      <c r="B3768" s="38">
        <v>15024</v>
      </c>
      <c r="C3768" s="39">
        <f t="shared" si="120"/>
        <v>21.617620618510387</v>
      </c>
      <c r="D3768" s="39">
        <f t="shared" si="121"/>
        <v>12.047058823529412</v>
      </c>
    </row>
    <row r="3769" spans="2:4" ht="15" x14ac:dyDescent="0.15">
      <c r="B3769" s="38">
        <v>15028</v>
      </c>
      <c r="C3769" s="39">
        <f t="shared" si="120"/>
        <v>21.643204995293846</v>
      </c>
      <c r="D3769" s="39">
        <f t="shared" si="121"/>
        <v>12.08259587020649</v>
      </c>
    </row>
    <row r="3770" spans="2:4" ht="15" x14ac:dyDescent="0.15">
      <c r="B3770" s="38">
        <v>15032</v>
      </c>
      <c r="C3770" s="39">
        <f t="shared" si="120"/>
        <v>21.668864953802395</v>
      </c>
      <c r="D3770" s="39">
        <f t="shared" si="121"/>
        <v>12.118343195266272</v>
      </c>
    </row>
    <row r="3771" spans="2:4" ht="15" x14ac:dyDescent="0.15">
      <c r="B3771" s="38">
        <v>15036</v>
      </c>
      <c r="C3771" s="39">
        <f t="shared" si="120"/>
        <v>21.694600941928716</v>
      </c>
      <c r="D3771" s="39">
        <f t="shared" si="121"/>
        <v>12.154302670623146</v>
      </c>
    </row>
    <row r="3772" spans="2:4" ht="15" x14ac:dyDescent="0.15">
      <c r="B3772" s="38">
        <v>15040</v>
      </c>
      <c r="C3772" s="39">
        <f t="shared" si="120"/>
        <v>21.720413411558606</v>
      </c>
      <c r="D3772" s="39">
        <f t="shared" si="121"/>
        <v>12.19047619047619</v>
      </c>
    </row>
    <row r="3773" spans="2:4" ht="15" x14ac:dyDescent="0.15">
      <c r="B3773" s="38">
        <v>15044</v>
      </c>
      <c r="C3773" s="39">
        <f t="shared" si="120"/>
        <v>21.746302818618584</v>
      </c>
      <c r="D3773" s="39">
        <f t="shared" si="121"/>
        <v>12.226865671641791</v>
      </c>
    </row>
    <row r="3774" spans="2:4" ht="15" x14ac:dyDescent="0.15">
      <c r="B3774" s="38">
        <v>15048</v>
      </c>
      <c r="C3774" s="39">
        <f t="shared" si="120"/>
        <v>21.772269623124195</v>
      </c>
      <c r="D3774" s="39">
        <f t="shared" si="121"/>
        <v>12.263473053892216</v>
      </c>
    </row>
    <row r="3775" spans="2:4" ht="15" x14ac:dyDescent="0.15">
      <c r="B3775" s="38">
        <v>15052</v>
      </c>
      <c r="C3775" s="39">
        <f t="shared" si="120"/>
        <v>21.79831428922909</v>
      </c>
      <c r="D3775" s="39">
        <f t="shared" si="121"/>
        <v>12.3003003003003</v>
      </c>
    </row>
    <row r="3776" spans="2:4" ht="15" x14ac:dyDescent="0.15">
      <c r="B3776" s="38">
        <v>15056</v>
      </c>
      <c r="C3776" s="39">
        <f t="shared" si="120"/>
        <v>21.824437285274762</v>
      </c>
      <c r="D3776" s="39">
        <f t="shared" si="121"/>
        <v>12.337349397590362</v>
      </c>
    </row>
    <row r="3777" spans="2:4" ht="15" x14ac:dyDescent="0.15">
      <c r="B3777" s="38">
        <v>15060</v>
      </c>
      <c r="C3777" s="39">
        <f t="shared" si="120"/>
        <v>21.850639083841109</v>
      </c>
      <c r="D3777" s="39">
        <f t="shared" si="121"/>
        <v>12.374622356495468</v>
      </c>
    </row>
    <row r="3778" spans="2:4" ht="15" x14ac:dyDescent="0.15">
      <c r="B3778" s="38">
        <v>15064</v>
      </c>
      <c r="C3778" s="39">
        <f t="shared" si="120"/>
        <v>21.876920161797738</v>
      </c>
      <c r="D3778" s="39">
        <f t="shared" si="121"/>
        <v>12.412121212121212</v>
      </c>
    </row>
    <row r="3779" spans="2:4" ht="15" x14ac:dyDescent="0.15">
      <c r="B3779" s="38">
        <v>15068</v>
      </c>
      <c r="C3779" s="39">
        <f t="shared" si="120"/>
        <v>21.903281000356003</v>
      </c>
      <c r="D3779" s="39">
        <f t="shared" si="121"/>
        <v>12.449848024316109</v>
      </c>
    </row>
    <row r="3780" spans="2:4" ht="15" x14ac:dyDescent="0.15">
      <c r="B3780" s="38">
        <v>15072</v>
      </c>
      <c r="C3780" s="39">
        <f t="shared" si="120"/>
        <v>21.929722085121909</v>
      </c>
      <c r="D3780" s="39">
        <f t="shared" si="121"/>
        <v>12.487804878048781</v>
      </c>
    </row>
    <row r="3781" spans="2:4" ht="15" x14ac:dyDescent="0.15">
      <c r="B3781" s="38">
        <v>15076</v>
      </c>
      <c r="C3781" s="39">
        <f t="shared" si="120"/>
        <v>21.956243906149766</v>
      </c>
      <c r="D3781" s="39">
        <f t="shared" si="121"/>
        <v>12.525993883792049</v>
      </c>
    </row>
    <row r="3782" spans="2:4" ht="15" x14ac:dyDescent="0.15">
      <c r="B3782" s="38">
        <v>15080</v>
      </c>
      <c r="C3782" s="39">
        <f t="shared" ref="C3782:C3845" si="122">20*LOG(D3782)</f>
        <v>21.98284695799671</v>
      </c>
      <c r="D3782" s="39">
        <f t="shared" ref="D3782:D3845" si="123">16384/(16384-B3782)</f>
        <v>12.564417177914111</v>
      </c>
    </row>
    <row r="3783" spans="2:4" ht="15" x14ac:dyDescent="0.15">
      <c r="B3783" s="38">
        <v>15084</v>
      </c>
      <c r="C3783" s="39">
        <f t="shared" si="122"/>
        <v>22.009531739777998</v>
      </c>
      <c r="D3783" s="39">
        <f t="shared" si="123"/>
        <v>12.603076923076923</v>
      </c>
    </row>
    <row r="3784" spans="2:4" ht="15" x14ac:dyDescent="0.15">
      <c r="B3784" s="38">
        <v>15088</v>
      </c>
      <c r="C3784" s="39">
        <f t="shared" si="122"/>
        <v>22.036298755223243</v>
      </c>
      <c r="D3784" s="39">
        <f t="shared" si="123"/>
        <v>12.641975308641975</v>
      </c>
    </row>
    <row r="3785" spans="2:4" ht="15" x14ac:dyDescent="0.15">
      <c r="B3785" s="38">
        <v>15092</v>
      </c>
      <c r="C3785" s="39">
        <f t="shared" si="122"/>
        <v>22.063148512733427</v>
      </c>
      <c r="D3785" s="39">
        <f t="shared" si="123"/>
        <v>12.681114551083592</v>
      </c>
    </row>
    <row r="3786" spans="2:4" ht="15" x14ac:dyDescent="0.15">
      <c r="B3786" s="38">
        <v>15096</v>
      </c>
      <c r="C3786" s="39">
        <f t="shared" si="122"/>
        <v>22.090081525438869</v>
      </c>
      <c r="D3786" s="39">
        <f t="shared" si="123"/>
        <v>12.720496894409937</v>
      </c>
    </row>
    <row r="3787" spans="2:4" ht="15" x14ac:dyDescent="0.15">
      <c r="B3787" s="38">
        <v>15100</v>
      </c>
      <c r="C3787" s="39">
        <f t="shared" si="122"/>
        <v>22.117098311258047</v>
      </c>
      <c r="D3787" s="39">
        <f t="shared" si="123"/>
        <v>12.7601246105919</v>
      </c>
    </row>
    <row r="3788" spans="2:4" ht="15" x14ac:dyDescent="0.15">
      <c r="B3788" s="38">
        <v>15104</v>
      </c>
      <c r="C3788" s="39">
        <f t="shared" si="122"/>
        <v>22.144199392957368</v>
      </c>
      <c r="D3788" s="39">
        <f t="shared" si="123"/>
        <v>12.8</v>
      </c>
    </row>
    <row r="3789" spans="2:4" ht="15" x14ac:dyDescent="0.15">
      <c r="B3789" s="38">
        <v>15108</v>
      </c>
      <c r="C3789" s="39">
        <f t="shared" si="122"/>
        <v>22.171385298211863</v>
      </c>
      <c r="D3789" s="39">
        <f t="shared" si="123"/>
        <v>12.840125391849529</v>
      </c>
    </row>
    <row r="3790" spans="2:4" ht="15" x14ac:dyDescent="0.15">
      <c r="B3790" s="38">
        <v>15112</v>
      </c>
      <c r="C3790" s="39">
        <f t="shared" si="122"/>
        <v>22.19865655966683</v>
      </c>
      <c r="D3790" s="39">
        <f t="shared" si="123"/>
        <v>12.880503144654089</v>
      </c>
    </row>
    <row r="3791" spans="2:4" ht="15" x14ac:dyDescent="0.15">
      <c r="B3791" s="38">
        <v>15116</v>
      </c>
      <c r="C3791" s="39">
        <f t="shared" si="122"/>
        <v>22.226013715000459</v>
      </c>
      <c r="D3791" s="39">
        <f t="shared" si="123"/>
        <v>12.921135646687697</v>
      </c>
    </row>
    <row r="3792" spans="2:4" ht="15" x14ac:dyDescent="0.15">
      <c r="B3792" s="38">
        <v>15120</v>
      </c>
      <c r="C3792" s="39">
        <f t="shared" si="122"/>
        <v>22.253457306987411</v>
      </c>
      <c r="D3792" s="39">
        <f t="shared" si="123"/>
        <v>12.962025316455696</v>
      </c>
    </row>
    <row r="3793" spans="2:4" ht="15" x14ac:dyDescent="0.15">
      <c r="B3793" s="38">
        <v>15124</v>
      </c>
      <c r="C3793" s="39">
        <f t="shared" si="122"/>
        <v>22.280987883563476</v>
      </c>
      <c r="D3793" s="39">
        <f t="shared" si="123"/>
        <v>13.003174603174603</v>
      </c>
    </row>
    <row r="3794" spans="2:4" ht="15" x14ac:dyDescent="0.15">
      <c r="B3794" s="38">
        <v>15128</v>
      </c>
      <c r="C3794" s="39">
        <f t="shared" si="122"/>
        <v>22.308605997891185</v>
      </c>
      <c r="D3794" s="39">
        <f t="shared" si="123"/>
        <v>13.044585987261147</v>
      </c>
    </row>
    <row r="3795" spans="2:4" ht="15" x14ac:dyDescent="0.15">
      <c r="B3795" s="38">
        <v>15132</v>
      </c>
      <c r="C3795" s="39">
        <f t="shared" si="122"/>
        <v>22.336312208426516</v>
      </c>
      <c r="D3795" s="39">
        <f t="shared" si="123"/>
        <v>13.08626198083067</v>
      </c>
    </row>
    <row r="3796" spans="2:4" ht="15" x14ac:dyDescent="0.15">
      <c r="B3796" s="38">
        <v>15136</v>
      </c>
      <c r="C3796" s="39">
        <f t="shared" si="122"/>
        <v>22.364107078986631</v>
      </c>
      <c r="D3796" s="39">
        <f t="shared" si="123"/>
        <v>13.128205128205128</v>
      </c>
    </row>
    <row r="3797" spans="2:4" ht="15" x14ac:dyDescent="0.15">
      <c r="B3797" s="38">
        <v>15140</v>
      </c>
      <c r="C3797" s="39">
        <f t="shared" si="122"/>
        <v>22.391991178818738</v>
      </c>
      <c r="D3797" s="39">
        <f t="shared" si="123"/>
        <v>13.170418006430868</v>
      </c>
    </row>
    <row r="3798" spans="2:4" ht="15" x14ac:dyDescent="0.15">
      <c r="B3798" s="38">
        <v>15144</v>
      </c>
      <c r="C3798" s="39">
        <f t="shared" si="122"/>
        <v>22.419965082670036</v>
      </c>
      <c r="D3798" s="39">
        <f t="shared" si="123"/>
        <v>13.212903225806452</v>
      </c>
    </row>
    <row r="3799" spans="2:4" ht="15" x14ac:dyDescent="0.15">
      <c r="B3799" s="38">
        <v>15148</v>
      </c>
      <c r="C3799" s="39">
        <f t="shared" si="122"/>
        <v>22.448029370858794</v>
      </c>
      <c r="D3799" s="39">
        <f t="shared" si="123"/>
        <v>13.255663430420713</v>
      </c>
    </row>
    <row r="3800" spans="2:4" ht="15" x14ac:dyDescent="0.15">
      <c r="B3800" s="38">
        <v>15152</v>
      </c>
      <c r="C3800" s="39">
        <f t="shared" si="122"/>
        <v>22.476184629346601</v>
      </c>
      <c r="D3800" s="39">
        <f t="shared" si="123"/>
        <v>13.2987012987013</v>
      </c>
    </row>
    <row r="3801" spans="2:4" ht="15" x14ac:dyDescent="0.15">
      <c r="B3801" s="38">
        <v>15156</v>
      </c>
      <c r="C3801" s="39">
        <f t="shared" si="122"/>
        <v>22.504431449811758</v>
      </c>
      <c r="D3801" s="39">
        <f t="shared" si="123"/>
        <v>13.342019543973942</v>
      </c>
    </row>
    <row r="3802" spans="2:4" ht="15" x14ac:dyDescent="0.15">
      <c r="B3802" s="38">
        <v>15160</v>
      </c>
      <c r="C3802" s="39">
        <f t="shared" si="122"/>
        <v>22.532770429723886</v>
      </c>
      <c r="D3802" s="39">
        <f t="shared" si="123"/>
        <v>13.38562091503268</v>
      </c>
    </row>
    <row r="3803" spans="2:4" ht="15" x14ac:dyDescent="0.15">
      <c r="B3803" s="38">
        <v>15164</v>
      </c>
      <c r="C3803" s="39">
        <f t="shared" si="122"/>
        <v>22.561202172419769</v>
      </c>
      <c r="D3803" s="39">
        <f t="shared" si="123"/>
        <v>13.429508196721311</v>
      </c>
    </row>
    <row r="3804" spans="2:4" ht="15" x14ac:dyDescent="0.15">
      <c r="B3804" s="38">
        <v>15168</v>
      </c>
      <c r="C3804" s="39">
        <f t="shared" si="122"/>
        <v>22.589727287180409</v>
      </c>
      <c r="D3804" s="39">
        <f t="shared" si="123"/>
        <v>13.473684210526315</v>
      </c>
    </row>
    <row r="3805" spans="2:4" ht="15" x14ac:dyDescent="0.15">
      <c r="B3805" s="38">
        <v>15172</v>
      </c>
      <c r="C3805" s="39">
        <f t="shared" si="122"/>
        <v>22.618346389309387</v>
      </c>
      <c r="D3805" s="39">
        <f t="shared" si="123"/>
        <v>13.518151815181518</v>
      </c>
    </row>
    <row r="3806" spans="2:4" ht="15" x14ac:dyDescent="0.15">
      <c r="B3806" s="38">
        <v>15176</v>
      </c>
      <c r="C3806" s="39">
        <f t="shared" si="122"/>
        <v>22.647060100212471</v>
      </c>
      <c r="D3806" s="39">
        <f t="shared" si="123"/>
        <v>13.562913907284768</v>
      </c>
    </row>
    <row r="3807" spans="2:4" ht="15" x14ac:dyDescent="0.15">
      <c r="B3807" s="38">
        <v>15180</v>
      </c>
      <c r="C3807" s="39">
        <f t="shared" si="122"/>
        <v>22.675869047478621</v>
      </c>
      <c r="D3807" s="39">
        <f t="shared" si="123"/>
        <v>13.607973421926911</v>
      </c>
    </row>
    <row r="3808" spans="2:4" ht="15" x14ac:dyDescent="0.15">
      <c r="B3808" s="38">
        <v>15184</v>
      </c>
      <c r="C3808" s="39">
        <f t="shared" si="122"/>
        <v>22.704773864962242</v>
      </c>
      <c r="D3808" s="39">
        <f t="shared" si="123"/>
        <v>13.653333333333334</v>
      </c>
    </row>
    <row r="3809" spans="2:4" ht="15" x14ac:dyDescent="0.15">
      <c r="B3809" s="38">
        <v>15188</v>
      </c>
      <c r="C3809" s="39">
        <f t="shared" si="122"/>
        <v>22.733775192866894</v>
      </c>
      <c r="D3809" s="39">
        <f t="shared" si="123"/>
        <v>13.698996655518394</v>
      </c>
    </row>
    <row r="3810" spans="2:4" ht="15" x14ac:dyDescent="0.15">
      <c r="B3810" s="38">
        <v>15192</v>
      </c>
      <c r="C3810" s="39">
        <f t="shared" si="122"/>
        <v>22.762873677830381</v>
      </c>
      <c r="D3810" s="39">
        <f t="shared" si="123"/>
        <v>13.74496644295302</v>
      </c>
    </row>
    <row r="3811" spans="2:4" ht="15" x14ac:dyDescent="0.15">
      <c r="B3811" s="38">
        <v>15196</v>
      </c>
      <c r="C3811" s="39">
        <f t="shared" si="122"/>
        <v>22.792069973011237</v>
      </c>
      <c r="D3811" s="39">
        <f t="shared" si="123"/>
        <v>13.791245791245791</v>
      </c>
    </row>
    <row r="3812" spans="2:4" ht="15" x14ac:dyDescent="0.15">
      <c r="B3812" s="38">
        <v>15200</v>
      </c>
      <c r="C3812" s="39">
        <f t="shared" si="122"/>
        <v>22.821364738176719</v>
      </c>
      <c r="D3812" s="39">
        <f t="shared" si="123"/>
        <v>13.837837837837839</v>
      </c>
    </row>
    <row r="3813" spans="2:4" ht="15" x14ac:dyDescent="0.15">
      <c r="B3813" s="38">
        <v>15204</v>
      </c>
      <c r="C3813" s="39">
        <f t="shared" si="122"/>
        <v>22.850758639792229</v>
      </c>
      <c r="D3813" s="39">
        <f t="shared" si="123"/>
        <v>13.884745762711864</v>
      </c>
    </row>
    <row r="3814" spans="2:4" ht="15" x14ac:dyDescent="0.15">
      <c r="B3814" s="38">
        <v>15208</v>
      </c>
      <c r="C3814" s="39">
        <f t="shared" si="122"/>
        <v>22.880252351112343</v>
      </c>
      <c r="D3814" s="39">
        <f t="shared" si="123"/>
        <v>13.931972789115646</v>
      </c>
    </row>
    <row r="3815" spans="2:4" ht="15" x14ac:dyDescent="0.15">
      <c r="B3815" s="38">
        <v>15212</v>
      </c>
      <c r="C3815" s="39">
        <f t="shared" si="122"/>
        <v>22.909846552273297</v>
      </c>
      <c r="D3815" s="39">
        <f t="shared" si="123"/>
        <v>13.979522184300341</v>
      </c>
    </row>
    <row r="3816" spans="2:4" ht="15" x14ac:dyDescent="0.15">
      <c r="B3816" s="38">
        <v>15216</v>
      </c>
      <c r="C3816" s="39">
        <f t="shared" si="122"/>
        <v>22.939541930387119</v>
      </c>
      <c r="D3816" s="39">
        <f t="shared" si="123"/>
        <v>14.027397260273972</v>
      </c>
    </row>
    <row r="3817" spans="2:4" ht="15" x14ac:dyDescent="0.15">
      <c r="B3817" s="38">
        <v>15220</v>
      </c>
      <c r="C3817" s="39">
        <f t="shared" si="122"/>
        <v>22.969339179637341</v>
      </c>
      <c r="D3817" s="39">
        <f t="shared" si="123"/>
        <v>14.075601374570446</v>
      </c>
    </row>
    <row r="3818" spans="2:4" ht="15" x14ac:dyDescent="0.15">
      <c r="B3818" s="38">
        <v>15224</v>
      </c>
      <c r="C3818" s="39">
        <f t="shared" si="122"/>
        <v>22.999239001376367</v>
      </c>
      <c r="D3818" s="39">
        <f t="shared" si="123"/>
        <v>14.124137931034483</v>
      </c>
    </row>
    <row r="3819" spans="2:4" ht="15" x14ac:dyDescent="0.15">
      <c r="B3819" s="38">
        <v>15228</v>
      </c>
      <c r="C3819" s="39">
        <f t="shared" si="122"/>
        <v>23.029242104224533</v>
      </c>
      <c r="D3819" s="39">
        <f t="shared" si="123"/>
        <v>14.173010380622838</v>
      </c>
    </row>
    <row r="3820" spans="2:4" ht="15" x14ac:dyDescent="0.15">
      <c r="B3820" s="38">
        <v>15232</v>
      </c>
      <c r="C3820" s="39">
        <f t="shared" si="122"/>
        <v>23.059349204170871</v>
      </c>
      <c r="D3820" s="39">
        <f t="shared" si="123"/>
        <v>14.222222222222221</v>
      </c>
    </row>
    <row r="3821" spans="2:4" ht="15" x14ac:dyDescent="0.15">
      <c r="B3821" s="38">
        <v>15236</v>
      </c>
      <c r="C3821" s="39">
        <f t="shared" si="122"/>
        <v>23.089561024675639</v>
      </c>
      <c r="D3821" s="39">
        <f t="shared" si="123"/>
        <v>14.271777003484321</v>
      </c>
    </row>
    <row r="3822" spans="2:4" ht="15" x14ac:dyDescent="0.15">
      <c r="B3822" s="38">
        <v>15240</v>
      </c>
      <c r="C3822" s="39">
        <f t="shared" si="122"/>
        <v>23.119878296774626</v>
      </c>
      <c r="D3822" s="39">
        <f t="shared" si="123"/>
        <v>14.321678321678322</v>
      </c>
    </row>
    <row r="3823" spans="2:4" ht="15" x14ac:dyDescent="0.15">
      <c r="B3823" s="38">
        <v>15244</v>
      </c>
      <c r="C3823" s="39">
        <f t="shared" si="122"/>
        <v>23.150301759185282</v>
      </c>
      <c r="D3823" s="39">
        <f t="shared" si="123"/>
        <v>14.371929824561404</v>
      </c>
    </row>
    <row r="3824" spans="2:4" ht="15" x14ac:dyDescent="0.15">
      <c r="B3824" s="38">
        <v>15248</v>
      </c>
      <c r="C3824" s="39">
        <f t="shared" si="122"/>
        <v>23.180832158414731</v>
      </c>
      <c r="D3824" s="39">
        <f t="shared" si="123"/>
        <v>14.422535211267606</v>
      </c>
    </row>
    <row r="3825" spans="2:4" ht="15" x14ac:dyDescent="0.15">
      <c r="B3825" s="38">
        <v>15252</v>
      </c>
      <c r="C3825" s="39">
        <f t="shared" si="122"/>
        <v>23.211470248869684</v>
      </c>
      <c r="D3825" s="39">
        <f t="shared" si="123"/>
        <v>14.473498233215548</v>
      </c>
    </row>
    <row r="3826" spans="2:4" ht="15" x14ac:dyDescent="0.15">
      <c r="B3826" s="38">
        <v>15256</v>
      </c>
      <c r="C3826" s="39">
        <f t="shared" si="122"/>
        <v>23.242216792968264</v>
      </c>
      <c r="D3826" s="39">
        <f t="shared" si="123"/>
        <v>14.524822695035461</v>
      </c>
    </row>
    <row r="3827" spans="2:4" ht="15" x14ac:dyDescent="0.15">
      <c r="B3827" s="38">
        <v>15260</v>
      </c>
      <c r="C3827" s="39">
        <f t="shared" si="122"/>
        <v>23.273072561253887</v>
      </c>
      <c r="D3827" s="39">
        <f t="shared" si="123"/>
        <v>14.576512455516013</v>
      </c>
    </row>
    <row r="3828" spans="2:4" ht="15" x14ac:dyDescent="0.15">
      <c r="B3828" s="38">
        <v>15264</v>
      </c>
      <c r="C3828" s="39">
        <f t="shared" si="122"/>
        <v>23.304038332511105</v>
      </c>
      <c r="D3828" s="39">
        <f t="shared" si="123"/>
        <v>14.628571428571428</v>
      </c>
    </row>
    <row r="3829" spans="2:4" ht="15" x14ac:dyDescent="0.15">
      <c r="B3829" s="38">
        <v>15268</v>
      </c>
      <c r="C3829" s="39">
        <f t="shared" si="122"/>
        <v>23.335114893883535</v>
      </c>
      <c r="D3829" s="39">
        <f t="shared" si="123"/>
        <v>14.681003584229391</v>
      </c>
    </row>
    <row r="3830" spans="2:4" ht="15" x14ac:dyDescent="0.15">
      <c r="B3830" s="38">
        <v>15272</v>
      </c>
      <c r="C3830" s="39">
        <f t="shared" si="122"/>
        <v>23.366303040993962</v>
      </c>
      <c r="D3830" s="39">
        <f t="shared" si="123"/>
        <v>14.733812949640289</v>
      </c>
    </row>
    <row r="3831" spans="2:4" ht="15" x14ac:dyDescent="0.15">
      <c r="B3831" s="38">
        <v>15276</v>
      </c>
      <c r="C3831" s="39">
        <f t="shared" si="122"/>
        <v>23.397603578066516</v>
      </c>
      <c r="D3831" s="39">
        <f t="shared" si="123"/>
        <v>14.787003610108304</v>
      </c>
    </row>
    <row r="3832" spans="2:4" ht="15" x14ac:dyDescent="0.15">
      <c r="B3832" s="38">
        <v>15280</v>
      </c>
      <c r="C3832" s="39">
        <f t="shared" si="122"/>
        <v>23.429017318051134</v>
      </c>
      <c r="D3832" s="39">
        <f t="shared" si="123"/>
        <v>14.840579710144928</v>
      </c>
    </row>
    <row r="3833" spans="2:4" ht="15" x14ac:dyDescent="0.15">
      <c r="B3833" s="38">
        <v>15284</v>
      </c>
      <c r="C3833" s="39">
        <f t="shared" si="122"/>
        <v>23.460545082750237</v>
      </c>
      <c r="D3833" s="39">
        <f t="shared" si="123"/>
        <v>14.894545454545455</v>
      </c>
    </row>
    <row r="3834" spans="2:4" ht="15" x14ac:dyDescent="0.15">
      <c r="B3834" s="38">
        <v>15288</v>
      </c>
      <c r="C3834" s="39">
        <f t="shared" si="122"/>
        <v>23.492187702947728</v>
      </c>
      <c r="D3834" s="39">
        <f t="shared" si="123"/>
        <v>14.948905109489051</v>
      </c>
    </row>
    <row r="3835" spans="2:4" ht="15" x14ac:dyDescent="0.15">
      <c r="B3835" s="38">
        <v>15292</v>
      </c>
      <c r="C3835" s="39">
        <f t="shared" si="122"/>
        <v>23.523946018540368</v>
      </c>
      <c r="D3835" s="39">
        <f t="shared" si="123"/>
        <v>15.003663003663004</v>
      </c>
    </row>
    <row r="3836" spans="2:4" ht="15" x14ac:dyDescent="0.15">
      <c r="B3836" s="38">
        <v>15296</v>
      </c>
      <c r="C3836" s="39">
        <f t="shared" si="122"/>
        <v>23.555820878671515</v>
      </c>
      <c r="D3836" s="39">
        <f t="shared" si="123"/>
        <v>15.058823529411764</v>
      </c>
    </row>
    <row r="3837" spans="2:4" ht="15" x14ac:dyDescent="0.15">
      <c r="B3837" s="38">
        <v>15300</v>
      </c>
      <c r="C3837" s="39">
        <f t="shared" si="122"/>
        <v>23.587813141867372</v>
      </c>
      <c r="D3837" s="39">
        <f t="shared" si="123"/>
        <v>15.114391143911439</v>
      </c>
    </row>
    <row r="3838" spans="2:4" ht="15" x14ac:dyDescent="0.15">
      <c r="B3838" s="38">
        <v>15304</v>
      </c>
      <c r="C3838" s="39">
        <f t="shared" si="122"/>
        <v>23.619923676175741</v>
      </c>
      <c r="D3838" s="39">
        <f t="shared" si="123"/>
        <v>15.170370370370371</v>
      </c>
    </row>
    <row r="3839" spans="2:4" ht="15" x14ac:dyDescent="0.15">
      <c r="B3839" s="38">
        <v>15308</v>
      </c>
      <c r="C3839" s="39">
        <f t="shared" si="122"/>
        <v>23.652153359307327</v>
      </c>
      <c r="D3839" s="39">
        <f t="shared" si="123"/>
        <v>15.226765799256505</v>
      </c>
    </row>
    <row r="3840" spans="2:4" ht="15" x14ac:dyDescent="0.15">
      <c r="B3840" s="38">
        <v>15312</v>
      </c>
      <c r="C3840" s="39">
        <f t="shared" si="122"/>
        <v>23.684503078779709</v>
      </c>
      <c r="D3840" s="39">
        <f t="shared" si="123"/>
        <v>15.283582089552239</v>
      </c>
    </row>
    <row r="3841" spans="2:4" ht="15" x14ac:dyDescent="0.15">
      <c r="B3841" s="38">
        <v>15316</v>
      </c>
      <c r="C3841" s="39">
        <f t="shared" si="122"/>
        <v>23.716973732063984</v>
      </c>
      <c r="D3841" s="39">
        <f t="shared" si="123"/>
        <v>15.340823970037453</v>
      </c>
    </row>
    <row r="3842" spans="2:4" ht="15" x14ac:dyDescent="0.15">
      <c r="B3842" s="38">
        <v>15320</v>
      </c>
      <c r="C3842" s="39">
        <f t="shared" si="122"/>
        <v>23.749566226734146</v>
      </c>
      <c r="D3842" s="39">
        <f t="shared" si="123"/>
        <v>15.398496240601503</v>
      </c>
    </row>
    <row r="3843" spans="2:4" ht="15" x14ac:dyDescent="0.15">
      <c r="B3843" s="38">
        <v>15324</v>
      </c>
      <c r="C3843" s="39">
        <f t="shared" si="122"/>
        <v>23.782281480619329</v>
      </c>
      <c r="D3843" s="39">
        <f t="shared" si="123"/>
        <v>15.456603773584906</v>
      </c>
    </row>
    <row r="3844" spans="2:4" ht="15" x14ac:dyDescent="0.15">
      <c r="B3844" s="38">
        <v>15328</v>
      </c>
      <c r="C3844" s="39">
        <f t="shared" si="122"/>
        <v>23.815120421958866</v>
      </c>
      <c r="D3844" s="39">
        <f t="shared" si="123"/>
        <v>15.515151515151516</v>
      </c>
    </row>
    <row r="3845" spans="2:4" ht="15" x14ac:dyDescent="0.15">
      <c r="B3845" s="38">
        <v>15332</v>
      </c>
      <c r="C3845" s="39">
        <f t="shared" si="122"/>
        <v>23.84808398956033</v>
      </c>
      <c r="D3845" s="39">
        <f t="shared" si="123"/>
        <v>15.574144486692015</v>
      </c>
    </row>
    <row r="3846" spans="2:4" ht="15" x14ac:dyDescent="0.15">
      <c r="B3846" s="38">
        <v>15336</v>
      </c>
      <c r="C3846" s="39">
        <f t="shared" ref="C3846:C3909" si="124">20*LOG(D3846)</f>
        <v>23.881173132960576</v>
      </c>
      <c r="D3846" s="39">
        <f t="shared" ref="D3846:D3909" si="125">16384/(16384-B3846)</f>
        <v>15.633587786259541</v>
      </c>
    </row>
    <row r="3847" spans="2:4" ht="15" x14ac:dyDescent="0.15">
      <c r="B3847" s="38">
        <v>15340</v>
      </c>
      <c r="C3847" s="39">
        <f t="shared" si="124"/>
        <v>23.914388812589866</v>
      </c>
      <c r="D3847" s="39">
        <f t="shared" si="125"/>
        <v>15.693486590038313</v>
      </c>
    </row>
    <row r="3848" spans="2:4" ht="15" x14ac:dyDescent="0.15">
      <c r="B3848" s="38">
        <v>15344</v>
      </c>
      <c r="C3848" s="39">
        <f t="shared" si="124"/>
        <v>23.94773199993913</v>
      </c>
      <c r="D3848" s="39">
        <f t="shared" si="125"/>
        <v>15.753846153846155</v>
      </c>
    </row>
    <row r="3849" spans="2:4" ht="15" x14ac:dyDescent="0.15">
      <c r="B3849" s="38">
        <v>15348</v>
      </c>
      <c r="C3849" s="39">
        <f t="shared" si="124"/>
        <v>23.981203677730448</v>
      </c>
      <c r="D3849" s="39">
        <f t="shared" si="125"/>
        <v>15.814671814671815</v>
      </c>
    </row>
    <row r="3850" spans="2:4" ht="15" x14ac:dyDescent="0.15">
      <c r="B3850" s="38">
        <v>15352</v>
      </c>
      <c r="C3850" s="39">
        <f t="shared" si="124"/>
        <v>24.014804840090882</v>
      </c>
      <c r="D3850" s="39">
        <f t="shared" si="125"/>
        <v>15.875968992248062</v>
      </c>
    </row>
    <row r="3851" spans="2:4" ht="15" x14ac:dyDescent="0.15">
      <c r="B3851" s="38">
        <v>15356</v>
      </c>
      <c r="C3851" s="39">
        <f t="shared" si="124"/>
        <v>24.048536492729596</v>
      </c>
      <c r="D3851" s="39">
        <f t="shared" si="125"/>
        <v>15.937743190661479</v>
      </c>
    </row>
    <row r="3852" spans="2:4" ht="15" x14ac:dyDescent="0.15">
      <c r="B3852" s="38">
        <v>15360</v>
      </c>
      <c r="C3852" s="39">
        <f t="shared" si="124"/>
        <v>24.082399653118497</v>
      </c>
      <c r="D3852" s="39">
        <f t="shared" si="125"/>
        <v>16</v>
      </c>
    </row>
    <row r="3853" spans="2:4" ht="15" x14ac:dyDescent="0.15">
      <c r="B3853" s="38">
        <v>15364</v>
      </c>
      <c r="C3853" s="39">
        <f t="shared" si="124"/>
        <v>24.116395350676385</v>
      </c>
      <c r="D3853" s="39">
        <f t="shared" si="125"/>
        <v>16.062745098039215</v>
      </c>
    </row>
    <row r="3854" spans="2:4" ht="15" x14ac:dyDescent="0.15">
      <c r="B3854" s="38">
        <v>15368</v>
      </c>
      <c r="C3854" s="39">
        <f t="shared" si="124"/>
        <v>24.150524626956727</v>
      </c>
      <c r="D3854" s="39">
        <f t="shared" si="125"/>
        <v>16.125984251968504</v>
      </c>
    </row>
    <row r="3855" spans="2:4" ht="15" x14ac:dyDescent="0.15">
      <c r="B3855" s="38">
        <v>15372</v>
      </c>
      <c r="C3855" s="39">
        <f t="shared" si="124"/>
        <v>24.184788535839129</v>
      </c>
      <c r="D3855" s="39">
        <f t="shared" si="125"/>
        <v>16.189723320158102</v>
      </c>
    </row>
    <row r="3856" spans="2:4" ht="15" x14ac:dyDescent="0.15">
      <c r="B3856" s="38">
        <v>15376</v>
      </c>
      <c r="C3856" s="39">
        <f t="shared" si="124"/>
        <v>24.219188143724605</v>
      </c>
      <c r="D3856" s="39">
        <f t="shared" si="125"/>
        <v>16.253968253968253</v>
      </c>
    </row>
    <row r="3857" spans="2:4" ht="15" x14ac:dyDescent="0.15">
      <c r="B3857" s="38">
        <v>15380</v>
      </c>
      <c r="C3857" s="39">
        <f t="shared" si="124"/>
        <v>24.253724529734725</v>
      </c>
      <c r="D3857" s="39">
        <f t="shared" si="125"/>
        <v>16.318725099601593</v>
      </c>
    </row>
    <row r="3858" spans="2:4" ht="15" x14ac:dyDescent="0.15">
      <c r="B3858" s="38">
        <v>15384</v>
      </c>
      <c r="C3858" s="39">
        <f t="shared" si="124"/>
        <v>24.288398785914733</v>
      </c>
      <c r="D3858" s="39">
        <f t="shared" si="125"/>
        <v>16.384</v>
      </c>
    </row>
    <row r="3859" spans="2:4" ht="15" x14ac:dyDescent="0.15">
      <c r="B3859" s="38">
        <v>15388</v>
      </c>
      <c r="C3859" s="39">
        <f t="shared" si="124"/>
        <v>24.32321201744076</v>
      </c>
      <c r="D3859" s="39">
        <f t="shared" si="125"/>
        <v>16.449799196787147</v>
      </c>
    </row>
    <row r="3860" spans="2:4" ht="15" x14ac:dyDescent="0.15">
      <c r="B3860" s="38">
        <v>15392</v>
      </c>
      <c r="C3860" s="39">
        <f t="shared" si="124"/>
        <v>24.35816534283116</v>
      </c>
      <c r="D3860" s="39">
        <f t="shared" si="125"/>
        <v>16.516129032258064</v>
      </c>
    </row>
    <row r="3861" spans="2:4" ht="15" x14ac:dyDescent="0.15">
      <c r="B3861" s="38">
        <v>15396</v>
      </c>
      <c r="C3861" s="39">
        <f t="shared" si="124"/>
        <v>24.393259894162171</v>
      </c>
      <c r="D3861" s="39">
        <f t="shared" si="125"/>
        <v>16.582995951417004</v>
      </c>
    </row>
    <row r="3862" spans="2:4" ht="15" x14ac:dyDescent="0.15">
      <c r="B3862" s="38">
        <v>15400</v>
      </c>
      <c r="C3862" s="39">
        <f t="shared" si="124"/>
        <v>24.428496817287908</v>
      </c>
      <c r="D3862" s="39">
        <f t="shared" si="125"/>
        <v>16.650406504065042</v>
      </c>
    </row>
    <row r="3863" spans="2:4" ht="15" x14ac:dyDescent="0.15">
      <c r="B3863" s="38">
        <v>15404</v>
      </c>
      <c r="C3863" s="39">
        <f t="shared" si="124"/>
        <v>24.463877272064842</v>
      </c>
      <c r="D3863" s="39">
        <f t="shared" si="125"/>
        <v>16.718367346938777</v>
      </c>
    </row>
    <row r="3864" spans="2:4" ht="15" x14ac:dyDescent="0.15">
      <c r="B3864" s="38">
        <v>15408</v>
      </c>
      <c r="C3864" s="39">
        <f t="shared" si="124"/>
        <v>24.499402432580901</v>
      </c>
      <c r="D3864" s="39">
        <f t="shared" si="125"/>
        <v>16.78688524590164</v>
      </c>
    </row>
    <row r="3865" spans="2:4" ht="15" x14ac:dyDescent="0.15">
      <c r="B3865" s="38">
        <v>15412</v>
      </c>
      <c r="C3865" s="39">
        <f t="shared" si="124"/>
        <v>24.535073487389244</v>
      </c>
      <c r="D3865" s="39">
        <f t="shared" si="125"/>
        <v>16.855967078189302</v>
      </c>
    </row>
    <row r="3866" spans="2:4" ht="15" x14ac:dyDescent="0.15">
      <c r="B3866" s="38">
        <v>15416</v>
      </c>
      <c r="C3866" s="39">
        <f t="shared" si="124"/>
        <v>24.570891639746861</v>
      </c>
      <c r="D3866" s="39">
        <f t="shared" si="125"/>
        <v>16.925619834710744</v>
      </c>
    </row>
    <row r="3867" spans="2:4" ht="15" x14ac:dyDescent="0.15">
      <c r="B3867" s="38">
        <v>15420</v>
      </c>
      <c r="C3867" s="39">
        <f t="shared" si="124"/>
        <v>24.60685810785812</v>
      </c>
      <c r="D3867" s="39">
        <f t="shared" si="125"/>
        <v>16.995850622406639</v>
      </c>
    </row>
    <row r="3868" spans="2:4" ht="15" x14ac:dyDescent="0.15">
      <c r="B3868" s="38">
        <v>15424</v>
      </c>
      <c r="C3868" s="39">
        <f t="shared" si="124"/>
        <v>24.642974125123366</v>
      </c>
      <c r="D3868" s="39">
        <f t="shared" si="125"/>
        <v>17.066666666666666</v>
      </c>
    </row>
    <row r="3869" spans="2:4" ht="15" x14ac:dyDescent="0.15">
      <c r="B3869" s="38">
        <v>15428</v>
      </c>
      <c r="C3869" s="39">
        <f t="shared" si="124"/>
        <v>24.679240940392731</v>
      </c>
      <c r="D3869" s="39">
        <f t="shared" si="125"/>
        <v>17.13807531380753</v>
      </c>
    </row>
    <row r="3870" spans="2:4" ht="15" x14ac:dyDescent="0.15">
      <c r="B3870" s="38">
        <v>15432</v>
      </c>
      <c r="C3870" s="39">
        <f t="shared" si="124"/>
        <v>24.715659818225248</v>
      </c>
      <c r="D3870" s="39">
        <f t="shared" si="125"/>
        <v>17.210084033613445</v>
      </c>
    </row>
    <row r="3871" spans="2:4" ht="15" x14ac:dyDescent="0.15">
      <c r="B3871" s="38">
        <v>15436</v>
      </c>
      <c r="C3871" s="39">
        <f t="shared" si="124"/>
        <v>24.752232039153409</v>
      </c>
      <c r="D3871" s="39">
        <f t="shared" si="125"/>
        <v>17.282700421940927</v>
      </c>
    </row>
    <row r="3872" spans="2:4" ht="15" x14ac:dyDescent="0.15">
      <c r="B3872" s="38">
        <v>15440</v>
      </c>
      <c r="C3872" s="39">
        <f t="shared" si="124"/>
        <v>24.788958899953357</v>
      </c>
      <c r="D3872" s="39">
        <f t="shared" si="125"/>
        <v>17.35593220338983</v>
      </c>
    </row>
    <row r="3873" spans="2:4" ht="15" x14ac:dyDescent="0.15">
      <c r="B3873" s="38">
        <v>15444</v>
      </c>
      <c r="C3873" s="39">
        <f t="shared" si="124"/>
        <v>24.825841713920763</v>
      </c>
      <c r="D3873" s="39">
        <f t="shared" si="125"/>
        <v>17.429787234042553</v>
      </c>
    </row>
    <row r="3874" spans="2:4" ht="15" x14ac:dyDescent="0.15">
      <c r="B3874" s="38">
        <v>15448</v>
      </c>
      <c r="C3874" s="39">
        <f t="shared" si="124"/>
        <v>24.862881811152633</v>
      </c>
      <c r="D3874" s="39">
        <f t="shared" si="125"/>
        <v>17.504273504273506</v>
      </c>
    </row>
    <row r="3875" spans="2:4" ht="15" x14ac:dyDescent="0.15">
      <c r="B3875" s="38">
        <v>15452</v>
      </c>
      <c r="C3875" s="39">
        <f t="shared" si="124"/>
        <v>24.900080538835105</v>
      </c>
      <c r="D3875" s="39">
        <f t="shared" si="125"/>
        <v>17.579399141630901</v>
      </c>
    </row>
    <row r="3876" spans="2:4" ht="15" x14ac:dyDescent="0.15">
      <c r="B3876" s="38">
        <v>15456</v>
      </c>
      <c r="C3876" s="39">
        <f t="shared" si="124"/>
        <v>24.937439261537495</v>
      </c>
      <c r="D3876" s="39">
        <f t="shared" si="125"/>
        <v>17.655172413793103</v>
      </c>
    </row>
    <row r="3877" spans="2:4" ht="15" x14ac:dyDescent="0.15">
      <c r="B3877" s="38">
        <v>15460</v>
      </c>
      <c r="C3877" s="39">
        <f t="shared" si="124"/>
        <v>24.9749593615126</v>
      </c>
      <c r="D3877" s="39">
        <f t="shared" si="125"/>
        <v>17.731601731601732</v>
      </c>
    </row>
    <row r="3878" spans="2:4" ht="15" x14ac:dyDescent="0.15">
      <c r="B3878" s="38">
        <v>15464</v>
      </c>
      <c r="C3878" s="39">
        <f t="shared" si="124"/>
        <v>25.012642239003632</v>
      </c>
      <c r="D3878" s="39">
        <f t="shared" si="125"/>
        <v>17.808695652173913</v>
      </c>
    </row>
    <row r="3879" spans="2:4" ht="15" x14ac:dyDescent="0.15">
      <c r="B3879" s="38">
        <v>15468</v>
      </c>
      <c r="C3879" s="39">
        <f t="shared" si="124"/>
        <v>25.050489312557723</v>
      </c>
      <c r="D3879" s="39">
        <f t="shared" si="125"/>
        <v>17.886462882096069</v>
      </c>
    </row>
    <row r="3880" spans="2:4" ht="15" x14ac:dyDescent="0.15">
      <c r="B3880" s="38">
        <v>15472</v>
      </c>
      <c r="C3880" s="39">
        <f t="shared" si="124"/>
        <v>25.088502019346414</v>
      </c>
      <c r="D3880" s="39">
        <f t="shared" si="125"/>
        <v>17.964912280701753</v>
      </c>
    </row>
    <row r="3881" spans="2:4" ht="15" x14ac:dyDescent="0.15">
      <c r="B3881" s="38">
        <v>15476</v>
      </c>
      <c r="C3881" s="39">
        <f t="shared" si="124"/>
        <v>25.126681815493033</v>
      </c>
      <c r="D3881" s="39">
        <f t="shared" si="125"/>
        <v>18.044052863436125</v>
      </c>
    </row>
    <row r="3882" spans="2:4" ht="15" x14ac:dyDescent="0.15">
      <c r="B3882" s="38">
        <v>15480</v>
      </c>
      <c r="C3882" s="39">
        <f t="shared" si="124"/>
        <v>25.16503017640747</v>
      </c>
      <c r="D3882" s="39">
        <f t="shared" si="125"/>
        <v>18.123893805309734</v>
      </c>
    </row>
    <row r="3883" spans="2:4" ht="15" x14ac:dyDescent="0.15">
      <c r="B3883" s="38">
        <v>15484</v>
      </c>
      <c r="C3883" s="39">
        <f t="shared" si="124"/>
        <v>25.20354859712824</v>
      </c>
      <c r="D3883" s="39">
        <f t="shared" si="125"/>
        <v>18.204444444444444</v>
      </c>
    </row>
    <row r="3884" spans="2:4" ht="15" x14ac:dyDescent="0.15">
      <c r="B3884" s="38">
        <v>15488</v>
      </c>
      <c r="C3884" s="39">
        <f t="shared" si="124"/>
        <v>25.24223859267223</v>
      </c>
      <c r="D3884" s="39">
        <f t="shared" si="125"/>
        <v>18.285714285714285</v>
      </c>
    </row>
    <row r="3885" spans="2:4" ht="15" x14ac:dyDescent="0.15">
      <c r="B3885" s="38">
        <v>15492</v>
      </c>
      <c r="C3885" s="39">
        <f t="shared" si="124"/>
        <v>25.281101698392273</v>
      </c>
      <c r="D3885" s="39">
        <f t="shared" si="125"/>
        <v>18.367713004484305</v>
      </c>
    </row>
    <row r="3886" spans="2:4" ht="15" x14ac:dyDescent="0.15">
      <c r="B3886" s="38">
        <v>15496</v>
      </c>
      <c r="C3886" s="39">
        <f t="shared" si="124"/>
        <v>25.320139470342717</v>
      </c>
      <c r="D3886" s="39">
        <f t="shared" si="125"/>
        <v>18.45045045045045</v>
      </c>
    </row>
    <row r="3887" spans="2:4" ht="15" x14ac:dyDescent="0.15">
      <c r="B3887" s="38">
        <v>15500</v>
      </c>
      <c r="C3887" s="39">
        <f t="shared" si="124"/>
        <v>25.359353485653276</v>
      </c>
      <c r="D3887" s="39">
        <f t="shared" si="125"/>
        <v>18.533936651583712</v>
      </c>
    </row>
    <row r="3888" spans="2:4" ht="15" x14ac:dyDescent="0.15">
      <c r="B3888" s="38">
        <v>15504</v>
      </c>
      <c r="C3888" s="39">
        <f t="shared" si="124"/>
        <v>25.398745342911361</v>
      </c>
      <c r="D3888" s="39">
        <f t="shared" si="125"/>
        <v>18.618181818181817</v>
      </c>
    </row>
    <row r="3889" spans="2:4" ht="15" x14ac:dyDescent="0.15">
      <c r="B3889" s="38">
        <v>15508</v>
      </c>
      <c r="C3889" s="39">
        <f t="shared" si="124"/>
        <v>25.438316662553117</v>
      </c>
      <c r="D3889" s="39">
        <f t="shared" si="125"/>
        <v>18.703196347031962</v>
      </c>
    </row>
    <row r="3890" spans="2:4" ht="15" x14ac:dyDescent="0.15">
      <c r="B3890" s="38">
        <v>15512</v>
      </c>
      <c r="C3890" s="39">
        <f t="shared" si="124"/>
        <v>25.478069087263393</v>
      </c>
      <c r="D3890" s="39">
        <f t="shared" si="125"/>
        <v>18.788990825688074</v>
      </c>
    </row>
    <row r="3891" spans="2:4" ht="15" x14ac:dyDescent="0.15">
      <c r="B3891" s="38">
        <v>15516</v>
      </c>
      <c r="C3891" s="39">
        <f t="shared" si="124"/>
        <v>25.518004282384897</v>
      </c>
      <c r="D3891" s="39">
        <f t="shared" si="125"/>
        <v>18.875576036866359</v>
      </c>
    </row>
    <row r="3892" spans="2:4" ht="15" x14ac:dyDescent="0.15">
      <c r="B3892" s="38">
        <v>15520</v>
      </c>
      <c r="C3892" s="39">
        <f t="shared" si="124"/>
        <v>25.55812393633687</v>
      </c>
      <c r="D3892" s="39">
        <f t="shared" si="125"/>
        <v>18.962962962962962</v>
      </c>
    </row>
    <row r="3893" spans="2:4" ht="15" x14ac:dyDescent="0.15">
      <c r="B3893" s="38">
        <v>15524</v>
      </c>
      <c r="C3893" s="39">
        <f t="shared" si="124"/>
        <v>25.598429761043381</v>
      </c>
      <c r="D3893" s="39">
        <f t="shared" si="125"/>
        <v>19.051162790697674</v>
      </c>
    </row>
    <row r="3894" spans="2:4" ht="15" x14ac:dyDescent="0.15">
      <c r="B3894" s="38">
        <v>15528</v>
      </c>
      <c r="C3894" s="39">
        <f t="shared" si="124"/>
        <v>25.638923492371667</v>
      </c>
      <c r="D3894" s="39">
        <f t="shared" si="125"/>
        <v>19.140186915887849</v>
      </c>
    </row>
    <row r="3895" spans="2:4" ht="15" x14ac:dyDescent="0.15">
      <c r="B3895" s="38">
        <v>15532</v>
      </c>
      <c r="C3895" s="39">
        <f t="shared" si="124"/>
        <v>25.679606890580729</v>
      </c>
      <c r="D3895" s="39">
        <f t="shared" si="125"/>
        <v>19.230046948356808</v>
      </c>
    </row>
    <row r="3896" spans="2:4" ht="15" x14ac:dyDescent="0.15">
      <c r="B3896" s="38">
        <v>15536</v>
      </c>
      <c r="C3896" s="39">
        <f t="shared" si="124"/>
        <v>25.720481740780457</v>
      </c>
      <c r="D3896" s="39">
        <f t="shared" si="125"/>
        <v>19.320754716981131</v>
      </c>
    </row>
    <row r="3897" spans="2:4" ht="15" x14ac:dyDescent="0.15">
      <c r="B3897" s="38">
        <v>15540</v>
      </c>
      <c r="C3897" s="39">
        <f t="shared" si="124"/>
        <v>25.761549853401636</v>
      </c>
      <c r="D3897" s="39">
        <f t="shared" si="125"/>
        <v>19.412322274881518</v>
      </c>
    </row>
    <row r="3898" spans="2:4" ht="15" x14ac:dyDescent="0.15">
      <c r="B3898" s="38">
        <v>15544</v>
      </c>
      <c r="C3898" s="39">
        <f t="shared" si="124"/>
        <v>25.802813064677103</v>
      </c>
      <c r="D3898" s="39">
        <f t="shared" si="125"/>
        <v>19.504761904761907</v>
      </c>
    </row>
    <row r="3899" spans="2:4" ht="15" x14ac:dyDescent="0.15">
      <c r="B3899" s="38">
        <v>15548</v>
      </c>
      <c r="C3899" s="39">
        <f t="shared" si="124"/>
        <v>25.844273237134409</v>
      </c>
      <c r="D3899" s="39">
        <f t="shared" si="125"/>
        <v>19.598086124401913</v>
      </c>
    </row>
    <row r="3900" spans="2:4" ht="15" x14ac:dyDescent="0.15">
      <c r="B3900" s="38">
        <v>15552</v>
      </c>
      <c r="C3900" s="39">
        <f t="shared" si="124"/>
        <v>25.885932260100258</v>
      </c>
      <c r="D3900" s="39">
        <f t="shared" si="125"/>
        <v>19.692307692307693</v>
      </c>
    </row>
    <row r="3901" spans="2:4" ht="15" x14ac:dyDescent="0.15">
      <c r="B3901" s="38">
        <v>15556</v>
      </c>
      <c r="C3901" s="39">
        <f t="shared" si="124"/>
        <v>25.927792050217132</v>
      </c>
      <c r="D3901" s="39">
        <f t="shared" si="125"/>
        <v>19.787439613526569</v>
      </c>
    </row>
    <row r="3902" spans="2:4" ht="15" x14ac:dyDescent="0.15">
      <c r="B3902" s="38">
        <v>15560</v>
      </c>
      <c r="C3902" s="39">
        <f t="shared" si="124"/>
        <v>25.969854551972418</v>
      </c>
      <c r="D3902" s="39">
        <f t="shared" si="125"/>
        <v>19.883495145631066</v>
      </c>
    </row>
    <row r="3903" spans="2:4" ht="15" x14ac:dyDescent="0.15">
      <c r="B3903" s="38">
        <v>15564</v>
      </c>
      <c r="C3903" s="39">
        <f t="shared" si="124"/>
        <v>26.012121738240399</v>
      </c>
      <c r="D3903" s="39">
        <f t="shared" si="125"/>
        <v>19.980487804878049</v>
      </c>
    </row>
    <row r="3904" spans="2:4" ht="15" x14ac:dyDescent="0.15">
      <c r="B3904" s="38">
        <v>15568</v>
      </c>
      <c r="C3904" s="39">
        <f t="shared" si="124"/>
        <v>26.054595610837513</v>
      </c>
      <c r="D3904" s="39">
        <f t="shared" si="125"/>
        <v>20.078431372549019</v>
      </c>
    </row>
    <row r="3905" spans="2:4" ht="15" x14ac:dyDescent="0.15">
      <c r="B3905" s="38">
        <v>15572</v>
      </c>
      <c r="C3905" s="39">
        <f t="shared" si="124"/>
        <v>26.097278201091228</v>
      </c>
      <c r="D3905" s="39">
        <f t="shared" si="125"/>
        <v>20.177339901477833</v>
      </c>
    </row>
    <row r="3906" spans="2:4" ht="15" x14ac:dyDescent="0.15">
      <c r="B3906" s="38">
        <v>15576</v>
      </c>
      <c r="C3906" s="39">
        <f t="shared" si="124"/>
        <v>26.140171570423011</v>
      </c>
      <c r="D3906" s="39">
        <f t="shared" si="125"/>
        <v>20.277227722772277</v>
      </c>
    </row>
    <row r="3907" spans="2:4" ht="15" x14ac:dyDescent="0.15">
      <c r="B3907" s="38">
        <v>15580</v>
      </c>
      <c r="C3907" s="39">
        <f t="shared" si="124"/>
        <v>26.183277810945711</v>
      </c>
      <c r="D3907" s="39">
        <f t="shared" si="125"/>
        <v>20.378109452736318</v>
      </c>
    </row>
    <row r="3908" spans="2:4" ht="15" x14ac:dyDescent="0.15">
      <c r="B3908" s="38">
        <v>15584</v>
      </c>
      <c r="C3908" s="39">
        <f t="shared" si="124"/>
        <v>26.226599046075862</v>
      </c>
      <c r="D3908" s="39">
        <f t="shared" si="125"/>
        <v>20.48</v>
      </c>
    </row>
    <row r="3909" spans="2:4" ht="15" x14ac:dyDescent="0.15">
      <c r="B3909" s="38">
        <v>15588</v>
      </c>
      <c r="C3909" s="39">
        <f t="shared" si="124"/>
        <v>26.270137431161356</v>
      </c>
      <c r="D3909" s="39">
        <f t="shared" si="125"/>
        <v>20.582914572864322</v>
      </c>
    </row>
    <row r="3910" spans="2:4" ht="15" x14ac:dyDescent="0.15">
      <c r="B3910" s="38">
        <v>15592</v>
      </c>
      <c r="C3910" s="39">
        <f t="shared" ref="C3910:C3973" si="126">20*LOG(D3910)</f>
        <v>26.313895154124864</v>
      </c>
      <c r="D3910" s="39">
        <f t="shared" ref="D3910:D3973" si="127">16384/(16384-B3910)</f>
        <v>20.686868686868689</v>
      </c>
    </row>
    <row r="3911" spans="2:4" ht="15" x14ac:dyDescent="0.15">
      <c r="B3911" s="38">
        <v>15596</v>
      </c>
      <c r="C3911" s="39">
        <f t="shared" si="126"/>
        <v>26.35787443612363</v>
      </c>
      <c r="D3911" s="39">
        <f t="shared" si="127"/>
        <v>20.791878172588831</v>
      </c>
    </row>
    <row r="3912" spans="2:4" ht="15" x14ac:dyDescent="0.15">
      <c r="B3912" s="38">
        <v>15600</v>
      </c>
      <c r="C3912" s="39">
        <f t="shared" si="126"/>
        <v>26.402077532225967</v>
      </c>
      <c r="D3912" s="39">
        <f t="shared" si="127"/>
        <v>20.897959183673468</v>
      </c>
    </row>
    <row r="3913" spans="2:4" ht="15" x14ac:dyDescent="0.15">
      <c r="B3913" s="38">
        <v>15604</v>
      </c>
      <c r="C3913" s="39">
        <f t="shared" si="126"/>
        <v>26.446506732105128</v>
      </c>
      <c r="D3913" s="39">
        <f t="shared" si="127"/>
        <v>21.005128205128205</v>
      </c>
    </row>
    <row r="3914" spans="2:4" ht="15" x14ac:dyDescent="0.15">
      <c r="B3914" s="38">
        <v>15608</v>
      </c>
      <c r="C3914" s="39">
        <f t="shared" si="126"/>
        <v>26.491164360750968</v>
      </c>
      <c r="D3914" s="39">
        <f t="shared" si="127"/>
        <v>21.11340206185567</v>
      </c>
    </row>
    <row r="3915" spans="2:4" ht="15" x14ac:dyDescent="0.15">
      <c r="B3915" s="38">
        <v>15612</v>
      </c>
      <c r="C3915" s="39">
        <f t="shared" si="126"/>
        <v>26.536052779200009</v>
      </c>
      <c r="D3915" s="39">
        <f t="shared" si="127"/>
        <v>21.222797927461141</v>
      </c>
    </row>
    <row r="3916" spans="2:4" ht="15" x14ac:dyDescent="0.15">
      <c r="B3916" s="38">
        <v>15616</v>
      </c>
      <c r="C3916" s="39">
        <f t="shared" si="126"/>
        <v>26.581174385284495</v>
      </c>
      <c r="D3916" s="39">
        <f t="shared" si="127"/>
        <v>21.333333333333332</v>
      </c>
    </row>
    <row r="3917" spans="2:4" ht="15" x14ac:dyDescent="0.15">
      <c r="B3917" s="38">
        <v>15620</v>
      </c>
      <c r="C3917" s="39">
        <f t="shared" si="126"/>
        <v>26.626531614400935</v>
      </c>
      <c r="D3917" s="39">
        <f t="shared" si="127"/>
        <v>21.445026178010473</v>
      </c>
    </row>
    <row r="3918" spans="2:4" ht="15" x14ac:dyDescent="0.15">
      <c r="B3918" s="38">
        <v>15624</v>
      </c>
      <c r="C3918" s="39">
        <f t="shared" si="126"/>
        <v>26.672126940298906</v>
      </c>
      <c r="D3918" s="39">
        <f t="shared" si="127"/>
        <v>21.557894736842105</v>
      </c>
    </row>
    <row r="3919" spans="2:4" ht="15" x14ac:dyDescent="0.15">
      <c r="B3919" s="38">
        <v>15628</v>
      </c>
      <c r="C3919" s="39">
        <f t="shared" si="126"/>
        <v>26.717962875890603</v>
      </c>
      <c r="D3919" s="39">
        <f t="shared" si="127"/>
        <v>21.671957671957671</v>
      </c>
    </row>
    <row r="3920" spans="2:4" ht="15" x14ac:dyDescent="0.15">
      <c r="B3920" s="38">
        <v>15632</v>
      </c>
      <c r="C3920" s="39">
        <f t="shared" si="126"/>
        <v>26.764041974081891</v>
      </c>
      <c r="D3920" s="39">
        <f t="shared" si="127"/>
        <v>21.787234042553191</v>
      </c>
    </row>
    <row r="3921" spans="2:4" ht="15" x14ac:dyDescent="0.15">
      <c r="B3921" s="38">
        <v>15636</v>
      </c>
      <c r="C3921" s="39">
        <f t="shared" si="126"/>
        <v>26.810366828625508</v>
      </c>
      <c r="D3921" s="39">
        <f t="shared" si="127"/>
        <v>21.90374331550802</v>
      </c>
    </row>
    <row r="3922" spans="2:4" ht="15" x14ac:dyDescent="0.15">
      <c r="B3922" s="38">
        <v>15640</v>
      </c>
      <c r="C3922" s="39">
        <f t="shared" si="126"/>
        <v>26.856940074997162</v>
      </c>
      <c r="D3922" s="39">
        <f t="shared" si="127"/>
        <v>22.021505376344088</v>
      </c>
    </row>
    <row r="3923" spans="2:4" ht="15" x14ac:dyDescent="0.15">
      <c r="B3923" s="38">
        <v>15644</v>
      </c>
      <c r="C3923" s="39">
        <f t="shared" si="126"/>
        <v>26.903764391295212</v>
      </c>
      <c r="D3923" s="39">
        <f t="shared" si="127"/>
        <v>22.140540540540542</v>
      </c>
    </row>
    <row r="3924" spans="2:4" ht="15" x14ac:dyDescent="0.15">
      <c r="B3924" s="38">
        <v>15648</v>
      </c>
      <c r="C3924" s="39">
        <f t="shared" si="126"/>
        <v>26.950842499164757</v>
      </c>
      <c r="D3924" s="39">
        <f t="shared" si="127"/>
        <v>22.260869565217391</v>
      </c>
    </row>
    <row r="3925" spans="2:4" ht="15" x14ac:dyDescent="0.15">
      <c r="B3925" s="38">
        <v>15652</v>
      </c>
      <c r="C3925" s="39">
        <f t="shared" si="126"/>
        <v>26.998177164746899</v>
      </c>
      <c r="D3925" s="39">
        <f t="shared" si="127"/>
        <v>22.382513661202186</v>
      </c>
    </row>
    <row r="3926" spans="2:4" ht="15" x14ac:dyDescent="0.15">
      <c r="B3926" s="38">
        <v>15656</v>
      </c>
      <c r="C3926" s="39">
        <f t="shared" si="126"/>
        <v>27.045771199653991</v>
      </c>
      <c r="D3926" s="39">
        <f t="shared" si="127"/>
        <v>22.505494505494507</v>
      </c>
    </row>
    <row r="3927" spans="2:4" ht="15" x14ac:dyDescent="0.15">
      <c r="B3927" s="38">
        <v>15660</v>
      </c>
      <c r="C3927" s="39">
        <f t="shared" si="126"/>
        <v>27.093627461971796</v>
      </c>
      <c r="D3927" s="39">
        <f t="shared" si="127"/>
        <v>22.629834254143645</v>
      </c>
    </row>
    <row r="3928" spans="2:4" ht="15" x14ac:dyDescent="0.15">
      <c r="B3928" s="38">
        <v>15664</v>
      </c>
      <c r="C3928" s="39">
        <f t="shared" si="126"/>
        <v>27.141748857289368</v>
      </c>
      <c r="D3928" s="39">
        <f t="shared" si="127"/>
        <v>22.755555555555556</v>
      </c>
    </row>
    <row r="3929" spans="2:4" ht="15" x14ac:dyDescent="0.15">
      <c r="B3929" s="38">
        <v>15668</v>
      </c>
      <c r="C3929" s="39">
        <f t="shared" si="126"/>
        <v>27.190138339757624</v>
      </c>
      <c r="D3929" s="39">
        <f t="shared" si="127"/>
        <v>22.882681564245811</v>
      </c>
    </row>
    <row r="3930" spans="2:4" ht="15" x14ac:dyDescent="0.15">
      <c r="B3930" s="38">
        <v>15672</v>
      </c>
      <c r="C3930" s="39">
        <f t="shared" si="126"/>
        <v>27.238798913177607</v>
      </c>
      <c r="D3930" s="39">
        <f t="shared" si="127"/>
        <v>23.011235955056179</v>
      </c>
    </row>
    <row r="3931" spans="2:4" ht="15" x14ac:dyDescent="0.15">
      <c r="B3931" s="38">
        <v>15676</v>
      </c>
      <c r="C3931" s="39">
        <f t="shared" si="126"/>
        <v>27.287733632119355</v>
      </c>
      <c r="D3931" s="39">
        <f t="shared" si="127"/>
        <v>23.141242937853107</v>
      </c>
    </row>
    <row r="3932" spans="2:4" ht="15" x14ac:dyDescent="0.15">
      <c r="B3932" s="38">
        <v>15680</v>
      </c>
      <c r="C3932" s="39">
        <f t="shared" si="126"/>
        <v>27.33694560307249</v>
      </c>
      <c r="D3932" s="39">
        <f t="shared" si="127"/>
        <v>23.272727272727273</v>
      </c>
    </row>
    <row r="3933" spans="2:4" ht="15" x14ac:dyDescent="0.15">
      <c r="B3933" s="38">
        <v>15684</v>
      </c>
      <c r="C3933" s="39">
        <f t="shared" si="126"/>
        <v>27.386437985629598</v>
      </c>
      <c r="D3933" s="39">
        <f t="shared" si="127"/>
        <v>23.405714285714286</v>
      </c>
    </row>
    <row r="3934" spans="2:4" ht="15" x14ac:dyDescent="0.15">
      <c r="B3934" s="38">
        <v>15688</v>
      </c>
      <c r="C3934" s="39">
        <f t="shared" si="126"/>
        <v>27.436213993703493</v>
      </c>
      <c r="D3934" s="39">
        <f t="shared" si="127"/>
        <v>23.540229885057471</v>
      </c>
    </row>
    <row r="3935" spans="2:4" ht="15" x14ac:dyDescent="0.15">
      <c r="B3935" s="38">
        <v>15692</v>
      </c>
      <c r="C3935" s="39">
        <f t="shared" si="126"/>
        <v>27.486276896779579</v>
      </c>
      <c r="D3935" s="39">
        <f t="shared" si="127"/>
        <v>23.676300578034681</v>
      </c>
    </row>
    <row r="3936" spans="2:4" ht="15" x14ac:dyDescent="0.15">
      <c r="B3936" s="38">
        <v>15696</v>
      </c>
      <c r="C3936" s="39">
        <f t="shared" si="126"/>
        <v>27.536630021204509</v>
      </c>
      <c r="D3936" s="39">
        <f t="shared" si="127"/>
        <v>23.813953488372093</v>
      </c>
    </row>
    <row r="3937" spans="2:4" ht="15" x14ac:dyDescent="0.15">
      <c r="B3937" s="38">
        <v>15700</v>
      </c>
      <c r="C3937" s="39">
        <f t="shared" si="126"/>
        <v>27.587276751512412</v>
      </c>
      <c r="D3937" s="39">
        <f t="shared" si="127"/>
        <v>23.953216374269005</v>
      </c>
    </row>
    <row r="3938" spans="2:4" ht="15" x14ac:dyDescent="0.15">
      <c r="B3938" s="38">
        <v>15704</v>
      </c>
      <c r="C3938" s="39">
        <f t="shared" si="126"/>
        <v>27.638220531790012</v>
      </c>
      <c r="D3938" s="39">
        <f t="shared" si="127"/>
        <v>24.094117647058823</v>
      </c>
    </row>
    <row r="3939" spans="2:4" ht="15" x14ac:dyDescent="0.15">
      <c r="B3939" s="38">
        <v>15708</v>
      </c>
      <c r="C3939" s="39">
        <f t="shared" si="126"/>
        <v>27.689464867082016</v>
      </c>
      <c r="D3939" s="39">
        <f t="shared" si="127"/>
        <v>24.236686390532544</v>
      </c>
    </row>
    <row r="3940" spans="2:4" ht="15" x14ac:dyDescent="0.15">
      <c r="B3940" s="38">
        <v>15712</v>
      </c>
      <c r="C3940" s="39">
        <f t="shared" si="126"/>
        <v>27.741013324838232</v>
      </c>
      <c r="D3940" s="39">
        <f t="shared" si="127"/>
        <v>24.38095238095238</v>
      </c>
    </row>
    <row r="3941" spans="2:4" ht="15" x14ac:dyDescent="0.15">
      <c r="B3941" s="38">
        <v>15716</v>
      </c>
      <c r="C3941" s="39">
        <f t="shared" si="126"/>
        <v>27.792869536403821</v>
      </c>
      <c r="D3941" s="39">
        <f t="shared" si="127"/>
        <v>24.526946107784433</v>
      </c>
    </row>
    <row r="3942" spans="2:4" ht="15" x14ac:dyDescent="0.15">
      <c r="B3942" s="38">
        <v>15720</v>
      </c>
      <c r="C3942" s="39">
        <f t="shared" si="126"/>
        <v>27.845037198554383</v>
      </c>
      <c r="D3942" s="39">
        <f t="shared" si="127"/>
        <v>24.674698795180724</v>
      </c>
    </row>
    <row r="3943" spans="2:4" ht="15" x14ac:dyDescent="0.15">
      <c r="B3943" s="38">
        <v>15724</v>
      </c>
      <c r="C3943" s="39">
        <f t="shared" si="126"/>
        <v>27.897520075077363</v>
      </c>
      <c r="D3943" s="39">
        <f t="shared" si="127"/>
        <v>24.824242424242424</v>
      </c>
    </row>
    <row r="3944" spans="2:4" ht="15" x14ac:dyDescent="0.15">
      <c r="B3944" s="38">
        <v>15728</v>
      </c>
      <c r="C3944" s="39">
        <f t="shared" si="126"/>
        <v>27.950321998401527</v>
      </c>
      <c r="D3944" s="39">
        <f t="shared" si="127"/>
        <v>24.975609756097562</v>
      </c>
    </row>
    <row r="3945" spans="2:4" ht="15" x14ac:dyDescent="0.15">
      <c r="B3945" s="38">
        <v>15732</v>
      </c>
      <c r="C3945" s="39">
        <f t="shared" si="126"/>
        <v>28.003446871276331</v>
      </c>
      <c r="D3945" s="39">
        <f t="shared" si="127"/>
        <v>25.128834355828221</v>
      </c>
    </row>
    <row r="3946" spans="2:4" ht="15" x14ac:dyDescent="0.15">
      <c r="B3946" s="38">
        <v>15736</v>
      </c>
      <c r="C3946" s="39">
        <f t="shared" si="126"/>
        <v>28.056898668502868</v>
      </c>
      <c r="D3946" s="39">
        <f t="shared" si="127"/>
        <v>25.283950617283949</v>
      </c>
    </row>
    <row r="3947" spans="2:4" ht="15" x14ac:dyDescent="0.15">
      <c r="B3947" s="38">
        <v>15740</v>
      </c>
      <c r="C3947" s="39">
        <f t="shared" si="126"/>
        <v>28.110681438718494</v>
      </c>
      <c r="D3947" s="39">
        <f t="shared" si="127"/>
        <v>25.440993788819874</v>
      </c>
    </row>
    <row r="3948" spans="2:4" ht="15" x14ac:dyDescent="0.15">
      <c r="B3948" s="38">
        <v>15744</v>
      </c>
      <c r="C3948" s="39">
        <f t="shared" si="126"/>
        <v>28.164799306236993</v>
      </c>
      <c r="D3948" s="39">
        <f t="shared" si="127"/>
        <v>25.6</v>
      </c>
    </row>
    <row r="3949" spans="2:4" ht="15" x14ac:dyDescent="0.15">
      <c r="B3949" s="38">
        <v>15748</v>
      </c>
      <c r="C3949" s="39">
        <f t="shared" si="126"/>
        <v>28.219256472946455</v>
      </c>
      <c r="D3949" s="39">
        <f t="shared" si="127"/>
        <v>25.761006289308177</v>
      </c>
    </row>
    <row r="3950" spans="2:4" ht="15" x14ac:dyDescent="0.15">
      <c r="B3950" s="38">
        <v>15752</v>
      </c>
      <c r="C3950" s="39">
        <f t="shared" si="126"/>
        <v>28.274057220267036</v>
      </c>
      <c r="D3950" s="39">
        <f t="shared" si="127"/>
        <v>25.924050632911392</v>
      </c>
    </row>
    <row r="3951" spans="2:4" ht="15" x14ac:dyDescent="0.15">
      <c r="B3951" s="38">
        <v>15756</v>
      </c>
      <c r="C3951" s="39">
        <f t="shared" si="126"/>
        <v>28.32920591117081</v>
      </c>
      <c r="D3951" s="39">
        <f t="shared" si="127"/>
        <v>26.089171974522294</v>
      </c>
    </row>
    <row r="3952" spans="2:4" ht="15" x14ac:dyDescent="0.15">
      <c r="B3952" s="38">
        <v>15760</v>
      </c>
      <c r="C3952" s="39">
        <f t="shared" si="126"/>
        <v>28.384706992266256</v>
      </c>
      <c r="D3952" s="39">
        <f t="shared" si="127"/>
        <v>26.256410256410255</v>
      </c>
    </row>
    <row r="3953" spans="2:4" ht="15" x14ac:dyDescent="0.15">
      <c r="B3953" s="38">
        <v>15764</v>
      </c>
      <c r="C3953" s="39">
        <f t="shared" si="126"/>
        <v>28.440564995949657</v>
      </c>
      <c r="D3953" s="39">
        <f t="shared" si="127"/>
        <v>26.425806451612903</v>
      </c>
    </row>
    <row r="3954" spans="2:4" ht="15" x14ac:dyDescent="0.15">
      <c r="B3954" s="38">
        <v>15768</v>
      </c>
      <c r="C3954" s="39">
        <f t="shared" si="126"/>
        <v>28.496784542626227</v>
      </c>
      <c r="D3954" s="39">
        <f t="shared" si="127"/>
        <v>26.597402597402599</v>
      </c>
    </row>
    <row r="3955" spans="2:4" ht="15" x14ac:dyDescent="0.15">
      <c r="B3955" s="38">
        <v>15772</v>
      </c>
      <c r="C3955" s="39">
        <f t="shared" si="126"/>
        <v>28.553370343003511</v>
      </c>
      <c r="D3955" s="39">
        <f t="shared" si="127"/>
        <v>26.77124183006536</v>
      </c>
    </row>
    <row r="3956" spans="2:4" ht="15" x14ac:dyDescent="0.15">
      <c r="B3956" s="38">
        <v>15776</v>
      </c>
      <c r="C3956" s="39">
        <f t="shared" si="126"/>
        <v>28.610327200460034</v>
      </c>
      <c r="D3956" s="39">
        <f t="shared" si="127"/>
        <v>26.94736842105263</v>
      </c>
    </row>
    <row r="3957" spans="2:4" ht="15" x14ac:dyDescent="0.15">
      <c r="B3957" s="38">
        <v>15780</v>
      </c>
      <c r="C3957" s="39">
        <f t="shared" si="126"/>
        <v>28.667660013492096</v>
      </c>
      <c r="D3957" s="39">
        <f t="shared" si="127"/>
        <v>27.125827814569536</v>
      </c>
    </row>
    <row r="3958" spans="2:4" ht="15" x14ac:dyDescent="0.15">
      <c r="B3958" s="38">
        <v>15784</v>
      </c>
      <c r="C3958" s="39">
        <f t="shared" si="126"/>
        <v>28.72537377824186</v>
      </c>
      <c r="D3958" s="39">
        <f t="shared" si="127"/>
        <v>27.306666666666668</v>
      </c>
    </row>
    <row r="3959" spans="2:4" ht="15" x14ac:dyDescent="0.15">
      <c r="B3959" s="38">
        <v>15788</v>
      </c>
      <c r="C3959" s="39">
        <f t="shared" si="126"/>
        <v>28.783473591110006</v>
      </c>
      <c r="D3959" s="39">
        <f t="shared" si="127"/>
        <v>27.48993288590604</v>
      </c>
    </row>
    <row r="3960" spans="2:4" ht="15" x14ac:dyDescent="0.15">
      <c r="B3960" s="38">
        <v>15792</v>
      </c>
      <c r="C3960" s="39">
        <f t="shared" si="126"/>
        <v>28.841964651456337</v>
      </c>
      <c r="D3960" s="39">
        <f t="shared" si="127"/>
        <v>27.675675675675677</v>
      </c>
    </row>
    <row r="3961" spans="2:4" ht="15" x14ac:dyDescent="0.15">
      <c r="B3961" s="38">
        <v>15796</v>
      </c>
      <c r="C3961" s="39">
        <f t="shared" si="126"/>
        <v>28.900852264391965</v>
      </c>
      <c r="D3961" s="39">
        <f t="shared" si="127"/>
        <v>27.863945578231291</v>
      </c>
    </row>
    <row r="3962" spans="2:4" ht="15" x14ac:dyDescent="0.15">
      <c r="B3962" s="38">
        <v>15800</v>
      </c>
      <c r="C3962" s="39">
        <f t="shared" si="126"/>
        <v>28.960141843666744</v>
      </c>
      <c r="D3962" s="39">
        <f t="shared" si="127"/>
        <v>28.054794520547944</v>
      </c>
    </row>
    <row r="3963" spans="2:4" ht="15" x14ac:dyDescent="0.15">
      <c r="B3963" s="38">
        <v>15804</v>
      </c>
      <c r="C3963" s="39">
        <f t="shared" si="126"/>
        <v>29.019838914655992</v>
      </c>
      <c r="D3963" s="39">
        <f t="shared" si="127"/>
        <v>28.248275862068965</v>
      </c>
    </row>
    <row r="3964" spans="2:4" ht="15" x14ac:dyDescent="0.15">
      <c r="B3964" s="38">
        <v>15808</v>
      </c>
      <c r="C3964" s="39">
        <f t="shared" si="126"/>
        <v>29.079949117450493</v>
      </c>
      <c r="D3964" s="39">
        <f t="shared" si="127"/>
        <v>28.444444444444443</v>
      </c>
    </row>
    <row r="3965" spans="2:4" ht="15" x14ac:dyDescent="0.15">
      <c r="B3965" s="38">
        <v>15812</v>
      </c>
      <c r="C3965" s="39">
        <f t="shared" si="126"/>
        <v>29.140478210054251</v>
      </c>
      <c r="D3965" s="39">
        <f t="shared" si="127"/>
        <v>28.643356643356643</v>
      </c>
    </row>
    <row r="3966" spans="2:4" ht="15" x14ac:dyDescent="0.15">
      <c r="B3966" s="38">
        <v>15816</v>
      </c>
      <c r="C3966" s="39">
        <f t="shared" si="126"/>
        <v>29.201432071694356</v>
      </c>
      <c r="D3966" s="39">
        <f t="shared" si="127"/>
        <v>28.845070422535212</v>
      </c>
    </row>
    <row r="3967" spans="2:4" ht="15" x14ac:dyDescent="0.15">
      <c r="B3967" s="38">
        <v>15820</v>
      </c>
      <c r="C3967" s="39">
        <f t="shared" si="126"/>
        <v>29.262816706247889</v>
      </c>
      <c r="D3967" s="39">
        <f t="shared" si="127"/>
        <v>29.049645390070921</v>
      </c>
    </row>
    <row r="3968" spans="2:4" ht="15" x14ac:dyDescent="0.15">
      <c r="B3968" s="38">
        <v>15824</v>
      </c>
      <c r="C3968" s="39">
        <f t="shared" si="126"/>
        <v>29.324638245790723</v>
      </c>
      <c r="D3968" s="39">
        <f t="shared" si="127"/>
        <v>29.257142857142856</v>
      </c>
    </row>
    <row r="3969" spans="2:4" ht="15" x14ac:dyDescent="0.15">
      <c r="B3969" s="38">
        <v>15828</v>
      </c>
      <c r="C3969" s="39">
        <f t="shared" si="126"/>
        <v>29.386902954273584</v>
      </c>
      <c r="D3969" s="39">
        <f t="shared" si="127"/>
        <v>29.467625899280577</v>
      </c>
    </row>
    <row r="3970" spans="2:4" ht="15" x14ac:dyDescent="0.15">
      <c r="B3970" s="38">
        <v>15832</v>
      </c>
      <c r="C3970" s="39">
        <f t="shared" si="126"/>
        <v>29.449617231330759</v>
      </c>
      <c r="D3970" s="39">
        <f t="shared" si="127"/>
        <v>29.681159420289855</v>
      </c>
    </row>
    <row r="3971" spans="2:4" ht="15" x14ac:dyDescent="0.15">
      <c r="B3971" s="38">
        <v>15836</v>
      </c>
      <c r="C3971" s="39">
        <f t="shared" si="126"/>
        <v>29.512787616227349</v>
      </c>
      <c r="D3971" s="39">
        <f t="shared" si="127"/>
        <v>29.897810218978101</v>
      </c>
    </row>
    <row r="3972" spans="2:4" ht="15" x14ac:dyDescent="0.15">
      <c r="B3972" s="38">
        <v>15840</v>
      </c>
      <c r="C3972" s="39">
        <f t="shared" si="126"/>
        <v>29.576420791951136</v>
      </c>
      <c r="D3972" s="39">
        <f t="shared" si="127"/>
        <v>30.117647058823529</v>
      </c>
    </row>
    <row r="3973" spans="2:4" ht="15" x14ac:dyDescent="0.15">
      <c r="B3973" s="38">
        <v>15844</v>
      </c>
      <c r="C3973" s="39">
        <f t="shared" si="126"/>
        <v>29.640523589455366</v>
      </c>
      <c r="D3973" s="39">
        <f t="shared" si="127"/>
        <v>30.340740740740742</v>
      </c>
    </row>
    <row r="3974" spans="2:4" ht="15" x14ac:dyDescent="0.15">
      <c r="B3974" s="38">
        <v>15848</v>
      </c>
      <c r="C3974" s="39">
        <f t="shared" ref="C3974:C4037" si="128">20*LOG(D3974)</f>
        <v>29.705102992059334</v>
      </c>
      <c r="D3974" s="39">
        <f t="shared" ref="D3974:D4037" si="129">16384/(16384-B3974)</f>
        <v>30.567164179104477</v>
      </c>
    </row>
    <row r="3975" spans="2:4" ht="15" x14ac:dyDescent="0.15">
      <c r="B3975" s="38">
        <v>15852</v>
      </c>
      <c r="C3975" s="39">
        <f t="shared" si="128"/>
        <v>29.770166140013771</v>
      </c>
      <c r="D3975" s="39">
        <f t="shared" si="129"/>
        <v>30.796992481203006</v>
      </c>
    </row>
    <row r="3976" spans="2:4" ht="15" x14ac:dyDescent="0.15">
      <c r="B3976" s="38">
        <v>15856</v>
      </c>
      <c r="C3976" s="39">
        <f t="shared" si="128"/>
        <v>29.835720335238491</v>
      </c>
      <c r="D3976" s="39">
        <f t="shared" si="129"/>
        <v>31.030303030303031</v>
      </c>
    </row>
    <row r="3977" spans="2:4" ht="15" x14ac:dyDescent="0.15">
      <c r="B3977" s="38">
        <v>15860</v>
      </c>
      <c r="C3977" s="39">
        <f t="shared" si="128"/>
        <v>29.901773046240201</v>
      </c>
      <c r="D3977" s="39">
        <f t="shared" si="129"/>
        <v>31.267175572519083</v>
      </c>
    </row>
    <row r="3978" spans="2:4" ht="15" x14ac:dyDescent="0.15">
      <c r="B3978" s="38">
        <v>15864</v>
      </c>
      <c r="C3978" s="39">
        <f t="shared" si="128"/>
        <v>29.968331913218755</v>
      </c>
      <c r="D3978" s="39">
        <f t="shared" si="129"/>
        <v>31.507692307692309</v>
      </c>
    </row>
    <row r="3979" spans="2:4" ht="15" x14ac:dyDescent="0.15">
      <c r="B3979" s="38">
        <v>15868</v>
      </c>
      <c r="C3979" s="39">
        <f t="shared" si="128"/>
        <v>30.035404753370507</v>
      </c>
      <c r="D3979" s="39">
        <f t="shared" si="129"/>
        <v>31.751937984496124</v>
      </c>
    </row>
    <row r="3980" spans="2:4" ht="15" x14ac:dyDescent="0.15">
      <c r="B3980" s="38">
        <v>15872</v>
      </c>
      <c r="C3980" s="39">
        <f t="shared" si="128"/>
        <v>30.102999566398122</v>
      </c>
      <c r="D3980" s="39">
        <f t="shared" si="129"/>
        <v>32</v>
      </c>
    </row>
    <row r="3981" spans="2:4" ht="15" x14ac:dyDescent="0.15">
      <c r="B3981" s="38">
        <v>15876</v>
      </c>
      <c r="C3981" s="39">
        <f t="shared" si="128"/>
        <v>30.171124540236352</v>
      </c>
      <c r="D3981" s="39">
        <f t="shared" si="129"/>
        <v>32.251968503937007</v>
      </c>
    </row>
    <row r="3982" spans="2:4" ht="15" x14ac:dyDescent="0.15">
      <c r="B3982" s="38">
        <v>15880</v>
      </c>
      <c r="C3982" s="39">
        <f t="shared" si="128"/>
        <v>30.23978805700423</v>
      </c>
      <c r="D3982" s="39">
        <f t="shared" si="129"/>
        <v>32.507936507936506</v>
      </c>
    </row>
    <row r="3983" spans="2:4" ht="15" x14ac:dyDescent="0.15">
      <c r="B3983" s="38">
        <v>15884</v>
      </c>
      <c r="C3983" s="39">
        <f t="shared" si="128"/>
        <v>30.308998699194358</v>
      </c>
      <c r="D3983" s="39">
        <f t="shared" si="129"/>
        <v>32.768000000000001</v>
      </c>
    </row>
    <row r="3984" spans="2:4" ht="15" x14ac:dyDescent="0.15">
      <c r="B3984" s="38">
        <v>15888</v>
      </c>
      <c r="C3984" s="39">
        <f t="shared" si="128"/>
        <v>30.378765256110785</v>
      </c>
      <c r="D3984" s="39">
        <f t="shared" si="129"/>
        <v>33.032258064516128</v>
      </c>
    </row>
    <row r="3985" spans="2:4" ht="15" x14ac:dyDescent="0.15">
      <c r="B3985" s="38">
        <v>15892</v>
      </c>
      <c r="C3985" s="39">
        <f t="shared" si="128"/>
        <v>30.449096730567533</v>
      </c>
      <c r="D3985" s="39">
        <f t="shared" si="129"/>
        <v>33.300813008130085</v>
      </c>
    </row>
    <row r="3986" spans="2:4" ht="15" x14ac:dyDescent="0.15">
      <c r="B3986" s="38">
        <v>15896</v>
      </c>
      <c r="C3986" s="39">
        <f t="shared" si="128"/>
        <v>30.520002345860526</v>
      </c>
      <c r="D3986" s="39">
        <f t="shared" si="129"/>
        <v>33.57377049180328</v>
      </c>
    </row>
    <row r="3987" spans="2:4" ht="15" x14ac:dyDescent="0.15">
      <c r="B3987" s="38">
        <v>15900</v>
      </c>
      <c r="C3987" s="39">
        <f t="shared" si="128"/>
        <v>30.591491553026486</v>
      </c>
      <c r="D3987" s="39">
        <f t="shared" si="129"/>
        <v>33.851239669421489</v>
      </c>
    </row>
    <row r="3988" spans="2:4" ht="15" x14ac:dyDescent="0.15">
      <c r="B3988" s="38">
        <v>15904</v>
      </c>
      <c r="C3988" s="39">
        <f t="shared" si="128"/>
        <v>30.663574038402992</v>
      </c>
      <c r="D3988" s="39">
        <f t="shared" si="129"/>
        <v>34.133333333333333</v>
      </c>
    </row>
    <row r="3989" spans="2:4" ht="15" x14ac:dyDescent="0.15">
      <c r="B3989" s="38">
        <v>15908</v>
      </c>
      <c r="C3989" s="39">
        <f t="shared" si="128"/>
        <v>30.736259731504873</v>
      </c>
      <c r="D3989" s="39">
        <f t="shared" si="129"/>
        <v>34.420168067226889</v>
      </c>
    </row>
    <row r="3990" spans="2:4" ht="15" x14ac:dyDescent="0.15">
      <c r="B3990" s="38">
        <v>15912</v>
      </c>
      <c r="C3990" s="39">
        <f t="shared" si="128"/>
        <v>30.809558813232979</v>
      </c>
      <c r="D3990" s="39">
        <f t="shared" si="129"/>
        <v>34.711864406779661</v>
      </c>
    </row>
    <row r="3991" spans="2:4" ht="15" x14ac:dyDescent="0.15">
      <c r="B3991" s="38">
        <v>15916</v>
      </c>
      <c r="C3991" s="39">
        <f t="shared" si="128"/>
        <v>30.883481724432254</v>
      </c>
      <c r="D3991" s="39">
        <f t="shared" si="129"/>
        <v>35.008547008547012</v>
      </c>
    </row>
    <row r="3992" spans="2:4" ht="15" x14ac:dyDescent="0.15">
      <c r="B3992" s="38">
        <v>15920</v>
      </c>
      <c r="C3992" s="39">
        <f t="shared" si="128"/>
        <v>30.958039174817117</v>
      </c>
      <c r="D3992" s="39">
        <f t="shared" si="129"/>
        <v>35.310344827586206</v>
      </c>
    </row>
    <row r="3993" spans="2:4" ht="15" x14ac:dyDescent="0.15">
      <c r="B3993" s="38">
        <v>15924</v>
      </c>
      <c r="C3993" s="39">
        <f t="shared" si="128"/>
        <v>31.03324215228325</v>
      </c>
      <c r="D3993" s="39">
        <f t="shared" si="129"/>
        <v>35.617391304347827</v>
      </c>
    </row>
    <row r="3994" spans="2:4" ht="15" x14ac:dyDescent="0.15">
      <c r="B3994" s="38">
        <v>15928</v>
      </c>
      <c r="C3994" s="39">
        <f t="shared" si="128"/>
        <v>31.109101932626032</v>
      </c>
      <c r="D3994" s="39">
        <f t="shared" si="129"/>
        <v>35.929824561403507</v>
      </c>
    </row>
    <row r="3995" spans="2:4" ht="15" x14ac:dyDescent="0.15">
      <c r="B3995" s="38">
        <v>15932</v>
      </c>
      <c r="C3995" s="39">
        <f t="shared" si="128"/>
        <v>31.185630089687095</v>
      </c>
      <c r="D3995" s="39">
        <f t="shared" si="129"/>
        <v>36.247787610619469</v>
      </c>
    </row>
    <row r="3996" spans="2:4" ht="15" x14ac:dyDescent="0.15">
      <c r="B3996" s="38">
        <v>15936</v>
      </c>
      <c r="C3996" s="39">
        <f t="shared" si="128"/>
        <v>31.262838505951855</v>
      </c>
      <c r="D3996" s="39">
        <f t="shared" si="129"/>
        <v>36.571428571428569</v>
      </c>
    </row>
    <row r="3997" spans="2:4" ht="15" x14ac:dyDescent="0.15">
      <c r="B3997" s="38">
        <v>15940</v>
      </c>
      <c r="C3997" s="39">
        <f t="shared" si="128"/>
        <v>31.340739383622342</v>
      </c>
      <c r="D3997" s="39">
        <f t="shared" si="129"/>
        <v>36.900900900900901</v>
      </c>
    </row>
    <row r="3998" spans="2:4" ht="15" x14ac:dyDescent="0.15">
      <c r="B3998" s="38">
        <v>15944</v>
      </c>
      <c r="C3998" s="39">
        <f t="shared" si="128"/>
        <v>31.419345256190987</v>
      </c>
      <c r="D3998" s="39">
        <f t="shared" si="129"/>
        <v>37.236363636363635</v>
      </c>
    </row>
    <row r="3999" spans="2:4" ht="15" x14ac:dyDescent="0.15">
      <c r="B3999" s="38">
        <v>15948</v>
      </c>
      <c r="C3999" s="39">
        <f t="shared" si="128"/>
        <v>31.498669000543018</v>
      </c>
      <c r="D3999" s="39">
        <f t="shared" si="129"/>
        <v>37.577981651376149</v>
      </c>
    </row>
    <row r="4000" spans="2:4" ht="15" x14ac:dyDescent="0.15">
      <c r="B4000" s="38">
        <v>15952</v>
      </c>
      <c r="C4000" s="39">
        <f t="shared" si="128"/>
        <v>31.578723849616491</v>
      </c>
      <c r="D4000" s="39">
        <f t="shared" si="129"/>
        <v>37.925925925925924</v>
      </c>
    </row>
    <row r="4001" spans="2:4" ht="15" x14ac:dyDescent="0.15">
      <c r="B4001" s="38">
        <v>15956</v>
      </c>
      <c r="C4001" s="39">
        <f t="shared" si="128"/>
        <v>31.659523405651292</v>
      </c>
      <c r="D4001" s="39">
        <f t="shared" si="129"/>
        <v>38.280373831775698</v>
      </c>
    </row>
    <row r="4002" spans="2:4" ht="15" x14ac:dyDescent="0.15">
      <c r="B4002" s="38">
        <v>15960</v>
      </c>
      <c r="C4002" s="39">
        <f t="shared" si="128"/>
        <v>31.741081654060082</v>
      </c>
      <c r="D4002" s="39">
        <f t="shared" si="129"/>
        <v>38.641509433962263</v>
      </c>
    </row>
    <row r="4003" spans="2:4" ht="15" x14ac:dyDescent="0.15">
      <c r="B4003" s="38">
        <v>15964</v>
      </c>
      <c r="C4003" s="39">
        <f t="shared" si="128"/>
        <v>31.823412977956728</v>
      </c>
      <c r="D4003" s="39">
        <f t="shared" si="129"/>
        <v>39.009523809523813</v>
      </c>
    </row>
    <row r="4004" spans="2:4" ht="15" x14ac:dyDescent="0.15">
      <c r="B4004" s="38">
        <v>15968</v>
      </c>
      <c r="C4004" s="39">
        <f t="shared" si="128"/>
        <v>31.906532173379883</v>
      </c>
      <c r="D4004" s="39">
        <f t="shared" si="129"/>
        <v>39.384615384615387</v>
      </c>
    </row>
    <row r="4005" spans="2:4" ht="15" x14ac:dyDescent="0.15">
      <c r="B4005" s="38">
        <v>15972</v>
      </c>
      <c r="C4005" s="39">
        <f t="shared" si="128"/>
        <v>31.990454465252043</v>
      </c>
      <c r="D4005" s="39">
        <f t="shared" si="129"/>
        <v>39.766990291262132</v>
      </c>
    </row>
    <row r="4006" spans="2:4" ht="15" x14ac:dyDescent="0.15">
      <c r="B4006" s="38">
        <v>15976</v>
      </c>
      <c r="C4006" s="39">
        <f t="shared" si="128"/>
        <v>32.075195524117134</v>
      </c>
      <c r="D4006" s="39">
        <f t="shared" si="129"/>
        <v>40.156862745098039</v>
      </c>
    </row>
    <row r="4007" spans="2:4" ht="15" x14ac:dyDescent="0.15">
      <c r="B4007" s="38">
        <v>15980</v>
      </c>
      <c r="C4007" s="39">
        <f t="shared" si="128"/>
        <v>32.160771483702632</v>
      </c>
      <c r="D4007" s="39">
        <f t="shared" si="129"/>
        <v>40.554455445544555</v>
      </c>
    </row>
    <row r="4008" spans="2:4" ht="15" x14ac:dyDescent="0.15">
      <c r="B4008" s="38">
        <v>15984</v>
      </c>
      <c r="C4008" s="39">
        <f t="shared" si="128"/>
        <v>32.247198959355487</v>
      </c>
      <c r="D4008" s="39">
        <f t="shared" si="129"/>
        <v>40.96</v>
      </c>
    </row>
    <row r="4009" spans="2:4" ht="15" x14ac:dyDescent="0.15">
      <c r="B4009" s="38">
        <v>15988</v>
      </c>
      <c r="C4009" s="39">
        <f t="shared" si="128"/>
        <v>32.33449506740449</v>
      </c>
      <c r="D4009" s="39">
        <f t="shared" si="129"/>
        <v>41.373737373737377</v>
      </c>
    </row>
    <row r="4010" spans="2:4" ht="15" x14ac:dyDescent="0.15">
      <c r="B4010" s="38">
        <v>15992</v>
      </c>
      <c r="C4010" s="39">
        <f t="shared" si="128"/>
        <v>32.422677445505592</v>
      </c>
      <c r="D4010" s="39">
        <f t="shared" si="129"/>
        <v>41.795918367346935</v>
      </c>
    </row>
    <row r="4011" spans="2:4" ht="15" x14ac:dyDescent="0.15">
      <c r="B4011" s="38">
        <v>15996</v>
      </c>
      <c r="C4011" s="39">
        <f t="shared" si="128"/>
        <v>32.51176427403059</v>
      </c>
      <c r="D4011" s="39">
        <f t="shared" si="129"/>
        <v>42.226804123711339</v>
      </c>
    </row>
    <row r="4012" spans="2:4" ht="15" x14ac:dyDescent="0.15">
      <c r="B4012" s="38">
        <v>16000</v>
      </c>
      <c r="C4012" s="39">
        <f t="shared" si="128"/>
        <v>32.601774298564116</v>
      </c>
      <c r="D4012" s="39">
        <f t="shared" si="129"/>
        <v>42.666666666666664</v>
      </c>
    </row>
    <row r="4013" spans="2:4" ht="15" x14ac:dyDescent="0.15">
      <c r="B4013" s="38">
        <v>16004</v>
      </c>
      <c r="C4013" s="39">
        <f t="shared" si="128"/>
        <v>32.692726853578534</v>
      </c>
      <c r="D4013" s="39">
        <f t="shared" si="129"/>
        <v>43.11578947368421</v>
      </c>
    </row>
    <row r="4014" spans="2:4" ht="15" x14ac:dyDescent="0.15">
      <c r="B4014" s="38">
        <v>16008</v>
      </c>
      <c r="C4014" s="39">
        <f t="shared" si="128"/>
        <v>32.784641887361509</v>
      </c>
      <c r="D4014" s="39">
        <f t="shared" si="129"/>
        <v>43.574468085106382</v>
      </c>
    </row>
    <row r="4015" spans="2:4" ht="15" x14ac:dyDescent="0.15">
      <c r="B4015" s="38">
        <v>16012</v>
      </c>
      <c r="C4015" s="39">
        <f t="shared" si="128"/>
        <v>32.877539988276787</v>
      </c>
      <c r="D4015" s="39">
        <f t="shared" si="129"/>
        <v>44.043010752688176</v>
      </c>
    </row>
    <row r="4016" spans="2:4" ht="15" x14ac:dyDescent="0.15">
      <c r="B4016" s="38">
        <v>16016</v>
      </c>
      <c r="C4016" s="39">
        <f t="shared" si="128"/>
        <v>32.971442412444382</v>
      </c>
      <c r="D4016" s="39">
        <f t="shared" si="129"/>
        <v>44.521739130434781</v>
      </c>
    </row>
    <row r="4017" spans="2:4" ht="15" x14ac:dyDescent="0.15">
      <c r="B4017" s="38">
        <v>16020</v>
      </c>
      <c r="C4017" s="39">
        <f t="shared" si="128"/>
        <v>33.066371112933616</v>
      </c>
      <c r="D4017" s="39">
        <f t="shared" si="129"/>
        <v>45.010989010989015</v>
      </c>
    </row>
    <row r="4018" spans="2:4" ht="15" x14ac:dyDescent="0.15">
      <c r="B4018" s="38">
        <v>16024</v>
      </c>
      <c r="C4018" s="39">
        <f t="shared" si="128"/>
        <v>33.16234877056899</v>
      </c>
      <c r="D4018" s="39">
        <f t="shared" si="129"/>
        <v>45.511111111111113</v>
      </c>
    </row>
    <row r="4019" spans="2:4" ht="15" x14ac:dyDescent="0.15">
      <c r="B4019" s="38">
        <v>16028</v>
      </c>
      <c r="C4019" s="39">
        <f t="shared" si="128"/>
        <v>33.259398826457229</v>
      </c>
      <c r="D4019" s="39">
        <f t="shared" si="129"/>
        <v>46.022471910112358</v>
      </c>
    </row>
    <row r="4020" spans="2:4" ht="15" x14ac:dyDescent="0.15">
      <c r="B4020" s="38">
        <v>16032</v>
      </c>
      <c r="C4020" s="39">
        <f t="shared" si="128"/>
        <v>33.357545516352111</v>
      </c>
      <c r="D4020" s="39">
        <f t="shared" si="129"/>
        <v>46.545454545454547</v>
      </c>
    </row>
    <row r="4021" spans="2:4" ht="15" x14ac:dyDescent="0.15">
      <c r="B4021" s="38">
        <v>16036</v>
      </c>
      <c r="C4021" s="39">
        <f t="shared" si="128"/>
        <v>33.456813906983115</v>
      </c>
      <c r="D4021" s="39">
        <f t="shared" si="129"/>
        <v>47.080459770114942</v>
      </c>
    </row>
    <row r="4022" spans="2:4" ht="15" x14ac:dyDescent="0.15">
      <c r="B4022" s="38">
        <v>16040</v>
      </c>
      <c r="C4022" s="39">
        <f t="shared" si="128"/>
        <v>33.557229934484134</v>
      </c>
      <c r="D4022" s="39">
        <f t="shared" si="129"/>
        <v>47.627906976744185</v>
      </c>
    </row>
    <row r="4023" spans="2:4" ht="15" x14ac:dyDescent="0.15">
      <c r="B4023" s="38">
        <v>16044</v>
      </c>
      <c r="C4023" s="39">
        <f t="shared" si="128"/>
        <v>33.65882044506963</v>
      </c>
      <c r="D4023" s="39">
        <f t="shared" si="129"/>
        <v>48.188235294117646</v>
      </c>
    </row>
    <row r="4024" spans="2:4" ht="15" x14ac:dyDescent="0.15">
      <c r="B4024" s="38">
        <v>16048</v>
      </c>
      <c r="C4024" s="39">
        <f t="shared" si="128"/>
        <v>33.761613238117853</v>
      </c>
      <c r="D4024" s="39">
        <f t="shared" si="129"/>
        <v>48.761904761904759</v>
      </c>
    </row>
    <row r="4025" spans="2:4" ht="15" x14ac:dyDescent="0.15">
      <c r="B4025" s="38">
        <v>16052</v>
      </c>
      <c r="C4025" s="39">
        <f t="shared" si="128"/>
        <v>33.865637111834005</v>
      </c>
      <c r="D4025" s="39">
        <f t="shared" si="129"/>
        <v>49.349397590361448</v>
      </c>
    </row>
    <row r="4026" spans="2:4" ht="15" x14ac:dyDescent="0.15">
      <c r="B4026" s="38">
        <v>16056</v>
      </c>
      <c r="C4026" s="39">
        <f t="shared" si="128"/>
        <v>33.970921911681152</v>
      </c>
      <c r="D4026" s="39">
        <f t="shared" si="129"/>
        <v>49.951219512195124</v>
      </c>
    </row>
    <row r="4027" spans="2:4" ht="15" x14ac:dyDescent="0.15">
      <c r="B4027" s="38">
        <v>16060</v>
      </c>
      <c r="C4027" s="39">
        <f t="shared" si="128"/>
        <v>34.077498581782493</v>
      </c>
      <c r="D4027" s="39">
        <f t="shared" si="129"/>
        <v>50.567901234567898</v>
      </c>
    </row>
    <row r="4028" spans="2:4" ht="15" x14ac:dyDescent="0.15">
      <c r="B4028" s="38">
        <v>16064</v>
      </c>
      <c r="C4028" s="39">
        <f t="shared" si="128"/>
        <v>34.185399219516619</v>
      </c>
      <c r="D4028" s="39">
        <f t="shared" si="129"/>
        <v>51.2</v>
      </c>
    </row>
    <row r="4029" spans="2:4" ht="15" x14ac:dyDescent="0.15">
      <c r="B4029" s="38">
        <v>16068</v>
      </c>
      <c r="C4029" s="39">
        <f t="shared" si="128"/>
        <v>34.294657133546657</v>
      </c>
      <c r="D4029" s="39">
        <f t="shared" si="129"/>
        <v>51.848101265822784</v>
      </c>
    </row>
    <row r="4030" spans="2:4" ht="15" x14ac:dyDescent="0.15">
      <c r="B4030" s="38">
        <v>16072</v>
      </c>
      <c r="C4030" s="39">
        <f t="shared" si="128"/>
        <v>34.405306905545878</v>
      </c>
      <c r="D4030" s="39">
        <f t="shared" si="129"/>
        <v>52.512820512820511</v>
      </c>
    </row>
    <row r="4031" spans="2:4" ht="15" x14ac:dyDescent="0.15">
      <c r="B4031" s="38">
        <v>16076</v>
      </c>
      <c r="C4031" s="39">
        <f t="shared" si="128"/>
        <v>34.517384455905848</v>
      </c>
      <c r="D4031" s="39">
        <f t="shared" si="129"/>
        <v>53.194805194805198</v>
      </c>
    </row>
    <row r="4032" spans="2:4" ht="15" x14ac:dyDescent="0.15">
      <c r="B4032" s="38">
        <v>16080</v>
      </c>
      <c r="C4032" s="39">
        <f t="shared" si="128"/>
        <v>34.630927113739659</v>
      </c>
      <c r="D4032" s="39">
        <f t="shared" si="129"/>
        <v>53.89473684210526</v>
      </c>
    </row>
    <row r="4033" spans="2:4" ht="15" x14ac:dyDescent="0.15">
      <c r="B4033" s="38">
        <v>16084</v>
      </c>
      <c r="C4033" s="39">
        <f t="shared" si="128"/>
        <v>34.745973691521485</v>
      </c>
      <c r="D4033" s="39">
        <f t="shared" si="129"/>
        <v>54.613333333333337</v>
      </c>
    </row>
    <row r="4034" spans="2:4" ht="15" x14ac:dyDescent="0.15">
      <c r="B4034" s="38">
        <v>16088</v>
      </c>
      <c r="C4034" s="39">
        <f t="shared" si="128"/>
        <v>34.862564564735962</v>
      </c>
      <c r="D4034" s="39">
        <f t="shared" si="129"/>
        <v>55.351351351351354</v>
      </c>
    </row>
    <row r="4035" spans="2:4" ht="15" x14ac:dyDescent="0.15">
      <c r="B4035" s="38">
        <v>16092</v>
      </c>
      <c r="C4035" s="39">
        <f t="shared" si="128"/>
        <v>34.980741756946372</v>
      </c>
      <c r="D4035" s="39">
        <f t="shared" si="129"/>
        <v>56.109589041095887</v>
      </c>
    </row>
    <row r="4036" spans="2:4" ht="15" x14ac:dyDescent="0.15">
      <c r="B4036" s="38">
        <v>16096</v>
      </c>
      <c r="C4036" s="39">
        <f t="shared" si="128"/>
        <v>35.100549030730114</v>
      </c>
      <c r="D4036" s="39">
        <f t="shared" si="129"/>
        <v>56.888888888888886</v>
      </c>
    </row>
    <row r="4037" spans="2:4" ht="15" x14ac:dyDescent="0.15">
      <c r="B4037" s="38">
        <v>16100</v>
      </c>
      <c r="C4037" s="39">
        <f t="shared" si="128"/>
        <v>35.222031984973981</v>
      </c>
      <c r="D4037" s="39">
        <f t="shared" si="129"/>
        <v>57.690140845070424</v>
      </c>
    </row>
    <row r="4038" spans="2:4" ht="15" x14ac:dyDescent="0.15">
      <c r="B4038" s="38">
        <v>16104</v>
      </c>
      <c r="C4038" s="39">
        <f t="shared" ref="C4038:C4044" si="130">20*LOG(D4038)</f>
        <v>35.345238159070348</v>
      </c>
      <c r="D4038" s="39">
        <f t="shared" ref="D4038:D4044" si="131">16384/(16384-B4038)</f>
        <v>58.514285714285712</v>
      </c>
    </row>
    <row r="4039" spans="2:4" ht="15" x14ac:dyDescent="0.15">
      <c r="B4039" s="38">
        <v>16108</v>
      </c>
      <c r="C4039" s="39">
        <f t="shared" si="130"/>
        <v>35.47021714461038</v>
      </c>
      <c r="D4039" s="39">
        <f t="shared" si="131"/>
        <v>59.362318840579711</v>
      </c>
    </row>
    <row r="4040" spans="2:4" ht="15" x14ac:dyDescent="0.15">
      <c r="B4040" s="38">
        <v>16112</v>
      </c>
      <c r="C4040" s="39">
        <f t="shared" si="130"/>
        <v>35.597020705230761</v>
      </c>
      <c r="D4040" s="39">
        <f t="shared" si="131"/>
        <v>60.235294117647058</v>
      </c>
    </row>
    <row r="4041" spans="2:4" ht="15" x14ac:dyDescent="0.15">
      <c r="B4041" s="38">
        <v>16116</v>
      </c>
      <c r="C4041" s="39">
        <f t="shared" si="130"/>
        <v>35.725702905338956</v>
      </c>
      <c r="D4041" s="39">
        <f t="shared" si="131"/>
        <v>61.134328358208954</v>
      </c>
    </row>
    <row r="4042" spans="2:4" ht="15" x14ac:dyDescent="0.15">
      <c r="B4042" s="38">
        <v>16120</v>
      </c>
      <c r="C4042" s="39">
        <f t="shared" si="130"/>
        <v>35.856320248518109</v>
      </c>
      <c r="D4042" s="39">
        <f t="shared" si="131"/>
        <v>62.060606060606062</v>
      </c>
    </row>
    <row r="4043" spans="2:4" ht="15" x14ac:dyDescent="0.15">
      <c r="B4043" s="38">
        <v>16124</v>
      </c>
      <c r="C4043" s="39">
        <f t="shared" si="130"/>
        <v>35.988931826498373</v>
      </c>
      <c r="D4043" s="39">
        <f t="shared" si="131"/>
        <v>63.015384615384619</v>
      </c>
    </row>
    <row r="4044" spans="2:4" ht="15" x14ac:dyDescent="0.15">
      <c r="B4044" s="38">
        <v>16128</v>
      </c>
      <c r="C4044" s="39">
        <f t="shared" si="130"/>
        <v>36.123599479677743</v>
      </c>
      <c r="D4044" s="39">
        <f t="shared" si="131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C1:O14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1" bestFit="1" customWidth="1"/>
    <col min="4" max="4" width="12.625" style="1" customWidth="1"/>
    <col min="5" max="15" width="3.875" style="1" customWidth="1"/>
    <col min="16" max="16384" width="9" style="1"/>
  </cols>
  <sheetData>
    <row r="1" spans="3:15" x14ac:dyDescent="0.25">
      <c r="G1" s="2"/>
      <c r="H1" s="2"/>
      <c r="I1" s="26"/>
      <c r="J1" s="26"/>
      <c r="K1" s="26"/>
      <c r="L1" s="26"/>
      <c r="M1" s="26"/>
      <c r="N1" s="26"/>
    </row>
    <row r="2" spans="3:15" x14ac:dyDescent="0.25">
      <c r="E2" s="26"/>
      <c r="F2" s="26"/>
      <c r="G2" s="26"/>
      <c r="H2" s="26"/>
      <c r="I2" s="26"/>
      <c r="J2" s="26"/>
    </row>
    <row r="4" spans="3:15" x14ac:dyDescent="0.15">
      <c r="D4" s="1" t="s">
        <v>74</v>
      </c>
    </row>
    <row r="5" spans="3:15" x14ac:dyDescent="0.15">
      <c r="D5" s="1" t="s">
        <v>89</v>
      </c>
    </row>
    <row r="6" spans="3:15" x14ac:dyDescent="0.15">
      <c r="E6" s="317" t="s">
        <v>91</v>
      </c>
      <c r="F6" s="318"/>
      <c r="G6" s="318"/>
      <c r="H6" s="318"/>
      <c r="I6" s="318"/>
      <c r="J6" s="318"/>
      <c r="K6" s="318"/>
      <c r="L6" s="318"/>
      <c r="M6" s="318"/>
      <c r="N6" s="318"/>
    </row>
    <row r="7" spans="3:15" s="2" customFormat="1" ht="189" x14ac:dyDescent="0.15">
      <c r="D7" s="27" t="s">
        <v>75</v>
      </c>
      <c r="E7" s="28" t="s">
        <v>92</v>
      </c>
      <c r="F7" s="28" t="s">
        <v>93</v>
      </c>
      <c r="G7" s="28" t="s">
        <v>94</v>
      </c>
      <c r="H7" s="28" t="s">
        <v>95</v>
      </c>
      <c r="I7" s="28" t="s">
        <v>96</v>
      </c>
      <c r="J7" s="28" t="s">
        <v>97</v>
      </c>
      <c r="K7" s="28" t="s">
        <v>98</v>
      </c>
      <c r="L7" s="28" t="s">
        <v>99</v>
      </c>
      <c r="M7" s="28" t="s">
        <v>100</v>
      </c>
      <c r="N7" s="28" t="s">
        <v>132</v>
      </c>
      <c r="O7" s="1"/>
    </row>
    <row r="8" spans="3:15" s="2" customFormat="1" ht="11.25" customHeight="1" x14ac:dyDescent="0.15"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1"/>
    </row>
    <row r="9" spans="3:15" s="26" customFormat="1" x14ac:dyDescent="0.25">
      <c r="D9" s="29" t="s">
        <v>64</v>
      </c>
      <c r="E9" s="29">
        <v>6</v>
      </c>
      <c r="F9" s="29">
        <v>7</v>
      </c>
      <c r="G9" s="29">
        <v>8</v>
      </c>
      <c r="H9" s="29">
        <v>9</v>
      </c>
      <c r="I9" s="29">
        <v>10</v>
      </c>
      <c r="J9" s="29">
        <v>11</v>
      </c>
      <c r="K9" s="29">
        <v>12</v>
      </c>
      <c r="L9" s="29">
        <v>13</v>
      </c>
      <c r="M9" s="29">
        <v>14</v>
      </c>
      <c r="N9" s="29">
        <v>15</v>
      </c>
      <c r="O9" s="1"/>
    </row>
    <row r="10" spans="3:15" s="26" customFormat="1" x14ac:dyDescent="0.25">
      <c r="C10" s="30" t="s">
        <v>135</v>
      </c>
      <c r="D10" s="31" t="s">
        <v>134</v>
      </c>
      <c r="E10" s="40">
        <v>3</v>
      </c>
      <c r="F10" s="40">
        <v>5</v>
      </c>
      <c r="G10" s="40">
        <v>7</v>
      </c>
      <c r="H10" s="40">
        <v>9</v>
      </c>
      <c r="I10" s="40">
        <v>11</v>
      </c>
      <c r="J10" s="42">
        <v>13</v>
      </c>
      <c r="K10" s="42">
        <v>15</v>
      </c>
      <c r="L10" s="42">
        <v>17</v>
      </c>
      <c r="M10" s="42">
        <v>19</v>
      </c>
      <c r="N10" s="42">
        <v>21</v>
      </c>
      <c r="O10" s="1"/>
    </row>
    <row r="11" spans="3:15" s="26" customFormat="1" x14ac:dyDescent="0.25">
      <c r="C11" s="30" t="s">
        <v>76</v>
      </c>
      <c r="D11" s="32" t="s">
        <v>77</v>
      </c>
      <c r="E11" s="41">
        <v>3</v>
      </c>
      <c r="F11" s="41">
        <v>5</v>
      </c>
      <c r="G11" s="41">
        <v>7</v>
      </c>
      <c r="H11" s="41">
        <v>9</v>
      </c>
      <c r="I11" s="41">
        <v>9</v>
      </c>
      <c r="J11" s="42">
        <v>11</v>
      </c>
      <c r="K11" s="42">
        <v>13</v>
      </c>
      <c r="L11" s="42">
        <v>15</v>
      </c>
      <c r="M11" s="42">
        <v>17</v>
      </c>
      <c r="N11" s="42">
        <v>17</v>
      </c>
      <c r="O11" s="1"/>
    </row>
    <row r="12" spans="3:15" s="26" customFormat="1" x14ac:dyDescent="0.25">
      <c r="C12" s="30" t="s">
        <v>78</v>
      </c>
      <c r="D12" s="33" t="s">
        <v>79</v>
      </c>
      <c r="E12" s="40">
        <v>7</v>
      </c>
      <c r="F12" s="40">
        <v>9</v>
      </c>
      <c r="G12" s="40">
        <v>13</v>
      </c>
      <c r="H12" s="40">
        <v>15</v>
      </c>
      <c r="I12" s="40">
        <v>19</v>
      </c>
      <c r="J12" s="42">
        <v>23</v>
      </c>
      <c r="K12" s="42">
        <v>25</v>
      </c>
      <c r="L12" s="42">
        <v>29</v>
      </c>
      <c r="M12" s="42">
        <v>31</v>
      </c>
      <c r="N12" s="42">
        <v>35</v>
      </c>
      <c r="O12" s="1"/>
    </row>
    <row r="13" spans="3:15" s="26" customFormat="1" x14ac:dyDescent="0.25">
      <c r="C13" s="30" t="s">
        <v>80</v>
      </c>
      <c r="D13" s="32" t="s">
        <v>81</v>
      </c>
      <c r="E13" s="40">
        <v>41</v>
      </c>
      <c r="F13" s="40">
        <v>41</v>
      </c>
      <c r="G13" s="40">
        <v>41</v>
      </c>
      <c r="H13" s="40">
        <v>41</v>
      </c>
      <c r="I13" s="40">
        <v>41</v>
      </c>
      <c r="J13" s="42">
        <v>41</v>
      </c>
      <c r="K13" s="42">
        <v>41</v>
      </c>
      <c r="L13" s="42">
        <v>41</v>
      </c>
      <c r="M13" s="42">
        <v>41</v>
      </c>
      <c r="N13" s="42">
        <v>41</v>
      </c>
      <c r="O13" s="1"/>
    </row>
    <row r="14" spans="3:15" s="26" customFormat="1" x14ac:dyDescent="0.25">
      <c r="C14" s="30" t="s">
        <v>82</v>
      </c>
      <c r="D14" s="31" t="s">
        <v>83</v>
      </c>
      <c r="E14" s="41">
        <v>25</v>
      </c>
      <c r="F14" s="41">
        <v>25</v>
      </c>
      <c r="G14" s="41">
        <v>25</v>
      </c>
      <c r="H14" s="41">
        <v>25</v>
      </c>
      <c r="I14" s="41">
        <v>25</v>
      </c>
      <c r="J14" s="42">
        <v>25</v>
      </c>
      <c r="K14" s="42">
        <v>25</v>
      </c>
      <c r="L14" s="42">
        <v>25</v>
      </c>
      <c r="M14" s="42">
        <v>25</v>
      </c>
      <c r="N14" s="42">
        <v>25</v>
      </c>
      <c r="O14" s="1"/>
    </row>
  </sheetData>
  <mergeCells count="1">
    <mergeCell ref="E6:N6"/>
  </mergeCells>
  <phoneticPr fontId="2"/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2026-02-06T02:27:45Z</dcterms:created>
  <dcterms:modified xsi:type="dcterms:W3CDTF">2026-02-06T02:27:56Z</dcterms:modified>
</cp:coreProperties>
</file>